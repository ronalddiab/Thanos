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'13'!$A$1:$P$173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'4'!$A$1:$J$154</definedName>
    <definedName name="_xlnm.Print_Area" localSheetId="11">'6'!$A$1:$J$154</definedName>
    <definedName name="_xlnm.Print_Area" localSheetId="12">'7'!$A$1:$J$154</definedName>
    <definedName name="_xlnm.Print_Area" localSheetId="13">'8'!$A$1:$J$172</definedName>
    <definedName name="_xlnm.Print_Area" localSheetId="14">'9'!$A$1:$J$172</definedName>
  </definedNames>
  <calcPr calcId="124519"/>
</workbook>
</file>

<file path=xl/calcChain.xml><?xml version="1.0" encoding="utf-8"?>
<calcChain xmlns="http://schemas.openxmlformats.org/spreadsheetml/2006/main">
  <c r="E17" i="48"/>
  <c r="G91" i="19"/>
  <c r="H91" s="1"/>
  <c r="E162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8"/>
  <c r="E9"/>
  <c r="E10"/>
  <c r="E11"/>
  <c r="E12"/>
  <c r="G91" i="9"/>
  <c r="H91" s="1"/>
  <c r="E91"/>
  <c r="F133" i="7"/>
  <c r="E133"/>
  <c r="E134"/>
  <c r="N133" i="9"/>
  <c r="E121" i="33"/>
  <c r="E120"/>
  <c r="E119"/>
  <c r="E87" i="4" l="1"/>
  <c r="E88"/>
  <c r="E89"/>
  <c r="E90"/>
  <c r="E91"/>
  <c r="G91" s="1"/>
  <c r="E162"/>
  <c r="E163"/>
  <c r="E164"/>
  <c r="E165"/>
  <c r="E166"/>
  <c r="E167"/>
  <c r="E168"/>
  <c r="E169"/>
  <c r="E170"/>
  <c r="E171"/>
  <c r="E172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E91" i="12"/>
  <c r="G91" s="1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E91" i="21"/>
  <c r="E91" i="22"/>
  <c r="E91" i="23"/>
  <c r="E91" i="24"/>
  <c r="E91" i="25"/>
  <c r="E91" i="40"/>
  <c r="E91" i="27"/>
  <c r="E91" i="28"/>
  <c r="E91" i="29"/>
  <c r="E91" i="30"/>
  <c r="E91" i="43"/>
  <c r="E91" i="31"/>
  <c r="E91" i="3"/>
  <c r="G91" s="1"/>
  <c r="E172" i="2"/>
  <c r="E171"/>
  <c r="E170"/>
  <c r="E169"/>
  <c r="E168"/>
  <c r="E167"/>
  <c r="E166"/>
  <c r="E165"/>
  <c r="B32" i="47"/>
  <c r="E32"/>
  <c r="G32"/>
  <c r="I32"/>
  <c r="K32"/>
  <c r="L32"/>
  <c r="E31" i="48"/>
  <c r="G31"/>
  <c r="E132" i="43"/>
  <c r="E133"/>
  <c r="E134"/>
  <c r="E135"/>
  <c r="E136"/>
  <c r="E137"/>
  <c r="E138"/>
  <c r="E139"/>
  <c r="E140"/>
  <c r="E141"/>
  <c r="F55" i="28"/>
  <c r="H91" i="8" l="1"/>
  <c r="J91" s="1"/>
  <c r="E10" i="40"/>
  <c r="F135" i="24"/>
  <c r="E135" i="25" s="1"/>
  <c r="E134"/>
  <c r="G174" i="23"/>
  <c r="G174" i="22"/>
  <c r="G174" i="21"/>
  <c r="G174" i="20"/>
  <c r="E45" i="11"/>
  <c r="E46"/>
  <c r="E105"/>
  <c r="G2" i="48"/>
  <c r="E28" i="44"/>
  <c r="E93" i="9"/>
  <c r="E83"/>
  <c r="H114" i="3"/>
  <c r="H114" i="4" s="1"/>
  <c r="H114" i="5" s="1"/>
  <c r="H109" i="3"/>
  <c r="H109" i="4" s="1"/>
  <c r="H109" i="5" s="1"/>
  <c r="E77" i="7" l="1"/>
  <c r="E12" i="9"/>
  <c r="E11"/>
  <c r="E12" i="8"/>
  <c r="E11"/>
  <c r="E11" i="7"/>
  <c r="E12"/>
  <c r="E12" i="3"/>
  <c r="E11"/>
  <c r="E23"/>
  <c r="E22"/>
  <c r="E162" i="5"/>
  <c r="E163"/>
  <c r="E164"/>
  <c r="E166"/>
  <c r="E167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8"/>
  <c r="E9"/>
  <c r="E10"/>
  <c r="F172" i="5"/>
  <c r="F171"/>
  <c r="F170"/>
  <c r="F169"/>
  <c r="F168"/>
  <c r="F167"/>
  <c r="G167" s="1"/>
  <c r="F166"/>
  <c r="G166" s="1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E172" i="5" s="1"/>
  <c r="F171" i="4"/>
  <c r="E171" i="5" s="1"/>
  <c r="F170" i="4"/>
  <c r="E170" i="5" s="1"/>
  <c r="F169" i="4"/>
  <c r="E169" i="5" s="1"/>
  <c r="F168" i="4"/>
  <c r="E168" i="5" s="1"/>
  <c r="G166" i="4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F172" i="3"/>
  <c r="F171"/>
  <c r="F170"/>
  <c r="F169"/>
  <c r="F168"/>
  <c r="F167"/>
  <c r="G167" i="4" s="1"/>
  <c r="F166" i="3"/>
  <c r="F165"/>
  <c r="G164"/>
  <c r="G163"/>
  <c r="G162"/>
  <c r="G161"/>
  <c r="G141"/>
  <c r="G140"/>
  <c r="H140" s="1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F166"/>
  <c r="G165"/>
  <c r="G164"/>
  <c r="G163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G23"/>
  <c r="H23" s="1"/>
  <c r="G22"/>
  <c r="H22" s="1"/>
  <c r="J22" s="1"/>
  <c r="G19"/>
  <c r="G31" s="1"/>
  <c r="H31" s="1"/>
  <c r="J31" s="1"/>
  <c r="G18"/>
  <c r="G15"/>
  <c r="D5" i="44" s="1"/>
  <c r="H12" i="2"/>
  <c r="J12" s="1"/>
  <c r="G12"/>
  <c r="G11"/>
  <c r="H11" s="1"/>
  <c r="J11" s="1"/>
  <c r="G10"/>
  <c r="H10" s="1"/>
  <c r="J10" s="1"/>
  <c r="G9"/>
  <c r="G8"/>
  <c r="G7"/>
  <c r="G172" i="4" l="1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E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36"/>
  <c r="H36" i="4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J50" i="3"/>
  <c r="H50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96" i="4"/>
  <c r="J96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H8" i="3"/>
  <c r="J8" s="1"/>
  <c r="I9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G153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G166" i="3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J96"/>
  <c r="I139" i="4"/>
  <c r="I136"/>
  <c r="G13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G120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J105"/>
  <c r="G108"/>
  <c r="G113"/>
  <c r="G147"/>
  <c r="G95"/>
  <c r="G59"/>
  <c r="G149"/>
  <c r="H149" s="1"/>
  <c r="I134"/>
  <c r="I141"/>
  <c r="J140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G144"/>
  <c r="H144" s="1"/>
  <c r="J144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35" i="3" l="1"/>
  <c r="H41" i="4"/>
  <c r="J41" s="1"/>
  <c r="H89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J36" i="4"/>
  <c r="H36" i="5"/>
  <c r="J36" s="1"/>
  <c r="H44"/>
  <c r="J44" s="1"/>
  <c r="J44" i="4"/>
  <c r="H51" i="3"/>
  <c r="J44"/>
  <c r="J36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10"/>
  <c r="J10" s="1"/>
  <c r="H68" i="4"/>
  <c r="J39"/>
  <c r="H149"/>
  <c r="J149" s="1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8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134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G121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J143"/>
  <c r="G144"/>
  <c r="G60"/>
  <c r="H60" s="1"/>
  <c r="G150"/>
  <c r="J149"/>
  <c r="J113"/>
  <c r="F121"/>
  <c r="G121"/>
  <c r="G146" i="2"/>
  <c r="H146" s="1"/>
  <c r="J146" s="1"/>
  <c r="H145"/>
  <c r="J145" s="1"/>
  <c r="G32"/>
  <c r="H32" s="1"/>
  <c r="J32" s="1"/>
  <c r="J125" i="4" l="1"/>
  <c r="J107"/>
  <c r="H41" i="5"/>
  <c r="J41" s="1"/>
  <c r="J27" i="3"/>
  <c r="H56" i="5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H149" i="5"/>
  <c r="J149" s="1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H115" i="5"/>
  <c r="J115" s="1"/>
  <c r="J126" i="4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H8" i="5"/>
  <c r="J8" s="1"/>
  <c r="I9" s="1"/>
  <c r="J8" i="4"/>
  <c r="I9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J60" i="3"/>
  <c r="I59"/>
  <c r="I60"/>
  <c r="H147" i="5" l="1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2"/>
  <c r="E133"/>
  <c r="E134"/>
  <c r="E135"/>
  <c r="E136"/>
  <c r="E137"/>
  <c r="E138"/>
  <c r="E139"/>
  <c r="E140"/>
  <c r="E141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5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2" i="12"/>
  <c r="E163"/>
  <c r="E164"/>
  <c r="E161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F171"/>
  <c r="F170"/>
  <c r="F169"/>
  <c r="F168"/>
  <c r="F167"/>
  <c r="F166"/>
  <c r="F165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1" i="8" l="1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62" l="1"/>
  <c r="E163"/>
  <c r="E164"/>
  <c r="E161"/>
  <c r="E132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G9" i="31" l="1"/>
  <c r="E172"/>
  <c r="E171"/>
  <c r="E170"/>
  <c r="E169"/>
  <c r="E168"/>
  <c r="E167"/>
  <c r="E166"/>
  <c r="E165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E164" i="43"/>
  <c r="G164" s="1"/>
  <c r="E163"/>
  <c r="G163" s="1"/>
  <c r="E162"/>
  <c r="G162" s="1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G164" i="12"/>
  <c r="G163"/>
  <c r="G162"/>
  <c r="F172" i="31"/>
  <c r="F171"/>
  <c r="F170"/>
  <c r="F169"/>
  <c r="F168"/>
  <c r="F167"/>
  <c r="F166"/>
  <c r="G166" s="1"/>
  <c r="F165"/>
  <c r="G165" s="1"/>
  <c r="F172" i="43"/>
  <c r="F171"/>
  <c r="F170"/>
  <c r="F169"/>
  <c r="F168"/>
  <c r="F167"/>
  <c r="F166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72" i="40"/>
  <c r="F171"/>
  <c r="F170"/>
  <c r="F169"/>
  <c r="F168"/>
  <c r="F167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E165" i="12" s="1"/>
  <c r="F165"/>
  <c r="L161" i="21" l="1"/>
  <c r="AD5" i="44"/>
  <c r="G18" i="7"/>
  <c r="E31" s="1"/>
  <c r="E15" i="8"/>
  <c r="E87" i="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7" i="8"/>
  <c r="G7" s="1"/>
  <c r="B11" i="44" s="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8"/>
  <c r="E9"/>
  <c r="E10"/>
  <c r="E7"/>
  <c r="E107" i="28"/>
  <c r="E108"/>
  <c r="E109"/>
  <c r="E110"/>
  <c r="E111"/>
  <c r="E112"/>
  <c r="E113"/>
  <c r="E114"/>
  <c r="E115"/>
  <c r="E116"/>
  <c r="E112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15" i="20"/>
  <c r="E41" i="18"/>
  <c r="E7" i="20"/>
  <c r="E8" i="17"/>
  <c r="E9"/>
  <c r="E117" i="16"/>
  <c r="E8"/>
  <c r="G8" s="1"/>
  <c r="C19" i="44" s="1"/>
  <c r="E8" i="15"/>
  <c r="O8" i="14"/>
  <c r="O7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8"/>
  <c r="E9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9"/>
  <c r="E10"/>
  <c r="E9" i="12"/>
  <c r="G9" s="1"/>
  <c r="E10"/>
  <c r="E94"/>
  <c r="E95"/>
  <c r="E96"/>
  <c r="E97"/>
  <c r="E98"/>
  <c r="E99"/>
  <c r="E100"/>
  <c r="E101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8"/>
  <c r="C13" i="44" s="1"/>
  <c r="G10" i="10"/>
  <c r="G11"/>
  <c r="G12"/>
  <c r="E7"/>
  <c r="G7" s="1"/>
  <c r="B13" i="44" s="1"/>
  <c r="E105" i="10"/>
  <c r="G105" s="1"/>
  <c r="G106"/>
  <c r="G107"/>
  <c r="E109"/>
  <c r="E110"/>
  <c r="G110" s="1"/>
  <c r="E111"/>
  <c r="G111" s="1"/>
  <c r="E112"/>
  <c r="G112" s="1"/>
  <c r="E115"/>
  <c r="G115" s="1"/>
  <c r="E116"/>
  <c r="G116" s="1"/>
  <c r="E15"/>
  <c r="G15" s="1"/>
  <c r="D13" i="44" s="1"/>
  <c r="G9" i="10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5"/>
  <c r="G15" s="1"/>
  <c r="D12" i="44" s="1"/>
  <c r="E116" i="7"/>
  <c r="E115"/>
  <c r="E124" i="8"/>
  <c r="E116"/>
  <c r="E115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E27" i="10"/>
  <c r="G27" s="1"/>
  <c r="G118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29"/>
  <c r="E28"/>
  <c r="G28" s="1"/>
  <c r="G13"/>
  <c r="G113"/>
  <c r="G108"/>
  <c r="G110" i="7"/>
  <c r="E106"/>
  <c r="E107"/>
  <c r="J88" l="1"/>
  <c r="H88" i="8"/>
  <c r="J88" s="1"/>
  <c r="J87" i="7"/>
  <c r="H87" i="8"/>
  <c r="J87" s="1"/>
  <c r="AT10" i="49"/>
  <c r="BB10"/>
  <c r="AS10"/>
  <c r="BA10"/>
  <c r="H86" i="7"/>
  <c r="J86" i="33"/>
  <c r="G121" i="10"/>
  <c r="F121"/>
  <c r="G150"/>
  <c r="G32"/>
  <c r="I13"/>
  <c r="G60"/>
  <c r="I60" s="1"/>
  <c r="G154"/>
  <c r="G152"/>
  <c r="G144"/>
  <c r="G148"/>
  <c r="G146"/>
  <c r="G107" i="7"/>
  <c r="G8"/>
  <c r="C10" i="44" s="1"/>
  <c r="J86" i="7" l="1"/>
  <c r="H86" i="8"/>
  <c r="J86" s="1"/>
  <c r="I59" i="10"/>
  <c r="E108" i="33"/>
  <c r="E109"/>
  <c r="E101"/>
  <c r="E97" l="1"/>
  <c r="E8"/>
  <c r="G8" s="1"/>
  <c r="C9" i="44" s="1"/>
  <c r="E29" i="43" l="1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AM35" i="44" s="1"/>
  <c r="G72" i="31"/>
  <c r="N35" i="44" s="1"/>
  <c r="G63" i="31"/>
  <c r="AF35" i="44" s="1"/>
  <c r="G168" i="31"/>
  <c r="G170"/>
  <c r="G172"/>
  <c r="G62"/>
  <c r="AE35" i="44" s="1"/>
  <c r="G50" i="31"/>
  <c r="L35" i="44" s="1"/>
  <c r="G51" i="31"/>
  <c r="G53"/>
  <c r="G54"/>
  <c r="G55"/>
  <c r="G57"/>
  <c r="G58"/>
  <c r="Y35" i="44" s="1"/>
  <c r="G49" i="31"/>
  <c r="G36"/>
  <c r="M35" i="44" s="1"/>
  <c r="G37" i="31"/>
  <c r="G35" i="44" s="1"/>
  <c r="G38" i="31"/>
  <c r="G39"/>
  <c r="I35" i="44" s="1"/>
  <c r="G41" i="31"/>
  <c r="J35" i="44" s="1"/>
  <c r="G42" i="31"/>
  <c r="G43"/>
  <c r="G45"/>
  <c r="G46"/>
  <c r="G35"/>
  <c r="F35" i="44" s="1"/>
  <c r="G22" i="31"/>
  <c r="G19"/>
  <c r="G15"/>
  <c r="AN35" i="44" s="1"/>
  <c r="G8" i="31"/>
  <c r="C35" i="44" s="1"/>
  <c r="G10" i="31"/>
  <c r="G7"/>
  <c r="B35" i="44" s="1"/>
  <c r="G80" i="31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G52"/>
  <c r="H35" i="44" s="1"/>
  <c r="G44" i="31"/>
  <c r="G40"/>
  <c r="G29"/>
  <c r="G18"/>
  <c r="I15"/>
  <c r="K9"/>
  <c r="M8"/>
  <c r="I7"/>
  <c r="AT35" i="44" l="1"/>
  <c r="K35"/>
  <c r="J32" i="49" s="1"/>
  <c r="AP34" i="1"/>
  <c r="AO35" i="44"/>
  <c r="K32" i="49"/>
  <c r="F32"/>
  <c r="L32"/>
  <c r="H32"/>
  <c r="I32"/>
  <c r="G32"/>
  <c r="E32"/>
  <c r="E28" i="31"/>
  <c r="G28" s="1"/>
  <c r="E31"/>
  <c r="G31" s="1"/>
  <c r="AH14" i="45"/>
  <c r="E27" i="31"/>
  <c r="G27" s="1"/>
  <c r="AH15" i="4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E35" i="44" s="1"/>
  <c r="G47" i="31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AT32" i="49" l="1"/>
  <c r="BB32"/>
  <c r="AS32"/>
  <c r="BA32"/>
  <c r="N28" i="31"/>
  <c r="G173"/>
  <c r="G32"/>
  <c r="G144"/>
  <c r="G146"/>
  <c r="G150"/>
  <c r="G121"/>
  <c r="G60"/>
  <c r="G154"/>
  <c r="G148"/>
  <c r="G152"/>
  <c r="I59" l="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6"/>
  <c r="E57"/>
  <c r="E58"/>
  <c r="E7"/>
  <c r="G7" s="1"/>
  <c r="B16" i="44" s="1"/>
  <c r="C34" l="1"/>
  <c r="G33" i="1"/>
  <c r="H33"/>
  <c r="K33" s="1"/>
  <c r="C33" i="44"/>
  <c r="H32" i="1"/>
  <c r="L15" i="44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G115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AS17" i="49" s="1"/>
  <c r="O15" i="4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BB17" i="49" l="1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G8" i="11"/>
  <c r="C14" i="44" s="1"/>
  <c r="G8" i="9"/>
  <c r="C12" i="44" s="1"/>
  <c r="I8" i="20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27"/>
  <c r="E27" i="9"/>
  <c r="G27" s="1"/>
  <c r="E19" i="8"/>
  <c r="E8"/>
  <c r="G8" s="1"/>
  <c r="C11" i="44" s="1"/>
  <c r="J115" i="31" l="1"/>
  <c r="H115" i="22"/>
  <c r="J115" s="1"/>
  <c r="J115" i="21"/>
  <c r="H115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5" i="7"/>
  <c r="J115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5" i="8"/>
  <c r="J115" i="7"/>
  <c r="K4" i="1"/>
  <c r="K35" s="1"/>
  <c r="G27" i="13"/>
  <c r="G27" i="30"/>
  <c r="M10" i="29"/>
  <c r="I7"/>
  <c r="J115" i="8" l="1"/>
  <c r="H115" i="9"/>
  <c r="N7" i="28"/>
  <c r="J115" i="9" l="1"/>
  <c r="H115" i="10"/>
  <c r="E9" i="28"/>
  <c r="G9" s="1"/>
  <c r="E10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3" i="17" l="1"/>
  <c r="E49" i="8" l="1"/>
  <c r="E72" l="1"/>
  <c r="E94" i="7" l="1"/>
  <c r="E7"/>
  <c r="G7" s="1"/>
  <c r="B10" i="44" s="1"/>
  <c r="E7" i="27" l="1"/>
  <c r="G7" s="1"/>
  <c r="B30" i="44" s="1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L28" i="44" l="1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E31" i="25"/>
  <c r="G31" s="1"/>
  <c r="AA5" i="45"/>
  <c r="H138" i="25"/>
  <c r="J138" s="1"/>
  <c r="AW28" i="44"/>
  <c r="AY28" s="1"/>
  <c r="AA25" i="45"/>
  <c r="BE25" i="49" s="1"/>
  <c r="E30" i="25"/>
  <c r="G30" s="1"/>
  <c r="AA6" i="45"/>
  <c r="G120" i="25"/>
  <c r="G119"/>
  <c r="H136"/>
  <c r="J136" s="1"/>
  <c r="M27" i="1"/>
  <c r="G25" i="47" s="1"/>
  <c r="AN28" i="44"/>
  <c r="BG25" i="49" s="1"/>
  <c r="H139" i="25"/>
  <c r="J139" s="1"/>
  <c r="G129"/>
  <c r="G151"/>
  <c r="G152" s="1"/>
  <c r="I134"/>
  <c r="G47"/>
  <c r="G145"/>
  <c r="G146" s="1"/>
  <c r="G153"/>
  <c r="G154" s="1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32" i="25"/>
  <c r="G60"/>
  <c r="G144"/>
  <c r="G148"/>
  <c r="G150"/>
  <c r="E124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AC33" i="1" s="1"/>
  <c r="G136" i="43"/>
  <c r="AD33" i="1" s="1"/>
  <c r="G137" i="43"/>
  <c r="G138"/>
  <c r="AI33" i="1" s="1"/>
  <c r="G139" i="43"/>
  <c r="G140"/>
  <c r="G141"/>
  <c r="AM33" i="1" s="1"/>
  <c r="E131" i="43"/>
  <c r="G131" s="1"/>
  <c r="E125"/>
  <c r="G125" s="1"/>
  <c r="AP34" i="44" s="1"/>
  <c r="BI31" i="49" s="1"/>
  <c r="E126" i="43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X33" i="1" s="1"/>
  <c r="E98" i="43"/>
  <c r="G98" s="1"/>
  <c r="Y33" i="1" s="1"/>
  <c r="E99" i="43"/>
  <c r="G99" s="1"/>
  <c r="AG13" i="45" s="1"/>
  <c r="BC31" i="49" s="1"/>
  <c r="G100" i="43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G38"/>
  <c r="G39"/>
  <c r="G40"/>
  <c r="AU33" i="1" s="1"/>
  <c r="G41" i="43"/>
  <c r="AV33" i="1" s="1"/>
  <c r="G42" i="43"/>
  <c r="AW33" i="1" s="1"/>
  <c r="G43" i="43"/>
  <c r="G44"/>
  <c r="AY33" i="1" s="1"/>
  <c r="G45" i="43"/>
  <c r="G46"/>
  <c r="E35"/>
  <c r="G35" s="1"/>
  <c r="E19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1" i="20"/>
  <c r="G101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E172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5" i="27"/>
  <c r="AC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E98" i="27"/>
  <c r="G98" s="1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E93" i="20"/>
  <c r="G93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E15"/>
  <c r="G15" s="1"/>
  <c r="D22" i="44" s="1"/>
  <c r="G10" i="19"/>
  <c r="G9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G165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2" i="33"/>
  <c r="G132" s="1"/>
  <c r="E133"/>
  <c r="G133" s="1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5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24" i="9" l="1"/>
  <c r="AJ33" i="1"/>
  <c r="AX35" i="44"/>
  <c r="AY35" s="1"/>
  <c r="AT33" i="1"/>
  <c r="I34" i="44"/>
  <c r="I33"/>
  <c r="H30" i="49" s="1"/>
  <c r="Z33" i="1"/>
  <c r="G94" i="9"/>
  <c r="K8" i="45" s="1"/>
  <c r="AN9" i="49" s="1"/>
  <c r="AS33" i="1"/>
  <c r="H34" i="44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G13" s="1"/>
  <c r="I13" s="1"/>
  <c r="E11" i="12"/>
  <c r="G11" s="1"/>
  <c r="G13" s="1"/>
  <c r="I13" s="1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E11" i="43"/>
  <c r="G11" s="1"/>
  <c r="E11" i="14"/>
  <c r="G11" s="1"/>
  <c r="E11" i="40"/>
  <c r="G11" s="1"/>
  <c r="E11" i="30"/>
  <c r="G11" s="1"/>
  <c r="AQ33" i="1"/>
  <c r="F34" i="44"/>
  <c r="E31" i="49" s="1"/>
  <c r="G129" i="12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E12" i="21"/>
  <c r="G12" s="1"/>
  <c r="G13" s="1"/>
  <c r="I13" s="1"/>
  <c r="E12" i="25"/>
  <c r="G12" s="1"/>
  <c r="E12" i="29"/>
  <c r="G12" s="1"/>
  <c r="E12" i="15"/>
  <c r="G12" s="1"/>
  <c r="E12" i="27"/>
  <c r="G12" s="1"/>
  <c r="E12" i="43"/>
  <c r="G12" s="1"/>
  <c r="E12" i="23"/>
  <c r="G12" s="1"/>
  <c r="E12" i="12"/>
  <c r="G12" s="1"/>
  <c r="E12" i="16"/>
  <c r="G12" s="1"/>
  <c r="G13" s="1"/>
  <c r="E12" i="20"/>
  <c r="G12" s="1"/>
  <c r="G13" s="1"/>
  <c r="I13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BB33" i="1"/>
  <c r="G31" i="49"/>
  <c r="BC33" i="1"/>
  <c r="AU34" i="44"/>
  <c r="AL33" i="1"/>
  <c r="AO33" s="1"/>
  <c r="AM34" i="44"/>
  <c r="AL31" i="49" s="1"/>
  <c r="BK33" i="1"/>
  <c r="BP33" s="1"/>
  <c r="H31" i="49"/>
  <c r="BD33" i="1"/>
  <c r="L34" i="44"/>
  <c r="K31" i="49" s="1"/>
  <c r="BI33" i="1"/>
  <c r="BA33"/>
  <c r="BJ33"/>
  <c r="AF33"/>
  <c r="M34" i="44"/>
  <c r="L31" i="49" s="1"/>
  <c r="AZ33" i="1"/>
  <c r="AV34" i="44"/>
  <c r="AH33" i="1"/>
  <c r="AK33" s="1"/>
  <c r="D34" i="44"/>
  <c r="M33" i="1"/>
  <c r="O33" s="1"/>
  <c r="I124" i="28"/>
  <c r="G129"/>
  <c r="BA28" i="1"/>
  <c r="G143" i="40"/>
  <c r="E28"/>
  <c r="G28" s="1"/>
  <c r="D29" i="44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J3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I13" s="1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E171" i="12"/>
  <c r="G171" s="1"/>
  <c r="E166"/>
  <c r="G166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E167" i="12"/>
  <c r="G167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E168" i="12"/>
  <c r="G168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E170" i="12"/>
  <c r="G170" s="1"/>
  <c r="E169"/>
  <c r="G169" s="1"/>
  <c r="G129" i="30"/>
  <c r="G129" i="22"/>
  <c r="G119" i="33"/>
  <c r="F119"/>
  <c r="D35" i="1"/>
  <c r="F35"/>
  <c r="F38" s="1"/>
  <c r="AH30" i="45"/>
  <c r="AH31" s="1"/>
  <c r="G134" i="43"/>
  <c r="AB33" i="1" s="1"/>
  <c r="AE33" s="1"/>
  <c r="G120" i="40"/>
  <c r="H120" s="1"/>
  <c r="J120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O18" s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G165" s="1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E165" i="43"/>
  <c r="G165" s="1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E166" i="43"/>
  <c r="G166" s="1"/>
  <c r="G129" i="3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Y16" i="44"/>
  <c r="X13" i="49" s="1"/>
  <c r="G69" i="12"/>
  <c r="G17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E172" i="43"/>
  <c r="G172" s="1"/>
  <c r="G68"/>
  <c r="AK34" i="44" s="1"/>
  <c r="AJ31" i="49" s="1"/>
  <c r="E171" i="43"/>
  <c r="G171" s="1"/>
  <c r="G67"/>
  <c r="AJ34" i="44" s="1"/>
  <c r="AI31" i="49" s="1"/>
  <c r="E170" i="43"/>
  <c r="G170" s="1"/>
  <c r="G66"/>
  <c r="AI34" i="44" s="1"/>
  <c r="AH31" i="49" s="1"/>
  <c r="E169" i="43"/>
  <c r="G169" s="1"/>
  <c r="G65"/>
  <c r="AH34" i="44" s="1"/>
  <c r="AG31" i="49" s="1"/>
  <c r="E168" i="43"/>
  <c r="G168" s="1"/>
  <c r="G64"/>
  <c r="AG34" i="44" s="1"/>
  <c r="AF31" i="49" s="1"/>
  <c r="E167" i="43"/>
  <c r="G167" s="1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I28" i="1"/>
  <c r="E26" i="47" s="1"/>
  <c r="G64" i="40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28" i="7"/>
  <c r="G28" s="1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L21" i="27"/>
  <c r="AH5" i="1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4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9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9" i="11"/>
  <c r="M4" i="1"/>
  <c r="G2" i="47" s="1"/>
  <c r="G129" i="15"/>
  <c r="G129" i="24"/>
  <c r="G129" i="27"/>
  <c r="G129" i="19"/>
  <c r="G129" i="21"/>
  <c r="G129" i="29"/>
  <c r="G129" i="17"/>
  <c r="H129" s="1"/>
  <c r="G129" i="40"/>
  <c r="G129" i="43"/>
  <c r="G129" i="14"/>
  <c r="G129" i="23"/>
  <c r="M18" i="1"/>
  <c r="G16" i="47" s="1"/>
  <c r="G129" i="16"/>
  <c r="G129" i="20"/>
  <c r="G129" i="7"/>
  <c r="M10" i="1"/>
  <c r="G8" i="47" s="1"/>
  <c r="G129" i="8"/>
  <c r="G129" i="9"/>
  <c r="G52" i="20"/>
  <c r="H23" i="44" s="1"/>
  <c r="G20" i="49" s="1"/>
  <c r="W13" i="1"/>
  <c r="G8" i="35"/>
  <c r="Q36" i="1"/>
  <c r="I27"/>
  <c r="E25" i="47" s="1"/>
  <c r="G149" i="21"/>
  <c r="G150" s="1"/>
  <c r="G20" i="19"/>
  <c r="G20" i="24"/>
  <c r="E27" i="44" s="1"/>
  <c r="V30" i="1"/>
  <c r="V21"/>
  <c r="V9"/>
  <c r="V8"/>
  <c r="G95" i="11"/>
  <c r="G149" i="16"/>
  <c r="G150" s="1"/>
  <c r="G95" i="28"/>
  <c r="G149" i="43"/>
  <c r="AT4" i="1"/>
  <c r="G147" i="29"/>
  <c r="G149" i="28"/>
  <c r="G150" s="1"/>
  <c r="G20" i="40"/>
  <c r="E29" i="44" s="1"/>
  <c r="AJ27" i="1"/>
  <c r="AJ28"/>
  <c r="G153" i="43"/>
  <c r="O27" i="1"/>
  <c r="G20" i="22"/>
  <c r="G20" i="21"/>
  <c r="E24" i="44" s="1"/>
  <c r="BB36" i="1"/>
  <c r="BF36"/>
  <c r="G95" i="27"/>
  <c r="G153" i="24"/>
  <c r="G154" s="1"/>
  <c r="G151" i="40"/>
  <c r="G152" s="1"/>
  <c r="G20" i="13"/>
  <c r="E16" i="44" s="1"/>
  <c r="G153" i="18"/>
  <c r="G154" s="1"/>
  <c r="V31" i="1"/>
  <c r="V28"/>
  <c r="I139" i="24"/>
  <c r="G147" i="40"/>
  <c r="G148" s="1"/>
  <c r="V7" i="1"/>
  <c r="I139" i="40"/>
  <c r="G147" i="22"/>
  <c r="G148" s="1"/>
  <c r="AE29" i="1"/>
  <c r="G13" i="28"/>
  <c r="I13" s="1"/>
  <c r="G149" i="30"/>
  <c r="BC32" i="1"/>
  <c r="V6"/>
  <c r="AS23"/>
  <c r="G153" i="22"/>
  <c r="G154" s="1"/>
  <c r="G145" i="40"/>
  <c r="G146" s="1"/>
  <c r="I139" i="27"/>
  <c r="G153" i="14"/>
  <c r="G154" s="1"/>
  <c r="G20" i="27"/>
  <c r="E30" i="44" s="1"/>
  <c r="G95" i="23"/>
  <c r="G95" i="40"/>
  <c r="G149" i="17"/>
  <c r="G150" s="1"/>
  <c r="G20" i="42"/>
  <c r="E30" s="1"/>
  <c r="G30" s="1"/>
  <c r="G20" i="20"/>
  <c r="E23" i="44" s="1"/>
  <c r="G20" i="43"/>
  <c r="G153" i="8"/>
  <c r="G154" s="1"/>
  <c r="I139" i="28"/>
  <c r="I29" i="1"/>
  <c r="E27" i="47" s="1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G152" s="1"/>
  <c r="E18" i="35"/>
  <c r="G18" s="1"/>
  <c r="G95" i="16"/>
  <c r="BC19" i="1"/>
  <c r="I139" i="16"/>
  <c r="AA36" i="1"/>
  <c r="U36"/>
  <c r="G59" i="15"/>
  <c r="G20" i="14"/>
  <c r="AT27" i="1"/>
  <c r="BG17"/>
  <c r="G145" i="15"/>
  <c r="G146" s="1"/>
  <c r="AZ26" i="1"/>
  <c r="G151" i="24"/>
  <c r="G152" s="1"/>
  <c r="G20" i="11"/>
  <c r="E14" i="44" s="1"/>
  <c r="G102" i="19"/>
  <c r="I134" i="21"/>
  <c r="G85" i="40"/>
  <c r="I24" i="1"/>
  <c r="E22" i="47" s="1"/>
  <c r="BH30" i="1"/>
  <c r="G143" i="28"/>
  <c r="G144" s="1"/>
  <c r="AC13" i="1"/>
  <c r="AE13" s="1"/>
  <c r="I137" i="11"/>
  <c r="M17" i="1"/>
  <c r="G15" i="47" s="1"/>
  <c r="BC27" i="1"/>
  <c r="G85" i="19"/>
  <c r="G59" i="28"/>
  <c r="I137" i="27"/>
  <c r="V26" i="1"/>
  <c r="G20" i="15"/>
  <c r="G20" i="18"/>
  <c r="E21" i="44" s="1"/>
  <c r="G95" i="15"/>
  <c r="G143" i="22"/>
  <c r="G144" s="1"/>
  <c r="G143" i="27"/>
  <c r="G144" s="1"/>
  <c r="G153" i="28"/>
  <c r="G154" s="1"/>
  <c r="X30" i="1"/>
  <c r="G151" i="21"/>
  <c r="G152" s="1"/>
  <c r="G145" i="22"/>
  <c r="G146" s="1"/>
  <c r="G147" i="13"/>
  <c r="G147" i="16"/>
  <c r="G148" s="1"/>
  <c r="G151" i="29"/>
  <c r="E9" i="35"/>
  <c r="G9" s="1"/>
  <c r="V25" i="1"/>
  <c r="G153" i="27"/>
  <c r="G154" s="1"/>
  <c r="G147" i="17"/>
  <c r="G148" s="1"/>
  <c r="G153" i="40"/>
  <c r="G154" s="1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52" s="1"/>
  <c r="G147" i="21"/>
  <c r="G148" s="1"/>
  <c r="G143" i="23"/>
  <c r="G13" i="14"/>
  <c r="I13" s="1"/>
  <c r="G13" i="17"/>
  <c r="I13" s="1"/>
  <c r="I137" i="22"/>
  <c r="D36" i="1"/>
  <c r="J36"/>
  <c r="G95" i="8"/>
  <c r="AZ28" i="1"/>
  <c r="I26"/>
  <c r="E24" i="47" s="1"/>
  <c r="G149" i="9"/>
  <c r="G150" s="1"/>
  <c r="G95" i="18"/>
  <c r="G85" i="23"/>
  <c r="G59" i="27"/>
  <c r="BH29" i="1"/>
  <c r="G20" i="8"/>
  <c r="AE16" i="1"/>
  <c r="G147" i="14"/>
  <c r="G148" s="1"/>
  <c r="I139" i="12"/>
  <c r="G95" i="13"/>
  <c r="G85"/>
  <c r="G149"/>
  <c r="BC15" i="1"/>
  <c r="M14"/>
  <c r="G12" i="47" s="1"/>
  <c r="V13" i="1"/>
  <c r="AO12"/>
  <c r="I134" i="11"/>
  <c r="G85"/>
  <c r="G143"/>
  <c r="G144" s="1"/>
  <c r="W11" i="1"/>
  <c r="BK12"/>
  <c r="AV12"/>
  <c r="G20" i="9"/>
  <c r="G95"/>
  <c r="M11" i="1"/>
  <c r="G9" i="47" s="1"/>
  <c r="BK11" i="1"/>
  <c r="M11" i="35"/>
  <c r="O11" s="1"/>
  <c r="G85" i="9"/>
  <c r="BC11" i="1"/>
  <c r="G59" i="9"/>
  <c r="G143" i="8"/>
  <c r="G144" s="1"/>
  <c r="G151" i="9"/>
  <c r="G152" s="1"/>
  <c r="G13" i="8"/>
  <c r="I13" s="1"/>
  <c r="W10" i="1"/>
  <c r="G85" i="8"/>
  <c r="I10" i="1"/>
  <c r="E8" i="47" s="1"/>
  <c r="BG10" i="1"/>
  <c r="G145" i="8"/>
  <c r="G146" s="1"/>
  <c r="BB14" i="1"/>
  <c r="G153" i="12"/>
  <c r="G47" i="28"/>
  <c r="G151"/>
  <c r="G152" s="1"/>
  <c r="AZ30" i="1"/>
  <c r="AR5"/>
  <c r="G13" i="24"/>
  <c r="AZ13" i="1"/>
  <c r="G151" i="11"/>
  <c r="G152" s="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G150" s="1"/>
  <c r="AS16" i="1"/>
  <c r="AC22"/>
  <c r="AE22" s="1"/>
  <c r="I137" i="20"/>
  <c r="AR18" i="1"/>
  <c r="G153" i="16"/>
  <c r="G154" s="1"/>
  <c r="G151" i="18"/>
  <c r="G152" s="1"/>
  <c r="AZ20" i="1"/>
  <c r="AH15"/>
  <c r="I137" i="13"/>
  <c r="AD10" i="1"/>
  <c r="BB13"/>
  <c r="G153" i="11"/>
  <c r="G154" s="1"/>
  <c r="AS13" i="1"/>
  <c r="G149" i="11"/>
  <c r="G150" s="1"/>
  <c r="AI27" i="1"/>
  <c r="AI28"/>
  <c r="I12"/>
  <c r="E10" i="47" s="1"/>
  <c r="AR23" i="1"/>
  <c r="G153" i="21"/>
  <c r="G154" s="1"/>
  <c r="AJ23" i="1"/>
  <c r="I139" i="21"/>
  <c r="AS26" i="1"/>
  <c r="G149" i="24"/>
  <c r="G150" s="1"/>
  <c r="AQ28" i="1"/>
  <c r="G144" i="40"/>
  <c r="X13" i="1"/>
  <c r="AV27"/>
  <c r="G145" i="14"/>
  <c r="G146" s="1"/>
  <c r="G147" i="20"/>
  <c r="G148" s="1"/>
  <c r="G13" i="13"/>
  <c r="AR31" i="1"/>
  <c r="G59" i="17"/>
  <c r="AM27" i="1"/>
  <c r="AO27" s="1"/>
  <c r="I22"/>
  <c r="E20" i="47" s="1"/>
  <c r="G59" i="23"/>
  <c r="BD4" i="1"/>
  <c r="I139" i="18"/>
  <c r="G102" i="20"/>
  <c r="G149" i="22"/>
  <c r="G150" s="1"/>
  <c r="G147" i="23"/>
  <c r="G143" i="13"/>
  <c r="V20" i="1"/>
  <c r="G153" i="23"/>
  <c r="G102" i="8"/>
  <c r="I139" i="9"/>
  <c r="I139" i="11"/>
  <c r="I25" i="1"/>
  <c r="E23" i="47" s="1"/>
  <c r="G143" i="24"/>
  <c r="G144" s="1"/>
  <c r="I134" i="40"/>
  <c r="G149" i="15"/>
  <c r="G150" s="1"/>
  <c r="BB30" i="1"/>
  <c r="V12"/>
  <c r="BA11"/>
  <c r="I134" i="13"/>
  <c r="G151" i="14"/>
  <c r="G152" s="1"/>
  <c r="I134"/>
  <c r="I134" i="20"/>
  <c r="I134" i="28"/>
  <c r="G95" i="29"/>
  <c r="G85" i="12"/>
  <c r="M12" i="1"/>
  <c r="G10" i="47" s="1"/>
  <c r="AX12" i="1"/>
  <c r="AQ19"/>
  <c r="G143" i="17"/>
  <c r="G144" s="1"/>
  <c r="AC23" i="1"/>
  <c r="I137" i="21"/>
  <c r="BI29" i="1"/>
  <c r="G151" i="27"/>
  <c r="G152" s="1"/>
  <c r="AD12" i="1"/>
  <c r="AE12" s="1"/>
  <c r="AJ4"/>
  <c r="AC20"/>
  <c r="I30"/>
  <c r="E28" i="47" s="1"/>
  <c r="AT10" i="1"/>
  <c r="G147" i="8"/>
  <c r="G148" s="1"/>
  <c r="G145" i="27"/>
  <c r="G146" s="1"/>
  <c r="AV29" i="1"/>
  <c r="AV30"/>
  <c r="G145" i="28"/>
  <c r="G146" s="1"/>
  <c r="BG15" i="1"/>
  <c r="G145" i="13"/>
  <c r="W15" i="1"/>
  <c r="G102" i="13"/>
  <c r="AQ23" i="1"/>
  <c r="G143" i="21"/>
  <c r="G144" s="1"/>
  <c r="BF23" i="1"/>
  <c r="G145" i="21"/>
  <c r="G146" s="1"/>
  <c r="AT26" i="1"/>
  <c r="G147" i="24"/>
  <c r="G148" s="1"/>
  <c r="BD30" i="1"/>
  <c r="G147" i="28"/>
  <c r="G148" s="1"/>
  <c r="AI31" i="1"/>
  <c r="I139" i="29"/>
  <c r="M12" i="35"/>
  <c r="O12" s="1"/>
  <c r="G151" i="17"/>
  <c r="G152" s="1"/>
  <c r="I7" i="1"/>
  <c r="E5" i="47" s="1"/>
  <c r="G151" i="8"/>
  <c r="G152" s="1"/>
  <c r="AZ10" i="1"/>
  <c r="AT29"/>
  <c r="G147" i="27"/>
  <c r="G148" s="1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G152" s="1"/>
  <c r="I134"/>
  <c r="I139" i="20"/>
  <c r="V24" i="1"/>
  <c r="V15"/>
  <c r="V22"/>
  <c r="I134" i="24"/>
  <c r="G153" i="7"/>
  <c r="G154" s="1"/>
  <c r="G47" i="16"/>
  <c r="AE19" i="1"/>
  <c r="G102" i="22"/>
  <c r="G13" i="23"/>
  <c r="G109" i="42"/>
  <c r="G110" s="1"/>
  <c r="G143" i="14"/>
  <c r="G144" s="1"/>
  <c r="G95"/>
  <c r="G20" i="16"/>
  <c r="G85" i="20"/>
  <c r="G149" i="23"/>
  <c r="N36" i="1"/>
  <c r="G85" i="14"/>
  <c r="I139" i="13"/>
  <c r="G145" i="17"/>
  <c r="G146" s="1"/>
  <c r="G47" i="27"/>
  <c r="G13" i="11"/>
  <c r="AD36" i="1"/>
  <c r="I139" i="15"/>
  <c r="G20" i="28"/>
  <c r="E31" i="44" s="1"/>
  <c r="G147" i="7"/>
  <c r="G148" s="1"/>
  <c r="G143"/>
  <c r="G144" s="1"/>
  <c r="G95" i="33"/>
  <c r="M9" i="1"/>
  <c r="G7" i="47" s="1"/>
  <c r="G95" i="7"/>
  <c r="BB9" i="1"/>
  <c r="AI9"/>
  <c r="M9" i="35"/>
  <c r="O9" s="1"/>
  <c r="G85" i="7"/>
  <c r="G47"/>
  <c r="AQ9" i="1"/>
  <c r="G149" i="7"/>
  <c r="G150" s="1"/>
  <c r="G13"/>
  <c r="AC8" i="1"/>
  <c r="AE8" s="1"/>
  <c r="I134" i="33"/>
  <c r="G102"/>
  <c r="G85"/>
  <c r="G151"/>
  <c r="AT8" i="1"/>
  <c r="G147" i="33"/>
  <c r="M8" i="1"/>
  <c r="G6" i="47" s="1"/>
  <c r="G13" i="33"/>
  <c r="AS12" i="1"/>
  <c r="T36"/>
  <c r="V17"/>
  <c r="G102" i="7"/>
  <c r="X9" i="1"/>
  <c r="G143" i="9"/>
  <c r="G144" s="1"/>
  <c r="AQ11" i="1"/>
  <c r="X11"/>
  <c r="G102" i="9"/>
  <c r="AR17" i="1"/>
  <c r="G153" i="15"/>
  <c r="G154" s="1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G150" s="1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G144" s="1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8" s="1"/>
  <c r="G145" i="16"/>
  <c r="G146" s="1"/>
  <c r="I137" i="24"/>
  <c r="G102" i="18"/>
  <c r="G145" i="33"/>
  <c r="AZ9" i="1"/>
  <c r="G147" i="9"/>
  <c r="G148" s="1"/>
  <c r="M13" i="1"/>
  <c r="G11" i="47" s="1"/>
  <c r="G102" i="12"/>
  <c r="G151" i="13"/>
  <c r="BB15" i="1"/>
  <c r="G59" i="14"/>
  <c r="G102" i="23"/>
  <c r="K8" i="35"/>
  <c r="V16" i="1"/>
  <c r="G145" i="7"/>
  <c r="G146" s="1"/>
  <c r="G47" i="23"/>
  <c r="I137"/>
  <c r="H4" i="35"/>
  <c r="AR11" i="1"/>
  <c r="G153" i="9"/>
  <c r="G154" s="1"/>
  <c r="I17" i="1"/>
  <c r="E15" i="47" s="1"/>
  <c r="AQ21" i="1"/>
  <c r="BC21"/>
  <c r="G149" i="19"/>
  <c r="AS28" i="1"/>
  <c r="G149" i="40"/>
  <c r="G150" s="1"/>
  <c r="AV11" i="1"/>
  <c r="BJ11" s="1"/>
  <c r="G145" i="9"/>
  <c r="G146" s="1"/>
  <c r="AQ14" i="1"/>
  <c r="G143" i="12"/>
  <c r="G47"/>
  <c r="M16" i="1"/>
  <c r="G14" i="47" s="1"/>
  <c r="G59" i="16"/>
  <c r="BA18" i="1"/>
  <c r="BA36" s="1"/>
  <c r="AW25"/>
  <c r="G145" i="23"/>
  <c r="AH28" i="1"/>
  <c r="AH27"/>
  <c r="AR8"/>
  <c r="G153" i="33"/>
  <c r="BD12" i="1"/>
  <c r="I16"/>
  <c r="E14" i="47" s="1"/>
  <c r="AC18" i="1"/>
  <c r="I137" i="16"/>
  <c r="AS20" i="1"/>
  <c r="G149" i="18"/>
  <c r="G150" s="1"/>
  <c r="AR22" i="1"/>
  <c r="G153" i="20"/>
  <c r="G154" s="1"/>
  <c r="I23" i="1"/>
  <c r="E21" i="47" s="1"/>
  <c r="AT13" i="1"/>
  <c r="G47" i="11"/>
  <c r="G147"/>
  <c r="G148" s="1"/>
  <c r="G47" i="24"/>
  <c r="I137" i="9"/>
  <c r="G151" i="7"/>
  <c r="G152" s="1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G146" s="1"/>
  <c r="J70" i="12"/>
  <c r="H70" i="13"/>
  <c r="G143" i="33"/>
  <c r="G145" i="24"/>
  <c r="G146" s="1"/>
  <c r="I137" i="12"/>
  <c r="G47" i="21"/>
  <c r="L47" s="1"/>
  <c r="G47" i="14"/>
  <c r="G47" i="33"/>
  <c r="G149"/>
  <c r="G149" i="8"/>
  <c r="G150" s="1"/>
  <c r="G145" i="12"/>
  <c r="I137" i="14"/>
  <c r="G143" i="20"/>
  <c r="G144" s="1"/>
  <c r="G59" i="22"/>
  <c r="L59" s="1"/>
  <c r="I137" i="29"/>
  <c r="G153" i="17"/>
  <c r="G154" s="1"/>
  <c r="AV9" i="1"/>
  <c r="BJ9" s="1"/>
  <c r="AR12"/>
  <c r="AQ16"/>
  <c r="BI16"/>
  <c r="BI17"/>
  <c r="W17"/>
  <c r="I19"/>
  <c r="E17" i="47" s="1"/>
  <c r="G47" i="8"/>
  <c r="G143" i="15"/>
  <c r="G144" s="1"/>
  <c r="G102"/>
  <c r="G151" i="22"/>
  <c r="G152" s="1"/>
  <c r="G102" i="21"/>
  <c r="G59" i="11"/>
  <c r="I14" i="1"/>
  <c r="E12" i="47" s="1"/>
  <c r="G102" i="27"/>
  <c r="G149" i="29"/>
  <c r="I119" i="42"/>
  <c r="G143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G145"/>
  <c r="G107" i="42"/>
  <c r="G108" s="1"/>
  <c r="G58"/>
  <c r="G103"/>
  <c r="G104" s="1"/>
  <c r="G59" i="43"/>
  <c r="G105" i="42"/>
  <c r="G106" s="1"/>
  <c r="G47" i="43"/>
  <c r="G147"/>
  <c r="G111" i="42"/>
  <c r="G112" s="1"/>
  <c r="G46"/>
  <c r="E27"/>
  <c r="G27" s="1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I32" i="1"/>
  <c r="E30" i="47" s="1"/>
  <c r="G13" i="43" l="1"/>
  <c r="G152" i="33"/>
  <c r="G13" i="19"/>
  <c r="I13" s="1"/>
  <c r="AH24" i="45"/>
  <c r="BD32" i="49" s="1"/>
  <c r="G13" i="27"/>
  <c r="I13" s="1"/>
  <c r="G13" i="15"/>
  <c r="I13" s="1"/>
  <c r="E24" i="45"/>
  <c r="BD3" i="49" s="1"/>
  <c r="K24" i="45"/>
  <c r="BD9" i="49" s="1"/>
  <c r="F24" i="45"/>
  <c r="BD4" i="49" s="1"/>
  <c r="AV36" i="44"/>
  <c r="G13" i="40"/>
  <c r="I13" s="1"/>
  <c r="G13" i="31"/>
  <c r="I60" s="1"/>
  <c r="G13" i="25"/>
  <c r="V24" i="45"/>
  <c r="BD20" i="49" s="1"/>
  <c r="Z24" i="45"/>
  <c r="BD24" i="49" s="1"/>
  <c r="G13" i="30"/>
  <c r="G13" i="18"/>
  <c r="I13" s="1"/>
  <c r="G13" i="29"/>
  <c r="I13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I13" i="25"/>
  <c r="I60"/>
  <c r="R2" i="49"/>
  <c r="S36" i="44"/>
  <c r="BK2" i="49"/>
  <c r="AR36" i="44"/>
  <c r="M2" i="49"/>
  <c r="N36" i="44"/>
  <c r="G95" i="30"/>
  <c r="X24" i="45"/>
  <c r="BD22" i="49" s="1"/>
  <c r="G32" i="40"/>
  <c r="AQ17" i="49"/>
  <c r="AH2"/>
  <c r="AI2"/>
  <c r="G31" i="47"/>
  <c r="F31" i="49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BQ33" i="1"/>
  <c r="AG33"/>
  <c r="E34" i="4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D36" s="1"/>
  <c r="E15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O36" s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4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9" i="13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G144" s="1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L28"/>
  <c r="G173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7" i="19"/>
  <c r="I134"/>
  <c r="G47" i="20"/>
  <c r="G145"/>
  <c r="G146" s="1"/>
  <c r="BJ22" i="1"/>
  <c r="G59" i="19"/>
  <c r="G145" i="18"/>
  <c r="G146" s="1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5" i="21"/>
  <c r="L173" s="1"/>
  <c r="G173"/>
  <c r="AE20" i="1"/>
  <c r="Z30" i="45"/>
  <c r="Z31" s="1"/>
  <c r="O30"/>
  <c r="O31" s="1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Y31" s="1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50" i="23"/>
  <c r="G146"/>
  <c r="G148"/>
  <c r="G154"/>
  <c r="G152"/>
  <c r="G144"/>
  <c r="P25" i="1"/>
  <c r="H119" i="23"/>
  <c r="J119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G173" i="13"/>
  <c r="G173" i="14"/>
  <c r="AE15" i="1"/>
  <c r="I15" i="35"/>
  <c r="H15"/>
  <c r="AJ16" i="44"/>
  <c r="AI13" i="49" s="1"/>
  <c r="H119" i="13"/>
  <c r="J119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50" i="30"/>
  <c r="H120"/>
  <c r="G32" i="7"/>
  <c r="G102" i="43"/>
  <c r="Z6" i="1"/>
  <c r="BJ18"/>
  <c r="Y25" i="45"/>
  <c r="BE23" i="49" s="1"/>
  <c r="G32" i="29"/>
  <c r="G144" i="30"/>
  <c r="H119"/>
  <c r="I13"/>
  <c r="G146"/>
  <c r="G60"/>
  <c r="G32" i="23"/>
  <c r="G32" i="24"/>
  <c r="G147" i="19"/>
  <c r="G148" s="1"/>
  <c r="G147" i="18"/>
  <c r="G148" s="1"/>
  <c r="X36" i="1"/>
  <c r="AK20"/>
  <c r="Q25" i="45"/>
  <c r="BE15" i="49" s="1"/>
  <c r="G154" i="13"/>
  <c r="H120"/>
  <c r="J120" s="1"/>
  <c r="Z5" i="1"/>
  <c r="K11" i="35"/>
  <c r="AN6" i="44"/>
  <c r="BG3" i="49" s="1"/>
  <c r="AY5" i="44"/>
  <c r="G32" i="21"/>
  <c r="AK18" i="1"/>
  <c r="Z17"/>
  <c r="AY18" i="44"/>
  <c r="AY17"/>
  <c r="G144" i="12"/>
  <c r="G150"/>
  <c r="AK11" i="1"/>
  <c r="G60" i="12"/>
  <c r="I60" s="1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9" i="18"/>
  <c r="J129" s="1"/>
  <c r="J129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9" i="20"/>
  <c r="G150" s="1"/>
  <c r="G47" i="18"/>
  <c r="AF18" i="1"/>
  <c r="BN27"/>
  <c r="AT34" i="44"/>
  <c r="BM31" i="49" s="1"/>
  <c r="AF21" i="1"/>
  <c r="BG20"/>
  <c r="G146" i="13"/>
  <c r="G148"/>
  <c r="G152"/>
  <c r="G144"/>
  <c r="I13"/>
  <c r="G150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6" i="19"/>
  <c r="BP21" i="1"/>
  <c r="G150" i="19"/>
  <c r="BP23" i="1"/>
  <c r="AK6"/>
  <c r="AF19"/>
  <c r="AG19" s="1"/>
  <c r="AF15"/>
  <c r="AT18" i="44"/>
  <c r="BM15" i="49" s="1"/>
  <c r="AT20" i="44"/>
  <c r="BM17" i="49" s="1"/>
  <c r="G152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M32" i="49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3" i="19"/>
  <c r="G154" s="1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Z13"/>
  <c r="P28"/>
  <c r="I26" i="47" s="1"/>
  <c r="BP7" i="1"/>
  <c r="P20"/>
  <c r="I18" i="47" s="1"/>
  <c r="P15" i="1"/>
  <c r="I13" i="47" s="1"/>
  <c r="G146" i="29"/>
  <c r="P26" i="1"/>
  <c r="I24" i="47" s="1"/>
  <c r="I31" i="1"/>
  <c r="E29" i="47" s="1"/>
  <c r="G148" i="29"/>
  <c r="G150"/>
  <c r="G154"/>
  <c r="G152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S18" i="1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2" i="30"/>
  <c r="Z32" i="1"/>
  <c r="P32"/>
  <c r="I30" i="47" s="1"/>
  <c r="AK32" i="1"/>
  <c r="G148" i="30"/>
  <c r="G154"/>
  <c r="G144" i="29"/>
  <c r="AF32" i="1"/>
  <c r="BP32"/>
  <c r="G60" i="29"/>
  <c r="R31" i="1"/>
  <c r="L32"/>
  <c r="I60" i="43" l="1"/>
  <c r="I13" i="31"/>
  <c r="R9" i="1"/>
  <c r="G29" i="9"/>
  <c r="G32" s="1"/>
  <c r="AU36" i="44"/>
  <c r="AN36"/>
  <c r="BM8" i="1"/>
  <c r="AH36" i="44"/>
  <c r="BL8" i="1"/>
  <c r="E36" i="44"/>
  <c r="N31" i="45"/>
  <c r="K36" i="44"/>
  <c r="AF36"/>
  <c r="BN8" i="1"/>
  <c r="S17"/>
  <c r="S36" s="1"/>
  <c r="R11"/>
  <c r="BO11" s="1"/>
  <c r="J118" i="43"/>
  <c r="F36" i="44"/>
  <c r="AG36"/>
  <c r="AY36"/>
  <c r="AE36"/>
  <c r="AI36"/>
  <c r="AL36"/>
  <c r="BQ23" i="1"/>
  <c r="AG31" i="45"/>
  <c r="R21" i="1"/>
  <c r="BO21" s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BO33" s="1"/>
  <c r="S33"/>
  <c r="J113" i="43"/>
  <c r="J121"/>
  <c r="J110"/>
  <c r="J106"/>
  <c r="J105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M35" i="1"/>
  <c r="G3" i="47"/>
  <c r="I25"/>
  <c r="M25" s="1"/>
  <c r="R25" i="1"/>
  <c r="BO25" s="1"/>
  <c r="I23" i="47"/>
  <c r="M23" s="1"/>
  <c r="K9" i="35"/>
  <c r="I31" i="47"/>
  <c r="BL20" i="1"/>
  <c r="K13" i="35"/>
  <c r="BA34" i="44"/>
  <c r="BA33"/>
  <c r="J112" i="31"/>
  <c r="AG23" i="1"/>
  <c r="AL35"/>
  <c r="H120" i="21"/>
  <c r="H120" i="22" s="1"/>
  <c r="J120" s="1"/>
  <c r="J119" i="21"/>
  <c r="H119" i="22"/>
  <c r="J119" s="1"/>
  <c r="BA24" i="44"/>
  <c r="BA23"/>
  <c r="BA20"/>
  <c r="J119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M28" i="47"/>
  <c r="M6"/>
  <c r="J111" i="31"/>
  <c r="AK19" i="1"/>
  <c r="AK35" s="1"/>
  <c r="M17" i="47"/>
  <c r="M27"/>
  <c r="J110" i="31"/>
  <c r="J116"/>
  <c r="H119" i="33"/>
  <c r="M22" i="47"/>
  <c r="O36" i="1"/>
  <c r="AG14"/>
  <c r="BQ14"/>
  <c r="J106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BN31"/>
  <c r="M29" i="47"/>
  <c r="S28" i="1"/>
  <c r="M26" i="47"/>
  <c r="BL15" i="1"/>
  <c r="M7" i="47"/>
  <c r="J121" i="31"/>
  <c r="AG21" i="1"/>
  <c r="J113" i="31"/>
  <c r="J105"/>
  <c r="J118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9" i="19"/>
  <c r="H129" i="20" s="1"/>
  <c r="I59" i="12"/>
  <c r="BM15" i="1"/>
  <c r="L36"/>
  <c r="BN15"/>
  <c r="G60" i="18"/>
  <c r="I59" s="1"/>
  <c r="BM21" i="1"/>
  <c r="BP20"/>
  <c r="BQ20" s="1"/>
  <c r="BJ20"/>
  <c r="BJ35" s="1"/>
  <c r="BN21"/>
  <c r="BP36"/>
  <c r="BM36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9" i="33"/>
  <c r="H134"/>
  <c r="H134" i="7" s="1"/>
  <c r="H134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21"/>
  <c r="I60"/>
  <c r="I59" i="13"/>
  <c r="I60"/>
  <c r="I59" i="24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R36" i="1" l="1"/>
  <c r="O35"/>
  <c r="AT36" i="44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9" i="19"/>
  <c r="J129" i="20"/>
  <c r="H129" i="21"/>
  <c r="H28" i="33"/>
  <c r="I60" i="18"/>
  <c r="J134" i="33"/>
  <c r="J134" i="7"/>
  <c r="H141" i="33"/>
  <c r="H141" i="7" s="1"/>
  <c r="J24"/>
  <c r="H24" i="8"/>
  <c r="BO36" i="1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J119" i="31" l="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BO35" i="1"/>
  <c r="H152" i="33"/>
  <c r="J152" s="1"/>
  <c r="H154"/>
  <c r="J154" s="1"/>
  <c r="J81"/>
  <c r="H129"/>
  <c r="J129" s="1"/>
  <c r="H22" i="7"/>
  <c r="H22" i="8" s="1"/>
  <c r="H22" i="9" s="1"/>
  <c r="H22" i="10" s="1"/>
  <c r="J22" s="1"/>
  <c r="J129" i="21"/>
  <c r="H129" i="22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H151" i="7" l="1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J129" i="22"/>
  <c r="H129" i="23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J45" i="10" l="1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J129" i="23"/>
  <c r="H129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J46" i="10" l="1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J129" i="24"/>
  <c r="H129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H29" l="1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129" i="25"/>
  <c r="H129" i="40"/>
  <c r="J27" i="9"/>
  <c r="H27" i="11"/>
  <c r="H28" i="12"/>
  <c r="J28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J29" i="8" l="1"/>
  <c r="H31" i="12"/>
  <c r="J31" i="11"/>
  <c r="H153" i="10"/>
  <c r="J153" i="9"/>
  <c r="H30" i="11"/>
  <c r="J30" s="1"/>
  <c r="J129" i="40"/>
  <c r="H129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H31" i="13" l="1"/>
  <c r="J31" i="12"/>
  <c r="J153" i="10"/>
  <c r="H153" i="11"/>
  <c r="H30" i="12"/>
  <c r="J30" s="1"/>
  <c r="J60" i="10"/>
  <c r="H60" i="11"/>
  <c r="H60" i="12" s="1"/>
  <c r="J129" i="27"/>
  <c r="H129" i="28"/>
  <c r="J129" s="1"/>
  <c r="H29" i="12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H31" i="14" l="1"/>
  <c r="H31" i="15" s="1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6" l="1"/>
  <c r="H31" i="17" s="1"/>
  <c r="H31" i="18" s="1"/>
  <c r="H31" i="19" s="1"/>
  <c r="H31" i="20" s="1"/>
  <c r="J31" i="15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J31" i="20" l="1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J31" i="21" l="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J31" i="22" l="1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J31" i="43" l="1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153" i="20" l="1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153" i="20" l="1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J153" l="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H153" i="23" l="1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<sst xmlns="http://schemas.openxmlformats.org/spreadsheetml/2006/main" count="10311" uniqueCount="372">
  <si>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</si>
  <si>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</si>
  <si>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</si>
  <si>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</si>
  <si>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</si>
  <si>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</si>
  <si>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</si>
  <si>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</si>
  <si>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</si>
  <si>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</si>
  <si>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</si>
  <si>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</si>
  <si>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</si>
  <si>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</si>
  <si>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</si>
  <si>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</si>
  <si>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</si>
  <si>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</si>
  <si>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</si>
  <si>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</si>
  <si>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</si>
  <si>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</si>
  <si>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</si>
  <si>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</si>
  <si>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</si>
  <si>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</si>
  <si>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</si>
  <si>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</si>
  <si>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</si>
  <si>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</si>
  <si>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</si>
  <si>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</si>
  <si>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</si>
  <si>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</si>
  <si>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</si>
  <si>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</si>
  <si>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</si>
  <si>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</si>
  <si>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</si>
  <si>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</si>
  <si>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</si>
  <si>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</si>
  <si>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</si>
  <si>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</si>
  <si>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</si>
  <si>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</si>
  <si>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</si>
  <si>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</si>
  <si>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</si>
  <si>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</si>
  <si>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</si>
  <si>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</si>
  <si>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</si>
  <si>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</si>
  <si>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</si>
  <si>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</si>
  <si>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</si>
  <si>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</si>
  <si>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</si>
  <si>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</si>
  <si>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</si>
  <si>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</si>
  <si>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</si>
  <si>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</si>
  <si>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</si>
  <si>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</si>
  <si>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</si>
  <si>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</si>
  <si>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</si>
  <si>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</si>
  <si>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</si>
  <si>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</si>
  <si>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</si>
  <si>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</si>
  <si>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</si>
  <si>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</si>
  <si>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</si>
  <si>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</si>
  <si>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</si>
  <si>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</si>
  <si>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</si>
  <si>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</si>
  <si>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</si>
  <si>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</si>
  <si>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</si>
  <si>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</si>
  <si>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</si>
  <si>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</si>
  <si>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</si>
  <si>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</si>
  <si>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</si>
  <si>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</si>
  <si>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</si>
  <si>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</si>
  <si>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</si>
  <si>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</si>
  <si>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</si>
  <si>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</si>
  <si>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</si>
  <si>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</si>
  <si>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</si>
  <si>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</si>
  <si>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</si>
  <si>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</si>
  <si>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</si>
  <si>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</si>
  <si>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</si>
  <si>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</si>
  <si>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</si>
  <si>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</si>
  <si>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</si>
  <si>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</si>
  <si>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</si>
  <si>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</si>
  <si>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</si>
  <si>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</si>
  <si>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</si>
  <si>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</si>
  <si>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</si>
  <si>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</si>
  <si>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</si>
  <si>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</si>
  <si>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</si>
  <si>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</si>
  <si>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</si>
  <si>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</si>
  <si>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</si>
  <si>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</si>
  <si>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</si>
  <si>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</si>
  <si>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</si>
  <si>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</si>
  <si>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</si>
  <si>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</si>
  <si>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</si>
  <si>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</si>
  <si>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</si>
  <si>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</si>
  <si>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</si>
  <si>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</si>
  <si>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</si>
  <si>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</si>
  <si>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</si>
  <si>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</si>
  <si>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</si>
  <si>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</si>
  <si>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</si>
  <si>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</si>
  <si>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</si>
  <si>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</si>
  <si>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</si>
  <si>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</si>
  <si>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</si>
  <si>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</si>
  <si>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</si>
  <si>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</si>
  <si>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</si>
  <si>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</si>
  <si>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</si>
  <si>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</si>
  <si>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</si>
  <si>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</si>
  <si>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</si>
  <si>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</si>
  <si>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</si>
  <si>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</si>
  <si>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</si>
  <si>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</si>
  <si>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</si>
  <si>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</si>
  <si>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</si>
  <si>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</si>
  <si>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</si>
  <si>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</si>
  <si>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</si>
  <si>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</si>
  <si>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</si>
  <si>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</si>
  <si>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</si>
  <si>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</si>
  <si>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</si>
  <si>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</si>
  <si>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</si>
  <si>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</si>
  <si>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</si>
  <si>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</si>
  <si>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</si>
  <si>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</si>
  <si>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</si>
  <si>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</si>
  <si>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</si>
  <si>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</si>
  <si>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</si>
  <si>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</si>
  <si>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</si>
  <si>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</si>
  <si>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</si>
  <si>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</si>
  <si>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</si>
  <si>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</si>
  <si>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</si>
  <si>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</si>
  <si>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</si>
  <si>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</si>
  <si>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</si>
  <si>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</si>
  <si>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</si>
  <si>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</si>
  <si>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</si>
  <si>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</si>
  <si>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</si>
  <si>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</si>
  <si>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</si>
  <si>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</si>
  <si>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</si>
  <si>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</si>
  <si>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</si>
  <si>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</si>
  <si>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</si>
  <si>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</si>
  <si>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</si>
  <si>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</si>
  <si>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</si>
  <si>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</si>
  <si>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</si>
  <si>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</si>
  <si>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</si>
  <si>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</si>
  <si>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</si>
  <si>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</si>
  <si>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</si>
  <si>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</si>
  <si>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</si>
  <si>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</si>
  <si>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</si>
  <si>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</si>
  <si>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</si>
  <si>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</si>
  <si>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</si>
  <si>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</si>
  <si>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</si>
  <si>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</si>
  <si>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</si>
  <si>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</si>
  <si>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</si>
  <si>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</si>
  <si>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</si>
  <si>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</si>
  <si>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</si>
  <si>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</si>
  <si>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</si>
  <si>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</si>
  <si>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</si>
  <si>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</si>
  <si>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</si>
  <si>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</si>
  <si>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</si>
  <si>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</si>
  <si>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</si>
  <si>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</si>
  <si>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</si>
  <si>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</si>
  <si>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</si>
  <si>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</si>
  <si>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</si>
  <si>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</si>
  <si>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</si>
  <si>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</si>
  <si>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</si>
  <si>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</si>
  <si>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</si>
  <si>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</si>
  <si>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</si>
  <si>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</si>
  <si>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</si>
  <si>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</si>
  <si>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</si>
  <si>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</si>
  <si>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</si>
  <si>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</si>
  <si>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</si>
  <si>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</si>
  <si>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</si>
  <si>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</si>
  <si>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</si>
  <si>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</si>
  <si>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</si>
  <si>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</si>
  <si>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</si>
  <si>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</si>
  <si>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</si>
  <si>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</si>
  <si>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</si>
  <si>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</si>
  <si>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</si>
  <si>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</si>
  <si>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</si>
  <si>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</si>
  <si>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</si>
  <si>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</si>
  <si>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</si>
  <si>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</si>
  <si>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</si>
  <si>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</si>
  <si>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</si>
  <si>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</si>
  <si>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</si>
  <si>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</si>
  <si>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</si>
  <si>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</si>
  <si>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</si>
  <si>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</si>
  <si>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</si>
  <si>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</si>
  <si>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</si>
  <si>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</si>
  <si>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</si>
  <si>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</si>
  <si>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</si>
  <si>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</si>
  <si>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</si>
  <si>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</si>
  <si>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</si>
  <si>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</si>
  <si>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</si>
  <si>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</si>
  <si>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</si>
  <si>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</si>
  <si>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</si>
  <si>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</si>
  <si>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</si>
  <si>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</si>
  <si>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</si>
  <si>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</si>
  <si>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</si>
  <si>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</si>
  <si>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</si>
  <si>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</si>
  <si>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</si>
  <si>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</si>
  <si>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</si>
  <si>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</si>
  <si>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</si>
  <si>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</si>
  <si>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</si>
  <si>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</si>
  <si>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</si>
  <si>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</si>
  <si>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</si>
  <si>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</si>
  <si>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</si>
  <si>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</si>
  <si>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</si>
  <si>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</si>
  <si>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</si>
  <si>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>Prepaired by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</si>
  <si>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</si>
  <si>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</si>
  <si>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</si>
  <si>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</si>
  <si>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</si>
  <si>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by----Prakash</t>
  </si>
  <si>
    <t>Prepaired by- Prakash</t>
  </si>
  <si>
    <t>``</t>
  </si>
  <si>
    <t xml:space="preserve">Average </t>
  </si>
  <si>
    <t>20th Floor Project office</t>
  </si>
  <si>
    <t xml:space="preserve">Prepaired by- Nilesh </t>
  </si>
  <si>
    <t>Prepaired by - Nilesh</t>
  </si>
  <si>
    <t>Prepaired by ---Nilesh</t>
  </si>
  <si>
    <t>Prepaired by-- Prakash</t>
  </si>
  <si>
    <t xml:space="preserve">Prepaired by- Prakash </t>
  </si>
  <si>
    <t>Prepaired by--Prakash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</si>
</sst>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4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3" xfId="0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3" xfId="0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0" borderId="21" xfId="4" applyFont="1" applyBorder="1" applyAlignment="1">
      <alignment horizontal="left"/>
    </xf>
    <xf numFmtId="0" fontId="60" fillId="2" borderId="21" xfId="4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23.849999999998545</c:v>
                </c:pt>
                <c:pt idx="1">
                  <c:v>23.979999999995925</c:v>
                </c:pt>
                <c:pt idx="2">
                  <c:v>24</c:v>
                </c:pt>
                <c:pt idx="3">
                  <c:v>23.690000000002328</c:v>
                </c:pt>
                <c:pt idx="4">
                  <c:v>24</c:v>
                </c:pt>
                <c:pt idx="5">
                  <c:v>23.56000000000131</c:v>
                </c:pt>
                <c:pt idx="6">
                  <c:v>23.599999999998545</c:v>
                </c:pt>
                <c:pt idx="7">
                  <c:v>31.980000000003201</c:v>
                </c:pt>
                <c:pt idx="8">
                  <c:v>23.080000000001746</c:v>
                </c:pt>
                <c:pt idx="9">
                  <c:v>24.029999999998836</c:v>
                </c:pt>
                <c:pt idx="10">
                  <c:v>23.709999999999127</c:v>
                </c:pt>
                <c:pt idx="11">
                  <c:v>24.379999999997381</c:v>
                </c:pt>
                <c:pt idx="12">
                  <c:v>24.470000000001164</c:v>
                </c:pt>
                <c:pt idx="13">
                  <c:v>24.649999999994179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-714.34999999999491</c:v>
                </c:pt>
                <c:pt idx="19">
                  <c:v>24</c:v>
                </c:pt>
                <c:pt idx="20">
                  <c:v>24</c:v>
                </c:pt>
                <c:pt idx="21">
                  <c:v>24.010000000002037</c:v>
                </c:pt>
                <c:pt idx="22">
                  <c:v>23.769999999996799</c:v>
                </c:pt>
                <c:pt idx="23">
                  <c:v>24</c:v>
                </c:pt>
                <c:pt idx="24">
                  <c:v>29.610000000000582</c:v>
                </c:pt>
                <c:pt idx="25">
                  <c:v>23.80000000000291</c:v>
                </c:pt>
                <c:pt idx="26">
                  <c:v>25.459999999999127</c:v>
                </c:pt>
                <c:pt idx="27">
                  <c:v>24.179999999996653</c:v>
                </c:pt>
                <c:pt idx="28">
                  <c:v>24.340000000000146</c:v>
                </c:pt>
                <c:pt idx="29">
                  <c:v>26.160000000003492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8802560"/>
        <c:axId val="121065472"/>
      </c:lineChart>
      <c:catAx>
        <c:axId val="1688025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65472"/>
        <c:crosses val="autoZero"/>
        <c:auto val="1"/>
        <c:lblAlgn val="ctr"/>
        <c:lblOffset val="100"/>
      </c:catAx>
      <c:valAx>
        <c:axId val="12106547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880256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2.7099999999991269</c:v>
                </c:pt>
                <c:pt idx="2">
                  <c:v>9.4100000000107684</c:v>
                </c:pt>
                <c:pt idx="3">
                  <c:v>6.8099999999976717</c:v>
                </c:pt>
                <c:pt idx="4">
                  <c:v>0</c:v>
                </c:pt>
                <c:pt idx="5">
                  <c:v>11.379999999990105</c:v>
                </c:pt>
                <c:pt idx="6">
                  <c:v>0</c:v>
                </c:pt>
                <c:pt idx="7">
                  <c:v>7.6900000000023283</c:v>
                </c:pt>
                <c:pt idx="8">
                  <c:v>7.0299999999951979</c:v>
                </c:pt>
                <c:pt idx="9">
                  <c:v>0.13000000000465661</c:v>
                </c:pt>
                <c:pt idx="10">
                  <c:v>0.46300000000337604</c:v>
                </c:pt>
                <c:pt idx="11">
                  <c:v>10.047000000002299</c:v>
                </c:pt>
                <c:pt idx="12">
                  <c:v>7.9199999999982538</c:v>
                </c:pt>
                <c:pt idx="13">
                  <c:v>0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-186.20000000000073</c:v>
                </c:pt>
                <c:pt idx="19">
                  <c:v>9.6999999999934516</c:v>
                </c:pt>
                <c:pt idx="20">
                  <c:v>9.1000000000094587</c:v>
                </c:pt>
                <c:pt idx="21">
                  <c:v>9.5599999999903957</c:v>
                </c:pt>
                <c:pt idx="22">
                  <c:v>10.700000000004366</c:v>
                </c:pt>
                <c:pt idx="23">
                  <c:v>9.7999999999992724</c:v>
                </c:pt>
                <c:pt idx="24">
                  <c:v>9.7999999999992724</c:v>
                </c:pt>
                <c:pt idx="25">
                  <c:v>7.6300000000010186</c:v>
                </c:pt>
                <c:pt idx="26">
                  <c:v>7.2999999999992724</c:v>
                </c:pt>
                <c:pt idx="27">
                  <c:v>7.7599999999911233</c:v>
                </c:pt>
                <c:pt idx="28">
                  <c:v>7.6299999999973807</c:v>
                </c:pt>
                <c:pt idx="29">
                  <c:v>9.0500000000029104</c:v>
                </c:pt>
                <c:pt idx="31">
                  <c:v>-0.24000000000887667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21094528"/>
        <c:axId val="121096064"/>
      </c:lineChart>
      <c:catAx>
        <c:axId val="12109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96064"/>
        <c:crosses val="autoZero"/>
        <c:auto val="1"/>
        <c:lblAlgn val="ctr"/>
        <c:lblOffset val="100"/>
      </c:catAx>
      <c:valAx>
        <c:axId val="12109606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9452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547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136</c:v>
                </c:pt>
                <c:pt idx="1">
                  <c:v>111</c:v>
                </c:pt>
                <c:pt idx="2">
                  <c:v>116</c:v>
                </c:pt>
                <c:pt idx="3">
                  <c:v>107</c:v>
                </c:pt>
                <c:pt idx="4">
                  <c:v>113</c:v>
                </c:pt>
                <c:pt idx="5">
                  <c:v>56</c:v>
                </c:pt>
                <c:pt idx="6">
                  <c:v>56</c:v>
                </c:pt>
                <c:pt idx="7">
                  <c:v>115</c:v>
                </c:pt>
                <c:pt idx="8">
                  <c:v>95</c:v>
                </c:pt>
                <c:pt idx="9">
                  <c:v>77</c:v>
                </c:pt>
                <c:pt idx="10">
                  <c:v>75</c:v>
                </c:pt>
                <c:pt idx="11">
                  <c:v>52</c:v>
                </c:pt>
                <c:pt idx="12">
                  <c:v>77</c:v>
                </c:pt>
                <c:pt idx="13">
                  <c:v>77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-1580</c:v>
                </c:pt>
                <c:pt idx="19">
                  <c:v>141</c:v>
                </c:pt>
                <c:pt idx="20">
                  <c:v>158</c:v>
                </c:pt>
                <c:pt idx="21">
                  <c:v>159</c:v>
                </c:pt>
                <c:pt idx="22">
                  <c:v>138</c:v>
                </c:pt>
                <c:pt idx="23">
                  <c:v>194</c:v>
                </c:pt>
                <c:pt idx="24">
                  <c:v>133</c:v>
                </c:pt>
                <c:pt idx="25">
                  <c:v>159</c:v>
                </c:pt>
                <c:pt idx="26">
                  <c:v>112</c:v>
                </c:pt>
                <c:pt idx="27">
                  <c:v>116</c:v>
                </c:pt>
                <c:pt idx="28">
                  <c:v>75</c:v>
                </c:pt>
                <c:pt idx="29">
                  <c:v>114</c:v>
                </c:pt>
                <c:pt idx="31">
                  <c:v>1596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1113216"/>
        <c:axId val="121119104"/>
      </c:lineChart>
      <c:catAx>
        <c:axId val="1211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9104"/>
        <c:crosses val="autoZero"/>
        <c:auto val="1"/>
        <c:lblAlgn val="ctr"/>
        <c:lblOffset val="100"/>
      </c:catAx>
      <c:valAx>
        <c:axId val="12111910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1321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46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334</c:v>
                </c:pt>
                <c:pt idx="1">
                  <c:v>445</c:v>
                </c:pt>
                <c:pt idx="2">
                  <c:v>438</c:v>
                </c:pt>
                <c:pt idx="3">
                  <c:v>584</c:v>
                </c:pt>
                <c:pt idx="4">
                  <c:v>287</c:v>
                </c:pt>
                <c:pt idx="5">
                  <c:v>477</c:v>
                </c:pt>
                <c:pt idx="6">
                  <c:v>348</c:v>
                </c:pt>
                <c:pt idx="7">
                  <c:v>613.47999999998137</c:v>
                </c:pt>
                <c:pt idx="8">
                  <c:v>523.52000000001863</c:v>
                </c:pt>
                <c:pt idx="9">
                  <c:v>243</c:v>
                </c:pt>
                <c:pt idx="10">
                  <c:v>333.68999999994412</c:v>
                </c:pt>
                <c:pt idx="11">
                  <c:v>436.43000000016764</c:v>
                </c:pt>
                <c:pt idx="12">
                  <c:v>650.87999999988824</c:v>
                </c:pt>
                <c:pt idx="13">
                  <c:v>292.58000000007451</c:v>
                </c:pt>
                <c:pt idx="14">
                  <c:v>437.41999999992549</c:v>
                </c:pt>
                <c:pt idx="15">
                  <c:v>317</c:v>
                </c:pt>
                <c:pt idx="16">
                  <c:v>562</c:v>
                </c:pt>
                <c:pt idx="17">
                  <c:v>400</c:v>
                </c:pt>
                <c:pt idx="18">
                  <c:v>-15200</c:v>
                </c:pt>
                <c:pt idx="19">
                  <c:v>772</c:v>
                </c:pt>
                <c:pt idx="20">
                  <c:v>700</c:v>
                </c:pt>
                <c:pt idx="21">
                  <c:v>767</c:v>
                </c:pt>
                <c:pt idx="22">
                  <c:v>824.37599999993108</c:v>
                </c:pt>
                <c:pt idx="23">
                  <c:v>817.29200000013225</c:v>
                </c:pt>
                <c:pt idx="24">
                  <c:v>698.87399999983609</c:v>
                </c:pt>
                <c:pt idx="25">
                  <c:v>688.53800000017509</c:v>
                </c:pt>
                <c:pt idx="26">
                  <c:v>627.37899999995716</c:v>
                </c:pt>
                <c:pt idx="27">
                  <c:v>461.80099999997765</c:v>
                </c:pt>
                <c:pt idx="28">
                  <c:v>643.03000000002794</c:v>
                </c:pt>
                <c:pt idx="29">
                  <c:v>476.70999999996275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21139584"/>
        <c:axId val="121141120"/>
      </c:lineChart>
      <c:catAx>
        <c:axId val="12113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41120"/>
        <c:crosses val="autoZero"/>
        <c:auto val="1"/>
        <c:lblAlgn val="ctr"/>
        <c:lblOffset val="100"/>
      </c:catAx>
      <c:valAx>
        <c:axId val="12114112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3958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288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1924</c:v>
                </c:pt>
                <c:pt idx="1">
                  <c:v>1888</c:v>
                </c:pt>
                <c:pt idx="2">
                  <c:v>1807</c:v>
                </c:pt>
                <c:pt idx="3">
                  <c:v>1745</c:v>
                </c:pt>
                <c:pt idx="4">
                  <c:v>1710</c:v>
                </c:pt>
                <c:pt idx="5">
                  <c:v>1647</c:v>
                </c:pt>
                <c:pt idx="6">
                  <c:v>1602</c:v>
                </c:pt>
                <c:pt idx="7">
                  <c:v>1924.75</c:v>
                </c:pt>
                <c:pt idx="8">
                  <c:v>1790.25</c:v>
                </c:pt>
                <c:pt idx="9">
                  <c:v>1650</c:v>
                </c:pt>
                <c:pt idx="10">
                  <c:v>1567.1699999999837</c:v>
                </c:pt>
                <c:pt idx="11">
                  <c:v>1670.2399999999907</c:v>
                </c:pt>
                <c:pt idx="12">
                  <c:v>1649.1800000000512</c:v>
                </c:pt>
                <c:pt idx="13">
                  <c:v>1783.2999999999884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-63063</c:v>
                </c:pt>
                <c:pt idx="19">
                  <c:v>2847</c:v>
                </c:pt>
                <c:pt idx="20">
                  <c:v>2797</c:v>
                </c:pt>
                <c:pt idx="21">
                  <c:v>2834</c:v>
                </c:pt>
                <c:pt idx="22">
                  <c:v>2983.890000000014</c:v>
                </c:pt>
                <c:pt idx="23">
                  <c:v>2938.1599999999744</c:v>
                </c:pt>
                <c:pt idx="24">
                  <c:v>3062.7000000000116</c:v>
                </c:pt>
                <c:pt idx="25">
                  <c:v>2911.359999999986</c:v>
                </c:pt>
                <c:pt idx="26">
                  <c:v>2737.2600000000093</c:v>
                </c:pt>
                <c:pt idx="27">
                  <c:v>2862.8999999999942</c:v>
                </c:pt>
                <c:pt idx="28">
                  <c:v>1955.1800000000221</c:v>
                </c:pt>
                <c:pt idx="29">
                  <c:v>2192.5499999999884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671</c:v>
                </c:pt>
                <c:pt idx="1">
                  <c:v>553</c:v>
                </c:pt>
                <c:pt idx="2">
                  <c:v>530</c:v>
                </c:pt>
                <c:pt idx="3">
                  <c:v>506</c:v>
                </c:pt>
                <c:pt idx="4">
                  <c:v>529</c:v>
                </c:pt>
                <c:pt idx="5">
                  <c:v>513</c:v>
                </c:pt>
                <c:pt idx="6">
                  <c:v>520</c:v>
                </c:pt>
                <c:pt idx="7">
                  <c:v>521.07000000000698</c:v>
                </c:pt>
                <c:pt idx="8">
                  <c:v>512.92999999999302</c:v>
                </c:pt>
                <c:pt idx="9">
                  <c:v>523</c:v>
                </c:pt>
                <c:pt idx="10">
                  <c:v>486.22999999998137</c:v>
                </c:pt>
                <c:pt idx="11">
                  <c:v>506.48000000003958</c:v>
                </c:pt>
                <c:pt idx="12">
                  <c:v>417.44000000000233</c:v>
                </c:pt>
                <c:pt idx="13">
                  <c:v>424.13999999995576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534</c:v>
                </c:pt>
                <c:pt idx="19">
                  <c:v>0</c:v>
                </c:pt>
                <c:pt idx="20">
                  <c:v>557</c:v>
                </c:pt>
                <c:pt idx="21">
                  <c:v>530</c:v>
                </c:pt>
                <c:pt idx="22">
                  <c:v>583.22999999998137</c:v>
                </c:pt>
                <c:pt idx="23">
                  <c:v>577.76000000000931</c:v>
                </c:pt>
                <c:pt idx="24">
                  <c:v>567.82000000000698</c:v>
                </c:pt>
                <c:pt idx="25">
                  <c:v>612.14000000001397</c:v>
                </c:pt>
                <c:pt idx="26">
                  <c:v>582.35999999998603</c:v>
                </c:pt>
                <c:pt idx="27">
                  <c:v>571.84000000002561</c:v>
                </c:pt>
                <c:pt idx="28">
                  <c:v>533.63999999995576</c:v>
                </c:pt>
                <c:pt idx="29">
                  <c:v>575.21000000002095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21035776"/>
        <c:axId val="121246464"/>
      </c:lineChart>
      <c:catAx>
        <c:axId val="12103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46464"/>
        <c:crosses val="autoZero"/>
        <c:auto val="1"/>
        <c:lblAlgn val="ctr"/>
        <c:lblOffset val="100"/>
      </c:catAx>
      <c:valAx>
        <c:axId val="12124646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3577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2168</c:v>
                </c:pt>
                <c:pt idx="1">
                  <c:v>2008</c:v>
                </c:pt>
                <c:pt idx="2">
                  <c:v>2174</c:v>
                </c:pt>
                <c:pt idx="3">
                  <c:v>2161</c:v>
                </c:pt>
                <c:pt idx="4">
                  <c:v>2118</c:v>
                </c:pt>
                <c:pt idx="5">
                  <c:v>2168</c:v>
                </c:pt>
                <c:pt idx="6">
                  <c:v>2063</c:v>
                </c:pt>
                <c:pt idx="7">
                  <c:v>2427.4699999999721</c:v>
                </c:pt>
                <c:pt idx="8">
                  <c:v>2125.5300000000279</c:v>
                </c:pt>
                <c:pt idx="9">
                  <c:v>1851</c:v>
                </c:pt>
                <c:pt idx="10">
                  <c:v>1869.2299999999814</c:v>
                </c:pt>
                <c:pt idx="11">
                  <c:v>1863.4400000000605</c:v>
                </c:pt>
                <c:pt idx="12">
                  <c:v>1794.5599999999395</c:v>
                </c:pt>
                <c:pt idx="13">
                  <c:v>1788.7199999999721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-65142</c:v>
                </c:pt>
                <c:pt idx="19">
                  <c:v>2817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2831.359999999986</c:v>
                </c:pt>
                <c:pt idx="24">
                  <c:v>3053.25</c:v>
                </c:pt>
                <c:pt idx="25">
                  <c:v>3075.9499999999534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  <c:pt idx="29">
                  <c:v>2432.9699999999721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21259136"/>
        <c:axId val="121260672"/>
      </c:lineChart>
      <c:catAx>
        <c:axId val="1212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60672"/>
        <c:crosses val="autoZero"/>
        <c:auto val="1"/>
        <c:lblAlgn val="ctr"/>
        <c:lblOffset val="100"/>
      </c:catAx>
      <c:valAx>
        <c:axId val="12126067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91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0.84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0.11</c:v>
                </c:pt>
                <c:pt idx="5">
                  <c:v>0.1</c:v>
                </c:pt>
                <c:pt idx="6">
                  <c:v>0.16</c:v>
                </c:pt>
                <c:pt idx="7">
                  <c:v>0.24</c:v>
                </c:pt>
                <c:pt idx="8">
                  <c:v>0.6</c:v>
                </c:pt>
                <c:pt idx="9">
                  <c:v>0.52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0.77</c:v>
                </c:pt>
                <c:pt idx="19">
                  <c:v>0.77</c:v>
                </c:pt>
                <c:pt idx="20">
                  <c:v>0.76</c:v>
                </c:pt>
                <c:pt idx="21">
                  <c:v>0.76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0.67</c:v>
                </c:pt>
                <c:pt idx="29">
                  <c:v>0.77</c:v>
                </c:pt>
                <c:pt idx="31">
                  <c:v>0.53999999999999992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21285248"/>
        <c:axId val="121291136"/>
      </c:lineChart>
      <c:catAx>
        <c:axId val="12128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91136"/>
        <c:crosses val="autoZero"/>
        <c:auto val="1"/>
        <c:lblAlgn val="ctr"/>
        <c:lblOffset val="100"/>
      </c:catAx>
      <c:valAx>
        <c:axId val="121291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12852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298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298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298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15988</c:v>
                </c:pt>
                <c:pt idx="1">
                  <c:v>15961</c:v>
                </c:pt>
                <c:pt idx="2">
                  <c:v>16029</c:v>
                </c:pt>
                <c:pt idx="3">
                  <c:v>16163</c:v>
                </c:pt>
                <c:pt idx="4">
                  <c:v>15754</c:v>
                </c:pt>
                <c:pt idx="5">
                  <c:v>15577</c:v>
                </c:pt>
                <c:pt idx="6">
                  <c:v>14931</c:v>
                </c:pt>
                <c:pt idx="7">
                  <c:v>19453</c:v>
                </c:pt>
                <c:pt idx="8">
                  <c:v>15329</c:v>
                </c:pt>
                <c:pt idx="9">
                  <c:v>15144</c:v>
                </c:pt>
                <c:pt idx="10">
                  <c:v>14482.59</c:v>
                </c:pt>
                <c:pt idx="11">
                  <c:v>15169.280000000002</c:v>
                </c:pt>
                <c:pt idx="12">
                  <c:v>14565.96</c:v>
                </c:pt>
                <c:pt idx="13">
                  <c:v>14303.68</c:v>
                </c:pt>
                <c:pt idx="14">
                  <c:v>17032.489999999998</c:v>
                </c:pt>
                <c:pt idx="15">
                  <c:v>15022</c:v>
                </c:pt>
                <c:pt idx="16">
                  <c:v>14872</c:v>
                </c:pt>
                <c:pt idx="17">
                  <c:v>15342</c:v>
                </c:pt>
                <c:pt idx="18">
                  <c:v>5388415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19964</c:v>
                </c:pt>
                <c:pt idx="24">
                  <c:v>22296</c:v>
                </c:pt>
                <c:pt idx="25">
                  <c:v>20533</c:v>
                </c:pt>
                <c:pt idx="26">
                  <c:v>17995</c:v>
                </c:pt>
                <c:pt idx="27">
                  <c:v>17985</c:v>
                </c:pt>
                <c:pt idx="28">
                  <c:v>15953</c:v>
                </c:pt>
                <c:pt idx="29">
                  <c:v>18738</c:v>
                </c:pt>
                <c:pt idx="31">
                  <c:v>5882456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26026496"/>
        <c:axId val="126028032"/>
      </c:lineChart>
      <c:catAx>
        <c:axId val="1260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28032"/>
        <c:crosses val="autoZero"/>
        <c:auto val="1"/>
        <c:lblAlgn val="ctr"/>
        <c:lblOffset val="100"/>
      </c:catAx>
      <c:valAx>
        <c:axId val="12602803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2649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8.8800000000001091</c:v>
                </c:pt>
                <c:pt idx="1">
                  <c:v>7.8099999999999454</c:v>
                </c:pt>
                <c:pt idx="2">
                  <c:v>7.4000000000000909</c:v>
                </c:pt>
                <c:pt idx="3">
                  <c:v>7.1299999999998818</c:v>
                </c:pt>
                <c:pt idx="4">
                  <c:v>7.7400000000000091</c:v>
                </c:pt>
                <c:pt idx="5">
                  <c:v>7.6600000000000819</c:v>
                </c:pt>
                <c:pt idx="6">
                  <c:v>7.7699999999999818</c:v>
                </c:pt>
                <c:pt idx="7">
                  <c:v>7.8700000000001182</c:v>
                </c:pt>
                <c:pt idx="8">
                  <c:v>6.7400000000000091</c:v>
                </c:pt>
                <c:pt idx="9">
                  <c:v>7.5799999999999272</c:v>
                </c:pt>
                <c:pt idx="10">
                  <c:v>7.6700000000000728</c:v>
                </c:pt>
                <c:pt idx="11">
                  <c:v>7.5199999999999818</c:v>
                </c:pt>
                <c:pt idx="12">
                  <c:v>7.5599999999999454</c:v>
                </c:pt>
                <c:pt idx="13">
                  <c:v>7.5800000000001546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-231.36999999999989</c:v>
                </c:pt>
                <c:pt idx="19">
                  <c:v>8.3400000000001455</c:v>
                </c:pt>
                <c:pt idx="20">
                  <c:v>8.7699999999992997</c:v>
                </c:pt>
                <c:pt idx="21">
                  <c:v>8.7999999999999545</c:v>
                </c:pt>
                <c:pt idx="22">
                  <c:v>9.5900000000006003</c:v>
                </c:pt>
                <c:pt idx="23">
                  <c:v>8.3799999999996544</c:v>
                </c:pt>
                <c:pt idx="24">
                  <c:v>9.2699999999999818</c:v>
                </c:pt>
                <c:pt idx="25">
                  <c:v>8.75</c:v>
                </c:pt>
                <c:pt idx="26">
                  <c:v>7.5099999999999909</c:v>
                </c:pt>
                <c:pt idx="27">
                  <c:v>8.0199999999999818</c:v>
                </c:pt>
                <c:pt idx="28">
                  <c:v>7.7999999999999545</c:v>
                </c:pt>
                <c:pt idx="29">
                  <c:v>7.3099999999999454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26048128"/>
        <c:axId val="126049664"/>
      </c:lineChart>
      <c:catAx>
        <c:axId val="126048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9664"/>
        <c:crosses val="autoZero"/>
        <c:auto val="1"/>
        <c:lblAlgn val="ctr"/>
        <c:lblOffset val="100"/>
      </c:catAx>
      <c:valAx>
        <c:axId val="12604966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81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9994E-2"/>
          <c:w val="0.844899540938589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189</c:v>
                </c:pt>
                <c:pt idx="1">
                  <c:v>202</c:v>
                </c:pt>
                <c:pt idx="2">
                  <c:v>206</c:v>
                </c:pt>
                <c:pt idx="3">
                  <c:v>204</c:v>
                </c:pt>
                <c:pt idx="4">
                  <c:v>209.8399999999674</c:v>
                </c:pt>
                <c:pt idx="5">
                  <c:v>186.1600000000326</c:v>
                </c:pt>
                <c:pt idx="6">
                  <c:v>200</c:v>
                </c:pt>
                <c:pt idx="7">
                  <c:v>203</c:v>
                </c:pt>
                <c:pt idx="8">
                  <c:v>200.90000000002328</c:v>
                </c:pt>
                <c:pt idx="9">
                  <c:v>204.88000000000466</c:v>
                </c:pt>
                <c:pt idx="10">
                  <c:v>201.30999999993946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-6190</c:v>
                </c:pt>
                <c:pt idx="16">
                  <c:v>252</c:v>
                </c:pt>
                <c:pt idx="17">
                  <c:v>246</c:v>
                </c:pt>
                <c:pt idx="18">
                  <c:v>238</c:v>
                </c:pt>
                <c:pt idx="19">
                  <c:v>259.4100000000326</c:v>
                </c:pt>
                <c:pt idx="20">
                  <c:v>235.02999999991152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350</c:v>
                </c:pt>
                <c:pt idx="1">
                  <c:v>34</c:v>
                </c:pt>
                <c:pt idx="2">
                  <c:v>214</c:v>
                </c:pt>
                <c:pt idx="3">
                  <c:v>73</c:v>
                </c:pt>
                <c:pt idx="4">
                  <c:v>324.9400000000187</c:v>
                </c:pt>
                <c:pt idx="5">
                  <c:v>274.45999999998639</c:v>
                </c:pt>
                <c:pt idx="6">
                  <c:v>8</c:v>
                </c:pt>
                <c:pt idx="7">
                  <c:v>69.889999999955762</c:v>
                </c:pt>
                <c:pt idx="8">
                  <c:v>184.27000000013504</c:v>
                </c:pt>
                <c:pt idx="9">
                  <c:v>393.56999999987966</c:v>
                </c:pt>
                <c:pt idx="10">
                  <c:v>42.360000000131549</c:v>
                </c:pt>
                <c:pt idx="11">
                  <c:v>191.10999999989872</c:v>
                </c:pt>
                <c:pt idx="12">
                  <c:v>51</c:v>
                </c:pt>
                <c:pt idx="13">
                  <c:v>302</c:v>
                </c:pt>
                <c:pt idx="14">
                  <c:v>160</c:v>
                </c:pt>
                <c:pt idx="15">
                  <c:v>-7146.6000000000058</c:v>
                </c:pt>
                <c:pt idx="16">
                  <c:v>471.60000000000036</c:v>
                </c:pt>
                <c:pt idx="17">
                  <c:v>367</c:v>
                </c:pt>
                <c:pt idx="18">
                  <c:v>435</c:v>
                </c:pt>
                <c:pt idx="19">
                  <c:v>444.39599999989696</c:v>
                </c:pt>
                <c:pt idx="20">
                  <c:v>490.58200000023317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45</c:v>
                </c:pt>
                <c:pt idx="1">
                  <c:v>51</c:v>
                </c:pt>
                <c:pt idx="2">
                  <c:v>57</c:v>
                </c:pt>
                <c:pt idx="3">
                  <c:v>71</c:v>
                </c:pt>
                <c:pt idx="4">
                  <c:v>77.5</c:v>
                </c:pt>
                <c:pt idx="5">
                  <c:v>62.5</c:v>
                </c:pt>
                <c:pt idx="6">
                  <c:v>35</c:v>
                </c:pt>
                <c:pt idx="7">
                  <c:v>60.799999999988358</c:v>
                </c:pt>
                <c:pt idx="8">
                  <c:v>51.660000000003492</c:v>
                </c:pt>
                <c:pt idx="9">
                  <c:v>52.630000000004657</c:v>
                </c:pt>
                <c:pt idx="10">
                  <c:v>48.910000000003492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-1860</c:v>
                </c:pt>
                <c:pt idx="16">
                  <c:v>78</c:v>
                </c:pt>
                <c:pt idx="17">
                  <c:v>87</c:v>
                </c:pt>
                <c:pt idx="18">
                  <c:v>94</c:v>
                </c:pt>
                <c:pt idx="19">
                  <c:v>89.070000000006985</c:v>
                </c:pt>
                <c:pt idx="20">
                  <c:v>91.979999999981374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28214144"/>
        <c:axId val="128215680"/>
      </c:lineChart>
      <c:catAx>
        <c:axId val="12821414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8215680"/>
        <c:crosses val="autoZero"/>
        <c:auto val="1"/>
        <c:lblAlgn val="ctr"/>
        <c:lblOffset val="100"/>
      </c:catAx>
      <c:valAx>
        <c:axId val="1282156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82141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47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12</c:v>
                </c:pt>
                <c:pt idx="1">
                  <c:v>42</c:v>
                </c:pt>
                <c:pt idx="2">
                  <c:v>61</c:v>
                </c:pt>
                <c:pt idx="3">
                  <c:v>62</c:v>
                </c:pt>
                <c:pt idx="4">
                  <c:v>0</c:v>
                </c:pt>
                <c:pt idx="5">
                  <c:v>39</c:v>
                </c:pt>
                <c:pt idx="6">
                  <c:v>31</c:v>
                </c:pt>
                <c:pt idx="7">
                  <c:v>78</c:v>
                </c:pt>
                <c:pt idx="8">
                  <c:v>40</c:v>
                </c:pt>
                <c:pt idx="9">
                  <c:v>24</c:v>
                </c:pt>
                <c:pt idx="10">
                  <c:v>26</c:v>
                </c:pt>
                <c:pt idx="11">
                  <c:v>35</c:v>
                </c:pt>
                <c:pt idx="12">
                  <c:v>52</c:v>
                </c:pt>
                <c:pt idx="13">
                  <c:v>46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6988160"/>
        <c:axId val="15698969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6995584"/>
        <c:axId val="156997120"/>
      </c:lineChart>
      <c:catAx>
        <c:axId val="15698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9696"/>
        <c:crosses val="autoZero"/>
        <c:auto val="1"/>
        <c:lblAlgn val="ctr"/>
        <c:lblOffset val="100"/>
      </c:catAx>
      <c:valAx>
        <c:axId val="1569896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8160"/>
        <c:crosses val="autoZero"/>
        <c:crossBetween val="between"/>
        <c:minorUnit val="50"/>
      </c:valAx>
      <c:catAx>
        <c:axId val="156995584"/>
        <c:scaling>
          <c:orientation val="minMax"/>
        </c:scaling>
        <c:delete val="1"/>
        <c:axPos val="b"/>
        <c:tickLblPos val="none"/>
        <c:crossAx val="156997120"/>
        <c:crosses val="autoZero"/>
        <c:auto val="1"/>
        <c:lblAlgn val="ctr"/>
        <c:lblOffset val="100"/>
      </c:catAx>
      <c:valAx>
        <c:axId val="1569971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9558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7156864"/>
        <c:axId val="157158400"/>
      </c:lineChart>
      <c:catAx>
        <c:axId val="15715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8400"/>
        <c:crosses val="autoZero"/>
        <c:auto val="1"/>
        <c:lblAlgn val="ctr"/>
        <c:lblOffset val="100"/>
      </c:catAx>
      <c:valAx>
        <c:axId val="157158400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68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7179264"/>
        <c:axId val="157201536"/>
      </c:lineChart>
      <c:catAx>
        <c:axId val="15717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01536"/>
        <c:crosses val="autoZero"/>
        <c:auto val="1"/>
        <c:lblAlgn val="ctr"/>
        <c:lblOffset val="100"/>
      </c:catAx>
      <c:valAx>
        <c:axId val="157201536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792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151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0</c:v>
                </c:pt>
                <c:pt idx="5">
                  <c:v>31</c:v>
                </c:pt>
                <c:pt idx="6">
                  <c:v>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14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7223552"/>
        <c:axId val="15722534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7226880"/>
        <c:axId val="157228416"/>
      </c:lineChart>
      <c:catAx>
        <c:axId val="157223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5344"/>
        <c:crosses val="autoZero"/>
        <c:auto val="1"/>
        <c:lblAlgn val="ctr"/>
        <c:lblOffset val="100"/>
      </c:catAx>
      <c:valAx>
        <c:axId val="15722534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3552"/>
        <c:crosses val="autoZero"/>
        <c:crossBetween val="between"/>
      </c:valAx>
      <c:catAx>
        <c:axId val="157226880"/>
        <c:scaling>
          <c:orientation val="minMax"/>
        </c:scaling>
        <c:delete val="1"/>
        <c:axPos val="b"/>
        <c:tickLblPos val="none"/>
        <c:crossAx val="157228416"/>
        <c:crosses val="autoZero"/>
        <c:auto val="1"/>
        <c:lblAlgn val="ctr"/>
        <c:lblOffset val="100"/>
      </c:catAx>
      <c:valAx>
        <c:axId val="1572284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26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82</c:v>
                </c:pt>
                <c:pt idx="1">
                  <c:v>93</c:v>
                </c:pt>
                <c:pt idx="2">
                  <c:v>78</c:v>
                </c:pt>
                <c:pt idx="3">
                  <c:v>85</c:v>
                </c:pt>
                <c:pt idx="4">
                  <c:v>0</c:v>
                </c:pt>
                <c:pt idx="5">
                  <c:v>41</c:v>
                </c:pt>
                <c:pt idx="6">
                  <c:v>34</c:v>
                </c:pt>
                <c:pt idx="7">
                  <c:v>141.39999999999418</c:v>
                </c:pt>
                <c:pt idx="8">
                  <c:v>112.60000000000582</c:v>
                </c:pt>
                <c:pt idx="9">
                  <c:v>100</c:v>
                </c:pt>
                <c:pt idx="10">
                  <c:v>39.610000000000582</c:v>
                </c:pt>
                <c:pt idx="11">
                  <c:v>43.210000000006403</c:v>
                </c:pt>
                <c:pt idx="12">
                  <c:v>43.44999999999709</c:v>
                </c:pt>
                <c:pt idx="13">
                  <c:v>42.80000000000291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7275648"/>
        <c:axId val="15727718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7283072"/>
        <c:axId val="157284608"/>
      </c:lineChart>
      <c:catAx>
        <c:axId val="15727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7184"/>
        <c:crosses val="autoZero"/>
        <c:auto val="1"/>
        <c:lblAlgn val="ctr"/>
        <c:lblOffset val="100"/>
      </c:catAx>
      <c:valAx>
        <c:axId val="15727718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75648"/>
        <c:crosses val="autoZero"/>
        <c:crossBetween val="between"/>
        <c:majorUnit val="2"/>
      </c:valAx>
      <c:catAx>
        <c:axId val="157283072"/>
        <c:scaling>
          <c:orientation val="minMax"/>
        </c:scaling>
        <c:delete val="1"/>
        <c:axPos val="b"/>
        <c:tickLblPos val="none"/>
        <c:crossAx val="157284608"/>
        <c:crosses val="autoZero"/>
        <c:auto val="1"/>
        <c:lblAlgn val="ctr"/>
        <c:lblOffset val="100"/>
      </c:catAx>
      <c:valAx>
        <c:axId val="15728460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8307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D34" sqref="D34"/>
    </sheetView>
  </sheetViews>
  <sheetFormatPr defaultColWidth="9" defaultRowHeight="15"/>
  <cols>
    <col min="1" max="1" width="9.6640625" style="1168" customWidth="1"/>
    <col min="2" max="3" width="9" style="1162"/>
    <col min="4" max="4" width="10.44140625" style="1163" customWidth="1"/>
    <col min="5" max="5" width="9.77734375" style="1164" customWidth="1"/>
    <col min="6" max="6" width="9.77734375" style="1168" customWidth="1"/>
    <col min="7" max="10" width="9" style="1168"/>
    <col min="11" max="12" width="9" style="1164"/>
    <col min="13" max="13" width="0" style="1167" hidden="1" customWidth="1"/>
    <col min="14" max="256" width="9" style="1167"/>
    <col min="257" max="257" width="9.6640625" style="1167" customWidth="1"/>
    <col min="258" max="259" width="9" style="1167"/>
    <col min="260" max="260" width="10.44140625" style="1167" customWidth="1"/>
    <col min="261" max="262" width="9.77734375" style="1167" customWidth="1"/>
    <col min="263" max="268" width="9" style="1167"/>
    <col min="269" max="269" width="0" style="1167" hidden="1" customWidth="1"/>
    <col min="270" max="512" width="9" style="1167"/>
    <col min="513" max="513" width="9.6640625" style="1167" customWidth="1"/>
    <col min="514" max="515" width="9" style="1167"/>
    <col min="516" max="516" width="10.44140625" style="1167" customWidth="1"/>
    <col min="517" max="518" width="9.77734375" style="1167" customWidth="1"/>
    <col min="519" max="524" width="9" style="1167"/>
    <col min="525" max="525" width="0" style="1167" hidden="1" customWidth="1"/>
    <col min="526" max="768" width="9" style="1167"/>
    <col min="769" max="769" width="9.6640625" style="1167" customWidth="1"/>
    <col min="770" max="771" width="9" style="1167"/>
    <col min="772" max="772" width="10.44140625" style="1167" customWidth="1"/>
    <col min="773" max="774" width="9.77734375" style="1167" customWidth="1"/>
    <col min="775" max="780" width="9" style="1167"/>
    <col min="781" max="781" width="0" style="1167" hidden="1" customWidth="1"/>
    <col min="782" max="1024" width="9" style="1167"/>
    <col min="1025" max="1025" width="9.6640625" style="1167" customWidth="1"/>
    <col min="1026" max="1027" width="9" style="1167"/>
    <col min="1028" max="1028" width="10.44140625" style="1167" customWidth="1"/>
    <col min="1029" max="1030" width="9.77734375" style="1167" customWidth="1"/>
    <col min="1031" max="1036" width="9" style="1167"/>
    <col min="1037" max="1037" width="0" style="1167" hidden="1" customWidth="1"/>
    <col min="1038" max="1280" width="9" style="1167"/>
    <col min="1281" max="1281" width="9.6640625" style="1167" customWidth="1"/>
    <col min="1282" max="1283" width="9" style="1167"/>
    <col min="1284" max="1284" width="10.44140625" style="1167" customWidth="1"/>
    <col min="1285" max="1286" width="9.77734375" style="1167" customWidth="1"/>
    <col min="1287" max="1292" width="9" style="1167"/>
    <col min="1293" max="1293" width="0" style="1167" hidden="1" customWidth="1"/>
    <col min="1294" max="1536" width="9" style="1167"/>
    <col min="1537" max="1537" width="9.6640625" style="1167" customWidth="1"/>
    <col min="1538" max="1539" width="9" style="1167"/>
    <col min="1540" max="1540" width="10.44140625" style="1167" customWidth="1"/>
    <col min="1541" max="1542" width="9.77734375" style="1167" customWidth="1"/>
    <col min="1543" max="1548" width="9" style="1167"/>
    <col min="1549" max="1549" width="0" style="1167" hidden="1" customWidth="1"/>
    <col min="1550" max="1792" width="9" style="1167"/>
    <col min="1793" max="1793" width="9.6640625" style="1167" customWidth="1"/>
    <col min="1794" max="1795" width="9" style="1167"/>
    <col min="1796" max="1796" width="10.44140625" style="1167" customWidth="1"/>
    <col min="1797" max="1798" width="9.77734375" style="1167" customWidth="1"/>
    <col min="1799" max="1804" width="9" style="1167"/>
    <col min="1805" max="1805" width="0" style="1167" hidden="1" customWidth="1"/>
    <col min="1806" max="2048" width="9" style="1167"/>
    <col min="2049" max="2049" width="9.6640625" style="1167" customWidth="1"/>
    <col min="2050" max="2051" width="9" style="1167"/>
    <col min="2052" max="2052" width="10.44140625" style="1167" customWidth="1"/>
    <col min="2053" max="2054" width="9.77734375" style="1167" customWidth="1"/>
    <col min="2055" max="2060" width="9" style="1167"/>
    <col min="2061" max="2061" width="0" style="1167" hidden="1" customWidth="1"/>
    <col min="2062" max="2304" width="9" style="1167"/>
    <col min="2305" max="2305" width="9.6640625" style="1167" customWidth="1"/>
    <col min="2306" max="2307" width="9" style="1167"/>
    <col min="2308" max="2308" width="10.44140625" style="1167" customWidth="1"/>
    <col min="2309" max="2310" width="9.77734375" style="1167" customWidth="1"/>
    <col min="2311" max="2316" width="9" style="1167"/>
    <col min="2317" max="2317" width="0" style="1167" hidden="1" customWidth="1"/>
    <col min="2318" max="2560" width="9" style="1167"/>
    <col min="2561" max="2561" width="9.6640625" style="1167" customWidth="1"/>
    <col min="2562" max="2563" width="9" style="1167"/>
    <col min="2564" max="2564" width="10.44140625" style="1167" customWidth="1"/>
    <col min="2565" max="2566" width="9.77734375" style="1167" customWidth="1"/>
    <col min="2567" max="2572" width="9" style="1167"/>
    <col min="2573" max="2573" width="0" style="1167" hidden="1" customWidth="1"/>
    <col min="2574" max="2816" width="9" style="1167"/>
    <col min="2817" max="2817" width="9.6640625" style="1167" customWidth="1"/>
    <col min="2818" max="2819" width="9" style="1167"/>
    <col min="2820" max="2820" width="10.44140625" style="1167" customWidth="1"/>
    <col min="2821" max="2822" width="9.77734375" style="1167" customWidth="1"/>
    <col min="2823" max="2828" width="9" style="1167"/>
    <col min="2829" max="2829" width="0" style="1167" hidden="1" customWidth="1"/>
    <col min="2830" max="3072" width="9" style="1167"/>
    <col min="3073" max="3073" width="9.6640625" style="1167" customWidth="1"/>
    <col min="3074" max="3075" width="9" style="1167"/>
    <col min="3076" max="3076" width="10.44140625" style="1167" customWidth="1"/>
    <col min="3077" max="3078" width="9.77734375" style="1167" customWidth="1"/>
    <col min="3079" max="3084" width="9" style="1167"/>
    <col min="3085" max="3085" width="0" style="1167" hidden="1" customWidth="1"/>
    <col min="3086" max="3328" width="9" style="1167"/>
    <col min="3329" max="3329" width="9.6640625" style="1167" customWidth="1"/>
    <col min="3330" max="3331" width="9" style="1167"/>
    <col min="3332" max="3332" width="10.44140625" style="1167" customWidth="1"/>
    <col min="3333" max="3334" width="9.77734375" style="1167" customWidth="1"/>
    <col min="3335" max="3340" width="9" style="1167"/>
    <col min="3341" max="3341" width="0" style="1167" hidden="1" customWidth="1"/>
    <col min="3342" max="3584" width="9" style="1167"/>
    <col min="3585" max="3585" width="9.6640625" style="1167" customWidth="1"/>
    <col min="3586" max="3587" width="9" style="1167"/>
    <col min="3588" max="3588" width="10.44140625" style="1167" customWidth="1"/>
    <col min="3589" max="3590" width="9.77734375" style="1167" customWidth="1"/>
    <col min="3591" max="3596" width="9" style="1167"/>
    <col min="3597" max="3597" width="0" style="1167" hidden="1" customWidth="1"/>
    <col min="3598" max="3840" width="9" style="1167"/>
    <col min="3841" max="3841" width="9.6640625" style="1167" customWidth="1"/>
    <col min="3842" max="3843" width="9" style="1167"/>
    <col min="3844" max="3844" width="10.44140625" style="1167" customWidth="1"/>
    <col min="3845" max="3846" width="9.77734375" style="1167" customWidth="1"/>
    <col min="3847" max="3852" width="9" style="1167"/>
    <col min="3853" max="3853" width="0" style="1167" hidden="1" customWidth="1"/>
    <col min="3854" max="4096" width="9" style="1167"/>
    <col min="4097" max="4097" width="9.6640625" style="1167" customWidth="1"/>
    <col min="4098" max="4099" width="9" style="1167"/>
    <col min="4100" max="4100" width="10.44140625" style="1167" customWidth="1"/>
    <col min="4101" max="4102" width="9.77734375" style="1167" customWidth="1"/>
    <col min="4103" max="4108" width="9" style="1167"/>
    <col min="4109" max="4109" width="0" style="1167" hidden="1" customWidth="1"/>
    <col min="4110" max="4352" width="9" style="1167"/>
    <col min="4353" max="4353" width="9.6640625" style="1167" customWidth="1"/>
    <col min="4354" max="4355" width="9" style="1167"/>
    <col min="4356" max="4356" width="10.44140625" style="1167" customWidth="1"/>
    <col min="4357" max="4358" width="9.77734375" style="1167" customWidth="1"/>
    <col min="4359" max="4364" width="9" style="1167"/>
    <col min="4365" max="4365" width="0" style="1167" hidden="1" customWidth="1"/>
    <col min="4366" max="4608" width="9" style="1167"/>
    <col min="4609" max="4609" width="9.6640625" style="1167" customWidth="1"/>
    <col min="4610" max="4611" width="9" style="1167"/>
    <col min="4612" max="4612" width="10.44140625" style="1167" customWidth="1"/>
    <col min="4613" max="4614" width="9.77734375" style="1167" customWidth="1"/>
    <col min="4615" max="4620" width="9" style="1167"/>
    <col min="4621" max="4621" width="0" style="1167" hidden="1" customWidth="1"/>
    <col min="4622" max="4864" width="9" style="1167"/>
    <col min="4865" max="4865" width="9.6640625" style="1167" customWidth="1"/>
    <col min="4866" max="4867" width="9" style="1167"/>
    <col min="4868" max="4868" width="10.44140625" style="1167" customWidth="1"/>
    <col min="4869" max="4870" width="9.77734375" style="1167" customWidth="1"/>
    <col min="4871" max="4876" width="9" style="1167"/>
    <col min="4877" max="4877" width="0" style="1167" hidden="1" customWidth="1"/>
    <col min="4878" max="5120" width="9" style="1167"/>
    <col min="5121" max="5121" width="9.6640625" style="1167" customWidth="1"/>
    <col min="5122" max="5123" width="9" style="1167"/>
    <col min="5124" max="5124" width="10.44140625" style="1167" customWidth="1"/>
    <col min="5125" max="5126" width="9.77734375" style="1167" customWidth="1"/>
    <col min="5127" max="5132" width="9" style="1167"/>
    <col min="5133" max="5133" width="0" style="1167" hidden="1" customWidth="1"/>
    <col min="5134" max="5376" width="9" style="1167"/>
    <col min="5377" max="5377" width="9.6640625" style="1167" customWidth="1"/>
    <col min="5378" max="5379" width="9" style="1167"/>
    <col min="5380" max="5380" width="10.44140625" style="1167" customWidth="1"/>
    <col min="5381" max="5382" width="9.77734375" style="1167" customWidth="1"/>
    <col min="5383" max="5388" width="9" style="1167"/>
    <col min="5389" max="5389" width="0" style="1167" hidden="1" customWidth="1"/>
    <col min="5390" max="5632" width="9" style="1167"/>
    <col min="5633" max="5633" width="9.6640625" style="1167" customWidth="1"/>
    <col min="5634" max="5635" width="9" style="1167"/>
    <col min="5636" max="5636" width="10.44140625" style="1167" customWidth="1"/>
    <col min="5637" max="5638" width="9.77734375" style="1167" customWidth="1"/>
    <col min="5639" max="5644" width="9" style="1167"/>
    <col min="5645" max="5645" width="0" style="1167" hidden="1" customWidth="1"/>
    <col min="5646" max="5888" width="9" style="1167"/>
    <col min="5889" max="5889" width="9.6640625" style="1167" customWidth="1"/>
    <col min="5890" max="5891" width="9" style="1167"/>
    <col min="5892" max="5892" width="10.44140625" style="1167" customWidth="1"/>
    <col min="5893" max="5894" width="9.77734375" style="1167" customWidth="1"/>
    <col min="5895" max="5900" width="9" style="1167"/>
    <col min="5901" max="5901" width="0" style="1167" hidden="1" customWidth="1"/>
    <col min="5902" max="6144" width="9" style="1167"/>
    <col min="6145" max="6145" width="9.6640625" style="1167" customWidth="1"/>
    <col min="6146" max="6147" width="9" style="1167"/>
    <col min="6148" max="6148" width="10.44140625" style="1167" customWidth="1"/>
    <col min="6149" max="6150" width="9.77734375" style="1167" customWidth="1"/>
    <col min="6151" max="6156" width="9" style="1167"/>
    <col min="6157" max="6157" width="0" style="1167" hidden="1" customWidth="1"/>
    <col min="6158" max="6400" width="9" style="1167"/>
    <col min="6401" max="6401" width="9.6640625" style="1167" customWidth="1"/>
    <col min="6402" max="6403" width="9" style="1167"/>
    <col min="6404" max="6404" width="10.44140625" style="1167" customWidth="1"/>
    <col min="6405" max="6406" width="9.77734375" style="1167" customWidth="1"/>
    <col min="6407" max="6412" width="9" style="1167"/>
    <col min="6413" max="6413" width="0" style="1167" hidden="1" customWidth="1"/>
    <col min="6414" max="6656" width="9" style="1167"/>
    <col min="6657" max="6657" width="9.6640625" style="1167" customWidth="1"/>
    <col min="6658" max="6659" width="9" style="1167"/>
    <col min="6660" max="6660" width="10.44140625" style="1167" customWidth="1"/>
    <col min="6661" max="6662" width="9.77734375" style="1167" customWidth="1"/>
    <col min="6663" max="6668" width="9" style="1167"/>
    <col min="6669" max="6669" width="0" style="1167" hidden="1" customWidth="1"/>
    <col min="6670" max="6912" width="9" style="1167"/>
    <col min="6913" max="6913" width="9.6640625" style="1167" customWidth="1"/>
    <col min="6914" max="6915" width="9" style="1167"/>
    <col min="6916" max="6916" width="10.44140625" style="1167" customWidth="1"/>
    <col min="6917" max="6918" width="9.77734375" style="1167" customWidth="1"/>
    <col min="6919" max="6924" width="9" style="1167"/>
    <col min="6925" max="6925" width="0" style="1167" hidden="1" customWidth="1"/>
    <col min="6926" max="7168" width="9" style="1167"/>
    <col min="7169" max="7169" width="9.6640625" style="1167" customWidth="1"/>
    <col min="7170" max="7171" width="9" style="1167"/>
    <col min="7172" max="7172" width="10.44140625" style="1167" customWidth="1"/>
    <col min="7173" max="7174" width="9.77734375" style="1167" customWidth="1"/>
    <col min="7175" max="7180" width="9" style="1167"/>
    <col min="7181" max="7181" width="0" style="1167" hidden="1" customWidth="1"/>
    <col min="7182" max="7424" width="9" style="1167"/>
    <col min="7425" max="7425" width="9.6640625" style="1167" customWidth="1"/>
    <col min="7426" max="7427" width="9" style="1167"/>
    <col min="7428" max="7428" width="10.44140625" style="1167" customWidth="1"/>
    <col min="7429" max="7430" width="9.77734375" style="1167" customWidth="1"/>
    <col min="7431" max="7436" width="9" style="1167"/>
    <col min="7437" max="7437" width="0" style="1167" hidden="1" customWidth="1"/>
    <col min="7438" max="7680" width="9" style="1167"/>
    <col min="7681" max="7681" width="9.6640625" style="1167" customWidth="1"/>
    <col min="7682" max="7683" width="9" style="1167"/>
    <col min="7684" max="7684" width="10.44140625" style="1167" customWidth="1"/>
    <col min="7685" max="7686" width="9.77734375" style="1167" customWidth="1"/>
    <col min="7687" max="7692" width="9" style="1167"/>
    <col min="7693" max="7693" width="0" style="1167" hidden="1" customWidth="1"/>
    <col min="7694" max="7936" width="9" style="1167"/>
    <col min="7937" max="7937" width="9.6640625" style="1167" customWidth="1"/>
    <col min="7938" max="7939" width="9" style="1167"/>
    <col min="7940" max="7940" width="10.44140625" style="1167" customWidth="1"/>
    <col min="7941" max="7942" width="9.77734375" style="1167" customWidth="1"/>
    <col min="7943" max="7948" width="9" style="1167"/>
    <col min="7949" max="7949" width="0" style="1167" hidden="1" customWidth="1"/>
    <col min="7950" max="8192" width="9" style="1167"/>
    <col min="8193" max="8193" width="9.6640625" style="1167" customWidth="1"/>
    <col min="8194" max="8195" width="9" style="1167"/>
    <col min="8196" max="8196" width="10.44140625" style="1167" customWidth="1"/>
    <col min="8197" max="8198" width="9.77734375" style="1167" customWidth="1"/>
    <col min="8199" max="8204" width="9" style="1167"/>
    <col min="8205" max="8205" width="0" style="1167" hidden="1" customWidth="1"/>
    <col min="8206" max="8448" width="9" style="1167"/>
    <col min="8449" max="8449" width="9.6640625" style="1167" customWidth="1"/>
    <col min="8450" max="8451" width="9" style="1167"/>
    <col min="8452" max="8452" width="10.44140625" style="1167" customWidth="1"/>
    <col min="8453" max="8454" width="9.77734375" style="1167" customWidth="1"/>
    <col min="8455" max="8460" width="9" style="1167"/>
    <col min="8461" max="8461" width="0" style="1167" hidden="1" customWidth="1"/>
    <col min="8462" max="8704" width="9" style="1167"/>
    <col min="8705" max="8705" width="9.6640625" style="1167" customWidth="1"/>
    <col min="8706" max="8707" width="9" style="1167"/>
    <col min="8708" max="8708" width="10.44140625" style="1167" customWidth="1"/>
    <col min="8709" max="8710" width="9.77734375" style="1167" customWidth="1"/>
    <col min="8711" max="8716" width="9" style="1167"/>
    <col min="8717" max="8717" width="0" style="1167" hidden="1" customWidth="1"/>
    <col min="8718" max="8960" width="9" style="1167"/>
    <col min="8961" max="8961" width="9.6640625" style="1167" customWidth="1"/>
    <col min="8962" max="8963" width="9" style="1167"/>
    <col min="8964" max="8964" width="10.44140625" style="1167" customWidth="1"/>
    <col min="8965" max="8966" width="9.77734375" style="1167" customWidth="1"/>
    <col min="8967" max="8972" width="9" style="1167"/>
    <col min="8973" max="8973" width="0" style="1167" hidden="1" customWidth="1"/>
    <col min="8974" max="9216" width="9" style="1167"/>
    <col min="9217" max="9217" width="9.6640625" style="1167" customWidth="1"/>
    <col min="9218" max="9219" width="9" style="1167"/>
    <col min="9220" max="9220" width="10.44140625" style="1167" customWidth="1"/>
    <col min="9221" max="9222" width="9.77734375" style="1167" customWidth="1"/>
    <col min="9223" max="9228" width="9" style="1167"/>
    <col min="9229" max="9229" width="0" style="1167" hidden="1" customWidth="1"/>
    <col min="9230" max="9472" width="9" style="1167"/>
    <col min="9473" max="9473" width="9.6640625" style="1167" customWidth="1"/>
    <col min="9474" max="9475" width="9" style="1167"/>
    <col min="9476" max="9476" width="10.44140625" style="1167" customWidth="1"/>
    <col min="9477" max="9478" width="9.77734375" style="1167" customWidth="1"/>
    <col min="9479" max="9484" width="9" style="1167"/>
    <col min="9485" max="9485" width="0" style="1167" hidden="1" customWidth="1"/>
    <col min="9486" max="9728" width="9" style="1167"/>
    <col min="9729" max="9729" width="9.6640625" style="1167" customWidth="1"/>
    <col min="9730" max="9731" width="9" style="1167"/>
    <col min="9732" max="9732" width="10.44140625" style="1167" customWidth="1"/>
    <col min="9733" max="9734" width="9.77734375" style="1167" customWidth="1"/>
    <col min="9735" max="9740" width="9" style="1167"/>
    <col min="9741" max="9741" width="0" style="1167" hidden="1" customWidth="1"/>
    <col min="9742" max="9984" width="9" style="1167"/>
    <col min="9985" max="9985" width="9.6640625" style="1167" customWidth="1"/>
    <col min="9986" max="9987" width="9" style="1167"/>
    <col min="9988" max="9988" width="10.44140625" style="1167" customWidth="1"/>
    <col min="9989" max="9990" width="9.77734375" style="1167" customWidth="1"/>
    <col min="9991" max="9996" width="9" style="1167"/>
    <col min="9997" max="9997" width="0" style="1167" hidden="1" customWidth="1"/>
    <col min="9998" max="10240" width="9" style="1167"/>
    <col min="10241" max="10241" width="9.6640625" style="1167" customWidth="1"/>
    <col min="10242" max="10243" width="9" style="1167"/>
    <col min="10244" max="10244" width="10.44140625" style="1167" customWidth="1"/>
    <col min="10245" max="10246" width="9.77734375" style="1167" customWidth="1"/>
    <col min="10247" max="10252" width="9" style="1167"/>
    <col min="10253" max="10253" width="0" style="1167" hidden="1" customWidth="1"/>
    <col min="10254" max="10496" width="9" style="1167"/>
    <col min="10497" max="10497" width="9.6640625" style="1167" customWidth="1"/>
    <col min="10498" max="10499" width="9" style="1167"/>
    <col min="10500" max="10500" width="10.44140625" style="1167" customWidth="1"/>
    <col min="10501" max="10502" width="9.77734375" style="1167" customWidth="1"/>
    <col min="10503" max="10508" width="9" style="1167"/>
    <col min="10509" max="10509" width="0" style="1167" hidden="1" customWidth="1"/>
    <col min="10510" max="10752" width="9" style="1167"/>
    <col min="10753" max="10753" width="9.6640625" style="1167" customWidth="1"/>
    <col min="10754" max="10755" width="9" style="1167"/>
    <col min="10756" max="10756" width="10.44140625" style="1167" customWidth="1"/>
    <col min="10757" max="10758" width="9.77734375" style="1167" customWidth="1"/>
    <col min="10759" max="10764" width="9" style="1167"/>
    <col min="10765" max="10765" width="0" style="1167" hidden="1" customWidth="1"/>
    <col min="10766" max="11008" width="9" style="1167"/>
    <col min="11009" max="11009" width="9.6640625" style="1167" customWidth="1"/>
    <col min="11010" max="11011" width="9" style="1167"/>
    <col min="11012" max="11012" width="10.44140625" style="1167" customWidth="1"/>
    <col min="11013" max="11014" width="9.77734375" style="1167" customWidth="1"/>
    <col min="11015" max="11020" width="9" style="1167"/>
    <col min="11021" max="11021" width="0" style="1167" hidden="1" customWidth="1"/>
    <col min="11022" max="11264" width="9" style="1167"/>
    <col min="11265" max="11265" width="9.6640625" style="1167" customWidth="1"/>
    <col min="11266" max="11267" width="9" style="1167"/>
    <col min="11268" max="11268" width="10.44140625" style="1167" customWidth="1"/>
    <col min="11269" max="11270" width="9.77734375" style="1167" customWidth="1"/>
    <col min="11271" max="11276" width="9" style="1167"/>
    <col min="11277" max="11277" width="0" style="1167" hidden="1" customWidth="1"/>
    <col min="11278" max="11520" width="9" style="1167"/>
    <col min="11521" max="11521" width="9.6640625" style="1167" customWidth="1"/>
    <col min="11522" max="11523" width="9" style="1167"/>
    <col min="11524" max="11524" width="10.44140625" style="1167" customWidth="1"/>
    <col min="11525" max="11526" width="9.77734375" style="1167" customWidth="1"/>
    <col min="11527" max="11532" width="9" style="1167"/>
    <col min="11533" max="11533" width="0" style="1167" hidden="1" customWidth="1"/>
    <col min="11534" max="11776" width="9" style="1167"/>
    <col min="11777" max="11777" width="9.6640625" style="1167" customWidth="1"/>
    <col min="11778" max="11779" width="9" style="1167"/>
    <col min="11780" max="11780" width="10.44140625" style="1167" customWidth="1"/>
    <col min="11781" max="11782" width="9.77734375" style="1167" customWidth="1"/>
    <col min="11783" max="11788" width="9" style="1167"/>
    <col min="11789" max="11789" width="0" style="1167" hidden="1" customWidth="1"/>
    <col min="11790" max="12032" width="9" style="1167"/>
    <col min="12033" max="12033" width="9.6640625" style="1167" customWidth="1"/>
    <col min="12034" max="12035" width="9" style="1167"/>
    <col min="12036" max="12036" width="10.44140625" style="1167" customWidth="1"/>
    <col min="12037" max="12038" width="9.77734375" style="1167" customWidth="1"/>
    <col min="12039" max="12044" width="9" style="1167"/>
    <col min="12045" max="12045" width="0" style="1167" hidden="1" customWidth="1"/>
    <col min="12046" max="12288" width="9" style="1167"/>
    <col min="12289" max="12289" width="9.6640625" style="1167" customWidth="1"/>
    <col min="12290" max="12291" width="9" style="1167"/>
    <col min="12292" max="12292" width="10.44140625" style="1167" customWidth="1"/>
    <col min="12293" max="12294" width="9.77734375" style="1167" customWidth="1"/>
    <col min="12295" max="12300" width="9" style="1167"/>
    <col min="12301" max="12301" width="0" style="1167" hidden="1" customWidth="1"/>
    <col min="12302" max="12544" width="9" style="1167"/>
    <col min="12545" max="12545" width="9.6640625" style="1167" customWidth="1"/>
    <col min="12546" max="12547" width="9" style="1167"/>
    <col min="12548" max="12548" width="10.44140625" style="1167" customWidth="1"/>
    <col min="12549" max="12550" width="9.77734375" style="1167" customWidth="1"/>
    <col min="12551" max="12556" width="9" style="1167"/>
    <col min="12557" max="12557" width="0" style="1167" hidden="1" customWidth="1"/>
    <col min="12558" max="12800" width="9" style="1167"/>
    <col min="12801" max="12801" width="9.6640625" style="1167" customWidth="1"/>
    <col min="12802" max="12803" width="9" style="1167"/>
    <col min="12804" max="12804" width="10.44140625" style="1167" customWidth="1"/>
    <col min="12805" max="12806" width="9.77734375" style="1167" customWidth="1"/>
    <col min="12807" max="12812" width="9" style="1167"/>
    <col min="12813" max="12813" width="0" style="1167" hidden="1" customWidth="1"/>
    <col min="12814" max="13056" width="9" style="1167"/>
    <col min="13057" max="13057" width="9.6640625" style="1167" customWidth="1"/>
    <col min="13058" max="13059" width="9" style="1167"/>
    <col min="13060" max="13060" width="10.44140625" style="1167" customWidth="1"/>
    <col min="13061" max="13062" width="9.77734375" style="1167" customWidth="1"/>
    <col min="13063" max="13068" width="9" style="1167"/>
    <col min="13069" max="13069" width="0" style="1167" hidden="1" customWidth="1"/>
    <col min="13070" max="13312" width="9" style="1167"/>
    <col min="13313" max="13313" width="9.6640625" style="1167" customWidth="1"/>
    <col min="13314" max="13315" width="9" style="1167"/>
    <col min="13316" max="13316" width="10.44140625" style="1167" customWidth="1"/>
    <col min="13317" max="13318" width="9.77734375" style="1167" customWidth="1"/>
    <col min="13319" max="13324" width="9" style="1167"/>
    <col min="13325" max="13325" width="0" style="1167" hidden="1" customWidth="1"/>
    <col min="13326" max="13568" width="9" style="1167"/>
    <col min="13569" max="13569" width="9.6640625" style="1167" customWidth="1"/>
    <col min="13570" max="13571" width="9" style="1167"/>
    <col min="13572" max="13572" width="10.44140625" style="1167" customWidth="1"/>
    <col min="13573" max="13574" width="9.77734375" style="1167" customWidth="1"/>
    <col min="13575" max="13580" width="9" style="1167"/>
    <col min="13581" max="13581" width="0" style="1167" hidden="1" customWidth="1"/>
    <col min="13582" max="13824" width="9" style="1167"/>
    <col min="13825" max="13825" width="9.6640625" style="1167" customWidth="1"/>
    <col min="13826" max="13827" width="9" style="1167"/>
    <col min="13828" max="13828" width="10.44140625" style="1167" customWidth="1"/>
    <col min="13829" max="13830" width="9.77734375" style="1167" customWidth="1"/>
    <col min="13831" max="13836" width="9" style="1167"/>
    <col min="13837" max="13837" width="0" style="1167" hidden="1" customWidth="1"/>
    <col min="13838" max="14080" width="9" style="1167"/>
    <col min="14081" max="14081" width="9.6640625" style="1167" customWidth="1"/>
    <col min="14082" max="14083" width="9" style="1167"/>
    <col min="14084" max="14084" width="10.44140625" style="1167" customWidth="1"/>
    <col min="14085" max="14086" width="9.77734375" style="1167" customWidth="1"/>
    <col min="14087" max="14092" width="9" style="1167"/>
    <col min="14093" max="14093" width="0" style="1167" hidden="1" customWidth="1"/>
    <col min="14094" max="14336" width="9" style="1167"/>
    <col min="14337" max="14337" width="9.6640625" style="1167" customWidth="1"/>
    <col min="14338" max="14339" width="9" style="1167"/>
    <col min="14340" max="14340" width="10.44140625" style="1167" customWidth="1"/>
    <col min="14341" max="14342" width="9.77734375" style="1167" customWidth="1"/>
    <col min="14343" max="14348" width="9" style="1167"/>
    <col min="14349" max="14349" width="0" style="1167" hidden="1" customWidth="1"/>
    <col min="14350" max="14592" width="9" style="1167"/>
    <col min="14593" max="14593" width="9.6640625" style="1167" customWidth="1"/>
    <col min="14594" max="14595" width="9" style="1167"/>
    <col min="14596" max="14596" width="10.44140625" style="1167" customWidth="1"/>
    <col min="14597" max="14598" width="9.77734375" style="1167" customWidth="1"/>
    <col min="14599" max="14604" width="9" style="1167"/>
    <col min="14605" max="14605" width="0" style="1167" hidden="1" customWidth="1"/>
    <col min="14606" max="14848" width="9" style="1167"/>
    <col min="14849" max="14849" width="9.6640625" style="1167" customWidth="1"/>
    <col min="14850" max="14851" width="9" style="1167"/>
    <col min="14852" max="14852" width="10.44140625" style="1167" customWidth="1"/>
    <col min="14853" max="14854" width="9.77734375" style="1167" customWidth="1"/>
    <col min="14855" max="14860" width="9" style="1167"/>
    <col min="14861" max="14861" width="0" style="1167" hidden="1" customWidth="1"/>
    <col min="14862" max="15104" width="9" style="1167"/>
    <col min="15105" max="15105" width="9.6640625" style="1167" customWidth="1"/>
    <col min="15106" max="15107" width="9" style="1167"/>
    <col min="15108" max="15108" width="10.44140625" style="1167" customWidth="1"/>
    <col min="15109" max="15110" width="9.77734375" style="1167" customWidth="1"/>
    <col min="15111" max="15116" width="9" style="1167"/>
    <col min="15117" max="15117" width="0" style="1167" hidden="1" customWidth="1"/>
    <col min="15118" max="15360" width="9" style="1167"/>
    <col min="15361" max="15361" width="9.6640625" style="1167" customWidth="1"/>
    <col min="15362" max="15363" width="9" style="1167"/>
    <col min="15364" max="15364" width="10.44140625" style="1167" customWidth="1"/>
    <col min="15365" max="15366" width="9.77734375" style="1167" customWidth="1"/>
    <col min="15367" max="15372" width="9" style="1167"/>
    <col min="15373" max="15373" width="0" style="1167" hidden="1" customWidth="1"/>
    <col min="15374" max="15616" width="9" style="1167"/>
    <col min="15617" max="15617" width="9.6640625" style="1167" customWidth="1"/>
    <col min="15618" max="15619" width="9" style="1167"/>
    <col min="15620" max="15620" width="10.44140625" style="1167" customWidth="1"/>
    <col min="15621" max="15622" width="9.77734375" style="1167" customWidth="1"/>
    <col min="15623" max="15628" width="9" style="1167"/>
    <col min="15629" max="15629" width="0" style="1167" hidden="1" customWidth="1"/>
    <col min="15630" max="15872" width="9" style="1167"/>
    <col min="15873" max="15873" width="9.6640625" style="1167" customWidth="1"/>
    <col min="15874" max="15875" width="9" style="1167"/>
    <col min="15876" max="15876" width="10.44140625" style="1167" customWidth="1"/>
    <col min="15877" max="15878" width="9.77734375" style="1167" customWidth="1"/>
    <col min="15879" max="15884" width="9" style="1167"/>
    <col min="15885" max="15885" width="0" style="1167" hidden="1" customWidth="1"/>
    <col min="15886" max="16128" width="9" style="1167"/>
    <col min="16129" max="16129" width="9.6640625" style="1167" customWidth="1"/>
    <col min="16130" max="16131" width="9" style="1167"/>
    <col min="16132" max="16132" width="10.44140625" style="1167" customWidth="1"/>
    <col min="16133" max="16134" width="9.77734375" style="1167" customWidth="1"/>
    <col min="16135" max="16140" width="9" style="1167"/>
    <col min="16141" max="16141" width="0" style="1167" hidden="1" customWidth="1"/>
    <col min="16142" max="16384" width="9" style="1167"/>
  </cols>
  <sheetData>
    <row r="1" spans="1:13" s="1160" customFormat="1" ht="60.75" thickBot="1">
      <c r="A1" s="1154" t="s">
        <v>290</v>
      </c>
      <c r="B1" s="1155" t="s">
        <v>291</v>
      </c>
      <c r="C1" s="1155" t="s">
        <v>292</v>
      </c>
      <c r="D1" s="1156" t="s">
        <v>293</v>
      </c>
      <c r="E1" s="1157" t="s">
        <v>294</v>
      </c>
      <c r="F1" s="1158" t="s">
        <v>295</v>
      </c>
      <c r="G1" s="1157" t="s">
        <v>302</v>
      </c>
      <c r="H1" s="1158" t="s">
        <v>303</v>
      </c>
      <c r="I1" s="1158" t="s">
        <v>296</v>
      </c>
      <c r="J1" s="1158" t="s">
        <v>297</v>
      </c>
      <c r="K1" s="1157" t="s">
        <v>298</v>
      </c>
      <c r="L1" s="1157" t="s">
        <v>299</v>
      </c>
      <c r="M1" s="1159" t="s">
        <v>300</v>
      </c>
    </row>
    <row r="2" spans="1:13">
      <c r="A2" s="1161" t="s">
        <v>301</v>
      </c>
      <c r="B2" s="1162">
        <v>1</v>
      </c>
      <c r="C2" s="1162">
        <v>5</v>
      </c>
      <c r="D2" s="1163">
        <v>2021</v>
      </c>
      <c r="E2" s="1164">
        <f>(IF('Daily HLP'!I4&gt;0,'Daily HLP'!I4,0))</f>
        <v>15988</v>
      </c>
      <c r="F2" s="1165">
        <v>9</v>
      </c>
      <c r="G2" s="1165">
        <f>(IF('Daily HLP'!M4&gt;0,'Daily HLP'!M4,0))</f>
        <v>334</v>
      </c>
      <c r="H2" s="1165">
        <v>51.5</v>
      </c>
      <c r="I2" s="1165">
        <f>(IF('Daily HLP'!P4&gt;0,'Daily HLP'!P4,0))</f>
        <v>136</v>
      </c>
      <c r="J2" s="1165">
        <v>100</v>
      </c>
      <c r="K2" s="1240">
        <f>Occupancy!G2</f>
        <v>86</v>
      </c>
      <c r="L2" s="1164">
        <f>Occupancy!F2</f>
        <v>140</v>
      </c>
      <c r="M2" s="1166" t="e">
        <f>E2*F2+G2*H2+#REF!*#REF!+I2*J2</f>
        <v>#REF!</v>
      </c>
    </row>
    <row r="3" spans="1:13">
      <c r="A3" s="1161" t="s">
        <v>301</v>
      </c>
      <c r="B3" s="1162">
        <f>B2+1</f>
        <v>2</v>
      </c>
      <c r="C3" s="1162">
        <v>5</v>
      </c>
      <c r="D3" s="1163">
        <v>2021</v>
      </c>
      <c r="E3" s="1164">
        <f>(IF('Daily HLP'!I5&gt;0,'Daily HLP'!I5,0))</f>
        <v>15961</v>
      </c>
      <c r="F3" s="1165">
        <v>9</v>
      </c>
      <c r="G3" s="1165">
        <f>(IF('Daily HLP'!M5&gt;0,'Daily HLP'!M5,0))</f>
        <v>445</v>
      </c>
      <c r="H3" s="1165">
        <v>51.5</v>
      </c>
      <c r="I3" s="1165">
        <f>(IF('Daily HLP'!P5&gt;0,'Daily HLP'!P5,0))</f>
        <v>111</v>
      </c>
      <c r="J3" s="1165">
        <v>100</v>
      </c>
      <c r="K3" s="1240">
        <f>Occupancy!G3</f>
        <v>59</v>
      </c>
      <c r="L3" s="1164">
        <f>Occupancy!F3</f>
        <v>83</v>
      </c>
      <c r="M3" s="1166" t="e">
        <f>E3*F3+G3*H3+#REF!*#REF!+I3*J3</f>
        <v>#REF!</v>
      </c>
    </row>
    <row r="4" spans="1:13">
      <c r="A4" s="1161" t="s">
        <v>301</v>
      </c>
      <c r="B4" s="1162">
        <f t="shared" ref="B4:B32" si="0">B3+1</f>
        <v>3</v>
      </c>
      <c r="C4" s="1162">
        <v>5</v>
      </c>
      <c r="D4" s="1163">
        <v>2021</v>
      </c>
      <c r="E4" s="1164">
        <f>(IF('Daily HLP'!I6&gt;0,'Daily HLP'!I6,0))</f>
        <v>16029</v>
      </c>
      <c r="F4" s="1165">
        <v>9</v>
      </c>
      <c r="G4" s="1165">
        <f>(IF('Daily HLP'!M6&gt;0,'Daily HLP'!M6,0))</f>
        <v>438</v>
      </c>
      <c r="H4" s="1165">
        <v>51.5</v>
      </c>
      <c r="I4" s="1165">
        <f>(IF('Daily HLP'!P6&gt;0,'Daily HLP'!P6,0))</f>
        <v>116</v>
      </c>
      <c r="J4" s="1165">
        <v>100</v>
      </c>
      <c r="K4" s="1240">
        <f>Occupancy!G4</f>
        <v>53</v>
      </c>
      <c r="L4" s="1164">
        <f>Occupancy!F4</f>
        <v>49</v>
      </c>
      <c r="M4" s="1166" t="e">
        <f>E4*F4+G4*H4+#REF!*#REF!+I4*J4</f>
        <v>#REF!</v>
      </c>
    </row>
    <row r="5" spans="1:13">
      <c r="A5" s="1161" t="s">
        <v>301</v>
      </c>
      <c r="B5" s="1162">
        <f t="shared" si="0"/>
        <v>4</v>
      </c>
      <c r="C5" s="1162">
        <v>5</v>
      </c>
      <c r="D5" s="1163">
        <v>2021</v>
      </c>
      <c r="E5" s="1164">
        <f>(IF('Daily HLP'!I7&gt;0,'Daily HLP'!I7,0))</f>
        <v>16163</v>
      </c>
      <c r="F5" s="1165">
        <v>9</v>
      </c>
      <c r="G5" s="1165">
        <f>(IF('Daily HLP'!M7&gt;0,'Daily HLP'!M7,0))</f>
        <v>584</v>
      </c>
      <c r="H5" s="1165">
        <v>51.5</v>
      </c>
      <c r="I5" s="1165">
        <f>(IF('Daily HLP'!P7&gt;0,'Daily HLP'!P7,0))</f>
        <v>107</v>
      </c>
      <c r="J5" s="1165">
        <v>100</v>
      </c>
      <c r="K5" s="1240">
        <f>Occupancy!G5</f>
        <v>62</v>
      </c>
      <c r="L5" s="1164">
        <f>Occupancy!F5</f>
        <v>81</v>
      </c>
      <c r="M5" s="1166" t="e">
        <f>E5*F5+G5*H5+#REF!*#REF!+I5*J5</f>
        <v>#REF!</v>
      </c>
    </row>
    <row r="6" spans="1:13">
      <c r="A6" s="1161" t="s">
        <v>301</v>
      </c>
      <c r="B6" s="1162">
        <f t="shared" si="0"/>
        <v>5</v>
      </c>
      <c r="C6" s="1162">
        <v>5</v>
      </c>
      <c r="D6" s="1163">
        <v>2021</v>
      </c>
      <c r="E6" s="1164">
        <f>(IF('Daily HLP'!I8&gt;0,'Daily HLP'!I8,0))</f>
        <v>15754</v>
      </c>
      <c r="F6" s="1165">
        <v>9</v>
      </c>
      <c r="G6" s="1165">
        <f>(IF('Daily HLP'!M8&gt;0,'Daily HLP'!M8,0))</f>
        <v>287</v>
      </c>
      <c r="H6" s="1165">
        <v>51.5</v>
      </c>
      <c r="I6" s="1165">
        <f>(IF('Daily HLP'!P8&gt;0,'Daily HLP'!P8,0))</f>
        <v>113</v>
      </c>
      <c r="J6" s="1165">
        <v>100</v>
      </c>
      <c r="K6" s="1240">
        <f>Occupancy!G6</f>
        <v>48</v>
      </c>
      <c r="L6" s="1164">
        <f>Occupancy!F6</f>
        <v>64</v>
      </c>
      <c r="M6" s="1166" t="e">
        <f>E6*F6+G6*H6+#REF!*#REF!+I6*J6</f>
        <v>#REF!</v>
      </c>
    </row>
    <row r="7" spans="1:13">
      <c r="A7" s="1161" t="s">
        <v>301</v>
      </c>
      <c r="B7" s="1162">
        <f t="shared" si="0"/>
        <v>6</v>
      </c>
      <c r="C7" s="1162">
        <v>5</v>
      </c>
      <c r="D7" s="1163">
        <v>2021</v>
      </c>
      <c r="E7" s="1164">
        <f>(IF('Daily HLP'!I9&gt;0,'Daily HLP'!I9,0))</f>
        <v>15577</v>
      </c>
      <c r="F7" s="1165">
        <v>9</v>
      </c>
      <c r="G7" s="1165">
        <f>(IF('Daily HLP'!M9&gt;0,'Daily HLP'!M9,0))</f>
        <v>477</v>
      </c>
      <c r="H7" s="1165">
        <v>51.5</v>
      </c>
      <c r="I7" s="1165">
        <f>(IF('Daily HLP'!P9&gt;0,'Daily HLP'!P9,0))</f>
        <v>56</v>
      </c>
      <c r="J7" s="1165">
        <v>100</v>
      </c>
      <c r="K7" s="1240">
        <f>Occupancy!G7</f>
        <v>47</v>
      </c>
      <c r="L7" s="1164">
        <f>Occupancy!F7</f>
        <v>41</v>
      </c>
      <c r="M7" s="1166" t="e">
        <f>E7*F7+G7*H7+#REF!*#REF!+I7*J7</f>
        <v>#REF!</v>
      </c>
    </row>
    <row r="8" spans="1:13">
      <c r="A8" s="1161" t="s">
        <v>301</v>
      </c>
      <c r="B8" s="1162">
        <f t="shared" si="0"/>
        <v>7</v>
      </c>
      <c r="C8" s="1162">
        <v>5</v>
      </c>
      <c r="D8" s="1163">
        <v>2021</v>
      </c>
      <c r="E8" s="1164">
        <f>(IF('Daily HLP'!I10&gt;0,'Daily HLP'!I10,0))</f>
        <v>14931</v>
      </c>
      <c r="F8" s="1165">
        <v>9</v>
      </c>
      <c r="G8" s="1165">
        <f>(IF('Daily HLP'!M10&gt;0,'Daily HLP'!M10,0))</f>
        <v>348</v>
      </c>
      <c r="H8" s="1165">
        <v>51.5</v>
      </c>
      <c r="I8" s="1165">
        <f>(IF('Daily HLP'!P10&gt;0,'Daily HLP'!P10,0))</f>
        <v>56</v>
      </c>
      <c r="J8" s="1165">
        <v>100</v>
      </c>
      <c r="K8" s="1240">
        <f>Occupancy!G8</f>
        <v>57</v>
      </c>
      <c r="L8" s="1164">
        <f>Occupancy!F8</f>
        <v>71</v>
      </c>
      <c r="M8" s="1166" t="e">
        <f>E8*F8+G8*H8+#REF!*#REF!+I8*J8</f>
        <v>#REF!</v>
      </c>
    </row>
    <row r="9" spans="1:13">
      <c r="A9" s="1161" t="s">
        <v>301</v>
      </c>
      <c r="B9" s="1162">
        <f t="shared" si="0"/>
        <v>8</v>
      </c>
      <c r="C9" s="1162">
        <v>5</v>
      </c>
      <c r="D9" s="1163">
        <v>2021</v>
      </c>
      <c r="E9" s="1164">
        <f>(IF('Daily HLP'!I11&gt;0,'Daily HLP'!I11,0))</f>
        <v>19453</v>
      </c>
      <c r="F9" s="1165">
        <v>9</v>
      </c>
      <c r="G9" s="1165">
        <f>(IF('Daily HLP'!M11&gt;0,'Daily HLP'!M11,0))</f>
        <v>613.47999999998137</v>
      </c>
      <c r="H9" s="1165">
        <v>51.5</v>
      </c>
      <c r="I9" s="1165">
        <f>(IF('Daily HLP'!P11&gt;0,'Daily HLP'!P11,0))</f>
        <v>115</v>
      </c>
      <c r="J9" s="1165">
        <v>100</v>
      </c>
      <c r="K9" s="1240">
        <f>Occupancy!G9</f>
        <v>83</v>
      </c>
      <c r="L9" s="1164">
        <f>Occupancy!F9</f>
        <v>282</v>
      </c>
      <c r="M9" s="1166" t="e">
        <f>E9*F9+G9*H9+#REF!*#REF!+I9*J9</f>
        <v>#REF!</v>
      </c>
    </row>
    <row r="10" spans="1:13">
      <c r="A10" s="1161" t="s">
        <v>301</v>
      </c>
      <c r="B10" s="1162">
        <f t="shared" si="0"/>
        <v>9</v>
      </c>
      <c r="C10" s="1162">
        <v>5</v>
      </c>
      <c r="D10" s="1163">
        <v>2021</v>
      </c>
      <c r="E10" s="1164">
        <f>(IF('Daily HLP'!I12&gt;0,'Daily HLP'!I12,0))</f>
        <v>15329</v>
      </c>
      <c r="F10" s="1165">
        <v>9</v>
      </c>
      <c r="G10" s="1165">
        <f>(IF('Daily HLP'!M12&gt;0,'Daily HLP'!M12,0))</f>
        <v>523.52000000001863</v>
      </c>
      <c r="H10" s="1165">
        <v>51.5</v>
      </c>
      <c r="I10" s="1165">
        <f>(IF('Daily HLP'!P12&gt;0,'Daily HLP'!P12,0))</f>
        <v>95</v>
      </c>
      <c r="J10" s="1165">
        <v>100</v>
      </c>
      <c r="K10" s="1240">
        <f>Occupancy!G10</f>
        <v>56</v>
      </c>
      <c r="L10" s="1164">
        <f>Occupancy!F10</f>
        <v>189</v>
      </c>
      <c r="M10" s="1166" t="e">
        <f>E10*F10+G10*H10+#REF!*#REF!+I10*J10</f>
        <v>#REF!</v>
      </c>
    </row>
    <row r="11" spans="1:13">
      <c r="A11" s="1161" t="s">
        <v>301</v>
      </c>
      <c r="B11" s="1162">
        <f t="shared" si="0"/>
        <v>10</v>
      </c>
      <c r="C11" s="1162">
        <v>5</v>
      </c>
      <c r="D11" s="1163">
        <v>2021</v>
      </c>
      <c r="E11" s="1164">
        <f>(IF('Daily HLP'!I13&gt;0,'Daily HLP'!I13,0))</f>
        <v>15144</v>
      </c>
      <c r="F11" s="1165">
        <v>9</v>
      </c>
      <c r="G11" s="1165">
        <f>(IF('Daily HLP'!M13&gt;0,'Daily HLP'!M13,0))</f>
        <v>243</v>
      </c>
      <c r="H11" s="1165">
        <v>51.5</v>
      </c>
      <c r="I11" s="1165">
        <f>(IF('Daily HLP'!P13&gt;0,'Daily HLP'!P13,0))</f>
        <v>77</v>
      </c>
      <c r="J11" s="1165">
        <v>100</v>
      </c>
      <c r="K11" s="1240">
        <f>Occupancy!G11</f>
        <v>50</v>
      </c>
      <c r="L11" s="1164">
        <f>Occupancy!F11</f>
        <v>72</v>
      </c>
      <c r="M11" s="1166" t="e">
        <f>E11*F11+G11*H11+#REF!*#REF!+I11*J11</f>
        <v>#REF!</v>
      </c>
    </row>
    <row r="12" spans="1:13">
      <c r="A12" s="1161" t="s">
        <v>301</v>
      </c>
      <c r="B12" s="1162">
        <f t="shared" si="0"/>
        <v>11</v>
      </c>
      <c r="C12" s="1162">
        <v>5</v>
      </c>
      <c r="D12" s="1163">
        <v>2021</v>
      </c>
      <c r="E12" s="1164">
        <f>(IF('Daily HLP'!I14&gt;0,'Daily HLP'!I14,0))</f>
        <v>14482.59</v>
      </c>
      <c r="F12" s="1165">
        <v>9</v>
      </c>
      <c r="G12" s="1165">
        <f>(IF('Daily HLP'!M14&gt;0,'Daily HLP'!M14,0))</f>
        <v>333.68999999994412</v>
      </c>
      <c r="H12" s="1165">
        <v>51.5</v>
      </c>
      <c r="I12" s="1165">
        <f>(IF('Daily HLP'!P14&gt;0,'Daily HLP'!P14,0))</f>
        <v>75</v>
      </c>
      <c r="J12" s="1165">
        <v>100</v>
      </c>
      <c r="K12" s="1240">
        <f>Occupancy!G12</f>
        <v>52</v>
      </c>
      <c r="L12" s="1164">
        <f>Occupancy!F12</f>
        <v>52</v>
      </c>
      <c r="M12" s="1166" t="e">
        <f>E12*F12+G12*H12+#REF!*#REF!+I12*J12</f>
        <v>#REF!</v>
      </c>
    </row>
    <row r="13" spans="1:13">
      <c r="A13" s="1161" t="s">
        <v>301</v>
      </c>
      <c r="B13" s="1162">
        <f t="shared" si="0"/>
        <v>12</v>
      </c>
      <c r="C13" s="1162">
        <v>5</v>
      </c>
      <c r="D13" s="1163">
        <v>2021</v>
      </c>
      <c r="E13" s="1164">
        <f>(IF('Daily HLP'!I15&gt;0,'Daily HLP'!I15,0))</f>
        <v>15169.280000000002</v>
      </c>
      <c r="F13" s="1165">
        <v>9</v>
      </c>
      <c r="G13" s="1165">
        <f>(IF('Daily HLP'!M15&gt;0,'Daily HLP'!M15,0))</f>
        <v>436.43000000016764</v>
      </c>
      <c r="H13" s="1165">
        <v>51.5</v>
      </c>
      <c r="I13" s="1165">
        <f>(IF('Daily HLP'!P15&gt;0,'Daily HLP'!P15,0))</f>
        <v>52</v>
      </c>
      <c r="J13" s="1165">
        <v>100</v>
      </c>
      <c r="K13" s="1240">
        <f>Occupancy!G13</f>
        <v>54</v>
      </c>
      <c r="L13" s="1164">
        <f>Occupancy!F13</f>
        <v>45</v>
      </c>
      <c r="M13" s="1166" t="e">
        <f>E13*F13+G13*H13+#REF!*#REF!+I13*J13</f>
        <v>#REF!</v>
      </c>
    </row>
    <row r="14" spans="1:13">
      <c r="A14" s="1161" t="s">
        <v>301</v>
      </c>
      <c r="B14" s="1162">
        <f t="shared" si="0"/>
        <v>13</v>
      </c>
      <c r="C14" s="1162">
        <v>5</v>
      </c>
      <c r="D14" s="1163">
        <v>2021</v>
      </c>
      <c r="E14" s="1164">
        <f>(IF('Daily HLP'!I16&gt;0,'Daily HLP'!I16,0))</f>
        <v>14565.96</v>
      </c>
      <c r="F14" s="1165">
        <v>9</v>
      </c>
      <c r="G14" s="1165">
        <f>(IF('Daily HLP'!M16&gt;0,'Daily HLP'!M16,0))</f>
        <v>650.87999999988824</v>
      </c>
      <c r="H14" s="1165">
        <v>51.5</v>
      </c>
      <c r="I14" s="1165">
        <f>(IF('Daily HLP'!P16&gt;0,'Daily HLP'!P16,0))</f>
        <v>77</v>
      </c>
      <c r="J14" s="1165">
        <v>100</v>
      </c>
      <c r="K14" s="1240">
        <f>Occupancy!G14</f>
        <v>49</v>
      </c>
      <c r="L14" s="1164">
        <f>Occupancy!F14</f>
        <v>60</v>
      </c>
      <c r="M14" s="1166" t="e">
        <f>E14*F14+G14*H14+#REF!*#REF!+I14*J14</f>
        <v>#REF!</v>
      </c>
    </row>
    <row r="15" spans="1:13">
      <c r="A15" s="1161" t="s">
        <v>301</v>
      </c>
      <c r="B15" s="1162">
        <f t="shared" si="0"/>
        <v>14</v>
      </c>
      <c r="C15" s="1162">
        <v>5</v>
      </c>
      <c r="D15" s="1163">
        <v>2021</v>
      </c>
      <c r="E15" s="1164">
        <f>(IF('Daily HLP'!I17&gt;0,'Daily HLP'!I17,0))</f>
        <v>14303.68</v>
      </c>
      <c r="F15" s="1165">
        <v>9</v>
      </c>
      <c r="G15" s="1165">
        <f>(IF('Daily HLP'!M17&gt;0,'Daily HLP'!M17,0))</f>
        <v>292.58000000007451</v>
      </c>
      <c r="H15" s="1165">
        <v>51.5</v>
      </c>
      <c r="I15" s="1165">
        <f>(IF('Daily HLP'!P17&gt;0,'Daily HLP'!P17,0))</f>
        <v>77</v>
      </c>
      <c r="J15" s="1165">
        <v>100</v>
      </c>
      <c r="K15" s="1240">
        <f>Occupancy!G15</f>
        <v>66</v>
      </c>
      <c r="L15" s="1164">
        <f>Occupancy!F15</f>
        <v>77</v>
      </c>
      <c r="M15" s="1166" t="e">
        <f>E15*F15+G15*H15+#REF!*#REF!+I15*J15</f>
        <v>#REF!</v>
      </c>
    </row>
    <row r="16" spans="1:13">
      <c r="A16" s="1161" t="s">
        <v>301</v>
      </c>
      <c r="B16" s="1162">
        <f t="shared" si="0"/>
        <v>15</v>
      </c>
      <c r="C16" s="1162">
        <v>5</v>
      </c>
      <c r="D16" s="1163">
        <v>2021</v>
      </c>
      <c r="E16" s="1164">
        <f>(IF('Daily HLP'!I18&gt;0,'Daily HLP'!I18,0))</f>
        <v>17032.489999999998</v>
      </c>
      <c r="F16" s="1165">
        <v>9</v>
      </c>
      <c r="G16" s="1165">
        <f>(IF('Daily HLP'!M18&gt;0,'Daily HLP'!M18,0))</f>
        <v>437.41999999992549</v>
      </c>
      <c r="H16" s="1165">
        <v>51.5</v>
      </c>
      <c r="I16" s="1165">
        <f>(IF('Daily HLP'!P18&gt;0,'Daily HLP'!P18,0))</f>
        <v>116</v>
      </c>
      <c r="J16" s="1165">
        <v>100</v>
      </c>
      <c r="K16" s="1240">
        <f>Occupancy!G16</f>
        <v>107</v>
      </c>
      <c r="L16" s="1164">
        <f>Occupancy!F16</f>
        <v>173</v>
      </c>
      <c r="M16" s="1166" t="e">
        <f>E16*F16+G16*H16+#REF!*#REF!+I16*J16</f>
        <v>#REF!</v>
      </c>
    </row>
    <row r="17" spans="1:13">
      <c r="A17" s="1161" t="s">
        <v>301</v>
      </c>
      <c r="B17" s="1162">
        <f t="shared" si="0"/>
        <v>16</v>
      </c>
      <c r="C17" s="1162">
        <v>5</v>
      </c>
      <c r="D17" s="1163">
        <v>2021</v>
      </c>
      <c r="E17" s="1164">
        <f>(IF('Daily HLP'!I19&gt;0,'Daily HLP'!I19,0))</f>
        <v>15022</v>
      </c>
      <c r="F17" s="1165">
        <v>9</v>
      </c>
      <c r="G17" s="1165">
        <f>(IF('Daily HLP'!M19&gt;0,'Daily HLP'!M19,0))</f>
        <v>317</v>
      </c>
      <c r="H17" s="1165">
        <v>51.5</v>
      </c>
      <c r="I17" s="1165">
        <f>(IF('Daily HLP'!P19&gt;0,'Daily HLP'!P19,0))</f>
        <v>117</v>
      </c>
      <c r="J17" s="1165">
        <v>100</v>
      </c>
      <c r="K17" s="1240">
        <f>Occupancy!G17</f>
        <v>74</v>
      </c>
      <c r="L17" s="1164">
        <f>Occupancy!F17</f>
        <v>115</v>
      </c>
      <c r="M17" s="1166" t="e">
        <f>E17*F17+G17*H17+#REF!*#REF!+I17*J17</f>
        <v>#REF!</v>
      </c>
    </row>
    <row r="18" spans="1:13">
      <c r="A18" s="1161" t="s">
        <v>301</v>
      </c>
      <c r="B18" s="1162">
        <f t="shared" si="0"/>
        <v>17</v>
      </c>
      <c r="C18" s="1162">
        <v>5</v>
      </c>
      <c r="D18" s="1163">
        <v>2021</v>
      </c>
      <c r="E18" s="1164">
        <f>(IF('Daily HLP'!I20&gt;0,'Daily HLP'!I20,0))</f>
        <v>14872</v>
      </c>
      <c r="F18" s="1165">
        <v>9</v>
      </c>
      <c r="G18" s="1165">
        <f>(IF('Daily HLP'!M20&gt;0,'Daily HLP'!M20,0))</f>
        <v>562</v>
      </c>
      <c r="H18" s="1165">
        <v>51.5</v>
      </c>
      <c r="I18" s="1165">
        <f>(IF('Daily HLP'!P20&gt;0,'Daily HLP'!P20,0))</f>
        <v>76</v>
      </c>
      <c r="J18" s="1165">
        <v>100</v>
      </c>
      <c r="K18" s="1240">
        <f>Occupancy!G18</f>
        <v>67</v>
      </c>
      <c r="L18" s="1164">
        <f>Occupancy!F18</f>
        <v>75</v>
      </c>
      <c r="M18" s="1166" t="e">
        <f>E18*F18+G18*H18+#REF!*#REF!+I18*J18</f>
        <v>#REF!</v>
      </c>
    </row>
    <row r="19" spans="1:13">
      <c r="A19" s="1161" t="s">
        <v>301</v>
      </c>
      <c r="B19" s="1162">
        <f t="shared" si="0"/>
        <v>18</v>
      </c>
      <c r="C19" s="1162">
        <v>5</v>
      </c>
      <c r="D19" s="1163">
        <v>2021</v>
      </c>
      <c r="E19" s="1164">
        <f>(IF('Daily HLP'!I21&gt;0,'Daily HLP'!I21,0))</f>
        <v>15342</v>
      </c>
      <c r="F19" s="1165">
        <v>9</v>
      </c>
      <c r="G19" s="1165">
        <f>(IF('Daily HLP'!M21&gt;0,'Daily HLP'!M21,0))</f>
        <v>400</v>
      </c>
      <c r="H19" s="1165">
        <v>51.5</v>
      </c>
      <c r="I19" s="1165">
        <f>(IF('Daily HLP'!P21&gt;0,'Daily HLP'!P21,0))</f>
        <v>105</v>
      </c>
      <c r="J19" s="1165">
        <v>100</v>
      </c>
      <c r="K19" s="1240">
        <f>Occupancy!G19</f>
        <v>53</v>
      </c>
      <c r="L19" s="1164">
        <f>Occupancy!F19</f>
        <v>64</v>
      </c>
      <c r="M19" s="1166" t="e">
        <f>E19*F19+G19*H19+#REF!*#REF!+I19*J19</f>
        <v>#REF!</v>
      </c>
    </row>
    <row r="20" spans="1:13">
      <c r="A20" s="1161" t="s">
        <v>301</v>
      </c>
      <c r="B20" s="1162">
        <f t="shared" si="0"/>
        <v>19</v>
      </c>
      <c r="C20" s="1162">
        <v>5</v>
      </c>
      <c r="D20" s="1163">
        <v>2021</v>
      </c>
      <c r="E20" s="1164">
        <f>(IF('Daily HLP'!I22&gt;0,'Daily HLP'!I22,0))</f>
        <v>5388415</v>
      </c>
      <c r="F20" s="1165">
        <v>9</v>
      </c>
      <c r="G20" s="1165">
        <f>(IF('Daily HLP'!M22&gt;0,'Daily HLP'!M22,0))</f>
        <v>0</v>
      </c>
      <c r="H20" s="1165">
        <v>51.5</v>
      </c>
      <c r="I20" s="1165">
        <f>(IF('Daily HLP'!P22&gt;0,'Daily HLP'!P22,0))</f>
        <v>0</v>
      </c>
      <c r="J20" s="1165">
        <v>100</v>
      </c>
      <c r="K20" s="1240">
        <f>Occupancy!G20</f>
        <v>0</v>
      </c>
      <c r="L20" s="1164">
        <f>Occupancy!F20</f>
        <v>0</v>
      </c>
      <c r="M20" s="1166" t="e">
        <f>E20*F20+G20*H20+#REF!*#REF!+I20*J20</f>
        <v>#REF!</v>
      </c>
    </row>
    <row r="21" spans="1:13">
      <c r="A21" s="1161" t="s">
        <v>301</v>
      </c>
      <c r="B21" s="1162">
        <f t="shared" si="0"/>
        <v>20</v>
      </c>
      <c r="C21" s="1162">
        <v>5</v>
      </c>
      <c r="D21" s="1163">
        <v>2021</v>
      </c>
      <c r="E21" s="1164">
        <f>(IF('Daily HLP'!I23&gt;0,'Daily HLP'!I23,0))</f>
        <v>20160</v>
      </c>
      <c r="F21" s="1165">
        <v>9</v>
      </c>
      <c r="G21" s="1165">
        <f>(IF('Daily HLP'!M23&gt;0,'Daily HLP'!M23,0))</f>
        <v>772</v>
      </c>
      <c r="H21" s="1165">
        <v>51.5</v>
      </c>
      <c r="I21" s="1165">
        <f>(IF('Daily HLP'!P23&gt;0,'Daily HLP'!P23,0))</f>
        <v>141</v>
      </c>
      <c r="J21" s="1165">
        <v>100</v>
      </c>
      <c r="K21" s="1240">
        <f>Occupancy!G21</f>
        <v>0</v>
      </c>
      <c r="L21" s="1164">
        <f>Occupancy!F21</f>
        <v>0</v>
      </c>
      <c r="M21" s="1166" t="e">
        <f>E21*F21+G21*H21+#REF!*#REF!+I21*J21</f>
        <v>#REF!</v>
      </c>
    </row>
    <row r="22" spans="1:13">
      <c r="A22" s="1161" t="s">
        <v>301</v>
      </c>
      <c r="B22" s="1162">
        <f t="shared" si="0"/>
        <v>21</v>
      </c>
      <c r="C22" s="1162">
        <v>5</v>
      </c>
      <c r="D22" s="1163">
        <v>2021</v>
      </c>
      <c r="E22" s="1164">
        <f>(IF('Daily HLP'!I24&gt;0,'Daily HLP'!I24,0))</f>
        <v>19605</v>
      </c>
      <c r="F22" s="1165">
        <v>9</v>
      </c>
      <c r="G22" s="1165">
        <f>(IF('Daily HLP'!M24&gt;0,'Daily HLP'!M24,0))</f>
        <v>700</v>
      </c>
      <c r="H22" s="1165">
        <v>51.5</v>
      </c>
      <c r="I22" s="1165">
        <f>(IF('Daily HLP'!P24&gt;0,'Daily HLP'!P24,0))</f>
        <v>158</v>
      </c>
      <c r="J22" s="1165">
        <v>100</v>
      </c>
      <c r="K22" s="1240">
        <f>Occupancy!G22</f>
        <v>0</v>
      </c>
      <c r="L22" s="1164">
        <f>Occupancy!F22</f>
        <v>0</v>
      </c>
      <c r="M22" s="1166" t="e">
        <f>E22*F22+G22*H22+#REF!*#REF!+I22*J22</f>
        <v>#REF!</v>
      </c>
    </row>
    <row r="23" spans="1:13">
      <c r="A23" s="1161" t="s">
        <v>301</v>
      </c>
      <c r="B23" s="1162">
        <f t="shared" si="0"/>
        <v>22</v>
      </c>
      <c r="C23" s="1162">
        <v>5</v>
      </c>
      <c r="D23" s="1163">
        <v>2021</v>
      </c>
      <c r="E23" s="1164">
        <f>(IF('Daily HLP'!I25&gt;0,'Daily HLP'!I25,0))</f>
        <v>19762</v>
      </c>
      <c r="F23" s="1165">
        <v>9</v>
      </c>
      <c r="G23" s="1165">
        <f>(IF('Daily HLP'!M25&gt;0,'Daily HLP'!M25,0))</f>
        <v>767</v>
      </c>
      <c r="H23" s="1165">
        <v>51.5</v>
      </c>
      <c r="I23" s="1165">
        <f>(IF('Daily HLP'!P25&gt;0,'Daily HLP'!P25,0))</f>
        <v>159</v>
      </c>
      <c r="J23" s="1165">
        <v>100</v>
      </c>
      <c r="K23" s="1240">
        <f>Occupancy!G23</f>
        <v>0</v>
      </c>
      <c r="L23" s="1164">
        <f>Occupancy!F23</f>
        <v>0</v>
      </c>
      <c r="M23" s="1166" t="e">
        <f>E23*F23+G23*H23+#REF!*#REF!+I23*J23</f>
        <v>#REF!</v>
      </c>
    </row>
    <row r="24" spans="1:13">
      <c r="A24" s="1161" t="s">
        <v>301</v>
      </c>
      <c r="B24" s="1162">
        <f t="shared" si="0"/>
        <v>23</v>
      </c>
      <c r="C24" s="1162">
        <v>5</v>
      </c>
      <c r="D24" s="1163">
        <v>2021</v>
      </c>
      <c r="E24" s="1164">
        <f>(IF('Daily HLP'!I26&gt;0,'Daily HLP'!I26,0))</f>
        <v>19931</v>
      </c>
      <c r="F24" s="1165">
        <v>9</v>
      </c>
      <c r="G24" s="1165">
        <f>(IF('Daily HLP'!M26&gt;0,'Daily HLP'!M26,0))</f>
        <v>824.37599999993108</v>
      </c>
      <c r="H24" s="1165">
        <v>51.5</v>
      </c>
      <c r="I24" s="1165">
        <f>(IF('Daily HLP'!P26&gt;0,'Daily HLP'!P26,0))</f>
        <v>138</v>
      </c>
      <c r="J24" s="1165">
        <v>100</v>
      </c>
      <c r="K24" s="1240">
        <f>Occupancy!G24</f>
        <v>0</v>
      </c>
      <c r="L24" s="1164">
        <f>Occupancy!F24</f>
        <v>0</v>
      </c>
      <c r="M24" s="1166" t="e">
        <f>E24*F24+G24*H24+#REF!*#REF!+I24*J24</f>
        <v>#REF!</v>
      </c>
    </row>
    <row r="25" spans="1:13">
      <c r="A25" s="1161" t="s">
        <v>301</v>
      </c>
      <c r="B25" s="1162">
        <f t="shared" si="0"/>
        <v>24</v>
      </c>
      <c r="C25" s="1162">
        <v>5</v>
      </c>
      <c r="D25" s="1163">
        <v>2021</v>
      </c>
      <c r="E25" s="1164">
        <f>(IF('Daily HLP'!I27&gt;0,'Daily HLP'!I27,0))</f>
        <v>19964</v>
      </c>
      <c r="F25" s="1165">
        <v>9</v>
      </c>
      <c r="G25" s="1165">
        <f>(IF('Daily HLP'!M27&gt;0,'Daily HLP'!M27,0))</f>
        <v>817.29200000013225</v>
      </c>
      <c r="H25" s="1165">
        <v>51.5</v>
      </c>
      <c r="I25" s="1165">
        <f>(IF('Daily HLP'!P27&gt;0,'Daily HLP'!P27,0))</f>
        <v>194</v>
      </c>
      <c r="J25" s="1165">
        <v>100</v>
      </c>
      <c r="K25" s="1240">
        <f>Occupancy!G25</f>
        <v>0</v>
      </c>
      <c r="L25" s="1164">
        <f>Occupancy!F25</f>
        <v>0</v>
      </c>
      <c r="M25" s="1166" t="e">
        <f>E25*F25+G25*H25+#REF!*#REF!+I25*J25</f>
        <v>#REF!</v>
      </c>
    </row>
    <row r="26" spans="1:13">
      <c r="A26" s="1161" t="s">
        <v>301</v>
      </c>
      <c r="B26" s="1162">
        <f>B25+1</f>
        <v>25</v>
      </c>
      <c r="C26" s="1162">
        <v>5</v>
      </c>
      <c r="D26" s="1163">
        <v>2021</v>
      </c>
      <c r="E26" s="1164">
        <f>(IF('Daily HLP'!I28&gt;0,'Daily HLP'!I28,0))</f>
        <v>22296</v>
      </c>
      <c r="F26" s="1165">
        <v>9</v>
      </c>
      <c r="G26" s="1165">
        <f>(IF('Daily HLP'!M28&gt;0,'Daily HLP'!M28,0))</f>
        <v>698.87399999983609</v>
      </c>
      <c r="H26" s="1165">
        <v>51.5</v>
      </c>
      <c r="I26" s="1165">
        <f>(IF('Daily HLP'!P28&gt;0,'Daily HLP'!P28,0))</f>
        <v>133</v>
      </c>
      <c r="J26" s="1165">
        <v>100</v>
      </c>
      <c r="K26" s="1240">
        <f>Occupancy!G26</f>
        <v>0</v>
      </c>
      <c r="L26" s="1164">
        <f>Occupancy!F26</f>
        <v>0</v>
      </c>
      <c r="M26" s="1166" t="e">
        <f>E26*F26+G26*H26+#REF!*#REF!+I26*J26</f>
        <v>#REF!</v>
      </c>
    </row>
    <row r="27" spans="1:13">
      <c r="A27" s="1161" t="s">
        <v>301</v>
      </c>
      <c r="B27" s="1162">
        <f t="shared" si="0"/>
        <v>26</v>
      </c>
      <c r="C27" s="1162">
        <v>5</v>
      </c>
      <c r="D27" s="1163">
        <v>2021</v>
      </c>
      <c r="E27" s="1164">
        <f>(IF('Daily HLP'!I29&gt;0,'Daily HLP'!I29,0))</f>
        <v>20533</v>
      </c>
      <c r="F27" s="1165">
        <v>9</v>
      </c>
      <c r="G27" s="1165">
        <f>(IF('Daily HLP'!M29&gt;0,'Daily HLP'!M29,0))</f>
        <v>688.53800000017509</v>
      </c>
      <c r="H27" s="1165">
        <v>51.5</v>
      </c>
      <c r="I27" s="1165">
        <f>(IF('Daily HLP'!P29&gt;0,'Daily HLP'!P29,0))</f>
        <v>159</v>
      </c>
      <c r="J27" s="1165">
        <v>100</v>
      </c>
      <c r="K27" s="1240">
        <f>Occupancy!G27</f>
        <v>0</v>
      </c>
      <c r="L27" s="1164">
        <f>Occupancy!F27</f>
        <v>0</v>
      </c>
      <c r="M27" s="1166" t="e">
        <f>E27*F27+G27*H27+#REF!*#REF!+I27*J27</f>
        <v>#REF!</v>
      </c>
    </row>
    <row r="28" spans="1:13">
      <c r="A28" s="1161" t="s">
        <v>301</v>
      </c>
      <c r="B28" s="1162">
        <f t="shared" si="0"/>
        <v>27</v>
      </c>
      <c r="C28" s="1162">
        <v>5</v>
      </c>
      <c r="D28" s="1163">
        <v>2021</v>
      </c>
      <c r="E28" s="1164">
        <f>(IF('Daily HLP'!I30&gt;0,'Daily HLP'!I30,0))</f>
        <v>17995</v>
      </c>
      <c r="F28" s="1165">
        <v>9</v>
      </c>
      <c r="G28" s="1165">
        <f>(IF('Daily HLP'!M30&gt;0,'Daily HLP'!M30,0))</f>
        <v>627.37899999995716</v>
      </c>
      <c r="H28" s="1165">
        <v>51.5</v>
      </c>
      <c r="I28" s="1165">
        <f>(IF('Daily HLP'!P30&gt;0,'Daily HLP'!P30,0))</f>
        <v>112</v>
      </c>
      <c r="J28" s="1165">
        <v>100</v>
      </c>
      <c r="K28" s="1240">
        <f>Occupancy!G28</f>
        <v>0</v>
      </c>
      <c r="L28" s="1164">
        <f>Occupancy!F28</f>
        <v>0</v>
      </c>
      <c r="M28" s="1166" t="e">
        <f>E28*F28+G28*H28+#REF!*#REF!+I28*J28</f>
        <v>#REF!</v>
      </c>
    </row>
    <row r="29" spans="1:13">
      <c r="A29" s="1161" t="s">
        <v>301</v>
      </c>
      <c r="B29" s="1162">
        <f t="shared" si="0"/>
        <v>28</v>
      </c>
      <c r="C29" s="1162">
        <v>5</v>
      </c>
      <c r="D29" s="1163">
        <v>2021</v>
      </c>
      <c r="E29" s="1164">
        <f>(IF('Daily HLP'!I31&gt;0,'Daily HLP'!I31,0))</f>
        <v>17985</v>
      </c>
      <c r="F29" s="1165">
        <v>9</v>
      </c>
      <c r="G29" s="1165">
        <f>(IF('Daily HLP'!M31&gt;0,'Daily HLP'!M31,0))</f>
        <v>461.80099999997765</v>
      </c>
      <c r="H29" s="1165">
        <v>51.5</v>
      </c>
      <c r="I29" s="1165">
        <f>(IF('Daily HLP'!P31&gt;0,'Daily HLP'!P31,0))</f>
        <v>116</v>
      </c>
      <c r="J29" s="1165">
        <v>100</v>
      </c>
      <c r="K29" s="1240">
        <f>Occupancy!G29</f>
        <v>0</v>
      </c>
      <c r="L29" s="1164">
        <f>Occupancy!F29</f>
        <v>0</v>
      </c>
      <c r="M29" s="1166" t="e">
        <f>E29*F29+G29*H29+#REF!*#REF!+I29*J29</f>
        <v>#REF!</v>
      </c>
    </row>
    <row r="30" spans="1:13">
      <c r="A30" s="1161" t="s">
        <v>301</v>
      </c>
      <c r="B30" s="1162">
        <f t="shared" si="0"/>
        <v>29</v>
      </c>
      <c r="C30" s="1162">
        <v>5</v>
      </c>
      <c r="D30" s="1163">
        <v>2021</v>
      </c>
      <c r="E30" s="1164">
        <f>(IF('Daily HLP'!I32&gt;0,'Daily HLP'!I32,0))</f>
        <v>15953</v>
      </c>
      <c r="F30" s="1165">
        <v>9</v>
      </c>
      <c r="G30" s="1165">
        <f>(IF('Daily HLP'!M32&gt;0,'Daily HLP'!M32,0))</f>
        <v>643.03000000002794</v>
      </c>
      <c r="H30" s="1165">
        <v>51.5</v>
      </c>
      <c r="I30" s="1165">
        <f>(IF('Daily HLP'!P32&gt;0,'Daily HLP'!P32,0))</f>
        <v>75</v>
      </c>
      <c r="J30" s="1165">
        <v>100</v>
      </c>
      <c r="K30" s="1240">
        <f>Occupancy!G30</f>
        <v>0</v>
      </c>
      <c r="L30" s="1164">
        <f>Occupancy!F30</f>
        <v>0</v>
      </c>
      <c r="M30" s="1166" t="e">
        <f>E30*F30+G30*H30+#REF!*#REF!+I30*J30</f>
        <v>#REF!</v>
      </c>
    </row>
    <row r="31" spans="1:13">
      <c r="A31" s="1161" t="s">
        <v>301</v>
      </c>
      <c r="B31" s="1162">
        <f t="shared" si="0"/>
        <v>30</v>
      </c>
      <c r="C31" s="1162">
        <v>5</v>
      </c>
      <c r="D31" s="1163">
        <v>2021</v>
      </c>
      <c r="E31" s="1164">
        <f>(IF('Daily HLP'!I33&gt;0,'Daily HLP'!I33,0))</f>
        <v>18738</v>
      </c>
      <c r="F31" s="1165">
        <v>9</v>
      </c>
      <c r="G31" s="1165">
        <f>(IF('Daily HLP'!M33&gt;0,'Daily HLP'!M33,0))</f>
        <v>476.70999999996275</v>
      </c>
      <c r="H31" s="1165">
        <v>51.5</v>
      </c>
      <c r="I31" s="1165">
        <f>(IF('Daily HLP'!P33&gt;0,'Daily HLP'!P33,0))</f>
        <v>114</v>
      </c>
      <c r="J31" s="1165">
        <v>100</v>
      </c>
      <c r="K31" s="1240">
        <f>Occupancy!G31</f>
        <v>0</v>
      </c>
      <c r="L31" s="1164">
        <f>Occupancy!F31</f>
        <v>0</v>
      </c>
      <c r="M31" s="1166" t="e">
        <f>E31*F31+G31*H31+#REF!*#REF!+I31*J31</f>
        <v>#REF!</v>
      </c>
    </row>
    <row r="32" spans="1:13" s="1164" customFormat="1">
      <c r="A32" s="1161" t="s">
        <v>301</v>
      </c>
      <c r="B32" s="1162">
        <f t="shared" si="0"/>
        <v>31</v>
      </c>
      <c r="C32" s="1162">
        <v>5</v>
      </c>
      <c r="D32" s="1163">
        <v>2021</v>
      </c>
      <c r="E32" s="1164">
        <f>(IF('Daily HLP'!I34&gt;0,'Daily HLP'!I34,0))</f>
        <v>0</v>
      </c>
      <c r="F32" s="1165">
        <v>10</v>
      </c>
      <c r="G32" s="1165">
        <f>(IF('Daily HLP'!M34&gt;0,'Daily HLP'!M34,0))</f>
        <v>0</v>
      </c>
      <c r="H32" s="1165">
        <v>52.5</v>
      </c>
      <c r="I32" s="1165">
        <f>(IF('Daily HLP'!P34&gt;0,'Daily HLP'!P34,0))</f>
        <v>0</v>
      </c>
      <c r="J32" s="1165">
        <v>101</v>
      </c>
      <c r="K32" s="1240">
        <f>Occupancy!G32</f>
        <v>0</v>
      </c>
      <c r="L32" s="1164">
        <f>Occupancy!F32</f>
        <v>0</v>
      </c>
      <c r="M32" s="1167"/>
    </row>
    <row r="33" spans="1:13" s="1164" customFormat="1">
      <c r="A33" s="1168"/>
      <c r="B33" s="1162"/>
      <c r="C33" s="1162"/>
      <c r="D33" s="1163"/>
      <c r="F33" s="1165"/>
      <c r="G33" s="1165"/>
      <c r="H33" s="1165"/>
      <c r="I33" s="1165"/>
      <c r="J33" s="1165"/>
      <c r="M33" s="1167"/>
    </row>
    <row r="34" spans="1:13" s="1164" customFormat="1">
      <c r="A34" s="1168"/>
      <c r="B34" s="1162"/>
      <c r="C34" s="1162"/>
      <c r="D34" s="1163"/>
      <c r="F34" s="1165"/>
      <c r="G34" s="1165"/>
      <c r="H34" s="1165"/>
      <c r="I34" s="1165"/>
      <c r="J34" s="1165"/>
      <c r="M34" s="1167"/>
    </row>
    <row r="35" spans="1:13" s="1164" customFormat="1">
      <c r="A35" s="1168"/>
      <c r="B35" s="1162"/>
      <c r="C35" s="1162"/>
      <c r="D35" s="1163"/>
      <c r="F35" s="1165"/>
      <c r="G35" s="1165"/>
      <c r="H35" s="1165"/>
      <c r="I35" s="1165"/>
      <c r="J35" s="1165"/>
      <c r="M35" s="1167"/>
    </row>
    <row r="36" spans="1:13" s="1164" customFormat="1">
      <c r="A36" s="1168"/>
      <c r="B36" s="1162"/>
      <c r="C36" s="1162"/>
      <c r="D36" s="1163"/>
      <c r="F36" s="1165"/>
      <c r="G36" s="1165"/>
      <c r="H36" s="1165"/>
      <c r="I36" s="1165"/>
      <c r="J36" s="1165"/>
      <c r="M36" s="1167"/>
    </row>
    <row r="37" spans="1:13" s="1164" customFormat="1">
      <c r="A37" s="1168"/>
      <c r="B37" s="1162"/>
      <c r="C37" s="1162"/>
      <c r="D37" s="1163"/>
      <c r="F37" s="1165"/>
      <c r="G37" s="1165"/>
      <c r="H37" s="1165"/>
      <c r="I37" s="1165"/>
      <c r="J37" s="1165"/>
      <c r="M37" s="1167"/>
    </row>
    <row r="38" spans="1:13" s="1164" customFormat="1">
      <c r="A38" s="1168"/>
      <c r="B38" s="1162"/>
      <c r="C38" s="1162"/>
      <c r="D38" s="1163"/>
      <c r="F38" s="1165"/>
      <c r="G38" s="1165"/>
      <c r="H38" s="1165"/>
      <c r="I38" s="1165"/>
      <c r="J38" s="1165"/>
      <c r="M38" s="116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2" customWidth="1"/>
    <col min="2" max="3" width="9" style="1286" customWidth="1"/>
    <col min="4" max="4" width="10.44140625" style="1286" customWidth="1"/>
    <col min="5" max="29" width="9.77734375" style="1302" customWidth="1"/>
    <col min="30" max="30" width="9" style="1302"/>
    <col min="31" max="31" width="9" style="1303"/>
    <col min="32" max="32" width="9" style="1302"/>
    <col min="33" max="39" width="9" style="1304"/>
    <col min="40" max="40" width="9" style="1380"/>
    <col min="41" max="49" width="9" style="1304"/>
    <col min="50" max="58" width="9" style="1380"/>
    <col min="59" max="65" width="9" style="1304"/>
    <col min="66" max="16384" width="9" style="1285"/>
  </cols>
  <sheetData>
    <row r="1" spans="1:65" s="1282" customFormat="1" ht="60" customHeight="1">
      <c r="A1" s="1280" t="s">
        <v>290</v>
      </c>
      <c r="B1" s="1281" t="s">
        <v>291</v>
      </c>
      <c r="C1" s="1281" t="s">
        <v>292</v>
      </c>
      <c r="D1" s="1281" t="s">
        <v>293</v>
      </c>
      <c r="E1" s="1296" t="str">
        <f>'Section Load'!F4</f>
        <v>HVAC</v>
      </c>
      <c r="F1" s="1296" t="str">
        <f>'Section Load'!G4</f>
        <v>Fire &amp; Emergency PP</v>
      </c>
      <c r="G1" s="1296" t="str">
        <f>'Section Load'!H4</f>
        <v>Main PP</v>
      </c>
      <c r="H1" s="1296" t="str">
        <f>'Section Load'!I4</f>
        <v>Lighting PP</v>
      </c>
      <c r="I1" s="1296" t="str">
        <f>'Section Load'!J4</f>
        <v>CH-1+ CH2+CH3+CH4</v>
      </c>
      <c r="J1" s="1296" t="str">
        <f>'Section Load'!K4</f>
        <v>Chilled water Pump</v>
      </c>
      <c r="K1" s="1296" t="str">
        <f>'Section Load'!L4</f>
        <v>Ball Room-1</v>
      </c>
      <c r="L1" s="1296" t="str">
        <f>'Section Load'!M4</f>
        <v>Ball Room-2</v>
      </c>
      <c r="M1" s="1296" t="str">
        <f>'Section Load'!N4</f>
        <v>MK-1</v>
      </c>
      <c r="N1" s="1296" t="str">
        <f>'Section Load'!O4</f>
        <v>MK-2</v>
      </c>
      <c r="O1" s="1296" t="str">
        <f>'Section Load'!P4</f>
        <v>Prato</v>
      </c>
      <c r="P1" s="1296" t="str">
        <f>'Section Load'!Q4</f>
        <v>San- Qi Indian</v>
      </c>
      <c r="Q1" s="1296" t="str">
        <f>'Section Load'!R4</f>
        <v>San- Qi Japanese</v>
      </c>
      <c r="R1" s="1296" t="str">
        <f>'Section Load'!S4</f>
        <v>The club</v>
      </c>
      <c r="S1" s="1296" t="str">
        <f>'Section Load'!T4</f>
        <v>AER</v>
      </c>
      <c r="T1" s="1296" t="str">
        <f>'Section Load'!U4</f>
        <v>COLD ROOM'S</v>
      </c>
      <c r="U1" s="1296" t="str">
        <f>'Section Load'!V4</f>
        <v>Ball Room 1</v>
      </c>
      <c r="V1" s="1296" t="str">
        <f>'Section Load'!W4</f>
        <v>Ball Room 2</v>
      </c>
      <c r="W1" s="1296" t="str">
        <f>'Section Load'!X4</f>
        <v>B1 Laundry</v>
      </c>
      <c r="X1" s="1296" t="str">
        <f>'Section Load'!Y4</f>
        <v>B2 Laundry</v>
      </c>
      <c r="Y1" s="1296" t="str">
        <f>'Section Load'!Z4</f>
        <v>STP</v>
      </c>
      <c r="Z1" s="1296" t="str">
        <f>'Section Load'!AA4</f>
        <v>MOCK Up Room</v>
      </c>
      <c r="AA1" s="1296" t="str">
        <f>'Section Load'!AB4</f>
        <v>27th Floor</v>
      </c>
      <c r="AB1" s="1296" t="str">
        <f>'Section Load'!AC4</f>
        <v>Physic57</v>
      </c>
      <c r="AC1" s="1296" t="str">
        <f>'Section Load'!AD4</f>
        <v>Pinoor Legal- Power+lighting</v>
      </c>
      <c r="AD1" s="1296" t="str">
        <f>'Section Load'!AE4</f>
        <v>2nd floor plant room</v>
      </c>
      <c r="AE1" s="1296" t="str">
        <f>'Section Load'!AF4</f>
        <v>5th Floor</v>
      </c>
      <c r="AF1" s="1296" t="str">
        <f>'Section Load'!AG4</f>
        <v>5th Floor</v>
      </c>
      <c r="AG1" s="1296" t="str">
        <f>'Section Load'!AH4</f>
        <v>12th Floor</v>
      </c>
      <c r="AH1" s="1296" t="str">
        <f>'Section Load'!AI4</f>
        <v>20th Floor</v>
      </c>
      <c r="AI1" s="1296" t="str">
        <f>'Section Load'!AJ4</f>
        <v>27th Floor</v>
      </c>
      <c r="AJ1" s="1296" t="str">
        <f>'Section Load'!AK4</f>
        <v>34th Floor</v>
      </c>
      <c r="AK1" s="1296" t="str">
        <f>'Section Load'!AL4</f>
        <v>Sanqi</v>
      </c>
      <c r="AL1" s="1296" t="str">
        <f>'Section Load'!AM4</f>
        <v>Cooling Tower</v>
      </c>
      <c r="AM1" s="1297" t="s">
        <v>315</v>
      </c>
      <c r="AN1" s="1378" t="s">
        <v>207</v>
      </c>
      <c r="AO1" s="1297" t="s">
        <v>209</v>
      </c>
      <c r="AP1" s="1297" t="s">
        <v>210</v>
      </c>
      <c r="AQ1" s="1297" t="s">
        <v>211</v>
      </c>
      <c r="AR1" s="1297" t="s">
        <v>212</v>
      </c>
      <c r="AS1" s="1297" t="s">
        <v>213</v>
      </c>
      <c r="AT1" s="1297" t="s">
        <v>214</v>
      </c>
      <c r="AU1" s="1297" t="s">
        <v>219</v>
      </c>
      <c r="AV1" s="1297" t="s">
        <v>77</v>
      </c>
      <c r="AW1" s="1297" t="s">
        <v>78</v>
      </c>
      <c r="AX1" s="1378" t="s">
        <v>220</v>
      </c>
      <c r="AY1" s="1378" t="s">
        <v>221</v>
      </c>
      <c r="AZ1" s="1378" t="s">
        <v>222</v>
      </c>
      <c r="BA1" s="1378" t="s">
        <v>224</v>
      </c>
      <c r="BB1" s="1378" t="s">
        <v>225</v>
      </c>
      <c r="BC1" s="1378" t="s">
        <v>341</v>
      </c>
      <c r="BD1" s="1378" t="s">
        <v>339</v>
      </c>
      <c r="BE1" s="1378" t="s">
        <v>316</v>
      </c>
      <c r="BF1" s="1378" t="s">
        <v>317</v>
      </c>
      <c r="BG1" s="1298" t="str">
        <f>'Section Load'!AN4</f>
        <v>MGL</v>
      </c>
      <c r="BH1" s="1298" t="str">
        <f>'Section Load'!AO4</f>
        <v>HWG</v>
      </c>
      <c r="BI1" s="1298" t="str">
        <f>'Section Load'!AP4</f>
        <v>Prato</v>
      </c>
      <c r="BJ1" s="1298" t="str">
        <f>'Section Load'!AQ4</f>
        <v>BR-1</v>
      </c>
      <c r="BK1" s="1298" t="str">
        <f>'Section Load'!AR4</f>
        <v>SanQi IND</v>
      </c>
      <c r="BL1" s="1298" t="str">
        <f>'Section Load'!AS4</f>
        <v>SanQi JPN</v>
      </c>
      <c r="BM1" s="1298" t="str">
        <f>'Section Load'!AT4</f>
        <v>Boiler</v>
      </c>
    </row>
    <row r="2" spans="1:65" ht="15" customHeight="1">
      <c r="A2" s="1283" t="s">
        <v>301</v>
      </c>
      <c r="B2" s="1284">
        <v>1</v>
      </c>
      <c r="C2" s="1284">
        <v>4</v>
      </c>
      <c r="D2" s="1284">
        <v>2021</v>
      </c>
      <c r="E2" s="1299">
        <f>(IF('Section Load'!F5&gt;0,'Section Load'!F5,0))</f>
        <v>2167.8699999999953</v>
      </c>
      <c r="F2" s="1299">
        <f>(IF('Section Load'!G5&gt;0,'Section Load'!G5,0))</f>
        <v>1282</v>
      </c>
      <c r="G2" s="1299">
        <f>(IF('Section Load'!H5&gt;0,'Section Load'!H5,0))</f>
        <v>1352</v>
      </c>
      <c r="H2" s="1299">
        <f>(IF('Section Load'!I5&gt;0,'Section Load'!I5,0))</f>
        <v>2595</v>
      </c>
      <c r="I2" s="1299">
        <f>(IF('Section Load'!J5&gt;0,'Section Load'!J5,0))</f>
        <v>4654.5300000000279</v>
      </c>
      <c r="J2" s="1299">
        <f>(IF('Section Load'!K5&gt;0,'Section Load'!K5,0))</f>
        <v>2319</v>
      </c>
      <c r="K2" s="1299">
        <f>(IF('Section Load'!L5&gt;0,'Section Load'!L5,0))</f>
        <v>949</v>
      </c>
      <c r="L2" s="1299">
        <f>(IF('Section Load'!M5&gt;0,'Section Load'!M5,0))</f>
        <v>391</v>
      </c>
      <c r="M2" s="1299">
        <f>(IF('Section Load'!N5&gt;0,'Section Load'!N5,0))</f>
        <v>17</v>
      </c>
      <c r="N2" s="1299">
        <f>(IF('Section Load'!O5&gt;0,'Section Load'!O5,0))</f>
        <v>2</v>
      </c>
      <c r="O2" s="1299">
        <f>(IF('Section Load'!P5&gt;0,'Section Load'!P5,0))</f>
        <v>30</v>
      </c>
      <c r="P2" s="1299">
        <f>(IF('Section Load'!Q5&gt;0,'Section Load'!Q5,0))</f>
        <v>54</v>
      </c>
      <c r="Q2" s="1299">
        <f>(IF('Section Load'!R5&gt;0,'Section Load'!R5,0))</f>
        <v>57</v>
      </c>
      <c r="R2" s="1299">
        <f>(IF('Section Load'!S5&gt;0,'Section Load'!S5,0))</f>
        <v>50</v>
      </c>
      <c r="S2" s="1299">
        <f>(IF('Section Load'!T5&gt;0,'Section Load'!T5,0))</f>
        <v>124</v>
      </c>
      <c r="T2" s="1299">
        <f>(IF('Section Load'!U5&gt;0,'Section Load'!U5,0))</f>
        <v>189</v>
      </c>
      <c r="U2" s="1299">
        <f>(IF('Section Load'!V5&gt;0,'Section Load'!V5,0))</f>
        <v>394</v>
      </c>
      <c r="V2" s="1299">
        <f>(IF('Section Load'!W5&gt;0,'Section Load'!W5,0))</f>
        <v>81</v>
      </c>
      <c r="W2" s="1299">
        <f>(IF('Section Load'!X5&gt;0,'Section Load'!X5,0))</f>
        <v>12</v>
      </c>
      <c r="X2" s="1299">
        <f>(IF('Section Load'!Y5&gt;0,'Section Load'!Y5,0))</f>
        <v>0</v>
      </c>
      <c r="Y2" s="1299">
        <f>(IF('Section Load'!Z5&gt;0,'Section Load'!Z5,0))</f>
        <v>255</v>
      </c>
      <c r="Z2" s="1299">
        <f>(IF('Section Load'!AA5&gt;0,'Section Load'!AA5,0))</f>
        <v>51</v>
      </c>
      <c r="AA2" s="1299">
        <f>(IF('Section Load'!AB5&gt;0,'Section Load'!AB5,0))</f>
        <v>10</v>
      </c>
      <c r="AB2" s="1299">
        <f>(IF('Section Load'!AC5&gt;0,'Section Load'!AC5,0))</f>
        <v>28</v>
      </c>
      <c r="AC2" s="1299">
        <f>(IF('Section Load'!AD5&gt;0,'Section Load'!AD5,0))</f>
        <v>7</v>
      </c>
      <c r="AD2" s="1299">
        <f>(IF('Section Load'!AE5&gt;0,'Section Load'!AE5,0))</f>
        <v>0</v>
      </c>
      <c r="AE2" s="1299">
        <f>(IF('Section Load'!AF5&gt;0,'Section Load'!AF5,0))</f>
        <v>4</v>
      </c>
      <c r="AF2" s="1299">
        <f>(IF('Section Load'!AG5&gt;0,'Section Load'!AG5,0))</f>
        <v>211</v>
      </c>
      <c r="AG2" s="1299">
        <f>(IF('Section Load'!AH5&gt;0,'Section Load'!AH5,0))</f>
        <v>208</v>
      </c>
      <c r="AH2" s="1299">
        <f>(IF('Section Load'!AI5&gt;0,'Section Load'!AI5,0))</f>
        <v>271</v>
      </c>
      <c r="AI2" s="1299">
        <f>(IF('Section Load'!AJ5&gt;0,'Section Load'!AJ5,0))</f>
        <v>222</v>
      </c>
      <c r="AJ2" s="1299">
        <f>(IF('Section Load'!AK5&gt;0,'Section Load'!AK5,0))</f>
        <v>0</v>
      </c>
      <c r="AK2" s="1299">
        <f>(IF('Section Load'!AL5&gt;0,'Section Load'!AL5,0))</f>
        <v>82</v>
      </c>
      <c r="AL2" s="1299">
        <f>(IF('Section Load'!AM5&gt;0,'Section Load'!AM5,0))</f>
        <v>715</v>
      </c>
      <c r="AM2" s="1300">
        <f>(IF('Water Report'!$D$7&gt;0,'Water Report'!$D$7,0))</f>
        <v>52</v>
      </c>
      <c r="AN2" s="1300">
        <f>(IF('Water Report'!$D$8&gt;0,'Water Report'!$D$8,0))</f>
        <v>95</v>
      </c>
      <c r="AO2" s="1300">
        <f>(IF('Water Report'!$D$9&gt;0,'Water Report'!$D$9,0))</f>
        <v>72</v>
      </c>
      <c r="AP2" s="1300">
        <f>(IF('Water Report'!$D$10&gt;0,'Water Report'!$D$10,0))</f>
        <v>12</v>
      </c>
      <c r="AQ2" s="1300">
        <f>(IF('Water Report'!$D$11&gt;0,'Water Report'!$D$11,0))</f>
        <v>17</v>
      </c>
      <c r="AR2" s="1300">
        <f>(IF('Water Report'!$D$13&gt;0,'Water Report'!$D$13,0))</f>
        <v>5</v>
      </c>
      <c r="AS2" s="1300">
        <f>(IF('Water Report'!$D$14&gt;0,'Water Report'!$D$14,0))</f>
        <v>9</v>
      </c>
      <c r="AT2" s="1300">
        <f>(IF('Water Report'!$D$15&gt;0,'Water Report'!$D$15,0))</f>
        <v>5</v>
      </c>
      <c r="AU2" s="1300">
        <f>(IF('Water Report'!$D$17&gt;0,'Water Report'!$D$17,0))</f>
        <v>0</v>
      </c>
      <c r="AV2" s="1300">
        <f>(IF('Water Report'!$D$18&gt;0,'Water Report'!$D$18,0))</f>
        <v>0</v>
      </c>
      <c r="AW2" s="1300">
        <f>(IF('Water Report'!$D$19&gt;0,'Water Report'!$D$19,0))</f>
        <v>0</v>
      </c>
      <c r="AX2" s="1379">
        <f>(IF('Water Report'!$D$21&gt;0,'Water Report'!$D$21,0))</f>
        <v>85</v>
      </c>
      <c r="AY2" s="1379">
        <f>(IF('Water Report'!$D$22&gt;0,'Water Report'!$D$22,0))</f>
        <v>0</v>
      </c>
      <c r="AZ2" s="1379">
        <f>(IF('Water Report'!$D$23&gt;0,'Water Report'!$D$23,0))</f>
        <v>27</v>
      </c>
      <c r="BA2" s="1379">
        <f>(IF('Water Report'!$D$14&gt;0,'Water Report'!$D$14,0))</f>
        <v>9</v>
      </c>
      <c r="BB2" s="1379">
        <f>(IF('Water Report'!$D$15&gt;0,'Water Report'!$D$15,0))</f>
        <v>5</v>
      </c>
      <c r="BC2" s="1379">
        <f>(IF('Water Report'!$D$13&gt;0,'Water Report'!$D$13,0))</f>
        <v>5</v>
      </c>
      <c r="BD2" s="1379">
        <f>(IF('Water Report'!$D$24&gt;0,'Water Report'!$D$24,0))</f>
        <v>136</v>
      </c>
      <c r="BE2" s="1379">
        <f>(IF('Water Report'!$D$25&gt;0,'Water Report'!$D$25,0))</f>
        <v>115</v>
      </c>
      <c r="BF2" s="1379">
        <f>(IF('Water Report'!$D$27&gt;0,'Water Report'!$D$27,0))</f>
        <v>117</v>
      </c>
      <c r="BG2" s="1301">
        <f>(IF('Section Load'!AN5&gt;0,'Section Load'!AN5,0))</f>
        <v>334</v>
      </c>
      <c r="BH2" s="1301">
        <f>(IF('Section Load'!AO5&gt;0,'Section Load'!AO5,0))</f>
        <v>232.54000000003725</v>
      </c>
      <c r="BI2" s="1301">
        <f>(IF('Section Load'!AP5&gt;0,'Section Load'!AP5,0))</f>
        <v>0</v>
      </c>
      <c r="BJ2" s="1301">
        <f>(IF('Section Load'!AQ5&gt;0,'Section Load'!AQ5,0))</f>
        <v>59.559999999997672</v>
      </c>
      <c r="BK2" s="1301">
        <f>(IF('Section Load'!AR5&gt;0,'Section Load'!AR5,0))</f>
        <v>0</v>
      </c>
      <c r="BL2" s="1301">
        <f>(IF('Section Load'!AS5&gt;0,'Section Load'!AS5,0))</f>
        <v>0.2999999999992724</v>
      </c>
      <c r="BM2" s="1301">
        <f>(IF('Section Load'!AT5&gt;0,'Section Load'!AT5,0))</f>
        <v>41.599999999965803</v>
      </c>
    </row>
    <row r="3" spans="1:65">
      <c r="A3" s="1283" t="s">
        <v>301</v>
      </c>
      <c r="B3" s="1284">
        <f>B2+1</f>
        <v>2</v>
      </c>
      <c r="C3" s="1284">
        <v>4</v>
      </c>
      <c r="D3" s="1284">
        <v>2021</v>
      </c>
      <c r="E3" s="1299">
        <f>(IF('Section Load'!F6&gt;0,'Section Load'!F6,0))</f>
        <v>2008.1300000000047</v>
      </c>
      <c r="F3" s="1299">
        <f>(IF('Section Load'!G6&gt;0,'Section Load'!G6,0))</f>
        <v>1264</v>
      </c>
      <c r="G3" s="1299">
        <f>(IF('Section Load'!H6&gt;0,'Section Load'!H6,0))</f>
        <v>1301</v>
      </c>
      <c r="H3" s="1299">
        <f>(IF('Section Load'!I6&gt;0,'Section Load'!I6,0))</f>
        <v>2441</v>
      </c>
      <c r="I3" s="1299">
        <f>(IF('Section Load'!J6&gt;0,'Section Load'!J6,0))</f>
        <v>5001</v>
      </c>
      <c r="J3" s="1299">
        <f>(IF('Section Load'!K6&gt;0,'Section Load'!K6,0))</f>
        <v>2231</v>
      </c>
      <c r="K3" s="1299">
        <f>(IF('Section Load'!L6&gt;0,'Section Load'!L6,0))</f>
        <v>884</v>
      </c>
      <c r="L3" s="1299">
        <f>(IF('Section Load'!M6&gt;0,'Section Load'!M6,0))</f>
        <v>385</v>
      </c>
      <c r="M3" s="1299">
        <f>(IF('Section Load'!N6&gt;0,'Section Load'!N6,0))</f>
        <v>15</v>
      </c>
      <c r="N3" s="1299">
        <f>(IF('Section Load'!O6&gt;0,'Section Load'!O6,0))</f>
        <v>1</v>
      </c>
      <c r="O3" s="1299">
        <f>(IF('Section Load'!P6&gt;0,'Section Load'!P6,0))</f>
        <v>16</v>
      </c>
      <c r="P3" s="1299">
        <f>(IF('Section Load'!Q6&gt;0,'Section Load'!Q6,0))</f>
        <v>52</v>
      </c>
      <c r="Q3" s="1299">
        <f>(IF('Section Load'!R6&gt;0,'Section Load'!R6,0))</f>
        <v>56</v>
      </c>
      <c r="R3" s="1299">
        <f>(IF('Section Load'!S6&gt;0,'Section Load'!S6,0))</f>
        <v>47</v>
      </c>
      <c r="S3" s="1299">
        <f>(IF('Section Load'!T6&gt;0,'Section Load'!T6,0))</f>
        <v>95</v>
      </c>
      <c r="T3" s="1299">
        <f>(IF('Section Load'!U6&gt;0,'Section Load'!U6,0))</f>
        <v>177</v>
      </c>
      <c r="U3" s="1299">
        <f>(IF('Section Load'!V6&gt;0,'Section Load'!V6,0))</f>
        <v>380</v>
      </c>
      <c r="V3" s="1299">
        <f>(IF('Section Load'!W6&gt;0,'Section Load'!W6,0))</f>
        <v>66</v>
      </c>
      <c r="W3" s="1299">
        <f>(IF('Section Load'!X6&gt;0,'Section Load'!X6,0))</f>
        <v>14</v>
      </c>
      <c r="X3" s="1299">
        <f>(IF('Section Load'!Y6&gt;0,'Section Load'!Y6,0))</f>
        <v>113</v>
      </c>
      <c r="Y3" s="1299">
        <f>(IF('Section Load'!Z6&gt;0,'Section Load'!Z6,0))</f>
        <v>241</v>
      </c>
      <c r="Z3" s="1299">
        <f>(IF('Section Load'!AA6&gt;0,'Section Load'!AA6,0))</f>
        <v>21</v>
      </c>
      <c r="AA3" s="1299">
        <f>(IF('Section Load'!AB6&gt;0,'Section Load'!AB6,0))</f>
        <v>6</v>
      </c>
      <c r="AB3" s="1299">
        <f>(IF('Section Load'!AC6&gt;0,'Section Load'!AC6,0))</f>
        <v>24</v>
      </c>
      <c r="AC3" s="1299">
        <f>(IF('Section Load'!AD6&gt;0,'Section Load'!AD6,0))</f>
        <v>6</v>
      </c>
      <c r="AD3" s="1299">
        <f>(IF('Section Load'!AE6&gt;0,'Section Load'!AE6,0))</f>
        <v>0</v>
      </c>
      <c r="AE3" s="1299">
        <f>(IF('Section Load'!AF6&gt;0,'Section Load'!AF6,0))</f>
        <v>4</v>
      </c>
      <c r="AF3" s="1299">
        <f>(IF('Section Load'!AG6&gt;0,'Section Load'!AG6,0))</f>
        <v>208</v>
      </c>
      <c r="AG3" s="1299">
        <f>(IF('Section Load'!AH6&gt;0,'Section Load'!AH6,0))</f>
        <v>199</v>
      </c>
      <c r="AH3" s="1299">
        <f>(IF('Section Load'!AI6&gt;0,'Section Load'!AI6,0))</f>
        <v>272</v>
      </c>
      <c r="AI3" s="1299">
        <f>(IF('Section Load'!AJ6&gt;0,'Section Load'!AJ6,0))</f>
        <v>214</v>
      </c>
      <c r="AJ3" s="1299">
        <f>(IF('Section Load'!AK6&gt;0,'Section Load'!AK6,0))</f>
        <v>0</v>
      </c>
      <c r="AK3" s="1299">
        <f>(IF('Section Load'!AL6&gt;0,'Section Load'!AL6,0))</f>
        <v>93</v>
      </c>
      <c r="AL3" s="1299">
        <f>(IF('Section Load'!AM6&gt;0,'Section Load'!AM6,0))</f>
        <v>712</v>
      </c>
      <c r="AM3" s="1300">
        <f>(IF('Water Report'!$E$7&gt;0,'Water Report'!$E$7,0))</f>
        <v>36</v>
      </c>
      <c r="AN3" s="1300">
        <f>(IF('Water Report'!$E$8&gt;0,'Water Report'!$E$8,0))</f>
        <v>101</v>
      </c>
      <c r="AO3" s="1300">
        <f>(IF('Water Report'!$E$9&gt;0,'Water Report'!$E$9,0))</f>
        <v>42</v>
      </c>
      <c r="AP3" s="1300">
        <f>(IF('Water Report'!$E$10&gt;0,'Water Report'!$E$10,0))</f>
        <v>12</v>
      </c>
      <c r="AQ3" s="1300">
        <f>(IF('Water Report'!$E$11&gt;0,'Water Report'!$E$11,0))</f>
        <v>18</v>
      </c>
      <c r="AR3" s="1300">
        <f>(IF('Water Report'!$E$13&gt;0,'Water Report'!$E$13,0))</f>
        <v>5</v>
      </c>
      <c r="AS3" s="1300">
        <f>(IF('Water Report'!$E$14&gt;0,'Water Report'!$E$14,0))</f>
        <v>4</v>
      </c>
      <c r="AT3" s="1300">
        <f>(IF('Water Report'!$E$15&gt;0,'Water Report'!$E$15,0))</f>
        <v>4</v>
      </c>
      <c r="AU3" s="1300">
        <f>(IF('Water Report'!$E$17&gt;0,'Water Report'!$E$17,0))</f>
        <v>0</v>
      </c>
      <c r="AV3" s="1300">
        <f>(IF('Water Report'!$E$18&gt;0,'Water Report'!$E$18,0))</f>
        <v>8</v>
      </c>
      <c r="AW3" s="1300">
        <f>(IF('Water Report'!$E$19&gt;0,'Water Report'!$E$19,0))</f>
        <v>3</v>
      </c>
      <c r="AX3" s="1379">
        <f>(IF('Water Report'!$E$21&gt;0,'Water Report'!$E$21,0))</f>
        <v>40</v>
      </c>
      <c r="AY3" s="1379">
        <f>(IF('Water Report'!$E$22&gt;0,'Water Report'!$E$22,0))</f>
        <v>0</v>
      </c>
      <c r="AZ3" s="1379">
        <f>(IF('Water Report'!$E$23&gt;0,'Water Report'!$E$23,0))</f>
        <v>0</v>
      </c>
      <c r="BA3" s="1379">
        <f>(IF('Water Report'!$E$14&gt;0,'Water Report'!$E$14,0))</f>
        <v>4</v>
      </c>
      <c r="BB3" s="1379">
        <f>(IF('Water Report'!$E$15&gt;0,'Water Report'!$E$15,0))</f>
        <v>4</v>
      </c>
      <c r="BC3" s="1379">
        <f>(IF('Water Report'!$E$13&gt;0,'Water Report'!$E$13,0))</f>
        <v>5</v>
      </c>
      <c r="BD3" s="1379">
        <f>(IF('Water Report'!$E$24&gt;0,'Water Report'!$E$24,0))</f>
        <v>111</v>
      </c>
      <c r="BE3" s="1379">
        <f>(IF('Water Report'!$E$25&gt;0,'Water Report'!$E$25,0))</f>
        <v>80</v>
      </c>
      <c r="BF3" s="1379">
        <f>(IF('Water Report'!$E$27&gt;0,'Water Report'!$E$27,0))</f>
        <v>45</v>
      </c>
      <c r="BG3" s="1301">
        <f>(IF('Section Load'!AN6&gt;0,'Section Load'!AN6,0))</f>
        <v>445</v>
      </c>
      <c r="BH3" s="1301">
        <f>(IF('Section Load'!AO6&gt;0,'Section Load'!AO6,0))</f>
        <v>203</v>
      </c>
      <c r="BI3" s="1301">
        <f>(IF('Section Load'!AP6&gt;0,'Section Load'!AP6,0))</f>
        <v>0</v>
      </c>
      <c r="BJ3" s="1301">
        <f>(IF('Section Load'!AQ6&gt;0,'Section Load'!AQ6,0))</f>
        <v>73</v>
      </c>
      <c r="BK3" s="1301">
        <f>(IF('Section Load'!AR6&gt;0,'Section Load'!AR6,0))</f>
        <v>0</v>
      </c>
      <c r="BL3" s="1301">
        <f>(IF('Section Load'!AS6&gt;0,'Section Load'!AS6,0))</f>
        <v>0</v>
      </c>
      <c r="BM3" s="1301">
        <f>(IF('Section Load'!AT6&gt;0,'Section Load'!AT6,0))</f>
        <v>169</v>
      </c>
    </row>
    <row r="4" spans="1:65">
      <c r="A4" s="1283" t="s">
        <v>301</v>
      </c>
      <c r="B4" s="1284">
        <f t="shared" ref="B4:B32" si="0">B3+1</f>
        <v>3</v>
      </c>
      <c r="C4" s="1284">
        <v>4</v>
      </c>
      <c r="D4" s="1284">
        <v>2021</v>
      </c>
      <c r="E4" s="1299">
        <f>(IF('Section Load'!F7&gt;0,'Section Load'!F7,0))</f>
        <v>2173.8699999999953</v>
      </c>
      <c r="F4" s="1299">
        <f>(IF('Section Load'!G7&gt;0,'Section Load'!G7,0))</f>
        <v>1224</v>
      </c>
      <c r="G4" s="1299">
        <f>(IF('Section Load'!H7&gt;0,'Section Load'!H7,0))</f>
        <v>1342</v>
      </c>
      <c r="H4" s="1299">
        <f>(IF('Section Load'!I7&gt;0,'Section Load'!I7,0))</f>
        <v>2337</v>
      </c>
      <c r="I4" s="1299">
        <f>(IF('Section Load'!J7&gt;0,'Section Load'!J7,0))</f>
        <v>4821</v>
      </c>
      <c r="J4" s="1299">
        <f>(IF('Section Load'!K7&gt;0,'Section Load'!K7,0))</f>
        <v>2220</v>
      </c>
      <c r="K4" s="1299">
        <f>(IF('Section Load'!L7&gt;0,'Section Load'!L7,0))</f>
        <v>1056</v>
      </c>
      <c r="L4" s="1299">
        <f>(IF('Section Load'!M7&gt;0,'Section Load'!M7,0))</f>
        <v>366</v>
      </c>
      <c r="M4" s="1299">
        <f>(IF('Section Load'!N7&gt;0,'Section Load'!N7,0))</f>
        <v>15</v>
      </c>
      <c r="N4" s="1299">
        <f>(IF('Section Load'!O7&gt;0,'Section Load'!O7,0))</f>
        <v>1</v>
      </c>
      <c r="O4" s="1299">
        <f>(IF('Section Load'!P7&gt;0,'Section Load'!P7,0))</f>
        <v>15</v>
      </c>
      <c r="P4" s="1299">
        <f>(IF('Section Load'!Q7&gt;0,'Section Load'!Q7,0))</f>
        <v>54</v>
      </c>
      <c r="Q4" s="1299">
        <f>(IF('Section Load'!R7&gt;0,'Section Load'!R7,0))</f>
        <v>54</v>
      </c>
      <c r="R4" s="1299">
        <f>(IF('Section Load'!S7&gt;0,'Section Load'!S7,0))</f>
        <v>50</v>
      </c>
      <c r="S4" s="1299">
        <f>(IF('Section Load'!T7&gt;0,'Section Load'!T7,0))</f>
        <v>101</v>
      </c>
      <c r="T4" s="1299">
        <f>(IF('Section Load'!U7&gt;0,'Section Load'!U7,0))</f>
        <v>174</v>
      </c>
      <c r="U4" s="1299">
        <f>(IF('Section Load'!V7&gt;0,'Section Load'!V7,0))</f>
        <v>359</v>
      </c>
      <c r="V4" s="1299">
        <f>(IF('Section Load'!W7&gt;0,'Section Load'!W7,0))</f>
        <v>68</v>
      </c>
      <c r="W4" s="1299">
        <f>(IF('Section Load'!X7&gt;0,'Section Load'!X7,0))</f>
        <v>25</v>
      </c>
      <c r="X4" s="1299">
        <f>(IF('Section Load'!Y7&gt;0,'Section Load'!Y7,0))</f>
        <v>91</v>
      </c>
      <c r="Y4" s="1299">
        <f>(IF('Section Load'!Z7&gt;0,'Section Load'!Z7,0))</f>
        <v>249</v>
      </c>
      <c r="Z4" s="1299">
        <f>(IF('Section Load'!AA7&gt;0,'Section Load'!AA7,0))</f>
        <v>184</v>
      </c>
      <c r="AA4" s="1299">
        <f>(IF('Section Load'!AB7&gt;0,'Section Load'!AB7,0))</f>
        <v>10</v>
      </c>
      <c r="AB4" s="1299">
        <f>(IF('Section Load'!AC7&gt;0,'Section Load'!AC7,0))</f>
        <v>146</v>
      </c>
      <c r="AC4" s="1299">
        <f>(IF('Section Load'!AD7&gt;0,'Section Load'!AD7,0))</f>
        <v>6</v>
      </c>
      <c r="AD4" s="1299">
        <f>(IF('Section Load'!AE7&gt;0,'Section Load'!AE7,0))</f>
        <v>0</v>
      </c>
      <c r="AE4" s="1299">
        <f>(IF('Section Load'!AF7&gt;0,'Section Load'!AF7,0))</f>
        <v>3</v>
      </c>
      <c r="AF4" s="1299">
        <f>(IF('Section Load'!AG7&gt;0,'Section Load'!AG7,0))</f>
        <v>213</v>
      </c>
      <c r="AG4" s="1299">
        <f>(IF('Section Load'!AH7&gt;0,'Section Load'!AH7,0))</f>
        <v>198</v>
      </c>
      <c r="AH4" s="1299">
        <f>(IF('Section Load'!AI7&gt;0,'Section Load'!AI7,0))</f>
        <v>265</v>
      </c>
      <c r="AI4" s="1299">
        <f>(IF('Section Load'!AJ7&gt;0,'Section Load'!AJ7,0))</f>
        <v>185</v>
      </c>
      <c r="AJ4" s="1299">
        <f>(IF('Section Load'!AK7&gt;0,'Section Load'!AK7,0))</f>
        <v>0</v>
      </c>
      <c r="AK4" s="1299">
        <f>(IF('Section Load'!AL7&gt;0,'Section Load'!AL7,0))</f>
        <v>85</v>
      </c>
      <c r="AL4" s="1299">
        <f>(IF('Section Load'!AM7&gt;0,'Section Load'!AM7,0))</f>
        <v>818</v>
      </c>
      <c r="AM4" s="1300">
        <f>(IF('Water Report'!$F$7&gt;0,'Water Report'!$F$7,0))</f>
        <v>52</v>
      </c>
      <c r="AN4" s="1300">
        <f>(IF('Water Report'!$F$8&gt;0,'Water Report'!$F$8,0))</f>
        <v>111</v>
      </c>
      <c r="AO4" s="1300">
        <f>(IF('Water Report'!$F$9&gt;0,'Water Report'!$G$9,0))</f>
        <v>62</v>
      </c>
      <c r="AP4" s="1300">
        <f>(IF('Water Report'!$F$10&gt;0,'Water Report'!$F$10,0))</f>
        <v>17</v>
      </c>
      <c r="AQ4" s="1300">
        <f>(IF('Water Report'!$F$11&gt;0,'Water Report'!$F$11,0))</f>
        <v>15</v>
      </c>
      <c r="AR4" s="1300">
        <f>(IF('Water Report'!$F$13&gt;0,'Water Report'!$F$13,0))</f>
        <v>4</v>
      </c>
      <c r="AS4" s="1300">
        <f>(IF('Water Report'!$F$14&gt;0,'Water Report'!$F$14,0))</f>
        <v>6</v>
      </c>
      <c r="AT4" s="1300">
        <f>(IF('Water Report'!$F$15&gt;0,'Water Report'!$F$15,0))</f>
        <v>4</v>
      </c>
      <c r="AU4" s="1300">
        <f>(IF('Water Report'!$F$17&gt;0,'Water Report'!$F$17,0))</f>
        <v>0</v>
      </c>
      <c r="AV4" s="1300">
        <f>(IF('Water Report'!$F$18&gt;0,'Water Report'!$F$18,0))</f>
        <v>0</v>
      </c>
      <c r="AW4" s="1300">
        <f>(IF('Water Report'!$F$19&gt;0,'Water Report'!$F$19,0))</f>
        <v>3</v>
      </c>
      <c r="AX4" s="1379">
        <f>(IF('Water Report'!$F$21&gt;0,'Water Report'!$F$21,0))</f>
        <v>41</v>
      </c>
      <c r="AY4" s="1379">
        <f>(IF('Water Report'!$F$22&gt;0,'Water Report'!$F$22,0))</f>
        <v>0</v>
      </c>
      <c r="AZ4" s="1379">
        <f>(IF('Water Report'!$F$23&gt;0,'Water Report'!$F$23,0))</f>
        <v>22</v>
      </c>
      <c r="BA4" s="1379">
        <f>(IF('Water Report'!$F$14&gt;0,'Water Report'!$F$14,0))</f>
        <v>6</v>
      </c>
      <c r="BB4" s="1379">
        <f>(IF('Water Report'!$F$15&gt;0,'Water Report'!$F$15,0))</f>
        <v>4</v>
      </c>
      <c r="BC4" s="1379">
        <f>(IF('Water Report'!$F$13&gt;0,'Water Report'!$F$13,0))</f>
        <v>4</v>
      </c>
      <c r="BD4" s="1379">
        <f>(IF('Water Report'!$F$24&gt;0,'Water Report'!$F$24,0))</f>
        <v>116</v>
      </c>
      <c r="BE4" s="1379">
        <f>(IF('Water Report'!$F$25&gt;0,'Water Report'!$F$25,0))</f>
        <v>103</v>
      </c>
      <c r="BF4" s="1379">
        <f>(IF('Water Report'!$F$27&gt;0,'Water Report'!$F$27,0))</f>
        <v>67</v>
      </c>
      <c r="BG4" s="1301">
        <f>(IF('Section Load'!AN7&gt;0,'Section Load'!AN7,0))</f>
        <v>438</v>
      </c>
      <c r="BH4" s="1301">
        <f>(IF('Section Load'!AO7&gt;0,'Section Load'!AO7,0))</f>
        <v>197</v>
      </c>
      <c r="BI4" s="1301">
        <f>(IF('Section Load'!AP7&gt;0,'Section Load'!AP7,0))</f>
        <v>0</v>
      </c>
      <c r="BJ4" s="1301">
        <f>(IF('Section Load'!AQ7&gt;0,'Section Load'!AQ7,0))</f>
        <v>58</v>
      </c>
      <c r="BK4" s="1301">
        <f>(IF('Section Load'!AR7&gt;0,'Section Load'!AR7,0))</f>
        <v>0</v>
      </c>
      <c r="BL4" s="1301">
        <f>(IF('Section Load'!AS7&gt;0,'Section Load'!AS7,0))</f>
        <v>0</v>
      </c>
      <c r="BM4" s="1301">
        <f>(IF('Section Load'!AT7&gt;0,'Section Load'!AT7,0))</f>
        <v>183.39999999999418</v>
      </c>
    </row>
    <row r="5" spans="1:65">
      <c r="A5" s="1283" t="s">
        <v>301</v>
      </c>
      <c r="B5" s="1284">
        <f t="shared" si="0"/>
        <v>4</v>
      </c>
      <c r="C5" s="1284">
        <v>4</v>
      </c>
      <c r="D5" s="1284">
        <v>2021</v>
      </c>
      <c r="E5" s="1299">
        <f>(IF('Section Load'!F8&gt;0,'Section Load'!F8,0))</f>
        <v>2161</v>
      </c>
      <c r="F5" s="1299">
        <f>(IF('Section Load'!G8&gt;0,'Section Load'!G8,0))</f>
        <v>1213</v>
      </c>
      <c r="G5" s="1299">
        <f>(IF('Section Load'!H8&gt;0,'Section Load'!H8,0))</f>
        <v>1255</v>
      </c>
      <c r="H5" s="1299">
        <f>(IF('Section Load'!I8&gt;0,'Section Load'!I8,0))</f>
        <v>2251</v>
      </c>
      <c r="I5" s="1299">
        <f>(IF('Section Load'!J8&gt;0,'Section Load'!J8,0))</f>
        <v>5147</v>
      </c>
      <c r="J5" s="1299">
        <f>(IF('Section Load'!K8&gt;0,'Section Load'!K8,0))</f>
        <v>2199</v>
      </c>
      <c r="K5" s="1299">
        <f>(IF('Section Load'!L8&gt;0,'Section Load'!L8,0))</f>
        <v>1029</v>
      </c>
      <c r="L5" s="1299">
        <f>(IF('Section Load'!M8&gt;0,'Section Load'!M8,0))</f>
        <v>345</v>
      </c>
      <c r="M5" s="1299">
        <f>(IF('Section Load'!N8&gt;0,'Section Load'!N8,0))</f>
        <v>17</v>
      </c>
      <c r="N5" s="1299">
        <f>(IF('Section Load'!O8&gt;0,'Section Load'!O8,0))</f>
        <v>1</v>
      </c>
      <c r="O5" s="1299">
        <f>(IF('Section Load'!P8&gt;0,'Section Load'!P8,0))</f>
        <v>11</v>
      </c>
      <c r="P5" s="1299">
        <f>(IF('Section Load'!Q8&gt;0,'Section Load'!Q8,0))</f>
        <v>11</v>
      </c>
      <c r="Q5" s="1299">
        <f>(IF('Section Load'!R8&gt;0,'Section Load'!R8,0))</f>
        <v>54</v>
      </c>
      <c r="R5" s="1299">
        <f>(IF('Section Load'!S8&gt;0,'Section Load'!S8,0))</f>
        <v>51</v>
      </c>
      <c r="S5" s="1299">
        <f>(IF('Section Load'!T8&gt;0,'Section Load'!T8,0))</f>
        <v>55</v>
      </c>
      <c r="T5" s="1299">
        <f>(IF('Section Load'!U8&gt;0,'Section Load'!U8,0))</f>
        <v>188</v>
      </c>
      <c r="U5" s="1299">
        <f>(IF('Section Load'!V8&gt;0,'Section Load'!V8,0))</f>
        <v>362</v>
      </c>
      <c r="V5" s="1299">
        <f>(IF('Section Load'!W8&gt;0,'Section Load'!W8,0))</f>
        <v>75</v>
      </c>
      <c r="W5" s="1299">
        <f>(IF('Section Load'!X8&gt;0,'Section Load'!X8,0))</f>
        <v>12</v>
      </c>
      <c r="X5" s="1299">
        <f>(IF('Section Load'!Y8&gt;0,'Section Load'!Y8,0))</f>
        <v>218</v>
      </c>
      <c r="Y5" s="1299">
        <f>(IF('Section Load'!Z8&gt;0,'Section Load'!Z8,0))</f>
        <v>179</v>
      </c>
      <c r="Z5" s="1299">
        <f>(IF('Section Load'!AA8&gt;0,'Section Load'!AA8,0))</f>
        <v>243</v>
      </c>
      <c r="AA5" s="1299">
        <f>(IF('Section Load'!AB8&gt;0,'Section Load'!AB8,0))</f>
        <v>12</v>
      </c>
      <c r="AB5" s="1299">
        <f>(IF('Section Load'!AC8&gt;0,'Section Load'!AC8,0))</f>
        <v>30</v>
      </c>
      <c r="AC5" s="1299">
        <f>(IF('Section Load'!AD8&gt;0,'Section Load'!AD8,0))</f>
        <v>7</v>
      </c>
      <c r="AD5" s="1299">
        <f>(IF('Section Load'!AE8&gt;0,'Section Load'!AE8,0))</f>
        <v>0</v>
      </c>
      <c r="AE5" s="1299">
        <f>(IF('Section Load'!AF8&gt;0,'Section Load'!AF8,0))</f>
        <v>4</v>
      </c>
      <c r="AF5" s="1299">
        <f>(IF('Section Load'!AG8&gt;0,'Section Load'!AG8,0))</f>
        <v>206</v>
      </c>
      <c r="AG5" s="1299">
        <f>(IF('Section Load'!AH8&gt;0,'Section Load'!AH8,0))</f>
        <v>202</v>
      </c>
      <c r="AH5" s="1299">
        <f>(IF('Section Load'!AI8&gt;0,'Section Load'!AI8,0))</f>
        <v>266</v>
      </c>
      <c r="AI5" s="1299">
        <f>(IF('Section Load'!AJ8&gt;0,'Section Load'!AJ8,0))</f>
        <v>151</v>
      </c>
      <c r="AJ5" s="1299">
        <f>(IF('Section Load'!AK8&gt;0,'Section Load'!AK8,0))</f>
        <v>0</v>
      </c>
      <c r="AK5" s="1299">
        <f>(IF('Section Load'!AL8&gt;0,'Section Load'!AL8,0))</f>
        <v>78</v>
      </c>
      <c r="AL5" s="1299">
        <f>(IF('Section Load'!AM8&gt;0,'Section Load'!AM8,0))</f>
        <v>816</v>
      </c>
      <c r="AM5" s="1300">
        <f>(IF('Water Report'!$G$7&gt;0,'Water Report'!$F$7,0))</f>
        <v>52</v>
      </c>
      <c r="AN5" s="1300">
        <f>(IF('Water Report'!$G$8&gt;0,'Water Report'!$F$8,0))</f>
        <v>111</v>
      </c>
      <c r="AO5" s="1300">
        <f>(IF('Water Report'!$G$9&gt;0,'Water Report'!$H$9,0))</f>
        <v>31</v>
      </c>
      <c r="AP5" s="1300">
        <f>(IF('Water Report'!$G$10&gt;0,'Water Report'!$G$10,0))</f>
        <v>9</v>
      </c>
      <c r="AQ5" s="1300">
        <f>(IF('Water Report'!$G$11&gt;0,'Water Report'!$G$11,0))</f>
        <v>18</v>
      </c>
      <c r="AR5" s="1300">
        <f>(IF('Water Report'!$G$13&gt;0,'Water Report'!$G$13,0))</f>
        <v>6</v>
      </c>
      <c r="AS5" s="1300">
        <f>(IF('Water Report'!$G$14&gt;0,'Water Report'!$G$14,0))</f>
        <v>5</v>
      </c>
      <c r="AT5" s="1300">
        <f>(IF('Water Report'!$G$15&gt;0,'Water Report'!$G$15,0))</f>
        <v>4</v>
      </c>
      <c r="AU5" s="1300">
        <f>(IF('Water Report'!$G$17&gt;0,'Water Report'!$G$17,0))</f>
        <v>0</v>
      </c>
      <c r="AV5" s="1300">
        <f>(IF('Water Report'!$G$18&gt;0,'Water Report'!$G$18,0))</f>
        <v>11</v>
      </c>
      <c r="AW5" s="1300">
        <f>(IF('Water Report'!$G$19&gt;0,'Water Report'!$G$19,0))</f>
        <v>9</v>
      </c>
      <c r="AX5" s="1379">
        <f>(IF('Water Report'!$G$21&gt;0,'Water Report'!$G$21,0))</f>
        <v>60</v>
      </c>
      <c r="AY5" s="1379">
        <f>(IF('Water Report'!$G$22&gt;0,'Water Report'!$G$22,0))</f>
        <v>10</v>
      </c>
      <c r="AZ5" s="1379">
        <f>(IF('Water Report'!$G$23&gt;0,'Water Report'!$G$23,0))</f>
        <v>0</v>
      </c>
      <c r="BA5" s="1379">
        <f>(IF('Water Report'!$G$14&gt;0,'Water Report'!$G$14,0))</f>
        <v>5</v>
      </c>
      <c r="BB5" s="1379">
        <f>(IF('Water Report'!$G$15&gt;0,'Water Report'!$G$15,0))</f>
        <v>4</v>
      </c>
      <c r="BC5" s="1379">
        <f>(IF('Water Report'!$G$13&gt;0,'Water Report'!$G$13,0))</f>
        <v>6</v>
      </c>
      <c r="BD5" s="1379">
        <f>(IF('Water Report'!$G$24&gt;0,'Water Report'!$G$24,0))</f>
        <v>107</v>
      </c>
      <c r="BE5" s="1379">
        <f>(IF('Water Report'!$G$25&gt;0,'Water Report'!$G$25,0))</f>
        <v>98</v>
      </c>
      <c r="BF5" s="1379">
        <f>(IF('Water Report'!$G$27&gt;0,'Water Report'!$G$27,0))</f>
        <v>66</v>
      </c>
      <c r="BG5" s="1301">
        <f>(IF('Section Load'!AN8&gt;0,'Section Load'!AN8,0))</f>
        <v>584</v>
      </c>
      <c r="BH5" s="1301">
        <f>(IF('Section Load'!AO8&gt;0,'Section Load'!AO8,0))</f>
        <v>189</v>
      </c>
      <c r="BI5" s="1301">
        <f>(IF('Section Load'!AP8&gt;0,'Section Load'!AP8,0))</f>
        <v>0</v>
      </c>
      <c r="BJ5" s="1301">
        <f>(IF('Section Load'!AQ8&gt;0,'Section Load'!AQ8,0))</f>
        <v>45</v>
      </c>
      <c r="BK5" s="1301">
        <f>(IF('Section Load'!AR8&gt;0,'Section Load'!AR8,0))</f>
        <v>0</v>
      </c>
      <c r="BL5" s="1301">
        <f>(IF('Section Load'!AS8&gt;0,'Section Load'!AS8,0))</f>
        <v>0</v>
      </c>
      <c r="BM5" s="1301">
        <f>(IF('Section Load'!AT8&gt;0,'Section Load'!AT8,0))</f>
        <v>350</v>
      </c>
    </row>
    <row r="6" spans="1:65">
      <c r="A6" s="1283" t="s">
        <v>301</v>
      </c>
      <c r="B6" s="1284">
        <f t="shared" si="0"/>
        <v>5</v>
      </c>
      <c r="C6" s="1284">
        <v>4</v>
      </c>
      <c r="D6" s="1284">
        <v>2021</v>
      </c>
      <c r="E6" s="1299">
        <f>(IF('Section Load'!F9&gt;0,'Section Load'!F9,0))</f>
        <v>2118</v>
      </c>
      <c r="F6" s="1299">
        <f>(IF('Section Load'!G9&gt;0,'Section Load'!G9,0))</f>
        <v>1190</v>
      </c>
      <c r="G6" s="1299">
        <f>(IF('Section Load'!H9&gt;0,'Section Load'!H9,0))</f>
        <v>1208</v>
      </c>
      <c r="H6" s="1299">
        <f>(IF('Section Load'!I9&gt;0,'Section Load'!I9,0))</f>
        <v>2239</v>
      </c>
      <c r="I6" s="1299">
        <f>(IF('Section Load'!J9&gt;0,'Section Load'!J9,0))</f>
        <v>4970</v>
      </c>
      <c r="J6" s="1299">
        <f>(IF('Section Load'!K9&gt;0,'Section Load'!K9,0))</f>
        <v>2244</v>
      </c>
      <c r="K6" s="1299">
        <f>(IF('Section Load'!L9&gt;0,'Section Load'!L9,0))</f>
        <v>990</v>
      </c>
      <c r="L6" s="1299">
        <f>(IF('Section Load'!M9&gt;0,'Section Load'!M9,0))</f>
        <v>340</v>
      </c>
      <c r="M6" s="1299">
        <f>(IF('Section Load'!N9&gt;0,'Section Load'!N9,0))</f>
        <v>15</v>
      </c>
      <c r="N6" s="1299">
        <f>(IF('Section Load'!O9&gt;0,'Section Load'!O9,0))</f>
        <v>1</v>
      </c>
      <c r="O6" s="1299">
        <f>(IF('Section Load'!P9&gt;0,'Section Load'!P9,0))</f>
        <v>22</v>
      </c>
      <c r="P6" s="1299">
        <f>(IF('Section Load'!Q9&gt;0,'Section Load'!Q9,0))</f>
        <v>50</v>
      </c>
      <c r="Q6" s="1299">
        <f>(IF('Section Load'!R9&gt;0,'Section Load'!R9,0))</f>
        <v>49</v>
      </c>
      <c r="R6" s="1299">
        <f>(IF('Section Load'!S9&gt;0,'Section Load'!S9,0))</f>
        <v>47</v>
      </c>
      <c r="S6" s="1299">
        <f>(IF('Section Load'!T9&gt;0,'Section Load'!T9,0))</f>
        <v>46</v>
      </c>
      <c r="T6" s="1299">
        <f>(IF('Section Load'!U9&gt;0,'Section Load'!U9,0))</f>
        <v>177</v>
      </c>
      <c r="U6" s="1299">
        <f>(IF('Section Load'!V9&gt;0,'Section Load'!V9,0))</f>
        <v>339</v>
      </c>
      <c r="V6" s="1299">
        <f>(IF('Section Load'!W9&gt;0,'Section Load'!W9,0))</f>
        <v>70</v>
      </c>
      <c r="W6" s="1299">
        <f>(IF('Section Load'!X9&gt;0,'Section Load'!X9,0))</f>
        <v>10</v>
      </c>
      <c r="X6" s="1299">
        <f>(IF('Section Load'!Y9&gt;0,'Section Load'!Y9,0))</f>
        <v>43</v>
      </c>
      <c r="Y6" s="1299">
        <f>(IF('Section Load'!Z9&gt;0,'Section Load'!Z9,0))</f>
        <v>189</v>
      </c>
      <c r="Z6" s="1299">
        <f>(IF('Section Load'!AA9&gt;0,'Section Load'!AA9,0))</f>
        <v>198</v>
      </c>
      <c r="AA6" s="1299">
        <f>(IF('Section Load'!AB9&gt;0,'Section Load'!AB9,0))</f>
        <v>18</v>
      </c>
      <c r="AB6" s="1299">
        <f>(IF('Section Load'!AC9&gt;0,'Section Load'!AC9,0))</f>
        <v>23</v>
      </c>
      <c r="AC6" s="1299">
        <f>(IF('Section Load'!AD9&gt;0,'Section Load'!AD9,0))</f>
        <v>6</v>
      </c>
      <c r="AD6" s="1299">
        <f>(IF('Section Load'!AE9&gt;0,'Section Load'!AE9,0))</f>
        <v>0</v>
      </c>
      <c r="AE6" s="1299">
        <f>(IF('Section Load'!AF9&gt;0,'Section Load'!AF9,0))</f>
        <v>4</v>
      </c>
      <c r="AF6" s="1299">
        <f>(IF('Section Load'!AG9&gt;0,'Section Load'!AG9,0))</f>
        <v>205</v>
      </c>
      <c r="AG6" s="1299">
        <f>(IF('Section Load'!AH9&gt;0,'Section Load'!AH9,0))</f>
        <v>200</v>
      </c>
      <c r="AH6" s="1299">
        <f>(IF('Section Load'!AI9&gt;0,'Section Load'!AI9,0))</f>
        <v>250</v>
      </c>
      <c r="AI6" s="1299">
        <f>(IF('Section Load'!AJ9&gt;0,'Section Load'!AJ9,0))</f>
        <v>147</v>
      </c>
      <c r="AJ6" s="1299">
        <f>(IF('Section Load'!AK9&gt;0,'Section Load'!AK9,0))</f>
        <v>0</v>
      </c>
      <c r="AK6" s="1299">
        <f>(IF('Section Load'!AL9&gt;0,'Section Load'!AL9,0))</f>
        <v>70</v>
      </c>
      <c r="AL6" s="1299">
        <f>(IF('Section Load'!AM9&gt;0,'Section Load'!AM9,0))</f>
        <v>782</v>
      </c>
      <c r="AM6" s="1300">
        <f>(IF('Water Report'!$H$7&gt;0,'Water Report'!$H$7,0))</f>
        <v>26</v>
      </c>
      <c r="AN6" s="1300">
        <f>(IF('Water Report'!$H$8&gt;0,'Water Report'!$H$8,0))</f>
        <v>69</v>
      </c>
      <c r="AO6" s="1300">
        <f>(IF('Water Report'!$H$9&gt;0,'Water Report'!$H$9,0))</f>
        <v>31</v>
      </c>
      <c r="AP6" s="1300">
        <f>(IF('Water Report'!$H$10&gt;0,'Water Report'!$H$10,0))</f>
        <v>6</v>
      </c>
      <c r="AQ6" s="1300">
        <f>(IF('Water Report'!$H$11&gt;0,'Water Report'!$H$11,0))</f>
        <v>11</v>
      </c>
      <c r="AR6" s="1300">
        <f>(IF('Water Report'!$H$13&gt;0,'Water Report'!$H$13,0))</f>
        <v>7</v>
      </c>
      <c r="AS6" s="1300">
        <f>(IF('Water Report'!$H$14&gt;0,'Water Report'!$H$14,0))</f>
        <v>3</v>
      </c>
      <c r="AT6" s="1300">
        <f>(IF('Water Report'!$H$15&gt;0,'Water Report'!$H$15,0))</f>
        <v>20</v>
      </c>
      <c r="AU6" s="1300">
        <f>(IF('Water Report'!$H$17&gt;0,'Water Report'!$H$17,0))</f>
        <v>4</v>
      </c>
      <c r="AV6" s="1300">
        <f>(IF('Water Report'!$H$18&gt;0,'Water Report'!$H$18,0))</f>
        <v>0</v>
      </c>
      <c r="AW6" s="1300">
        <f>(IF('Water Report'!$H$19&gt;0,'Water Report'!$H$19,0))</f>
        <v>3</v>
      </c>
      <c r="AX6" s="1379">
        <f>(IF('Water Report'!$H$21&gt;0,'Water Report'!$H$21,0))</f>
        <v>39</v>
      </c>
      <c r="AY6" s="1379">
        <f>(IF('Water Report'!$H$22&gt;0,'Water Report'!$H$22,0))</f>
        <v>22</v>
      </c>
      <c r="AZ6" s="1379">
        <f>(IF('Water Report'!$H$23&gt;0,'Water Report'!$H$23,0))</f>
        <v>24</v>
      </c>
      <c r="BA6" s="1379">
        <f>(IF('Water Report'!$H$14&gt;0,'Water Report'!$H$14,0))</f>
        <v>3</v>
      </c>
      <c r="BB6" s="1379">
        <f>(IF('Water Report'!$H$15&gt;0,'Water Report'!$H$15,0))</f>
        <v>20</v>
      </c>
      <c r="BC6" s="1379">
        <f>(IF('Water Report'!$H$13&gt;0,'Water Report'!$H$13,0))</f>
        <v>7</v>
      </c>
      <c r="BD6" s="1379">
        <f>(IF('Water Report'!$H$24&gt;0,'Water Report'!$H$24,0))</f>
        <v>113</v>
      </c>
      <c r="BE6" s="1379">
        <f>(IF('Water Report'!$H$25&gt;0,'Water Report'!$H$25,0))</f>
        <v>71</v>
      </c>
      <c r="BF6" s="1379">
        <f>(IF('Water Report'!$H$27&gt;0,'Water Report'!$H$27,0))</f>
        <v>70</v>
      </c>
      <c r="BG6" s="1301">
        <f>(IF('Section Load'!AN9&gt;0,'Section Load'!AN9,0))</f>
        <v>287</v>
      </c>
      <c r="BH6" s="1301">
        <f>(IF('Section Load'!AO9&gt;0,'Section Load'!AO9,0))</f>
        <v>202</v>
      </c>
      <c r="BI6" s="1301">
        <f>(IF('Section Load'!AP9&gt;0,'Section Load'!AP9,0))</f>
        <v>0</v>
      </c>
      <c r="BJ6" s="1301">
        <f>(IF('Section Load'!AQ9&gt;0,'Section Load'!AQ9,0))</f>
        <v>51</v>
      </c>
      <c r="BK6" s="1301">
        <f>(IF('Section Load'!AR9&gt;0,'Section Load'!AR9,0))</f>
        <v>0</v>
      </c>
      <c r="BL6" s="1301">
        <f>(IF('Section Load'!AS9&gt;0,'Section Load'!AS9,0))</f>
        <v>0</v>
      </c>
      <c r="BM6" s="1301">
        <f>(IF('Section Load'!AT9&gt;0,'Section Load'!AT9,0))</f>
        <v>34</v>
      </c>
    </row>
    <row r="7" spans="1:65">
      <c r="A7" s="1283" t="s">
        <v>301</v>
      </c>
      <c r="B7" s="1284">
        <f t="shared" si="0"/>
        <v>6</v>
      </c>
      <c r="C7" s="1284">
        <v>4</v>
      </c>
      <c r="D7" s="1284">
        <v>2021</v>
      </c>
      <c r="E7" s="1299">
        <f>(IF('Section Load'!F10&gt;0,'Section Load'!F10,0))</f>
        <v>2168</v>
      </c>
      <c r="F7" s="1299">
        <f>(IF('Section Load'!G10&gt;0,'Section Load'!G10,0))</f>
        <v>1189</v>
      </c>
      <c r="G7" s="1299">
        <f>(IF('Section Load'!H10&gt;0,'Section Load'!H10,0))</f>
        <v>1199</v>
      </c>
      <c r="H7" s="1299">
        <f>(IF('Section Load'!I10&gt;0,'Section Load'!I10,0))</f>
        <v>2160</v>
      </c>
      <c r="I7" s="1299">
        <f>(IF('Section Load'!J10&gt;0,'Section Load'!J10,0))</f>
        <v>4851</v>
      </c>
      <c r="J7" s="1299">
        <f>(IF('Section Load'!K10&gt;0,'Section Load'!K10,0))</f>
        <v>2297</v>
      </c>
      <c r="K7" s="1299">
        <f>(IF('Section Load'!L10&gt;0,'Section Load'!L10,0))</f>
        <v>848</v>
      </c>
      <c r="L7" s="1299">
        <f>(IF('Section Load'!M10&gt;0,'Section Load'!M10,0))</f>
        <v>320</v>
      </c>
      <c r="M7" s="1299">
        <f>(IF('Section Load'!N10&gt;0,'Section Load'!N10,0))</f>
        <v>31</v>
      </c>
      <c r="N7" s="1299">
        <f>(IF('Section Load'!O10&gt;0,'Section Load'!O10,0))</f>
        <v>1</v>
      </c>
      <c r="O7" s="1299">
        <f>(IF('Section Load'!P10&gt;0,'Section Load'!P10,0))</f>
        <v>15</v>
      </c>
      <c r="P7" s="1299">
        <f>(IF('Section Load'!Q10&gt;0,'Section Load'!Q10,0))</f>
        <v>54</v>
      </c>
      <c r="Q7" s="1299">
        <f>(IF('Section Load'!R10&gt;0,'Section Load'!R10,0))</f>
        <v>52</v>
      </c>
      <c r="R7" s="1299">
        <f>(IF('Section Load'!S10&gt;0,'Section Load'!S10,0))</f>
        <v>50</v>
      </c>
      <c r="S7" s="1299">
        <f>(IF('Section Load'!T10&gt;0,'Section Load'!T10,0))</f>
        <v>49</v>
      </c>
      <c r="T7" s="1299">
        <f>(IF('Section Load'!U10&gt;0,'Section Load'!U10,0))</f>
        <v>157</v>
      </c>
      <c r="U7" s="1299">
        <f>(IF('Section Load'!V10&gt;0,'Section Load'!V10,0))</f>
        <v>351</v>
      </c>
      <c r="V7" s="1299">
        <f>(IF('Section Load'!W10&gt;0,'Section Load'!W10,0))</f>
        <v>123</v>
      </c>
      <c r="W7" s="1299">
        <f>(IF('Section Load'!X10&gt;0,'Section Load'!X10,0))</f>
        <v>41</v>
      </c>
      <c r="X7" s="1299">
        <f>(IF('Section Load'!Y10&gt;0,'Section Load'!Y10,0))</f>
        <v>123</v>
      </c>
      <c r="Y7" s="1299">
        <f>(IF('Section Load'!Z10&gt;0,'Section Load'!Z10,0))</f>
        <v>214</v>
      </c>
      <c r="Z7" s="1299">
        <f>(IF('Section Load'!AA10&gt;0,'Section Load'!AA10,0))</f>
        <v>29</v>
      </c>
      <c r="AA7" s="1299">
        <f>(IF('Section Load'!AB10&gt;0,'Section Load'!AB10,0))</f>
        <v>18</v>
      </c>
      <c r="AB7" s="1299">
        <f>(IF('Section Load'!AC10&gt;0,'Section Load'!AC10,0))</f>
        <v>23</v>
      </c>
      <c r="AC7" s="1299">
        <f>(IF('Section Load'!AD10&gt;0,'Section Load'!AD10,0))</f>
        <v>6</v>
      </c>
      <c r="AD7" s="1299">
        <f>(IF('Section Load'!AE10&gt;0,'Section Load'!AE10,0))</f>
        <v>0</v>
      </c>
      <c r="AE7" s="1299">
        <f>(IF('Section Load'!AF10&gt;0,'Section Load'!AF10,0))</f>
        <v>4</v>
      </c>
      <c r="AF7" s="1299">
        <f>(IF('Section Load'!AG10&gt;0,'Section Load'!AG10,0))</f>
        <v>204</v>
      </c>
      <c r="AG7" s="1299">
        <f>(IF('Section Load'!AH10&gt;0,'Section Load'!AH10,0))</f>
        <v>175</v>
      </c>
      <c r="AH7" s="1299">
        <f>(IF('Section Load'!AI10&gt;0,'Section Load'!AI10,0))</f>
        <v>252</v>
      </c>
      <c r="AI7" s="1299">
        <f>(IF('Section Load'!AJ10&gt;0,'Section Load'!AJ10,0))</f>
        <v>145</v>
      </c>
      <c r="AJ7" s="1299">
        <f>(IF('Section Load'!AK10&gt;0,'Section Load'!AK10,0))</f>
        <v>0</v>
      </c>
      <c r="AK7" s="1299">
        <f>(IF('Section Load'!AL10&gt;0,'Section Load'!AL10,0))</f>
        <v>41</v>
      </c>
      <c r="AL7" s="1299">
        <f>(IF('Section Load'!AM10&gt;0,'Section Load'!AM10,0))</f>
        <v>830</v>
      </c>
      <c r="AM7" s="1300">
        <f>(IF('Water Report'!$I$7&gt;0,'Water Report'!$I$7,0))</f>
        <v>0</v>
      </c>
      <c r="AN7" s="1300">
        <f>(IF('Water Report'!$I$8&gt;0,'Water Report'!$I$8,0))</f>
        <v>100</v>
      </c>
      <c r="AO7" s="1300">
        <f>(IF('Water Report'!$I$9&gt;0,'Water Report'!$I$9,0))</f>
        <v>39</v>
      </c>
      <c r="AP7" s="1300">
        <f>(IF('Water Report'!$I$10&gt;0,'Water Report'!$I$10,0))</f>
        <v>9</v>
      </c>
      <c r="AQ7" s="1300">
        <f>(IF('Water Report'!$I$11&gt;0,'Water Report'!$I$11,0))</f>
        <v>9</v>
      </c>
      <c r="AR7" s="1300">
        <f>(IF('Water Report'!$I$13&gt;0,'Water Report'!$I$13,0))</f>
        <v>8</v>
      </c>
      <c r="AS7" s="1300">
        <f>(IF('Water Report'!$I$14&gt;0,'Water Report'!$I$14,0))</f>
        <v>3</v>
      </c>
      <c r="AT7" s="1300">
        <f>(IF('Water Report'!$I$15&gt;0,'Water Report'!$I$15,0))</f>
        <v>3</v>
      </c>
      <c r="AU7" s="1300">
        <f>(IF('Water Report'!$I$17&gt;0,'Water Report'!$I$17,0))</f>
        <v>4</v>
      </c>
      <c r="AV7" s="1300">
        <f>(IF('Water Report'!$I$18&gt;0,'Water Report'!$I$18,0))</f>
        <v>0</v>
      </c>
      <c r="AW7" s="1300">
        <f>(IF('Water Report'!$I$19&gt;0,'Water Report'!$I$19,0))</f>
        <v>3</v>
      </c>
      <c r="AX7" s="1379">
        <f>(IF('Water Report'!$I$21&gt;0,'Water Report'!$I$21,0))</f>
        <v>40</v>
      </c>
      <c r="AY7" s="1379">
        <f>(IF('Water Report'!$I$22&gt;0,'Water Report'!$I$22,0))</f>
        <v>0</v>
      </c>
      <c r="AZ7" s="1379">
        <f>(IF('Water Report'!$I$23&gt;0,'Water Report'!$I$23,0))</f>
        <v>0</v>
      </c>
      <c r="BA7" s="1379">
        <f>(IF('Water Report'!$I$14&gt;0,'Water Report'!$I$14,0))</f>
        <v>3</v>
      </c>
      <c r="BB7" s="1379">
        <f>(IF('Water Report'!$I$15&gt;0,'Water Report'!$I$15,0))</f>
        <v>3</v>
      </c>
      <c r="BC7" s="1379">
        <f>(IF('Water Report'!$I$13&gt;0,'Water Report'!$I$13,0))</f>
        <v>8</v>
      </c>
      <c r="BD7" s="1379">
        <f>(IF('Water Report'!$I$24&gt;0,'Water Report'!$I$24,0))</f>
        <v>56</v>
      </c>
      <c r="BE7" s="1379">
        <f>(IF('Water Report'!$I$25&gt;0,'Water Report'!$I$25,0))</f>
        <v>63</v>
      </c>
      <c r="BF7" s="1379">
        <f>(IF('Water Report'!$I$27&gt;0,'Water Report'!$I$27,0))</f>
        <v>48</v>
      </c>
      <c r="BG7" s="1301">
        <f>(IF('Section Load'!AN10&gt;0,'Section Load'!AN10,0))</f>
        <v>477</v>
      </c>
      <c r="BH7" s="1301">
        <f>(IF('Section Load'!AO10&gt;0,'Section Load'!AO10,0))</f>
        <v>206</v>
      </c>
      <c r="BI7" s="1301">
        <f>(IF('Section Load'!AP10&gt;0,'Section Load'!AP10,0))</f>
        <v>0</v>
      </c>
      <c r="BJ7" s="1301">
        <f>(IF('Section Load'!AQ10&gt;0,'Section Load'!AQ10,0))</f>
        <v>57</v>
      </c>
      <c r="BK7" s="1301">
        <f>(IF('Section Load'!AR10&gt;0,'Section Load'!AR10,0))</f>
        <v>0</v>
      </c>
      <c r="BL7" s="1301">
        <f>(IF('Section Load'!AS10&gt;0,'Section Load'!AS10,0))</f>
        <v>0</v>
      </c>
      <c r="BM7" s="1301">
        <f>(IF('Section Load'!AT10&gt;0,'Section Load'!AT10,0))</f>
        <v>214</v>
      </c>
    </row>
    <row r="8" spans="1:65">
      <c r="A8" s="1283" t="s">
        <v>301</v>
      </c>
      <c r="B8" s="1284">
        <f t="shared" si="0"/>
        <v>7</v>
      </c>
      <c r="C8" s="1284">
        <v>4</v>
      </c>
      <c r="D8" s="1284">
        <v>2021</v>
      </c>
      <c r="E8" s="1299">
        <f>(IF('Section Load'!F11&gt;0,'Section Load'!F11,0))</f>
        <v>2063</v>
      </c>
      <c r="F8" s="1299">
        <f>(IF('Section Load'!G11&gt;0,'Section Load'!G11,0))</f>
        <v>1225</v>
      </c>
      <c r="G8" s="1299">
        <f>(IF('Section Load'!H11&gt;0,'Section Load'!H11,0))</f>
        <v>1112</v>
      </c>
      <c r="H8" s="1299">
        <f>(IF('Section Load'!I11&gt;0,'Section Load'!I11,0))</f>
        <v>2122</v>
      </c>
      <c r="I8" s="1299">
        <f>(IF('Section Load'!J11&gt;0,'Section Load'!J11,0))</f>
        <v>4616</v>
      </c>
      <c r="J8" s="1299">
        <f>(IF('Section Load'!K11&gt;0,'Section Load'!K11,0))</f>
        <v>2190</v>
      </c>
      <c r="K8" s="1299">
        <f>(IF('Section Load'!L11&gt;0,'Section Load'!L11,0))</f>
        <v>857</v>
      </c>
      <c r="L8" s="1299">
        <f>(IF('Section Load'!M11&gt;0,'Section Load'!M11,0))</f>
        <v>310</v>
      </c>
      <c r="M8" s="1299">
        <f>(IF('Section Load'!N11&gt;0,'Section Load'!N11,0))</f>
        <v>2</v>
      </c>
      <c r="N8" s="1299">
        <f>(IF('Section Load'!O11&gt;0,'Section Load'!O11,0))</f>
        <v>1</v>
      </c>
      <c r="O8" s="1299">
        <f>(IF('Section Load'!P11&gt;0,'Section Load'!P11,0))</f>
        <v>12</v>
      </c>
      <c r="P8" s="1299">
        <f>(IF('Section Load'!Q11&gt;0,'Section Load'!Q11,0))</f>
        <v>55</v>
      </c>
      <c r="Q8" s="1299">
        <f>(IF('Section Load'!R11&gt;0,'Section Load'!R11,0))</f>
        <v>55</v>
      </c>
      <c r="R8" s="1299">
        <f>(IF('Section Load'!S11&gt;0,'Section Load'!S11,0))</f>
        <v>50</v>
      </c>
      <c r="S8" s="1299">
        <f>(IF('Section Load'!T11&gt;0,'Section Load'!T11,0))</f>
        <v>72</v>
      </c>
      <c r="T8" s="1299">
        <f>(IF('Section Load'!U11&gt;0,'Section Load'!U11,0))</f>
        <v>144</v>
      </c>
      <c r="U8" s="1299">
        <f>(IF('Section Load'!V11&gt;0,'Section Load'!V11,0))</f>
        <v>367</v>
      </c>
      <c r="V8" s="1299">
        <f>(IF('Section Load'!W11&gt;0,'Section Load'!W11,0))</f>
        <v>31</v>
      </c>
      <c r="W8" s="1299">
        <f>(IF('Section Load'!X11&gt;0,'Section Load'!X11,0))</f>
        <v>19</v>
      </c>
      <c r="X8" s="1299">
        <f>(IF('Section Load'!Y11&gt;0,'Section Load'!Y11,0))</f>
        <v>0</v>
      </c>
      <c r="Y8" s="1299">
        <f>(IF('Section Load'!Z11&gt;0,'Section Load'!Z11,0))</f>
        <v>197</v>
      </c>
      <c r="Z8" s="1299">
        <f>(IF('Section Load'!AA11&gt;0,'Section Load'!AA11,0))</f>
        <v>32</v>
      </c>
      <c r="AA8" s="1299">
        <f>(IF('Section Load'!AB11&gt;0,'Section Load'!AB11,0))</f>
        <v>28</v>
      </c>
      <c r="AB8" s="1299">
        <f>(IF('Section Load'!AC11&gt;0,'Section Load'!AC11,0))</f>
        <v>24</v>
      </c>
      <c r="AC8" s="1299">
        <f>(IF('Section Load'!AD11&gt;0,'Section Load'!AD11,0))</f>
        <v>7</v>
      </c>
      <c r="AD8" s="1299">
        <f>(IF('Section Load'!AE11&gt;0,'Section Load'!AE11,0))</f>
        <v>0</v>
      </c>
      <c r="AE8" s="1299">
        <f>(IF('Section Load'!AF11&gt;0,'Section Load'!AF11,0))</f>
        <v>4</v>
      </c>
      <c r="AF8" s="1299">
        <f>(IF('Section Load'!AG11&gt;0,'Section Load'!AG11,0))</f>
        <v>207</v>
      </c>
      <c r="AG8" s="1299">
        <f>(IF('Section Load'!AH11&gt;0,'Section Load'!AH11,0))</f>
        <v>170</v>
      </c>
      <c r="AH8" s="1299">
        <f>(IF('Section Load'!AI11&gt;0,'Section Load'!AI11,0))</f>
        <v>249</v>
      </c>
      <c r="AI8" s="1299">
        <f>(IF('Section Load'!AJ11&gt;0,'Section Load'!AJ11,0))</f>
        <v>125</v>
      </c>
      <c r="AJ8" s="1299">
        <f>(IF('Section Load'!AK11&gt;0,'Section Load'!AK11,0))</f>
        <v>0</v>
      </c>
      <c r="AK8" s="1299">
        <f>(IF('Section Load'!AL11&gt;0,'Section Load'!AL11,0))</f>
        <v>34</v>
      </c>
      <c r="AL8" s="1299">
        <f>(IF('Section Load'!AM11&gt;0,'Section Load'!AM11,0))</f>
        <v>846</v>
      </c>
      <c r="AM8" s="1300">
        <f>(IF('Water Report'!$J$7&gt;0,'Water Report'!$J$7,0))</f>
        <v>0</v>
      </c>
      <c r="AN8" s="1300">
        <f>(IF('Water Report'!$J$8&gt;0,'Water Report'!$J$8,0))</f>
        <v>71</v>
      </c>
      <c r="AO8" s="1300">
        <f>(IF('Water Report'!$J$9&gt;0,'Water Report'!$J$9,0))</f>
        <v>31</v>
      </c>
      <c r="AP8" s="1300">
        <f>(IF('Water Report'!$J$10&gt;0,'Water Report'!$J$10,0))</f>
        <v>8</v>
      </c>
      <c r="AQ8" s="1300">
        <f>(IF('Water Report'!$J$11&gt;0,'Water Report'!$J$11,0))</f>
        <v>10</v>
      </c>
      <c r="AR8" s="1300">
        <f>(IF('Water Report'!$J$13&gt;0,'Water Report'!$J$13,0))</f>
        <v>5</v>
      </c>
      <c r="AS8" s="1300">
        <f>(IF('Water Report'!$J$14&gt;0,'Water Report'!$J$14,0))</f>
        <v>5</v>
      </c>
      <c r="AT8" s="1300">
        <f>(IF('Water Report'!$J$15&gt;0,'Water Report'!$J$15,0))</f>
        <v>9</v>
      </c>
      <c r="AU8" s="1300">
        <f>(IF('Water Report'!$J$17&gt;0,'Water Report'!$J$17,0))</f>
        <v>5</v>
      </c>
      <c r="AV8" s="1300">
        <f>(IF('Water Report'!$J$18&gt;0,'Water Report'!$J$18,0))</f>
        <v>6</v>
      </c>
      <c r="AW8" s="1300">
        <f>(IF('Water Report'!$J$19&gt;0,'Water Report'!$J$19,0))</f>
        <v>1</v>
      </c>
      <c r="AX8" s="1379">
        <f>(IF('Water Report'!$J$21&gt;0,'Water Report'!$J$21,0))</f>
        <v>59</v>
      </c>
      <c r="AY8" s="1379">
        <f>(IF('Water Report'!$J$22&gt;0,'Water Report'!$J$22,0))</f>
        <v>0</v>
      </c>
      <c r="AZ8" s="1379">
        <f>(IF('Water Report'!$J$23&gt;0,'Water Report'!$J$23,0))</f>
        <v>19</v>
      </c>
      <c r="BA8" s="1379">
        <f>(IF('Water Report'!$J$14&gt;0,'Water Report'!$J$14,0))</f>
        <v>5</v>
      </c>
      <c r="BB8" s="1379">
        <f>(IF('Water Report'!$J$15&gt;0,'Water Report'!$J$15,0))</f>
        <v>9</v>
      </c>
      <c r="BC8" s="1379">
        <f>(IF('Water Report'!$J$13&gt;0,'Water Report'!$J$13,0))</f>
        <v>5</v>
      </c>
      <c r="BD8" s="1379">
        <f>(IF('Water Report'!$J$24&gt;0,'Water Report'!$J$24,0))</f>
        <v>56</v>
      </c>
      <c r="BE8" s="1379">
        <f>(IF('Water Report'!$J$25&gt;0,'Water Report'!$J$25,0))</f>
        <v>63</v>
      </c>
      <c r="BF8" s="1379">
        <f>(IF('Water Report'!$J$27&gt;0,'Water Report'!$J$27,0))</f>
        <v>83</v>
      </c>
      <c r="BG8" s="1301">
        <f>(IF('Section Load'!AN11&gt;0,'Section Load'!AN11,0))</f>
        <v>348</v>
      </c>
      <c r="BH8" s="1301">
        <f>(IF('Section Load'!AO11&gt;0,'Section Load'!AO11,0))</f>
        <v>204</v>
      </c>
      <c r="BI8" s="1301">
        <f>(IF('Section Load'!AP11&gt;0,'Section Load'!AP11,0))</f>
        <v>0</v>
      </c>
      <c r="BJ8" s="1301">
        <f>(IF('Section Load'!AQ11&gt;0,'Section Load'!AQ11,0))</f>
        <v>71</v>
      </c>
      <c r="BK8" s="1301">
        <f>(IF('Section Load'!AR11&gt;0,'Section Load'!AR11,0))</f>
        <v>0</v>
      </c>
      <c r="BL8" s="1301">
        <f>(IF('Section Load'!AS11&gt;0,'Section Load'!AS11,0))</f>
        <v>0</v>
      </c>
      <c r="BM8" s="1301">
        <f>(IF('Section Load'!AT11&gt;0,'Section Load'!AT11,0))</f>
        <v>73</v>
      </c>
    </row>
    <row r="9" spans="1:65">
      <c r="A9" s="1283" t="s">
        <v>301</v>
      </c>
      <c r="B9" s="1284">
        <f t="shared" si="0"/>
        <v>8</v>
      </c>
      <c r="C9" s="1284">
        <v>4</v>
      </c>
      <c r="D9" s="1284">
        <v>2021</v>
      </c>
      <c r="E9" s="1299">
        <f>(IF('Section Load'!F12&gt;0,'Section Load'!F12,0))</f>
        <v>2427.5999999999767</v>
      </c>
      <c r="F9" s="1299">
        <f>(IF('Section Load'!G12&gt;0,'Section Load'!G12,0))</f>
        <v>1346.8899999999994</v>
      </c>
      <c r="G9" s="1299">
        <f>(IF('Section Load'!H12&gt;0,'Section Load'!H12,0))</f>
        <v>1203.3399999999529</v>
      </c>
      <c r="H9" s="1299">
        <f>(IF('Section Load'!I12&gt;0,'Section Load'!I12,0))</f>
        <v>2445.820000000007</v>
      </c>
      <c r="I9" s="1299">
        <f>(IF('Section Load'!J12&gt;0,'Section Load'!J12,0))</f>
        <v>4895.3799999999901</v>
      </c>
      <c r="J9" s="1299">
        <f>(IF('Section Load'!K12&gt;0,'Section Load'!K12,0))</f>
        <v>2425.2700000000186</v>
      </c>
      <c r="K9" s="1299">
        <f>(IF('Section Load'!L12&gt;0,'Section Load'!L12,0))</f>
        <v>1386.3099999999977</v>
      </c>
      <c r="L9" s="1299">
        <f>(IF('Section Load'!M12&gt;0,'Section Load'!M12,0))</f>
        <v>0</v>
      </c>
      <c r="M9" s="1299">
        <f>(IF('Section Load'!N12&gt;0,'Section Load'!N12,0))</f>
        <v>15</v>
      </c>
      <c r="N9" s="1299">
        <f>(IF('Section Load'!O12&gt;0,'Section Load'!O12,0))</f>
        <v>1</v>
      </c>
      <c r="O9" s="1299">
        <f>(IF('Section Load'!P12&gt;0,'Section Load'!P12,0))</f>
        <v>11.699999999999818</v>
      </c>
      <c r="P9" s="1299">
        <f>(IF('Section Load'!Q12&gt;0,'Section Load'!Q12,0))</f>
        <v>66.6299999999992</v>
      </c>
      <c r="Q9" s="1299">
        <f>(IF('Section Load'!R12&gt;0,'Section Load'!R12,0))</f>
        <v>54.920000000000073</v>
      </c>
      <c r="R9" s="1299">
        <f>(IF('Section Load'!S12&gt;0,'Section Load'!S12,0))</f>
        <v>48</v>
      </c>
      <c r="S9" s="1299">
        <f>(IF('Section Load'!T12&gt;0,'Section Load'!T12,0))</f>
        <v>69</v>
      </c>
      <c r="T9" s="1299">
        <f>(IF('Section Load'!U12&gt;0,'Section Load'!U12,0))</f>
        <v>104</v>
      </c>
      <c r="U9" s="1299">
        <f>(IF('Section Load'!V12&gt;0,'Section Load'!V12,0))</f>
        <v>373.71999999997206</v>
      </c>
      <c r="V9" s="1299">
        <f>(IF('Section Load'!W12&gt;0,'Section Load'!W12,0))</f>
        <v>71.800000000046566</v>
      </c>
      <c r="W9" s="1299">
        <f>(IF('Section Load'!X12&gt;0,'Section Load'!X12,0))</f>
        <v>11.660000000003492</v>
      </c>
      <c r="X9" s="1299">
        <f>(IF('Section Load'!Y12&gt;0,'Section Load'!Y12,0))</f>
        <v>205.12999999999738</v>
      </c>
      <c r="Y9" s="1299">
        <f>(IF('Section Load'!Z12&gt;0,'Section Load'!Z12,0))</f>
        <v>156</v>
      </c>
      <c r="Z9" s="1299">
        <f>(IF('Section Load'!AA12&gt;0,'Section Load'!AA12,0))</f>
        <v>28.71999999997206</v>
      </c>
      <c r="AA9" s="1299">
        <f>(IF('Section Load'!AB12&gt;0,'Section Load'!AB12,0))</f>
        <v>1.6999999999970896</v>
      </c>
      <c r="AB9" s="1299">
        <f>(IF('Section Load'!AC12&gt;0,'Section Load'!AC12,0))</f>
        <v>20.950000000011642</v>
      </c>
      <c r="AC9" s="1299">
        <f>(IF('Section Load'!AD12&gt;0,'Section Load'!AD12,0))</f>
        <v>7.3000000000015461</v>
      </c>
      <c r="AD9" s="1299">
        <f>(IF('Section Load'!AE12&gt;0,'Section Load'!AE12,0))</f>
        <v>0</v>
      </c>
      <c r="AE9" s="1299">
        <f>(IF('Section Load'!AF12&gt;0,'Section Load'!AF12,0))</f>
        <v>3.5399999999999636</v>
      </c>
      <c r="AF9" s="1299">
        <f>(IF('Section Load'!AG12&gt;0,'Section Load'!AG12,0))</f>
        <v>207.58999999999651</v>
      </c>
      <c r="AG9" s="1299">
        <f>(IF('Section Load'!AH12&gt;0,'Section Load'!AH12,0))</f>
        <v>208.20000000001164</v>
      </c>
      <c r="AH9" s="1299">
        <f>(IF('Section Load'!AI12&gt;0,'Section Load'!AI12,0))</f>
        <v>277.48999999999796</v>
      </c>
      <c r="AI9" s="1299">
        <f>(IF('Section Load'!AJ12&gt;0,'Section Load'!AJ12,0))</f>
        <v>166.26999999998952</v>
      </c>
      <c r="AJ9" s="1299">
        <f>(IF('Section Load'!AK12&gt;0,'Section Load'!AK12,0))</f>
        <v>0</v>
      </c>
      <c r="AK9" s="1299">
        <f>(IF('Section Load'!AL12&gt;0,'Section Load'!AL12,0))</f>
        <v>141.39999999999418</v>
      </c>
      <c r="AL9" s="1299">
        <f>(IF('Section Load'!AM12&gt;0,'Section Load'!AM12,0))</f>
        <v>794</v>
      </c>
      <c r="AM9" s="1300">
        <f>(IF('Water Report'!$K$7&gt;0,'Water Report'!$K$7,0))</f>
        <v>53</v>
      </c>
      <c r="AN9" s="1300">
        <f>(IF('Water Report'!$K$8&gt;0,'Water Report'!$K$8,0))</f>
        <v>49</v>
      </c>
      <c r="AO9" s="1300">
        <f>(IF('Water Report'!$K$9&gt;0,'Water Report'!$K$9,0))</f>
        <v>78</v>
      </c>
      <c r="AP9" s="1300">
        <f>(IF('Water Report'!$K$10&gt;0,'Water Report'!$K$10,0))</f>
        <v>9</v>
      </c>
      <c r="AQ9" s="1300">
        <f>(IF('Water Report'!$K$11&gt;0,'Water Report'!$K$11,0))</f>
        <v>13</v>
      </c>
      <c r="AR9" s="1300">
        <f>(IF('Water Report'!$K$13&gt;0,'Water Report'!$K$13,0))</f>
        <v>14</v>
      </c>
      <c r="AS9" s="1300">
        <f>(IF('Water Report'!$K$14&gt;0,'Water Report'!$K$14,0))</f>
        <v>4</v>
      </c>
      <c r="AT9" s="1300">
        <f>(IF('Water Report'!$K$15&gt;0,'Water Report'!$K$15,0))</f>
        <v>4</v>
      </c>
      <c r="AU9" s="1300">
        <f>(IF('Water Report'!$K$17&gt;0,'Water Report'!$K$17,0))</f>
        <v>0</v>
      </c>
      <c r="AV9" s="1300">
        <f>(IF('Water Report'!$K$18&gt;0,'Water Report'!$K$18,0))</f>
        <v>6</v>
      </c>
      <c r="AW9" s="1300">
        <f>(IF('Water Report'!$K$19&gt;0,'Water Report'!$K$19,0))</f>
        <v>8</v>
      </c>
      <c r="AX9" s="1379">
        <f>(IF('Water Report'!$K$21&gt;0,'Water Report'!$K$21,0))</f>
        <v>41</v>
      </c>
      <c r="AY9" s="1379">
        <f>(IF('Water Report'!$K$22&gt;0,'Water Report'!$K$22,0))</f>
        <v>12</v>
      </c>
      <c r="AZ9" s="1379">
        <f>(IF('Water Report'!$K$23&gt;0,'Water Report'!$K$23,0))</f>
        <v>0</v>
      </c>
      <c r="BA9" s="1379">
        <f>(IF('Water Report'!$K$14&gt;0,'Water Report'!$K$14,0))</f>
        <v>4</v>
      </c>
      <c r="BB9" s="1379">
        <f>(IF('Water Report'!$K$15&gt;0,'Water Report'!$K$15,0))</f>
        <v>4</v>
      </c>
      <c r="BC9" s="1379">
        <f>(IF('Water Report'!$K$13&gt;0,'Water Report'!$K$13,0))</f>
        <v>14</v>
      </c>
      <c r="BD9" s="1379">
        <f>(IF('Water Report'!$K$24&gt;0,'Water Report'!$K$24,0))</f>
        <v>115</v>
      </c>
      <c r="BE9" s="1379">
        <f>(IF('Water Report'!$K$25&gt;0,'Water Report'!$K$25,0))</f>
        <v>108</v>
      </c>
      <c r="BF9" s="1379">
        <f>(IF('Water Report'!$K$27&gt;0,'Water Report'!$K$27,0))</f>
        <v>55</v>
      </c>
      <c r="BG9" s="1301">
        <f>(IF('Section Load'!AN12&gt;0,'Section Load'!AN12,0))</f>
        <v>613.47999999998137</v>
      </c>
      <c r="BH9" s="1301">
        <f>(IF('Section Load'!AO12&gt;0,'Section Load'!AO12,0))</f>
        <v>209.8399999999674</v>
      </c>
      <c r="BI9" s="1301">
        <f>(IF('Section Load'!AP12&gt;0,'Section Load'!AP12,0))</f>
        <v>0.39999999999417923</v>
      </c>
      <c r="BJ9" s="1301">
        <f>(IF('Section Load'!AQ12&gt;0,'Section Load'!AQ12,0))</f>
        <v>77.5</v>
      </c>
      <c r="BK9" s="1301">
        <f>(IF('Section Load'!AR12&gt;0,'Section Load'!AR12,0))</f>
        <v>0.2000000000007276</v>
      </c>
      <c r="BL9" s="1301">
        <f>(IF('Section Load'!AS12&gt;0,'Section Load'!AS12,0))</f>
        <v>0.6000000000003638</v>
      </c>
      <c r="BM9" s="1301">
        <f>(IF('Section Load'!AT12&gt;0,'Section Load'!AT12,0))</f>
        <v>324.9400000000187</v>
      </c>
    </row>
    <row r="10" spans="1:65">
      <c r="A10" s="1283" t="s">
        <v>301</v>
      </c>
      <c r="B10" s="1284">
        <f t="shared" si="0"/>
        <v>9</v>
      </c>
      <c r="C10" s="1284">
        <v>4</v>
      </c>
      <c r="D10" s="1284">
        <v>2021</v>
      </c>
      <c r="E10" s="1299">
        <f>(IF('Section Load'!F13&gt;0,'Section Load'!F13,0))</f>
        <v>2125.5300000000279</v>
      </c>
      <c r="F10" s="1299">
        <f>(IF('Section Load'!G13&gt;0,'Section Load'!G13,0))</f>
        <v>1183.9799999999959</v>
      </c>
      <c r="G10" s="1299">
        <f>(IF('Section Load'!H13&gt;0,'Section Load'!H13,0))</f>
        <v>1229.7299999999959</v>
      </c>
      <c r="H10" s="1299">
        <f>(IF('Section Load'!I13&gt;0,'Section Load'!I13,0))</f>
        <v>2303.179999999993</v>
      </c>
      <c r="I10" s="1299">
        <f>(IF('Section Load'!J13&gt;0,'Section Load'!J13,0))</f>
        <v>4766.7299999999959</v>
      </c>
      <c r="J10" s="1299">
        <f>(IF('Section Load'!K13&gt;0,'Section Load'!K13,0))</f>
        <v>2140.7299999999814</v>
      </c>
      <c r="K10" s="1299">
        <f>(IF('Section Load'!L13&gt;0,'Section Load'!L13,0))</f>
        <v>861.69000000000233</v>
      </c>
      <c r="L10" s="1299">
        <f>(IF('Section Load'!M13&gt;0,'Section Load'!M13,0))</f>
        <v>0</v>
      </c>
      <c r="M10" s="1299">
        <f>(IF('Section Load'!N13&gt;0,'Section Load'!N13,0))</f>
        <v>16</v>
      </c>
      <c r="N10" s="1299">
        <f>(IF('Section Load'!O13&gt;0,'Section Load'!O13,0))</f>
        <v>1</v>
      </c>
      <c r="O10" s="1299">
        <f>(IF('Section Load'!P13&gt;0,'Section Load'!P13,0))</f>
        <v>10.300000000000182</v>
      </c>
      <c r="P10" s="1299">
        <f>(IF('Section Load'!Q13&gt;0,'Section Load'!Q13,0))</f>
        <v>51.3700000000008</v>
      </c>
      <c r="Q10" s="1299">
        <f>(IF('Section Load'!R13&gt;0,'Section Load'!R13,0))</f>
        <v>55.079999999999927</v>
      </c>
      <c r="R10" s="1299">
        <f>(IF('Section Load'!S13&gt;0,'Section Load'!S13,0))</f>
        <v>48</v>
      </c>
      <c r="S10" s="1299">
        <f>(IF('Section Load'!T13&gt;0,'Section Load'!T13,0))</f>
        <v>66</v>
      </c>
      <c r="T10" s="1299">
        <f>(IF('Section Load'!U13&gt;0,'Section Load'!U13,0))</f>
        <v>106</v>
      </c>
      <c r="U10" s="1299">
        <f>(IF('Section Load'!V13&gt;0,'Section Load'!V13,0))</f>
        <v>389.28000000002794</v>
      </c>
      <c r="V10" s="1299">
        <f>(IF('Section Load'!W13&gt;0,'Section Load'!W13,0))</f>
        <v>76.199999999953434</v>
      </c>
      <c r="W10" s="1299">
        <f>(IF('Section Load'!X13&gt;0,'Section Load'!X13,0))</f>
        <v>33.339999999996508</v>
      </c>
      <c r="X10" s="1299">
        <f>(IF('Section Load'!Y13&gt;0,'Section Load'!Y13,0))</f>
        <v>11.870000000002619</v>
      </c>
      <c r="Y10" s="1299">
        <f>(IF('Section Load'!Z13&gt;0,'Section Load'!Z13,0))</f>
        <v>232</v>
      </c>
      <c r="Z10" s="1299">
        <f>(IF('Section Load'!AA13&gt;0,'Section Load'!AA13,0))</f>
        <v>30.28000000002794</v>
      </c>
      <c r="AA10" s="1299">
        <f>(IF('Section Load'!AB13&gt;0,'Section Load'!AB13,0))</f>
        <v>10.30000000000291</v>
      </c>
      <c r="AB10" s="1299">
        <f>(IF('Section Load'!AC13&gt;0,'Section Load'!AC13,0))</f>
        <v>22.049999999988358</v>
      </c>
      <c r="AC10" s="1299">
        <f>(IF('Section Load'!AD13&gt;0,'Section Load'!AD13,0))</f>
        <v>6.0999999999985448</v>
      </c>
      <c r="AD10" s="1299">
        <f>(IF('Section Load'!AE13&gt;0,'Section Load'!AE13,0))</f>
        <v>0</v>
      </c>
      <c r="AE10" s="1299">
        <f>(IF('Section Load'!AF13&gt;0,'Section Load'!AF13,0))</f>
        <v>3.4600000000000364</v>
      </c>
      <c r="AF10" s="1299">
        <f>(IF('Section Load'!AG13&gt;0,'Section Load'!AG13,0))</f>
        <v>195.41000000000349</v>
      </c>
      <c r="AG10" s="1299">
        <f>(IF('Section Load'!AH13&gt;0,'Section Load'!AH13,0))</f>
        <v>186.79999999998836</v>
      </c>
      <c r="AH10" s="1299">
        <f>(IF('Section Load'!AI13&gt;0,'Section Load'!AI13,0))</f>
        <v>253.51000000000204</v>
      </c>
      <c r="AI10" s="1299">
        <f>(IF('Section Load'!AJ13&gt;0,'Section Load'!AJ13,0))</f>
        <v>170.73000000001048</v>
      </c>
      <c r="AJ10" s="1299">
        <f>(IF('Section Load'!AK13&gt;0,'Section Load'!AK13,0))</f>
        <v>0</v>
      </c>
      <c r="AK10" s="1299">
        <f>(IF('Section Load'!AL13&gt;0,'Section Load'!AL13,0))</f>
        <v>112.60000000000582</v>
      </c>
      <c r="AL10" s="1299">
        <f>(IF('Section Load'!AM13&gt;0,'Section Load'!AM13,0))</f>
        <v>798</v>
      </c>
      <c r="AM10" s="1300">
        <f>(IF('Water Report'!$L$7&gt;0,'Water Report'!$L$7,0))</f>
        <v>32</v>
      </c>
      <c r="AN10" s="1300">
        <f>(IF('Water Report'!$L$8&gt;0,'Water Report'!$L$8,0))</f>
        <v>106</v>
      </c>
      <c r="AO10" s="1300">
        <f>(IF('Water Report'!$L$9&gt;0,'Water Report'!$L$9,0))</f>
        <v>40</v>
      </c>
      <c r="AP10" s="1300">
        <f>(IF('Water Report'!$L$10&gt;0,'Water Report'!$L$10,0))</f>
        <v>11</v>
      </c>
      <c r="AQ10" s="1300">
        <f>(IF('Water Report'!$L$11&gt;0,'Water Report'!$L$11,0))</f>
        <v>15</v>
      </c>
      <c r="AR10" s="1300">
        <f>(IF('Water Report'!$L$13&gt;0,'Water Report'!$L$13,0))</f>
        <v>10</v>
      </c>
      <c r="AS10" s="1300">
        <f>(IF('Water Report'!$L$14&gt;0,'Water Report'!$L$14,0))</f>
        <v>5</v>
      </c>
      <c r="AT10" s="1300">
        <f>(IF('Water Report'!$L$15&gt;0,'Water Report'!$L$15,0))</f>
        <v>4</v>
      </c>
      <c r="AU10" s="1300">
        <f>(IF('Water Report'!$L$17&gt;0,'Water Report'!$L$17,0))</f>
        <v>0</v>
      </c>
      <c r="AV10" s="1300">
        <f>(IF('Water Report'!$L$18&gt;0,'Water Report'!$L$18,0))</f>
        <v>157</v>
      </c>
      <c r="AW10" s="1300">
        <f>(IF('Water Report'!$L$19&gt;0,'Water Report'!$L$19,0))</f>
        <v>184</v>
      </c>
      <c r="AX10" s="1379">
        <f>(IF('Water Report'!$L$21&gt;0,'Water Report'!$L$21,0))</f>
        <v>50</v>
      </c>
      <c r="AY10" s="1379">
        <f>(IF('Water Report'!$L$22&gt;0,'Water Report'!$L$22,0))</f>
        <v>9</v>
      </c>
      <c r="AZ10" s="1379">
        <f>(IF('Water Report'!$L$23&gt;0,'Water Report'!$L$23,0))</f>
        <v>0</v>
      </c>
      <c r="BA10" s="1379">
        <f>(IF('Water Report'!$L$14&gt;0,'Water Report'!$L$14,0))</f>
        <v>5</v>
      </c>
      <c r="BB10" s="1379">
        <f>(IF('Water Report'!$L$15&gt;0,'Water Report'!$L$15,0))</f>
        <v>4</v>
      </c>
      <c r="BC10" s="1379">
        <f>(IF('Water Report'!$L$13&gt;0,'Water Report'!$L$13,0))</f>
        <v>10</v>
      </c>
      <c r="BD10" s="1379">
        <f>(IF('Water Report'!$L$24&gt;0,'Water Report'!$L$24,0))</f>
        <v>95</v>
      </c>
      <c r="BE10" s="1379">
        <f>(IF('Water Report'!$L$25&gt;0,'Water Report'!$L$25,0))</f>
        <v>75</v>
      </c>
      <c r="BF10" s="1379">
        <f>(IF('Water Report'!$L$27&gt;0,'Water Report'!$L$27,0))</f>
        <v>60</v>
      </c>
      <c r="BG10" s="1301">
        <f>(IF('Section Load'!AN13&gt;0,'Section Load'!AN13,0))</f>
        <v>523.52000000001863</v>
      </c>
      <c r="BH10" s="1301">
        <f>(IF('Section Load'!AO13&gt;0,'Section Load'!AO13,0))</f>
        <v>186.1600000000326</v>
      </c>
      <c r="BI10" s="1301">
        <f>(IF('Section Load'!AP13&gt;0,'Section Load'!AP13,0))</f>
        <v>0</v>
      </c>
      <c r="BJ10" s="1301">
        <f>(IF('Section Load'!AQ13&gt;0,'Section Load'!AQ13,0))</f>
        <v>62.5</v>
      </c>
      <c r="BK10" s="1301">
        <f>(IF('Section Load'!AR13&gt;0,'Section Load'!AR13,0))</f>
        <v>0</v>
      </c>
      <c r="BL10" s="1301">
        <f>(IF('Section Load'!AS13&gt;0,'Section Load'!AS13,0))</f>
        <v>0.3999999999996362</v>
      </c>
      <c r="BM10" s="1301">
        <f>(IF('Section Load'!AT13&gt;0,'Section Load'!AT13,0))</f>
        <v>274.45999999998639</v>
      </c>
    </row>
    <row r="11" spans="1:65">
      <c r="A11" s="1283" t="s">
        <v>301</v>
      </c>
      <c r="B11" s="1284">
        <f t="shared" si="0"/>
        <v>10</v>
      </c>
      <c r="C11" s="1284">
        <v>4</v>
      </c>
      <c r="D11" s="1284">
        <v>2021</v>
      </c>
      <c r="E11" s="1299">
        <f>(IF('Section Load'!F14&gt;0,'Section Load'!F14,0))</f>
        <v>1851</v>
      </c>
      <c r="F11" s="1299">
        <f>(IF('Section Load'!G14&gt;0,'Section Load'!G14,0))</f>
        <v>1187</v>
      </c>
      <c r="G11" s="1299">
        <f>(IF('Section Load'!H14&gt;0,'Section Load'!H14,0))</f>
        <v>1067</v>
      </c>
      <c r="H11" s="1299">
        <f>(IF('Section Load'!I14&gt;0,'Section Load'!I14,0))</f>
        <v>2173</v>
      </c>
      <c r="I11" s="1299">
        <f>(IF('Section Load'!J14&gt;0,'Section Load'!J14,0))</f>
        <v>4860.890000000014</v>
      </c>
      <c r="J11" s="1299">
        <f>(IF('Section Load'!K14&gt;0,'Section Load'!K14,0))</f>
        <v>2128</v>
      </c>
      <c r="K11" s="1299">
        <f>(IF('Section Load'!L14&gt;0,'Section Load'!L14,0))</f>
        <v>939</v>
      </c>
      <c r="L11" s="1299">
        <f>(IF('Section Load'!M14&gt;0,'Section Load'!M14,0))</f>
        <v>0</v>
      </c>
      <c r="M11" s="1299">
        <f>(IF('Section Load'!N14&gt;0,'Section Load'!N14,0))</f>
        <v>17</v>
      </c>
      <c r="N11" s="1299">
        <f>(IF('Section Load'!O14&gt;0,'Section Load'!O14,0))</f>
        <v>1</v>
      </c>
      <c r="O11" s="1299">
        <f>(IF('Section Load'!P14&gt;0,'Section Load'!P14,0))</f>
        <v>12</v>
      </c>
      <c r="P11" s="1299">
        <f>(IF('Section Load'!Q14&gt;0,'Section Load'!Q14,0))</f>
        <v>53</v>
      </c>
      <c r="Q11" s="1299">
        <f>(IF('Section Load'!R14&gt;0,'Section Load'!R14,0))</f>
        <v>57</v>
      </c>
      <c r="R11" s="1299">
        <f>(IF('Section Load'!S14&gt;0,'Section Load'!S14,0))</f>
        <v>52</v>
      </c>
      <c r="S11" s="1299">
        <f>(IF('Section Load'!T14&gt;0,'Section Load'!T14,0))</f>
        <v>70</v>
      </c>
      <c r="T11" s="1299">
        <f>(IF('Section Load'!U14&gt;0,'Section Load'!U14,0))</f>
        <v>109</v>
      </c>
      <c r="U11" s="1299">
        <f>(IF('Section Load'!V14&gt;0,'Section Load'!V14,0))</f>
        <v>343</v>
      </c>
      <c r="V11" s="1299">
        <f>(IF('Section Load'!W14&gt;0,'Section Load'!W14,0))</f>
        <v>77</v>
      </c>
      <c r="W11" s="1299">
        <f>(IF('Section Load'!X14&gt;0,'Section Load'!X14,0))</f>
        <v>11</v>
      </c>
      <c r="X11" s="1299">
        <f>(IF('Section Load'!Y14&gt;0,'Section Load'!Y14,0))</f>
        <v>49</v>
      </c>
      <c r="Y11" s="1299">
        <f>(IF('Section Load'!Z14&gt;0,'Section Load'!Z14,0))</f>
        <v>162</v>
      </c>
      <c r="Z11" s="1299">
        <f>(IF('Section Load'!AA14&gt;0,'Section Load'!AA14,0))</f>
        <v>93</v>
      </c>
      <c r="AA11" s="1299">
        <f>(IF('Section Load'!AB14&gt;0,'Section Load'!AB14,0))</f>
        <v>17</v>
      </c>
      <c r="AB11" s="1299">
        <f>(IF('Section Load'!AC14&gt;0,'Section Load'!AC14,0))</f>
        <v>119</v>
      </c>
      <c r="AC11" s="1299">
        <f>(IF('Section Load'!AD14&gt;0,'Section Load'!AD14,0))</f>
        <v>17</v>
      </c>
      <c r="AD11" s="1299">
        <f>(IF('Section Load'!AE14&gt;0,'Section Load'!AE14,0))</f>
        <v>0</v>
      </c>
      <c r="AE11" s="1299">
        <f>(IF('Section Load'!AF14&gt;0,'Section Load'!AF14,0))</f>
        <v>4</v>
      </c>
      <c r="AF11" s="1299">
        <f>(IF('Section Load'!AG14&gt;0,'Section Load'!AG14,0))</f>
        <v>203</v>
      </c>
      <c r="AG11" s="1299">
        <f>(IF('Section Load'!AH14&gt;0,'Section Load'!AH14,0))</f>
        <v>134</v>
      </c>
      <c r="AH11" s="1299">
        <f>(IF('Section Load'!AI14&gt;0,'Section Load'!AI14,0))</f>
        <v>259</v>
      </c>
      <c r="AI11" s="1299">
        <f>(IF('Section Load'!AJ14&gt;0,'Section Load'!AJ14,0))</f>
        <v>126</v>
      </c>
      <c r="AJ11" s="1299">
        <f>(IF('Section Load'!AK14&gt;0,'Section Load'!AK14,0))</f>
        <v>0</v>
      </c>
      <c r="AK11" s="1299">
        <f>(IF('Section Load'!AL14&gt;0,'Section Load'!AL14,0))</f>
        <v>100</v>
      </c>
      <c r="AL11" s="1299">
        <f>(IF('Section Load'!AM14&gt;0,'Section Load'!AM14,0))</f>
        <v>636</v>
      </c>
      <c r="AM11" s="1300">
        <f>(IF('Water Report'!$M$7&gt;0,'Water Report'!$M$7,0))</f>
        <v>0</v>
      </c>
      <c r="AN11" s="1300">
        <f>(IF('Water Report'!$M$8&gt;0,'Water Report'!$M$8,0))</f>
        <v>45</v>
      </c>
      <c r="AO11" s="1300">
        <f>(IF('Water Report'!$M$9&gt;0,'Water Report'!$M$9,0))</f>
        <v>24</v>
      </c>
      <c r="AP11" s="1300">
        <f>(IF('Water Report'!$M$10&gt;0,'Water Report'!$M$10,0))</f>
        <v>7</v>
      </c>
      <c r="AQ11" s="1300">
        <f>(IF('Water Report'!$M$11&gt;0,'Water Report'!$M$11,0))</f>
        <v>9</v>
      </c>
      <c r="AR11" s="1300">
        <f>(IF('Water Report'!$M$13&gt;0,'Water Report'!$M$13,0))</f>
        <v>12</v>
      </c>
      <c r="AS11" s="1300">
        <f>(IF('Water Report'!$M$14&gt;0,'Water Report'!$M$14,0))</f>
        <v>6</v>
      </c>
      <c r="AT11" s="1300">
        <f>(IF('Water Report'!$M$15&gt;0,'Water Report'!$M$15,0))</f>
        <v>2</v>
      </c>
      <c r="AU11" s="1300">
        <f>(IF('Water Report'!$M$17&gt;0,'Water Report'!$M$17,0))</f>
        <v>8</v>
      </c>
      <c r="AV11" s="1300">
        <f>(IF('Water Report'!$M$18&gt;0,'Water Report'!$M$18,0))</f>
        <v>0</v>
      </c>
      <c r="AW11" s="1300">
        <f>(IF('Water Report'!$M$19&gt;0,'Water Report'!$M$19,0))</f>
        <v>1</v>
      </c>
      <c r="AX11" s="1379">
        <f>(IF('Water Report'!$M$21&gt;0,'Water Report'!$M$21,0))</f>
        <v>40</v>
      </c>
      <c r="AY11" s="1379">
        <f>(IF('Water Report'!$M$22&gt;0,'Water Report'!$M$22,0))</f>
        <v>11</v>
      </c>
      <c r="AZ11" s="1379">
        <f>(IF('Water Report'!$M$23&gt;0,'Water Report'!$M$23,0))</f>
        <v>6</v>
      </c>
      <c r="BA11" s="1379">
        <f>(IF('Water Report'!$M$14&gt;0,'Water Report'!$M$14,0))</f>
        <v>6</v>
      </c>
      <c r="BB11" s="1379">
        <f>(IF('Water Report'!$M$15&gt;0,'Water Report'!$M$15,0))</f>
        <v>2</v>
      </c>
      <c r="BC11" s="1379">
        <f>(IF('Water Report'!$M$13&gt;0,'Water Report'!$M$13,0))</f>
        <v>12</v>
      </c>
      <c r="BD11" s="1379">
        <f>(IF('Water Report'!$M$24&gt;0,'Water Report'!$M$24,0))</f>
        <v>77</v>
      </c>
      <c r="BE11" s="1379">
        <f>(IF('Water Report'!$M$25&gt;0,'Water Report'!$M$25,0))</f>
        <v>48</v>
      </c>
      <c r="BF11" s="1379">
        <f>(IF('Water Report'!$M$27&gt;0,'Water Report'!$M$27,0))</f>
        <v>58</v>
      </c>
      <c r="BG11" s="1301">
        <f>(IF('Section Load'!AN14&gt;0,'Section Load'!AN14,0))</f>
        <v>243</v>
      </c>
      <c r="BH11" s="1301">
        <f>(IF('Section Load'!AO14&gt;0,'Section Load'!AO14,0))</f>
        <v>200</v>
      </c>
      <c r="BI11" s="1301">
        <f>(IF('Section Load'!AP14&gt;0,'Section Load'!AP14,0))</f>
        <v>0</v>
      </c>
      <c r="BJ11" s="1301">
        <f>(IF('Section Load'!AQ14&gt;0,'Section Load'!AQ14,0))</f>
        <v>35</v>
      </c>
      <c r="BK11" s="1301">
        <f>(IF('Section Load'!AR14&gt;0,'Section Load'!AR14,0))</f>
        <v>0</v>
      </c>
      <c r="BL11" s="1301">
        <f>(IF('Section Load'!AS14&gt;0,'Section Load'!AS14,0))</f>
        <v>0</v>
      </c>
      <c r="BM11" s="1301">
        <f>(IF('Section Load'!AT14&gt;0,'Section Load'!AT14,0))</f>
        <v>8</v>
      </c>
    </row>
    <row r="12" spans="1:65">
      <c r="A12" s="1283" t="s">
        <v>301</v>
      </c>
      <c r="B12" s="1284">
        <f t="shared" si="0"/>
        <v>11</v>
      </c>
      <c r="C12" s="1284">
        <v>4</v>
      </c>
      <c r="D12" s="1284">
        <v>2021</v>
      </c>
      <c r="E12" s="1299">
        <f>(IF('Section Load'!F15&gt;0,'Section Load'!F15,0))</f>
        <v>1869.2299999999814</v>
      </c>
      <c r="F12" s="1299">
        <f>(IF('Section Load'!G15&gt;0,'Section Load'!G15,0))</f>
        <v>1191.5</v>
      </c>
      <c r="G12" s="1299">
        <f>(IF('Section Load'!H15&gt;0,'Section Load'!H15,0))</f>
        <v>998.36999999999534</v>
      </c>
      <c r="H12" s="1299">
        <f>(IF('Section Load'!I15&gt;0,'Section Load'!I15,0))</f>
        <v>2053.3999999999651</v>
      </c>
      <c r="I12" s="1299">
        <f>(IF('Section Load'!J15&gt;0,'Section Load'!J15,0))</f>
        <v>4824.339999999982</v>
      </c>
      <c r="J12" s="1299">
        <f>(IF('Section Load'!K15&gt;0,'Section Load'!K15,0))</f>
        <v>2093.1899999999441</v>
      </c>
      <c r="K12" s="1299">
        <f>(IF('Section Load'!L15&gt;0,'Section Load'!L15,0))</f>
        <v>771.95000000001164</v>
      </c>
      <c r="L12" s="1299">
        <f>(IF('Section Load'!M15&gt;0,'Section Load'!M15,0))</f>
        <v>0</v>
      </c>
      <c r="M12" s="1299">
        <f>(IF('Section Load'!N15&gt;0,'Section Load'!N15,0))</f>
        <v>14</v>
      </c>
      <c r="N12" s="1299">
        <f>(IF('Section Load'!O15&gt;0,'Section Load'!O15,0))</f>
        <v>1</v>
      </c>
      <c r="O12" s="1299">
        <f>(IF('Section Load'!P15&gt;0,'Section Load'!P15,0))</f>
        <v>11.75</v>
      </c>
      <c r="P12" s="1299">
        <f>(IF('Section Load'!Q15&gt;0,'Section Load'!Q15,0))</f>
        <v>50.739999999999782</v>
      </c>
      <c r="Q12" s="1299">
        <f>(IF('Section Load'!R15&gt;0,'Section Load'!R15,0))</f>
        <v>55.050000000000182</v>
      </c>
      <c r="R12" s="1299">
        <f>(IF('Section Load'!S15&gt;0,'Section Load'!S15,0))</f>
        <v>46</v>
      </c>
      <c r="S12" s="1299">
        <f>(IF('Section Load'!T15&gt;0,'Section Load'!T15,0))</f>
        <v>64</v>
      </c>
      <c r="T12" s="1299">
        <f>(IF('Section Load'!U15&gt;0,'Section Load'!U15,0))</f>
        <v>142</v>
      </c>
      <c r="U12" s="1299">
        <f>(IF('Section Load'!V15&gt;0,'Section Load'!V15,0))</f>
        <v>328.9199999999837</v>
      </c>
      <c r="V12" s="1299">
        <f>(IF('Section Load'!W15&gt;0,'Section Load'!W15,0))</f>
        <v>76</v>
      </c>
      <c r="W12" s="1299">
        <f>(IF('Section Load'!X15&gt;0,'Section Load'!X15,0))</f>
        <v>10</v>
      </c>
      <c r="X12" s="1299">
        <f>(IF('Section Load'!Y15&gt;0,'Section Load'!Y15,0))</f>
        <v>0.25</v>
      </c>
      <c r="Y12" s="1299">
        <f>(IF('Section Load'!Z15&gt;0,'Section Load'!Z15,0))</f>
        <v>124</v>
      </c>
      <c r="Z12" s="1299">
        <f>(IF('Section Load'!AA15&gt;0,'Section Load'!AA15,0))</f>
        <v>31</v>
      </c>
      <c r="AA12" s="1299">
        <f>(IF('Section Load'!AB15&gt;0,'Section Load'!AB15,0))</f>
        <v>15</v>
      </c>
      <c r="AB12" s="1299">
        <f>(IF('Section Load'!AC15&gt;0,'Section Load'!AC15,0))</f>
        <v>22</v>
      </c>
      <c r="AC12" s="1299">
        <f>(IF('Section Load'!AD15&gt;0,'Section Load'!AD15,0))</f>
        <v>15</v>
      </c>
      <c r="AD12" s="1299">
        <f>(IF('Section Load'!AE15&gt;0,'Section Load'!AE15,0))</f>
        <v>0</v>
      </c>
      <c r="AE12" s="1299">
        <f>(IF('Section Load'!AF15&gt;0,'Section Load'!AF15,0))</f>
        <v>3.8000000000001819</v>
      </c>
      <c r="AF12" s="1299">
        <f>(IF('Section Load'!AG15&gt;0,'Section Load'!AG15,0))</f>
        <v>207.76999999998952</v>
      </c>
      <c r="AG12" s="1299">
        <f>(IF('Section Load'!AH15&gt;0,'Section Load'!AH15,0))</f>
        <v>129.13000000000466</v>
      </c>
      <c r="AH12" s="1299">
        <f>(IF('Section Load'!AI15&gt;0,'Section Load'!AI15,0))</f>
        <v>244.79000000000087</v>
      </c>
      <c r="AI12" s="1299">
        <f>(IF('Section Load'!AJ15&gt;0,'Section Load'!AJ15,0))</f>
        <v>117.95000000001164</v>
      </c>
      <c r="AJ12" s="1299">
        <f>(IF('Section Load'!AK15&gt;0,'Section Load'!AK15,0))</f>
        <v>0</v>
      </c>
      <c r="AK12" s="1299">
        <f>(IF('Section Load'!AL15&gt;0,'Section Load'!AL15,0))</f>
        <v>39.610000000000582</v>
      </c>
      <c r="AL12" s="1299">
        <f>(IF('Section Load'!AM15&gt;0,'Section Load'!AM15,0))</f>
        <v>552</v>
      </c>
      <c r="AM12" s="1300">
        <f>(IF('Water Report'!$N$7&gt;0,'Water Report'!$N$7,0))</f>
        <v>0</v>
      </c>
      <c r="AN12" s="1300">
        <f>(IF('Water Report'!$N$8&gt;0,'Water Report'!$N$8,0))</f>
        <v>44</v>
      </c>
      <c r="AO12" s="1300">
        <f>(IF('Water Report'!$N$9&gt;0,'Water Report'!$N$9,0))</f>
        <v>26</v>
      </c>
      <c r="AP12" s="1300">
        <f>(IF('Water Report'!$N$10&gt;0,'Water Report'!$N$10,0))</f>
        <v>8</v>
      </c>
      <c r="AQ12" s="1300">
        <f>(IF('Water Report'!$N$11&gt;0,'Water Report'!$N$11,0))</f>
        <v>10</v>
      </c>
      <c r="AR12" s="1300">
        <f>(IF('Water Report'!$N$13&gt;0,'Water Report'!$N$13,0))</f>
        <v>6</v>
      </c>
      <c r="AS12" s="1300">
        <f>(IF('Water Report'!$N$14&gt;0,'Water Report'!$N$14,0))</f>
        <v>3</v>
      </c>
      <c r="AT12" s="1300">
        <f>(IF('Water Report'!$N$15&gt;0,'Water Report'!$N$15,0))</f>
        <v>1</v>
      </c>
      <c r="AU12" s="1300">
        <f>(IF('Water Report'!$N$17&gt;0,'Water Report'!$N$17,0))</f>
        <v>0</v>
      </c>
      <c r="AV12" s="1300">
        <f>(IF('Water Report'!$N$18&gt;0,'Water Report'!$N$18,0))</f>
        <v>0</v>
      </c>
      <c r="AW12" s="1300">
        <f>(IF('Water Report'!$N$19&gt;0,'Water Report'!$N$19,0))</f>
        <v>0</v>
      </c>
      <c r="AX12" s="1379">
        <f>(IF('Water Report'!$N$21&gt;0,'Water Report'!$N$21,0))</f>
        <v>53</v>
      </c>
      <c r="AY12" s="1379">
        <f>(IF('Water Report'!$N$22&gt;0,'Water Report'!$N$22,0))</f>
        <v>0</v>
      </c>
      <c r="AZ12" s="1379">
        <f>(IF('Water Report'!$N$23&gt;0,'Water Report'!$N$23,0))</f>
        <v>12</v>
      </c>
      <c r="BA12" s="1379">
        <f>(IF('Water Report'!$N$14&gt;0,'Water Report'!$N$14,0))</f>
        <v>3</v>
      </c>
      <c r="BB12" s="1379">
        <f>(IF('Water Report'!$N$15&gt;0,'Water Report'!$N$15,0))</f>
        <v>1</v>
      </c>
      <c r="BC12" s="1379">
        <f>(IF('Water Report'!$N$13&gt;0,'Water Report'!$N$13,0))</f>
        <v>6</v>
      </c>
      <c r="BD12" s="1379">
        <f>(IF('Water Report'!$N$24&gt;0,'Water Report'!$N$24,0))</f>
        <v>75</v>
      </c>
      <c r="BE12" s="1379">
        <f>(IF('Water Report'!$N$25&gt;0,'Water Report'!$N$25,0))</f>
        <v>48</v>
      </c>
      <c r="BF12" s="1379">
        <f>(IF('Water Report'!$N$27&gt;0,'Water Report'!$N$27,0))</f>
        <v>71</v>
      </c>
      <c r="BG12" s="1301">
        <f>(IF('Section Load'!AN15&gt;0,'Section Load'!AN15,0))</f>
        <v>333.68999999994412</v>
      </c>
      <c r="BH12" s="1301">
        <f>(IF('Section Load'!AO15&gt;0,'Section Load'!AO15,0))</f>
        <v>203</v>
      </c>
      <c r="BI12" s="1301">
        <f>(IF('Section Load'!AP15&gt;0,'Section Load'!AP15,0))</f>
        <v>0</v>
      </c>
      <c r="BJ12" s="1301">
        <f>(IF('Section Load'!AQ15&gt;0,'Section Load'!AQ15,0))</f>
        <v>60.799999999988358</v>
      </c>
      <c r="BK12" s="1301">
        <f>(IF('Section Load'!AR15&gt;0,'Section Load'!AR15,0))</f>
        <v>0</v>
      </c>
      <c r="BL12" s="1301">
        <f>(IF('Section Load'!AS15&gt;0,'Section Load'!AS15,0))</f>
        <v>0</v>
      </c>
      <c r="BM12" s="1301">
        <f>(IF('Section Load'!AT15&gt;0,'Section Load'!AT15,0))</f>
        <v>69.889999999955762</v>
      </c>
    </row>
    <row r="13" spans="1:65">
      <c r="A13" s="1283" t="s">
        <v>301</v>
      </c>
      <c r="B13" s="1284">
        <f t="shared" si="0"/>
        <v>12</v>
      </c>
      <c r="C13" s="1284">
        <v>4</v>
      </c>
      <c r="D13" s="1284">
        <v>2021</v>
      </c>
      <c r="E13" s="1299">
        <f>(IF('Section Load'!F16&gt;0,'Section Load'!F16,0))</f>
        <v>1863.4400000000605</v>
      </c>
      <c r="F13" s="1299">
        <f>(IF('Section Load'!G16&gt;0,'Section Load'!G16,0))</f>
        <v>1184.3600000000006</v>
      </c>
      <c r="G13" s="1299">
        <f>(IF('Section Load'!H16&gt;0,'Section Load'!H16,0))</f>
        <v>1220.2700000000186</v>
      </c>
      <c r="H13" s="1299">
        <f>(IF('Section Load'!I16&gt;0,'Section Load'!I16,0))</f>
        <v>2176.7200000000303</v>
      </c>
      <c r="I13" s="1299">
        <f>(IF('Section Load'!J16&gt;0,'Section Load'!J16,0))</f>
        <v>5003.0000000000082</v>
      </c>
      <c r="J13" s="1299">
        <f>(IF('Section Load'!K16&gt;0,'Section Load'!K16,0))</f>
        <v>2094.1100000001024</v>
      </c>
      <c r="K13" s="1299">
        <f>(IF('Section Load'!L16&gt;0,'Section Load'!L16,0))</f>
        <v>814.39999999996508</v>
      </c>
      <c r="L13" s="1299">
        <f>(IF('Section Load'!M16&gt;0,'Section Load'!M16,0))</f>
        <v>0</v>
      </c>
      <c r="M13" s="1299">
        <f>(IF('Section Load'!N16&gt;0,'Section Load'!N16,0))</f>
        <v>9</v>
      </c>
      <c r="N13" s="1299">
        <f>(IF('Section Load'!O16&gt;0,'Section Load'!O16,0))</f>
        <v>1</v>
      </c>
      <c r="O13" s="1299">
        <f>(IF('Section Load'!P16&gt;0,'Section Load'!P16,0))</f>
        <v>9.9800000000000182</v>
      </c>
      <c r="P13" s="1299">
        <f>(IF('Section Load'!Q16&gt;0,'Section Load'!Q16,0))</f>
        <v>50.729999999999563</v>
      </c>
      <c r="Q13" s="1299">
        <f>(IF('Section Load'!R16&gt;0,'Section Load'!R16,0))</f>
        <v>51.409999999999854</v>
      </c>
      <c r="R13" s="1299">
        <f>(IF('Section Load'!S16&gt;0,'Section Load'!S16,0))</f>
        <v>49</v>
      </c>
      <c r="S13" s="1299">
        <f>(IF('Section Load'!T16&gt;0,'Section Load'!T16,0))</f>
        <v>65</v>
      </c>
      <c r="T13" s="1299">
        <f>(IF('Section Load'!U16&gt;0,'Section Load'!U16,0))</f>
        <v>112</v>
      </c>
      <c r="U13" s="1299">
        <f>(IF('Section Load'!V16&gt;0,'Section Load'!V16,0))</f>
        <v>315.11999999999534</v>
      </c>
      <c r="V13" s="1299">
        <f>(IF('Section Load'!W16&gt;0,'Section Load'!W16,0))</f>
        <v>74.959999999962747</v>
      </c>
      <c r="W13" s="1299">
        <f>(IF('Section Load'!X16&gt;0,'Section Load'!X16,0))</f>
        <v>37.520000000004075</v>
      </c>
      <c r="X13" s="1299">
        <f>(IF('Section Load'!Y16&gt;0,'Section Load'!Y16,0))</f>
        <v>97.709999999999127</v>
      </c>
      <c r="Y13" s="1299">
        <f>(IF('Section Load'!Z16&gt;0,'Section Load'!Z16,0))</f>
        <v>222</v>
      </c>
      <c r="Z13" s="1299">
        <f>(IF('Section Load'!AA16&gt;0,'Section Load'!AA16,0))</f>
        <v>30.840000000025611</v>
      </c>
      <c r="AA13" s="1299">
        <f>(IF('Section Load'!AB16&gt;0,'Section Load'!AB16,0))</f>
        <v>11</v>
      </c>
      <c r="AB13" s="1299">
        <f>(IF('Section Load'!AC16&gt;0,'Section Load'!AC16,0))</f>
        <v>81.910000000003492</v>
      </c>
      <c r="AC13" s="1299">
        <f>(IF('Section Load'!AD16&gt;0,'Section Load'!AD16,0))</f>
        <v>11.5</v>
      </c>
      <c r="AD13" s="1299">
        <f>(IF('Section Load'!AE16&gt;0,'Section Load'!AE16,0))</f>
        <v>0</v>
      </c>
      <c r="AE13" s="1299">
        <f>(IF('Section Load'!AF16&gt;0,'Section Load'!AF16,0))</f>
        <v>3.7799999999997453</v>
      </c>
      <c r="AF13" s="1299">
        <f>(IF('Section Load'!AG16&gt;0,'Section Load'!AG16,0))</f>
        <v>221.5800000000163</v>
      </c>
      <c r="AG13" s="1299">
        <f>(IF('Section Load'!AH16&gt;0,'Section Load'!AH16,0))</f>
        <v>176.35000000000582</v>
      </c>
      <c r="AH13" s="1299">
        <f>(IF('Section Load'!AI16&gt;0,'Section Load'!AI16,0))</f>
        <v>247.69000000000233</v>
      </c>
      <c r="AI13" s="1299">
        <f>(IF('Section Load'!AJ16&gt;0,'Section Load'!AJ16,0))</f>
        <v>118.59999999997672</v>
      </c>
      <c r="AJ13" s="1299">
        <f>(IF('Section Load'!AK16&gt;0,'Section Load'!AK16,0))</f>
        <v>0</v>
      </c>
      <c r="AK13" s="1299">
        <f>(IF('Section Load'!AL16&gt;0,'Section Load'!AL16,0))</f>
        <v>43.210000000006403</v>
      </c>
      <c r="AL13" s="1299">
        <f>(IF('Section Load'!AM16&gt;0,'Section Load'!AM16,0))</f>
        <v>552</v>
      </c>
      <c r="AM13" s="1300">
        <f>(IF('Water Report'!$O$7&gt;0,'Water Report'!$O$7,0))</f>
        <v>20</v>
      </c>
      <c r="AN13" s="1300">
        <f>(IF('Water Report'!$O$8&gt;0,'Water Report'!$O$8,0))</f>
        <v>119</v>
      </c>
      <c r="AO13" s="1300">
        <f>(IF('Water Report'!$O$9&gt;0,'Water Report'!$O$9,0))</f>
        <v>35</v>
      </c>
      <c r="AP13" s="1300">
        <f>(IF('Water Report'!$O$10&gt;0,'Water Report'!$O$10,0))</f>
        <v>6</v>
      </c>
      <c r="AQ13" s="1300">
        <f>(IF('Water Report'!$O$11&gt;0,'Water Report'!$O$11,0))</f>
        <v>9</v>
      </c>
      <c r="AR13" s="1300">
        <f>(IF('Water Report'!$O$13&gt;0,'Water Report'!$O$13,0))</f>
        <v>27</v>
      </c>
      <c r="AS13" s="1300">
        <f>(IF('Water Report'!$O$14&gt;0,'Water Report'!$O$14,0))</f>
        <v>6</v>
      </c>
      <c r="AT13" s="1300">
        <f>(IF('Water Report'!$O$15&gt;0,'Water Report'!$O$15,0))</f>
        <v>4</v>
      </c>
      <c r="AU13" s="1300">
        <f>(IF('Water Report'!$O$17&gt;0,'Water Report'!$O$17,0))</f>
        <v>0</v>
      </c>
      <c r="AV13" s="1300">
        <f>(IF('Water Report'!$O$18&gt;0,'Water Report'!$O$18,0))</f>
        <v>0</v>
      </c>
      <c r="AW13" s="1300">
        <f>(IF('Water Report'!$O$19&gt;0,'Water Report'!$O$19,0))</f>
        <v>5</v>
      </c>
      <c r="AX13" s="1379">
        <f>(IF('Water Report'!$O$21&gt;0,'Water Report'!$O$21,0))</f>
        <v>48</v>
      </c>
      <c r="AY13" s="1379">
        <f>(IF('Water Report'!$O$22&gt;0,'Water Report'!$O$22,0))</f>
        <v>25</v>
      </c>
      <c r="AZ13" s="1379">
        <f>(IF('Water Report'!$O$23&gt;0,'Water Report'!$O$23,0))</f>
        <v>0</v>
      </c>
      <c r="BA13" s="1379">
        <f>(IF('Water Report'!$O$14&gt;0,'Water Report'!$O$14,0))</f>
        <v>6</v>
      </c>
      <c r="BB13" s="1379">
        <f>(IF('Water Report'!$O$15&gt;0,'Water Report'!$O$15,0))</f>
        <v>4</v>
      </c>
      <c r="BC13" s="1379">
        <f>(IF('Water Report'!$O$13&gt;0,'Water Report'!$O$13,0))</f>
        <v>27</v>
      </c>
      <c r="BD13" s="1379">
        <f>(IF('Water Report'!$O$24&gt;0,'Water Report'!$O$24,0))</f>
        <v>52</v>
      </c>
      <c r="BE13" s="1379">
        <f>(IF('Water Report'!$O$25&gt;0,'Water Report'!$O$25,0))</f>
        <v>60</v>
      </c>
      <c r="BF13" s="1379">
        <f>(IF('Water Report'!$O$27&gt;0,'Water Report'!$O$27,0))</f>
        <v>75</v>
      </c>
      <c r="BG13" s="1301">
        <f>(IF('Section Load'!AN16&gt;0,'Section Load'!AN16,0))</f>
        <v>436.43000000016764</v>
      </c>
      <c r="BH13" s="1301">
        <f>(IF('Section Load'!AO16&gt;0,'Section Load'!AO16,0))</f>
        <v>200.90000000002328</v>
      </c>
      <c r="BI13" s="1301">
        <f>(IF('Section Load'!AP16&gt;0,'Section Load'!AP16,0))</f>
        <v>0</v>
      </c>
      <c r="BJ13" s="1301">
        <f>(IF('Section Load'!AQ16&gt;0,'Section Load'!AQ16,0))</f>
        <v>51.660000000003492</v>
      </c>
      <c r="BK13" s="1301">
        <f>(IF('Section Load'!AR16&gt;0,'Section Load'!AR16,0))</f>
        <v>0</v>
      </c>
      <c r="BL13" s="1301">
        <f>(IF('Section Load'!AS16&gt;0,'Section Load'!AS16,0))</f>
        <v>0</v>
      </c>
      <c r="BM13" s="1301">
        <f>(IF('Section Load'!AT16&gt;0,'Section Load'!AT16,0))</f>
        <v>184.27000000013504</v>
      </c>
    </row>
    <row r="14" spans="1:65">
      <c r="A14" s="1283" t="s">
        <v>301</v>
      </c>
      <c r="B14" s="1284">
        <f t="shared" si="0"/>
        <v>13</v>
      </c>
      <c r="C14" s="1284">
        <v>4</v>
      </c>
      <c r="D14" s="1284">
        <v>2021</v>
      </c>
      <c r="E14" s="1299">
        <f>(IF('Section Load'!F17&gt;0,'Section Load'!F17,0))</f>
        <v>1794.5599999999395</v>
      </c>
      <c r="F14" s="1299">
        <f>(IF('Section Load'!G17&gt;0,'Section Load'!G17,0))</f>
        <v>1166.1399999999994</v>
      </c>
      <c r="G14" s="1299">
        <f>(IF('Section Load'!H17&gt;0,'Section Load'!H17,0))</f>
        <v>1148.2199999999721</v>
      </c>
      <c r="H14" s="1299">
        <f>(IF('Section Load'!I17&gt;0,'Section Load'!I17,0))</f>
        <v>2066.6200000000536</v>
      </c>
      <c r="I14" s="1299">
        <f>(IF('Section Load'!J17&gt;0,'Section Load'!J17,0))</f>
        <v>4621.0999999999631</v>
      </c>
      <c r="J14" s="1299">
        <f>(IF('Section Load'!K17&gt;0,'Section Load'!K17,0))</f>
        <v>2011.33</v>
      </c>
      <c r="K14" s="1299">
        <f>(IF('Section Load'!L17&gt;0,'Section Load'!L17,0))</f>
        <v>820.80000000004657</v>
      </c>
      <c r="L14" s="1299">
        <f>(IF('Section Load'!M17&gt;0,'Section Load'!M17,0))</f>
        <v>0</v>
      </c>
      <c r="M14" s="1299">
        <f>(IF('Section Load'!N17&gt;0,'Section Load'!N17,0))</f>
        <v>11</v>
      </c>
      <c r="N14" s="1299">
        <f>(IF('Section Load'!O17&gt;0,'Section Load'!O17,0))</f>
        <v>1</v>
      </c>
      <c r="O14" s="1299">
        <f>(IF('Section Load'!P17&gt;0,'Section Load'!P17,0))</f>
        <v>8.8099999999999454</v>
      </c>
      <c r="P14" s="1299">
        <f>(IF('Section Load'!Q17&gt;0,'Section Load'!Q17,0))</f>
        <v>51.159999999999854</v>
      </c>
      <c r="Q14" s="1299">
        <f>(IF('Section Load'!R17&gt;0,'Section Load'!R17,0))</f>
        <v>51.119999999999891</v>
      </c>
      <c r="R14" s="1299">
        <f>(IF('Section Load'!S17&gt;0,'Section Load'!S17,0))</f>
        <v>38</v>
      </c>
      <c r="S14" s="1299">
        <f>(IF('Section Load'!T17&gt;0,'Section Load'!T17,0))</f>
        <v>76</v>
      </c>
      <c r="T14" s="1299">
        <f>(IF('Section Load'!U17&gt;0,'Section Load'!U17,0))</f>
        <v>120</v>
      </c>
      <c r="U14" s="1299">
        <f>(IF('Section Load'!V17&gt;0,'Section Load'!V17,0))</f>
        <v>319.96000000002095</v>
      </c>
      <c r="V14" s="1299">
        <f>(IF('Section Load'!W17&gt;0,'Section Load'!W17,0))</f>
        <v>70.040000000037253</v>
      </c>
      <c r="W14" s="1299">
        <f>(IF('Section Load'!X17&gt;0,'Section Load'!X17,0))</f>
        <v>10.479999999995925</v>
      </c>
      <c r="X14" s="1299">
        <f>(IF('Section Load'!Y17&gt;0,'Section Load'!Y17,0))</f>
        <v>248.16000000000349</v>
      </c>
      <c r="Y14" s="1299">
        <f>(IF('Section Load'!Z17&gt;0,'Section Load'!Z17,0))</f>
        <v>169</v>
      </c>
      <c r="Z14" s="1299">
        <f>(IF('Section Load'!AA17&gt;0,'Section Load'!AA17,0))</f>
        <v>71.159999999974389</v>
      </c>
      <c r="AA14" s="1299">
        <f>(IF('Section Load'!AB17&gt;0,'Section Load'!AB17,0))</f>
        <v>10</v>
      </c>
      <c r="AB14" s="1299">
        <f>(IF('Section Load'!AC17&gt;0,'Section Load'!AC17,0))</f>
        <v>20.720000000001164</v>
      </c>
      <c r="AC14" s="1299">
        <f>(IF('Section Load'!AD17&gt;0,'Section Load'!AD17,0))</f>
        <v>10</v>
      </c>
      <c r="AD14" s="1299">
        <f>(IF('Section Load'!AE17&gt;0,'Section Load'!AE17,0))</f>
        <v>0.18000000000029104</v>
      </c>
      <c r="AE14" s="1299">
        <f>(IF('Section Load'!AF17&gt;0,'Section Load'!AF17,0))</f>
        <v>3.7800000000002001</v>
      </c>
      <c r="AF14" s="1299">
        <f>(IF('Section Load'!AG17&gt;0,'Section Load'!AG17,0))</f>
        <v>205.94000000000233</v>
      </c>
      <c r="AG14" s="1299">
        <f>(IF('Section Load'!AH17&gt;0,'Section Load'!AH17,0))</f>
        <v>150.03999999997905</v>
      </c>
      <c r="AH14" s="1299">
        <f>(IF('Section Load'!AI17&gt;0,'Section Load'!AI17,0))</f>
        <v>244.44999999999709</v>
      </c>
      <c r="AI14" s="1299">
        <f>(IF('Section Load'!AJ17&gt;0,'Section Load'!AJ17,0))</f>
        <v>125.05999999999767</v>
      </c>
      <c r="AJ14" s="1299">
        <f>(IF('Section Load'!AK17&gt;0,'Section Load'!AK17,0))</f>
        <v>0</v>
      </c>
      <c r="AK14" s="1299">
        <f>(IF('Section Load'!AL17&gt;0,'Section Load'!AL17,0))</f>
        <v>43.44999999999709</v>
      </c>
      <c r="AL14" s="1299">
        <f>(IF('Section Load'!AM17&gt;0,'Section Load'!AM17,0))</f>
        <v>551</v>
      </c>
      <c r="AM14" s="1300">
        <f>(IF('Water Report'!$P$7&gt;0,'Water Report'!$P$7,0))</f>
        <v>30</v>
      </c>
      <c r="AN14" s="1300">
        <f>(IF('Water Report'!$P$8&gt;0,'Water Report'!$P$8,0))</f>
        <v>67</v>
      </c>
      <c r="AO14" s="1300">
        <f>(IF('Water Report'!$P$9&gt;0,'Water Report'!$P$9,0))</f>
        <v>52</v>
      </c>
      <c r="AP14" s="1300">
        <f>(IF('Water Report'!$P$10&gt;0,'Water Report'!$P$10,0))</f>
        <v>6</v>
      </c>
      <c r="AQ14" s="1300">
        <f>(IF('Water Report'!$P$11&gt;0,'Water Report'!$P$11,0))</f>
        <v>12</v>
      </c>
      <c r="AR14" s="1300">
        <f>(IF('Water Report'!$P$13&gt;0,'Water Report'!$P$13,0))</f>
        <v>27</v>
      </c>
      <c r="AS14" s="1300">
        <f>(IF('Water Report'!$P$14&gt;0,'Water Report'!$P$14,0))</f>
        <v>8</v>
      </c>
      <c r="AT14" s="1300">
        <f>(IF('Water Report'!$P$15&gt;0,'Water Report'!$P$15,0))</f>
        <v>4</v>
      </c>
      <c r="AU14" s="1300">
        <f>(IF('Water Report'!$P$17&gt;0,'Water Report'!$P$17,0))</f>
        <v>0</v>
      </c>
      <c r="AV14" s="1300">
        <f>(IF('Water Report'!$P$18&gt;0,'Water Report'!$P$18,0))</f>
        <v>15</v>
      </c>
      <c r="AW14" s="1300">
        <f>(IF('Water Report'!$P$19&gt;0,'Water Report'!$P$19,0))</f>
        <v>5</v>
      </c>
      <c r="AX14" s="1379">
        <f>(IF('Water Report'!$P$21&gt;0,'Water Report'!$P$21,0))</f>
        <v>60</v>
      </c>
      <c r="AY14" s="1379">
        <f>(IF('Water Report'!$P$22&gt;0,'Water Report'!$P$22,0))</f>
        <v>30</v>
      </c>
      <c r="AZ14" s="1379">
        <f>(IF('Water Report'!$P$23&gt;0,'Water Report'!$P$23,0))</f>
        <v>14</v>
      </c>
      <c r="BA14" s="1379">
        <f>(IF('Water Report'!$P$14&gt;0,'Water Report'!$P$14,0))</f>
        <v>8</v>
      </c>
      <c r="BB14" s="1379">
        <f>(IF('Water Report'!$P$15&gt;0,'Water Report'!$P$15,0))</f>
        <v>4</v>
      </c>
      <c r="BC14" s="1379">
        <f>(IF('Water Report'!$P$13&gt;0,'Water Report'!$P$13,0))</f>
        <v>27</v>
      </c>
      <c r="BD14" s="1379">
        <f>(IF('Water Report'!$P$24&gt;0,'Water Report'!$P$24,0))</f>
        <v>77</v>
      </c>
      <c r="BE14" s="1379">
        <f>(IF('Water Report'!$P$25&gt;0,'Water Report'!$P$25,0))</f>
        <v>82</v>
      </c>
      <c r="BF14" s="1379">
        <f>(IF('Water Report'!$P$27&gt;0,'Water Report'!$P$27,0))</f>
        <v>101</v>
      </c>
      <c r="BG14" s="1301">
        <f>(IF('Section Load'!AN17&gt;0,'Section Load'!AN17,0))</f>
        <v>650.87999999988824</v>
      </c>
      <c r="BH14" s="1301">
        <f>(IF('Section Load'!AO17&gt;0,'Section Load'!AO17,0))</f>
        <v>204.88000000000466</v>
      </c>
      <c r="BI14" s="1301">
        <f>(IF('Section Load'!AP17&gt;0,'Section Load'!AP17,0))</f>
        <v>0</v>
      </c>
      <c r="BJ14" s="1301">
        <f>(IF('Section Load'!AQ17&gt;0,'Section Load'!AQ17,0))</f>
        <v>52.630000000004657</v>
      </c>
      <c r="BK14" s="1301">
        <f>(IF('Section Load'!AR17&gt;0,'Section Load'!AR17,0))</f>
        <v>0</v>
      </c>
      <c r="BL14" s="1301">
        <f>(IF('Section Load'!AS17&gt;0,'Section Load'!AS17,0))</f>
        <v>0</v>
      </c>
      <c r="BM14" s="1301">
        <f>(IF('Section Load'!AT17&gt;0,'Section Load'!AT17,0))</f>
        <v>393.56999999987966</v>
      </c>
    </row>
    <row r="15" spans="1:65">
      <c r="A15" s="1283" t="s">
        <v>301</v>
      </c>
      <c r="B15" s="1284">
        <f t="shared" si="0"/>
        <v>14</v>
      </c>
      <c r="C15" s="1284">
        <v>4</v>
      </c>
      <c r="D15" s="1284">
        <v>2021</v>
      </c>
      <c r="E15" s="1299">
        <f>(IF('Section Load'!F18&gt;0,'Section Load'!F18,0))</f>
        <v>1788.7199999999721</v>
      </c>
      <c r="F15" s="1299">
        <f>(IF('Section Load'!G18&gt;0,'Section Load'!G18,0))</f>
        <v>1194.9100000000035</v>
      </c>
      <c r="G15" s="1299">
        <f>(IF('Section Load'!H18&gt;0,'Section Load'!H18,0))</f>
        <v>1089.1100000000151</v>
      </c>
      <c r="H15" s="1299">
        <f>(IF('Section Load'!I18&gt;0,'Section Load'!I18,0))</f>
        <v>2207.4399999999441</v>
      </c>
      <c r="I15" s="1299">
        <f>(IF('Section Load'!J18&gt;0,'Section Load'!J18,0))</f>
        <v>4497.8899999999994</v>
      </c>
      <c r="J15" s="1299">
        <f>(IF('Section Load'!K18&gt;0,'Section Load'!K18,0))</f>
        <v>2007.8999999999069</v>
      </c>
      <c r="K15" s="1299">
        <f>(IF('Section Load'!L18&gt;0,'Section Load'!L18,0))</f>
        <v>785.8399999999674</v>
      </c>
      <c r="L15" s="1299">
        <f>(IF('Section Load'!M18&gt;0,'Section Load'!M18,0))</f>
        <v>0</v>
      </c>
      <c r="M15" s="1299">
        <f>(IF('Section Load'!N18&gt;0,'Section Load'!N18,0))</f>
        <v>10</v>
      </c>
      <c r="N15" s="1299">
        <f>(IF('Section Load'!O18&gt;0,'Section Load'!O18,0))</f>
        <v>1</v>
      </c>
      <c r="O15" s="1299">
        <f>(IF('Section Load'!P18&gt;0,'Section Load'!P18,0))</f>
        <v>8.6199999999998909</v>
      </c>
      <c r="P15" s="1299">
        <f>(IF('Section Load'!Q18&gt;0,'Section Load'!Q18,0))</f>
        <v>50.960000000000946</v>
      </c>
      <c r="Q15" s="1299">
        <f>(IF('Section Load'!R18&gt;0,'Section Load'!R18,0))</f>
        <v>53.989999999999782</v>
      </c>
      <c r="R15" s="1299">
        <f>(IF('Section Load'!S18&gt;0,'Section Load'!S18,0))</f>
        <v>23</v>
      </c>
      <c r="S15" s="1299">
        <f>(IF('Section Load'!T18&gt;0,'Section Load'!T18,0))</f>
        <v>146</v>
      </c>
      <c r="T15" s="1299">
        <f>(IF('Section Load'!U18&gt;0,'Section Load'!U18,0))</f>
        <v>122</v>
      </c>
      <c r="U15" s="1299">
        <f>(IF('Section Load'!V18&gt;0,'Section Load'!V18,0))</f>
        <v>353.32000000000698</v>
      </c>
      <c r="V15" s="1299">
        <f>(IF('Section Load'!W18&gt;0,'Section Load'!W18,0))</f>
        <v>80.839999999967404</v>
      </c>
      <c r="W15" s="1299">
        <f>(IF('Section Load'!X18&gt;0,'Section Load'!X18,0))</f>
        <v>12.05000000000291</v>
      </c>
      <c r="X15" s="1299">
        <f>(IF('Section Load'!Y18&gt;0,'Section Load'!Y18,0))</f>
        <v>0.14999999999417923</v>
      </c>
      <c r="Y15" s="1299">
        <f>(IF('Section Load'!Z18&gt;0,'Section Load'!Z18,0))</f>
        <v>176</v>
      </c>
      <c r="Z15" s="1299">
        <f>(IF('Section Load'!AA18&gt;0,'Section Load'!AA18,0))</f>
        <v>23.400000000023283</v>
      </c>
      <c r="AA15" s="1299">
        <f>(IF('Section Load'!AB18&gt;0,'Section Load'!AB18,0))</f>
        <v>7.8000000000029104</v>
      </c>
      <c r="AB15" s="1299">
        <f>(IF('Section Load'!AC18&gt;0,'Section Load'!AC18,0))</f>
        <v>51.369999999995343</v>
      </c>
      <c r="AC15" s="1299">
        <f>(IF('Section Load'!AD18&gt;0,'Section Load'!AD18,0))</f>
        <v>7.8000000000029104</v>
      </c>
      <c r="AD15" s="1299">
        <f>(IF('Section Load'!AE18&gt;0,'Section Load'!AE18,0))</f>
        <v>0</v>
      </c>
      <c r="AE15" s="1299">
        <f>(IF('Section Load'!AF18&gt;0,'Section Load'!AF18,0))</f>
        <v>3.7899999999999636</v>
      </c>
      <c r="AF15" s="1299">
        <f>(IF('Section Load'!AG18&gt;0,'Section Load'!AG18,0))</f>
        <v>206.75999999998021</v>
      </c>
      <c r="AG15" s="1299">
        <f>(IF('Section Load'!AH18&gt;0,'Section Load'!AH18,0))</f>
        <v>165.65000000002328</v>
      </c>
      <c r="AH15" s="1299">
        <f>(IF('Section Load'!AI18&gt;0,'Section Load'!AI18,0))</f>
        <v>252.61000000000058</v>
      </c>
      <c r="AI15" s="1299">
        <f>(IF('Section Load'!AJ18&gt;0,'Section Load'!AJ18,0))</f>
        <v>213.98000000001048</v>
      </c>
      <c r="AJ15" s="1299">
        <f>(IF('Section Load'!AK18&gt;0,'Section Load'!AK18,0))</f>
        <v>0</v>
      </c>
      <c r="AK15" s="1299">
        <f>(IF('Section Load'!AL18&gt;0,'Section Load'!AL18,0))</f>
        <v>42.80000000000291</v>
      </c>
      <c r="AL15" s="1299">
        <f>(IF('Section Load'!AM18&gt;0,'Section Load'!AM18,0))</f>
        <v>562</v>
      </c>
      <c r="AM15" s="1300">
        <f>(IF('Water Report'!$Q$7&gt;0,'Water Report'!$Q$7,0))</f>
        <v>15</v>
      </c>
      <c r="AN15" s="1300">
        <f>(IF('Water Report'!$Q$8&gt;0,'Water Report'!$Q$8,0))</f>
        <v>83</v>
      </c>
      <c r="AO15" s="1300">
        <f>(IF('Water Report'!$Q$9&gt;0,'Water Report'!$Q$9,0))</f>
        <v>46</v>
      </c>
      <c r="AP15" s="1300">
        <f>(IF('Water Report'!$Q$10&gt;0,'Water Report'!$Q$10,0))</f>
        <v>10</v>
      </c>
      <c r="AQ15" s="1300">
        <f>(IF('Water Report'!$Q$11&gt;0,'Water Report'!$Q$11,0))</f>
        <v>17</v>
      </c>
      <c r="AR15" s="1300">
        <f>(IF('Water Report'!$Q$13&gt;0,'Water Report'!$Q$13,0))</f>
        <v>26</v>
      </c>
      <c r="AS15" s="1300">
        <f>(IF('Water Report'!$Q$14&gt;0,'Water Report'!$Q$14,0))</f>
        <v>6</v>
      </c>
      <c r="AT15" s="1300">
        <f>(IF('Water Report'!$Q$15&gt;0,'Water Report'!$Q$15,0))</f>
        <v>4</v>
      </c>
      <c r="AU15" s="1300">
        <f>(IF('Water Report'!$Q$17&gt;0,'Water Report'!$Q$17,0))</f>
        <v>0</v>
      </c>
      <c r="AV15" s="1300">
        <f>(IF('Water Report'!$Q$18&gt;0,'Water Report'!$Q$18,0))</f>
        <v>0</v>
      </c>
      <c r="AW15" s="1300">
        <f>(IF('Water Report'!$Q$19&gt;0,'Water Report'!$Q$19,0))</f>
        <v>0</v>
      </c>
      <c r="AX15" s="1379">
        <f>(IF('Water Report'!$Q$21&gt;0,'Water Report'!$Q$21,0))</f>
        <v>40</v>
      </c>
      <c r="AY15" s="1379">
        <f>(IF('Water Report'!$Q$22&gt;0,'Water Report'!$Q$22,0))</f>
        <v>17</v>
      </c>
      <c r="AZ15" s="1379">
        <f>(IF('Water Report'!$Q$23&gt;0,'Water Report'!$Q$23,0))</f>
        <v>0</v>
      </c>
      <c r="BA15" s="1379">
        <f>(IF('Water Report'!$Q$14&gt;0,'Water Report'!$Q$14,0))</f>
        <v>6</v>
      </c>
      <c r="BB15" s="1379">
        <f>(IF('Water Report'!$Q$15&gt;0,'Water Report'!$Q$15,0))</f>
        <v>4</v>
      </c>
      <c r="BC15" s="1379">
        <f>(IF('Water Report'!$Q$13&gt;0,'Water Report'!$Q$13,0))</f>
        <v>26</v>
      </c>
      <c r="BD15" s="1379">
        <f>(IF('Water Report'!$Q$24&gt;0,'Water Report'!$Q$24,0))</f>
        <v>77</v>
      </c>
      <c r="BE15" s="1379">
        <f>(IF('Water Report'!$Q$25&gt;0,'Water Report'!$Q$25,0))</f>
        <v>83</v>
      </c>
      <c r="BF15" s="1379">
        <f>(IF('Water Report'!$Q$27&gt;0,'Water Report'!$Q$27,0))</f>
        <v>66</v>
      </c>
      <c r="BG15" s="1301">
        <f>(IF('Section Load'!AN18&gt;0,'Section Load'!AN18,0))</f>
        <v>292.58000000007451</v>
      </c>
      <c r="BH15" s="1301">
        <f>(IF('Section Load'!AO18&gt;0,'Section Load'!AO18,0))</f>
        <v>201.30999999993946</v>
      </c>
      <c r="BI15" s="1301">
        <f>(IF('Section Load'!AP18&gt;0,'Section Load'!AP18,0))</f>
        <v>0</v>
      </c>
      <c r="BJ15" s="1301">
        <f>(IF('Section Load'!AQ18&gt;0,'Section Load'!AQ18,0))</f>
        <v>48.910000000003492</v>
      </c>
      <c r="BK15" s="1301">
        <f>(IF('Section Load'!AR18&gt;0,'Section Load'!AR18,0))</f>
        <v>0</v>
      </c>
      <c r="BL15" s="1301">
        <f>(IF('Section Load'!AS18&gt;0,'Section Load'!AS18,0))</f>
        <v>0</v>
      </c>
      <c r="BM15" s="1301">
        <f>(IF('Section Load'!AT18&gt;0,'Section Load'!AT18,0))</f>
        <v>42.360000000131549</v>
      </c>
    </row>
    <row r="16" spans="1:65">
      <c r="A16" s="1283" t="s">
        <v>301</v>
      </c>
      <c r="B16" s="1284">
        <f t="shared" si="0"/>
        <v>15</v>
      </c>
      <c r="C16" s="1284">
        <v>4</v>
      </c>
      <c r="D16" s="1284">
        <v>2021</v>
      </c>
      <c r="E16" s="1299">
        <f>(IF('Section Load'!F19&gt;0,'Section Load'!F19,0))</f>
        <v>2006.9200000000419</v>
      </c>
      <c r="F16" s="1299">
        <f>(IF('Section Load'!G19&gt;0,'Section Load'!G19,0))</f>
        <v>1297.0899999999965</v>
      </c>
      <c r="G16" s="1299">
        <f>(IF('Section Load'!H19&gt;0,'Section Load'!H19,0))</f>
        <v>1315.9600000000501</v>
      </c>
      <c r="H16" s="1299">
        <f>(IF('Section Load'!I19&gt;0,'Section Load'!I19,0))</f>
        <v>2647.820000000007</v>
      </c>
      <c r="I16" s="1299">
        <f>(IF('Section Load'!J19&gt;0,'Section Load'!J19,0))</f>
        <v>5855.1400000000194</v>
      </c>
      <c r="J16" s="1299">
        <f>(IF('Section Load'!K19&gt;0,'Section Load'!K19,0))</f>
        <v>2074.8000000000466</v>
      </c>
      <c r="K16" s="1299">
        <f>(IF('Section Load'!L19&gt;0,'Section Load'!L19,0))</f>
        <v>895.01000000000931</v>
      </c>
      <c r="L16" s="1299">
        <f>(IF('Section Load'!M19&gt;0,'Section Load'!M19,0))</f>
        <v>0</v>
      </c>
      <c r="M16" s="1299">
        <f>(IF('Section Load'!N19&gt;0,'Section Load'!N19,0))</f>
        <v>10</v>
      </c>
      <c r="N16" s="1299">
        <f>(IF('Section Load'!O19&gt;0,'Section Load'!O19,0))</f>
        <v>1</v>
      </c>
      <c r="O16" s="1299">
        <f>(IF('Section Load'!P19&gt;0,'Section Load'!P19,0))</f>
        <v>6.8400000000001455</v>
      </c>
      <c r="P16" s="1299">
        <f>(IF('Section Load'!Q19&gt;0,'Section Load'!Q19,0))</f>
        <v>52.409999999999854</v>
      </c>
      <c r="Q16" s="1299">
        <f>(IF('Section Load'!R19&gt;0,'Section Load'!R19,0))</f>
        <v>57.430000000000291</v>
      </c>
      <c r="R16" s="1299">
        <f>(IF('Section Load'!S19&gt;0,'Section Load'!S19,0))</f>
        <v>25</v>
      </c>
      <c r="S16" s="1299">
        <f>(IF('Section Load'!T19&gt;0,'Section Load'!T19,0))</f>
        <v>144</v>
      </c>
      <c r="T16" s="1299">
        <f>(IF('Section Load'!U19&gt;0,'Section Load'!U19,0))</f>
        <v>125</v>
      </c>
      <c r="U16" s="1299">
        <f>(IF('Section Load'!V19&gt;0,'Section Load'!V19,0))</f>
        <v>373.67999999999302</v>
      </c>
      <c r="V16" s="1299">
        <f>(IF('Section Load'!W19&gt;0,'Section Load'!W19,0))</f>
        <v>75.160000000032596</v>
      </c>
      <c r="W16" s="1299">
        <f>(IF('Section Load'!X19&gt;0,'Section Load'!X19,0))</f>
        <v>37.94999999999709</v>
      </c>
      <c r="X16" s="1299">
        <f>(IF('Section Load'!Y19&gt;0,'Section Load'!Y19,0))</f>
        <v>36.730000000003201</v>
      </c>
      <c r="Y16" s="1299">
        <f>(IF('Section Load'!Z19&gt;0,'Section Load'!Z19,0))</f>
        <v>252</v>
      </c>
      <c r="Z16" s="1299">
        <f>(IF('Section Load'!AA19&gt;0,'Section Load'!AA19,0))</f>
        <v>80.599999999976717</v>
      </c>
      <c r="AA16" s="1299">
        <f>(IF('Section Load'!AB19&gt;0,'Section Load'!AB19,0))</f>
        <v>7.1999999999970896</v>
      </c>
      <c r="AB16" s="1299">
        <f>(IF('Section Load'!AC19&gt;0,'Section Load'!AC19,0))</f>
        <v>4</v>
      </c>
      <c r="AC16" s="1299">
        <f>(IF('Section Load'!AD19&gt;0,'Section Load'!AD19,0))</f>
        <v>7.1999999999970896</v>
      </c>
      <c r="AD16" s="1299">
        <f>(IF('Section Load'!AE19&gt;0,'Section Load'!AE19,0))</f>
        <v>0.18000000000029104</v>
      </c>
      <c r="AE16" s="1299">
        <f>(IF('Section Load'!AF19&gt;0,'Section Load'!AF19,0))</f>
        <v>2.8499999999999091</v>
      </c>
      <c r="AF16" s="1299">
        <f>(IF('Section Load'!AG19&gt;0,'Section Load'!AG19,0))</f>
        <v>201.95000000001164</v>
      </c>
      <c r="AG16" s="1299">
        <f>(IF('Section Load'!AH19&gt;0,'Section Load'!AH19,0))</f>
        <v>270.82999999998719</v>
      </c>
      <c r="AH16" s="1299">
        <f>(IF('Section Load'!AI19&gt;0,'Section Load'!AI19,0))</f>
        <v>271.45999999999913</v>
      </c>
      <c r="AI16" s="1299">
        <f>(IF('Section Load'!AJ19&gt;0,'Section Load'!AJ19,0))</f>
        <v>339.41000000000349</v>
      </c>
      <c r="AJ16" s="1299">
        <f>(IF('Section Load'!AK19&gt;0,'Section Load'!AK19,0))</f>
        <v>0</v>
      </c>
      <c r="AK16" s="1299">
        <f>(IF('Section Load'!AL19&gt;0,'Section Load'!AL19,0))</f>
        <v>89.929999999993015</v>
      </c>
      <c r="AL16" s="1299">
        <f>(IF('Section Load'!AM19&gt;0,'Section Load'!AM19,0))</f>
        <v>599</v>
      </c>
      <c r="AM16" s="1300">
        <f>(IF('Water Report'!$R$7&gt;0,'Water Report'!$R$7,0))</f>
        <v>153</v>
      </c>
      <c r="AN16" s="1300">
        <f>(IF('Water Report'!$R$8&gt;0,'Water Report'!$R$8,0))</f>
        <v>131</v>
      </c>
      <c r="AO16" s="1300">
        <f>(IF('Water Report'!$R$9&gt;0,'Water Report'!$R$9,0))</f>
        <v>42</v>
      </c>
      <c r="AP16" s="1300">
        <f>(IF('Water Report'!$R$10&gt;0,'Water Report'!$R$10,0))</f>
        <v>10</v>
      </c>
      <c r="AQ16" s="1300">
        <f>(IF('Water Report'!$R$11&gt;0,'Water Report'!$R$11,0))</f>
        <v>33</v>
      </c>
      <c r="AR16" s="1300">
        <f>(IF('Water Report'!$R$13&gt;0,'Water Report'!$R$13,0))</f>
        <v>23</v>
      </c>
      <c r="AS16" s="1300">
        <f>(IF('Water Report'!$R$14&gt;0,'Water Report'!$R$14,0))</f>
        <v>7</v>
      </c>
      <c r="AT16" s="1300">
        <f>(IF('Water Report'!$R$15&gt;0,'Water Report'!$R$15,0))</f>
        <v>1</v>
      </c>
      <c r="AU16" s="1300">
        <f>(IF('Water Report'!$R$17&gt;0,'Water Report'!$R$17,0))</f>
        <v>0</v>
      </c>
      <c r="AV16" s="1300">
        <f>(IF('Water Report'!$R$18&gt;0,'Water Report'!$R$18,0))</f>
        <v>0</v>
      </c>
      <c r="AW16" s="1300">
        <f>(IF('Water Report'!$R$19&gt;0,'Water Report'!$R$19,0))</f>
        <v>3</v>
      </c>
      <c r="AX16" s="1379">
        <f>(IF('Water Report'!$R$21&gt;0,'Water Report'!$R$21,0))</f>
        <v>42</v>
      </c>
      <c r="AY16" s="1379">
        <f>(IF('Water Report'!$R$22&gt;0,'Water Report'!$R$22,0))</f>
        <v>30</v>
      </c>
      <c r="AZ16" s="1379">
        <f>(IF('Water Report'!$R$23&gt;0,'Water Report'!$R$23,0))</f>
        <v>17</v>
      </c>
      <c r="BA16" s="1379">
        <f>(IF('Water Report'!$R$14&gt;0,'Water Report'!$R$14,0))</f>
        <v>7</v>
      </c>
      <c r="BB16" s="1379">
        <f>(IF('Water Report'!$R$15&gt;0,'Water Report'!$R$15,0))</f>
        <v>1</v>
      </c>
      <c r="BC16" s="1379">
        <f>(IF('Water Report'!$R$13&gt;0,'Water Report'!$R$13,0))</f>
        <v>23</v>
      </c>
      <c r="BD16" s="1379">
        <f>(IF('Water Report'!$R$24&gt;0,'Water Report'!$R$24,0))</f>
        <v>116</v>
      </c>
      <c r="BE16" s="1379">
        <f>(IF('Water Report'!$R$25&gt;0,'Water Report'!$R$25,0))</f>
        <v>93</v>
      </c>
      <c r="BF16" s="1379">
        <f>(IF('Water Report'!$R$27&gt;0,'Water Report'!$R$27,0))</f>
        <v>82</v>
      </c>
      <c r="BG16" s="1301">
        <f>(IF('Section Load'!AN19&gt;0,'Section Load'!AN19,0))</f>
        <v>437.41999999992549</v>
      </c>
      <c r="BH16" s="1301">
        <f>(IF('Section Load'!AO19&gt;0,'Section Load'!AO19,0))</f>
        <v>200.9100000000326</v>
      </c>
      <c r="BI16" s="1301">
        <f>(IF('Section Load'!AP19&gt;0,'Section Load'!AP19,0))</f>
        <v>0.39999999999417923</v>
      </c>
      <c r="BJ16" s="1301">
        <f>(IF('Section Load'!AQ19&gt;0,'Section Load'!AQ19,0))</f>
        <v>45</v>
      </c>
      <c r="BK16" s="1301">
        <f>(IF('Section Load'!AR19&gt;0,'Section Load'!AR19,0))</f>
        <v>0</v>
      </c>
      <c r="BL16" s="1301">
        <f>(IF('Section Load'!AS19&gt;0,'Section Load'!AS19,0))</f>
        <v>0</v>
      </c>
      <c r="BM16" s="1301">
        <f>(IF('Section Load'!AT19&gt;0,'Section Load'!AT19,0))</f>
        <v>191.10999999989872</v>
      </c>
    </row>
    <row r="17" spans="1:65">
      <c r="A17" s="1283" t="s">
        <v>301</v>
      </c>
      <c r="B17" s="1284">
        <f t="shared" si="0"/>
        <v>16</v>
      </c>
      <c r="C17" s="1284">
        <v>4</v>
      </c>
      <c r="D17" s="1284">
        <v>2021</v>
      </c>
      <c r="E17" s="1299">
        <f>(IF('Section Load'!F20&gt;0,'Section Load'!F20,0))</f>
        <v>1926.1300000000047</v>
      </c>
      <c r="F17" s="1299">
        <f>(IF('Section Load'!G20&gt;0,'Section Load'!G20,0))</f>
        <v>1239</v>
      </c>
      <c r="G17" s="1299">
        <f>(IF('Section Load'!H20&gt;0,'Section Load'!H20,0))</f>
        <v>1097</v>
      </c>
      <c r="H17" s="1299">
        <f>(IF('Section Load'!I20&gt;0,'Section Load'!I20,0))</f>
        <v>2608</v>
      </c>
      <c r="I17" s="1299">
        <f>(IF('Section Load'!J20&gt;0,'Section Load'!J20,0))</f>
        <v>4448</v>
      </c>
      <c r="J17" s="1299">
        <f>(IF('Section Load'!K20&gt;0,'Section Load'!K20,0))</f>
        <v>2126</v>
      </c>
      <c r="K17" s="1299">
        <f>(IF('Section Load'!L20&gt;0,'Section Load'!L20,0))</f>
        <v>821</v>
      </c>
      <c r="L17" s="1299">
        <f>(IF('Section Load'!M20&gt;0,'Section Load'!M20,0))</f>
        <v>0</v>
      </c>
      <c r="M17" s="1299">
        <f>(IF('Section Load'!N20&gt;0,'Section Load'!N20,0))</f>
        <v>7</v>
      </c>
      <c r="N17" s="1299">
        <f>(IF('Section Load'!O20&gt;0,'Section Load'!O20,0))</f>
        <v>0</v>
      </c>
      <c r="O17" s="1299">
        <f>(IF('Section Load'!P20&gt;0,'Section Load'!P20,0))</f>
        <v>9</v>
      </c>
      <c r="P17" s="1299">
        <f>(IF('Section Load'!Q20&gt;0,'Section Load'!Q20,0))</f>
        <v>54</v>
      </c>
      <c r="Q17" s="1299">
        <f>(IF('Section Load'!R20&gt;0,'Section Load'!R20,0))</f>
        <v>56</v>
      </c>
      <c r="R17" s="1299">
        <f>(IF('Section Load'!S20&gt;0,'Section Load'!S20,0))</f>
        <v>29</v>
      </c>
      <c r="S17" s="1299">
        <f>(IF('Section Load'!T20&gt;0,'Section Load'!T20,0))</f>
        <v>118</v>
      </c>
      <c r="T17" s="1299">
        <f>(IF('Section Load'!U20&gt;0,'Section Load'!U20,0))</f>
        <v>120</v>
      </c>
      <c r="U17" s="1299">
        <f>(IF('Section Load'!V20&gt;0,'Section Load'!V20,0))</f>
        <v>333</v>
      </c>
      <c r="V17" s="1299">
        <f>(IF('Section Load'!W20&gt;0,'Section Load'!W20,0))</f>
        <v>82</v>
      </c>
      <c r="W17" s="1299">
        <f>(IF('Section Load'!X20&gt;0,'Section Load'!X20,0))</f>
        <v>10</v>
      </c>
      <c r="X17" s="1299">
        <f>(IF('Section Load'!Y20&gt;0,'Section Load'!Y20,0))</f>
        <v>0</v>
      </c>
      <c r="Y17" s="1299">
        <f>(IF('Section Load'!Z20&gt;0,'Section Load'!Z20,0))</f>
        <v>116</v>
      </c>
      <c r="Z17" s="1299">
        <f>(IF('Section Load'!AA20&gt;0,'Section Load'!AA20,0))</f>
        <v>28</v>
      </c>
      <c r="AA17" s="1299">
        <f>(IF('Section Load'!AB20&gt;0,'Section Load'!AB20,0))</f>
        <v>4</v>
      </c>
      <c r="AB17" s="1299">
        <f>(IF('Section Load'!AC20&gt;0,'Section Load'!AC20,0))</f>
        <v>9</v>
      </c>
      <c r="AC17" s="1299">
        <f>(IF('Section Load'!AD20&gt;0,'Section Load'!AD20,0))</f>
        <v>4</v>
      </c>
      <c r="AD17" s="1299">
        <f>(IF('Section Load'!AE20&gt;0,'Section Load'!AE20,0))</f>
        <v>0</v>
      </c>
      <c r="AE17" s="1299">
        <f>(IF('Section Load'!AF20&gt;0,'Section Load'!AF20,0))</f>
        <v>4</v>
      </c>
      <c r="AF17" s="1299">
        <f>(IF('Section Load'!AG20&gt;0,'Section Load'!AG20,0))</f>
        <v>201</v>
      </c>
      <c r="AG17" s="1299">
        <f>(IF('Section Load'!AH20&gt;0,'Section Load'!AH20,0))</f>
        <v>295</v>
      </c>
      <c r="AH17" s="1299">
        <f>(IF('Section Load'!AI20&gt;0,'Section Load'!AI20,0))</f>
        <v>260</v>
      </c>
      <c r="AI17" s="1299">
        <f>(IF('Section Load'!AJ20&gt;0,'Section Load'!AJ20,0))</f>
        <v>332</v>
      </c>
      <c r="AJ17" s="1299">
        <f>(IF('Section Load'!AK20&gt;0,'Section Load'!AK20,0))</f>
        <v>0</v>
      </c>
      <c r="AK17" s="1299">
        <f>(IF('Section Load'!AL20&gt;0,'Section Load'!AL20,0))</f>
        <v>95</v>
      </c>
      <c r="AL17" s="1299">
        <f>(IF('Section Load'!AM20&gt;0,'Section Load'!AM20,0))</f>
        <v>511</v>
      </c>
      <c r="AM17" s="1300">
        <f>(IF('Water Report'!$S$7&gt;0,'Water Report'!$S$7,0))</f>
        <v>45</v>
      </c>
      <c r="AN17" s="1300">
        <f>(IF('Water Report'!$S$8&gt;0,'Water Report'!$S$8,0))</f>
        <v>29</v>
      </c>
      <c r="AO17" s="1300">
        <f>(IF('Water Report'!$S$9&gt;0,'Water Report'!$S$9,0))</f>
        <v>27</v>
      </c>
      <c r="AP17" s="1300">
        <f>(IF('Water Report'!$S$10&gt;0,'Water Report'!$D$10,0))</f>
        <v>12</v>
      </c>
      <c r="AQ17" s="1300">
        <f>(IF('Water Report'!$S$11&gt;0,'Water Report'!$D$11,0))</f>
        <v>17</v>
      </c>
      <c r="AR17" s="1300">
        <f>(IF('Water Report'!$S$13&gt;0,'Water Report'!$D$13,0))</f>
        <v>5</v>
      </c>
      <c r="AS17" s="1300">
        <f>(IF('Water Report'!$S$14&gt;0,'Water Report'!$D$14,0))</f>
        <v>9</v>
      </c>
      <c r="AT17" s="1300">
        <f>(IF('Water Report'!$S$15&gt;0,'Water Report'!$D$15,0))</f>
        <v>5</v>
      </c>
      <c r="AU17" s="1300">
        <f>(IF('Water Report'!$S$17&gt;0,'Water Report'!$D$17,0))</f>
        <v>0</v>
      </c>
      <c r="AV17" s="1300">
        <f>(IF('Water Report'!$S$18&gt;0,'Water Report'!$D$18,0))</f>
        <v>0</v>
      </c>
      <c r="AW17" s="1300">
        <f>(IF('Water Report'!$S$19&gt;0,'Water Report'!$D$19,0))</f>
        <v>0</v>
      </c>
      <c r="AX17" s="1379">
        <f>(IF('Water Report'!$S$21&gt;0,'Water Report'!$D$21,0))</f>
        <v>85</v>
      </c>
      <c r="AY17" s="1379">
        <f>(IF('Water Report'!$S$22&gt;0,'Water Report'!$D$22,0))</f>
        <v>0</v>
      </c>
      <c r="AZ17" s="1379">
        <f>(IF('Water Report'!$S$23&gt;0,'Water Report'!$D$23,0))</f>
        <v>0</v>
      </c>
      <c r="BA17" s="1379">
        <f>(IF('Water Report'!$S$14&gt;0,'Water Report'!$D$14,0))</f>
        <v>9</v>
      </c>
      <c r="BB17" s="1379">
        <f>(IF('Water Report'!$S$15&gt;0,'Water Report'!$D$15,0))</f>
        <v>5</v>
      </c>
      <c r="BC17" s="1379">
        <f>(IF('Water Report'!$S$13&gt;0,'Water Report'!$D$13,0))</f>
        <v>5</v>
      </c>
      <c r="BD17" s="1379">
        <f>(IF('Water Report'!$S$24&gt;0,'Water Report'!$D$24,0))</f>
        <v>136</v>
      </c>
      <c r="BE17" s="1379">
        <f>(IF('Water Report'!$S$25&gt;0,'Water Report'!$D$25,0))</f>
        <v>115</v>
      </c>
      <c r="BF17" s="1379">
        <f>(IF('Water Report'!$S$27&gt;0,'Water Report'!$D$27,0))</f>
        <v>117</v>
      </c>
      <c r="BG17" s="1301">
        <f>(IF('Section Load'!AN20&gt;0,'Section Load'!AN20,0))</f>
        <v>317</v>
      </c>
      <c r="BH17" s="1301">
        <f>(IF('Section Load'!AO20&gt;0,'Section Load'!AO20,0))</f>
        <v>209</v>
      </c>
      <c r="BI17" s="1301">
        <f>(IF('Section Load'!AP20&gt;0,'Section Load'!AP20,0))</f>
        <v>0</v>
      </c>
      <c r="BJ17" s="1301">
        <f>(IF('Section Load'!AQ20&gt;0,'Section Load'!AQ20,0))</f>
        <v>57</v>
      </c>
      <c r="BK17" s="1301">
        <f>(IF('Section Load'!AR20&gt;0,'Section Load'!AR20,0))</f>
        <v>0</v>
      </c>
      <c r="BL17" s="1301">
        <f>(IF('Section Load'!AS20&gt;0,'Section Load'!AS20,0))</f>
        <v>0</v>
      </c>
      <c r="BM17" s="1301">
        <f>(IF('Section Load'!AT20&gt;0,'Section Load'!AT20,0))</f>
        <v>51</v>
      </c>
    </row>
    <row r="18" spans="1:65">
      <c r="A18" s="1283" t="s">
        <v>301</v>
      </c>
      <c r="B18" s="1284">
        <f t="shared" si="0"/>
        <v>17</v>
      </c>
      <c r="C18" s="1284">
        <v>4</v>
      </c>
      <c r="D18" s="1284">
        <v>2021</v>
      </c>
      <c r="E18" s="1299">
        <f>(IF('Section Load'!F21&gt;0,'Section Load'!F21,0))</f>
        <v>1602</v>
      </c>
      <c r="F18" s="1299">
        <f>(IF('Section Load'!G21&gt;0,'Section Load'!G21,0))</f>
        <v>1338.1300000000047</v>
      </c>
      <c r="G18" s="1299">
        <f>(IF('Section Load'!H21&gt;0,'Section Load'!H21,0))</f>
        <v>1050</v>
      </c>
      <c r="H18" s="1299">
        <f>(IF('Section Load'!I21&gt;0,'Section Load'!I21,0))</f>
        <v>2646</v>
      </c>
      <c r="I18" s="1299">
        <f>(IF('Section Load'!J21&gt;0,'Section Load'!J21,0))</f>
        <v>4494</v>
      </c>
      <c r="J18" s="1299">
        <f>(IF('Section Load'!K21&gt;0,'Section Load'!K21,0))</f>
        <v>2036</v>
      </c>
      <c r="K18" s="1299">
        <f>(IF('Section Load'!L21&gt;0,'Section Load'!L21,0))</f>
        <v>762</v>
      </c>
      <c r="L18" s="1299">
        <f>(IF('Section Load'!M21&gt;0,'Section Load'!M21,0))</f>
        <v>0</v>
      </c>
      <c r="M18" s="1299">
        <f>(IF('Section Load'!N21&gt;0,'Section Load'!N21,0))</f>
        <v>6</v>
      </c>
      <c r="N18" s="1299">
        <f>(IF('Section Load'!O21&gt;0,'Section Load'!O21,0))</f>
        <v>1</v>
      </c>
      <c r="O18" s="1299">
        <f>(IF('Section Load'!P21&gt;0,'Section Load'!P21,0))</f>
        <v>6</v>
      </c>
      <c r="P18" s="1299">
        <f>(IF('Section Load'!Q21&gt;0,'Section Load'!Q21,0))</f>
        <v>59</v>
      </c>
      <c r="Q18" s="1299">
        <f>(IF('Section Load'!R21&gt;0,'Section Load'!R21,0))</f>
        <v>57</v>
      </c>
      <c r="R18" s="1299">
        <f>(IF('Section Load'!S21&gt;0,'Section Load'!S21,0))</f>
        <v>29</v>
      </c>
      <c r="S18" s="1299">
        <f>(IF('Section Load'!T21&gt;0,'Section Load'!T21,0))</f>
        <v>89</v>
      </c>
      <c r="T18" s="1299">
        <f>(IF('Section Load'!U21&gt;0,'Section Load'!U21,0))</f>
        <v>117</v>
      </c>
      <c r="U18" s="1299">
        <f>(IF('Section Load'!V21&gt;0,'Section Load'!V21,0))</f>
        <v>311</v>
      </c>
      <c r="V18" s="1299">
        <f>(IF('Section Load'!W21&gt;0,'Section Load'!W21,0))</f>
        <v>76</v>
      </c>
      <c r="W18" s="1299">
        <f>(IF('Section Load'!X21&gt;0,'Section Load'!X21,0))</f>
        <v>11</v>
      </c>
      <c r="X18" s="1299">
        <f>(IF('Section Load'!Y21&gt;0,'Section Load'!Y21,0))</f>
        <v>199</v>
      </c>
      <c r="Y18" s="1299">
        <f>(IF('Section Load'!Z21&gt;0,'Section Load'!Z21,0))</f>
        <v>175</v>
      </c>
      <c r="Z18" s="1299">
        <f>(IF('Section Load'!AA21&gt;0,'Section Load'!AA21,0))</f>
        <v>36</v>
      </c>
      <c r="AA18" s="1299">
        <f>(IF('Section Load'!AB21&gt;0,'Section Load'!AB21,0))</f>
        <v>7</v>
      </c>
      <c r="AB18" s="1299">
        <f>(IF('Section Load'!AC21&gt;0,'Section Load'!AC21,0))</f>
        <v>66</v>
      </c>
      <c r="AC18" s="1299">
        <f>(IF('Section Load'!AD21&gt;0,'Section Load'!AD21,0))</f>
        <v>7</v>
      </c>
      <c r="AD18" s="1299">
        <f>(IF('Section Load'!AE21&gt;0,'Section Load'!AE21,0))</f>
        <v>0</v>
      </c>
      <c r="AE18" s="1299">
        <f>(IF('Section Load'!AF21&gt;0,'Section Load'!AF21,0))</f>
        <v>4</v>
      </c>
      <c r="AF18" s="1299">
        <f>(IF('Section Load'!AG21&gt;0,'Section Load'!AG21,0))</f>
        <v>266</v>
      </c>
      <c r="AG18" s="1299">
        <f>(IF('Section Load'!AH21&gt;0,'Section Load'!AH21,0))</f>
        <v>284</v>
      </c>
      <c r="AH18" s="1299">
        <f>(IF('Section Load'!AI21&gt;0,'Section Load'!AI21,0))</f>
        <v>272</v>
      </c>
      <c r="AI18" s="1299">
        <f>(IF('Section Load'!AJ21&gt;0,'Section Load'!AJ21,0))</f>
        <v>322</v>
      </c>
      <c r="AJ18" s="1299">
        <f>(IF('Section Load'!AK21&gt;0,'Section Load'!AK21,0))</f>
        <v>0</v>
      </c>
      <c r="AK18" s="1299">
        <f>(IF('Section Load'!AL21&gt;0,'Section Load'!AL21,0))</f>
        <v>87</v>
      </c>
      <c r="AL18" s="1299">
        <f>(IF('Section Load'!AM21&gt;0,'Section Load'!AM21,0))</f>
        <v>419</v>
      </c>
      <c r="AM18" s="1300">
        <f>(IF('Water Report'!$T$7&gt;0,'Water Report'!$T$7,0))</f>
        <v>0</v>
      </c>
      <c r="AN18" s="1300">
        <f>(IF('Water Report'!$T$8&gt;0,'Water Report'!$T$8,0))</f>
        <v>93</v>
      </c>
      <c r="AO18" s="1300">
        <f>(IF('Water Report'!$T$9&gt;0,'Water Report'!$T$9,0))</f>
        <v>45</v>
      </c>
      <c r="AP18" s="1300">
        <f>(IF('Water Report'!$T$10&gt;0,'Water Report'!$T$10,0))</f>
        <v>7</v>
      </c>
      <c r="AQ18" s="1300">
        <f>(IF('Water Report'!$T$11&gt;0,'Water Report'!$T$11,0))</f>
        <v>6</v>
      </c>
      <c r="AR18" s="1300">
        <f>(IF('Water Report'!$T$13&gt;0,'Water Report'!$T$13,0))</f>
        <v>2</v>
      </c>
      <c r="AS18" s="1300">
        <f>(IF('Water Report'!$T$14&gt;0,'Water Report'!$T$14,0))</f>
        <v>22</v>
      </c>
      <c r="AT18" s="1300">
        <f>(IF('Water Report'!$T$15&gt;0,'Water Report'!$T$15,0))</f>
        <v>8</v>
      </c>
      <c r="AU18" s="1300">
        <f>(IF('Water Report'!$T$17&gt;0,'Water Report'!$T$17,0))</f>
        <v>0</v>
      </c>
      <c r="AV18" s="1300">
        <f>(IF('Water Report'!$T$18&gt;0,'Water Report'!$T$18,0))</f>
        <v>14</v>
      </c>
      <c r="AW18" s="1300">
        <f>(IF('Water Report'!$T$19&gt;0,'Water Report'!$T$19,0))</f>
        <v>6</v>
      </c>
      <c r="AX18" s="1379">
        <f>(IF('Water Report'!$T$21&gt;0,'Water Report'!$T$21,0))</f>
        <v>20</v>
      </c>
      <c r="AY18" s="1379">
        <f>(IF('Water Report'!$T$22&gt;0,'Water Report'!$T$22,0))</f>
        <v>0</v>
      </c>
      <c r="AZ18" s="1379">
        <f>(IF('Water Report'!$T$23&gt;0,'Water Report'!$T$23,0))</f>
        <v>0</v>
      </c>
      <c r="BA18" s="1379">
        <f>(IF('Water Report'!$T$14&gt;0,'Water Report'!$T$14,0))</f>
        <v>22</v>
      </c>
      <c r="BB18" s="1379">
        <f>(IF('Water Report'!$T$15&gt;0,'Water Report'!$T$15,0))</f>
        <v>8</v>
      </c>
      <c r="BC18" s="1379">
        <f>(IF('Water Report'!$T$13&gt;0,'Water Report'!$T$13,0))</f>
        <v>2</v>
      </c>
      <c r="BD18" s="1379">
        <f>(IF('Water Report'!$T$24&gt;0,'Water Report'!$T$24,0))</f>
        <v>76</v>
      </c>
      <c r="BE18" s="1379">
        <f>(IF('Water Report'!$T$25&gt;0,'Water Report'!$T$25,0))</f>
        <v>88</v>
      </c>
      <c r="BF18" s="1379">
        <f>(IF('Water Report'!$T$27&gt;0,'Water Report'!$T$27,0))</f>
        <v>22</v>
      </c>
      <c r="BG18" s="1301">
        <f>(IF('Section Load'!AN21&gt;0,'Section Load'!AN21,0))</f>
        <v>562</v>
      </c>
      <c r="BH18" s="1301">
        <f>(IF('Section Load'!AO21&gt;0,'Section Load'!AO21,0))</f>
        <v>214</v>
      </c>
      <c r="BI18" s="1301">
        <f>(IF('Section Load'!AP21&gt;0,'Section Load'!AP21,0))</f>
        <v>0</v>
      </c>
      <c r="BJ18" s="1301">
        <f>(IF('Section Load'!AQ21&gt;0,'Section Load'!AQ21,0))</f>
        <v>46</v>
      </c>
      <c r="BK18" s="1301">
        <f>(IF('Section Load'!AR21&gt;0,'Section Load'!AR21,0))</f>
        <v>0</v>
      </c>
      <c r="BL18" s="1301">
        <f>(IF('Section Load'!AS21&gt;0,'Section Load'!AS21,0))</f>
        <v>0</v>
      </c>
      <c r="BM18" s="1301">
        <f>(IF('Section Load'!AT21&gt;0,'Section Load'!AT21,0))</f>
        <v>302</v>
      </c>
    </row>
    <row r="19" spans="1:65">
      <c r="A19" s="1283" t="s">
        <v>301</v>
      </c>
      <c r="B19" s="1284">
        <f t="shared" si="0"/>
        <v>18</v>
      </c>
      <c r="C19" s="1284">
        <v>4</v>
      </c>
      <c r="D19" s="1284">
        <v>2021</v>
      </c>
      <c r="E19" s="1299">
        <f>(IF('Section Load'!F22&gt;0,'Section Load'!F22,0))</f>
        <v>1530</v>
      </c>
      <c r="F19" s="1299">
        <f>(IF('Section Load'!G22&gt;0,'Section Load'!G22,0))</f>
        <v>1254</v>
      </c>
      <c r="G19" s="1299">
        <f>(IF('Section Load'!H22&gt;0,'Section Load'!H22,0))</f>
        <v>1081</v>
      </c>
      <c r="H19" s="1299">
        <f>(IF('Section Load'!I22&gt;0,'Section Load'!I22,0))</f>
        <v>2625</v>
      </c>
      <c r="I19" s="1299">
        <f>(IF('Section Load'!J22&gt;0,'Section Load'!J22,0))</f>
        <v>5084.5400000000009</v>
      </c>
      <c r="J19" s="1299">
        <f>(IF('Section Load'!K22&gt;0,'Section Load'!K22,0))</f>
        <v>2115</v>
      </c>
      <c r="K19" s="1299">
        <f>(IF('Section Load'!L22&gt;0,'Section Load'!L22,0))</f>
        <v>802</v>
      </c>
      <c r="L19" s="1299">
        <f>(IF('Section Load'!M22&gt;0,'Section Load'!M22,0))</f>
        <v>0</v>
      </c>
      <c r="M19" s="1299">
        <f>(IF('Section Load'!N22&gt;0,'Section Load'!N22,0))</f>
        <v>6</v>
      </c>
      <c r="N19" s="1299">
        <f>(IF('Section Load'!O22&gt;0,'Section Load'!O22,0))</f>
        <v>2</v>
      </c>
      <c r="O19" s="1299">
        <f>(IF('Section Load'!P22&gt;0,'Section Load'!P22,0))</f>
        <v>4</v>
      </c>
      <c r="P19" s="1299">
        <f>(IF('Section Load'!Q22&gt;0,'Section Load'!Q22,0))</f>
        <v>53</v>
      </c>
      <c r="Q19" s="1299">
        <f>(IF('Section Load'!R22&gt;0,'Section Load'!R22,0))</f>
        <v>56</v>
      </c>
      <c r="R19" s="1299">
        <f>(IF('Section Load'!S22&gt;0,'Section Load'!S22,0))</f>
        <v>30</v>
      </c>
      <c r="S19" s="1299">
        <f>(IF('Section Load'!T22&gt;0,'Section Load'!T22,0))</f>
        <v>75</v>
      </c>
      <c r="T19" s="1299">
        <f>(IF('Section Load'!U22&gt;0,'Section Load'!U22,0))</f>
        <v>128</v>
      </c>
      <c r="U19" s="1299">
        <f>(IF('Section Load'!V22&gt;0,'Section Load'!V22,0))</f>
        <v>300</v>
      </c>
      <c r="V19" s="1299">
        <f>(IF('Section Load'!W22&gt;0,'Section Load'!W22,0))</f>
        <v>80</v>
      </c>
      <c r="W19" s="1299">
        <f>(IF('Section Load'!X22&gt;0,'Section Load'!X22,0))</f>
        <v>26</v>
      </c>
      <c r="X19" s="1299">
        <f>(IF('Section Load'!Y22&gt;0,'Section Load'!Y22,0))</f>
        <v>63</v>
      </c>
      <c r="Y19" s="1299">
        <f>(IF('Section Load'!Z22&gt;0,'Section Load'!Z22,0))</f>
        <v>240</v>
      </c>
      <c r="Z19" s="1299">
        <f>(IF('Section Load'!AA22&gt;0,'Section Load'!AA22,0))</f>
        <v>31</v>
      </c>
      <c r="AA19" s="1299">
        <f>(IF('Section Load'!AB22&gt;0,'Section Load'!AB22,0))</f>
        <v>14</v>
      </c>
      <c r="AB19" s="1299">
        <f>(IF('Section Load'!AC22&gt;0,'Section Load'!AC22,0))</f>
        <v>68</v>
      </c>
      <c r="AC19" s="1299">
        <f>(IF('Section Load'!AD22&gt;0,'Section Load'!AD22,0))</f>
        <v>14.199999999999818</v>
      </c>
      <c r="AD19" s="1299">
        <f>(IF('Section Load'!AE22&gt;0,'Section Load'!AE22,0))</f>
        <v>0.18000000000029104</v>
      </c>
      <c r="AE19" s="1299">
        <f>(IF('Section Load'!AF22&gt;0,'Section Load'!AF22,0))</f>
        <v>4</v>
      </c>
      <c r="AF19" s="1299">
        <f>(IF('Section Load'!AG22&gt;0,'Section Load'!AG22,0))</f>
        <v>337</v>
      </c>
      <c r="AG19" s="1299">
        <f>(IF('Section Load'!AH22&gt;0,'Section Load'!AH22,0))</f>
        <v>268</v>
      </c>
      <c r="AH19" s="1299">
        <f>(IF('Section Load'!AI22&gt;0,'Section Load'!AI22,0))</f>
        <v>270</v>
      </c>
      <c r="AI19" s="1299">
        <f>(IF('Section Load'!AJ22&gt;0,'Section Load'!AJ22,0))</f>
        <v>300</v>
      </c>
      <c r="AJ19" s="1299">
        <f>(IF('Section Load'!AK22&gt;0,'Section Load'!AK22,0))</f>
        <v>0</v>
      </c>
      <c r="AK19" s="1299">
        <f>(IF('Section Load'!AL22&gt;0,'Section Load'!AL22,0))</f>
        <v>78</v>
      </c>
      <c r="AL19" s="1299">
        <f>(IF('Section Load'!AM22&gt;0,'Section Load'!AM22,0))</f>
        <v>353</v>
      </c>
      <c r="AM19" s="1300">
        <f>(IF('Water Report'!$U$7&gt;0,'Water Report'!$U$7,0))</f>
        <v>0</v>
      </c>
      <c r="AN19" s="1300">
        <f>(IF('Water Report'!$U$8&gt;0,'Water Report'!$U$8,0))</f>
        <v>146</v>
      </c>
      <c r="AO19" s="1300">
        <f>(IF('Water Report'!$U$9&gt;0,'Water Report'!$U$9,0))</f>
        <v>29</v>
      </c>
      <c r="AP19" s="1300">
        <f>(IF('Water Report'!$U$10&gt;0,'Water Report'!$U$10,0))</f>
        <v>12</v>
      </c>
      <c r="AQ19" s="1300">
        <f>(IF('Water Report'!$U$11&gt;0,'Water Report'!$U$11,0))</f>
        <v>8</v>
      </c>
      <c r="AR19" s="1300">
        <f>(IF('Water Report'!$U$13&gt;0,'Water Report'!$U$13,0))</f>
        <v>4</v>
      </c>
      <c r="AS19" s="1300">
        <f>(IF('Water Report'!$U$14&gt;0,'Water Report'!$U$14,0))</f>
        <v>10</v>
      </c>
      <c r="AT19" s="1300">
        <f>(IF('Water Report'!$U$15&gt;0,'Water Report'!$U$15,0))</f>
        <v>0</v>
      </c>
      <c r="AU19" s="1300">
        <f>(IF('Water Report'!$U$17&gt;0,'Water Report'!$U$17,0))</f>
        <v>0</v>
      </c>
      <c r="AV19" s="1300">
        <f>(IF('Water Report'!$U$18&gt;0,'Water Report'!$U$18,0))</f>
        <v>0</v>
      </c>
      <c r="AW19" s="1300">
        <f>(IF('Water Report'!$U$19&gt;0,'Water Report'!$U$19,0))</f>
        <v>2</v>
      </c>
      <c r="AX19" s="1379">
        <f>(IF('Water Report'!$U$21&gt;0,'Water Report'!$U$21,0))</f>
        <v>73</v>
      </c>
      <c r="AY19" s="1379">
        <f>(IF('Water Report'!$U$22&gt;0,'Water Report'!$U$22,0))</f>
        <v>0</v>
      </c>
      <c r="AZ19" s="1379">
        <f>(IF('Water Report'!$U$23&gt;0,'Water Report'!$U$23,0))</f>
        <v>4</v>
      </c>
      <c r="BA19" s="1379">
        <f>(IF('Water Report'!$U$14&gt;0,'Water Report'!$U$14,0))</f>
        <v>10</v>
      </c>
      <c r="BB19" s="1379">
        <f>(IF('Water Report'!$U$15&gt;0,'Water Report'!$U$15,0))</f>
        <v>0</v>
      </c>
      <c r="BC19" s="1379">
        <f>(IF('Water Report'!$U$13&gt;0,'Water Report'!$U$13,0))</f>
        <v>4</v>
      </c>
      <c r="BD19" s="1379">
        <f>(IF('Water Report'!$U$24&gt;0,'Water Report'!$U$24,0))</f>
        <v>105</v>
      </c>
      <c r="BE19" s="1379">
        <f>(IF('Water Report'!$U$25&gt;0,'Water Report'!$U$25,0))</f>
        <v>59</v>
      </c>
      <c r="BF19" s="1379">
        <f>(IF('Water Report'!$U$27&gt;0,'Water Report'!$U$27,0))</f>
        <v>81</v>
      </c>
      <c r="BG19" s="1301">
        <f>(IF('Section Load'!AN22&gt;0,'Section Load'!AN22,0))</f>
        <v>400</v>
      </c>
      <c r="BH19" s="1301">
        <f>(IF('Section Load'!AO22&gt;0,'Section Load'!AO22,0))</f>
        <v>195</v>
      </c>
      <c r="BI19" s="1301">
        <f>(IF('Section Load'!AP22&gt;0,'Section Load'!AP22,0))</f>
        <v>0</v>
      </c>
      <c r="BJ19" s="1301">
        <f>(IF('Section Load'!AQ22&gt;0,'Section Load'!AQ22,0))</f>
        <v>45</v>
      </c>
      <c r="BK19" s="1301">
        <f>(IF('Section Load'!AR22&gt;0,'Section Load'!AR22,0))</f>
        <v>0</v>
      </c>
      <c r="BL19" s="1301">
        <f>(IF('Section Load'!AS22&gt;0,'Section Load'!AS22,0))</f>
        <v>0</v>
      </c>
      <c r="BM19" s="1301">
        <f>(IF('Section Load'!AT22&gt;0,'Section Load'!AT22,0))</f>
        <v>160</v>
      </c>
    </row>
    <row r="20" spans="1:65">
      <c r="A20" s="1283" t="s">
        <v>301</v>
      </c>
      <c r="B20" s="1284">
        <f t="shared" si="0"/>
        <v>19</v>
      </c>
      <c r="C20" s="1284">
        <v>4</v>
      </c>
      <c r="D20" s="1284">
        <v>2021</v>
      </c>
      <c r="E20" s="1299">
        <f>(IF('Section Load'!F23&gt;0,'Section Load'!F23,0))</f>
        <v>0</v>
      </c>
      <c r="F20" s="1299">
        <f>(IF('Section Load'!G23&gt;0,'Section Load'!G23,0))</f>
        <v>0</v>
      </c>
      <c r="G20" s="1299">
        <f>(IF('Section Load'!H23&gt;0,'Section Load'!H23,0))</f>
        <v>0</v>
      </c>
      <c r="H20" s="1299">
        <f>(IF('Section Load'!I23&gt;0,'Section Load'!I23,0))</f>
        <v>0</v>
      </c>
      <c r="I20" s="1299">
        <f>(IF('Section Load'!J23&gt;0,'Section Load'!J23,0))</f>
        <v>195368.99000000005</v>
      </c>
      <c r="J20" s="1299">
        <f>(IF('Section Load'!K23&gt;0,'Section Load'!K23,0))</f>
        <v>0</v>
      </c>
      <c r="K20" s="1299">
        <f>(IF('Section Load'!L23&gt;0,'Section Load'!L23,0))</f>
        <v>0</v>
      </c>
      <c r="L20" s="1299">
        <f>(IF('Section Load'!M23&gt;0,'Section Load'!M23,0))</f>
        <v>0</v>
      </c>
      <c r="M20" s="1299">
        <f>(IF('Section Load'!N23&gt;0,'Section Load'!N23,0))</f>
        <v>0</v>
      </c>
      <c r="N20" s="1299">
        <f>(IF('Section Load'!O23&gt;0,'Section Load'!O23,0))</f>
        <v>0</v>
      </c>
      <c r="O20" s="1299">
        <f>(IF('Section Load'!P23&gt;0,'Section Load'!P23,0))</f>
        <v>0</v>
      </c>
      <c r="P20" s="1299">
        <f>(IF('Section Load'!Q23&gt;0,'Section Load'!Q23,0))</f>
        <v>0</v>
      </c>
      <c r="Q20" s="1299">
        <f>(IF('Section Load'!R23&gt;0,'Section Load'!R23,0))</f>
        <v>0</v>
      </c>
      <c r="R20" s="1299">
        <f>(IF('Section Load'!S23&gt;0,'Section Load'!S23,0))</f>
        <v>0</v>
      </c>
      <c r="S20" s="1299">
        <f>(IF('Section Load'!T23&gt;0,'Section Load'!T23,0))</f>
        <v>0</v>
      </c>
      <c r="T20" s="1299">
        <f>(IF('Section Load'!U23&gt;0,'Section Load'!U23,0))</f>
        <v>0</v>
      </c>
      <c r="U20" s="1299">
        <f>(IF('Section Load'!V23&gt;0,'Section Load'!V23,0))</f>
        <v>0</v>
      </c>
      <c r="V20" s="1299">
        <f>(IF('Section Load'!W23&gt;0,'Section Load'!W23,0))</f>
        <v>0</v>
      </c>
      <c r="W20" s="1299">
        <f>(IF('Section Load'!X23&gt;0,'Section Load'!X23,0))</f>
        <v>0</v>
      </c>
      <c r="X20" s="1299">
        <f>(IF('Section Load'!Y23&gt;0,'Section Load'!Y23,0))</f>
        <v>0</v>
      </c>
      <c r="Y20" s="1299">
        <f>(IF('Section Load'!Z23&gt;0,'Section Load'!Z23,0))</f>
        <v>0</v>
      </c>
      <c r="Z20" s="1299">
        <f>(IF('Section Load'!AA23&gt;0,'Section Load'!AA23,0))</f>
        <v>0</v>
      </c>
      <c r="AA20" s="1299">
        <f>(IF('Section Load'!AB23&gt;0,'Section Load'!AB23,0))</f>
        <v>0</v>
      </c>
      <c r="AB20" s="1299">
        <f>(IF('Section Load'!AC23&gt;0,'Section Load'!AC23,0))</f>
        <v>0</v>
      </c>
      <c r="AC20" s="1299">
        <f>(IF('Section Load'!AD23&gt;0,'Section Load'!AD23,0))</f>
        <v>0</v>
      </c>
      <c r="AD20" s="1299">
        <f>(IF('Section Load'!AE23&gt;0,'Section Load'!AE23,0))</f>
        <v>2.0000000000436557E-2</v>
      </c>
      <c r="AE20" s="1299">
        <f>(IF('Section Load'!AF23&gt;0,'Section Load'!AF23,0))</f>
        <v>0</v>
      </c>
      <c r="AF20" s="1299">
        <f>(IF('Section Load'!AG23&gt;0,'Section Load'!AG23,0))</f>
        <v>0</v>
      </c>
      <c r="AG20" s="1299">
        <f>(IF('Section Load'!AH23&gt;0,'Section Load'!AH23,0))</f>
        <v>0</v>
      </c>
      <c r="AH20" s="1299">
        <f>(IF('Section Load'!AI23&gt;0,'Section Load'!AI23,0))</f>
        <v>0</v>
      </c>
      <c r="AI20" s="1299">
        <f>(IF('Section Load'!AJ23&gt;0,'Section Load'!AJ23,0))</f>
        <v>0</v>
      </c>
      <c r="AJ20" s="1299">
        <f>(IF('Section Load'!AK23&gt;0,'Section Load'!AK23,0))</f>
        <v>0</v>
      </c>
      <c r="AK20" s="1299">
        <f>(IF('Section Load'!AL23&gt;0,'Section Load'!AL23,0))</f>
        <v>0</v>
      </c>
      <c r="AL20" s="1299">
        <f>(IF('Section Load'!AM23&gt;0,'Section Load'!AM23,0))</f>
        <v>0</v>
      </c>
      <c r="AM20" s="1300">
        <f>(IF('Water Report'!$V$7&gt;0,'Water Report'!$V$7,0))</f>
        <v>0</v>
      </c>
      <c r="AN20" s="1300">
        <f>(IF('Water Report'!$V$8&gt;0,'Water Report'!$V$8,0))</f>
        <v>0</v>
      </c>
      <c r="AO20" s="1300">
        <f>(IF('Water Report'!$V$9&gt;0,'Water Report'!$V$9,0))</f>
        <v>0</v>
      </c>
      <c r="AP20" s="1300">
        <f>(IF('Water Report'!$V$10&gt;0,'Water Report'!$V$10,0))</f>
        <v>0</v>
      </c>
      <c r="AQ20" s="1300">
        <f>(IF('Water Report'!$V$11&gt;0,'Water Report'!$V$11,0))</f>
        <v>0</v>
      </c>
      <c r="AR20" s="1300">
        <f>(IF('Water Report'!$V$13&gt;0,'Water Report'!$V$13,0))</f>
        <v>0</v>
      </c>
      <c r="AS20" s="1300">
        <f>(IF('Water Report'!$V$14&gt;0,'Water Report'!$V$14,0))</f>
        <v>0</v>
      </c>
      <c r="AT20" s="1300">
        <f>(IF('Water Report'!$V$15&gt;0,'Water Report'!$V$15,0))</f>
        <v>0</v>
      </c>
      <c r="AU20" s="1300">
        <f>(IF('Water Report'!$V$17&gt;0,'Water Report'!$V$17,0))</f>
        <v>0</v>
      </c>
      <c r="AV20" s="1300">
        <f>(IF('Water Report'!$V$18&gt;0,'Water Report'!$V$18,0))</f>
        <v>0</v>
      </c>
      <c r="AW20" s="1300">
        <f>(IF('Water Report'!$V$19&gt;0,'Water Report'!$V$19,0))</f>
        <v>0</v>
      </c>
      <c r="AX20" s="1379">
        <f>(IF('Water Report'!$V$21&gt;0,'Water Report'!$V$21,0))</f>
        <v>0</v>
      </c>
      <c r="AY20" s="1379">
        <f>(IF('Water Report'!$V$22&gt;0,'Water Report'!$V$22,0))</f>
        <v>0</v>
      </c>
      <c r="AZ20" s="1379">
        <f>(IF('Water Report'!$V$23&gt;0,'Water Report'!$V$23,0))</f>
        <v>0</v>
      </c>
      <c r="BA20" s="1379">
        <f>(IF('Water Report'!$V$14&gt;0,'Water Report'!$V$14,0))</f>
        <v>0</v>
      </c>
      <c r="BB20" s="1379">
        <f>(IF('Water Report'!$V$15&gt;0,'Water Report'!$V$15,0))</f>
        <v>0</v>
      </c>
      <c r="BC20" s="1379">
        <f>(IF('Water Report'!$V$13&gt;0,'Water Report'!$V$13,0))</f>
        <v>0</v>
      </c>
      <c r="BD20" s="1379">
        <f>(IF('Water Report'!$V$24&gt;0,'Water Report'!$V$24,0))</f>
        <v>0</v>
      </c>
      <c r="BE20" s="1379">
        <f>(IF('Water Report'!$V$25&gt;0,'Water Report'!$V$25,0))</f>
        <v>0</v>
      </c>
      <c r="BF20" s="1379">
        <f>(IF('Water Report'!$V$27&gt;0,'Water Report'!$V$27,0))</f>
        <v>0</v>
      </c>
      <c r="BG20" s="1301">
        <f>(IF('Section Load'!AN23&gt;0,'Section Load'!AN23,0))</f>
        <v>0</v>
      </c>
      <c r="BH20" s="1301">
        <f>(IF('Section Load'!AO23&gt;0,'Section Load'!AO23,0))</f>
        <v>0</v>
      </c>
      <c r="BI20" s="1301">
        <f>(IF('Section Load'!AP23&gt;0,'Section Load'!AP23,0))</f>
        <v>0</v>
      </c>
      <c r="BJ20" s="1301">
        <f>(IF('Section Load'!AQ23&gt;0,'Section Load'!AQ23,0))</f>
        <v>0</v>
      </c>
      <c r="BK20" s="1301">
        <f>(IF('Section Load'!AR23&gt;0,'Section Load'!AR23,0))</f>
        <v>0</v>
      </c>
      <c r="BL20" s="1301">
        <f>(IF('Section Load'!AS23&gt;0,'Section Load'!AS23,0))</f>
        <v>0</v>
      </c>
      <c r="BM20" s="1301">
        <f>(IF('Section Load'!AT23&gt;0,'Section Load'!AT23,0))</f>
        <v>0</v>
      </c>
    </row>
    <row r="21" spans="1:65">
      <c r="A21" s="1283" t="s">
        <v>301</v>
      </c>
      <c r="B21" s="1284">
        <f t="shared" si="0"/>
        <v>20</v>
      </c>
      <c r="C21" s="1284">
        <v>4</v>
      </c>
      <c r="D21" s="1284">
        <v>2021</v>
      </c>
      <c r="E21" s="1299">
        <f>(IF('Section Load'!F24&gt;0,'Section Load'!F24,0))</f>
        <v>2817.1300000000047</v>
      </c>
      <c r="F21" s="1299">
        <f>(IF('Section Load'!G24&gt;0,'Section Load'!G24,0))</f>
        <v>1368</v>
      </c>
      <c r="G21" s="1299">
        <f>(IF('Section Load'!H24&gt;0,'Section Load'!H24,0))</f>
        <v>1488</v>
      </c>
      <c r="H21" s="1299">
        <f>(IF('Section Load'!I24&gt;0,'Section Load'!I24,0))</f>
        <v>3410</v>
      </c>
      <c r="I21" s="1299">
        <f>(IF('Section Load'!J24&gt;0,'Section Load'!J24,0))</f>
        <v>5991</v>
      </c>
      <c r="J21" s="1299">
        <f>(IF('Section Load'!K24&gt;0,'Section Load'!K24,0))</f>
        <v>2277</v>
      </c>
      <c r="K21" s="1299">
        <f>(IF('Section Load'!L24&gt;0,'Section Load'!L24,0))</f>
        <v>1139</v>
      </c>
      <c r="L21" s="1299">
        <f>(IF('Section Load'!M24&gt;0,'Section Load'!M24,0))</f>
        <v>1068</v>
      </c>
      <c r="M21" s="1299">
        <f>(IF('Section Load'!N24&gt;0,'Section Load'!N24,0))</f>
        <v>100</v>
      </c>
      <c r="N21" s="1299">
        <f>(IF('Section Load'!O24&gt;0,'Section Load'!O24,0))</f>
        <v>1</v>
      </c>
      <c r="O21" s="1299">
        <f>(IF('Section Load'!P24&gt;0,'Section Load'!P24,0))</f>
        <v>30</v>
      </c>
      <c r="P21" s="1299">
        <f>(IF('Section Load'!Q24&gt;0,'Section Load'!Q24,0))</f>
        <v>58</v>
      </c>
      <c r="Q21" s="1299">
        <f>(IF('Section Load'!R24&gt;0,'Section Load'!R24,0))</f>
        <v>50</v>
      </c>
      <c r="R21" s="1299">
        <f>(IF('Section Load'!S24&gt;0,'Section Load'!S24,0))</f>
        <v>44</v>
      </c>
      <c r="S21" s="1299">
        <f>(IF('Section Load'!T24&gt;0,'Section Load'!T24,0))</f>
        <v>22</v>
      </c>
      <c r="T21" s="1299">
        <f>(IF('Section Load'!U24&gt;0,'Section Load'!U24,0))</f>
        <v>193</v>
      </c>
      <c r="U21" s="1299">
        <f>(IF('Section Load'!V24&gt;0,'Section Load'!V24,0))</f>
        <v>396</v>
      </c>
      <c r="V21" s="1299">
        <f>(IF('Section Load'!W24&gt;0,'Section Load'!W24,0))</f>
        <v>211</v>
      </c>
      <c r="W21" s="1299">
        <f>(IF('Section Load'!X24&gt;0,'Section Load'!X24,0))</f>
        <v>22</v>
      </c>
      <c r="X21" s="1299">
        <f>(IF('Section Load'!Y24&gt;0,'Section Load'!Y24,0))</f>
        <v>177</v>
      </c>
      <c r="Y21" s="1299">
        <f>(IF('Section Load'!Z24&gt;0,'Section Load'!Z24,0))</f>
        <v>291</v>
      </c>
      <c r="Z21" s="1299">
        <f>(IF('Section Load'!AA24&gt;0,'Section Load'!AA24,0))</f>
        <v>207</v>
      </c>
      <c r="AA21" s="1299">
        <f>(IF('Section Load'!AB24&gt;0,'Section Load'!AB24,0))</f>
        <v>17</v>
      </c>
      <c r="AB21" s="1299">
        <f>(IF('Section Load'!AC24&gt;0,'Section Load'!AC24,0))</f>
        <v>23</v>
      </c>
      <c r="AC21" s="1299">
        <f>(IF('Section Load'!AD24&gt;0,'Section Load'!AD24,0))</f>
        <v>16.300000000000182</v>
      </c>
      <c r="AD21" s="1299">
        <f>(IF('Section Load'!AE24&gt;0,'Section Load'!AE24,0))</f>
        <v>0</v>
      </c>
      <c r="AE21" s="1299">
        <f>(IF('Section Load'!AF24&gt;0,'Section Load'!AF24,0))</f>
        <v>6</v>
      </c>
      <c r="AF21" s="1299">
        <f>(IF('Section Load'!AG24&gt;0,'Section Load'!AG24,0))</f>
        <v>517</v>
      </c>
      <c r="AG21" s="1299">
        <f>(IF('Section Load'!AH24&gt;0,'Section Load'!AH24,0))</f>
        <v>359</v>
      </c>
      <c r="AH21" s="1299">
        <f>(IF('Section Load'!AI24&gt;0,'Section Load'!AI24,0))</f>
        <v>395</v>
      </c>
      <c r="AI21" s="1299">
        <f>(IF('Section Load'!AJ24&gt;0,'Section Load'!AJ24,0))</f>
        <v>389</v>
      </c>
      <c r="AJ21" s="1299">
        <f>(IF('Section Load'!AK24&gt;0,'Section Load'!AK24,0))</f>
        <v>0</v>
      </c>
      <c r="AK21" s="1299">
        <f>(IF('Section Load'!AL24&gt;0,'Section Load'!AL24,0))</f>
        <v>47</v>
      </c>
      <c r="AL21" s="1299">
        <f>(IF('Section Load'!AM24&gt;0,'Section Load'!AM24,0))</f>
        <v>805</v>
      </c>
      <c r="AM21" s="1300">
        <f>(IF('Water Report'!$W$7&gt;0,'Water Report'!$W$7,0))</f>
        <v>61</v>
      </c>
      <c r="AN21" s="1300">
        <f>(IF('Water Report'!$W$8&gt;0,'Water Report'!$W$8,0))</f>
        <v>161</v>
      </c>
      <c r="AO21" s="1300">
        <f>(IF('Water Report'!$W$9&gt;0,'Water Report'!$W$9,0))</f>
        <v>77</v>
      </c>
      <c r="AP21" s="1300">
        <f>(IF('Water Report'!$W$10&gt;0,'Water Report'!$W$10,0))</f>
        <v>19</v>
      </c>
      <c r="AQ21" s="1300">
        <f>(IF('Water Report'!$W$11&gt;0,'Water Report'!$W$11,0))</f>
        <v>20</v>
      </c>
      <c r="AR21" s="1300">
        <f>(IF('Water Report'!$W$13&gt;0,'Water Report'!$W$13,0))</f>
        <v>14</v>
      </c>
      <c r="AS21" s="1300">
        <f>(IF('Water Report'!$W$14&gt;0,'Water Report'!$W$14,0))</f>
        <v>14</v>
      </c>
      <c r="AT21" s="1300">
        <f>(IF('Water Report'!$W$15&gt;0,'Water Report'!$W$15,0))</f>
        <v>6</v>
      </c>
      <c r="AU21" s="1300">
        <f>(IF('Water Report'!$W$17&gt;0,'Water Report'!$W$17,0))</f>
        <v>0</v>
      </c>
      <c r="AV21" s="1300">
        <f>(IF('Water Report'!$W$18&gt;0,'Water Report'!$W$18,0))</f>
        <v>6</v>
      </c>
      <c r="AW21" s="1300">
        <f>(IF('Water Report'!$W$19&gt;0,'Water Report'!$W$19,0))</f>
        <v>10</v>
      </c>
      <c r="AX21" s="1379">
        <f>(IF('Water Report'!$W$21&gt;0,'Water Report'!$W$21,0))</f>
        <v>62</v>
      </c>
      <c r="AY21" s="1379">
        <f>(IF('Water Report'!$W$22&gt;0,'Water Report'!$W$22,0))</f>
        <v>46</v>
      </c>
      <c r="AZ21" s="1379">
        <f>(IF('Water Report'!$W$23&gt;0,'Water Report'!$W$23,0))</f>
        <v>0</v>
      </c>
      <c r="BA21" s="1379">
        <f>(IF('Water Report'!$W$14&gt;0,'Water Report'!$W$14,0))</f>
        <v>14</v>
      </c>
      <c r="BB21" s="1379">
        <f>(IF('Water Report'!$W$15&gt;0,'Water Report'!$W$15,0))</f>
        <v>6</v>
      </c>
      <c r="BC21" s="1379">
        <f>(IF('Water Report'!$W$13&gt;0,'Water Report'!$W$13,0))</f>
        <v>14</v>
      </c>
      <c r="BD21" s="1379">
        <f>(IF('Water Report'!$W$24&gt;0,'Water Report'!$W$24,0))</f>
        <v>141</v>
      </c>
      <c r="BE21" s="1379">
        <f>(IF('Water Report'!$W$25&gt;0,'Water Report'!$W$25,0))</f>
        <v>136</v>
      </c>
      <c r="BF21" s="1379">
        <f>(IF('Water Report'!$W$27&gt;0,'Water Report'!$W$27,0))</f>
        <v>76</v>
      </c>
      <c r="BG21" s="1301">
        <f>(IF('Section Load'!AN24&gt;0,'Section Load'!AN24,0))</f>
        <v>772</v>
      </c>
      <c r="BH21" s="1301">
        <f>(IF('Section Load'!AO24&gt;0,'Section Load'!AO24,0))</f>
        <v>252</v>
      </c>
      <c r="BI21" s="1301">
        <f>(IF('Section Load'!AP24&gt;0,'Section Load'!AP24,0))</f>
        <v>0</v>
      </c>
      <c r="BJ21" s="1301">
        <f>(IF('Section Load'!AQ24&gt;0,'Section Load'!AQ24,0))</f>
        <v>78</v>
      </c>
      <c r="BK21" s="1301">
        <f>(IF('Section Load'!AR24&gt;0,'Section Load'!AR24,0))</f>
        <v>0</v>
      </c>
      <c r="BL21" s="1301">
        <f>(IF('Section Load'!AS24&gt;0,'Section Load'!AS24,0))</f>
        <v>0</v>
      </c>
      <c r="BM21" s="1301">
        <f>(IF('Section Load'!AT24&gt;0,'Section Load'!AT24,0))</f>
        <v>471.60000000000036</v>
      </c>
    </row>
    <row r="22" spans="1:65">
      <c r="A22" s="1283" t="s">
        <v>301</v>
      </c>
      <c r="B22" s="1284">
        <f t="shared" si="0"/>
        <v>21</v>
      </c>
      <c r="C22" s="1284">
        <v>4</v>
      </c>
      <c r="D22" s="1284">
        <v>2021</v>
      </c>
      <c r="E22" s="1299">
        <f>(IF('Section Load'!F25&gt;0,'Section Load'!F25,0))</f>
        <v>2824</v>
      </c>
      <c r="F22" s="1299">
        <f>(IF('Section Load'!G25&gt;0,'Section Load'!G25,0))</f>
        <v>1328</v>
      </c>
      <c r="G22" s="1299">
        <f>(IF('Section Load'!H25&gt;0,'Section Load'!H25,0))</f>
        <v>1434.0699999999488</v>
      </c>
      <c r="H22" s="1299">
        <f>(IF('Section Load'!I25&gt;0,'Section Load'!I25,0))</f>
        <v>3354</v>
      </c>
      <c r="I22" s="1299">
        <f>(IF('Section Load'!J25&gt;0,'Section Load'!J25,0))</f>
        <v>5862</v>
      </c>
      <c r="J22" s="1299">
        <f>(IF('Section Load'!K25&gt;0,'Section Load'!K25,0))</f>
        <v>2286</v>
      </c>
      <c r="K22" s="1299">
        <f>(IF('Section Load'!L25&gt;0,'Section Load'!L25,0))</f>
        <v>1022</v>
      </c>
      <c r="L22" s="1299">
        <f>(IF('Section Load'!M25&gt;0,'Section Load'!M25,0))</f>
        <v>968</v>
      </c>
      <c r="M22" s="1299">
        <f>(IF('Section Load'!N25&gt;0,'Section Load'!N25,0))</f>
        <v>59</v>
      </c>
      <c r="N22" s="1299">
        <f>(IF('Section Load'!O25&gt;0,'Section Load'!O25,0))</f>
        <v>1</v>
      </c>
      <c r="O22" s="1299">
        <f>(IF('Section Load'!P25&gt;0,'Section Load'!P25,0))</f>
        <v>32</v>
      </c>
      <c r="P22" s="1299">
        <f>(IF('Section Load'!Q25&gt;0,'Section Load'!Q25,0))</f>
        <v>60</v>
      </c>
      <c r="Q22" s="1299">
        <f>(IF('Section Load'!R25&gt;0,'Section Load'!R25,0))</f>
        <v>38</v>
      </c>
      <c r="R22" s="1299">
        <f>(IF('Section Load'!S25&gt;0,'Section Load'!S25,0))</f>
        <v>39</v>
      </c>
      <c r="S22" s="1299">
        <f>(IF('Section Load'!T25&gt;0,'Section Load'!T25,0))</f>
        <v>48</v>
      </c>
      <c r="T22" s="1299">
        <f>(IF('Section Load'!U25&gt;0,'Section Load'!U25,0))</f>
        <v>182</v>
      </c>
      <c r="U22" s="1299">
        <f>(IF('Section Load'!V25&gt;0,'Section Load'!V25,0))</f>
        <v>352</v>
      </c>
      <c r="V22" s="1299">
        <f>(IF('Section Load'!W25&gt;0,'Section Load'!W25,0))</f>
        <v>180</v>
      </c>
      <c r="W22" s="1299">
        <f>(IF('Section Load'!X25&gt;0,'Section Load'!X25,0))</f>
        <v>24</v>
      </c>
      <c r="X22" s="1299">
        <f>(IF('Section Load'!Y25&gt;0,'Section Load'!Y25,0))</f>
        <v>159</v>
      </c>
      <c r="Y22" s="1299">
        <f>(IF('Section Load'!Z25&gt;0,'Section Load'!Z25,0))</f>
        <v>215</v>
      </c>
      <c r="Z22" s="1299">
        <f>(IF('Section Load'!AA25&gt;0,'Section Load'!AA25,0))</f>
        <v>87</v>
      </c>
      <c r="AA22" s="1299">
        <f>(IF('Section Load'!AB25&gt;0,'Section Load'!AB25,0))</f>
        <v>13</v>
      </c>
      <c r="AB22" s="1299">
        <f>(IF('Section Load'!AC25&gt;0,'Section Load'!AC25,0))</f>
        <v>23</v>
      </c>
      <c r="AC22" s="1299">
        <f>(IF('Section Load'!AD25&gt;0,'Section Load'!AD25,0))</f>
        <v>12.300000000000182</v>
      </c>
      <c r="AD22" s="1299">
        <f>(IF('Section Load'!AE25&gt;0,'Section Load'!AE25,0))</f>
        <v>0</v>
      </c>
      <c r="AE22" s="1299">
        <f>(IF('Section Load'!AF25&gt;0,'Section Load'!AF25,0))</f>
        <v>5</v>
      </c>
      <c r="AF22" s="1299">
        <f>(IF('Section Load'!AG25&gt;0,'Section Load'!AG25,0))</f>
        <v>504</v>
      </c>
      <c r="AG22" s="1299">
        <f>(IF('Section Load'!AH25&gt;0,'Section Load'!AH25,0))</f>
        <v>346</v>
      </c>
      <c r="AH22" s="1299">
        <f>(IF('Section Load'!AI25&gt;0,'Section Load'!AI25,0))</f>
        <v>380</v>
      </c>
      <c r="AI22" s="1299">
        <f>(IF('Section Load'!AJ25&gt;0,'Section Load'!AJ25,0))</f>
        <v>387</v>
      </c>
      <c r="AJ22" s="1299">
        <f>(IF('Section Load'!AK25&gt;0,'Section Load'!AK25,0))</f>
        <v>0</v>
      </c>
      <c r="AK22" s="1299">
        <f>(IF('Section Load'!AL25&gt;0,'Section Load'!AL25,0))</f>
        <v>51</v>
      </c>
      <c r="AL22" s="1299">
        <f>(IF('Section Load'!AM25&gt;0,'Section Load'!AM25,0))</f>
        <v>798</v>
      </c>
      <c r="AM22" s="1300">
        <f>(IF('Water Report'!$X$7&gt;0,'Water Report'!$X$7,0))</f>
        <v>73</v>
      </c>
      <c r="AN22" s="1300">
        <f>(IF('Water Report'!$X$8&gt;0,'Water Report'!$X$8,0))</f>
        <v>134</v>
      </c>
      <c r="AO22" s="1300">
        <f>(IF('Water Report'!$X$9&gt;0,'Water Report'!$X$9,0))</f>
        <v>79</v>
      </c>
      <c r="AP22" s="1300">
        <f>(IF('Water Report'!$X$10&gt;0,'Water Report'!$X$10,0))</f>
        <v>19</v>
      </c>
      <c r="AQ22" s="1300">
        <f>(IF('Water Report'!$X$11&gt;0,'Water Report'!$X$11,0))</f>
        <v>15</v>
      </c>
      <c r="AR22" s="1300">
        <f>(IF('Water Report'!$X$13&gt;0,'Water Report'!$X$13,0))</f>
        <v>8</v>
      </c>
      <c r="AS22" s="1300">
        <f>(IF('Water Report'!$X$14&gt;0,'Water Report'!$X$14,0))</f>
        <v>16</v>
      </c>
      <c r="AT22" s="1300">
        <f>(IF('Water Report'!$X$15&gt;0,'Water Report'!$X$15,0))</f>
        <v>5</v>
      </c>
      <c r="AU22" s="1300">
        <f>(IF('Water Report'!$X$17&gt;0,'Water Report'!$X$17,0))</f>
        <v>9</v>
      </c>
      <c r="AV22" s="1300">
        <f>(IF('Water Report'!$X$18&gt;0,'Water Report'!$X$18,0))</f>
        <v>4</v>
      </c>
      <c r="AW22" s="1300">
        <f>(IF('Water Report'!$X$19&gt;0,'Water Report'!$X$19,0))</f>
        <v>7</v>
      </c>
      <c r="AX22" s="1379">
        <f>(IF('Water Report'!$X$21&gt;0,'Water Report'!$X$21,0))</f>
        <v>82</v>
      </c>
      <c r="AY22" s="1379">
        <f>(IF('Water Report'!$X$22&gt;0,'Water Report'!$X$22,0))</f>
        <v>0</v>
      </c>
      <c r="AZ22" s="1379">
        <f>(IF('Water Report'!$X$23&gt;0,'Water Report'!$X$23,0))</f>
        <v>17</v>
      </c>
      <c r="BA22" s="1379">
        <f>(IF('Water Report'!$X$14&gt;0,'Water Report'!$X$14,0))</f>
        <v>16</v>
      </c>
      <c r="BB22" s="1379">
        <f>(IF('Water Report'!$X$15&gt;0,'Water Report'!$X$15,0))</f>
        <v>5</v>
      </c>
      <c r="BC22" s="1379">
        <f>(IF('Water Report'!$X$13&gt;0,'Water Report'!$X$13,0))</f>
        <v>8</v>
      </c>
      <c r="BD22" s="1379">
        <f>(IF('Water Report'!$X$24&gt;0,'Water Report'!$X$24,0))</f>
        <v>158</v>
      </c>
      <c r="BE22" s="1379">
        <f>(IF('Water Report'!$X$25&gt;0,'Water Report'!$X$25,0))</f>
        <v>134</v>
      </c>
      <c r="BF22" s="1379">
        <f>(IF('Water Report'!$X$27&gt;0,'Water Report'!$X$27,0))</f>
        <v>107</v>
      </c>
      <c r="BG22" s="1301">
        <f>(IF('Section Load'!AN25&gt;0,'Section Load'!AN25,0))</f>
        <v>700</v>
      </c>
      <c r="BH22" s="1301">
        <f>(IF('Section Load'!AO25&gt;0,'Section Load'!AO25,0))</f>
        <v>246</v>
      </c>
      <c r="BI22" s="1301">
        <f>(IF('Section Load'!AP25&gt;0,'Section Load'!AP25,0))</f>
        <v>0</v>
      </c>
      <c r="BJ22" s="1301">
        <f>(IF('Section Load'!AQ25&gt;0,'Section Load'!AQ25,0))</f>
        <v>87</v>
      </c>
      <c r="BK22" s="1301">
        <f>(IF('Section Load'!AR25&gt;0,'Section Load'!AR25,0))</f>
        <v>0</v>
      </c>
      <c r="BL22" s="1301">
        <f>(IF('Section Load'!AS25&gt;0,'Section Load'!AS25,0))</f>
        <v>0</v>
      </c>
      <c r="BM22" s="1301">
        <f>(IF('Section Load'!AT25&gt;0,'Section Load'!AT25,0))</f>
        <v>367</v>
      </c>
    </row>
    <row r="23" spans="1:65">
      <c r="A23" s="1283" t="s">
        <v>301</v>
      </c>
      <c r="B23" s="1284">
        <f t="shared" si="0"/>
        <v>22</v>
      </c>
      <c r="C23" s="1284">
        <v>4</v>
      </c>
      <c r="D23" s="1284">
        <v>2021</v>
      </c>
      <c r="E23" s="1299">
        <f>(IF('Section Load'!F26&gt;0,'Section Load'!F26,0))</f>
        <v>2785</v>
      </c>
      <c r="F23" s="1299">
        <f>(IF('Section Load'!G26&gt;0,'Section Load'!G26,0))</f>
        <v>1343</v>
      </c>
      <c r="G23" s="1299">
        <f>(IF('Section Load'!H26&gt;0,'Section Load'!H26,0))</f>
        <v>1462</v>
      </c>
      <c r="H23" s="1299">
        <f>(IF('Section Load'!I26&gt;0,'Section Load'!I26,0))</f>
        <v>3364</v>
      </c>
      <c r="I23" s="1299">
        <f>(IF('Section Load'!J26&gt;0,'Section Load'!J26,0))</f>
        <v>5930</v>
      </c>
      <c r="J23" s="1299">
        <f>(IF('Section Load'!K26&gt;0,'Section Load'!K26,0))</f>
        <v>2328</v>
      </c>
      <c r="K23" s="1299">
        <f>(IF('Section Load'!L26&gt;0,'Section Load'!L26,0))</f>
        <v>955</v>
      </c>
      <c r="L23" s="1299">
        <f>(IF('Section Load'!M26&gt;0,'Section Load'!M26,0))</f>
        <v>1061</v>
      </c>
      <c r="M23" s="1299">
        <f>(IF('Section Load'!N26&gt;0,'Section Load'!N26,0))</f>
        <v>56</v>
      </c>
      <c r="N23" s="1299">
        <f>(IF('Section Load'!O26&gt;0,'Section Load'!O26,0))</f>
        <v>1</v>
      </c>
      <c r="O23" s="1299">
        <f>(IF('Section Load'!P26&gt;0,'Section Load'!P26,0))</f>
        <v>28</v>
      </c>
      <c r="P23" s="1299">
        <f>(IF('Section Load'!Q26&gt;0,'Section Load'!Q26,0))</f>
        <v>76</v>
      </c>
      <c r="Q23" s="1299">
        <f>(IF('Section Load'!R26&gt;0,'Section Load'!R26,0))</f>
        <v>41</v>
      </c>
      <c r="R23" s="1299">
        <f>(IF('Section Load'!S26&gt;0,'Section Load'!S26,0))</f>
        <v>35</v>
      </c>
      <c r="S23" s="1299">
        <f>(IF('Section Load'!T26&gt;0,'Section Load'!T26,0))</f>
        <v>47</v>
      </c>
      <c r="T23" s="1299">
        <f>(IF('Section Load'!U26&gt;0,'Section Load'!U26,0))</f>
        <v>179</v>
      </c>
      <c r="U23" s="1299">
        <f>(IF('Section Load'!V26&gt;0,'Section Load'!V26,0))</f>
        <v>365</v>
      </c>
      <c r="V23" s="1299">
        <f>(IF('Section Load'!W26&gt;0,'Section Load'!W26,0))</f>
        <v>199</v>
      </c>
      <c r="W23" s="1299">
        <f>(IF('Section Load'!X26&gt;0,'Section Load'!X26,0))</f>
        <v>27</v>
      </c>
      <c r="X23" s="1299">
        <f>(IF('Section Load'!Y26&gt;0,'Section Load'!Y26,0))</f>
        <v>161</v>
      </c>
      <c r="Y23" s="1299">
        <f>(IF('Section Load'!Z26&gt;0,'Section Load'!Z26,0))</f>
        <v>213</v>
      </c>
      <c r="Z23" s="1299">
        <f>(IF('Section Load'!AA26&gt;0,'Section Load'!AA26,0))</f>
        <v>24</v>
      </c>
      <c r="AA23" s="1299">
        <f>(IF('Section Load'!AB26&gt;0,'Section Load'!AB26,0))</f>
        <v>11</v>
      </c>
      <c r="AB23" s="1299">
        <f>(IF('Section Load'!AC26&gt;0,'Section Load'!AC26,0))</f>
        <v>22</v>
      </c>
      <c r="AC23" s="1299">
        <f>(IF('Section Load'!AD26&gt;0,'Section Load'!AD26,0))</f>
        <v>10.300000000000182</v>
      </c>
      <c r="AD23" s="1299">
        <f>(IF('Section Load'!AE26&gt;0,'Section Load'!AE26,0))</f>
        <v>0</v>
      </c>
      <c r="AE23" s="1299">
        <f>(IF('Section Load'!AF26&gt;0,'Section Load'!AF26,0))</f>
        <v>5</v>
      </c>
      <c r="AF23" s="1299">
        <f>(IF('Section Load'!AG26&gt;0,'Section Load'!AG26,0))</f>
        <v>504</v>
      </c>
      <c r="AG23" s="1299">
        <f>(IF('Section Load'!AH26&gt;0,'Section Load'!AH26,0))</f>
        <v>363</v>
      </c>
      <c r="AH23" s="1299">
        <f>(IF('Section Load'!AI26&gt;0,'Section Load'!AI26,0))</f>
        <v>383</v>
      </c>
      <c r="AI23" s="1299">
        <f>(IF('Section Load'!AJ26&gt;0,'Section Load'!AJ26,0))</f>
        <v>396</v>
      </c>
      <c r="AJ23" s="1299">
        <f>(IF('Section Load'!AK26&gt;0,'Section Load'!AK26,0))</f>
        <v>0</v>
      </c>
      <c r="AK23" s="1299">
        <f>(IF('Section Load'!AL26&gt;0,'Section Load'!AL26,0))</f>
        <v>43</v>
      </c>
      <c r="AL23" s="1299">
        <f>(IF('Section Load'!AM26&gt;0,'Section Load'!AM26,0))</f>
        <v>782</v>
      </c>
      <c r="AM23" s="1300">
        <f>(IF('Water Report'!$Y$7&gt;0,'Water Report'!$Y$7,0))</f>
        <v>61</v>
      </c>
      <c r="AN23" s="1300">
        <f>(IF('Water Report'!$Y$8&gt;0,'Water Report'!$Y$8,0))</f>
        <v>81</v>
      </c>
      <c r="AO23" s="1300">
        <f>(IF('Water Report'!$Y$9&gt;0,'Water Report'!$Y$9,0))</f>
        <v>64</v>
      </c>
      <c r="AP23" s="1300">
        <f>(IF('Water Report'!$Y$10&gt;0,'Water Report'!$Y$10,0))</f>
        <v>17</v>
      </c>
      <c r="AQ23" s="1300">
        <f>(IF('Water Report'!$Y$11&gt;0,'Water Report'!$Y$11,0))</f>
        <v>19</v>
      </c>
      <c r="AR23" s="1300">
        <f>(IF('Water Report'!$Y$13&gt;0,'Water Report'!$Y$13,0))</f>
        <v>7</v>
      </c>
      <c r="AS23" s="1300">
        <f>(IF('Water Report'!$Y$14&gt;0,'Water Report'!$Y$14,0))</f>
        <v>14</v>
      </c>
      <c r="AT23" s="1300">
        <f>(IF('Water Report'!$Y$15&gt;0,'Water Report'!$Y$15,0))</f>
        <v>4</v>
      </c>
      <c r="AU23" s="1300">
        <f>(IF('Water Report'!$Y$17&gt;0,'Water Report'!$Y$17,0))</f>
        <v>5</v>
      </c>
      <c r="AV23" s="1300">
        <f>(IF('Water Report'!$Y$18&gt;0,'Water Report'!$Y$18,0))</f>
        <v>5</v>
      </c>
      <c r="AW23" s="1300">
        <f>(IF('Water Report'!$Y$19&gt;0,'Water Report'!$Y$19,0))</f>
        <v>7</v>
      </c>
      <c r="AX23" s="1379">
        <f>(IF('Water Report'!$Y$21&gt;0,'Water Report'!$Y$21,0))</f>
        <v>83</v>
      </c>
      <c r="AY23" s="1379">
        <f>(IF('Water Report'!$Y$22&gt;0,'Water Report'!$Y$22,0))</f>
        <v>0</v>
      </c>
      <c r="AZ23" s="1379">
        <f>(IF('Water Report'!$Y$23&gt;0,'Water Report'!$Y$23,0))</f>
        <v>0</v>
      </c>
      <c r="BA23" s="1379">
        <f>(IF('Water Report'!$Y$14&gt;0,'Water Report'!$Y$14,0))</f>
        <v>14</v>
      </c>
      <c r="BB23" s="1379">
        <f>(IF('Water Report'!$Y$15&gt;0,'Water Report'!$Y$15,0))</f>
        <v>4</v>
      </c>
      <c r="BC23" s="1379">
        <f>(IF('Water Report'!$Y$13&gt;0,'Water Report'!$Y$13,0))</f>
        <v>7</v>
      </c>
      <c r="BD23" s="1379">
        <f>(IF('Water Report'!$Y$24&gt;0,'Water Report'!$Y$24,0))</f>
        <v>159</v>
      </c>
      <c r="BE23" s="1379">
        <f>(IF('Water Report'!$Y$25&gt;0,'Water Report'!$Y$25,0))</f>
        <v>118</v>
      </c>
      <c r="BF23" s="1379">
        <f>(IF('Water Report'!$Y$27&gt;0,'Water Report'!$Y$27,0))</f>
        <v>90</v>
      </c>
      <c r="BG23" s="1301">
        <f>(IF('Section Load'!AN26&gt;0,'Section Load'!AN26,0))</f>
        <v>767</v>
      </c>
      <c r="BH23" s="1301">
        <f>(IF('Section Load'!AO26&gt;0,'Section Load'!AO26,0))</f>
        <v>238</v>
      </c>
      <c r="BI23" s="1301">
        <f>(IF('Section Load'!AP26&gt;0,'Section Load'!AP26,0))</f>
        <v>0</v>
      </c>
      <c r="BJ23" s="1301">
        <f>(IF('Section Load'!AQ26&gt;0,'Section Load'!AQ26,0))</f>
        <v>94</v>
      </c>
      <c r="BK23" s="1301">
        <f>(IF('Section Load'!AR26&gt;0,'Section Load'!AR26,0))</f>
        <v>0</v>
      </c>
      <c r="BL23" s="1301">
        <f>(IF('Section Load'!AS26&gt;0,'Section Load'!AS26,0))</f>
        <v>0</v>
      </c>
      <c r="BM23" s="1301">
        <f>(IF('Section Load'!AT26&gt;0,'Section Load'!AT26,0))</f>
        <v>435</v>
      </c>
    </row>
    <row r="24" spans="1:65">
      <c r="A24" s="1283" t="s">
        <v>301</v>
      </c>
      <c r="B24" s="1284">
        <f t="shared" si="0"/>
        <v>23</v>
      </c>
      <c r="C24" s="1284">
        <v>4</v>
      </c>
      <c r="D24" s="1284">
        <v>2021</v>
      </c>
      <c r="E24" s="1299">
        <f>(IF('Section Load'!F27&gt;0,'Section Load'!F27,0))</f>
        <v>2814.390000000014</v>
      </c>
      <c r="F24" s="1299">
        <f>(IF('Section Load'!G27&gt;0,'Section Load'!G27,0))</f>
        <v>1398.7599999999948</v>
      </c>
      <c r="G24" s="1299">
        <f>(IF('Section Load'!H27&gt;0,'Section Load'!H27,0))</f>
        <v>1433.2400000000052</v>
      </c>
      <c r="H24" s="1299">
        <f>(IF('Section Load'!I27&gt;0,'Section Load'!I27,0))</f>
        <v>3567.1199999999953</v>
      </c>
      <c r="I24" s="1299">
        <f>(IF('Section Load'!J27&gt;0,'Section Load'!J27,0))</f>
        <v>5802.1230000000505</v>
      </c>
      <c r="J24" s="1299">
        <f>(IF('Section Load'!K27&gt;0,'Section Load'!K27,0))</f>
        <v>2355.4300000000512</v>
      </c>
      <c r="K24" s="1299">
        <f>(IF('Section Load'!L27&gt;0,'Section Load'!L27,0))</f>
        <v>1104.2700000000186</v>
      </c>
      <c r="L24" s="1299">
        <f>(IF('Section Load'!M27&gt;0,'Section Load'!M27,0))</f>
        <v>1122.9500000000116</v>
      </c>
      <c r="M24" s="1299">
        <f>(IF('Section Load'!N27&gt;0,'Section Load'!N27,0))</f>
        <v>65</v>
      </c>
      <c r="N24" s="1299">
        <f>(IF('Section Load'!O27&gt;0,'Section Load'!O27,0))</f>
        <v>2</v>
      </c>
      <c r="O24" s="1299">
        <f>(IF('Section Load'!P27&gt;0,'Section Load'!P27,0))</f>
        <v>32.980000000000018</v>
      </c>
      <c r="P24" s="1299">
        <f>(IF('Section Load'!Q27&gt;0,'Section Load'!Q27,0))</f>
        <v>57.049999999999272</v>
      </c>
      <c r="Q24" s="1299">
        <f>(IF('Section Load'!R27&gt;0,'Section Load'!R27,0))</f>
        <v>37.800000000000182</v>
      </c>
      <c r="R24" s="1299">
        <f>(IF('Section Load'!S27&gt;0,'Section Load'!S27,0))</f>
        <v>40</v>
      </c>
      <c r="S24" s="1299">
        <f>(IF('Section Load'!T27&gt;0,'Section Load'!T27,0))</f>
        <v>89</v>
      </c>
      <c r="T24" s="1299">
        <f>(IF('Section Load'!U27&gt;0,'Section Load'!U27,0))</f>
        <v>180</v>
      </c>
      <c r="U24" s="1299">
        <f>(IF('Section Load'!V27&gt;0,'Section Load'!V27,0))</f>
        <v>379.76000000000931</v>
      </c>
      <c r="V24" s="1299">
        <f>(IF('Section Load'!W27&gt;0,'Section Load'!W27,0))</f>
        <v>202.28000000002794</v>
      </c>
      <c r="W24" s="1299">
        <f>(IF('Section Load'!X27&gt;0,'Section Load'!X27,0))</f>
        <v>20.30000000000291</v>
      </c>
      <c r="X24" s="1299">
        <f>(IF('Section Load'!Y27&gt;0,'Section Load'!Y27,0))</f>
        <v>182.16999999999825</v>
      </c>
      <c r="Y24" s="1299">
        <f>(IF('Section Load'!Z27&gt;0,'Section Load'!Z27,0))</f>
        <v>174</v>
      </c>
      <c r="Z24" s="1299">
        <f>(IF('Section Load'!AA27&gt;0,'Section Load'!AA27,0))</f>
        <v>31.35999999998603</v>
      </c>
      <c r="AA24" s="1299">
        <f>(IF('Section Load'!AB27&gt;0,'Section Load'!AB27,0))</f>
        <v>10</v>
      </c>
      <c r="AB24" s="1299">
        <f>(IF('Section Load'!AC27&gt;0,'Section Load'!AC27,0))</f>
        <v>24.200000000011642</v>
      </c>
      <c r="AC24" s="1299">
        <f>(IF('Section Load'!AD27&gt;0,'Section Load'!AD27,0))</f>
        <v>10.699999999999818</v>
      </c>
      <c r="AD24" s="1299">
        <f>(IF('Section Load'!AE27&gt;0,'Section Load'!AE27,0))</f>
        <v>0</v>
      </c>
      <c r="AE24" s="1299">
        <f>(IF('Section Load'!AF27&gt;0,'Section Load'!AF27,0))</f>
        <v>4</v>
      </c>
      <c r="AF24" s="1299">
        <f>(IF('Section Load'!AG27&gt;0,'Section Load'!AG27,0))</f>
        <v>505.51999999998952</v>
      </c>
      <c r="AG24" s="1299">
        <f>(IF('Section Load'!AH27&gt;0,'Section Load'!AH27,0))</f>
        <v>382.07000000000698</v>
      </c>
      <c r="AH24" s="1299">
        <f>(IF('Section Load'!AI27&gt;0,'Section Load'!AI27,0))</f>
        <v>429.52999999999884</v>
      </c>
      <c r="AI24" s="1299">
        <f>(IF('Section Load'!AJ27&gt;0,'Section Load'!AJ27,0))</f>
        <v>453.32999999998719</v>
      </c>
      <c r="AJ24" s="1299">
        <f>(IF('Section Load'!AK27&gt;0,'Section Load'!AK27,0))</f>
        <v>0</v>
      </c>
      <c r="AK24" s="1299">
        <f>(IF('Section Load'!AL27&gt;0,'Section Load'!AL27,0))</f>
        <v>41.30000000000291</v>
      </c>
      <c r="AL24" s="1299">
        <f>(IF('Section Load'!AM27&gt;0,'Section Load'!AM27,0))</f>
        <v>788</v>
      </c>
      <c r="AM24" s="1300">
        <f>(IF('Water Report'!$Z$7&gt;0,'Water Report'!$Z$7,0))</f>
        <v>66</v>
      </c>
      <c r="AN24" s="1300">
        <f>(IF('Water Report'!$Z$8&gt;0,'Water Report'!$Z$8,0))</f>
        <v>78</v>
      </c>
      <c r="AO24" s="1300">
        <f>(IF('Water Report'!$Z$9&gt;0,'Water Report'!$Z$9,0))</f>
        <v>65</v>
      </c>
      <c r="AP24" s="1300">
        <f>(IF('Water Report'!$Z$10&gt;0,'Water Report'!$Z$10,0))</f>
        <v>19</v>
      </c>
      <c r="AQ24" s="1300">
        <f>(IF('Water Report'!$Z$11&gt;0,'Water Report'!$Z$11,0))</f>
        <v>21</v>
      </c>
      <c r="AR24" s="1300">
        <f>(IF('Water Report'!$Z$13&gt;0,'Water Report'!$Z$13,0))</f>
        <v>6</v>
      </c>
      <c r="AS24" s="1300">
        <f>(IF('Water Report'!$Z$14&gt;0,'Water Report'!$Z$14,0))</f>
        <v>17</v>
      </c>
      <c r="AT24" s="1300">
        <f>(IF('Water Report'!$Z$15&gt;0,'Water Report'!$Z$15,0))</f>
        <v>4</v>
      </c>
      <c r="AU24" s="1300">
        <f>(IF('Water Report'!$Z$17&gt;0,'Water Report'!$Z$17,0))</f>
        <v>4</v>
      </c>
      <c r="AV24" s="1300">
        <f>(IF('Water Report'!$Z$18&gt;0,'Water Report'!$Z$18,0))</f>
        <v>9</v>
      </c>
      <c r="AW24" s="1300">
        <f>(IF('Water Report'!$Z$19&gt;0,'Water Report'!$Z$19,0))</f>
        <v>6</v>
      </c>
      <c r="AX24" s="1379">
        <f>(IF('Water Report'!$Z$21&gt;0,'Water Report'!$Z$21,0))</f>
        <v>61</v>
      </c>
      <c r="AY24" s="1379">
        <f>(IF('Water Report'!$Z$22&gt;0,'Water Report'!$Z$22,0))</f>
        <v>9</v>
      </c>
      <c r="AZ24" s="1379">
        <f>(IF('Water Report'!$Z$23&gt;0,'Water Report'!$Z$23,0))</f>
        <v>20</v>
      </c>
      <c r="BA24" s="1379">
        <f>(IF('Water Report'!$Z$14&gt;0,'Water Report'!$Z$14,0))</f>
        <v>17</v>
      </c>
      <c r="BB24" s="1379">
        <f>(IF('Water Report'!$Z$15&gt;0,'Water Report'!$Z$15,0))</f>
        <v>4</v>
      </c>
      <c r="BC24" s="1379">
        <f>(IF('Water Report'!$Z$13&gt;0,'Water Report'!$Z$13,0))</f>
        <v>6</v>
      </c>
      <c r="BD24" s="1379">
        <f>(IF('Water Report'!$Z$24&gt;0,'Water Report'!$Z$24,0))</f>
        <v>138</v>
      </c>
      <c r="BE24" s="1379">
        <f>(IF('Water Report'!$Z$25&gt;0,'Water Report'!$Z$25,0))</f>
        <v>126</v>
      </c>
      <c r="BF24" s="1379">
        <f>(IF('Water Report'!$Z$27&gt;0,'Water Report'!$Z$27,0))</f>
        <v>87</v>
      </c>
      <c r="BG24" s="1301">
        <f>(IF('Section Load'!AN27&gt;0,'Section Load'!AN27,0))</f>
        <v>824.37599999993108</v>
      </c>
      <c r="BH24" s="1301">
        <f>(IF('Section Load'!AO27&gt;0,'Section Load'!AO27,0))</f>
        <v>259.4100000000326</v>
      </c>
      <c r="BI24" s="1301">
        <f>(IF('Section Load'!AP27&gt;0,'Section Load'!AP27,0))</f>
        <v>0.39999999999417923</v>
      </c>
      <c r="BJ24" s="1301">
        <f>(IF('Section Load'!AQ27&gt;0,'Section Load'!AQ27,0))</f>
        <v>89.070000000006985</v>
      </c>
      <c r="BK24" s="1301">
        <f>(IF('Section Load'!AR27&gt;0,'Section Load'!AR27,0))</f>
        <v>0.2000000000007276</v>
      </c>
      <c r="BL24" s="1301">
        <f>(IF('Section Load'!AS27&gt;0,'Section Load'!AS27,0))</f>
        <v>30.899999999999636</v>
      </c>
      <c r="BM24" s="1301">
        <f>(IF('Section Load'!AT27&gt;0,'Section Load'!AT27,0))</f>
        <v>444.39599999989696</v>
      </c>
    </row>
    <row r="25" spans="1:65">
      <c r="A25" s="1283" t="s">
        <v>301</v>
      </c>
      <c r="B25" s="1284">
        <f t="shared" si="0"/>
        <v>24</v>
      </c>
      <c r="C25" s="1284">
        <v>4</v>
      </c>
      <c r="D25" s="1284">
        <v>2021</v>
      </c>
      <c r="E25" s="1299">
        <f>(IF('Section Load'!F28&gt;0,'Section Load'!F28,0))</f>
        <v>2831.2299999999814</v>
      </c>
      <c r="F25" s="1299">
        <f>(IF('Section Load'!G28&gt;0,'Section Load'!G28,0))</f>
        <v>1337.4499999999971</v>
      </c>
      <c r="G25" s="1299">
        <f>(IF('Section Load'!H28&gt;0,'Section Load'!H28,0))</f>
        <v>1505.5000000000437</v>
      </c>
      <c r="H25" s="1299">
        <f>(IF('Section Load'!I28&gt;0,'Section Load'!I28,0))</f>
        <v>3515.9199999999837</v>
      </c>
      <c r="I25" s="1299">
        <f>(IF('Section Load'!J28&gt;0,'Section Load'!J28,0))</f>
        <v>5836.2600000000093</v>
      </c>
      <c r="J25" s="1299">
        <f>(IF('Section Load'!K28&gt;0,'Section Load'!K28,0))</f>
        <v>2344.4199999999255</v>
      </c>
      <c r="K25" s="1299">
        <f>(IF('Section Load'!L28&gt;0,'Section Load'!L28,0))</f>
        <v>897.59999999997672</v>
      </c>
      <c r="L25" s="1299">
        <f>(IF('Section Load'!M28&gt;0,'Section Load'!M28,0))</f>
        <v>978.39999999996508</v>
      </c>
      <c r="M25" s="1299">
        <f>(IF('Section Load'!N28&gt;0,'Section Load'!N28,0))</f>
        <v>56</v>
      </c>
      <c r="N25" s="1299">
        <f>(IF('Section Load'!O28&gt;0,'Section Load'!O28,0))</f>
        <v>3</v>
      </c>
      <c r="O25" s="1299">
        <f>(IF('Section Load'!P28&gt;0,'Section Load'!P28,0))</f>
        <v>35.579999999999927</v>
      </c>
      <c r="P25" s="1299">
        <f>(IF('Section Load'!Q28&gt;0,'Section Load'!Q28,0))</f>
        <v>61.940000000000509</v>
      </c>
      <c r="Q25" s="1299">
        <f>(IF('Section Load'!R28&gt;0,'Section Load'!R28,0))</f>
        <v>38.199999999999818</v>
      </c>
      <c r="R25" s="1299">
        <f>(IF('Section Load'!S28&gt;0,'Section Load'!S28,0))</f>
        <v>44</v>
      </c>
      <c r="S25" s="1299">
        <f>(IF('Section Load'!T28&gt;0,'Section Load'!T28,0))</f>
        <v>104</v>
      </c>
      <c r="T25" s="1299">
        <f>(IF('Section Load'!U28&gt;0,'Section Load'!U28,0))</f>
        <v>186</v>
      </c>
      <c r="U25" s="1299">
        <f>(IF('Section Load'!V28&gt;0,'Section Load'!V28,0))</f>
        <v>373.11999999999534</v>
      </c>
      <c r="V25" s="1299">
        <f>(IF('Section Load'!W28&gt;0,'Section Load'!W28,0))</f>
        <v>168.47999999998137</v>
      </c>
      <c r="W25" s="1299">
        <f>(IF('Section Load'!X28&gt;0,'Section Load'!X28,0))</f>
        <v>25.029999999998836</v>
      </c>
      <c r="X25" s="1299">
        <f>(IF('Section Load'!Y28&gt;0,'Section Load'!Y28,0))</f>
        <v>182.58099999999831</v>
      </c>
      <c r="Y25" s="1299">
        <f>(IF('Section Load'!Z28&gt;0,'Section Load'!Z28,0))</f>
        <v>245</v>
      </c>
      <c r="Z25" s="1299">
        <f>(IF('Section Load'!AA28&gt;0,'Section Load'!AA28,0))</f>
        <v>29.64000000001397</v>
      </c>
      <c r="AA25" s="1299">
        <f>(IF('Section Load'!AB28&gt;0,'Section Load'!AB28,0))</f>
        <v>12.399999999994179</v>
      </c>
      <c r="AB25" s="1299">
        <f>(IF('Section Load'!AC28&gt;0,'Section Load'!AC28,0))</f>
        <v>22.629999999975553</v>
      </c>
      <c r="AC25" s="1299">
        <f>(IF('Section Load'!AD28&gt;0,'Section Load'!AD28,0))</f>
        <v>11.999999999994543</v>
      </c>
      <c r="AD25" s="1299">
        <f>(IF('Section Load'!AE28&gt;0,'Section Load'!AE28,0))</f>
        <v>0</v>
      </c>
      <c r="AE25" s="1299">
        <f>(IF('Section Load'!AF28&gt;0,'Section Load'!AF28,0))</f>
        <v>5.1959000000001652</v>
      </c>
      <c r="AF25" s="1299">
        <f>(IF('Section Load'!AG28&gt;0,'Section Load'!AG28,0))</f>
        <v>508.20000000001164</v>
      </c>
      <c r="AG25" s="1299">
        <f>(IF('Section Load'!AH28&gt;0,'Section Load'!AH28,0))</f>
        <v>353.60000000000582</v>
      </c>
      <c r="AH25" s="1299">
        <f>(IF('Section Load'!AI28&gt;0,'Section Load'!AI28,0))</f>
        <v>399.70999999999913</v>
      </c>
      <c r="AI25" s="1299">
        <f>(IF('Section Load'!AJ28&gt;0,'Section Load'!AJ28,0))</f>
        <v>437.27999999999884</v>
      </c>
      <c r="AJ25" s="1299">
        <f>(IF('Section Load'!AK28&gt;0,'Section Load'!AK28,0))</f>
        <v>0</v>
      </c>
      <c r="AK25" s="1299">
        <f>(IF('Section Load'!AL28&gt;0,'Section Load'!AL28,0))</f>
        <v>50.5</v>
      </c>
      <c r="AL25" s="1299">
        <f>(IF('Section Load'!AM28&gt;0,'Section Load'!AM28,0))</f>
        <v>787</v>
      </c>
      <c r="AM25" s="1300">
        <f>(IF('Water Report'!$AA$7&gt;0,'Water Report'!$AA$7,0))</f>
        <v>86</v>
      </c>
      <c r="AN25" s="1300">
        <f>(IF('Water Report'!$AA$8&gt;0,'Water Report'!$AA$8,0))</f>
        <v>133</v>
      </c>
      <c r="AO25" s="1300">
        <f>(IF('Water Report'!$AA$9&gt;0,'Water Report'!$AA$9,0))</f>
        <v>96</v>
      </c>
      <c r="AP25" s="1300">
        <f>(IF('Water Report'!$AA$10&gt;0,'Water Report'!$AA$10,0))</f>
        <v>21</v>
      </c>
      <c r="AQ25" s="1300">
        <f>(IF('Water Report'!$AA$11&gt;0,'Water Report'!$AA$11,0))</f>
        <v>17</v>
      </c>
      <c r="AR25" s="1300">
        <f>(IF('Water Report'!$AA$13&gt;0,'Water Report'!$AA$13,0))</f>
        <v>5</v>
      </c>
      <c r="AS25" s="1300">
        <f>(IF('Water Report'!$AA$14&gt;0,'Water Report'!$AA$14,0))</f>
        <v>11</v>
      </c>
      <c r="AT25" s="1300">
        <f>(IF('Water Report'!$AA$15&gt;0,'Water Report'!$AA$15,0))</f>
        <v>4</v>
      </c>
      <c r="AU25" s="1300">
        <f>(IF('Water Report'!$AA$17&gt;0,'Water Report'!$AA$17,0))</f>
        <v>1</v>
      </c>
      <c r="AV25" s="1300">
        <f>(IF('Water Report'!$AA$18&gt;0,'Water Report'!$AA$18,0))</f>
        <v>13</v>
      </c>
      <c r="AW25" s="1300">
        <f>(IF('Water Report'!$AA$19&gt;0,'Water Report'!$AA$19,0))</f>
        <v>9</v>
      </c>
      <c r="AX25" s="1379">
        <f>(IF('Water Report'!$AA$21&gt;0,'Water Report'!$AA$21,0))</f>
        <v>61</v>
      </c>
      <c r="AY25" s="1379">
        <f>(IF('Water Report'!$AA$22&gt;0,'Water Report'!$AA$22,0))</f>
        <v>11</v>
      </c>
      <c r="AZ25" s="1379">
        <f>(IF('Water Report'!$AA$23&gt;0,'Water Report'!$AA$23,0))</f>
        <v>0</v>
      </c>
      <c r="BA25" s="1379">
        <f>(IF('Water Report'!$AA$14&gt;0,'Water Report'!$AA$14,0))</f>
        <v>11</v>
      </c>
      <c r="BB25" s="1379">
        <f>(IF('Water Report'!$AA$15&gt;0,'Water Report'!$AA$15,0))</f>
        <v>4</v>
      </c>
      <c r="BC25" s="1379">
        <f>(IF('Water Report'!$AA$13&gt;0,'Water Report'!$AA$13,0))</f>
        <v>5</v>
      </c>
      <c r="BD25" s="1379">
        <f>(IF('Water Report'!$AA$24&gt;0,'Water Report'!$AA$24,0))</f>
        <v>158</v>
      </c>
      <c r="BE25" s="1379">
        <f>(IF('Water Report'!$AA$25&gt;0,'Water Report'!$AA$25,0))</f>
        <v>149</v>
      </c>
      <c r="BF25" s="1379">
        <f>(IF('Water Report'!$AA$27&gt;0,'Water Report'!$AA$27,0))</f>
        <v>66</v>
      </c>
      <c r="BG25" s="1301">
        <f>(IF('Section Load'!AN28&gt;0,'Section Load'!AN28,0))</f>
        <v>817.29200000013225</v>
      </c>
      <c r="BH25" s="1301">
        <f>(IF('Section Load'!AO28&gt;0,'Section Load'!AO28,0))</f>
        <v>235.02999999991152</v>
      </c>
      <c r="BI25" s="1301">
        <f>(IF('Section Load'!AP28&gt;0,'Section Load'!AP28,0))</f>
        <v>0</v>
      </c>
      <c r="BJ25" s="1301">
        <f>(IF('Section Load'!AQ28&gt;0,'Section Load'!AQ28,0))</f>
        <v>91.979999999981374</v>
      </c>
      <c r="BK25" s="1301">
        <f>(IF('Section Load'!AR28&gt;0,'Section Load'!AR28,0))</f>
        <v>0</v>
      </c>
      <c r="BL25" s="1301">
        <f>(IF('Section Load'!AS28&gt;0,'Section Load'!AS28,0))</f>
        <v>0.1000000000003638</v>
      </c>
      <c r="BM25" s="1301">
        <f>(IF('Section Load'!AT28&gt;0,'Section Load'!AT28,0))</f>
        <v>490.58200000023317</v>
      </c>
    </row>
    <row r="26" spans="1:65">
      <c r="A26" s="1283" t="s">
        <v>301</v>
      </c>
      <c r="B26" s="1284">
        <f>B25+1</f>
        <v>25</v>
      </c>
      <c r="C26" s="1284">
        <v>4</v>
      </c>
      <c r="D26" s="1284">
        <v>2021</v>
      </c>
      <c r="E26" s="1299">
        <f>(IF('Section Load'!F29&gt;0,'Section Load'!F29,0))</f>
        <v>3053.3800000000047</v>
      </c>
      <c r="F26" s="1299">
        <f>(IF('Section Load'!G29&gt;0,'Section Load'!G29,0))</f>
        <v>1346.3300000000017</v>
      </c>
      <c r="G26" s="1299">
        <f>(IF('Section Load'!H29&gt;0,'Section Load'!H29,0))</f>
        <v>1455.6799999999494</v>
      </c>
      <c r="H26" s="1299">
        <f>(IF('Section Load'!I29&gt;0,'Section Load'!I29,0))</f>
        <v>3630.5200000000186</v>
      </c>
      <c r="I26" s="1299">
        <f>(IF('Section Load'!J29&gt;0,'Section Load'!J29,0))</f>
        <v>7229.7499999999709</v>
      </c>
      <c r="J26" s="1299">
        <f>(IF('Section Load'!K29&gt;0,'Section Load'!K29,0))</f>
        <v>2595.2199999999721</v>
      </c>
      <c r="K26" s="1299">
        <f>(IF('Section Load'!L29&gt;0,'Section Load'!L29,0))</f>
        <v>1368.2399999999907</v>
      </c>
      <c r="L26" s="1299">
        <f>(IF('Section Load'!M29&gt;0,'Section Load'!M29,0))</f>
        <v>1014.9200000000419</v>
      </c>
      <c r="M26" s="1299">
        <f>(IF('Section Load'!N29&gt;0,'Section Load'!N29,0))</f>
        <v>58</v>
      </c>
      <c r="N26" s="1299">
        <f>(IF('Section Load'!O29&gt;0,'Section Load'!O29,0))</f>
        <v>29</v>
      </c>
      <c r="O26" s="1299">
        <f>(IF('Section Load'!P29&gt;0,'Section Load'!P29,0))</f>
        <v>34.240000000000236</v>
      </c>
      <c r="P26" s="1299">
        <f>(IF('Section Load'!Q29&gt;0,'Section Load'!Q29,0))</f>
        <v>64.630000000001019</v>
      </c>
      <c r="Q26" s="1299">
        <f>(IF('Section Load'!R29&gt;0,'Section Load'!R29,0))</f>
        <v>31.880000000000109</v>
      </c>
      <c r="R26" s="1299">
        <f>(IF('Section Load'!S29&gt;0,'Section Load'!S29,0))</f>
        <v>45</v>
      </c>
      <c r="S26" s="1299">
        <f>(IF('Section Load'!T29&gt;0,'Section Load'!T29,0))</f>
        <v>42</v>
      </c>
      <c r="T26" s="1299">
        <f>(IF('Section Load'!U29&gt;0,'Section Load'!U29,0))</f>
        <v>171</v>
      </c>
      <c r="U26" s="1299">
        <f>(IF('Section Load'!V29&gt;0,'Section Load'!V29,0))</f>
        <v>418.76000000000931</v>
      </c>
      <c r="V26" s="1299">
        <f>(IF('Section Load'!W29&gt;0,'Section Load'!W29,0))</f>
        <v>197.88000000000466</v>
      </c>
      <c r="W26" s="1299">
        <f>(IF('Section Load'!X29&gt;0,'Section Load'!X29,0))</f>
        <v>24.580000000001746</v>
      </c>
      <c r="X26" s="1299">
        <f>(IF('Section Load'!Y29&gt;0,'Section Load'!Y29,0))</f>
        <v>153.89900000000489</v>
      </c>
      <c r="Y26" s="1299">
        <f>(IF('Section Load'!Z29&gt;0,'Section Load'!Z29,0))</f>
        <v>187</v>
      </c>
      <c r="Z26" s="1299">
        <f>(IF('Section Load'!AA29&gt;0,'Section Load'!AA29,0))</f>
        <v>32.440000000002328</v>
      </c>
      <c r="AA26" s="1299">
        <f>(IF('Section Load'!AB29&gt;0,'Section Load'!AB29,0))</f>
        <v>11.900000000008731</v>
      </c>
      <c r="AB26" s="1299">
        <f>(IF('Section Load'!AC29&gt;0,'Section Load'!AC29,0))</f>
        <v>24.670000000012806</v>
      </c>
      <c r="AC26" s="1299">
        <f>(IF('Section Load'!AD29&gt;0,'Section Load'!AD29,0))</f>
        <v>11.900000000008731</v>
      </c>
      <c r="AD26" s="1299">
        <f>(IF('Section Load'!AE29&gt;0,'Section Load'!AE29,0))</f>
        <v>0</v>
      </c>
      <c r="AE26" s="1299">
        <f>(IF('Section Load'!AF29&gt;0,'Section Load'!AF29,0))</f>
        <v>6.1440999999999804</v>
      </c>
      <c r="AF26" s="1299">
        <f>(IF('Section Load'!AG29&gt;0,'Section Load'!AG29,0))</f>
        <v>509.97000000000116</v>
      </c>
      <c r="AG26" s="1299">
        <f>(IF('Section Load'!AH29&gt;0,'Section Load'!AH29,0))</f>
        <v>362.50999999998021</v>
      </c>
      <c r="AH26" s="1299">
        <f>(IF('Section Load'!AI29&gt;0,'Section Load'!AI29,0))</f>
        <v>388.16000000000349</v>
      </c>
      <c r="AI26" s="1299">
        <f>(IF('Section Load'!AJ29&gt;0,'Section Load'!AJ29,0))</f>
        <v>382.5</v>
      </c>
      <c r="AJ26" s="1299">
        <f>(IF('Section Load'!AK29&gt;0,'Section Load'!AK29,0))</f>
        <v>0</v>
      </c>
      <c r="AK26" s="1299">
        <f>(IF('Section Load'!AL29&gt;0,'Section Load'!AL29,0))</f>
        <v>133</v>
      </c>
      <c r="AL26" s="1299">
        <f>(IF('Section Load'!AM29&gt;0,'Section Load'!AM29,0))</f>
        <v>890</v>
      </c>
      <c r="AM26" s="1300">
        <f>(IF('Water Report'!$AB$7&gt;0,'Water Report'!$AB$7,0))</f>
        <v>70</v>
      </c>
      <c r="AN26" s="1300">
        <f>(IF('Water Report'!$AB$8&gt;0,'Water Report'!$AB$8,0))</f>
        <v>100</v>
      </c>
      <c r="AO26" s="1300">
        <f>(IF('Water Report'!$AB$9&gt;0,'Water Report'!$AB$9,0))</f>
        <v>56</v>
      </c>
      <c r="AP26" s="1300">
        <f>(IF('Water Report'!$AB$10&gt;0,'Water Report'!$AB$10,0))</f>
        <v>27</v>
      </c>
      <c r="AQ26" s="1300">
        <f>(IF('Water Report'!$AB$11&gt;0,'Water Report'!$AB$11,0))</f>
        <v>17</v>
      </c>
      <c r="AR26" s="1300">
        <f>(IF('Water Report'!$AB$13&gt;0,'Water Report'!$AB$13,0))</f>
        <v>5</v>
      </c>
      <c r="AS26" s="1300">
        <f>(IF('Water Report'!$AB$14&gt;0,'Water Report'!$AB$14,0))</f>
        <v>7</v>
      </c>
      <c r="AT26" s="1300">
        <f>(IF('Water Report'!$AB$15&gt;0,'Water Report'!$AB$15,0))</f>
        <v>12</v>
      </c>
      <c r="AU26" s="1300">
        <f>(IF('Water Report'!$AB$17&gt;0,'Water Report'!$AB$17,0))</f>
        <v>13</v>
      </c>
      <c r="AV26" s="1300">
        <f>(IF('Water Report'!$AB$18&gt;0,'Water Report'!$AB$18,0))</f>
        <v>5</v>
      </c>
      <c r="AW26" s="1300">
        <f>(IF('Water Report'!$AB$19&gt;0,'Water Report'!$AB$19,0))</f>
        <v>7</v>
      </c>
      <c r="AX26" s="1379">
        <f>(IF('Water Report'!$AB$21&gt;0,'Water Report'!$AB$21,0))</f>
        <v>86</v>
      </c>
      <c r="AY26" s="1379">
        <f>(IF('Water Report'!$AB$22&gt;0,'Water Report'!$AB$22,0))</f>
        <v>0</v>
      </c>
      <c r="AZ26" s="1379">
        <f>(IF('Water Report'!$AB$23&gt;0,'Water Report'!$AB$23,0))</f>
        <v>0</v>
      </c>
      <c r="BA26" s="1379">
        <f>(IF('Water Report'!$AB$14&gt;0,'Water Report'!$AB$14,0))</f>
        <v>7</v>
      </c>
      <c r="BB26" s="1379">
        <f>(IF('Water Report'!$AB$15&gt;0,'Water Report'!$AB$15,0))</f>
        <v>12</v>
      </c>
      <c r="BC26" s="1379">
        <f>(IF('Water Report'!$AB$13&gt;0,'Water Report'!$AB$13,0))</f>
        <v>5</v>
      </c>
      <c r="BD26" s="1379">
        <f>(IF('Water Report'!$AB$24&gt;0,'Water Report'!$AB$24,0))</f>
        <v>133</v>
      </c>
      <c r="BE26" s="1379">
        <f>(IF('Water Report'!$AB$25&gt;0,'Water Report'!$AB$25,0))</f>
        <v>119</v>
      </c>
      <c r="BF26" s="1379">
        <f>(IF('Water Report'!$AB$27&gt;0,'Water Report'!$AB$27,0))</f>
        <v>91</v>
      </c>
      <c r="BG26" s="1301">
        <f>(IF('Section Load'!AN29&gt;0,'Section Load'!AN29,0))</f>
        <v>698.87399999983609</v>
      </c>
      <c r="BH26" s="1301">
        <f>(IF('Section Load'!AO29&gt;0,'Section Load'!AO29,0))</f>
        <v>257.38000000000466</v>
      </c>
      <c r="BI26" s="1301">
        <f>(IF('Section Load'!AP29&gt;0,'Section Load'!AP29,0))</f>
        <v>0.39999999999417923</v>
      </c>
      <c r="BJ26" s="1301">
        <f>(IF('Section Load'!AQ29&gt;0,'Section Load'!AQ29,0))</f>
        <v>82.75</v>
      </c>
      <c r="BK26" s="1301">
        <f>(IF('Section Load'!AR29&gt;0,'Section Load'!AR29,0))</f>
        <v>0</v>
      </c>
      <c r="BL26" s="1301">
        <f>(IF('Section Load'!AS29&gt;0,'Section Load'!AS29,0))</f>
        <v>0.2000000000007276</v>
      </c>
      <c r="BM26" s="1301">
        <f>(IF('Section Load'!AT29&gt;0,'Section Load'!AT29,0))</f>
        <v>358.14399999983652</v>
      </c>
    </row>
    <row r="27" spans="1:65">
      <c r="A27" s="1283" t="s">
        <v>301</v>
      </c>
      <c r="B27" s="1284">
        <f t="shared" si="0"/>
        <v>26</v>
      </c>
      <c r="C27" s="1284">
        <v>4</v>
      </c>
      <c r="D27" s="1284">
        <v>2021</v>
      </c>
      <c r="E27" s="1299">
        <f>(IF('Section Load'!F30&gt;0,'Section Load'!F30,0))</f>
        <v>3075.9499999999534</v>
      </c>
      <c r="F27" s="1299">
        <f>(IF('Section Load'!G30&gt;0,'Section Load'!G30,0))</f>
        <v>1331.4199999999983</v>
      </c>
      <c r="G27" s="1299">
        <f>(IF('Section Load'!H30&gt;0,'Section Load'!H30,0))</f>
        <v>1433.6900000000023</v>
      </c>
      <c r="H27" s="1299">
        <f>(IF('Section Load'!I30&gt;0,'Section Load'!I30,0))</f>
        <v>3523.5</v>
      </c>
      <c r="I27" s="1299">
        <f>(IF('Section Load'!J30&gt;0,'Section Load'!J30,0))</f>
        <v>6105.3299999999581</v>
      </c>
      <c r="J27" s="1299">
        <f>(IF('Section Load'!K30&gt;0,'Section Load'!K30,0))</f>
        <v>2549.2400000001071</v>
      </c>
      <c r="K27" s="1299">
        <f>(IF('Section Load'!L30&gt;0,'Section Load'!L30,0))</f>
        <v>1194.0400000000373</v>
      </c>
      <c r="L27" s="1299">
        <f>(IF('Section Load'!M30&gt;0,'Section Load'!M30,0))</f>
        <v>766.79999999998836</v>
      </c>
      <c r="M27" s="1299">
        <f>(IF('Section Load'!N30&gt;0,'Section Load'!N30,0))</f>
        <v>57</v>
      </c>
      <c r="N27" s="1299">
        <f>(IF('Section Load'!O30&gt;0,'Section Load'!O30,0))</f>
        <v>1</v>
      </c>
      <c r="O27" s="1299">
        <f>(IF('Section Load'!P30&gt;0,'Section Load'!P30,0))</f>
        <v>31.698999999999614</v>
      </c>
      <c r="P27" s="1299">
        <f>(IF('Section Load'!Q30&gt;0,'Section Load'!Q30,0))</f>
        <v>63.199999999998909</v>
      </c>
      <c r="Q27" s="1299">
        <f>(IF('Section Load'!R30&gt;0,'Section Load'!R30,0))</f>
        <v>44.920000000000073</v>
      </c>
      <c r="R27" s="1299">
        <f>(IF('Section Load'!S30&gt;0,'Section Load'!S30,0))</f>
        <v>44</v>
      </c>
      <c r="S27" s="1299">
        <f>(IF('Section Load'!T30&gt;0,'Section Load'!T30,0))</f>
        <v>57</v>
      </c>
      <c r="T27" s="1299">
        <f>(IF('Section Load'!U30&gt;0,'Section Load'!U30,0))</f>
        <v>203</v>
      </c>
      <c r="U27" s="1299">
        <f>(IF('Section Load'!V30&gt;0,'Section Load'!V30,0))</f>
        <v>353.39999999996508</v>
      </c>
      <c r="V27" s="1299">
        <f>(IF('Section Load'!W30&gt;0,'Section Load'!W30,0))</f>
        <v>133.47999999998137</v>
      </c>
      <c r="W27" s="1299">
        <f>(IF('Section Load'!X30&gt;0,'Section Load'!X30,0))</f>
        <v>17.360000000000582</v>
      </c>
      <c r="X27" s="1299">
        <f>(IF('Section Load'!Y30&gt;0,'Section Load'!Y30,0))</f>
        <v>153.16100000000006</v>
      </c>
      <c r="Y27" s="1299">
        <f>(IF('Section Load'!Z30&gt;0,'Section Load'!Z30,0))</f>
        <v>277</v>
      </c>
      <c r="Z27" s="1299">
        <f>(IF('Section Load'!AA30&gt;0,'Section Load'!AA30,0))</f>
        <v>191.59999999997672</v>
      </c>
      <c r="AA27" s="1299">
        <f>(IF('Section Load'!AB30&gt;0,'Section Load'!AB30,0))</f>
        <v>15.099999999991269</v>
      </c>
      <c r="AB27" s="1299">
        <f>(IF('Section Load'!AC30&gt;0,'Section Load'!AC30,0))</f>
        <v>123.20999999999185</v>
      </c>
      <c r="AC27" s="1299">
        <f>(IF('Section Load'!AD30&gt;0,'Section Load'!AD30,0))</f>
        <v>15.099999999991269</v>
      </c>
      <c r="AD27" s="1299">
        <f>(IF('Section Load'!AE30&gt;0,'Section Load'!AE30,0))</f>
        <v>0</v>
      </c>
      <c r="AE27" s="1299">
        <f>(IF('Section Load'!AF30&gt;0,'Section Load'!AF30,0))</f>
        <v>5.75</v>
      </c>
      <c r="AF27" s="1299">
        <f>(IF('Section Load'!AG30&gt;0,'Section Load'!AG30,0))</f>
        <v>495.32999999998719</v>
      </c>
      <c r="AG27" s="1299">
        <f>(IF('Section Load'!AH30&gt;0,'Section Load'!AH30,0))</f>
        <v>368.30000000001746</v>
      </c>
      <c r="AH27" s="1299">
        <f>(IF('Section Load'!AI30&gt;0,'Section Load'!AI30,0))</f>
        <v>378.51000000000204</v>
      </c>
      <c r="AI27" s="1299">
        <f>(IF('Section Load'!AJ30&gt;0,'Section Load'!AJ30,0))</f>
        <v>389.02000000001863</v>
      </c>
      <c r="AJ27" s="1299">
        <f>(IF('Section Load'!AK30&gt;0,'Section Load'!AK30,0))</f>
        <v>0</v>
      </c>
      <c r="AK27" s="1299">
        <f>(IF('Section Load'!AL30&gt;0,'Section Load'!AL30,0))</f>
        <v>120.47000000000116</v>
      </c>
      <c r="AL27" s="1299">
        <f>(IF('Section Load'!AM30&gt;0,'Section Load'!AM30,0))</f>
        <v>981</v>
      </c>
      <c r="AM27" s="1300">
        <f>(IF('Water Report'!$AC$7&gt;0,'Water Report'!$AC$7,0))</f>
        <v>57</v>
      </c>
      <c r="AN27" s="1300">
        <f>(IF('Water Report'!$AC$8&gt;0,'Water Report'!$AC$8,0))</f>
        <v>119</v>
      </c>
      <c r="AO27" s="1300">
        <f>(IF('Water Report'!$AC$9&gt;0,'Water Report'!$AC$9,0))</f>
        <v>80</v>
      </c>
      <c r="AP27" s="1300">
        <f>(IF('Water Report'!$AC$10&gt;0,'Water Report'!$AC$10,0))</f>
        <v>21</v>
      </c>
      <c r="AQ27" s="1300">
        <f>(IF('Water Report'!$AC$11&gt;0,'Water Report'!$AC$11,0))</f>
        <v>14</v>
      </c>
      <c r="AR27" s="1300">
        <f>(IF('Water Report'!$AC$13&gt;0,'Water Report'!$AC$13,0))</f>
        <v>10</v>
      </c>
      <c r="AS27" s="1300">
        <f>(IF('Water Report'!$AC$14&gt;0,'Water Report'!$AC$14,0))</f>
        <v>10</v>
      </c>
      <c r="AT27" s="1300">
        <f>(IF('Water Report'!$AC$15&gt;0,'Water Report'!$AC$15,0))</f>
        <v>5</v>
      </c>
      <c r="AU27" s="1300">
        <f>(IF('Water Report'!$AC$17&gt;0,'Water Report'!$AC$17,0))</f>
        <v>0</v>
      </c>
      <c r="AV27" s="1300">
        <f>(IF('Water Report'!$AC$18&gt;0,'Water Report'!$AC$18,0))</f>
        <v>8</v>
      </c>
      <c r="AW27" s="1300">
        <f>(IF('Water Report'!$AC$19&gt;0,'Water Report'!$AC$19,0))</f>
        <v>5</v>
      </c>
      <c r="AX27" s="1379">
        <f>(IF('Water Report'!$AC$21&gt;0,'Water Report'!$AC$21,0))</f>
        <v>64</v>
      </c>
      <c r="AY27" s="1379">
        <f>(IF('Water Report'!$AC$22&gt;0,'Water Report'!$AC$22,0))</f>
        <v>18</v>
      </c>
      <c r="AZ27" s="1379">
        <f>(IF('Water Report'!$AC$23&gt;0,'Water Report'!$AC$23,0))</f>
        <v>17</v>
      </c>
      <c r="BA27" s="1379">
        <f>(IF('Water Report'!$AC$14&gt;0,'Water Report'!$AC$14,0))</f>
        <v>10</v>
      </c>
      <c r="BB27" s="1379">
        <f>(IF('Water Report'!$AC$15&gt;0,'Water Report'!$AC$15,0))</f>
        <v>5</v>
      </c>
      <c r="BC27" s="1379">
        <f>(IF('Water Report'!$AC$13&gt;0,'Water Report'!$AC$13,0))</f>
        <v>10</v>
      </c>
      <c r="BD27" s="1379">
        <f>(IF('Water Report'!$AC$24&gt;0,'Water Report'!$AC$24,0))</f>
        <v>159</v>
      </c>
      <c r="BE27" s="1379">
        <f>(IF('Water Report'!$AC$25&gt;0,'Water Report'!$AC$25,0))</f>
        <v>130</v>
      </c>
      <c r="BF27" s="1379">
        <f>(IF('Water Report'!$AC$27&gt;0,'Water Report'!$AC$27,0))</f>
        <v>91</v>
      </c>
      <c r="BG27" s="1301">
        <f>(IF('Section Load'!AN30&gt;0,'Section Load'!AN30,0))</f>
        <v>688.53800000017509</v>
      </c>
      <c r="BH27" s="1301">
        <f>(IF('Section Load'!AO30&gt;0,'Section Load'!AO30,0))</f>
        <v>228.63000000000466</v>
      </c>
      <c r="BI27" s="1301">
        <f>(IF('Section Load'!AP30&gt;0,'Section Load'!AP30,0))</f>
        <v>0</v>
      </c>
      <c r="BJ27" s="1301">
        <f>(IF('Section Load'!AQ30&gt;0,'Section Load'!AQ30,0))</f>
        <v>66.420000000012806</v>
      </c>
      <c r="BK27" s="1301">
        <f>(IF('Section Load'!AR30&gt;0,'Section Load'!AR30,0))</f>
        <v>0</v>
      </c>
      <c r="BL27" s="1301">
        <f>(IF('Section Load'!AS30&gt;0,'Section Load'!AS30,0))</f>
        <v>0</v>
      </c>
      <c r="BM27" s="1301">
        <f>(IF('Section Load'!AT30&gt;0,'Section Load'!AT30,0))</f>
        <v>393.78800000014598</v>
      </c>
    </row>
    <row r="28" spans="1:65">
      <c r="A28" s="1283" t="s">
        <v>301</v>
      </c>
      <c r="B28" s="1284">
        <f t="shared" si="0"/>
        <v>27</v>
      </c>
      <c r="C28" s="1284">
        <v>4</v>
      </c>
      <c r="D28" s="1284">
        <v>2021</v>
      </c>
      <c r="E28" s="1299">
        <f>(IF('Section Load'!F31&gt;0,'Section Load'!F31,0))</f>
        <v>2619.3600000001024</v>
      </c>
      <c r="F28" s="1299">
        <f>(IF('Section Load'!G31&gt;0,'Section Load'!G31,0))</f>
        <v>1174.25</v>
      </c>
      <c r="G28" s="1299">
        <f>(IF('Section Load'!H31&gt;0,'Section Load'!H31,0))</f>
        <v>1256</v>
      </c>
      <c r="H28" s="1299">
        <f>(IF('Section Load'!I31&gt;0,'Section Load'!I31,0))</f>
        <v>3319.6199999999953</v>
      </c>
      <c r="I28" s="1299">
        <f>(IF('Section Load'!J31&gt;0,'Section Load'!J31,0))</f>
        <v>5057.4740000000165</v>
      </c>
      <c r="J28" s="1299">
        <f>(IF('Section Load'!K31&gt;0,'Section Load'!K31,0))</f>
        <v>2417.7599999998929</v>
      </c>
      <c r="K28" s="1299">
        <f>(IF('Section Load'!L31&gt;0,'Section Load'!L31,0))</f>
        <v>949.11999999999534</v>
      </c>
      <c r="L28" s="1299">
        <f>(IF('Section Load'!M31&gt;0,'Section Load'!M31,0))</f>
        <v>390.47999999998137</v>
      </c>
      <c r="M28" s="1299">
        <f>(IF('Section Load'!N31&gt;0,'Section Load'!N31,0))</f>
        <v>61</v>
      </c>
      <c r="N28" s="1299">
        <f>(IF('Section Load'!O31&gt;0,'Section Load'!O31,0))</f>
        <v>1</v>
      </c>
      <c r="O28" s="1299">
        <f>(IF('Section Load'!P31&gt;0,'Section Load'!P31,0))</f>
        <v>29.46100000000024</v>
      </c>
      <c r="P28" s="1299">
        <f>(IF('Section Load'!Q31&gt;0,'Section Load'!Q31,0))</f>
        <v>54.100000000000364</v>
      </c>
      <c r="Q28" s="1299">
        <f>(IF('Section Load'!R31&gt;0,'Section Load'!R31,0))</f>
        <v>47.849999999999454</v>
      </c>
      <c r="R28" s="1299">
        <f>(IF('Section Load'!S31&gt;0,'Section Load'!S31,0))</f>
        <v>44</v>
      </c>
      <c r="S28" s="1299">
        <f>(IF('Section Load'!T31&gt;0,'Section Load'!T31,0))</f>
        <v>45</v>
      </c>
      <c r="T28" s="1299">
        <f>(IF('Section Load'!U31&gt;0,'Section Load'!U31,0))</f>
        <v>190</v>
      </c>
      <c r="U28" s="1299">
        <f>(IF('Section Load'!V31&gt;0,'Section Load'!V31,0))</f>
        <v>337.20000000001164</v>
      </c>
      <c r="V28" s="1299">
        <f>(IF('Section Load'!W31&gt;0,'Section Load'!W31,0))</f>
        <v>29.440000000060536</v>
      </c>
      <c r="W28" s="1299">
        <f>(IF('Section Load'!X31&gt;0,'Section Load'!X31,0))</f>
        <v>20.899999999994179</v>
      </c>
      <c r="X28" s="1299">
        <f>(IF('Section Load'!Y31&gt;0,'Section Load'!Y31,0))</f>
        <v>161.54899999999907</v>
      </c>
      <c r="Y28" s="1299">
        <f>(IF('Section Load'!Z31&gt;0,'Section Load'!Z31,0))</f>
        <v>143</v>
      </c>
      <c r="Z28" s="1299">
        <f>(IF('Section Load'!AA31&gt;0,'Section Load'!AA31,0))</f>
        <v>178.72000000003027</v>
      </c>
      <c r="AA28" s="1299">
        <f>(IF('Section Load'!AB31&gt;0,'Section Load'!AB31,0))</f>
        <v>12.100000000005821</v>
      </c>
      <c r="AB28" s="1299">
        <f>(IF('Section Load'!AC31&gt;0,'Section Load'!AC31,0))</f>
        <v>22.480000000010477</v>
      </c>
      <c r="AC28" s="1299">
        <f>(IF('Section Load'!AD31&gt;0,'Section Load'!AD31,0))</f>
        <v>12.100000000005821</v>
      </c>
      <c r="AD28" s="1299">
        <f>(IF('Section Load'!AE31&gt;0,'Section Load'!AE31,0))</f>
        <v>0</v>
      </c>
      <c r="AE28" s="1299">
        <f>(IF('Section Load'!AF31&gt;0,'Section Load'!AF31,0))</f>
        <v>5.1999999999998181</v>
      </c>
      <c r="AF28" s="1299">
        <f>(IF('Section Load'!AG31&gt;0,'Section Load'!AG31,0))</f>
        <v>477.18000000002212</v>
      </c>
      <c r="AG28" s="1299">
        <f>(IF('Section Load'!AH31&gt;0,'Section Load'!AH31,0))</f>
        <v>348.55999999999767</v>
      </c>
      <c r="AH28" s="1299">
        <f>(IF('Section Load'!AI31&gt;0,'Section Load'!AI31,0))</f>
        <v>363.73999999999796</v>
      </c>
      <c r="AI28" s="1299">
        <f>(IF('Section Load'!AJ31&gt;0,'Section Load'!AJ31,0))</f>
        <v>382.39999999999418</v>
      </c>
      <c r="AJ28" s="1299">
        <f>(IF('Section Load'!AK31&gt;0,'Section Load'!AK31,0))</f>
        <v>0</v>
      </c>
      <c r="AK28" s="1299">
        <f>(IF('Section Load'!AL31&gt;0,'Section Load'!AL31,0))</f>
        <v>36.080000000001746</v>
      </c>
      <c r="AL28" s="1299">
        <f>(IF('Section Load'!AM31&gt;0,'Section Load'!AM31,0))</f>
        <v>821</v>
      </c>
      <c r="AM28" s="1300">
        <f>(IF('Water Report'!$AD$7&gt;0,'Water Report'!$AD$7,0))</f>
        <v>34</v>
      </c>
      <c r="AN28" s="1300">
        <f>(IF('Water Report'!$AD$8&gt;0,'Water Report'!$AD$8,0))</f>
        <v>48</v>
      </c>
      <c r="AO28" s="1300">
        <f>(IF('Water Report'!$AD$9&gt;0,'Water Report'!$AD$9,0))</f>
        <v>61</v>
      </c>
      <c r="AP28" s="1300">
        <f>(IF('Water Report'!$AD$10&gt;0,'Water Report'!AD$10,0))</f>
        <v>15</v>
      </c>
      <c r="AQ28" s="1300">
        <f>(IF('Water Report'!$AD$11&gt;0,'Water Report'!AE$11,0))</f>
        <v>8</v>
      </c>
      <c r="AR28" s="1300">
        <f>(IF('Water Report'!$AD$13&gt;0,'Water Report'!AF$13,0))</f>
        <v>6</v>
      </c>
      <c r="AS28" s="1300">
        <f>(IF('Water Report'!$AD$14&gt;0,'Water Report'!AG$14,0))</f>
        <v>5</v>
      </c>
      <c r="AT28" s="1300">
        <f>(IF('Water Report'!$AD$15&gt;0,'Water Report'!AH$15,0))</f>
        <v>0</v>
      </c>
      <c r="AU28" s="1300">
        <f>(IF('Water Report'!$AD$17&gt;0,'Water Report'!AI$17,0))</f>
        <v>0</v>
      </c>
      <c r="AV28" s="1300">
        <f>(IF('Water Report'!$AD$18&gt;0,'Water Report'!AJ$18,0))</f>
        <v>0</v>
      </c>
      <c r="AW28" s="1300">
        <f>(IF('Water Report'!$AD$19&gt;0,'Water Report'!AK$19,0))</f>
        <v>0</v>
      </c>
      <c r="AX28" s="1379">
        <f>(IF('Water Report'!$AD$21&gt;0,'Water Report'!AL$21,0))</f>
        <v>0</v>
      </c>
      <c r="AY28" s="1379">
        <f>(IF('Water Report'!$AD$22&gt;0,'Water Report'!AM$22,0))</f>
        <v>0</v>
      </c>
      <c r="AZ28" s="1379">
        <f>(IF('Water Report'!$AD$23&gt;0,'Water Report'!AN$23,0))</f>
        <v>0</v>
      </c>
      <c r="BA28" s="1379">
        <f>(IF('Water Report'!$AD$14&gt;0,'Water Report'!AO$14,0))</f>
        <v>0</v>
      </c>
      <c r="BB28" s="1379">
        <f>(IF('Water Report'!$AD$15&gt;0,'Water Report'!AP$15,0))</f>
        <v>0</v>
      </c>
      <c r="BC28" s="1379">
        <f>(IF('Water Report'!$AD$13&gt;0,'Water Report'!AQ$13,0))</f>
        <v>0</v>
      </c>
      <c r="BD28" s="1379">
        <f>(IF('Water Report'!$AD$24&gt;0,'Water Report'!AR$24,0))</f>
        <v>0</v>
      </c>
      <c r="BE28" s="1379">
        <f>(IF('Water Report'!$AD$25&gt;0,'Water Report'!AS$25,0))</f>
        <v>0</v>
      </c>
      <c r="BF28" s="1379">
        <f>(IF('Water Report'!$AD$27&gt;0,'Water Report'!AT$27,0))</f>
        <v>0</v>
      </c>
      <c r="BG28" s="1301">
        <f>(IF('Section Load'!AN31&gt;0,'Section Load'!AN31,0))</f>
        <v>627.37899999995716</v>
      </c>
      <c r="BH28" s="1301">
        <f>(IF('Section Load'!AO31&gt;0,'Section Load'!AO31,0))</f>
        <v>207.28000000002794</v>
      </c>
      <c r="BI28" s="1301">
        <f>(IF('Section Load'!AP31&gt;0,'Section Load'!AP31,0))</f>
        <v>0.29999999998835847</v>
      </c>
      <c r="BJ28" s="1301">
        <f>(IF('Section Load'!AQ31&gt;0,'Section Load'!AQ31,0))</f>
        <v>54</v>
      </c>
      <c r="BK28" s="1301">
        <f>(IF('Section Load'!AR31&gt;0,'Section Load'!AR31,0))</f>
        <v>0</v>
      </c>
      <c r="BL28" s="1301">
        <f>(IF('Section Load'!AS31&gt;0,'Section Load'!AS31,0))</f>
        <v>0.1000000000003638</v>
      </c>
      <c r="BM28" s="1301">
        <f>(IF('Section Load'!AT31&gt;0,'Section Load'!AT31,0))</f>
        <v>365.6989999999405</v>
      </c>
    </row>
    <row r="29" spans="1:65">
      <c r="A29" s="1283" t="s">
        <v>301</v>
      </c>
      <c r="B29" s="1284">
        <f t="shared" si="0"/>
        <v>28</v>
      </c>
      <c r="C29" s="1284">
        <v>4</v>
      </c>
      <c r="D29" s="1284">
        <v>2021</v>
      </c>
      <c r="E29" s="1299">
        <f>(IF('Section Load'!F32&gt;0,'Section Load'!F32,0))</f>
        <v>2189.6799999999348</v>
      </c>
      <c r="F29" s="1299">
        <f>(IF('Section Load'!G32&gt;0,'Section Load'!G32,0))</f>
        <v>1197.9000000000087</v>
      </c>
      <c r="G29" s="1299">
        <f>(IF('Section Load'!H32&gt;0,'Section Load'!H32,0))</f>
        <v>1391.2400000000052</v>
      </c>
      <c r="H29" s="1299">
        <f>(IF('Section Load'!I32&gt;0,'Section Load'!I32,0))</f>
        <v>3434.7400000000198</v>
      </c>
      <c r="I29" s="1299">
        <f>(IF('Section Load'!J32&gt;0,'Section Load'!J32,0))</f>
        <v>5618.8030000000144</v>
      </c>
      <c r="J29" s="1299">
        <f>(IF('Section Load'!K32&gt;0,'Section Load'!K32,0))</f>
        <v>2386.2500000000418</v>
      </c>
      <c r="K29" s="1299">
        <f>(IF('Section Load'!L32&gt;0,'Section Load'!L32,0))</f>
        <v>977.15999999997439</v>
      </c>
      <c r="L29" s="1299">
        <f>(IF('Section Load'!M32&gt;0,'Section Load'!M32,0))</f>
        <v>384.40000000002328</v>
      </c>
      <c r="M29" s="1299">
        <f>(IF('Section Load'!N32&gt;0,'Section Load'!N32,0))</f>
        <v>57</v>
      </c>
      <c r="N29" s="1299">
        <f>(IF('Section Load'!O32&gt;0,'Section Load'!O32,0))</f>
        <v>2</v>
      </c>
      <c r="O29" s="1299">
        <f>(IF('Section Load'!P32&gt;0,'Section Load'!P32,0))</f>
        <v>31.949999999999818</v>
      </c>
      <c r="P29" s="1299">
        <f>(IF('Section Load'!Q32&gt;0,'Section Load'!Q32,0))</f>
        <v>55.1200000000008</v>
      </c>
      <c r="Q29" s="1299">
        <f>(IF('Section Load'!R32&gt;0,'Section Load'!R32,0))</f>
        <v>49.0600000000004</v>
      </c>
      <c r="R29" s="1299">
        <f>(IF('Section Load'!S32&gt;0,'Section Load'!S32,0))</f>
        <v>43</v>
      </c>
      <c r="S29" s="1299">
        <f>(IF('Section Load'!T32&gt;0,'Section Load'!T32,0))</f>
        <v>45</v>
      </c>
      <c r="T29" s="1299">
        <f>(IF('Section Load'!U32&gt;0,'Section Load'!U32,0))</f>
        <v>183</v>
      </c>
      <c r="U29" s="1299">
        <f>(IF('Section Load'!V32&gt;0,'Section Load'!V32,0))</f>
        <v>360.88000000000466</v>
      </c>
      <c r="V29" s="1299">
        <f>(IF('Section Load'!W32&gt;0,'Section Load'!W32,0))</f>
        <v>112.43999999994412</v>
      </c>
      <c r="W29" s="1299">
        <f>(IF('Section Load'!X32&gt;0,'Section Load'!X32,0))</f>
        <v>20.400000000008731</v>
      </c>
      <c r="X29" s="1299">
        <f>(IF('Section Load'!Y32&gt;0,'Section Load'!Y32,0))</f>
        <v>105.41999999999825</v>
      </c>
      <c r="Y29" s="1299">
        <f>(IF('Section Load'!Z32&gt;0,'Section Load'!Z32,0))</f>
        <v>324</v>
      </c>
      <c r="Z29" s="1299">
        <f>(IF('Section Load'!AA32&gt;0,'Section Load'!AA32,0))</f>
        <v>149.11999999999534</v>
      </c>
      <c r="AA29" s="1299">
        <f>(IF('Section Load'!AB32&gt;0,'Section Load'!AB32,0))</f>
        <v>15.69999999999709</v>
      </c>
      <c r="AB29" s="1299">
        <f>(IF('Section Load'!AC32&gt;0,'Section Load'!AC32,0))</f>
        <v>23.139999999984866</v>
      </c>
      <c r="AC29" s="1299">
        <f>(IF('Section Load'!AD32&gt;0,'Section Load'!AD32,0))</f>
        <v>15.799999999996999</v>
      </c>
      <c r="AD29" s="1299">
        <f>(IF('Section Load'!AE32&gt;0,'Section Load'!AE32,0))</f>
        <v>0</v>
      </c>
      <c r="AE29" s="1299">
        <f>(IF('Section Load'!AF32&gt;0,'Section Load'!AF32,0))</f>
        <v>6.0100000000002183</v>
      </c>
      <c r="AF29" s="1299">
        <f>(IF('Section Load'!AG32&gt;0,'Section Load'!AG32,0))</f>
        <v>433.54999999998836</v>
      </c>
      <c r="AG29" s="1299">
        <f>(IF('Section Load'!AH32&gt;0,'Section Load'!AH32,0))</f>
        <v>260.02999999999884</v>
      </c>
      <c r="AH29" s="1299">
        <f>(IF('Section Load'!AI32&gt;0,'Section Load'!AI32,0))</f>
        <v>315.72000000000116</v>
      </c>
      <c r="AI29" s="1299">
        <f>(IF('Section Load'!AJ32&gt;0,'Section Load'!AJ32,0))</f>
        <v>333.42000000001281</v>
      </c>
      <c r="AJ29" s="1299">
        <f>(IF('Section Load'!AK32&gt;0,'Section Load'!AK32,0))</f>
        <v>0</v>
      </c>
      <c r="AK29" s="1299">
        <f>(IF('Section Load'!AL32&gt;0,'Section Load'!AL32,0))</f>
        <v>48.619999999995343</v>
      </c>
      <c r="AL29" s="1299">
        <f>(IF('Section Load'!AM32&gt;0,'Section Load'!AM32,0))</f>
        <v>574</v>
      </c>
      <c r="AM29" s="1300">
        <f>(IF('Water Report'!$AE$7&gt;0,'Water Report'!$AE$7,0))</f>
        <v>0</v>
      </c>
      <c r="AN29" s="1300">
        <f>(IF('Water Report'!$AE$8&gt;0,'Water Report'!$AE$8,0))</f>
        <v>120</v>
      </c>
      <c r="AO29" s="1300">
        <f>(IF('Water Report'!$AE$9&gt;0,'Water Report'!$AE$9,0))</f>
        <v>38</v>
      </c>
      <c r="AP29" s="1300">
        <f>(IF('Water Report'!$AE$10&gt;0,'Water Report'!$AE$10,0))</f>
        <v>9</v>
      </c>
      <c r="AQ29" s="1300">
        <f>(IF('Water Report'!$AE$11&gt;0,'Water Report'!$AE$11,0))</f>
        <v>8</v>
      </c>
      <c r="AR29" s="1300">
        <f>(IF('Water Report'!$AE$13&gt;0,'Water Report'!$AE$13,0))</f>
        <v>3</v>
      </c>
      <c r="AS29" s="1300">
        <f>(IF('Water Report'!$AE$14&gt;0,'Water Report'!$AE$14,0))</f>
        <v>4</v>
      </c>
      <c r="AT29" s="1300">
        <f>(IF('Water Report'!$AE$15&gt;0,'Water Report'!$AE$15,0))</f>
        <v>2</v>
      </c>
      <c r="AU29" s="1300">
        <f>(IF('Water Report'!$AE$17&gt;0,'Water Report'!$AE$17,0))</f>
        <v>8</v>
      </c>
      <c r="AV29" s="1300">
        <f>(IF('Water Report'!$AE$18&gt;0,'Water Report'!$AE$18,0))</f>
        <v>0</v>
      </c>
      <c r="AW29" s="1300">
        <f>(IF('Water Report'!$AE$19&gt;0,'Water Report'!$AE$19,0))</f>
        <v>3</v>
      </c>
      <c r="AX29" s="1379">
        <f>(IF('Water Report'!$AE$21&gt;0,'Water Report'!$AE$21,0))</f>
        <v>100</v>
      </c>
      <c r="AY29" s="1379">
        <f>(IF('Water Report'!$AE$22&gt;0,'Water Report'!$AE$22,0))</f>
        <v>0</v>
      </c>
      <c r="AZ29" s="1379">
        <f>(IF('Water Report'!$AE$23&gt;0,'Water Report'!$AE$23,0))</f>
        <v>0</v>
      </c>
      <c r="BA29" s="1379">
        <f>(IF('Water Report'!$AE$14&gt;0,'Water Report'!$AE$14,0))</f>
        <v>4</v>
      </c>
      <c r="BB29" s="1379">
        <f>(IF('Water Report'!$AE$15&gt;0,'Water Report'!$AE$15,0))</f>
        <v>2</v>
      </c>
      <c r="BC29" s="1379">
        <f>(IF('Water Report'!$AE$13&gt;0,'Water Report'!$AE$13,0))</f>
        <v>3</v>
      </c>
      <c r="BD29" s="1379">
        <f>(IF('Water Report'!$AE$24&gt;0,'Water Report'!$AE$24,0))</f>
        <v>116</v>
      </c>
      <c r="BE29" s="1379">
        <f>(IF('Water Report'!$AE$25&gt;0,'Water Report'!$AE$25,0))</f>
        <v>61</v>
      </c>
      <c r="BF29" s="1379">
        <f>(IF('Water Report'!$AE$27&gt;0,'Water Report'!$AE$27,0))</f>
        <v>103</v>
      </c>
      <c r="BG29" s="1301">
        <f>(IF('Section Load'!AN32&gt;0,'Section Load'!AN32,0))</f>
        <v>461.80099999997765</v>
      </c>
      <c r="BH29" s="1301">
        <f>(IF('Section Load'!AO32&gt;0,'Section Load'!AO32,0))</f>
        <v>212.75</v>
      </c>
      <c r="BI29" s="1301">
        <f>(IF('Section Load'!AP32&gt;0,'Section Load'!AP32,0))</f>
        <v>0</v>
      </c>
      <c r="BJ29" s="1301">
        <f>(IF('Section Load'!AQ32&gt;0,'Section Load'!AQ32,0))</f>
        <v>74.779999999998836</v>
      </c>
      <c r="BK29" s="1301">
        <f>(IF('Section Load'!AR32&gt;0,'Section Load'!AR32,0))</f>
        <v>0</v>
      </c>
      <c r="BL29" s="1301">
        <f>(IF('Section Load'!AS32&gt;0,'Section Load'!AS32,0))</f>
        <v>0.2999999999992724</v>
      </c>
      <c r="BM29" s="1301">
        <f>(IF('Section Load'!AT32&gt;0,'Section Load'!AT32,0))</f>
        <v>174.17099999998027</v>
      </c>
    </row>
    <row r="30" spans="1:65">
      <c r="A30" s="1283" t="s">
        <v>301</v>
      </c>
      <c r="B30" s="1284">
        <f t="shared" si="0"/>
        <v>29</v>
      </c>
      <c r="C30" s="1284">
        <v>4</v>
      </c>
      <c r="D30" s="1284">
        <v>2021</v>
      </c>
      <c r="E30" s="1299">
        <f>(IF('Section Load'!F33&gt;0,'Section Load'!F33,0))</f>
        <v>2054.0400000000373</v>
      </c>
      <c r="F30" s="1299">
        <f>(IF('Section Load'!G33&gt;0,'Section Load'!G33,0))</f>
        <v>1200.7099999999919</v>
      </c>
      <c r="G30" s="1299">
        <f>(IF('Section Load'!H33&gt;0,'Section Load'!H33,0))</f>
        <v>1247.8899999999994</v>
      </c>
      <c r="H30" s="1299">
        <f>(IF('Section Load'!I33&gt;0,'Section Load'!I33,0))</f>
        <v>2488.8199999999779</v>
      </c>
      <c r="I30" s="1299">
        <f>(IF('Section Load'!J33&gt;0,'Section Load'!J33,0))</f>
        <v>4925.2000000000116</v>
      </c>
      <c r="J30" s="1299">
        <f>(IF('Section Load'!K33&gt;0,'Section Load'!K33,0))</f>
        <v>2073.1900000000187</v>
      </c>
      <c r="K30" s="1299">
        <f>(IF('Section Load'!L33&gt;0,'Section Load'!L33,0))</f>
        <v>1009.8400000000256</v>
      </c>
      <c r="L30" s="1299">
        <f>(IF('Section Load'!M33&gt;0,'Section Load'!M33,0))</f>
        <v>449.71999999997206</v>
      </c>
      <c r="M30" s="1299">
        <f>(IF('Section Load'!N33&gt;0,'Section Load'!N33,0))</f>
        <v>29</v>
      </c>
      <c r="N30" s="1299">
        <f>(IF('Section Load'!O33&gt;0,'Section Load'!O33,0))</f>
        <v>1</v>
      </c>
      <c r="O30" s="1299">
        <f>(IF('Section Load'!P33&gt;0,'Section Load'!P33,0))</f>
        <v>30.570000000000164</v>
      </c>
      <c r="P30" s="1299">
        <f>(IF('Section Load'!Q33&gt;0,'Section Load'!Q33,0))</f>
        <v>52.389999999999418</v>
      </c>
      <c r="Q30" s="1299">
        <f>(IF('Section Load'!R33&gt;0,'Section Load'!R33,0))</f>
        <v>50.649999999999636</v>
      </c>
      <c r="R30" s="1299">
        <f>(IF('Section Load'!S33&gt;0,'Section Load'!S33,0))</f>
        <v>50</v>
      </c>
      <c r="S30" s="1299">
        <f>(IF('Section Load'!T33&gt;0,'Section Load'!T33,0))</f>
        <v>70</v>
      </c>
      <c r="T30" s="1299">
        <f>(IF('Section Load'!U33&gt;0,'Section Load'!U33,0))</f>
        <v>177</v>
      </c>
      <c r="U30" s="1299">
        <f>(IF('Section Load'!V33&gt;0,'Section Load'!V33,0))</f>
        <v>385.11999999999534</v>
      </c>
      <c r="V30" s="1299">
        <f>(IF('Section Load'!W33&gt;0,'Section Load'!W33,0))</f>
        <v>74.119999999995343</v>
      </c>
      <c r="W30" s="1299">
        <f>(IF('Section Load'!X33&gt;0,'Section Load'!X33,0))</f>
        <v>11.029999999998836</v>
      </c>
      <c r="X30" s="1299">
        <f>(IF('Section Load'!Y33&gt;0,'Section Load'!Y33,0))</f>
        <v>189.02999999999884</v>
      </c>
      <c r="Y30" s="1299">
        <f>(IF('Section Load'!Z33&gt;0,'Section Load'!Z33,0))</f>
        <v>197</v>
      </c>
      <c r="Z30" s="1299">
        <f>(IF('Section Load'!AA33&gt;0,'Section Load'!AA33,0))</f>
        <v>158.88000000000466</v>
      </c>
      <c r="AA30" s="1299">
        <f>(IF('Section Load'!AB33&gt;0,'Section Load'!AB33,0))</f>
        <v>14.80000000000291</v>
      </c>
      <c r="AB30" s="1299">
        <f>(IF('Section Load'!AC33&gt;0,'Section Load'!AC33,0))</f>
        <v>22.670000000012806</v>
      </c>
      <c r="AC30" s="1299">
        <f>(IF('Section Load'!AD33&gt;0,'Section Load'!AD33,0))</f>
        <v>14.80000000000291</v>
      </c>
      <c r="AD30" s="1299">
        <f>(IF('Section Load'!AE33&gt;0,'Section Load'!AE33,0))</f>
        <v>0</v>
      </c>
      <c r="AE30" s="1299">
        <f>(IF('Section Load'!AF33&gt;0,'Section Load'!AF33,0))</f>
        <v>5.4099999999998545</v>
      </c>
      <c r="AF30" s="1299">
        <f>(IF('Section Load'!AG33&gt;0,'Section Load'!AG33,0))</f>
        <v>324.98000000001048</v>
      </c>
      <c r="AG30" s="1299">
        <f>(IF('Section Load'!AH33&gt;0,'Section Load'!AH33,0))</f>
        <v>187.22999999998137</v>
      </c>
      <c r="AH30" s="1299">
        <f>(IF('Section Load'!AI33&gt;0,'Section Load'!AI33,0))</f>
        <v>273.20999999999913</v>
      </c>
      <c r="AI30" s="1299">
        <f>(IF('Section Load'!AJ33&gt;0,'Section Load'!AJ33,0))</f>
        <v>205.31999999997788</v>
      </c>
      <c r="AJ30" s="1299">
        <f>(IF('Section Load'!AK33&gt;0,'Section Load'!AK33,0))</f>
        <v>0</v>
      </c>
      <c r="AK30" s="1299">
        <f>(IF('Section Load'!AL33&gt;0,'Section Load'!AL33,0))</f>
        <v>59.899999999994179</v>
      </c>
      <c r="AL30" s="1299">
        <f>(IF('Section Load'!AM33&gt;0,'Section Load'!AM33,0))</f>
        <v>669</v>
      </c>
      <c r="AM30" s="1300">
        <f>(IF('Water Report'!$AF$7&gt;0,'Water Report'!$AF$7,0))</f>
        <v>17</v>
      </c>
      <c r="AN30" s="1300">
        <f>(IF('Water Report'!$AF$8&gt;0,'Water Report'!$AF$8,0))</f>
        <v>52</v>
      </c>
      <c r="AO30" s="1300">
        <f>(IF('Water Report'!$AF$9&gt;0,'Water Report'!$AF$9,0))</f>
        <v>59</v>
      </c>
      <c r="AP30" s="1300">
        <f>(IF('Water Report'!$AF$10&gt;0,'Water Report'!$AF$10,0))</f>
        <v>6</v>
      </c>
      <c r="AQ30" s="1300">
        <f>(IF('Water Report'!$AF$11&gt;0,'Water Report'!$AF$11,0))</f>
        <v>14</v>
      </c>
      <c r="AR30" s="1300">
        <f>(IF('Water Report'!$AF$13&gt;0,'Water Report'!$AF$13,0))</f>
        <v>6</v>
      </c>
      <c r="AS30" s="1300">
        <f>(IF('Water Report'!$AF$14&gt;0,'Water Report'!$AF$14,0))</f>
        <v>5</v>
      </c>
      <c r="AT30" s="1300">
        <f>(IF('Water Report'!$AF$15&gt;0,'Water Report'!$AF$15,0))</f>
        <v>2</v>
      </c>
      <c r="AU30" s="1300">
        <f>(IF('Water Report'!$AF$17&gt;0,'Water Report'!$AF$17,0))</f>
        <v>0</v>
      </c>
      <c r="AV30" s="1300">
        <f>(IF('Water Report'!$AF$18&gt;0,'Water Report'!$AF$18,0))</f>
        <v>9</v>
      </c>
      <c r="AW30" s="1300">
        <f>(IF('Water Report'!$AF$19&gt;0,'Water Report'!$AF$19,0))</f>
        <v>7</v>
      </c>
      <c r="AX30" s="1379">
        <f>(IF('Water Report'!$AF$21&gt;0,'Water Report'!$AF$21,0))</f>
        <v>83</v>
      </c>
      <c r="AY30" s="1379">
        <f>(IF('Water Report'!$AF$22&gt;0,'Water Report'!$AF$22,0))</f>
        <v>22</v>
      </c>
      <c r="AZ30" s="1379">
        <f>(IF('Water Report'!$AF$23&gt;0,'Water Report'!$AF$23,0))</f>
        <v>5</v>
      </c>
      <c r="BA30" s="1379">
        <f>(IF('Water Report'!$AF$14&gt;0,'Water Report'!$AF$14,0))</f>
        <v>5</v>
      </c>
      <c r="BB30" s="1379">
        <f>(IF('Water Report'!$AF$15&gt;0,'Water Report'!$AF$15,0))</f>
        <v>2</v>
      </c>
      <c r="BC30" s="1379">
        <f>(IF('Water Report'!$AF$13&gt;0,'Water Report'!$AF$13,0))</f>
        <v>6</v>
      </c>
      <c r="BD30" s="1379">
        <f>(IF('Water Report'!$AF$24&gt;0,'Water Report'!$AF$24,0))</f>
        <v>75</v>
      </c>
      <c r="BE30" s="1379">
        <f>(IF('Water Report'!$AF$25&gt;0,'Water Report'!$AF$25,0))</f>
        <v>86</v>
      </c>
      <c r="BF30" s="1379">
        <f>(IF('Water Report'!$AF$27&gt;0,'Water Report'!$AF$27,0))</f>
        <v>94</v>
      </c>
      <c r="BG30" s="1301">
        <f>(IF('Section Load'!AN33&gt;0,'Section Load'!AN33,0))</f>
        <v>643.03000000002794</v>
      </c>
      <c r="BH30" s="1301">
        <f>(IF('Section Load'!AO33&gt;0,'Section Load'!AO33,0))</f>
        <v>202.56000000005588</v>
      </c>
      <c r="BI30" s="1301">
        <f>(IF('Section Load'!AP33&gt;0,'Section Load'!AP33,0))</f>
        <v>0</v>
      </c>
      <c r="BJ30" s="1301">
        <f>(IF('Section Load'!AQ33&gt;0,'Section Load'!AQ33,0))</f>
        <v>68</v>
      </c>
      <c r="BK30" s="1301">
        <f>(IF('Section Load'!AR33&gt;0,'Section Load'!AR33,0))</f>
        <v>0</v>
      </c>
      <c r="BL30" s="1301">
        <f>(IF('Section Load'!AS33&gt;0,'Section Load'!AS33,0))</f>
        <v>0</v>
      </c>
      <c r="BM30" s="1301">
        <f>(IF('Section Load'!AT33&gt;0,'Section Load'!AT33,0))</f>
        <v>373.16999999996551</v>
      </c>
    </row>
    <row r="31" spans="1:65">
      <c r="A31" s="1283" t="s">
        <v>301</v>
      </c>
      <c r="B31" s="1284">
        <f t="shared" si="0"/>
        <v>30</v>
      </c>
      <c r="C31" s="1284">
        <v>4</v>
      </c>
      <c r="D31" s="1284">
        <v>2021</v>
      </c>
      <c r="E31" s="1299">
        <f>(IF('Section Load'!F34&gt;0,'Section Load'!F34,0))</f>
        <v>2432.9699999999721</v>
      </c>
      <c r="F31" s="1299">
        <f>(IF('Section Load'!G34&gt;0,'Section Load'!G34,0))</f>
        <v>1371.1800000000076</v>
      </c>
      <c r="G31" s="1299">
        <f>(IF('Section Load'!H34&gt;0,'Section Load'!H34,0))</f>
        <v>1456.690000000046</v>
      </c>
      <c r="H31" s="1299">
        <f>(IF('Section Load'!I34&gt;0,'Section Load'!I34,0))</f>
        <v>2767.7600000000093</v>
      </c>
      <c r="I31" s="1299">
        <f>(IF('Section Load'!J34&gt;0,'Section Load'!J34,0))</f>
        <v>5778.3299999999872</v>
      </c>
      <c r="J31" s="1299">
        <f>(IF('Section Load'!K34&gt;0,'Section Load'!K34,0))</f>
        <v>2438.4899999999907</v>
      </c>
      <c r="K31" s="1299">
        <f>(IF('Section Load'!L34&gt;0,'Section Load'!L34,0))</f>
        <v>1382.7299999999814</v>
      </c>
      <c r="L31" s="1299">
        <f>(IF('Section Load'!M34&gt;0,'Section Load'!M34,0))</f>
        <v>715.3300000000163</v>
      </c>
      <c r="M31" s="1299">
        <f>(IF('Section Load'!N34&gt;0,'Section Load'!N34,0))</f>
        <v>17</v>
      </c>
      <c r="N31" s="1299">
        <f>(IF('Section Load'!O34&gt;0,'Section Load'!O34,0))</f>
        <v>5</v>
      </c>
      <c r="O31" s="1299">
        <f>(IF('Section Load'!P34&gt;0,'Section Load'!P34,0))</f>
        <v>30.519999999999982</v>
      </c>
      <c r="P31" s="1299">
        <f>(IF('Section Load'!Q34&gt;0,'Section Load'!Q34,0))</f>
        <v>58.569999999999709</v>
      </c>
      <c r="Q31" s="1299">
        <f>(IF('Section Load'!R34&gt;0,'Section Load'!R34,0))</f>
        <v>49.640000000000327</v>
      </c>
      <c r="R31" s="1299">
        <f>(IF('Section Load'!S34&gt;0,'Section Load'!S34,0))</f>
        <v>49</v>
      </c>
      <c r="S31" s="1299">
        <f>(IF('Section Load'!T34&gt;0,'Section Load'!T34,0))</f>
        <v>227</v>
      </c>
      <c r="T31" s="1299">
        <f>(IF('Section Load'!U34&gt;0,'Section Load'!U34,0))</f>
        <v>194</v>
      </c>
      <c r="U31" s="1299">
        <f>(IF('Section Load'!V34&gt;0,'Section Load'!V34,0))</f>
        <v>380.76000000000931</v>
      </c>
      <c r="V31" s="1299">
        <f>(IF('Section Load'!W34&gt;0,'Section Load'!W34,0))</f>
        <v>73.880000000004657</v>
      </c>
      <c r="W31" s="1299">
        <f>(IF('Section Load'!X34&gt;0,'Section Load'!X34,0))</f>
        <v>42.399999999994179</v>
      </c>
      <c r="X31" s="1299">
        <f>(IF('Section Load'!Y34&gt;0,'Section Load'!Y34,0))</f>
        <v>1.1900000000023283</v>
      </c>
      <c r="Y31" s="1299">
        <f>(IF('Section Load'!Z34&gt;0,'Section Load'!Z34,0))</f>
        <v>249</v>
      </c>
      <c r="Z31" s="1299">
        <f>(IF('Section Load'!AA34&gt;0,'Section Load'!AA34,0))</f>
        <v>170.23999999999069</v>
      </c>
      <c r="AA31" s="1299">
        <f>(IF('Section Load'!AB34&gt;0,'Section Load'!AB34,0))</f>
        <v>14</v>
      </c>
      <c r="AB31" s="1299">
        <f>(IF('Section Load'!AC34&gt;0,'Section Load'!AC34,0))</f>
        <v>24</v>
      </c>
      <c r="AC31" s="1299">
        <f>(IF('Section Load'!AD34&gt;0,'Section Load'!AD34,0))</f>
        <v>13.599999999999909</v>
      </c>
      <c r="AD31" s="1299">
        <f>(IF('Section Load'!AE34&gt;0,'Section Load'!AE34,0))</f>
        <v>0</v>
      </c>
      <c r="AE31" s="1299">
        <f>(IF('Section Load'!AF34&gt;0,'Section Load'!AF34,0))</f>
        <v>3.2899999999999636</v>
      </c>
      <c r="AF31" s="1299">
        <f>(IF('Section Load'!AG34&gt;0,'Section Load'!AG34,0))</f>
        <v>235.26999999998952</v>
      </c>
      <c r="AG31" s="1299">
        <f>(IF('Section Load'!AH34&gt;0,'Section Load'!AH34,0))</f>
        <v>208.70000000001164</v>
      </c>
      <c r="AH31" s="1299">
        <f>(IF('Section Load'!AI34&gt;0,'Section Load'!AI34,0))</f>
        <v>265.41999999999825</v>
      </c>
      <c r="AI31" s="1299">
        <f>(IF('Section Load'!AJ34&gt;0,'Section Load'!AJ34,0))</f>
        <v>280.73000000001048</v>
      </c>
      <c r="AJ31" s="1299">
        <f>(IF('Section Load'!AK34&gt;0,'Section Load'!AK34,0))</f>
        <v>0</v>
      </c>
      <c r="AK31" s="1299">
        <f>(IF('Section Load'!AL34&gt;0,'Section Load'!AL34,0))</f>
        <v>119.13000000000466</v>
      </c>
      <c r="AL31" s="1299">
        <f>(IF('Section Load'!AM34&gt;0,'Section Load'!AM34,0))</f>
        <v>770</v>
      </c>
      <c r="AM31" s="1300">
        <f>(IF('Water Report'!$AG$7&gt;0,'Water Report'!$AG$7,0))</f>
        <v>56</v>
      </c>
      <c r="AN31" s="1300">
        <f>(IF('Water Report'!$AG$8&gt;0,'Water Report'!$AG$8,0))</f>
        <v>85</v>
      </c>
      <c r="AO31" s="1300">
        <f>(IF('Water Report'!$AG$9&gt;0,'Water Report'!$AG$9,0))</f>
        <v>74</v>
      </c>
      <c r="AP31" s="1300">
        <f>(IF('Water Report'!$AG$10&gt;0,'Water Report'!$DAG$10,0))</f>
        <v>0</v>
      </c>
      <c r="AQ31" s="1300">
        <f>(IF('Water Report'!$AG$11&gt;0,'Water Report'!$DAG$11,0))</f>
        <v>0</v>
      </c>
      <c r="AR31" s="1300">
        <f>(IF('Water Report'!$AG$13&gt;0,'Water Report'!$DAG$13,0))</f>
        <v>0</v>
      </c>
      <c r="AS31" s="1300">
        <f>(IF('Water Report'!$AG$14&gt;0,'Water Report'!$DAG$14,0))</f>
        <v>0</v>
      </c>
      <c r="AT31" s="1300">
        <f>(IF('Water Report'!$AG$15&gt;0,'Water Report'!$DAG$15,0))</f>
        <v>0</v>
      </c>
      <c r="AU31" s="1300">
        <f>(IF('Water Report'!$AG$17&gt;0,'Water Report'!$DAG$17,0))</f>
        <v>0</v>
      </c>
      <c r="AV31" s="1300">
        <f>(IF('Water Report'!$AG$18&gt;0,'Water Report'!$DAG$18,0))</f>
        <v>0</v>
      </c>
      <c r="AW31" s="1300">
        <f>(IF('Water Report'!$AG$19&gt;0,'Water Report'!$DAG$19,0))</f>
        <v>0</v>
      </c>
      <c r="AX31" s="1379">
        <f>(IF('Water Report'!$AG$21&gt;0,'Water Report'!$DAG$21,0))</f>
        <v>0</v>
      </c>
      <c r="AY31" s="1379">
        <f>(IF('Water Report'!$AG$22&gt;0,'Water Report'!$DAG$22,0))</f>
        <v>0</v>
      </c>
      <c r="AZ31" s="1379">
        <f>(IF('Water Report'!$AG$23&gt;0,'Water Report'!$DAG$23,0))</f>
        <v>0</v>
      </c>
      <c r="BA31" s="1379">
        <f>(IF('Water Report'!$AG$14&gt;0,'Water Report'!$DAG$14,0))</f>
        <v>0</v>
      </c>
      <c r="BB31" s="1379">
        <f>(IF('Water Report'!$AG$15&gt;0,'Water Report'!$DAG$15,0))</f>
        <v>0</v>
      </c>
      <c r="BC31" s="1379">
        <f>(IF('Water Report'!$AG$13&gt;0,'Water Report'!$DAG$13,0))</f>
        <v>0</v>
      </c>
      <c r="BD31" s="1379">
        <f>(IF('Water Report'!$AG$24&gt;0,'Water Report'!$DAG$24,0))</f>
        <v>0</v>
      </c>
      <c r="BE31" s="1379">
        <f>(IF('Water Report'!$AG$25&gt;0,'Water Report'!$DAG$25,0))</f>
        <v>0</v>
      </c>
      <c r="BF31" s="1379">
        <f>(IF('Water Report'!$AG$27&gt;0,'Water Report'!$DAG$27,0))</f>
        <v>0</v>
      </c>
      <c r="BG31" s="1301">
        <f>(IF('Section Load'!AN34&gt;0,'Section Load'!AN34,0))</f>
        <v>476.70999999996275</v>
      </c>
      <c r="BH31" s="1301">
        <f>(IF('Section Load'!AO34&gt;0,'Section Load'!AO34,0))</f>
        <v>192.41999999992549</v>
      </c>
      <c r="BI31" s="1301">
        <f>(IF('Section Load'!AP34&gt;0,'Section Load'!AP34,0))</f>
        <v>0.39999999999417923</v>
      </c>
      <c r="BJ31" s="1301">
        <f>(IF('Section Load'!AQ34&gt;0,'Section Load'!AQ34,0))</f>
        <v>77.440000000002328</v>
      </c>
      <c r="BK31" s="1301">
        <f>(IF('Section Load'!AR34&gt;0,'Section Load'!AR34,0))</f>
        <v>0</v>
      </c>
      <c r="BL31" s="1301">
        <f>(IF('Section Load'!AS34&gt;0,'Section Load'!AS34,0))</f>
        <v>0</v>
      </c>
      <c r="BM31" s="1301">
        <f>(IF('Section Load'!AT34&gt;0,'Section Load'!AT34,0))</f>
        <v>206.45000000004075</v>
      </c>
    </row>
    <row r="32" spans="1:65">
      <c r="A32" s="1283" t="s">
        <v>301</v>
      </c>
      <c r="B32" s="1284">
        <f t="shared" si="0"/>
        <v>31</v>
      </c>
      <c r="C32" s="1284">
        <v>4</v>
      </c>
      <c r="D32" s="1284">
        <v>2021</v>
      </c>
      <c r="E32" s="1299">
        <f>(IF('Section Load'!F35&gt;0,'Section Load'!F35,0))</f>
        <v>0</v>
      </c>
      <c r="F32" s="1299">
        <f>(IF('Section Load'!G35&gt;0,'Section Load'!G35,0))</f>
        <v>0</v>
      </c>
      <c r="G32" s="1299">
        <f>(IF('Section Load'!H35&gt;0,'Section Load'!H35,0))</f>
        <v>1895</v>
      </c>
      <c r="H32" s="1299">
        <f>(IF('Section Load'!I35&gt;0,'Section Load'!I35,0))</f>
        <v>0</v>
      </c>
      <c r="I32" s="1299">
        <f>(IF('Section Load'!J35&gt;0,'Section Load'!J35,0))</f>
        <v>0</v>
      </c>
      <c r="J32" s="1299">
        <f>(IF('Section Load'!K35&gt;0,'Section Load'!K35,0))</f>
        <v>0</v>
      </c>
      <c r="K32" s="1299">
        <f>(IF('Section Load'!L35&gt;0,'Section Load'!L35,0))</f>
        <v>0</v>
      </c>
      <c r="L32" s="1299">
        <f>(IF('Section Load'!M35&gt;0,'Section Load'!M35,0))</f>
        <v>0</v>
      </c>
      <c r="M32" s="1299">
        <f>(IF('Section Load'!N35&gt;0,'Section Load'!N35,0))</f>
        <v>0</v>
      </c>
      <c r="N32" s="1299">
        <f>(IF('Section Load'!O35&gt;0,'Section Load'!O35,0))</f>
        <v>0</v>
      </c>
      <c r="O32" s="1299">
        <f>(IF('Section Load'!P35&gt;0,'Section Load'!P35,0))</f>
        <v>0</v>
      </c>
      <c r="P32" s="1299">
        <f>(IF('Section Load'!Q35&gt;0,'Section Load'!Q35,0))</f>
        <v>0</v>
      </c>
      <c r="Q32" s="1299">
        <f>(IF('Section Load'!R35&gt;0,'Section Load'!R35,0))</f>
        <v>0</v>
      </c>
      <c r="R32" s="1299">
        <f>(IF('Section Load'!S35&gt;0,'Section Load'!S35,0))</f>
        <v>0</v>
      </c>
      <c r="S32" s="1299">
        <f>(IF('Section Load'!T35&gt;0,'Section Load'!T35,0))</f>
        <v>0</v>
      </c>
      <c r="T32" s="1299">
        <f>(IF('Section Load'!U35&gt;0,'Section Load'!U35,0))</f>
        <v>0</v>
      </c>
      <c r="U32" s="1299">
        <f>(IF('Section Load'!V35&gt;0,'Section Load'!V35,0))</f>
        <v>0</v>
      </c>
      <c r="V32" s="1299">
        <f>(IF('Section Load'!W35&gt;0,'Section Load'!W35,0))</f>
        <v>0</v>
      </c>
      <c r="W32" s="1299">
        <f>(IF('Section Load'!X35&gt;0,'Section Load'!X35,0))</f>
        <v>0</v>
      </c>
      <c r="X32" s="1299">
        <f>(IF('Section Load'!Y35&gt;0,'Section Load'!Y35,0))</f>
        <v>0</v>
      </c>
      <c r="Y32" s="1299">
        <f>(IF('Section Load'!Z35&gt;0,'Section Load'!Z35,0))</f>
        <v>0</v>
      </c>
      <c r="Z32" s="1299">
        <f>(IF('Section Load'!AA35&gt;0,'Section Load'!AA35,0))</f>
        <v>0</v>
      </c>
      <c r="AA32" s="1299">
        <f>(IF('Section Load'!AB35&gt;0,'Section Load'!AB35,0))</f>
        <v>0</v>
      </c>
      <c r="AB32" s="1299">
        <f>(IF('Section Load'!AC35&gt;0,'Section Load'!AC35,0))</f>
        <v>0</v>
      </c>
      <c r="AC32" s="1299">
        <f>(IF('Section Load'!AD35&gt;0,'Section Load'!AD35,0))</f>
        <v>0</v>
      </c>
      <c r="AD32" s="1299">
        <f>(IF('Section Load'!AE35&gt;0,'Section Load'!AE35,0))</f>
        <v>0</v>
      </c>
      <c r="AE32" s="1299">
        <f>(IF('Section Load'!AF35&gt;0,'Section Load'!AF35,0))</f>
        <v>0</v>
      </c>
      <c r="AF32" s="1299">
        <f>(IF('Section Load'!AG35&gt;0,'Section Load'!AG35,0))</f>
        <v>0</v>
      </c>
      <c r="AG32" s="1299">
        <f>(IF('Section Load'!AH35&gt;0,'Section Load'!AH35,0))</f>
        <v>0</v>
      </c>
      <c r="AH32" s="1299">
        <f>(IF('Section Load'!AI35&gt;0,'Section Load'!AI35,0))</f>
        <v>0</v>
      </c>
      <c r="AI32" s="1299">
        <f>(IF('Section Load'!AJ35&gt;0,'Section Load'!AJ35,0))</f>
        <v>0</v>
      </c>
      <c r="AJ32" s="1299">
        <f>(IF('Section Load'!AK35&gt;0,'Section Load'!AK35,0))</f>
        <v>0</v>
      </c>
      <c r="AK32" s="1299">
        <f>(IF('Section Load'!AL35&gt;0,'Section Load'!AL35,0))</f>
        <v>0</v>
      </c>
      <c r="AL32" s="1299">
        <f>(IF('Section Load'!AM35&gt;0,'Section Load'!AM35,0))</f>
        <v>0</v>
      </c>
      <c r="AM32" s="1300">
        <f>(IF('Water Report'!$AH$7&gt;0,'Water Report'!$AH$7,0))</f>
        <v>0</v>
      </c>
      <c r="AN32" s="1300">
        <f>(IF('Water Report'!$AH$8&gt;0,'Water Report'!$AH$8,0))</f>
        <v>0</v>
      </c>
      <c r="AO32" s="1300">
        <f>(IF('Water Report'!$AH$9&gt;0,'Water Report'!$AH$9,0))</f>
        <v>0</v>
      </c>
      <c r="AP32" s="1300">
        <f>(IF('Water Report'!$AH$10&gt;0,'Water Report'!$DAH$10,0))</f>
        <v>0</v>
      </c>
      <c r="AQ32" s="1300">
        <f>(IF('Water Report'!$AH$11&gt;0,'Water Report'!$DAH$11,0))</f>
        <v>0</v>
      </c>
      <c r="AR32" s="1300">
        <f>(IF('Water Report'!$AH$13&gt;0,'Water Report'!$DAH$13,0))</f>
        <v>0</v>
      </c>
      <c r="AS32" s="1300">
        <f>(IF('Water Report'!$AH$14&gt;0,'Water Report'!$DAH$14,0))</f>
        <v>0</v>
      </c>
      <c r="AT32" s="1300">
        <f>(IF('Water Report'!$AH$15&gt;0,'Water Report'!$DAH$15,0))</f>
        <v>0</v>
      </c>
      <c r="AU32" s="1300">
        <f>(IF('Water Report'!$AH$17&gt;0,'Water Report'!$DAH$17,0))</f>
        <v>0</v>
      </c>
      <c r="AV32" s="1300">
        <f>(IF('Water Report'!$AH$18&gt;0,'Water Report'!$DAH$18,0))</f>
        <v>0</v>
      </c>
      <c r="AW32" s="1300">
        <f>(IF('Water Report'!$AH$19&gt;0,'Water Report'!$DAH$19,0))</f>
        <v>0</v>
      </c>
      <c r="AX32" s="1379">
        <f>(IF('Water Report'!$AH$21&gt;0,'Water Report'!$DAH$21,0))</f>
        <v>0</v>
      </c>
      <c r="AY32" s="1379">
        <f>(IF('Water Report'!$AH$22&gt;0,'Water Report'!$DAH$22,0))</f>
        <v>0</v>
      </c>
      <c r="AZ32" s="1379">
        <f>(IF('Water Report'!$AH$23&gt;0,'Water Report'!$DAH$23,0))</f>
        <v>0</v>
      </c>
      <c r="BA32" s="1379">
        <f>(IF('Water Report'!$AH$14&gt;0,'Water Report'!$DAH$14,0))</f>
        <v>0</v>
      </c>
      <c r="BB32" s="1379">
        <f>(IF('Water Report'!$AH$15&gt;0,'Water Report'!$DAH$15,0))</f>
        <v>0</v>
      </c>
      <c r="BC32" s="1379">
        <f>(IF('Water Report'!$AH$13&gt;0,'Water Report'!$DAH$13,0))</f>
        <v>0</v>
      </c>
      <c r="BD32" s="1379">
        <f>(IF('Water Report'!$AH$24&gt;0,'Water Report'!$DAH$24,0))</f>
        <v>0</v>
      </c>
      <c r="BE32" s="1379">
        <f>(IF('Water Report'!$AH$25&gt;0,'Water Report'!$DAH$25,0))</f>
        <v>0</v>
      </c>
      <c r="BF32" s="1379">
        <f>(IF('Water Report'!$AH$27&gt;0,'Water Report'!$DAH$27,0))</f>
        <v>0</v>
      </c>
      <c r="BG32" s="1301">
        <f>(IF('Section Load'!AN35&gt;0,'Section Load'!AN35,0))</f>
        <v>0</v>
      </c>
      <c r="BH32" s="1301">
        <f>(IF('Section Load'!AO35&gt;0,'Section Load'!AO35,0))</f>
        <v>0</v>
      </c>
      <c r="BI32" s="1301">
        <f>(IF('Section Load'!AP35&gt;0,'Section Load'!AP35,0))</f>
        <v>0</v>
      </c>
      <c r="BJ32" s="1301">
        <f>(IF('Section Load'!AQ35&gt;0,'Section Load'!AQ35,0))</f>
        <v>0</v>
      </c>
      <c r="BK32" s="1301">
        <f>(IF('Section Load'!AR35&gt;0,'Section Load'!AR35,0))</f>
        <v>28484</v>
      </c>
      <c r="BL32" s="1301">
        <f>(IF('Section Load'!AS35&gt;0,'Section Load'!AS35,0))</f>
        <v>0</v>
      </c>
      <c r="BM32" s="1301">
        <f>(IF('Section Load'!AT35&gt;0,'Section Load'!AT35,0))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BV33" sqref="BV3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81"/>
      <c r="B1" s="1481"/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  <c r="P1" s="1481"/>
      <c r="Q1" s="1481"/>
      <c r="R1" s="1481"/>
      <c r="S1" s="1481"/>
      <c r="T1" s="1481"/>
      <c r="U1" s="1481"/>
      <c r="V1" s="1481"/>
      <c r="W1" s="1481"/>
      <c r="X1" s="1481"/>
      <c r="Y1" s="1481"/>
      <c r="Z1" s="1481"/>
      <c r="AA1" s="1481"/>
      <c r="AB1" s="1481"/>
      <c r="AC1" s="1481"/>
      <c r="AD1" s="1481"/>
      <c r="AE1" s="1481"/>
      <c r="AF1" s="1481"/>
      <c r="AG1" s="1481"/>
      <c r="AH1" s="1481"/>
      <c r="AI1" s="1481"/>
      <c r="AJ1" s="1481"/>
      <c r="AK1" s="1481"/>
      <c r="AL1" s="1481"/>
      <c r="AM1" s="1481"/>
      <c r="AN1" s="1481"/>
      <c r="AO1" s="1481"/>
      <c r="AP1" s="1481"/>
      <c r="AQ1" s="1481"/>
      <c r="AR1" s="1481"/>
      <c r="AS1" s="1481"/>
      <c r="AT1" s="1481"/>
      <c r="AU1" s="1481"/>
      <c r="AV1" s="1481"/>
      <c r="AW1" s="1481"/>
      <c r="AX1" s="1481"/>
      <c r="AY1" s="1481"/>
      <c r="AZ1" s="1481"/>
      <c r="BA1" s="1481"/>
      <c r="BB1" s="1481"/>
      <c r="BC1" s="1481"/>
      <c r="BD1" s="1481"/>
      <c r="BE1" s="1481"/>
      <c r="BF1" s="1481"/>
      <c r="BG1" s="1481"/>
      <c r="BH1" s="1481"/>
      <c r="BI1" s="1481"/>
      <c r="BJ1" s="1481"/>
      <c r="BK1" s="1481"/>
      <c r="BL1" s="1481"/>
      <c r="BM1" s="1481"/>
      <c r="BN1" s="1481"/>
      <c r="BO1" s="1481"/>
    </row>
    <row r="2" spans="1:70" ht="28.5" customHeight="1">
      <c r="A2" s="1" t="s">
        <v>0</v>
      </c>
      <c r="B2" s="1" t="s">
        <v>0</v>
      </c>
      <c r="C2" s="1118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482" t="s">
        <v>6</v>
      </c>
      <c r="J2" s="1482"/>
      <c r="K2" s="1482"/>
      <c r="L2" s="237"/>
      <c r="M2" s="1483" t="s">
        <v>7</v>
      </c>
      <c r="N2" s="1483"/>
      <c r="O2" s="1483"/>
      <c r="P2" s="1484" t="s">
        <v>8</v>
      </c>
      <c r="Q2" s="1484"/>
      <c r="R2" s="1484"/>
      <c r="S2" s="237" t="s">
        <v>9</v>
      </c>
      <c r="T2" s="1485" t="s">
        <v>10</v>
      </c>
      <c r="U2" s="1485"/>
      <c r="V2" s="1485"/>
      <c r="W2" s="1486" t="s">
        <v>11</v>
      </c>
      <c r="X2" s="1487"/>
      <c r="Y2" s="1488"/>
      <c r="Z2" s="1117"/>
      <c r="AA2" s="1489" t="s">
        <v>12</v>
      </c>
      <c r="AB2" s="1489"/>
      <c r="AC2" s="1489"/>
      <c r="AD2" s="1489"/>
      <c r="AE2" s="1118"/>
      <c r="AF2" s="1118" t="s">
        <v>13</v>
      </c>
      <c r="AG2" s="1118" t="s">
        <v>14</v>
      </c>
      <c r="AH2" s="1489" t="s">
        <v>15</v>
      </c>
      <c r="AI2" s="1489"/>
      <c r="AJ2" s="1489"/>
      <c r="AK2" s="1118" t="s">
        <v>16</v>
      </c>
      <c r="AL2" s="1489" t="s">
        <v>17</v>
      </c>
      <c r="AM2" s="1489"/>
      <c r="AN2" s="1489"/>
      <c r="AO2" s="1118" t="s">
        <v>18</v>
      </c>
      <c r="AP2" s="5" t="s">
        <v>19</v>
      </c>
      <c r="AQ2" s="1490" t="s">
        <v>20</v>
      </c>
      <c r="AR2" s="1491"/>
      <c r="AS2" s="1491"/>
      <c r="AT2" s="1491"/>
      <c r="AU2" s="1491"/>
      <c r="AV2" s="1491"/>
      <c r="AW2" s="1491"/>
      <c r="AX2" s="1491"/>
      <c r="AY2" s="1491"/>
      <c r="AZ2" s="1492"/>
      <c r="BA2" s="1490" t="s">
        <v>21</v>
      </c>
      <c r="BB2" s="1491"/>
      <c r="BC2" s="1491"/>
      <c r="BD2" s="1491"/>
      <c r="BE2" s="1491"/>
      <c r="BF2" s="1491"/>
      <c r="BG2" s="1491"/>
      <c r="BH2" s="1491"/>
      <c r="BI2" s="1491"/>
      <c r="BJ2" s="438"/>
      <c r="BK2" s="420"/>
      <c r="BL2" s="232"/>
      <c r="BM2" s="232"/>
      <c r="BN2" s="232"/>
      <c r="BO2" s="1118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0.84</v>
      </c>
      <c r="G4" s="19">
        <f>'1'!G8</f>
        <v>16053</v>
      </c>
      <c r="H4" s="19">
        <f>'1'!G8</f>
        <v>16053</v>
      </c>
      <c r="I4" s="19">
        <f>'1'!G7</f>
        <v>15988</v>
      </c>
      <c r="J4" s="19">
        <f>'1'!F27</f>
        <v>9</v>
      </c>
      <c r="K4" s="242">
        <f>H4*J4</f>
        <v>144477</v>
      </c>
      <c r="L4" s="238">
        <f>I4/202</f>
        <v>79.148514851485146</v>
      </c>
      <c r="M4" s="19">
        <f>'1'!G15</f>
        <v>334</v>
      </c>
      <c r="N4" s="19">
        <v>35</v>
      </c>
      <c r="O4" s="238">
        <f>M4*N4</f>
        <v>11690</v>
      </c>
      <c r="P4" s="19">
        <f>'1'!G20</f>
        <v>136</v>
      </c>
      <c r="Q4" s="19">
        <v>134</v>
      </c>
      <c r="R4" s="239">
        <f t="shared" ref="R4:R33" si="0">P4*Q4</f>
        <v>18224</v>
      </c>
      <c r="S4" s="240">
        <f t="shared" ref="S4:S33" si="1">P4/(F4*202/100)</f>
        <v>80.150872230080154</v>
      </c>
      <c r="T4" s="19">
        <f>'1'!G24</f>
        <v>0</v>
      </c>
      <c r="U4" s="19">
        <v>69</v>
      </c>
      <c r="V4" s="241">
        <f>T4*U4</f>
        <v>0</v>
      </c>
      <c r="W4" s="22">
        <f>'1'!G96</f>
        <v>72</v>
      </c>
      <c r="X4" s="22">
        <f>'1'!G97</f>
        <v>12</v>
      </c>
      <c r="Y4" s="22">
        <f>'1'!G98</f>
        <v>17</v>
      </c>
      <c r="Z4" s="22">
        <f>W4+X4+Y4</f>
        <v>101</v>
      </c>
      <c r="AA4" s="19">
        <f>'1'!G133</f>
        <v>23.849999999998545</v>
      </c>
      <c r="AB4" s="19">
        <f>'1'!G134</f>
        <v>0</v>
      </c>
      <c r="AC4" s="19">
        <f>'1'!G135</f>
        <v>0</v>
      </c>
      <c r="AD4" s="19">
        <f>'1'!G136</f>
        <v>0</v>
      </c>
      <c r="AE4" s="19">
        <f>AA4+AB4+AC4+AD4</f>
        <v>23.849999999998545</v>
      </c>
      <c r="AF4" s="23">
        <f t="shared" ref="AF4:AF33" si="2">AV4+AW4+BF4+BG4</f>
        <v>4654.5300000000279</v>
      </c>
      <c r="AG4" s="23">
        <f>AF4/AE4</f>
        <v>195.1584905660508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8.8800000000001091</v>
      </c>
      <c r="AM4" s="19">
        <f>'1'!G141</f>
        <v>0</v>
      </c>
      <c r="AN4" s="19"/>
      <c r="AO4" s="19">
        <f>AL4+AM4</f>
        <v>8.8800000000001091</v>
      </c>
      <c r="AP4" s="258">
        <f>'1'!G124</f>
        <v>232.54000000003725</v>
      </c>
      <c r="AQ4" s="261">
        <f>'1'!G35</f>
        <v>2168</v>
      </c>
      <c r="AR4" s="19">
        <f>'1'!G37</f>
        <v>1282</v>
      </c>
      <c r="AS4" s="19">
        <f>'1'!G38</f>
        <v>1352</v>
      </c>
      <c r="AT4" s="19">
        <f>'1'!G39</f>
        <v>1924</v>
      </c>
      <c r="AU4" s="19">
        <f>'1'!G40</f>
        <v>0</v>
      </c>
      <c r="AV4" s="19">
        <f>'1'!G41</f>
        <v>4655</v>
      </c>
      <c r="AW4" s="19">
        <f>'1'!G42</f>
        <v>0</v>
      </c>
      <c r="AX4" s="19">
        <f>'1'!G43</f>
        <v>2319</v>
      </c>
      <c r="AY4" s="19">
        <f>'1'!G44</f>
        <v>0</v>
      </c>
      <c r="AZ4" s="262">
        <f>'1'!G36</f>
        <v>391</v>
      </c>
      <c r="BA4" s="261">
        <f>'1'!G49</f>
        <v>-0.13000000000465661</v>
      </c>
      <c r="BB4" s="19">
        <f>'1'!G51</f>
        <v>0</v>
      </c>
      <c r="BC4" s="19">
        <f>'1'!G52</f>
        <v>0</v>
      </c>
      <c r="BD4" s="19">
        <f>'1'!G53</f>
        <v>671</v>
      </c>
      <c r="BE4" s="19">
        <f>'1'!G54</f>
        <v>74</v>
      </c>
      <c r="BF4" s="19">
        <f>'1'!G55</f>
        <v>0</v>
      </c>
      <c r="BG4" s="19">
        <f>'1'!G56</f>
        <v>-0.46999999997206032</v>
      </c>
      <c r="BH4" s="19">
        <f>'1'!G57</f>
        <v>0</v>
      </c>
      <c r="BI4" s="262">
        <f>'1'!G50</f>
        <v>949</v>
      </c>
      <c r="BJ4" s="370">
        <f>SUM(AV4,AW4,BF4,BG4)</f>
        <v>4654.5300000000279</v>
      </c>
      <c r="BK4" s="370">
        <f>'1'!G84</f>
        <v>715</v>
      </c>
      <c r="BL4" s="23">
        <f>SUM(AQ4,AV4,AW4,AX4,BA4,BF4,BG4,BH4)/I4%</f>
        <v>57.176632474355912</v>
      </c>
      <c r="BM4" s="23">
        <f>SUM(AT4,BD4)/I4%</f>
        <v>16.230923192394297</v>
      </c>
      <c r="BN4" s="24">
        <f>(AS4+BC4)/I4</f>
        <v>8.45634225669252E-2</v>
      </c>
      <c r="BO4" s="25">
        <f>K4+O4+R4+V4</f>
        <v>174391</v>
      </c>
      <c r="BP4" s="213">
        <f>SUM(AV4,AW4,AX4,BF4,BG4,BH4,BK4)</f>
        <v>7688.5300000000279</v>
      </c>
      <c r="BQ4">
        <f>BP4/(AE4*280)</f>
        <v>1.1513222521713833</v>
      </c>
      <c r="BR4" s="213">
        <f>SUM(AV4,AW4,BF4,BG4)/(AE4*400)</f>
        <v>0.48789622641512703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16031</v>
      </c>
      <c r="H5" s="19">
        <f>'2'!G8</f>
        <v>16031</v>
      </c>
      <c r="I5" s="19">
        <f>'2'!G7</f>
        <v>15961</v>
      </c>
      <c r="J5" s="19">
        <v>10</v>
      </c>
      <c r="K5" s="242">
        <f t="shared" ref="K5:K33" si="3">H5*J5</f>
        <v>160310</v>
      </c>
      <c r="L5" s="238">
        <f t="shared" ref="L5:L33" si="4">I5/202</f>
        <v>79.014851485148512</v>
      </c>
      <c r="M5" s="19">
        <f>'2'!G15</f>
        <v>445</v>
      </c>
      <c r="N5" s="19">
        <v>35</v>
      </c>
      <c r="O5" s="238">
        <f t="shared" ref="O5:O33" si="5">M5*N5</f>
        <v>15575</v>
      </c>
      <c r="P5" s="19">
        <f>'2'!G20</f>
        <v>111</v>
      </c>
      <c r="Q5" s="19">
        <v>134</v>
      </c>
      <c r="R5" s="239">
        <f t="shared" si="0"/>
        <v>14874</v>
      </c>
      <c r="S5" s="240">
        <f t="shared" si="1"/>
        <v>91.584158415841586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42</v>
      </c>
      <c r="X5" s="22">
        <f>'2'!G97</f>
        <v>12</v>
      </c>
      <c r="Y5" s="22">
        <f>'2'!G98</f>
        <v>18</v>
      </c>
      <c r="Z5" s="22">
        <f t="shared" ref="Z5:Z33" si="7">W5+X5+Y5</f>
        <v>72</v>
      </c>
      <c r="AA5" s="19">
        <f>'2'!G133</f>
        <v>23.979999999995925</v>
      </c>
      <c r="AB5" s="19">
        <f>'2'!G134</f>
        <v>0</v>
      </c>
      <c r="AC5" s="19">
        <f>'2'!G135</f>
        <v>0</v>
      </c>
      <c r="AD5" s="19">
        <f>'2'!G136</f>
        <v>0</v>
      </c>
      <c r="AE5" s="19">
        <f t="shared" ref="AE5:AE33" si="8">AA5+AB5+AC5+AD5</f>
        <v>23.979999999995925</v>
      </c>
      <c r="AF5" s="23">
        <f t="shared" si="2"/>
        <v>5001</v>
      </c>
      <c r="AG5" s="23">
        <f t="shared" ref="AG5:AG33" si="9">AF5/AE5</f>
        <v>208.54879065891782</v>
      </c>
      <c r="AH5" s="19">
        <f>'2'!G137</f>
        <v>2.7099999999991269</v>
      </c>
      <c r="AI5" s="19">
        <f>'2'!G138</f>
        <v>0</v>
      </c>
      <c r="AJ5" s="19">
        <f>'2'!G139</f>
        <v>0</v>
      </c>
      <c r="AK5" s="19">
        <f t="shared" ref="AK5:AK33" si="10">AH5+AI5+AJ5</f>
        <v>2.7099999999991269</v>
      </c>
      <c r="AL5" s="19">
        <f>'2'!G140</f>
        <v>7.8099999999999454</v>
      </c>
      <c r="AM5" s="19">
        <f>'2'!G141</f>
        <v>0</v>
      </c>
      <c r="AN5" s="19"/>
      <c r="AO5" s="19">
        <f t="shared" ref="AO5:AO33" si="11">AL5+AM5</f>
        <v>7.8099999999999454</v>
      </c>
      <c r="AP5" s="258">
        <f>'2'!G124</f>
        <v>203</v>
      </c>
      <c r="AQ5" s="261">
        <f>'2'!G35</f>
        <v>2008</v>
      </c>
      <c r="AR5" s="19">
        <f>'2'!G37</f>
        <v>1264</v>
      </c>
      <c r="AS5" s="19">
        <f>'2'!G38</f>
        <v>1301</v>
      </c>
      <c r="AT5" s="19">
        <f>'2'!G39</f>
        <v>1888</v>
      </c>
      <c r="AU5" s="19">
        <f>'2'!G40</f>
        <v>0</v>
      </c>
      <c r="AV5" s="19">
        <f>'2'!G41</f>
        <v>5001</v>
      </c>
      <c r="AW5" s="19">
        <f>'2'!G42</f>
        <v>0</v>
      </c>
      <c r="AX5" s="19">
        <f>'2'!G43</f>
        <v>2231</v>
      </c>
      <c r="AY5" s="19">
        <f>'2'!G44</f>
        <v>0</v>
      </c>
      <c r="AZ5" s="262">
        <f>'2'!G36</f>
        <v>385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553</v>
      </c>
      <c r="BE5" s="19">
        <f>'2'!G54</f>
        <v>74</v>
      </c>
      <c r="BF5" s="19">
        <f>'2'!G55</f>
        <v>0</v>
      </c>
      <c r="BG5" s="19">
        <f>'2'!G56</f>
        <v>0</v>
      </c>
      <c r="BH5" s="19">
        <f>'2'!G57</f>
        <v>0</v>
      </c>
      <c r="BI5" s="262">
        <f>'2'!G50</f>
        <v>884</v>
      </c>
      <c r="BJ5" s="370">
        <f t="shared" ref="BJ5:BJ32" si="12">SUM(AV5,AW5,BF5,BG5)</f>
        <v>5001</v>
      </c>
      <c r="BK5" s="370">
        <f>'2'!G84</f>
        <v>712</v>
      </c>
      <c r="BL5" s="23">
        <f t="shared" ref="BL5:BL33" si="13">SUM(AQ5,AV5,AW5,AX5,BA5,BF5,BG5,BH5)/I5%</f>
        <v>57.891924064908238</v>
      </c>
      <c r="BM5" s="23">
        <f t="shared" ref="BM5:BM33" si="14">SUM(AT5,BD5)/I5%</f>
        <v>15.293527974437691</v>
      </c>
      <c r="BN5" s="24">
        <f t="shared" ref="BN5:BN33" si="15">(AS5+BC5)/I5</f>
        <v>8.1511183509805143E-2</v>
      </c>
      <c r="BO5" s="25">
        <f t="shared" ref="BO5:BO33" si="16">K5+O5+R5+V5</f>
        <v>190759</v>
      </c>
      <c r="BP5" s="213">
        <f t="shared" ref="BP5:BP35" si="17">SUM(AV5,AW5,AX5,BF5,BG5,BH5,BK5)</f>
        <v>7944</v>
      </c>
      <c r="BQ5">
        <f t="shared" ref="BQ5:BQ35" si="18">BP5/(AE5*280)</f>
        <v>1.1831287978078979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16089</v>
      </c>
      <c r="H6" s="19">
        <f>'3'!G8</f>
        <v>16089</v>
      </c>
      <c r="I6" s="19">
        <f>'3'!G7</f>
        <v>16029</v>
      </c>
      <c r="J6" s="19">
        <v>10</v>
      </c>
      <c r="K6" s="242">
        <f t="shared" si="3"/>
        <v>160890</v>
      </c>
      <c r="L6" s="238">
        <f t="shared" si="4"/>
        <v>79.351485148514854</v>
      </c>
      <c r="M6" s="19">
        <f>'3'!G15</f>
        <v>438</v>
      </c>
      <c r="N6" s="19">
        <v>35</v>
      </c>
      <c r="O6" s="238">
        <f t="shared" si="5"/>
        <v>15330</v>
      </c>
      <c r="P6" s="19">
        <f>'3'!G20</f>
        <v>116</v>
      </c>
      <c r="Q6" s="19">
        <v>134</v>
      </c>
      <c r="R6" s="239">
        <f t="shared" si="0"/>
        <v>15544</v>
      </c>
      <c r="S6" s="240">
        <f t="shared" si="1"/>
        <v>100.74691679694287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61</v>
      </c>
      <c r="X6" s="22">
        <f>'3'!G97</f>
        <v>17</v>
      </c>
      <c r="Y6" s="22">
        <f>'3'!G98</f>
        <v>15</v>
      </c>
      <c r="Z6" s="22">
        <f>W6+X6+Y6</f>
        <v>93</v>
      </c>
      <c r="AA6" s="19">
        <f>'3'!G133</f>
        <v>24</v>
      </c>
      <c r="AB6" s="19">
        <f>'3'!G134</f>
        <v>0</v>
      </c>
      <c r="AC6" s="19">
        <f>'3'!G135</f>
        <v>0</v>
      </c>
      <c r="AD6" s="19">
        <f>'3'!G136</f>
        <v>0</v>
      </c>
      <c r="AE6" s="19">
        <f t="shared" si="8"/>
        <v>24</v>
      </c>
      <c r="AF6" s="23">
        <f t="shared" si="2"/>
        <v>4821</v>
      </c>
      <c r="AG6" s="23">
        <f t="shared" si="9"/>
        <v>200.875</v>
      </c>
      <c r="AH6" s="19">
        <f>'3'!G137</f>
        <v>0</v>
      </c>
      <c r="AI6" s="19">
        <f>'3'!G138</f>
        <v>0.40000000000145519</v>
      </c>
      <c r="AJ6" s="19">
        <f>'3'!G139</f>
        <v>9.0100000000093132</v>
      </c>
      <c r="AK6" s="19">
        <f t="shared" si="10"/>
        <v>9.4100000000107684</v>
      </c>
      <c r="AL6" s="19">
        <f>'3'!G140</f>
        <v>7.4000000000000909</v>
      </c>
      <c r="AM6" s="19">
        <f>'3'!G141</f>
        <v>0</v>
      </c>
      <c r="AN6" s="19"/>
      <c r="AO6" s="19">
        <f t="shared" si="11"/>
        <v>7.4000000000000909</v>
      </c>
      <c r="AP6" s="258">
        <f>'3'!G124</f>
        <v>197</v>
      </c>
      <c r="AQ6" s="261">
        <f>'3'!G35</f>
        <v>2174</v>
      </c>
      <c r="AR6" s="19">
        <f>'3'!G37</f>
        <v>1224</v>
      </c>
      <c r="AS6" s="19">
        <f>'3'!G38</f>
        <v>1342</v>
      </c>
      <c r="AT6" s="19">
        <f>'3'!G39</f>
        <v>1807</v>
      </c>
      <c r="AU6" s="19">
        <f>'3'!G40</f>
        <v>0</v>
      </c>
      <c r="AV6" s="19">
        <f>'3'!G41</f>
        <v>4821</v>
      </c>
      <c r="AW6" s="19">
        <f>'3'!G42</f>
        <v>0</v>
      </c>
      <c r="AX6" s="19">
        <f>'3'!G43</f>
        <v>2220</v>
      </c>
      <c r="AY6" s="19">
        <f>'3'!G44</f>
        <v>0</v>
      </c>
      <c r="AZ6" s="262">
        <f>'3'!G36</f>
        <v>366</v>
      </c>
      <c r="BA6" s="261">
        <f>'3'!G49</f>
        <v>-0.13000000000465661</v>
      </c>
      <c r="BB6" s="19">
        <f>'3'!G51</f>
        <v>0</v>
      </c>
      <c r="BC6" s="19">
        <f>'3'!G52</f>
        <v>0</v>
      </c>
      <c r="BD6" s="19">
        <f>'3'!G53</f>
        <v>530</v>
      </c>
      <c r="BE6" s="19">
        <f>'3'!G54</f>
        <v>74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1056</v>
      </c>
      <c r="BJ6" s="370">
        <f t="shared" si="12"/>
        <v>4821</v>
      </c>
      <c r="BK6" s="370">
        <f>'3'!G84</f>
        <v>818</v>
      </c>
      <c r="BL6" s="23">
        <f t="shared" si="13"/>
        <v>57.488739160271983</v>
      </c>
      <c r="BM6" s="23">
        <f t="shared" si="14"/>
        <v>14.579824068875164</v>
      </c>
      <c r="BN6" s="24">
        <f t="shared" si="15"/>
        <v>8.3723251606463281E-2</v>
      </c>
      <c r="BO6" s="25">
        <f t="shared" si="16"/>
        <v>191764</v>
      </c>
      <c r="BP6" s="213">
        <f t="shared" si="17"/>
        <v>7859</v>
      </c>
      <c r="BQ6">
        <f t="shared" si="18"/>
        <v>1.1694940476190476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16226</v>
      </c>
      <c r="H7" s="19">
        <f>'4'!G8</f>
        <v>16226</v>
      </c>
      <c r="I7" s="19">
        <f>'4'!G7</f>
        <v>16163</v>
      </c>
      <c r="J7" s="19">
        <v>10</v>
      </c>
      <c r="K7" s="242">
        <f t="shared" si="3"/>
        <v>162260</v>
      </c>
      <c r="L7" s="238">
        <f t="shared" si="4"/>
        <v>80.014851485148512</v>
      </c>
      <c r="M7" s="19">
        <f>'4'!G15</f>
        <v>584</v>
      </c>
      <c r="N7" s="19">
        <v>35</v>
      </c>
      <c r="O7" s="238">
        <f t="shared" si="5"/>
        <v>20440</v>
      </c>
      <c r="P7" s="19">
        <f>'4'!G20</f>
        <v>107</v>
      </c>
      <c r="Q7" s="19">
        <v>134</v>
      </c>
      <c r="R7" s="239">
        <f t="shared" si="0"/>
        <v>14338</v>
      </c>
      <c r="S7" s="240">
        <f t="shared" si="1"/>
        <v>529.70297029702965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62</v>
      </c>
      <c r="X7" s="22">
        <f>'4'!G97</f>
        <v>9</v>
      </c>
      <c r="Y7" s="22">
        <f>'4'!G98</f>
        <v>18</v>
      </c>
      <c r="Z7" s="22">
        <f t="shared" si="7"/>
        <v>89</v>
      </c>
      <c r="AA7" s="19">
        <f>'4'!G133</f>
        <v>23.690000000002328</v>
      </c>
      <c r="AB7" s="19">
        <f>'4'!G134</f>
        <v>0</v>
      </c>
      <c r="AC7" s="19">
        <f>'4'!G135</f>
        <v>0</v>
      </c>
      <c r="AD7" s="19">
        <f>'4'!G136</f>
        <v>0</v>
      </c>
      <c r="AE7" s="19">
        <f t="shared" si="8"/>
        <v>23.690000000002328</v>
      </c>
      <c r="AF7" s="23">
        <f t="shared" si="2"/>
        <v>5147</v>
      </c>
      <c r="AG7" s="23">
        <f t="shared" si="9"/>
        <v>217.26466863653417</v>
      </c>
      <c r="AH7" s="19">
        <f>'4'!G137</f>
        <v>7.2099999999991269</v>
      </c>
      <c r="AI7" s="19">
        <f>'4'!G138</f>
        <v>-0.40000000000145519</v>
      </c>
      <c r="AJ7" s="19">
        <f>'4'!G139</f>
        <v>0</v>
      </c>
      <c r="AK7" s="19">
        <f t="shared" si="10"/>
        <v>6.8099999999976717</v>
      </c>
      <c r="AL7" s="19">
        <f>'4'!G140</f>
        <v>7.1299999999998818</v>
      </c>
      <c r="AM7" s="19">
        <f>'4'!G141</f>
        <v>0</v>
      </c>
      <c r="AN7" s="19"/>
      <c r="AO7" s="19">
        <f t="shared" si="11"/>
        <v>7.1299999999998818</v>
      </c>
      <c r="AP7" s="258">
        <f>'4'!G124</f>
        <v>189</v>
      </c>
      <c r="AQ7" s="261">
        <f>'4'!G35</f>
        <v>2161</v>
      </c>
      <c r="AR7" s="19">
        <f>'4'!G37</f>
        <v>1213</v>
      </c>
      <c r="AS7" s="19">
        <f>'4'!G38</f>
        <v>1255</v>
      </c>
      <c r="AT7" s="19">
        <f>'4'!G39</f>
        <v>1745</v>
      </c>
      <c r="AU7" s="19">
        <f>'4'!G40</f>
        <v>-0.23</v>
      </c>
      <c r="AV7" s="19">
        <f>'4'!G41</f>
        <v>5099</v>
      </c>
      <c r="AW7" s="19">
        <f>'4'!G42</f>
        <v>0</v>
      </c>
      <c r="AX7" s="19">
        <f>'4'!G43</f>
        <v>2199</v>
      </c>
      <c r="AY7" s="19">
        <f>'4'!G44</f>
        <v>0</v>
      </c>
      <c r="AZ7" s="262">
        <f>'4'!G36</f>
        <v>345</v>
      </c>
      <c r="BA7" s="261">
        <f>'4'!G49</f>
        <v>0</v>
      </c>
      <c r="BB7" s="19">
        <f>'4'!G51</f>
        <v>0</v>
      </c>
      <c r="BC7" s="19">
        <f>'4'!G52</f>
        <v>0</v>
      </c>
      <c r="BD7" s="19">
        <f>'4'!G53</f>
        <v>506</v>
      </c>
      <c r="BE7" s="19">
        <f>'4'!G54</f>
        <v>72</v>
      </c>
      <c r="BF7" s="19">
        <f>'4'!G55</f>
        <v>0</v>
      </c>
      <c r="BG7" s="19">
        <f>'4'!G56</f>
        <v>48</v>
      </c>
      <c r="BH7" s="19">
        <f>'4'!G57</f>
        <v>0</v>
      </c>
      <c r="BI7" s="262">
        <f>'4'!G50</f>
        <v>1029</v>
      </c>
      <c r="BJ7" s="370">
        <f t="shared" si="12"/>
        <v>5147</v>
      </c>
      <c r="BK7" s="370">
        <f>'3'!G84</f>
        <v>818</v>
      </c>
      <c r="BL7" s="23">
        <f t="shared" si="13"/>
        <v>58.819526078079569</v>
      </c>
      <c r="BM7" s="23">
        <f t="shared" si="14"/>
        <v>13.926870011755243</v>
      </c>
      <c r="BN7" s="24">
        <f t="shared" si="15"/>
        <v>7.7646476520447941E-2</v>
      </c>
      <c r="BO7" s="25">
        <f t="shared" si="16"/>
        <v>197038</v>
      </c>
      <c r="BP7" s="213">
        <f t="shared" si="17"/>
        <v>8164</v>
      </c>
      <c r="BQ7">
        <f t="shared" si="18"/>
        <v>1.2307785081105949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0.11</v>
      </c>
      <c r="G8" s="19">
        <f>'5'!G8</f>
        <v>15811</v>
      </c>
      <c r="H8" s="19">
        <f>'5'!G8</f>
        <v>15811</v>
      </c>
      <c r="I8" s="19">
        <f>'5'!G7</f>
        <v>15754</v>
      </c>
      <c r="J8" s="19">
        <v>10</v>
      </c>
      <c r="K8" s="242">
        <f t="shared" si="3"/>
        <v>158110</v>
      </c>
      <c r="L8" s="238">
        <f t="shared" si="4"/>
        <v>77.990099009900987</v>
      </c>
      <c r="M8" s="19">
        <f>'5'!G15</f>
        <v>287</v>
      </c>
      <c r="N8" s="19">
        <v>35</v>
      </c>
      <c r="O8" s="238">
        <f t="shared" si="5"/>
        <v>10045</v>
      </c>
      <c r="P8" s="19">
        <f>'5'!G20</f>
        <v>113</v>
      </c>
      <c r="Q8" s="19">
        <v>134</v>
      </c>
      <c r="R8" s="239">
        <f t="shared" si="0"/>
        <v>15142</v>
      </c>
      <c r="S8" s="240">
        <f t="shared" si="1"/>
        <v>508.5508550855086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31</v>
      </c>
      <c r="X8" s="22">
        <f>'5'!G97</f>
        <v>6</v>
      </c>
      <c r="Y8" s="22">
        <f>'5'!G98</f>
        <v>11</v>
      </c>
      <c r="Z8" s="22">
        <f t="shared" si="7"/>
        <v>48</v>
      </c>
      <c r="AA8" s="19">
        <f>'5'!G133</f>
        <v>24</v>
      </c>
      <c r="AB8" s="19">
        <f>'5'!G134</f>
        <v>0</v>
      </c>
      <c r="AC8" s="19">
        <f>'5'!G135</f>
        <v>0</v>
      </c>
      <c r="AD8" s="19">
        <f>'5'!G136</f>
        <v>0</v>
      </c>
      <c r="AE8" s="19">
        <f t="shared" si="8"/>
        <v>24</v>
      </c>
      <c r="AF8" s="23">
        <f t="shared" si="2"/>
        <v>4970</v>
      </c>
      <c r="AG8" s="23">
        <f t="shared" si="9"/>
        <v>207.08333333333334</v>
      </c>
      <c r="AH8" s="19">
        <f>'5'!G137</f>
        <v>0</v>
      </c>
      <c r="AI8" s="19">
        <f>'5'!G138</f>
        <v>0</v>
      </c>
      <c r="AJ8" s="19">
        <f>'5'!G139</f>
        <v>0</v>
      </c>
      <c r="AK8" s="19">
        <f t="shared" si="10"/>
        <v>0</v>
      </c>
      <c r="AL8" s="19">
        <f>'5'!G140</f>
        <v>7.7400000000000091</v>
      </c>
      <c r="AM8" s="19">
        <f>'5'!G141</f>
        <v>0</v>
      </c>
      <c r="AN8" s="19"/>
      <c r="AO8" s="19">
        <f t="shared" si="11"/>
        <v>7.7400000000000091</v>
      </c>
      <c r="AP8" s="258">
        <f>'5'!G124</f>
        <v>202</v>
      </c>
      <c r="AQ8" s="261">
        <f>'5'!G35</f>
        <v>2118</v>
      </c>
      <c r="AR8" s="19">
        <f>'5'!G37</f>
        <v>1190</v>
      </c>
      <c r="AS8" s="19">
        <f>'5'!G38</f>
        <v>1208</v>
      </c>
      <c r="AT8" s="19">
        <f>'5'!G39</f>
        <v>1710</v>
      </c>
      <c r="AU8" s="19">
        <f>'5'!G40</f>
        <v>0</v>
      </c>
      <c r="AV8" s="19">
        <f>'5'!G41</f>
        <v>4961</v>
      </c>
      <c r="AW8" s="19">
        <f>'5'!G42</f>
        <v>0</v>
      </c>
      <c r="AX8" s="19">
        <f>'5'!G43</f>
        <v>2244</v>
      </c>
      <c r="AY8" s="19">
        <f>'5'!G44</f>
        <v>0</v>
      </c>
      <c r="AZ8" s="262">
        <f>'5'!G36</f>
        <v>340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529</v>
      </c>
      <c r="BE8" s="19">
        <f>'5'!G54</f>
        <v>71</v>
      </c>
      <c r="BF8" s="19">
        <f>'5'!G55</f>
        <v>0</v>
      </c>
      <c r="BG8" s="19">
        <f>'5'!G56</f>
        <v>9</v>
      </c>
      <c r="BH8" s="19">
        <f>'5'!G57</f>
        <v>0</v>
      </c>
      <c r="BI8" s="262">
        <f>'5'!G50</f>
        <v>990</v>
      </c>
      <c r="BJ8" s="370">
        <f t="shared" si="12"/>
        <v>4970</v>
      </c>
      <c r="BK8" s="370">
        <f>'5'!G84</f>
        <v>782</v>
      </c>
      <c r="BL8" s="23">
        <f t="shared" si="13"/>
        <v>59.235749650882319</v>
      </c>
      <c r="BM8" s="23">
        <f t="shared" si="14"/>
        <v>14.21226355211375</v>
      </c>
      <c r="BN8" s="24">
        <f t="shared" si="15"/>
        <v>7.6678938682239434E-2</v>
      </c>
      <c r="BO8" s="25">
        <f t="shared" si="16"/>
        <v>183297</v>
      </c>
      <c r="BP8" s="213">
        <f t="shared" si="17"/>
        <v>7996</v>
      </c>
      <c r="BQ8">
        <f t="shared" si="18"/>
        <v>1.1898809523809524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0.1</v>
      </c>
      <c r="G9" s="19">
        <f>'6'!G8</f>
        <v>15655</v>
      </c>
      <c r="H9" s="19">
        <f>'6'!G8</f>
        <v>15655</v>
      </c>
      <c r="I9" s="19">
        <f>'6'!G7</f>
        <v>15577</v>
      </c>
      <c r="J9" s="19">
        <v>10</v>
      </c>
      <c r="K9" s="242">
        <f t="shared" si="3"/>
        <v>156550</v>
      </c>
      <c r="L9" s="238">
        <f t="shared" si="4"/>
        <v>77.113861386138609</v>
      </c>
      <c r="M9" s="19">
        <f>'6'!G15</f>
        <v>477</v>
      </c>
      <c r="N9" s="19">
        <v>35</v>
      </c>
      <c r="O9" s="238">
        <f t="shared" si="5"/>
        <v>16695</v>
      </c>
      <c r="P9" s="19">
        <f>'6'!G20</f>
        <v>56</v>
      </c>
      <c r="Q9" s="19">
        <v>134</v>
      </c>
      <c r="R9" s="239">
        <f t="shared" si="0"/>
        <v>7504</v>
      </c>
      <c r="S9" s="240">
        <f t="shared" si="1"/>
        <v>277.22772277227716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39</v>
      </c>
      <c r="X9" s="22">
        <f>'6'!G97</f>
        <v>9</v>
      </c>
      <c r="Y9" s="22">
        <f>'6'!G98</f>
        <v>9</v>
      </c>
      <c r="Z9" s="22">
        <f t="shared" si="7"/>
        <v>57</v>
      </c>
      <c r="AA9" s="19">
        <f>'6'!G133</f>
        <v>24</v>
      </c>
      <c r="AB9" s="19">
        <f>'6'!G134</f>
        <v>0</v>
      </c>
      <c r="AC9" s="19">
        <f>'6'!G135</f>
        <v>0</v>
      </c>
      <c r="AD9" s="19">
        <f>'6'!G136</f>
        <v>-0.43999999999869033</v>
      </c>
      <c r="AE9" s="19">
        <f t="shared" si="8"/>
        <v>23.56000000000131</v>
      </c>
      <c r="AF9" s="23">
        <f t="shared" si="2"/>
        <v>4851</v>
      </c>
      <c r="AG9" s="23">
        <f t="shared" si="9"/>
        <v>205.89983022070163</v>
      </c>
      <c r="AH9" s="19">
        <f>'6'!G137</f>
        <v>0</v>
      </c>
      <c r="AI9" s="19">
        <f>'6'!G138</f>
        <v>0</v>
      </c>
      <c r="AJ9" s="19">
        <f>'6'!G139</f>
        <v>11.379999999990105</v>
      </c>
      <c r="AK9" s="19">
        <f t="shared" si="10"/>
        <v>11.379999999990105</v>
      </c>
      <c r="AL9" s="19">
        <f>'6'!G140</f>
        <v>7.6600000000000819</v>
      </c>
      <c r="AM9" s="19">
        <f>'6'!G141</f>
        <v>0</v>
      </c>
      <c r="AN9" s="19"/>
      <c r="AO9" s="19">
        <f t="shared" si="11"/>
        <v>7.6600000000000819</v>
      </c>
      <c r="AP9" s="258">
        <f>'6'!G124</f>
        <v>206</v>
      </c>
      <c r="AQ9" s="261">
        <f>'6'!G35</f>
        <v>2168</v>
      </c>
      <c r="AR9" s="19">
        <f>'6'!G37</f>
        <v>1189</v>
      </c>
      <c r="AS9" s="19">
        <f>'6'!G38</f>
        <v>1199</v>
      </c>
      <c r="AT9" s="19">
        <f>'6'!G39</f>
        <v>1647</v>
      </c>
      <c r="AU9" s="19">
        <f>'6'!G40</f>
        <v>0</v>
      </c>
      <c r="AV9" s="19">
        <f>'6'!G41</f>
        <v>4841</v>
      </c>
      <c r="AW9" s="19">
        <f>'6'!G42</f>
        <v>0</v>
      </c>
      <c r="AX9" s="19">
        <f>'6'!G43</f>
        <v>2297</v>
      </c>
      <c r="AY9" s="19">
        <f>'6'!G44</f>
        <v>0</v>
      </c>
      <c r="AZ9" s="262">
        <f>'6'!G36</f>
        <v>320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513</v>
      </c>
      <c r="BE9" s="19">
        <f>'6'!G54</f>
        <v>74</v>
      </c>
      <c r="BF9" s="19">
        <f>'6'!G55</f>
        <v>0</v>
      </c>
      <c r="BG9" s="19">
        <f>'6'!G56</f>
        <v>10</v>
      </c>
      <c r="BH9" s="19">
        <f>'6'!G57</f>
        <v>0</v>
      </c>
      <c r="BI9" s="262">
        <f>'6'!G50</f>
        <v>848</v>
      </c>
      <c r="BJ9" s="370">
        <f t="shared" si="12"/>
        <v>4851</v>
      </c>
      <c r="BK9" s="370">
        <f>'6'!G84</f>
        <v>830</v>
      </c>
      <c r="BL9" s="23">
        <f t="shared" si="13"/>
        <v>59.806124414200418</v>
      </c>
      <c r="BM9" s="23">
        <f t="shared" si="14"/>
        <v>13.866598189638569</v>
      </c>
      <c r="BN9" s="24">
        <f t="shared" si="15"/>
        <v>7.6972459395262247E-2</v>
      </c>
      <c r="BO9" s="25">
        <f t="shared" si="16"/>
        <v>180749</v>
      </c>
      <c r="BP9" s="213">
        <f t="shared" si="17"/>
        <v>7978</v>
      </c>
      <c r="BQ9">
        <f t="shared" si="18"/>
        <v>1.2093742420566875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0.16</v>
      </c>
      <c r="G10" s="19">
        <f>'7'!G8</f>
        <v>15022</v>
      </c>
      <c r="H10" s="19">
        <f>'7'!G8</f>
        <v>15022</v>
      </c>
      <c r="I10" s="19">
        <f>'7'!G7</f>
        <v>14931</v>
      </c>
      <c r="J10" s="19">
        <v>10</v>
      </c>
      <c r="K10" s="242">
        <f t="shared" si="3"/>
        <v>150220</v>
      </c>
      <c r="L10" s="238">
        <f t="shared" si="4"/>
        <v>73.915841584158414</v>
      </c>
      <c r="M10" s="19">
        <f>'7'!G15</f>
        <v>348</v>
      </c>
      <c r="N10" s="19">
        <v>35</v>
      </c>
      <c r="O10" s="238">
        <f t="shared" si="5"/>
        <v>12180</v>
      </c>
      <c r="P10" s="19">
        <f>'7'!G20</f>
        <v>56</v>
      </c>
      <c r="Q10" s="19">
        <v>134</v>
      </c>
      <c r="R10" s="239">
        <f t="shared" si="0"/>
        <v>7504</v>
      </c>
      <c r="S10" s="240">
        <f t="shared" si="1"/>
        <v>173.26732673267327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31</v>
      </c>
      <c r="X10" s="22">
        <f>'7'!G97</f>
        <v>8</v>
      </c>
      <c r="Y10" s="22">
        <f>'7'!G98</f>
        <v>10</v>
      </c>
      <c r="Z10" s="22">
        <f t="shared" si="7"/>
        <v>49</v>
      </c>
      <c r="AA10" s="19">
        <f>'7'!G133</f>
        <v>23.599999999998545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23.599999999998545</v>
      </c>
      <c r="AF10" s="23">
        <f t="shared" si="2"/>
        <v>4616</v>
      </c>
      <c r="AG10" s="23">
        <f t="shared" si="9"/>
        <v>195.59322033899511</v>
      </c>
      <c r="AH10" s="19">
        <f>'7'!G137</f>
        <v>0</v>
      </c>
      <c r="AI10" s="19">
        <f>'7'!G138</f>
        <v>0</v>
      </c>
      <c r="AJ10" s="19">
        <f>'7'!G139</f>
        <v>0</v>
      </c>
      <c r="AK10" s="19">
        <f t="shared" si="10"/>
        <v>0</v>
      </c>
      <c r="AL10" s="19">
        <f>'7'!G140</f>
        <v>7.7699999999999818</v>
      </c>
      <c r="AM10" s="19">
        <f>'7'!G141</f>
        <v>0</v>
      </c>
      <c r="AN10" s="19"/>
      <c r="AO10" s="19">
        <f t="shared" si="11"/>
        <v>7.7699999999999818</v>
      </c>
      <c r="AP10" s="258">
        <f>'7'!G124</f>
        <v>204</v>
      </c>
      <c r="AQ10" s="261">
        <f>'7'!G35</f>
        <v>2063</v>
      </c>
      <c r="AR10" s="19">
        <f>'7'!G37</f>
        <v>1225</v>
      </c>
      <c r="AS10" s="19">
        <f>'7'!G38</f>
        <v>1112</v>
      </c>
      <c r="AT10" s="19">
        <f>'7'!G39</f>
        <v>1602</v>
      </c>
      <c r="AU10" s="19">
        <f>'7'!G40</f>
        <v>0</v>
      </c>
      <c r="AV10" s="19">
        <f>'7'!G41</f>
        <v>4606</v>
      </c>
      <c r="AW10" s="19">
        <f>'7'!G42</f>
        <v>0</v>
      </c>
      <c r="AX10" s="19">
        <f>'7'!G43</f>
        <v>2190</v>
      </c>
      <c r="AY10" s="19">
        <f>'7'!G44</f>
        <v>0</v>
      </c>
      <c r="AZ10" s="262">
        <f>'7'!G36</f>
        <v>310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520</v>
      </c>
      <c r="BE10" s="19">
        <f>'7'!G54</f>
        <v>72</v>
      </c>
      <c r="BF10" s="19">
        <f>'7'!G55</f>
        <v>0</v>
      </c>
      <c r="BG10" s="19">
        <f>'7'!G56</f>
        <v>10</v>
      </c>
      <c r="BH10" s="19">
        <f>'7'!G57</f>
        <v>0</v>
      </c>
      <c r="BI10" s="262">
        <f>'7'!G50</f>
        <v>857</v>
      </c>
      <c r="BJ10" s="370">
        <f t="shared" si="12"/>
        <v>4616</v>
      </c>
      <c r="BK10" s="370">
        <f>'7'!G84</f>
        <v>846</v>
      </c>
      <c r="BL10" s="23">
        <f t="shared" si="13"/>
        <v>59.39990623534927</v>
      </c>
      <c r="BM10" s="23">
        <f t="shared" si="14"/>
        <v>14.212042060143325</v>
      </c>
      <c r="BN10" s="24">
        <f t="shared" si="15"/>
        <v>7.4475922577188394E-2</v>
      </c>
      <c r="BO10" s="25">
        <f t="shared" si="16"/>
        <v>169904</v>
      </c>
      <c r="BP10" s="213">
        <f t="shared" si="17"/>
        <v>7652</v>
      </c>
      <c r="BQ10">
        <f t="shared" si="18"/>
        <v>1.1579903147700472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19564</v>
      </c>
      <c r="H11" s="19">
        <f>'8'!G8</f>
        <v>19564</v>
      </c>
      <c r="I11" s="19">
        <f>'8'!G7</f>
        <v>19453</v>
      </c>
      <c r="J11" s="19">
        <v>10</v>
      </c>
      <c r="K11" s="242">
        <f t="shared" si="3"/>
        <v>195640</v>
      </c>
      <c r="L11" s="238">
        <f t="shared" si="4"/>
        <v>96.301980198019805</v>
      </c>
      <c r="M11" s="19">
        <f>'8'!G15</f>
        <v>613.47999999998137</v>
      </c>
      <c r="N11" s="19">
        <v>35</v>
      </c>
      <c r="O11" s="238">
        <f t="shared" si="5"/>
        <v>21471.799999999348</v>
      </c>
      <c r="P11" s="19">
        <f>'8'!G20</f>
        <v>115</v>
      </c>
      <c r="Q11" s="19">
        <v>134</v>
      </c>
      <c r="R11" s="239">
        <f t="shared" si="0"/>
        <v>15410</v>
      </c>
      <c r="S11" s="240">
        <f t="shared" si="1"/>
        <v>237.21122112211222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78</v>
      </c>
      <c r="X11" s="22">
        <f>'8'!G97</f>
        <v>9</v>
      </c>
      <c r="Y11" s="22">
        <f>'8'!G98</f>
        <v>13</v>
      </c>
      <c r="Z11" s="22">
        <f t="shared" si="7"/>
        <v>100</v>
      </c>
      <c r="AA11" s="19">
        <f>'8'!G133</f>
        <v>23.650000000001455</v>
      </c>
      <c r="AB11" s="19">
        <f>'8'!G134</f>
        <v>0</v>
      </c>
      <c r="AC11" s="19">
        <f>'8'!G135</f>
        <v>8.3300000000017462</v>
      </c>
      <c r="AD11" s="19">
        <f>'8'!G136</f>
        <v>0</v>
      </c>
      <c r="AE11" s="19">
        <f t="shared" si="8"/>
        <v>31.980000000003201</v>
      </c>
      <c r="AF11" s="23">
        <f t="shared" si="2"/>
        <v>4895.3799999999901</v>
      </c>
      <c r="AG11" s="23">
        <f t="shared" si="9"/>
        <v>153.07629768603815</v>
      </c>
      <c r="AH11" s="19">
        <f>'8'!G137</f>
        <v>5.75</v>
      </c>
      <c r="AI11" s="19">
        <f>'8'!G138</f>
        <v>0</v>
      </c>
      <c r="AJ11" s="19">
        <f>'8'!G139</f>
        <v>1.9400000000023283</v>
      </c>
      <c r="AK11" s="19">
        <f t="shared" si="10"/>
        <v>7.6900000000023283</v>
      </c>
      <c r="AL11" s="19">
        <f>'8'!G140</f>
        <v>7.9900000000000091</v>
      </c>
      <c r="AM11" s="19">
        <f>'8'!G141</f>
        <v>-0.11999999999989086</v>
      </c>
      <c r="AN11" s="19"/>
      <c r="AO11" s="19">
        <f t="shared" si="11"/>
        <v>7.8700000000001182</v>
      </c>
      <c r="AP11" s="258">
        <f>'8'!G124</f>
        <v>209.8399999999674</v>
      </c>
      <c r="AQ11" s="261">
        <f>'8'!G35</f>
        <v>2427.4699999999721</v>
      </c>
      <c r="AR11" s="19">
        <f>'8'!G37</f>
        <v>1347.0200000000041</v>
      </c>
      <c r="AS11" s="19">
        <f>'8'!G38</f>
        <v>1203.2700000000041</v>
      </c>
      <c r="AT11" s="19">
        <f>'8'!G39</f>
        <v>1924.75</v>
      </c>
      <c r="AU11" s="19">
        <f>'8'!G40</f>
        <v>0.23</v>
      </c>
      <c r="AV11" s="19">
        <f>'8'!G41</f>
        <v>4885.1900000000023</v>
      </c>
      <c r="AW11" s="19">
        <f>'8'!G42</f>
        <v>8.000000000174623E-2</v>
      </c>
      <c r="AX11" s="19">
        <f>'8'!G43</f>
        <v>2425.2700000000186</v>
      </c>
      <c r="AY11" s="23">
        <f>'8'!G44</f>
        <v>0</v>
      </c>
      <c r="AZ11" s="262">
        <f>'8'!G36</f>
        <v>0</v>
      </c>
      <c r="BA11" s="261">
        <f>'8'!G49</f>
        <v>0.13000000000465661</v>
      </c>
      <c r="BB11" s="19">
        <f>'8'!G51</f>
        <v>-0.13000000000465661</v>
      </c>
      <c r="BC11" s="19">
        <f>'8'!G52</f>
        <v>6.9999999948777258E-2</v>
      </c>
      <c r="BD11" s="19">
        <f>'8'!G53</f>
        <v>521.07000000000698</v>
      </c>
      <c r="BE11" s="19">
        <f>'8'!G54</f>
        <v>3760.7000000000007</v>
      </c>
      <c r="BF11" s="19">
        <f>'8'!G55</f>
        <v>0</v>
      </c>
      <c r="BG11" s="19">
        <f>'8'!G56</f>
        <v>10.10999999998603</v>
      </c>
      <c r="BH11" s="19">
        <f>'8'!G57</f>
        <v>0</v>
      </c>
      <c r="BI11" s="262">
        <f>'8'!G50</f>
        <v>1386.3099999999977</v>
      </c>
      <c r="BJ11" s="370">
        <f t="shared" si="12"/>
        <v>4895.3799999999901</v>
      </c>
      <c r="BK11" s="370">
        <f>'8'!G84</f>
        <v>794</v>
      </c>
      <c r="BL11" s="23">
        <f t="shared" si="13"/>
        <v>50.111807947360226</v>
      </c>
      <c r="BM11" s="23">
        <f t="shared" si="14"/>
        <v>12.572970750012887</v>
      </c>
      <c r="BN11" s="24">
        <f t="shared" si="15"/>
        <v>6.1858839253583139E-2</v>
      </c>
      <c r="BO11" s="25">
        <f t="shared" si="16"/>
        <v>232521.79999999935</v>
      </c>
      <c r="BP11" s="213">
        <f t="shared" si="17"/>
        <v>8114.6500000000087</v>
      </c>
      <c r="BQ11">
        <f t="shared" si="18"/>
        <v>0.90621928884115033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0.6</v>
      </c>
      <c r="G12" s="19">
        <f>'9'!G8</f>
        <v>15397</v>
      </c>
      <c r="H12" s="19">
        <f>'9'!G8</f>
        <v>15397</v>
      </c>
      <c r="I12" s="19">
        <f>'9'!G7</f>
        <v>15329</v>
      </c>
      <c r="J12" s="19">
        <v>10</v>
      </c>
      <c r="K12" s="242">
        <f t="shared" si="3"/>
        <v>153970</v>
      </c>
      <c r="L12" s="238">
        <f t="shared" si="4"/>
        <v>75.886138613861391</v>
      </c>
      <c r="M12" s="19">
        <f>'9'!G15</f>
        <v>523.52000000001863</v>
      </c>
      <c r="N12" s="19">
        <v>35</v>
      </c>
      <c r="O12" s="238">
        <f t="shared" si="5"/>
        <v>18323.200000000652</v>
      </c>
      <c r="P12" s="19">
        <f>'9'!G20</f>
        <v>95</v>
      </c>
      <c r="Q12" s="19">
        <v>134</v>
      </c>
      <c r="R12" s="239">
        <f t="shared" si="0"/>
        <v>12730</v>
      </c>
      <c r="S12" s="240">
        <f t="shared" si="1"/>
        <v>78.382838283828391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40</v>
      </c>
      <c r="X12" s="22">
        <f>'9'!G97</f>
        <v>11</v>
      </c>
      <c r="Y12" s="22">
        <f>'9'!G98</f>
        <v>15</v>
      </c>
      <c r="Z12" s="22">
        <f t="shared" si="7"/>
        <v>66</v>
      </c>
      <c r="AA12" s="19">
        <f>'9'!G133</f>
        <v>23.080000000001746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23.080000000001746</v>
      </c>
      <c r="AF12" s="23">
        <f t="shared" si="2"/>
        <v>4766.7299999999959</v>
      </c>
      <c r="AG12" s="23">
        <f t="shared" si="9"/>
        <v>206.53076256497553</v>
      </c>
      <c r="AH12" s="19">
        <f>'9'!G137</f>
        <v>3.7400000000016007</v>
      </c>
      <c r="AI12" s="19">
        <f>'9'!G138</f>
        <v>-0.33000000000174623</v>
      </c>
      <c r="AJ12" s="19">
        <f>'9'!G139</f>
        <v>3.6199999999953434</v>
      </c>
      <c r="AK12" s="19">
        <f t="shared" si="10"/>
        <v>7.0299999999951979</v>
      </c>
      <c r="AL12" s="19">
        <f>'9'!G140</f>
        <v>6.7400000000000091</v>
      </c>
      <c r="AM12" s="19">
        <f>'9'!G141</f>
        <v>0</v>
      </c>
      <c r="AN12" s="19"/>
      <c r="AO12" s="19">
        <f t="shared" si="11"/>
        <v>6.7400000000000091</v>
      </c>
      <c r="AP12" s="258">
        <f>'9'!G124</f>
        <v>186.1600000000326</v>
      </c>
      <c r="AQ12" s="261">
        <f>'9'!G35</f>
        <v>2125.5300000000279</v>
      </c>
      <c r="AR12" s="19">
        <f>'9'!G37</f>
        <v>1183.9799999999959</v>
      </c>
      <c r="AS12" s="19">
        <f>'9'!G38</f>
        <v>1229.7299999999959</v>
      </c>
      <c r="AT12" s="19">
        <f>'9'!G39</f>
        <v>1790.25</v>
      </c>
      <c r="AU12" s="19">
        <f>'9'!G40</f>
        <v>0</v>
      </c>
      <c r="AV12" s="19">
        <f>'9'!G41</f>
        <v>4766.8099999999977</v>
      </c>
      <c r="AW12" s="19">
        <f>'9'!G42</f>
        <v>-8.000000000174623E-2</v>
      </c>
      <c r="AX12" s="19">
        <f>'9'!G43</f>
        <v>2140.7299999999814</v>
      </c>
      <c r="AY12" s="23">
        <f>'9'!G44</f>
        <v>0</v>
      </c>
      <c r="AZ12" s="262">
        <f>'9'!G36</f>
        <v>0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512.92999999999302</v>
      </c>
      <c r="BE12" s="19">
        <f>'9'!G54</f>
        <v>71.299999999999272</v>
      </c>
      <c r="BF12" s="19">
        <f>'9'!G55</f>
        <v>0</v>
      </c>
      <c r="BG12" s="19">
        <f>'9'!G56</f>
        <v>0</v>
      </c>
      <c r="BH12" s="19">
        <f>'9'!G57</f>
        <v>0</v>
      </c>
      <c r="BI12" s="262">
        <f>'9'!G50</f>
        <v>861.69000000000233</v>
      </c>
      <c r="BJ12" s="370">
        <f t="shared" si="12"/>
        <v>4766.7299999999959</v>
      </c>
      <c r="BK12" s="370">
        <f>'8'!G84</f>
        <v>794</v>
      </c>
      <c r="BL12" s="23">
        <f t="shared" si="13"/>
        <v>58.927457759801719</v>
      </c>
      <c r="BM12" s="23">
        <f t="shared" si="14"/>
        <v>15.024985321938765</v>
      </c>
      <c r="BN12" s="24">
        <f t="shared" si="15"/>
        <v>8.0222454171830909E-2</v>
      </c>
      <c r="BO12" s="25">
        <f t="shared" si="16"/>
        <v>185023.20000000065</v>
      </c>
      <c r="BP12" s="213">
        <f t="shared" si="17"/>
        <v>7701.4599999999773</v>
      </c>
      <c r="BQ12">
        <f t="shared" si="18"/>
        <v>1.1917337212180297</v>
      </c>
    </row>
    <row r="13" spans="1:70">
      <c r="A13" s="16">
        <v>10</v>
      </c>
      <c r="B13" s="27">
        <v>10</v>
      </c>
      <c r="C13" s="26"/>
      <c r="D13" s="19">
        <f>'10'!D3</f>
        <v>30</v>
      </c>
      <c r="E13" s="256">
        <f>'10'!D4</f>
        <v>0.78</v>
      </c>
      <c r="F13" s="256">
        <f>'10'!D2</f>
        <v>0.52</v>
      </c>
      <c r="G13" s="19">
        <f>'10'!G8</f>
        <v>15255</v>
      </c>
      <c r="H13" s="19">
        <f>'10'!G8</f>
        <v>15255</v>
      </c>
      <c r="I13" s="19">
        <f>'10'!G7</f>
        <v>15144</v>
      </c>
      <c r="J13" s="19">
        <v>10</v>
      </c>
      <c r="K13" s="242">
        <f t="shared" si="3"/>
        <v>152550</v>
      </c>
      <c r="L13" s="238">
        <f t="shared" si="4"/>
        <v>74.970297029702976</v>
      </c>
      <c r="M13" s="19">
        <f>'10'!G15</f>
        <v>243</v>
      </c>
      <c r="N13" s="19">
        <v>35</v>
      </c>
      <c r="O13" s="238">
        <f t="shared" si="5"/>
        <v>8505</v>
      </c>
      <c r="P13" s="19">
        <f>'10'!G20</f>
        <v>77</v>
      </c>
      <c r="Q13" s="19">
        <v>134</v>
      </c>
      <c r="R13" s="239">
        <f t="shared" si="0"/>
        <v>10318</v>
      </c>
      <c r="S13" s="240">
        <f t="shared" si="1"/>
        <v>73.3054074638233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24</v>
      </c>
      <c r="X13" s="22">
        <f>'10'!G97</f>
        <v>7</v>
      </c>
      <c r="Y13" s="22">
        <f>'10'!G98</f>
        <v>9</v>
      </c>
      <c r="Z13" s="22">
        <f t="shared" si="7"/>
        <v>40</v>
      </c>
      <c r="AA13" s="19">
        <f>'10'!G133</f>
        <v>24.029999999998836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24.029999999998836</v>
      </c>
      <c r="AF13" s="23">
        <f t="shared" si="2"/>
        <v>4860.890000000014</v>
      </c>
      <c r="AG13" s="23">
        <f t="shared" si="9"/>
        <v>202.28422804828338</v>
      </c>
      <c r="AH13" s="19">
        <f>'10'!G137</f>
        <v>0</v>
      </c>
      <c r="AI13" s="19">
        <f>'10'!G138</f>
        <v>0</v>
      </c>
      <c r="AJ13" s="19">
        <f>'10'!G139</f>
        <v>0.13000000000465661</v>
      </c>
      <c r="AK13" s="19">
        <f t="shared" si="10"/>
        <v>0.13000000000465661</v>
      </c>
      <c r="AL13" s="19">
        <f>'10'!G140</f>
        <v>7.5799999999999272</v>
      </c>
      <c r="AM13" s="19">
        <f>'10'!G141</f>
        <v>0</v>
      </c>
      <c r="AN13" s="19"/>
      <c r="AO13" s="19">
        <f t="shared" si="11"/>
        <v>7.5799999999999272</v>
      </c>
      <c r="AP13" s="258">
        <f>'10'!G124</f>
        <v>200</v>
      </c>
      <c r="AQ13" s="261">
        <f>'10'!G35</f>
        <v>1851</v>
      </c>
      <c r="AR13" s="19">
        <f>'10'!G37</f>
        <v>1187</v>
      </c>
      <c r="AS13" s="19">
        <f>'10'!G38</f>
        <v>1067</v>
      </c>
      <c r="AT13" s="19">
        <f>'10'!G39</f>
        <v>1650</v>
      </c>
      <c r="AU13" s="19">
        <f>'10'!G40</f>
        <v>0</v>
      </c>
      <c r="AV13" s="19">
        <f>'10'!G41</f>
        <v>4861</v>
      </c>
      <c r="AW13" s="19">
        <f>'10'!G42</f>
        <v>0</v>
      </c>
      <c r="AX13" s="19">
        <f>'10'!G43</f>
        <v>2128</v>
      </c>
      <c r="AY13" s="23">
        <f>'10'!G44</f>
        <v>0</v>
      </c>
      <c r="AZ13" s="262">
        <f>'10'!G36</f>
        <v>0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523</v>
      </c>
      <c r="BE13" s="19">
        <f>'10'!G54</f>
        <v>73</v>
      </c>
      <c r="BF13" s="19">
        <f>'10'!G55</f>
        <v>0</v>
      </c>
      <c r="BG13" s="19">
        <f>'10'!G56</f>
        <v>-0.10999999998603016</v>
      </c>
      <c r="BH13" s="19">
        <f>'10'!G57</f>
        <v>0</v>
      </c>
      <c r="BI13" s="262">
        <f>'10'!G50</f>
        <v>939</v>
      </c>
      <c r="BJ13" s="370">
        <f t="shared" si="12"/>
        <v>4860.890000000014</v>
      </c>
      <c r="BK13" s="370">
        <f>'8'!G84</f>
        <v>794</v>
      </c>
      <c r="BL13" s="23">
        <f t="shared" si="13"/>
        <v>58.372226624405798</v>
      </c>
      <c r="BM13" s="23">
        <f t="shared" si="14"/>
        <v>14.34891706286318</v>
      </c>
      <c r="BN13" s="24">
        <f t="shared" si="15"/>
        <v>7.0456946645536186E-2</v>
      </c>
      <c r="BO13" s="25">
        <f t="shared" si="16"/>
        <v>171373</v>
      </c>
      <c r="BP13" s="213">
        <f t="shared" si="17"/>
        <v>7782.890000000014</v>
      </c>
      <c r="BQ13">
        <f t="shared" si="18"/>
        <v>1.1567222519470293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0.5</v>
      </c>
      <c r="G14" s="19">
        <f>'11'!G8</f>
        <v>14613.82</v>
      </c>
      <c r="H14" s="19">
        <f>'11'!G8</f>
        <v>14613.82</v>
      </c>
      <c r="I14" s="19">
        <f>'11'!G7</f>
        <v>14482.59</v>
      </c>
      <c r="J14" s="19">
        <v>10</v>
      </c>
      <c r="K14" s="242">
        <f t="shared" si="3"/>
        <v>146138.20000000001</v>
      </c>
      <c r="L14" s="238">
        <f t="shared" si="4"/>
        <v>71.695990099009904</v>
      </c>
      <c r="M14" s="19">
        <f>'11'!G15</f>
        <v>333.68999999994412</v>
      </c>
      <c r="N14" s="19">
        <v>35</v>
      </c>
      <c r="O14" s="238">
        <f t="shared" si="5"/>
        <v>11679.149999998044</v>
      </c>
      <c r="P14" s="19">
        <f>'11'!G20</f>
        <v>75</v>
      </c>
      <c r="Q14" s="19">
        <v>134</v>
      </c>
      <c r="R14" s="239">
        <f t="shared" si="0"/>
        <v>10050</v>
      </c>
      <c r="S14" s="240">
        <f t="shared" si="1"/>
        <v>74.257425742574256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26</v>
      </c>
      <c r="X14" s="22">
        <f>'11'!G97</f>
        <v>8</v>
      </c>
      <c r="Y14" s="22">
        <f>'11'!G98</f>
        <v>10</v>
      </c>
      <c r="Z14" s="22">
        <f t="shared" si="7"/>
        <v>44</v>
      </c>
      <c r="AA14" s="19">
        <f>'11'!G133</f>
        <v>24.040000000000873</v>
      </c>
      <c r="AB14" s="19">
        <f>'11'!G134</f>
        <v>0</v>
      </c>
      <c r="AC14" s="19">
        <f>'11'!G135</f>
        <v>-0.33000000000174623</v>
      </c>
      <c r="AD14" s="19">
        <f>'11'!G136</f>
        <v>0</v>
      </c>
      <c r="AE14" s="19">
        <f t="shared" si="8"/>
        <v>23.709999999999127</v>
      </c>
      <c r="AF14" s="23">
        <f t="shared" si="2"/>
        <v>4824.339999999982</v>
      </c>
      <c r="AG14" s="23">
        <f t="shared" si="9"/>
        <v>203.47279628849259</v>
      </c>
      <c r="AH14" s="19">
        <f>'11'!G137</f>
        <v>0</v>
      </c>
      <c r="AI14" s="19">
        <f>'11'!G138</f>
        <v>0.46300000000337604</v>
      </c>
      <c r="AJ14" s="19">
        <f>'11'!G139</f>
        <v>0</v>
      </c>
      <c r="AK14" s="19">
        <f t="shared" si="10"/>
        <v>0.46300000000337604</v>
      </c>
      <c r="AL14" s="19">
        <f>'11'!G140</f>
        <v>7.6700000000000728</v>
      </c>
      <c r="AM14" s="19">
        <f>'11'!G141</f>
        <v>0</v>
      </c>
      <c r="AN14" s="19"/>
      <c r="AO14" s="19">
        <f t="shared" si="11"/>
        <v>7.6700000000000728</v>
      </c>
      <c r="AP14" s="258">
        <f>'11'!G124</f>
        <v>203</v>
      </c>
      <c r="AQ14" s="261">
        <f>'11'!G35</f>
        <v>1869.2299999999814</v>
      </c>
      <c r="AR14" s="19">
        <f>'11'!G37</f>
        <v>1191.5</v>
      </c>
      <c r="AS14" s="19">
        <f>'11'!G38</f>
        <v>998.36999999999534</v>
      </c>
      <c r="AT14" s="19">
        <f>'11'!G39</f>
        <v>1567.1699999999837</v>
      </c>
      <c r="AU14" s="19">
        <f>'11'!G40</f>
        <v>86.24</v>
      </c>
      <c r="AV14" s="19">
        <f>'11'!G41</f>
        <v>4794.0299999999988</v>
      </c>
      <c r="AW14" s="19">
        <f>'11'!G42</f>
        <v>8.000000000174623E-2</v>
      </c>
      <c r="AX14" s="19">
        <f>'11'!G43</f>
        <v>2093.1899999999441</v>
      </c>
      <c r="AY14" s="23">
        <f>'11'!G44</f>
        <v>0</v>
      </c>
      <c r="AZ14" s="262">
        <f>'11'!G36</f>
        <v>0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486.22999999998137</v>
      </c>
      <c r="BE14" s="19">
        <f>'11'!G54</f>
        <v>72.649999999999636</v>
      </c>
      <c r="BF14" s="19">
        <f>'11'!G55</f>
        <v>0</v>
      </c>
      <c r="BG14" s="19">
        <f>'11'!G56</f>
        <v>30.229999999981374</v>
      </c>
      <c r="BH14" s="19">
        <f>'11'!G57</f>
        <v>0</v>
      </c>
      <c r="BI14" s="262">
        <f>'11'!G50</f>
        <v>771.95000000001164</v>
      </c>
      <c r="BJ14" s="370">
        <f t="shared" si="12"/>
        <v>4824.339999999982</v>
      </c>
      <c r="BK14" s="370">
        <f>'11'!G84</f>
        <v>552</v>
      </c>
      <c r="BL14" s="23">
        <f t="shared" si="13"/>
        <v>60.671192100307387</v>
      </c>
      <c r="BM14" s="23">
        <f t="shared" si="14"/>
        <v>14.178403172360504</v>
      </c>
      <c r="BN14" s="24">
        <f t="shared" si="15"/>
        <v>6.8935874039104561E-2</v>
      </c>
      <c r="BO14" s="25">
        <f t="shared" si="16"/>
        <v>167867.34999999806</v>
      </c>
      <c r="BP14" s="213">
        <f t="shared" si="17"/>
        <v>7469.5299999999261</v>
      </c>
      <c r="BQ14">
        <f t="shared" si="18"/>
        <v>1.1251325540760682</v>
      </c>
    </row>
    <row r="15" spans="1:70">
      <c r="A15" s="16">
        <v>12</v>
      </c>
      <c r="B15" s="26">
        <v>12</v>
      </c>
      <c r="C15" s="27"/>
      <c r="D15" s="19">
        <f>'12'!D3</f>
        <v>30</v>
      </c>
      <c r="E15" s="256">
        <f>'12'!D4</f>
        <v>0.78</v>
      </c>
      <c r="F15" s="256">
        <f>'12'!D2</f>
        <v>0.5</v>
      </c>
      <c r="G15" s="19">
        <f>'12'!G8</f>
        <v>15259.89</v>
      </c>
      <c r="H15" s="19">
        <f>'12'!G8</f>
        <v>15259.89</v>
      </c>
      <c r="I15" s="19">
        <f>'12'!G7</f>
        <v>15169.280000000002</v>
      </c>
      <c r="J15" s="19">
        <v>10</v>
      </c>
      <c r="K15" s="242">
        <f t="shared" si="3"/>
        <v>152598.9</v>
      </c>
      <c r="L15" s="238">
        <f t="shared" si="4"/>
        <v>75.095445544554465</v>
      </c>
      <c r="M15" s="19">
        <f>'12'!G15</f>
        <v>436.43000000016764</v>
      </c>
      <c r="N15" s="19">
        <v>35</v>
      </c>
      <c r="O15" s="234">
        <f t="shared" si="5"/>
        <v>15275.050000005867</v>
      </c>
      <c r="P15" s="19">
        <f>'12'!G20</f>
        <v>52</v>
      </c>
      <c r="Q15" s="19">
        <v>134</v>
      </c>
      <c r="R15" s="239">
        <f t="shared" si="0"/>
        <v>6968</v>
      </c>
      <c r="S15" s="240">
        <f t="shared" si="1"/>
        <v>51.485148514851488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35</v>
      </c>
      <c r="X15" s="22">
        <f>'12'!G97</f>
        <v>6</v>
      </c>
      <c r="Y15" s="22">
        <f>'12'!G98</f>
        <v>9</v>
      </c>
      <c r="Z15" s="22">
        <f t="shared" si="7"/>
        <v>50</v>
      </c>
      <c r="AA15" s="19">
        <f>'12'!G133</f>
        <v>20.94999999999709</v>
      </c>
      <c r="AB15" s="19">
        <f>'12'!G134</f>
        <v>0</v>
      </c>
      <c r="AC15" s="19">
        <f>'12'!G135</f>
        <v>3.430000000000291</v>
      </c>
      <c r="AD15" s="19">
        <f>'12'!G136</f>
        <v>0</v>
      </c>
      <c r="AE15" s="19">
        <f t="shared" si="8"/>
        <v>24.379999999997381</v>
      </c>
      <c r="AF15" s="23">
        <f t="shared" si="2"/>
        <v>5003.0000000000082</v>
      </c>
      <c r="AG15" s="23">
        <f t="shared" si="9"/>
        <v>205.20918785892312</v>
      </c>
      <c r="AH15" s="19">
        <f>'12'!G137</f>
        <v>0</v>
      </c>
      <c r="AI15" s="19">
        <f>'12'!G138</f>
        <v>-3.0000000006111804E-3</v>
      </c>
      <c r="AJ15" s="19">
        <f>'12'!G139</f>
        <v>10.05000000000291</v>
      </c>
      <c r="AK15" s="19">
        <f t="shared" si="10"/>
        <v>10.047000000002299</v>
      </c>
      <c r="AL15" s="19">
        <f>'12'!G140</f>
        <v>7.5199999999999818</v>
      </c>
      <c r="AM15" s="19">
        <f>'12'!G141</f>
        <v>0</v>
      </c>
      <c r="AN15" s="19"/>
      <c r="AO15" s="19">
        <f t="shared" si="11"/>
        <v>7.5199999999999818</v>
      </c>
      <c r="AP15" s="258">
        <f>'12'!G124</f>
        <v>200.90000000002328</v>
      </c>
      <c r="AQ15" s="261">
        <f>'12'!G35</f>
        <v>1863.4400000000605</v>
      </c>
      <c r="AR15" s="19">
        <f>'12'!G37</f>
        <v>1184.3600000000006</v>
      </c>
      <c r="AS15" s="19">
        <f>'12'!G38</f>
        <v>1220.2700000000186</v>
      </c>
      <c r="AT15" s="19">
        <f>'12'!G39</f>
        <v>1670.2399999999907</v>
      </c>
      <c r="AU15" s="19">
        <f>'12'!G40</f>
        <v>64.27000000000001</v>
      </c>
      <c r="AV15" s="19">
        <f>'12'!G41</f>
        <v>4377.5199999999895</v>
      </c>
      <c r="AW15" s="19">
        <f>'12'!G42</f>
        <v>0</v>
      </c>
      <c r="AX15" s="19">
        <f>'12'!G43</f>
        <v>2094.1100000001024</v>
      </c>
      <c r="AY15" s="23">
        <f>'12'!G44</f>
        <v>0</v>
      </c>
      <c r="AZ15" s="262">
        <f>'12'!G36</f>
        <v>0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506.48000000003958</v>
      </c>
      <c r="BE15" s="19">
        <f>'12'!G54</f>
        <v>73.399999999999636</v>
      </c>
      <c r="BF15" s="19">
        <f>'12'!G55</f>
        <v>615.96</v>
      </c>
      <c r="BG15" s="19">
        <f>'12'!G56</f>
        <v>9.5200000000186265</v>
      </c>
      <c r="BH15" s="19">
        <f>'12'!G57</f>
        <v>0</v>
      </c>
      <c r="BI15" s="262">
        <f>'12'!G50</f>
        <v>814.39999999996508</v>
      </c>
      <c r="BJ15" s="370">
        <f t="shared" si="12"/>
        <v>5003.0000000000082</v>
      </c>
      <c r="BK15" s="370">
        <f>'12'!G84</f>
        <v>552</v>
      </c>
      <c r="BL15" s="23">
        <f t="shared" si="13"/>
        <v>59.07037117121029</v>
      </c>
      <c r="BM15" s="23">
        <f t="shared" si="14"/>
        <v>14.349527466036818</v>
      </c>
      <c r="BN15" s="24">
        <f t="shared" si="15"/>
        <v>8.0443501603241443E-2</v>
      </c>
      <c r="BO15" s="25">
        <f t="shared" si="16"/>
        <v>174841.95000000586</v>
      </c>
      <c r="BP15" s="213">
        <f t="shared" si="17"/>
        <v>7649.1100000001106</v>
      </c>
      <c r="BQ15">
        <f t="shared" si="18"/>
        <v>1.1205188679246649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0.5</v>
      </c>
      <c r="G16" s="19">
        <f>'13'!G8</f>
        <v>14671.020000000004</v>
      </c>
      <c r="H16" s="19">
        <f>'13'!G8</f>
        <v>14671.020000000004</v>
      </c>
      <c r="I16" s="19">
        <f>'13'!G7</f>
        <v>14565.96</v>
      </c>
      <c r="J16" s="19">
        <v>10</v>
      </c>
      <c r="K16" s="242">
        <f t="shared" si="3"/>
        <v>146710.20000000004</v>
      </c>
      <c r="L16" s="238">
        <f t="shared" si="4"/>
        <v>72.108712871287125</v>
      </c>
      <c r="M16" s="19">
        <f>'13'!G15</f>
        <v>650.87999999988824</v>
      </c>
      <c r="N16" s="19">
        <v>35</v>
      </c>
      <c r="O16" s="234">
        <f t="shared" si="5"/>
        <v>22780.799999996088</v>
      </c>
      <c r="P16" s="19">
        <f>'13'!G20</f>
        <v>77</v>
      </c>
      <c r="Q16" s="19">
        <v>134</v>
      </c>
      <c r="R16" s="239">
        <f t="shared" si="0"/>
        <v>10318</v>
      </c>
      <c r="S16" s="240">
        <f t="shared" si="1"/>
        <v>76.237623762376231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52</v>
      </c>
      <c r="X16" s="22">
        <f>'13'!G97</f>
        <v>6</v>
      </c>
      <c r="Y16" s="22">
        <f>'13'!G98</f>
        <v>12</v>
      </c>
      <c r="Z16" s="22">
        <f t="shared" si="7"/>
        <v>70</v>
      </c>
      <c r="AA16" s="19">
        <f>'13'!G133</f>
        <v>0</v>
      </c>
      <c r="AB16" s="19">
        <f>'13'!G134</f>
        <v>0</v>
      </c>
      <c r="AC16" s="19">
        <f>'13'!G135</f>
        <v>24.470000000001164</v>
      </c>
      <c r="AD16" s="19">
        <f>'13'!G136</f>
        <v>0</v>
      </c>
      <c r="AE16" s="19">
        <f t="shared" si="8"/>
        <v>24.470000000001164</v>
      </c>
      <c r="AF16" s="23">
        <f t="shared" si="2"/>
        <v>4621.0999999999631</v>
      </c>
      <c r="AG16" s="23">
        <f t="shared" si="9"/>
        <v>188.84756845115419</v>
      </c>
      <c r="AH16" s="19">
        <f>'13'!G137</f>
        <v>7.9199999999982538</v>
      </c>
      <c r="AI16" s="19">
        <f>'13'!G138</f>
        <v>0</v>
      </c>
      <c r="AJ16" s="19">
        <f>'13'!G139</f>
        <v>0</v>
      </c>
      <c r="AK16" s="19">
        <f t="shared" si="10"/>
        <v>7.9199999999982538</v>
      </c>
      <c r="AL16" s="19">
        <f>'13'!G140</f>
        <v>7.5599999999999454</v>
      </c>
      <c r="AM16" s="19">
        <f>'13'!G141</f>
        <v>0</v>
      </c>
      <c r="AN16" s="19"/>
      <c r="AO16" s="19">
        <f t="shared" si="11"/>
        <v>7.5599999999999454</v>
      </c>
      <c r="AP16" s="258">
        <f>'13'!G124</f>
        <v>204.88000000000466</v>
      </c>
      <c r="AQ16" s="261">
        <f>'13'!G35</f>
        <v>1794.5599999999395</v>
      </c>
      <c r="AR16" s="19">
        <f>'13'!G37</f>
        <v>1166.1399999999994</v>
      </c>
      <c r="AS16" s="19">
        <f>'13'!G38</f>
        <v>1148.2199999999721</v>
      </c>
      <c r="AT16" s="19">
        <f>'13'!G39</f>
        <v>1649.1800000000512</v>
      </c>
      <c r="AU16" s="19">
        <f>'13'!G40</f>
        <v>59.289999999999992</v>
      </c>
      <c r="AV16" s="19">
        <f>'13'!G41</f>
        <v>0</v>
      </c>
      <c r="AW16" s="19">
        <f>'13'!G42</f>
        <v>0</v>
      </c>
      <c r="AX16" s="19">
        <f>'13'!G43</f>
        <v>2011</v>
      </c>
      <c r="AY16" s="23">
        <f>'13'!G44</f>
        <v>0</v>
      </c>
      <c r="AZ16" s="262">
        <f>'13'!G36</f>
        <v>0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417.44000000000233</v>
      </c>
      <c r="BE16" s="19">
        <f>'13'!G54</f>
        <v>75.159999999999854</v>
      </c>
      <c r="BF16" s="19">
        <f>'13'!G55</f>
        <v>4611.1400000000003</v>
      </c>
      <c r="BG16" s="19">
        <f>'13'!G56</f>
        <v>9.9599999999627471</v>
      </c>
      <c r="BH16" s="19">
        <f>'13'!G57</f>
        <v>0.32999999999992724</v>
      </c>
      <c r="BI16" s="262">
        <f>'13'!G50</f>
        <v>820.80000000004657</v>
      </c>
      <c r="BJ16" s="370">
        <f t="shared" si="12"/>
        <v>4621.0999999999631</v>
      </c>
      <c r="BK16" s="370">
        <f>'13'!G84</f>
        <v>551</v>
      </c>
      <c r="BL16" s="23">
        <f t="shared" si="13"/>
        <v>57.853996578323041</v>
      </c>
      <c r="BM16" s="23">
        <f t="shared" si="14"/>
        <v>14.188010951561406</v>
      </c>
      <c r="BN16" s="24">
        <f t="shared" si="15"/>
        <v>7.8828995823136419E-2</v>
      </c>
      <c r="BO16" s="25">
        <f t="shared" si="16"/>
        <v>179808.99999999613</v>
      </c>
      <c r="BP16" s="213">
        <f t="shared" si="17"/>
        <v>7183.429999999963</v>
      </c>
      <c r="BQ16">
        <f t="shared" si="18"/>
        <v>1.048431023410535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0.63</v>
      </c>
      <c r="G17" s="19">
        <f>'14'!G8</f>
        <v>14430.549999999996</v>
      </c>
      <c r="H17" s="19">
        <f>'14'!G8</f>
        <v>14430.549999999996</v>
      </c>
      <c r="I17" s="19">
        <f>'14'!G7</f>
        <v>14303.68</v>
      </c>
      <c r="J17" s="19">
        <v>10</v>
      </c>
      <c r="K17" s="242">
        <f t="shared" si="3"/>
        <v>144305.49999999994</v>
      </c>
      <c r="L17" s="238">
        <f t="shared" si="4"/>
        <v>70.810297029702966</v>
      </c>
      <c r="M17" s="19">
        <f>'14'!G15</f>
        <v>292.58000000007451</v>
      </c>
      <c r="N17" s="19">
        <v>35</v>
      </c>
      <c r="O17" s="234">
        <f t="shared" si="5"/>
        <v>10240.300000002608</v>
      </c>
      <c r="P17" s="19">
        <f>'14'!G20</f>
        <v>77</v>
      </c>
      <c r="Q17" s="19">
        <v>134</v>
      </c>
      <c r="R17" s="239">
        <f t="shared" si="0"/>
        <v>10318</v>
      </c>
      <c r="S17" s="240">
        <f t="shared" si="1"/>
        <v>60.506050605060508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46</v>
      </c>
      <c r="X17" s="22">
        <f>'14'!G97</f>
        <v>10</v>
      </c>
      <c r="Y17" s="22">
        <f>'14'!G98</f>
        <v>17</v>
      </c>
      <c r="Z17" s="22">
        <f>W17+X17+Y17</f>
        <v>73</v>
      </c>
      <c r="AA17" s="19">
        <f>'14'!G133</f>
        <v>0</v>
      </c>
      <c r="AB17" s="19">
        <f>'14'!G134</f>
        <v>0</v>
      </c>
      <c r="AC17" s="19">
        <f>'14'!G135</f>
        <v>24.229999999995925</v>
      </c>
      <c r="AD17" s="19">
        <f>'14'!G136</f>
        <v>0.41999999999825377</v>
      </c>
      <c r="AE17" s="19">
        <f t="shared" si="8"/>
        <v>24.649999999994179</v>
      </c>
      <c r="AF17" s="23">
        <f t="shared" si="2"/>
        <v>4497.8899999999994</v>
      </c>
      <c r="AG17" s="23">
        <f t="shared" si="9"/>
        <v>182.47018255582401</v>
      </c>
      <c r="AH17" s="19">
        <f>'14'!G137</f>
        <v>0</v>
      </c>
      <c r="AI17" s="19">
        <f>'14'!G138</f>
        <v>0</v>
      </c>
      <c r="AJ17" s="19">
        <f>'14'!G139</f>
        <v>0</v>
      </c>
      <c r="AK17" s="19">
        <f t="shared" si="10"/>
        <v>0</v>
      </c>
      <c r="AL17" s="19">
        <f>'14'!G140</f>
        <v>7.5800000000001546</v>
      </c>
      <c r="AM17" s="19">
        <f>'14'!G141</f>
        <v>0</v>
      </c>
      <c r="AN17" s="19"/>
      <c r="AO17" s="19">
        <f t="shared" si="11"/>
        <v>7.5800000000001546</v>
      </c>
      <c r="AP17" s="258">
        <f>'14'!G124</f>
        <v>201.30999999993946</v>
      </c>
      <c r="AQ17" s="261">
        <f>'14'!G35</f>
        <v>1788.7199999999721</v>
      </c>
      <c r="AR17" s="19">
        <f>'14'!G37</f>
        <v>1194.9100000000035</v>
      </c>
      <c r="AS17" s="19">
        <f>'14'!G38</f>
        <v>1089.1100000000151</v>
      </c>
      <c r="AT17" s="19">
        <f>'14'!G39</f>
        <v>1783.2999999999884</v>
      </c>
      <c r="AU17" s="19">
        <f>'14'!G40</f>
        <v>52.999999999999972</v>
      </c>
      <c r="AV17" s="19">
        <f>'14'!G41</f>
        <v>0</v>
      </c>
      <c r="AW17" s="19">
        <f>'14'!G42</f>
        <v>0</v>
      </c>
      <c r="AX17" s="19">
        <f>'14'!G43</f>
        <v>2007.8999999999069</v>
      </c>
      <c r="AY17" s="23">
        <f>'14'!G44</f>
        <v>0</v>
      </c>
      <c r="AZ17" s="262">
        <f>'14'!G36</f>
        <v>0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424.13999999995576</v>
      </c>
      <c r="BE17" s="19">
        <f>'14'!G54</f>
        <v>71.800000000001091</v>
      </c>
      <c r="BF17" s="19">
        <f>'14'!G55</f>
        <v>4497.8899999999994</v>
      </c>
      <c r="BG17" s="19">
        <f>'14'!G56</f>
        <v>0</v>
      </c>
      <c r="BH17" s="19">
        <f>'14'!G57</f>
        <v>0</v>
      </c>
      <c r="BI17" s="262">
        <f>'14'!G50</f>
        <v>785.8399999999674</v>
      </c>
      <c r="BJ17" s="370">
        <f t="shared" si="12"/>
        <v>4497.8899999999994</v>
      </c>
      <c r="BK17" s="370">
        <f>'14'!G84</f>
        <v>562</v>
      </c>
      <c r="BL17" s="23">
        <f t="shared" si="13"/>
        <v>57.988643481956238</v>
      </c>
      <c r="BM17" s="23">
        <f t="shared" si="14"/>
        <v>15.432671871853566</v>
      </c>
      <c r="BN17" s="24">
        <f t="shared" si="15"/>
        <v>7.6141943891363278E-2</v>
      </c>
      <c r="BO17" s="25">
        <f t="shared" si="16"/>
        <v>164863.80000000255</v>
      </c>
      <c r="BP17" s="213">
        <f t="shared" si="17"/>
        <v>7067.7899999999063</v>
      </c>
      <c r="BQ17">
        <f t="shared" si="18"/>
        <v>1.0240205737469683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0.83</v>
      </c>
      <c r="G18" s="19">
        <f>'15'!G8</f>
        <v>17116.72</v>
      </c>
      <c r="H18" s="19">
        <f>'15'!G8</f>
        <v>17116.72</v>
      </c>
      <c r="I18" s="19">
        <f>'15'!G7</f>
        <v>17032.489999999998</v>
      </c>
      <c r="J18" s="19">
        <v>10</v>
      </c>
      <c r="K18" s="242">
        <f t="shared" si="3"/>
        <v>171167.2</v>
      </c>
      <c r="L18" s="238">
        <f t="shared" si="4"/>
        <v>84.319257425742563</v>
      </c>
      <c r="M18" s="19">
        <f>'15'!G15</f>
        <v>437.41999999992549</v>
      </c>
      <c r="N18" s="19">
        <v>35</v>
      </c>
      <c r="O18" s="234">
        <f t="shared" si="5"/>
        <v>15309.699999997392</v>
      </c>
      <c r="P18" s="19">
        <f>'15'!G20</f>
        <v>116</v>
      </c>
      <c r="Q18" s="19">
        <v>134</v>
      </c>
      <c r="R18" s="239">
        <f t="shared" si="0"/>
        <v>15544</v>
      </c>
      <c r="S18" s="240">
        <f t="shared" si="1"/>
        <v>69.187641655731838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8">
        <f>'15'!G124</f>
        <v>200.9100000000326</v>
      </c>
      <c r="AQ18" s="261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62">
        <f>'15'!G36</f>
        <v>0</v>
      </c>
      <c r="BA18" s="261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62">
        <f>'15'!G50</f>
        <v>895.01000000000931</v>
      </c>
      <c r="BJ18" s="370">
        <f t="shared" si="12"/>
        <v>5855.1400000000194</v>
      </c>
      <c r="BK18" s="370">
        <f>'15'!G84</f>
        <v>599</v>
      </c>
      <c r="BL18" s="23">
        <f t="shared" si="13"/>
        <v>58.340618429836795</v>
      </c>
      <c r="BM18" s="23">
        <f t="shared" si="14"/>
        <v>15.54570118637972</v>
      </c>
      <c r="BN18" s="24">
        <f t="shared" si="15"/>
        <v>7.7261750924265932E-2</v>
      </c>
      <c r="BO18" s="25">
        <f t="shared" si="16"/>
        <v>202020.8999999974</v>
      </c>
      <c r="BP18" s="213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15155</v>
      </c>
      <c r="H19" s="19">
        <f>'16'!G8</f>
        <v>15155</v>
      </c>
      <c r="I19" s="19">
        <f>'16'!G7</f>
        <v>15022</v>
      </c>
      <c r="J19" s="19">
        <v>10</v>
      </c>
      <c r="K19" s="242">
        <f t="shared" si="3"/>
        <v>151550</v>
      </c>
      <c r="L19" s="238">
        <f t="shared" si="4"/>
        <v>74.366336633663366</v>
      </c>
      <c r="M19" s="19">
        <f>'16'!G15</f>
        <v>317</v>
      </c>
      <c r="N19" s="19">
        <v>35</v>
      </c>
      <c r="O19" s="234">
        <f t="shared" si="5"/>
        <v>11095</v>
      </c>
      <c r="P19" s="19">
        <f>'16'!G20</f>
        <v>117</v>
      </c>
      <c r="Q19" s="19">
        <v>134</v>
      </c>
      <c r="R19" s="239">
        <f t="shared" si="0"/>
        <v>15678</v>
      </c>
      <c r="S19" s="240">
        <f t="shared" si="1"/>
        <v>111.38613861386139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8">
        <f>'16'!G124</f>
        <v>209</v>
      </c>
      <c r="AQ19" s="261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62">
        <f>'16'!G36</f>
        <v>0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62">
        <f>'16'!G50</f>
        <v>821</v>
      </c>
      <c r="BJ19" s="370">
        <f t="shared" si="12"/>
        <v>4448</v>
      </c>
      <c r="BK19" s="370">
        <f>'16'!G84</f>
        <v>511</v>
      </c>
      <c r="BL19" s="23">
        <f t="shared" si="13"/>
        <v>56.584542670749599</v>
      </c>
      <c r="BM19" s="23">
        <f t="shared" si="14"/>
        <v>17.36120356810012</v>
      </c>
      <c r="BN19" s="24">
        <f t="shared" si="15"/>
        <v>7.302622819864199E-2</v>
      </c>
      <c r="BO19" s="25">
        <f t="shared" si="16"/>
        <v>178323</v>
      </c>
      <c r="BP19" s="213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15048</v>
      </c>
      <c r="H20" s="19">
        <f>'17'!G8</f>
        <v>15048</v>
      </c>
      <c r="I20" s="19">
        <f>'17'!G7</f>
        <v>14872</v>
      </c>
      <c r="J20" s="19">
        <v>10</v>
      </c>
      <c r="K20" s="242">
        <f t="shared" si="3"/>
        <v>150480</v>
      </c>
      <c r="L20" s="238">
        <f t="shared" si="4"/>
        <v>73.623762376237622</v>
      </c>
      <c r="M20" s="19">
        <f>'17'!G15</f>
        <v>562</v>
      </c>
      <c r="N20" s="19">
        <v>35</v>
      </c>
      <c r="O20" s="234">
        <f t="shared" si="5"/>
        <v>19670</v>
      </c>
      <c r="P20" s="19">
        <f>'17'!G20</f>
        <v>76</v>
      </c>
      <c r="Q20" s="19">
        <v>134</v>
      </c>
      <c r="R20" s="239">
        <f t="shared" si="0"/>
        <v>10184</v>
      </c>
      <c r="S20" s="240">
        <f t="shared" si="1"/>
        <v>62.706270627062707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8">
        <f>'17'!G124</f>
        <v>214</v>
      </c>
      <c r="AQ20" s="261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62">
        <f>'17'!G36</f>
        <v>0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62">
        <f>'17'!G50</f>
        <v>762</v>
      </c>
      <c r="BJ20" s="370">
        <f t="shared" si="12"/>
        <v>4494</v>
      </c>
      <c r="BK20" s="370">
        <f>'17'!G84</f>
        <v>419</v>
      </c>
      <c r="BL20" s="23">
        <f t="shared" si="13"/>
        <v>54.679935449166216</v>
      </c>
      <c r="BM20" s="23">
        <f t="shared" si="14"/>
        <v>17.791823561054329</v>
      </c>
      <c r="BN20" s="24">
        <f t="shared" si="15"/>
        <v>7.06024744486283E-2</v>
      </c>
      <c r="BO20" s="25">
        <f t="shared" si="16"/>
        <v>180334</v>
      </c>
      <c r="BP20" s="213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15496</v>
      </c>
      <c r="H21" s="19">
        <f>'18'!G8</f>
        <v>15496</v>
      </c>
      <c r="I21" s="19">
        <f>'18'!G7</f>
        <v>15342</v>
      </c>
      <c r="J21" s="19">
        <v>10</v>
      </c>
      <c r="K21" s="242">
        <f t="shared" si="3"/>
        <v>154960</v>
      </c>
      <c r="L21" s="238">
        <f t="shared" si="4"/>
        <v>75.950495049504951</v>
      </c>
      <c r="M21" s="19">
        <f>'18'!G15</f>
        <v>400</v>
      </c>
      <c r="N21" s="19">
        <v>35</v>
      </c>
      <c r="O21" s="234">
        <f t="shared" si="5"/>
        <v>14000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56.899621952809291</v>
      </c>
      <c r="BM21" s="23">
        <f t="shared" si="14"/>
        <v>17.109894407508801</v>
      </c>
      <c r="BN21" s="24">
        <f t="shared" si="15"/>
        <v>7.0460174683874333E-2</v>
      </c>
      <c r="BO21" s="25">
        <f t="shared" si="16"/>
        <v>183030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33</v>
      </c>
      <c r="E22" s="256">
        <f>'19'!D4</f>
        <v>0.79</v>
      </c>
      <c r="F22" s="256">
        <f>'19'!D2</f>
        <v>0.77</v>
      </c>
      <c r="G22" s="19">
        <f>'19'!G8</f>
        <v>5420408</v>
      </c>
      <c r="H22" s="19">
        <f>'19'!G8</f>
        <v>5420408</v>
      </c>
      <c r="I22" s="19">
        <f>'19'!G7</f>
        <v>5388415</v>
      </c>
      <c r="J22" s="19">
        <v>10</v>
      </c>
      <c r="K22" s="242">
        <f t="shared" si="3"/>
        <v>54204080</v>
      </c>
      <c r="L22" s="238">
        <f t="shared" si="4"/>
        <v>26675.321782178216</v>
      </c>
      <c r="M22" s="19">
        <f>'19'!G15</f>
        <v>-15200</v>
      </c>
      <c r="N22" s="19">
        <v>35</v>
      </c>
      <c r="O22" s="234">
        <f t="shared" si="5"/>
        <v>-532000</v>
      </c>
      <c r="P22" s="19">
        <f>'19'!G20</f>
        <v>-1580</v>
      </c>
      <c r="Q22" s="19">
        <v>134</v>
      </c>
      <c r="R22" s="239">
        <f t="shared" si="0"/>
        <v>-211720</v>
      </c>
      <c r="S22" s="240">
        <f t="shared" si="1"/>
        <v>-1015.8158673010159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-1531</v>
      </c>
      <c r="X22" s="22">
        <f>'19'!G97</f>
        <v>-356</v>
      </c>
      <c r="Y22" s="22">
        <f>'19'!G98</f>
        <v>-418</v>
      </c>
      <c r="Z22" s="22">
        <f t="shared" si="7"/>
        <v>-2305</v>
      </c>
      <c r="AA22" s="19">
        <f>'19'!G133</f>
        <v>-372.2899999999936</v>
      </c>
      <c r="AB22" s="19">
        <f>'19'!G134</f>
        <v>0</v>
      </c>
      <c r="AC22" s="19">
        <f>'19'!G135</f>
        <v>-342</v>
      </c>
      <c r="AD22" s="19">
        <f>'19'!G136</f>
        <v>-6.0000000001309672E-2</v>
      </c>
      <c r="AE22" s="19">
        <f t="shared" si="8"/>
        <v>-714.34999999999491</v>
      </c>
      <c r="AF22" s="23">
        <f t="shared" si="2"/>
        <v>195368.99000000005</v>
      </c>
      <c r="AG22" s="23">
        <f t="shared" si="9"/>
        <v>-273.49197172254696</v>
      </c>
      <c r="AH22" s="19">
        <f>'19'!G137</f>
        <v>-101.20000000000073</v>
      </c>
      <c r="AI22" s="19">
        <f>'19'!G138</f>
        <v>-1.7200000000011642</v>
      </c>
      <c r="AJ22" s="19">
        <f>'19'!G139</f>
        <v>-83.279999999998836</v>
      </c>
      <c r="AK22" s="19">
        <f t="shared" si="10"/>
        <v>-186.20000000000073</v>
      </c>
      <c r="AL22" s="19">
        <f>'19'!G140</f>
        <v>-218.75</v>
      </c>
      <c r="AM22" s="19">
        <f>'19'!G141</f>
        <v>-12.619999999999891</v>
      </c>
      <c r="AN22" s="19"/>
      <c r="AO22" s="19">
        <f t="shared" si="11"/>
        <v>-231.36999999999989</v>
      </c>
      <c r="AP22" s="258">
        <f>'19'!G124</f>
        <v>-6190</v>
      </c>
      <c r="AQ22" s="261">
        <f>'19'!G35</f>
        <v>-65142</v>
      </c>
      <c r="AR22" s="19">
        <f>'19'!G37</f>
        <v>-36567</v>
      </c>
      <c r="AS22" s="19">
        <f>'19'!G38</f>
        <v>-36833</v>
      </c>
      <c r="AT22" s="19">
        <f>'19'!G39</f>
        <v>-63063</v>
      </c>
      <c r="AU22" s="19">
        <f>'19'!G40</f>
        <v>-519</v>
      </c>
      <c r="AV22" s="19">
        <f>'19'!G41</f>
        <v>-77758</v>
      </c>
      <c r="AW22" s="19">
        <f>'19'!G42</f>
        <v>-72</v>
      </c>
      <c r="AX22" s="19">
        <f>'19'!G43</f>
        <v>-65003</v>
      </c>
      <c r="AY22" s="23">
        <f>'19'!G44</f>
        <v>0</v>
      </c>
      <c r="AZ22" s="262">
        <f>'19'!G36</f>
        <v>-11377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534</v>
      </c>
      <c r="BE22" s="19">
        <f>'19'!G54</f>
        <v>-2141</v>
      </c>
      <c r="BF22" s="19">
        <f>'19'!G55</f>
        <v>273484.46000000002</v>
      </c>
      <c r="BG22" s="19">
        <f>'19'!G56</f>
        <v>-285.46999999997206</v>
      </c>
      <c r="BH22" s="19">
        <f>'19'!G57</f>
        <v>-0.32999999999992724</v>
      </c>
      <c r="BI22" s="262">
        <f>'19'!G50</f>
        <v>-28272</v>
      </c>
      <c r="BJ22" s="370">
        <f t="shared" si="12"/>
        <v>195368.99000000005</v>
      </c>
      <c r="BK22" s="370">
        <f>'19'!G84</f>
        <v>-20511</v>
      </c>
      <c r="BL22" s="23">
        <f t="shared" si="13"/>
        <v>1.2104399902383176</v>
      </c>
      <c r="BM22" s="23">
        <f t="shared" si="14"/>
        <v>-1.160434005175919</v>
      </c>
      <c r="BN22" s="24">
        <f t="shared" si="15"/>
        <v>-6.8355907998919902E-3</v>
      </c>
      <c r="BO22" s="25">
        <f t="shared" si="16"/>
        <v>53460360</v>
      </c>
      <c r="BP22" s="213">
        <f t="shared" si="17"/>
        <v>109854.66000000005</v>
      </c>
      <c r="BQ22">
        <f t="shared" si="18"/>
        <v>-0.54922386985171745</v>
      </c>
    </row>
    <row r="23" spans="1:69">
      <c r="A23" s="16">
        <v>20</v>
      </c>
      <c r="B23" s="26">
        <v>20</v>
      </c>
      <c r="C23" s="26"/>
      <c r="D23" s="19">
        <f>'20'!D3</f>
        <v>33</v>
      </c>
      <c r="E23" s="256">
        <f>'20'!D4</f>
        <v>0.79</v>
      </c>
      <c r="F23" s="256">
        <f>'20'!D2</f>
        <v>0.77</v>
      </c>
      <c r="G23" s="19">
        <f>'20'!G8</f>
        <v>20216</v>
      </c>
      <c r="H23" s="19">
        <f>'20'!G8</f>
        <v>20216</v>
      </c>
      <c r="I23" s="19">
        <f>'20'!G7</f>
        <v>20160</v>
      </c>
      <c r="J23" s="19">
        <v>10</v>
      </c>
      <c r="K23" s="242">
        <f t="shared" si="3"/>
        <v>202160</v>
      </c>
      <c r="L23" s="238">
        <f t="shared" si="4"/>
        <v>99.801980198019805</v>
      </c>
      <c r="M23" s="19">
        <f>'20'!G15</f>
        <v>772</v>
      </c>
      <c r="N23" s="19">
        <v>35</v>
      </c>
      <c r="O23" s="234">
        <f t="shared" si="5"/>
        <v>27020</v>
      </c>
      <c r="P23" s="19">
        <f>'20'!G20</f>
        <v>141</v>
      </c>
      <c r="Q23" s="19">
        <v>134</v>
      </c>
      <c r="R23" s="239">
        <f t="shared" si="0"/>
        <v>18894</v>
      </c>
      <c r="S23" s="240">
        <f t="shared" si="1"/>
        <v>90.65192233509066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77</v>
      </c>
      <c r="X23" s="22">
        <f>'20'!G97</f>
        <v>19</v>
      </c>
      <c r="Y23" s="22">
        <f>'20'!G98</f>
        <v>20</v>
      </c>
      <c r="Z23" s="22">
        <f t="shared" si="7"/>
        <v>116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5991</v>
      </c>
      <c r="AG23" s="23">
        <f t="shared" si="9"/>
        <v>249.625</v>
      </c>
      <c r="AH23" s="19">
        <f>'20'!G137</f>
        <v>5.3800000000010186</v>
      </c>
      <c r="AI23" s="19">
        <f>'20'!G138</f>
        <v>0</v>
      </c>
      <c r="AJ23" s="19">
        <f>'20'!G139</f>
        <v>4.319999999992433</v>
      </c>
      <c r="AK23" s="19">
        <f t="shared" si="10"/>
        <v>9.6999999999934516</v>
      </c>
      <c r="AL23" s="19">
        <f>'20'!G140</f>
        <v>0</v>
      </c>
      <c r="AM23" s="19">
        <f>'20'!G141</f>
        <v>8.3400000000001455</v>
      </c>
      <c r="AN23" s="19"/>
      <c r="AO23" s="19">
        <f t="shared" si="11"/>
        <v>8.3400000000001455</v>
      </c>
      <c r="AP23" s="258">
        <f>'20'!G124</f>
        <v>252</v>
      </c>
      <c r="AQ23" s="261">
        <f>'20'!G35</f>
        <v>2817</v>
      </c>
      <c r="AR23" s="19">
        <f>'20'!G37</f>
        <v>1368</v>
      </c>
      <c r="AS23" s="19">
        <f>'20'!G38</f>
        <v>1488</v>
      </c>
      <c r="AT23" s="19">
        <f>'20'!G39</f>
        <v>2847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2277</v>
      </c>
      <c r="AY23" s="23">
        <f>'20'!G44</f>
        <v>0</v>
      </c>
      <c r="AZ23" s="262">
        <f>'20'!G36</f>
        <v>1068</v>
      </c>
      <c r="BA23" s="261">
        <f>'20'!G49</f>
        <v>0.13000000000465661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76</v>
      </c>
      <c r="BF23" s="19">
        <f>'20'!G55</f>
        <v>5982</v>
      </c>
      <c r="BG23" s="19">
        <f>'20'!G56</f>
        <v>9</v>
      </c>
      <c r="BH23" s="19">
        <f>'20'!G57</f>
        <v>0</v>
      </c>
      <c r="BI23" s="262">
        <f>'20'!G50</f>
        <v>1139</v>
      </c>
      <c r="BJ23" s="370">
        <f t="shared" si="12"/>
        <v>5991</v>
      </c>
      <c r="BK23" s="370">
        <f>'20'!G84</f>
        <v>805</v>
      </c>
      <c r="BL23" s="23">
        <f t="shared" si="13"/>
        <v>54.985763888888911</v>
      </c>
      <c r="BM23" s="23">
        <f t="shared" si="14"/>
        <v>14.12202380952381</v>
      </c>
      <c r="BN23" s="24">
        <f t="shared" si="15"/>
        <v>7.3809523809523811E-2</v>
      </c>
      <c r="BO23" s="25">
        <f t="shared" si="16"/>
        <v>248074</v>
      </c>
      <c r="BP23" s="213">
        <f t="shared" si="17"/>
        <v>9073</v>
      </c>
      <c r="BQ23">
        <f t="shared" si="18"/>
        <v>1.3501488095238094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</v>
      </c>
      <c r="F24" s="256">
        <f>'21'!D2</f>
        <v>0.76</v>
      </c>
      <c r="G24" s="19">
        <f>'21'!G8</f>
        <v>19654</v>
      </c>
      <c r="H24" s="19">
        <f>'21'!G8</f>
        <v>19654</v>
      </c>
      <c r="I24" s="19">
        <f>'21'!G7</f>
        <v>19605</v>
      </c>
      <c r="J24" s="19">
        <v>10</v>
      </c>
      <c r="K24" s="242">
        <f t="shared" si="3"/>
        <v>196540</v>
      </c>
      <c r="L24" s="238">
        <f t="shared" si="4"/>
        <v>97.054455445544548</v>
      </c>
      <c r="M24" s="19">
        <f>'21'!G15</f>
        <v>700</v>
      </c>
      <c r="N24" s="19">
        <v>35</v>
      </c>
      <c r="O24" s="234">
        <f t="shared" si="5"/>
        <v>24500</v>
      </c>
      <c r="P24" s="19">
        <f>'21'!G20</f>
        <v>158</v>
      </c>
      <c r="Q24" s="19">
        <v>134</v>
      </c>
      <c r="R24" s="239">
        <f t="shared" si="0"/>
        <v>21172</v>
      </c>
      <c r="S24" s="240">
        <f t="shared" si="1"/>
        <v>102.91818655549764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79</v>
      </c>
      <c r="X24" s="22">
        <f>'21'!G97</f>
        <v>19</v>
      </c>
      <c r="Y24" s="22">
        <f>'21'!G98</f>
        <v>15</v>
      </c>
      <c r="Z24" s="22">
        <f t="shared" si="7"/>
        <v>113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5862</v>
      </c>
      <c r="AG24" s="23">
        <f t="shared" si="9"/>
        <v>244.25</v>
      </c>
      <c r="AH24" s="19">
        <f>'21'!G137</f>
        <v>5.6199999999989814</v>
      </c>
      <c r="AI24" s="19">
        <f>'21'!G138</f>
        <v>0</v>
      </c>
      <c r="AJ24" s="19">
        <f>'21'!G139</f>
        <v>3.4800000000104774</v>
      </c>
      <c r="AK24" s="19">
        <f t="shared" si="10"/>
        <v>9.1000000000094587</v>
      </c>
      <c r="AL24" s="19">
        <f>'21'!G140</f>
        <v>4.5099999999999909</v>
      </c>
      <c r="AM24" s="19">
        <f>'21'!G141</f>
        <v>4.2599999999993088</v>
      </c>
      <c r="AN24" s="19"/>
      <c r="AO24" s="19">
        <f t="shared" si="11"/>
        <v>8.7699999999992997</v>
      </c>
      <c r="AP24" s="258">
        <f>'21'!G124</f>
        <v>246</v>
      </c>
      <c r="AQ24" s="261">
        <f>'21'!G35</f>
        <v>2824</v>
      </c>
      <c r="AR24" s="19">
        <f>'21'!G37</f>
        <v>1328</v>
      </c>
      <c r="AS24" s="19">
        <f>'21'!G38</f>
        <v>1434</v>
      </c>
      <c r="AT24" s="19">
        <f>'21'!G39</f>
        <v>2797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2286</v>
      </c>
      <c r="AY24" s="23">
        <f>'21'!G44</f>
        <v>0</v>
      </c>
      <c r="AZ24" s="262">
        <f>'21'!G36</f>
        <v>968</v>
      </c>
      <c r="BA24" s="261">
        <f>'21'!G49</f>
        <v>0</v>
      </c>
      <c r="BB24" s="19">
        <f>'21'!G51</f>
        <v>0</v>
      </c>
      <c r="BC24" s="19">
        <f>'21'!G52</f>
        <v>6.9999999948777258E-2</v>
      </c>
      <c r="BD24" s="19">
        <f>'21'!G53</f>
        <v>557</v>
      </c>
      <c r="BE24" s="19">
        <f>'21'!G54</f>
        <v>77</v>
      </c>
      <c r="BF24" s="19">
        <f>'21'!G55</f>
        <v>5853</v>
      </c>
      <c r="BG24" s="19">
        <f>'21'!G56</f>
        <v>9</v>
      </c>
      <c r="BH24" s="19">
        <f>'21'!G57</f>
        <v>0</v>
      </c>
      <c r="BI24" s="262">
        <f>'21'!G50</f>
        <v>1022</v>
      </c>
      <c r="BJ24" s="370">
        <f t="shared" si="12"/>
        <v>5862</v>
      </c>
      <c r="BK24" s="370">
        <f>'21'!G84</f>
        <v>798</v>
      </c>
      <c r="BL24" s="23">
        <f t="shared" si="13"/>
        <v>55.965314970670747</v>
      </c>
      <c r="BM24" s="23">
        <f t="shared" si="14"/>
        <v>17.107880642693189</v>
      </c>
      <c r="BN24" s="24">
        <f t="shared" si="15"/>
        <v>7.3148176485587801E-2</v>
      </c>
      <c r="BO24" s="25">
        <f t="shared" si="16"/>
        <v>242212</v>
      </c>
      <c r="BP24" s="213">
        <f t="shared" si="17"/>
        <v>8946</v>
      </c>
      <c r="BQ24">
        <f t="shared" si="18"/>
        <v>1.33125</v>
      </c>
    </row>
    <row r="25" spans="1:69">
      <c r="A25" s="16">
        <v>22</v>
      </c>
      <c r="B25" s="27">
        <v>22</v>
      </c>
      <c r="C25" s="28"/>
      <c r="D25" s="19">
        <f>'22'!D3</f>
        <v>33</v>
      </c>
      <c r="E25" s="256">
        <f>'22'!D4</f>
        <v>0.8</v>
      </c>
      <c r="F25" s="256">
        <f>'22'!D2</f>
        <v>0.76</v>
      </c>
      <c r="G25" s="19">
        <f>'22'!G8</f>
        <v>19819</v>
      </c>
      <c r="H25" s="19">
        <f>'22'!G8</f>
        <v>19819</v>
      </c>
      <c r="I25" s="19">
        <f>'22'!G7</f>
        <v>19762</v>
      </c>
      <c r="J25" s="19">
        <v>10</v>
      </c>
      <c r="K25" s="242">
        <f t="shared" si="3"/>
        <v>198190</v>
      </c>
      <c r="L25" s="238">
        <f t="shared" si="4"/>
        <v>97.831683168316829</v>
      </c>
      <c r="M25" s="19">
        <f>'22'!G15</f>
        <v>767</v>
      </c>
      <c r="N25" s="19">
        <v>35</v>
      </c>
      <c r="O25" s="234">
        <f t="shared" si="5"/>
        <v>26845</v>
      </c>
      <c r="P25" s="19">
        <f>'22'!G20</f>
        <v>159</v>
      </c>
      <c r="Q25" s="19">
        <v>134</v>
      </c>
      <c r="R25" s="239">
        <f t="shared" si="0"/>
        <v>21306</v>
      </c>
      <c r="S25" s="240">
        <f t="shared" si="1"/>
        <v>103.56956748306409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64</v>
      </c>
      <c r="X25" s="22">
        <f>'22'!G97</f>
        <v>17</v>
      </c>
      <c r="Y25" s="22">
        <f>'22'!G98</f>
        <v>19</v>
      </c>
      <c r="Z25" s="22">
        <f t="shared" si="7"/>
        <v>100</v>
      </c>
      <c r="AA25" s="19">
        <f>'22'!G133</f>
        <v>0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24.010000000002037</v>
      </c>
      <c r="AF25" s="23">
        <f t="shared" si="2"/>
        <v>5930</v>
      </c>
      <c r="AG25" s="23">
        <f t="shared" si="9"/>
        <v>246.98042482296947</v>
      </c>
      <c r="AH25" s="19">
        <f>'22'!G137</f>
        <v>8.8499999999985448</v>
      </c>
      <c r="AI25" s="19">
        <f>'22'!G138</f>
        <v>0</v>
      </c>
      <c r="AJ25" s="19">
        <f>'22'!G139</f>
        <v>0.70999999999185093</v>
      </c>
      <c r="AK25" s="19">
        <f t="shared" si="10"/>
        <v>9.5599999999903957</v>
      </c>
      <c r="AL25" s="19">
        <f>'22'!G140</f>
        <v>8.7999999999999545</v>
      </c>
      <c r="AM25" s="19">
        <f>'22'!G141</f>
        <v>0</v>
      </c>
      <c r="AN25" s="19"/>
      <c r="AO25" s="19">
        <f t="shared" si="11"/>
        <v>8.7999999999999545</v>
      </c>
      <c r="AP25" s="258">
        <f>'22'!G124</f>
        <v>238</v>
      </c>
      <c r="AQ25" s="261">
        <f>'22'!G35</f>
        <v>2785</v>
      </c>
      <c r="AR25" s="19">
        <f>'22'!G37</f>
        <v>1343</v>
      </c>
      <c r="AS25" s="19">
        <f>'22'!G38</f>
        <v>1462</v>
      </c>
      <c r="AT25" s="19">
        <f>'22'!G39</f>
        <v>2834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2328</v>
      </c>
      <c r="AY25" s="23">
        <f>'22'!G44</f>
        <v>0</v>
      </c>
      <c r="AZ25" s="262">
        <f>'22'!G36</f>
        <v>1061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530</v>
      </c>
      <c r="BE25" s="19">
        <f>'22'!G54</f>
        <v>76</v>
      </c>
      <c r="BF25" s="19">
        <f>'22'!G55</f>
        <v>5920</v>
      </c>
      <c r="BG25" s="19">
        <f>'22'!G56</f>
        <v>10</v>
      </c>
      <c r="BH25" s="19">
        <f>'22'!G57</f>
        <v>0</v>
      </c>
      <c r="BI25" s="262">
        <f>'22'!G50</f>
        <v>955</v>
      </c>
      <c r="BJ25" s="370">
        <f t="shared" si="12"/>
        <v>5930</v>
      </c>
      <c r="BK25" s="370">
        <f>'22'!G84</f>
        <v>782</v>
      </c>
      <c r="BL25" s="23">
        <f t="shared" si="13"/>
        <v>55.879971662787163</v>
      </c>
      <c r="BM25" s="23">
        <f t="shared" si="14"/>
        <v>17.022568565934623</v>
      </c>
      <c r="BN25" s="24">
        <f t="shared" si="15"/>
        <v>7.3980366359680194E-2</v>
      </c>
      <c r="BO25" s="25">
        <f t="shared" si="16"/>
        <v>246341</v>
      </c>
      <c r="BP25" s="213">
        <f t="shared" si="17"/>
        <v>9040</v>
      </c>
      <c r="BQ25">
        <f t="shared" si="18"/>
        <v>1.3446778128159744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19983</v>
      </c>
      <c r="H26" s="19">
        <f>'23'!G8</f>
        <v>19983</v>
      </c>
      <c r="I26" s="19">
        <f>'23'!G7</f>
        <v>19931</v>
      </c>
      <c r="J26" s="19">
        <v>10</v>
      </c>
      <c r="K26" s="242">
        <f t="shared" si="3"/>
        <v>199830</v>
      </c>
      <c r="L26" s="238">
        <f t="shared" si="4"/>
        <v>98.668316831683171</v>
      </c>
      <c r="M26" s="19">
        <f>'23'!G15</f>
        <v>824.37599999993108</v>
      </c>
      <c r="N26" s="19">
        <v>35</v>
      </c>
      <c r="O26" s="234">
        <f t="shared" si="5"/>
        <v>28853.159999997588</v>
      </c>
      <c r="P26" s="19">
        <f>'23'!G20</f>
        <v>138</v>
      </c>
      <c r="Q26" s="19">
        <v>134</v>
      </c>
      <c r="R26" s="239">
        <f t="shared" si="0"/>
        <v>18492</v>
      </c>
      <c r="S26" s="240">
        <f t="shared" si="1"/>
        <v>131.37852246763137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65</v>
      </c>
      <c r="X26" s="22">
        <f>'23'!G97</f>
        <v>19</v>
      </c>
      <c r="Y26" s="22">
        <f>'23'!G98</f>
        <v>21</v>
      </c>
      <c r="Z26" s="22">
        <f t="shared" si="7"/>
        <v>105</v>
      </c>
      <c r="AA26" s="19">
        <f>'23'!G133</f>
        <v>-0.23000000000320142</v>
      </c>
      <c r="AB26" s="19">
        <f>'23'!G134</f>
        <v>0</v>
      </c>
      <c r="AC26" s="19">
        <f>'23'!G135</f>
        <v>24</v>
      </c>
      <c r="AD26" s="19">
        <f>'23'!G136</f>
        <v>0</v>
      </c>
      <c r="AE26" s="19">
        <f t="shared" si="8"/>
        <v>23.769999999996799</v>
      </c>
      <c r="AF26" s="23">
        <f t="shared" si="2"/>
        <v>5802.1230000000505</v>
      </c>
      <c r="AG26" s="23">
        <f t="shared" si="9"/>
        <v>244.09436264202068</v>
      </c>
      <c r="AH26" s="19">
        <f>'23'!G137</f>
        <v>9.2100000000027649</v>
      </c>
      <c r="AI26" s="19">
        <f>'23'!G138</f>
        <v>1.4900000000016007</v>
      </c>
      <c r="AJ26" s="19">
        <f>'23'!G139</f>
        <v>0</v>
      </c>
      <c r="AK26" s="19">
        <f t="shared" si="10"/>
        <v>10.700000000004366</v>
      </c>
      <c r="AL26" s="19">
        <f>'23'!G140</f>
        <v>9.5700000000001637</v>
      </c>
      <c r="AM26" s="19">
        <f>'23'!G141</f>
        <v>2.0000000000436557E-2</v>
      </c>
      <c r="AN26" s="19"/>
      <c r="AO26" s="19">
        <f t="shared" si="11"/>
        <v>9.5900000000006003</v>
      </c>
      <c r="AP26" s="258">
        <f>'23'!G124</f>
        <v>259.4100000000326</v>
      </c>
      <c r="AQ26" s="261">
        <f>'23'!G35</f>
        <v>2814.390000000014</v>
      </c>
      <c r="AR26" s="19">
        <f>'23'!G37</f>
        <v>1398.8899999999994</v>
      </c>
      <c r="AS26" s="19">
        <f>'23'!G38</f>
        <v>1433.2400000000052</v>
      </c>
      <c r="AT26" s="19">
        <f>'23'!G39</f>
        <v>2983.890000000014</v>
      </c>
      <c r="AU26" s="19">
        <f>'23'!G40</f>
        <v>0.23</v>
      </c>
      <c r="AV26" s="19">
        <f>'23'!G41</f>
        <v>0.42000000001280569</v>
      </c>
      <c r="AW26" s="19">
        <f>'23'!G42</f>
        <v>0.16300000000046566</v>
      </c>
      <c r="AX26" s="19">
        <f>'23'!G43</f>
        <v>2355.4300000000512</v>
      </c>
      <c r="AY26" s="23">
        <f>'23'!G44</f>
        <v>0</v>
      </c>
      <c r="AZ26" s="262">
        <f>'23'!G36</f>
        <v>1122.9500000000116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583.22999999998137</v>
      </c>
      <c r="BE26" s="19">
        <f>'23'!G54</f>
        <v>74.809999999999491</v>
      </c>
      <c r="BF26" s="19">
        <f>'23'!G55</f>
        <v>5792.1500000000233</v>
      </c>
      <c r="BG26" s="19">
        <f>'23'!G56</f>
        <v>9.3900000000139698</v>
      </c>
      <c r="BH26" s="19">
        <f>'23'!G57</f>
        <v>0</v>
      </c>
      <c r="BI26" s="262">
        <f>'23'!G50</f>
        <v>1104.2700000000186</v>
      </c>
      <c r="BJ26" s="370">
        <f t="shared" si="12"/>
        <v>5802.1230000000505</v>
      </c>
      <c r="BK26" s="370">
        <f>'23'!G84</f>
        <v>788</v>
      </c>
      <c r="BL26" s="23">
        <f t="shared" si="13"/>
        <v>55.049636245045988</v>
      </c>
      <c r="BM26" s="23">
        <f t="shared" si="14"/>
        <v>17.897345843158874</v>
      </c>
      <c r="BN26" s="24">
        <f t="shared" si="15"/>
        <v>7.191008980984423E-2</v>
      </c>
      <c r="BO26" s="25">
        <f t="shared" si="16"/>
        <v>247175.15999999759</v>
      </c>
      <c r="BP26" s="213">
        <f t="shared" si="17"/>
        <v>8945.5530000001017</v>
      </c>
      <c r="BQ26">
        <f t="shared" si="18"/>
        <v>1.3440640964002204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20016</v>
      </c>
      <c r="H27" s="19">
        <f>'24'!G8</f>
        <v>20016</v>
      </c>
      <c r="I27" s="19">
        <f>'24'!G7</f>
        <v>19964</v>
      </c>
      <c r="J27" s="19">
        <v>10</v>
      </c>
      <c r="K27" s="242">
        <f t="shared" si="3"/>
        <v>200160</v>
      </c>
      <c r="L27" s="238">
        <f t="shared" si="4"/>
        <v>98.831683168316829</v>
      </c>
      <c r="M27" s="19">
        <f>'24'!G15</f>
        <v>817.29200000013225</v>
      </c>
      <c r="N27" s="19">
        <v>35</v>
      </c>
      <c r="O27" s="234">
        <f t="shared" si="5"/>
        <v>28605.220000004629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'24'!G96</f>
        <v>96</v>
      </c>
      <c r="X27" s="22">
        <f>'24'!G97</f>
        <v>21</v>
      </c>
      <c r="Y27" s="22">
        <f>'24'!G98</f>
        <v>17</v>
      </c>
      <c r="Z27" s="22">
        <f t="shared" si="7"/>
        <v>134</v>
      </c>
      <c r="AA27" s="19">
        <f>'24'!G133</f>
        <v>0</v>
      </c>
      <c r="AB27" s="19">
        <f>'24'!G134</f>
        <v>0</v>
      </c>
      <c r="AC27" s="19">
        <f>'24'!G135</f>
        <v>24</v>
      </c>
      <c r="AD27" s="19">
        <f>'24'!G136</f>
        <v>0</v>
      </c>
      <c r="AE27" s="19">
        <f t="shared" si="8"/>
        <v>24</v>
      </c>
      <c r="AF27" s="23">
        <f t="shared" si="2"/>
        <v>5836.2600000000093</v>
      </c>
      <c r="AG27" s="23">
        <f t="shared" si="9"/>
        <v>243.17750000000038</v>
      </c>
      <c r="AH27" s="19">
        <f>'24'!G137</f>
        <v>9.7999999999992724</v>
      </c>
      <c r="AI27" s="19">
        <f>'24'!G138</f>
        <v>0</v>
      </c>
      <c r="AJ27" s="19">
        <f>'24'!G139</f>
        <v>0</v>
      </c>
      <c r="AK27" s="19">
        <f t="shared" si="10"/>
        <v>9.7999999999992724</v>
      </c>
      <c r="AL27" s="19">
        <f>'24'!G140</f>
        <v>8.6799999999998363</v>
      </c>
      <c r="AM27" s="19">
        <f>'24'!G141</f>
        <v>-0.3000000000001819</v>
      </c>
      <c r="AN27" s="19"/>
      <c r="AO27" s="19">
        <f t="shared" si="11"/>
        <v>8.3799999999996544</v>
      </c>
      <c r="AP27" s="258">
        <f>'24'!G124</f>
        <v>235.02999999991152</v>
      </c>
      <c r="AQ27" s="261">
        <f>'24'!G35</f>
        <v>2831.359999999986</v>
      </c>
      <c r="AR27" s="19">
        <f>'24'!G37</f>
        <v>1337.4499999999971</v>
      </c>
      <c r="AS27" s="19">
        <f>'24'!G38</f>
        <v>1505.5699999999924</v>
      </c>
      <c r="AT27" s="19">
        <f>'24'!G39</f>
        <v>2938.1599999999744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2344.4199999999255</v>
      </c>
      <c r="AY27" s="23">
        <f>'24'!G44</f>
        <v>0</v>
      </c>
      <c r="AZ27" s="262">
        <f>'24'!G36</f>
        <v>978.39999999996508</v>
      </c>
      <c r="BA27" s="261">
        <f>'24'!G49</f>
        <v>-0.13000000000465661</v>
      </c>
      <c r="BB27" s="19">
        <f>'24'!G51</f>
        <v>0</v>
      </c>
      <c r="BC27" s="19">
        <f>'24'!G52</f>
        <v>-6.9999999948777258E-2</v>
      </c>
      <c r="BD27" s="19">
        <f>'24'!G53</f>
        <v>577.76000000000931</v>
      </c>
      <c r="BE27" s="19">
        <f>'24'!G54</f>
        <v>74.796000000000276</v>
      </c>
      <c r="BF27" s="19">
        <f>'24'!G55</f>
        <v>5826.6199999999953</v>
      </c>
      <c r="BG27" s="19">
        <f>'24'!G56</f>
        <v>9.6400000000139698</v>
      </c>
      <c r="BH27" s="19">
        <f>'24'!G57</f>
        <v>0</v>
      </c>
      <c r="BI27" s="262">
        <f>'24'!G50</f>
        <v>897.59999999997672</v>
      </c>
      <c r="BJ27" s="370">
        <f t="shared" si="12"/>
        <v>5836.2600000000093</v>
      </c>
      <c r="BK27" s="370">
        <f>'24'!G84</f>
        <v>787</v>
      </c>
      <c r="BL27" s="23">
        <f t="shared" si="13"/>
        <v>55.158835904627914</v>
      </c>
      <c r="BM27" s="23">
        <f t="shared" si="14"/>
        <v>17.611300340613024</v>
      </c>
      <c r="BN27" s="24">
        <f t="shared" si="15"/>
        <v>7.5410739330797616E-2</v>
      </c>
      <c r="BO27" s="25">
        <f t="shared" si="16"/>
        <v>343771.22000000463</v>
      </c>
      <c r="BP27" s="213">
        <f t="shared" si="17"/>
        <v>8967.6799999999348</v>
      </c>
      <c r="BQ27">
        <f t="shared" si="18"/>
        <v>1.3344761904761808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22390</v>
      </c>
      <c r="H28" s="19">
        <f>'25'!G8</f>
        <v>22390</v>
      </c>
      <c r="I28" s="19">
        <f>'25'!G7</f>
        <v>22296</v>
      </c>
      <c r="J28" s="19">
        <v>10</v>
      </c>
      <c r="K28" s="242">
        <f t="shared" si="3"/>
        <v>223900</v>
      </c>
      <c r="L28" s="238">
        <f t="shared" si="4"/>
        <v>110.37623762376238</v>
      </c>
      <c r="M28" s="19">
        <f>'25'!G15</f>
        <v>698.87399999983609</v>
      </c>
      <c r="N28" s="19">
        <v>35</v>
      </c>
      <c r="O28" s="234">
        <f t="shared" si="5"/>
        <v>24460.589999994263</v>
      </c>
      <c r="P28" s="19">
        <f>'25'!G20</f>
        <v>133</v>
      </c>
      <c r="Q28" s="19">
        <v>134</v>
      </c>
      <c r="R28" s="239">
        <f t="shared" si="0"/>
        <v>17822</v>
      </c>
      <c r="S28" s="240">
        <f t="shared" si="1"/>
        <v>121.9288595526219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56</v>
      </c>
      <c r="X28" s="22">
        <f>'25'!G97</f>
        <v>27</v>
      </c>
      <c r="Y28" s="22">
        <f>'25'!G98</f>
        <v>17</v>
      </c>
      <c r="Z28" s="22">
        <f t="shared" si="7"/>
        <v>100</v>
      </c>
      <c r="AA28" s="19">
        <f>'25'!G133</f>
        <v>11.160000000003492</v>
      </c>
      <c r="AB28" s="19">
        <f>'25'!G134</f>
        <v>0</v>
      </c>
      <c r="AC28" s="19">
        <f>'25'!G135</f>
        <v>18.44999999999709</v>
      </c>
      <c r="AD28" s="19">
        <f>'25'!G136</f>
        <v>0</v>
      </c>
      <c r="AE28" s="19">
        <f t="shared" si="8"/>
        <v>29.610000000000582</v>
      </c>
      <c r="AF28" s="23">
        <f t="shared" si="2"/>
        <v>7229.7499999999709</v>
      </c>
      <c r="AG28" s="23">
        <f t="shared" si="9"/>
        <v>244.16582235730593</v>
      </c>
      <c r="AH28" s="19">
        <f>'24'!G137</f>
        <v>9.7999999999992724</v>
      </c>
      <c r="AI28" s="19">
        <f>'24'!G138</f>
        <v>0</v>
      </c>
      <c r="AJ28" s="19">
        <f>'24'!G139</f>
        <v>0</v>
      </c>
      <c r="AK28" s="19">
        <f t="shared" si="10"/>
        <v>9.7999999999992724</v>
      </c>
      <c r="AL28" s="19">
        <f>'23'!G140</f>
        <v>9.5700000000001637</v>
      </c>
      <c r="AM28" s="19">
        <f>'24'!G141</f>
        <v>-0.3000000000001819</v>
      </c>
      <c r="AN28" s="19"/>
      <c r="AO28" s="19">
        <f t="shared" si="11"/>
        <v>9.2699999999999818</v>
      </c>
      <c r="AP28" s="258">
        <f>'25'!G124</f>
        <v>257.38000000000466</v>
      </c>
      <c r="AQ28" s="261">
        <f>'25'!G35</f>
        <v>3053.25</v>
      </c>
      <c r="AR28" s="19">
        <f>'25'!G37</f>
        <v>1346.3300000000017</v>
      </c>
      <c r="AS28" s="19">
        <f>'25'!G38</f>
        <v>1455.6100000000006</v>
      </c>
      <c r="AT28" s="19">
        <f>'25'!G39</f>
        <v>3062.7000000000116</v>
      </c>
      <c r="AU28" s="19">
        <f>'25'!G40</f>
        <v>0</v>
      </c>
      <c r="AV28" s="19">
        <f>'25'!G41</f>
        <v>2827.1299999999756</v>
      </c>
      <c r="AW28" s="19"/>
      <c r="AX28" s="19">
        <f>'25'!G43</f>
        <v>2595.2199999999721</v>
      </c>
      <c r="AY28" s="23">
        <f>'25'!G44</f>
        <v>0</v>
      </c>
      <c r="AZ28" s="262">
        <f>'25'!G36</f>
        <v>1014.9200000000419</v>
      </c>
      <c r="BA28" s="261">
        <f>'25'!G49</f>
        <v>0.13000000000465661</v>
      </c>
      <c r="BB28" s="19">
        <f>'25'!G51</f>
        <v>0</v>
      </c>
      <c r="BC28" s="19">
        <f>'25'!G52</f>
        <v>6.9999999948777258E-2</v>
      </c>
      <c r="BD28" s="19">
        <f>'25'!G53</f>
        <v>567.82000000000698</v>
      </c>
      <c r="BE28" s="19">
        <f>'24'!G54</f>
        <v>74.796000000000276</v>
      </c>
      <c r="BF28" s="19">
        <f>'25'!G55</f>
        <v>4393.2199999999721</v>
      </c>
      <c r="BG28" s="19">
        <f>'25'!G56</f>
        <v>9.4000000000232831</v>
      </c>
      <c r="BH28" s="19">
        <f>'25'!G57</f>
        <v>0</v>
      </c>
      <c r="BI28" s="262">
        <f>'25'!G50</f>
        <v>1368.2399999999907</v>
      </c>
      <c r="BJ28" s="370">
        <f t="shared" si="12"/>
        <v>7229.7499999999709</v>
      </c>
      <c r="BK28" s="370">
        <f>'25'!G84</f>
        <v>890</v>
      </c>
      <c r="BL28" s="23">
        <f t="shared" si="13"/>
        <v>57.760809113742141</v>
      </c>
      <c r="BM28" s="23">
        <f t="shared" si="14"/>
        <v>16.283279512020176</v>
      </c>
      <c r="BN28" s="24">
        <f t="shared" si="15"/>
        <v>6.5288841047719287E-2</v>
      </c>
      <c r="BO28" s="25">
        <f t="shared" si="16"/>
        <v>266182.58999999426</v>
      </c>
      <c r="BP28" s="213">
        <f t="shared" si="17"/>
        <v>10714.969999999943</v>
      </c>
      <c r="BQ28">
        <f t="shared" si="18"/>
        <v>1.2923927727118893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20629</v>
      </c>
      <c r="H29" s="19">
        <f>'26'!G8</f>
        <v>20629</v>
      </c>
      <c r="I29" s="19">
        <f>'26'!G7</f>
        <v>20533</v>
      </c>
      <c r="J29" s="19">
        <v>10</v>
      </c>
      <c r="K29" s="242">
        <f t="shared" si="3"/>
        <v>206290</v>
      </c>
      <c r="L29" s="238">
        <f t="shared" si="4"/>
        <v>101.64851485148515</v>
      </c>
      <c r="M29" s="19">
        <f>'26'!G15</f>
        <v>688.53800000017509</v>
      </c>
      <c r="N29" s="19">
        <v>35</v>
      </c>
      <c r="O29" s="234">
        <f t="shared" si="5"/>
        <v>24098.830000006128</v>
      </c>
      <c r="P29" s="19">
        <f>'26'!G20</f>
        <v>159</v>
      </c>
      <c r="Q29" s="19">
        <v>134</v>
      </c>
      <c r="R29" s="239">
        <f t="shared" si="0"/>
        <v>21306</v>
      </c>
      <c r="S29" s="240">
        <f t="shared" si="1"/>
        <v>145.76457645764575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80</v>
      </c>
      <c r="X29" s="22">
        <f>'26'!G97</f>
        <v>21</v>
      </c>
      <c r="Y29" s="22">
        <f>'26'!G98</f>
        <v>14</v>
      </c>
      <c r="Z29" s="22">
        <f t="shared" si="7"/>
        <v>115</v>
      </c>
      <c r="AA29" s="19">
        <f>'26'!G133</f>
        <v>0</v>
      </c>
      <c r="AB29" s="19">
        <f>'26'!G134</f>
        <v>0</v>
      </c>
      <c r="AC29" s="19">
        <f>'26'!G135</f>
        <v>23.80000000000291</v>
      </c>
      <c r="AD29" s="19">
        <f>'26'!G136</f>
        <v>0</v>
      </c>
      <c r="AE29" s="19">
        <f t="shared" si="8"/>
        <v>23.80000000000291</v>
      </c>
      <c r="AF29" s="23">
        <f t="shared" si="2"/>
        <v>6105.3299999999581</v>
      </c>
      <c r="AG29" s="23">
        <f t="shared" si="9"/>
        <v>256.52647058820219</v>
      </c>
      <c r="AH29" s="19">
        <f>'26'!G137</f>
        <v>7.6300000000010186</v>
      </c>
      <c r="AI29" s="19">
        <f>'26'!G138</f>
        <v>0</v>
      </c>
      <c r="AJ29" s="19">
        <f>'26'!G139</f>
        <v>0</v>
      </c>
      <c r="AK29" s="19">
        <f t="shared" si="10"/>
        <v>7.6300000000010186</v>
      </c>
      <c r="AL29" s="19">
        <f>'26'!G140</f>
        <v>8.75</v>
      </c>
      <c r="AM29" s="19">
        <f>'26'!G141</f>
        <v>0</v>
      </c>
      <c r="AN29" s="19"/>
      <c r="AO29" s="19">
        <f t="shared" si="11"/>
        <v>8.75</v>
      </c>
      <c r="AP29" s="258">
        <f>'26'!G124</f>
        <v>228.63000000000466</v>
      </c>
      <c r="AQ29" s="261">
        <f>'26'!G35</f>
        <v>3075.9499999999534</v>
      </c>
      <c r="AR29" s="19">
        <f>'26'!G37</f>
        <v>1331.4199999999983</v>
      </c>
      <c r="AS29" s="19">
        <f>'26'!G38</f>
        <v>1433.6900000000023</v>
      </c>
      <c r="AT29" s="19">
        <f>'26'!G39</f>
        <v>2911.359999999986</v>
      </c>
      <c r="AU29" s="19">
        <f>'26'!G40</f>
        <v>0</v>
      </c>
      <c r="AV29" s="19">
        <f>'26'!G41</f>
        <v>113.3300000000163</v>
      </c>
      <c r="AW29" s="19">
        <f>'26'!G42</f>
        <v>0</v>
      </c>
      <c r="AX29" s="19">
        <f>'26'!G43</f>
        <v>2549.2400000001071</v>
      </c>
      <c r="AY29" s="23">
        <f>'26'!G44</f>
        <v>0</v>
      </c>
      <c r="AZ29" s="262">
        <f>'26'!G36</f>
        <v>766.79999999998836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612.14000000001397</v>
      </c>
      <c r="BE29" s="19">
        <f>'26'!G54</f>
        <v>77.503000000000611</v>
      </c>
      <c r="BF29" s="19">
        <f>'26'!G55</f>
        <v>5982.679999999993</v>
      </c>
      <c r="BG29" s="19">
        <f>'26'!G56</f>
        <v>9.3199999999487773</v>
      </c>
      <c r="BH29" s="19">
        <f>'26'!G57</f>
        <v>0</v>
      </c>
      <c r="BI29" s="262">
        <f>'26'!G50</f>
        <v>1194.0400000000373</v>
      </c>
      <c r="BJ29" s="370">
        <f t="shared" si="12"/>
        <v>6105.3299999999581</v>
      </c>
      <c r="BK29" s="370">
        <f>'26'!G84</f>
        <v>981</v>
      </c>
      <c r="BL29" s="23">
        <f t="shared" si="13"/>
        <v>57.130083280572826</v>
      </c>
      <c r="BM29" s="23">
        <f t="shared" si="14"/>
        <v>17.160181171772269</v>
      </c>
      <c r="BN29" s="24">
        <f t="shared" si="15"/>
        <v>6.9823698436663043E-2</v>
      </c>
      <c r="BO29" s="25">
        <f t="shared" si="16"/>
        <v>251694.83000000613</v>
      </c>
      <c r="BP29" s="213">
        <f t="shared" si="17"/>
        <v>9635.5700000000652</v>
      </c>
      <c r="BQ29">
        <f t="shared" si="18"/>
        <v>1.4459138655460515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18091</v>
      </c>
      <c r="H30" s="19">
        <f>'27'!G8</f>
        <v>18091</v>
      </c>
      <c r="I30" s="19">
        <f>'27'!G7</f>
        <v>17995</v>
      </c>
      <c r="J30" s="19">
        <v>10</v>
      </c>
      <c r="K30" s="242">
        <f t="shared" si="3"/>
        <v>180910</v>
      </c>
      <c r="L30" s="238">
        <f t="shared" si="4"/>
        <v>89.084158415841586</v>
      </c>
      <c r="M30" s="19">
        <f>'27'!G15</f>
        <v>627.37899999995716</v>
      </c>
      <c r="N30" s="19">
        <v>35</v>
      </c>
      <c r="O30" s="234">
        <f t="shared" si="5"/>
        <v>21958.264999998501</v>
      </c>
      <c r="P30" s="19">
        <f>'27'!G20</f>
        <v>112</v>
      </c>
      <c r="Q30" s="19">
        <v>134</v>
      </c>
      <c r="R30" s="239">
        <f t="shared" si="0"/>
        <v>15008</v>
      </c>
      <c r="S30" s="240">
        <f t="shared" si="1"/>
        <v>113.15417256011315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61</v>
      </c>
      <c r="X30" s="22">
        <f>'27'!G97</f>
        <v>15</v>
      </c>
      <c r="Y30" s="22">
        <f>'27'!G98</f>
        <v>8</v>
      </c>
      <c r="Z30" s="22">
        <f t="shared" si="7"/>
        <v>84</v>
      </c>
      <c r="AA30" s="19">
        <f>'27'!G133</f>
        <v>9.3099999999976717</v>
      </c>
      <c r="AB30" s="19">
        <f>'27'!G134</f>
        <v>0</v>
      </c>
      <c r="AC30" s="19">
        <f>'27'!G135</f>
        <v>16.150000000001455</v>
      </c>
      <c r="AD30" s="19">
        <f>'27'!G136</f>
        <v>0</v>
      </c>
      <c r="AE30" s="19">
        <f t="shared" si="8"/>
        <v>25.459999999999127</v>
      </c>
      <c r="AF30" s="23">
        <f t="shared" si="2"/>
        <v>5057.4740000000165</v>
      </c>
      <c r="AG30" s="23">
        <f t="shared" si="9"/>
        <v>198.64391201886056</v>
      </c>
      <c r="AH30" s="19">
        <f>'27'!G137</f>
        <v>7.2999999999992724</v>
      </c>
      <c r="AI30" s="19">
        <f>'27'!G138</f>
        <v>0</v>
      </c>
      <c r="AJ30" s="19">
        <f>'27'!G139</f>
        <v>0</v>
      </c>
      <c r="AK30" s="19">
        <f t="shared" si="10"/>
        <v>7.2999999999992724</v>
      </c>
      <c r="AL30" s="19">
        <f>'27'!G140</f>
        <v>7.5099999999999909</v>
      </c>
      <c r="AM30" s="19">
        <f>'27'!G141</f>
        <v>0</v>
      </c>
      <c r="AN30" s="19"/>
      <c r="AO30" s="19">
        <f t="shared" si="11"/>
        <v>7.5099999999999909</v>
      </c>
      <c r="AP30" s="258">
        <f>'27'!G124</f>
        <v>207.28000000002794</v>
      </c>
      <c r="AQ30" s="261">
        <f>'27'!G35</f>
        <v>2619.3600000001024</v>
      </c>
      <c r="AR30" s="19">
        <f>'27'!G37</f>
        <v>1174.25</v>
      </c>
      <c r="AS30" s="19">
        <f>'27'!G38</f>
        <v>1256</v>
      </c>
      <c r="AT30" s="19">
        <f>'27'!G39</f>
        <v>2737.2600000000093</v>
      </c>
      <c r="AU30" s="19">
        <f>'27'!G40</f>
        <v>0</v>
      </c>
      <c r="AV30" s="19">
        <f>'27'!G41</f>
        <v>2231.0299999999988</v>
      </c>
      <c r="AW30" s="19">
        <f>'27'!G42</f>
        <v>71.923999999999069</v>
      </c>
      <c r="AX30" s="19">
        <f>'27'!G43</f>
        <v>2417.7599999998929</v>
      </c>
      <c r="AY30" s="23">
        <f>'27'!G44</f>
        <v>0</v>
      </c>
      <c r="AZ30" s="262">
        <f>'27'!G36</f>
        <v>390.47999999998137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582.35999999998603</v>
      </c>
      <c r="BE30" s="19">
        <f>'27'!G54</f>
        <v>73.227000000000771</v>
      </c>
      <c r="BF30" s="19">
        <f>'27'!G55</f>
        <v>2700</v>
      </c>
      <c r="BG30" s="19">
        <f>'27'!G56</f>
        <v>54.520000000018626</v>
      </c>
      <c r="BH30" s="19">
        <f>'27'!G57</f>
        <v>0</v>
      </c>
      <c r="BI30" s="262">
        <f>'27'!G50</f>
        <v>949.11999999999534</v>
      </c>
      <c r="BJ30" s="370">
        <f t="shared" si="12"/>
        <v>5057.4740000000165</v>
      </c>
      <c r="BK30" s="370">
        <f>'27'!G84</f>
        <v>821</v>
      </c>
      <c r="BL30" s="23">
        <f t="shared" si="13"/>
        <v>56.096660183384344</v>
      </c>
      <c r="BM30" s="23">
        <f t="shared" si="14"/>
        <v>18.44745762711862</v>
      </c>
      <c r="BN30" s="24">
        <f t="shared" si="15"/>
        <v>6.9797165879410941E-2</v>
      </c>
      <c r="BO30" s="25">
        <f t="shared" si="16"/>
        <v>217876.2649999985</v>
      </c>
      <c r="BP30" s="213">
        <f t="shared" si="17"/>
        <v>8296.2339999999094</v>
      </c>
      <c r="BQ30">
        <f t="shared" si="18"/>
        <v>1.1637630456739134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18026</v>
      </c>
      <c r="H31" s="19">
        <f>'28'!G8</f>
        <v>18026</v>
      </c>
      <c r="I31" s="19">
        <f>'28'!G7</f>
        <v>17985</v>
      </c>
      <c r="J31" s="19">
        <v>10</v>
      </c>
      <c r="K31" s="242">
        <f t="shared" si="3"/>
        <v>180260</v>
      </c>
      <c r="L31" s="238">
        <f t="shared" si="4"/>
        <v>89.034653465346537</v>
      </c>
      <c r="M31" s="19">
        <f>'28'!G15</f>
        <v>461.80099999997765</v>
      </c>
      <c r="N31" s="19">
        <v>35</v>
      </c>
      <c r="O31" s="234">
        <f t="shared" si="5"/>
        <v>16163.034999999218</v>
      </c>
      <c r="P31" s="19">
        <f>'28'!G20</f>
        <v>116</v>
      </c>
      <c r="Q31" s="19">
        <v>134</v>
      </c>
      <c r="R31" s="239">
        <f t="shared" si="0"/>
        <v>15544</v>
      </c>
      <c r="S31" s="240">
        <f t="shared" si="1"/>
        <v>110.43412033511044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38</v>
      </c>
      <c r="X31" s="22">
        <f>'28'!G97</f>
        <v>9</v>
      </c>
      <c r="Y31" s="22">
        <f>'28'!G98</f>
        <v>8</v>
      </c>
      <c r="Z31" s="22">
        <f t="shared" si="7"/>
        <v>55</v>
      </c>
      <c r="AA31" s="19">
        <f>'28'!G133</f>
        <v>24.419999999998254</v>
      </c>
      <c r="AB31" s="19">
        <f>'28'!G134</f>
        <v>0</v>
      </c>
      <c r="AC31" s="19">
        <f>'28'!G135</f>
        <v>-0.40000000000145519</v>
      </c>
      <c r="AD31" s="19">
        <f>'28'!G136</f>
        <v>0.15999999999985448</v>
      </c>
      <c r="AE31" s="19">
        <f t="shared" si="8"/>
        <v>24.179999999996653</v>
      </c>
      <c r="AF31" s="23">
        <f t="shared" si="2"/>
        <v>5618.8030000000144</v>
      </c>
      <c r="AG31" s="23">
        <f t="shared" si="9"/>
        <v>232.37398676595501</v>
      </c>
      <c r="AH31" s="19">
        <f>'28'!G137</f>
        <v>0.46000000000276486</v>
      </c>
      <c r="AI31" s="19">
        <f>'28'!G138</f>
        <v>0</v>
      </c>
      <c r="AJ31" s="19">
        <f>'28'!G139</f>
        <v>7.2999999999883585</v>
      </c>
      <c r="AK31" s="19">
        <f t="shared" si="10"/>
        <v>7.7599999999911233</v>
      </c>
      <c r="AL31" s="19">
        <f>'28'!G140</f>
        <v>8.0199999999999818</v>
      </c>
      <c r="AM31" s="19">
        <f>'28'!G141</f>
        <v>0</v>
      </c>
      <c r="AN31" s="19"/>
      <c r="AO31" s="19">
        <f t="shared" si="11"/>
        <v>8.0199999999999818</v>
      </c>
      <c r="AP31" s="258">
        <f>'28'!G124</f>
        <v>212.75</v>
      </c>
      <c r="AQ31" s="261">
        <f>'28'!G35</f>
        <v>2189.6799999999348</v>
      </c>
      <c r="AR31" s="19">
        <f>'28'!G37</f>
        <v>1197.9000000000087</v>
      </c>
      <c r="AS31" s="19">
        <f>'28'!G38</f>
        <v>1391.2400000000052</v>
      </c>
      <c r="AT31" s="19">
        <f>'28'!G39</f>
        <v>2862.8999999999942</v>
      </c>
      <c r="AU31" s="19">
        <f>'28'!G40</f>
        <v>0</v>
      </c>
      <c r="AV31" s="19">
        <f>'28'!G41</f>
        <v>5609.5599999999977</v>
      </c>
      <c r="AW31" s="19">
        <f>'28'!G42</f>
        <v>-8.6999999999534339E-2</v>
      </c>
      <c r="AX31" s="439">
        <f>'28'!G43</f>
        <v>2385.9200000000419</v>
      </c>
      <c r="AY31" s="23">
        <f>'28'!G44</f>
        <v>0</v>
      </c>
      <c r="AZ31" s="262">
        <f>'28'!G36</f>
        <v>384.40000000002328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571.84000000002561</v>
      </c>
      <c r="BE31" s="19">
        <f>'28'!G54</f>
        <v>77.590000000000146</v>
      </c>
      <c r="BF31" s="19">
        <f>'28'!G55</f>
        <v>0.33000000001629815</v>
      </c>
      <c r="BG31" s="19">
        <f>'28'!G56</f>
        <v>9</v>
      </c>
      <c r="BH31" s="19">
        <f>'28'!G57</f>
        <v>0.32999999999992724</v>
      </c>
      <c r="BI31" s="262">
        <f>'28'!G50</f>
        <v>977.15999999997439</v>
      </c>
      <c r="BJ31" s="370">
        <f t="shared" si="12"/>
        <v>5618.8030000000144</v>
      </c>
      <c r="BK31" s="370">
        <f>'28'!G84</f>
        <v>574</v>
      </c>
      <c r="BL31" s="23">
        <f>SUM(AQ31,AV31,AW31,AX31,BA31,BF31,BG31,BH31)/I31%</f>
        <v>56.684642757853716</v>
      </c>
      <c r="BM31" s="23">
        <f t="shared" si="14"/>
        <v>19.09780372532677</v>
      </c>
      <c r="BN31" s="24">
        <f t="shared" si="15"/>
        <v>7.7355574089519333E-2</v>
      </c>
      <c r="BO31" s="25">
        <f t="shared" si="16"/>
        <v>211967.03499999922</v>
      </c>
      <c r="BP31" s="213">
        <f t="shared" si="17"/>
        <v>8579.0530000000563</v>
      </c>
      <c r="BQ31">
        <f t="shared" si="18"/>
        <v>1.2671412324236742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256">
        <f>'29'!D4</f>
        <v>0.78</v>
      </c>
      <c r="F32" s="256">
        <f>'29'!D2</f>
        <v>0.67</v>
      </c>
      <c r="G32" s="19">
        <f>'29'!G8</f>
        <v>16035</v>
      </c>
      <c r="H32" s="19">
        <f>'29'!G8</f>
        <v>16035</v>
      </c>
      <c r="I32" s="19">
        <f>'29'!G7</f>
        <v>15953</v>
      </c>
      <c r="J32" s="19">
        <v>10</v>
      </c>
      <c r="K32" s="242">
        <f t="shared" si="3"/>
        <v>160350</v>
      </c>
      <c r="L32" s="238">
        <f t="shared" si="4"/>
        <v>78.975247524752476</v>
      </c>
      <c r="M32" s="19">
        <f>'29'!G15</f>
        <v>643.03000000002794</v>
      </c>
      <c r="N32" s="19">
        <v>35</v>
      </c>
      <c r="O32" s="234">
        <f t="shared" si="5"/>
        <v>22506.050000000978</v>
      </c>
      <c r="P32" s="19">
        <f>'29'!G20</f>
        <v>75</v>
      </c>
      <c r="Q32" s="19">
        <v>134</v>
      </c>
      <c r="R32" s="239">
        <f t="shared" si="0"/>
        <v>10050</v>
      </c>
      <c r="S32" s="240">
        <f t="shared" si="1"/>
        <v>55.415989360130048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59</v>
      </c>
      <c r="X32" s="22">
        <f>'29'!G97</f>
        <v>6</v>
      </c>
      <c r="Y32" s="22">
        <f>'29'!G98</f>
        <v>14</v>
      </c>
      <c r="Z32" s="22">
        <f t="shared" si="7"/>
        <v>79</v>
      </c>
      <c r="AA32" s="19">
        <f>'29'!G133</f>
        <v>24.430000000000291</v>
      </c>
      <c r="AB32" s="19">
        <f>'29'!G134</f>
        <v>0</v>
      </c>
      <c r="AC32" s="19">
        <f>'29'!G135</f>
        <v>0</v>
      </c>
      <c r="AD32" s="19">
        <f>'29'!G136</f>
        <v>-9.0000000000145519E-2</v>
      </c>
      <c r="AE32" s="19">
        <f t="shared" si="8"/>
        <v>24.340000000000146</v>
      </c>
      <c r="AF32" s="23">
        <f t="shared" si="2"/>
        <v>4934.3999999999651</v>
      </c>
      <c r="AG32" s="23">
        <f t="shared" si="9"/>
        <v>202.72801972062183</v>
      </c>
      <c r="AH32" s="19">
        <f>'29'!G137</f>
        <v>7.5299999999988358</v>
      </c>
      <c r="AI32" s="19">
        <f>'29'!G138</f>
        <v>9.9999999998544808E-2</v>
      </c>
      <c r="AJ32" s="19">
        <f>'29'!G139</f>
        <v>0</v>
      </c>
      <c r="AK32" s="19">
        <f t="shared" si="10"/>
        <v>7.6299999999973807</v>
      </c>
      <c r="AL32" s="19">
        <f>'29'!G140</f>
        <v>7.6800000000000637</v>
      </c>
      <c r="AM32" s="19">
        <f>'29'!G141</f>
        <v>0.11999999999989086</v>
      </c>
      <c r="AN32" s="19"/>
      <c r="AO32" s="19">
        <f t="shared" si="11"/>
        <v>7.7999999999999545</v>
      </c>
      <c r="AP32" s="258">
        <f>'29'!G124</f>
        <v>202.56000000005588</v>
      </c>
      <c r="AQ32" s="261">
        <f>'29'!G35</f>
        <v>2054.0400000000373</v>
      </c>
      <c r="AR32" s="19">
        <f>'29'!G37</f>
        <v>1200.7099999999919</v>
      </c>
      <c r="AS32" s="19">
        <f>'29'!G38</f>
        <v>1247.8899999999994</v>
      </c>
      <c r="AT32" s="19">
        <f>'29'!G39</f>
        <v>1955.1800000000221</v>
      </c>
      <c r="AU32" s="19">
        <f>'29'!G40</f>
        <v>0</v>
      </c>
      <c r="AV32" s="19">
        <f>'29'!G41</f>
        <v>4925.2000000000116</v>
      </c>
      <c r="AW32" s="19">
        <f>'29'!G42</f>
        <v>0</v>
      </c>
      <c r="AX32" s="19">
        <f>'29'!G43</f>
        <v>2073.5200000000186</v>
      </c>
      <c r="AY32" s="23">
        <f>'29'!G44</f>
        <v>0</v>
      </c>
      <c r="AZ32" s="262">
        <f>'29'!G36</f>
        <v>449.71999999997206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533.63999999995576</v>
      </c>
      <c r="BE32" s="19">
        <f>'29'!G54</f>
        <v>71.5</v>
      </c>
      <c r="BF32" s="19">
        <f>'29'!G55</f>
        <v>0</v>
      </c>
      <c r="BG32" s="19">
        <f>'29'!G56</f>
        <v>9.1999999999534339</v>
      </c>
      <c r="BH32" s="19">
        <f>'29'!G57</f>
        <v>-0.32999999999992724</v>
      </c>
      <c r="BI32" s="262">
        <f>'29'!G50</f>
        <v>1009.8400000000256</v>
      </c>
      <c r="BJ32" s="370">
        <f t="shared" si="12"/>
        <v>4934.3999999999651</v>
      </c>
      <c r="BK32" s="370">
        <f>'29'!G84</f>
        <v>669</v>
      </c>
      <c r="BL32" s="23">
        <f t="shared" si="13"/>
        <v>56.802043502789573</v>
      </c>
      <c r="BM32" s="23">
        <f t="shared" si="14"/>
        <v>15.600952798846473</v>
      </c>
      <c r="BN32" s="24">
        <f t="shared" si="15"/>
        <v>7.8222904782799432E-2</v>
      </c>
      <c r="BO32" s="25">
        <f t="shared" si="16"/>
        <v>192906.05000000098</v>
      </c>
      <c r="BP32" s="213">
        <f t="shared" si="17"/>
        <v>7676.5899999999838</v>
      </c>
      <c r="BQ32">
        <f t="shared" si="18"/>
        <v>1.126392475642672</v>
      </c>
    </row>
    <row r="33" spans="1:69">
      <c r="A33" s="16">
        <v>30</v>
      </c>
      <c r="B33" s="27">
        <v>30</v>
      </c>
      <c r="C33" s="28"/>
      <c r="D33" s="19">
        <f>'30'!D3</f>
        <v>30</v>
      </c>
      <c r="E33" s="256">
        <f>'30'!D4</f>
        <v>0.8</v>
      </c>
      <c r="F33" s="256">
        <f>'30'!D2</f>
        <v>0.77</v>
      </c>
      <c r="G33" s="19">
        <f>'30'!G8</f>
        <v>18842</v>
      </c>
      <c r="H33" s="19">
        <f>'30'!G8</f>
        <v>18842</v>
      </c>
      <c r="I33" s="19">
        <f>'30'!G7</f>
        <v>18738</v>
      </c>
      <c r="J33" s="19">
        <v>10</v>
      </c>
      <c r="K33" s="242">
        <f t="shared" si="3"/>
        <v>188420</v>
      </c>
      <c r="L33" s="238">
        <f t="shared" si="4"/>
        <v>92.762376237623769</v>
      </c>
      <c r="M33" s="19">
        <f>'30'!G15</f>
        <v>476.70999999996275</v>
      </c>
      <c r="N33" s="19">
        <v>35</v>
      </c>
      <c r="O33" s="234">
        <f t="shared" si="5"/>
        <v>16684.849999998696</v>
      </c>
      <c r="P33" s="19">
        <f>'30'!G20</f>
        <v>114</v>
      </c>
      <c r="Q33" s="19">
        <v>134</v>
      </c>
      <c r="R33" s="239">
        <f t="shared" si="0"/>
        <v>15276</v>
      </c>
      <c r="S33" s="240">
        <f t="shared" si="1"/>
        <v>73.293043590073296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74</v>
      </c>
      <c r="X33" s="22">
        <f>'30'!G97</f>
        <v>10</v>
      </c>
      <c r="Y33" s="22">
        <f>'30'!G98</f>
        <v>16</v>
      </c>
      <c r="Z33" s="22">
        <f t="shared" si="7"/>
        <v>100</v>
      </c>
      <c r="AA33" s="19">
        <f>'30'!G133</f>
        <v>18.160000000003492</v>
      </c>
      <c r="AB33" s="19">
        <f>'30'!G134</f>
        <v>0</v>
      </c>
      <c r="AC33" s="19">
        <f>'30'!G135</f>
        <v>8</v>
      </c>
      <c r="AD33" s="19">
        <f>'30'!G136</f>
        <v>0</v>
      </c>
      <c r="AE33" s="19">
        <f t="shared" si="8"/>
        <v>26.160000000003492</v>
      </c>
      <c r="AF33" s="23">
        <f t="shared" si="2"/>
        <v>5778.3299999999872</v>
      </c>
      <c r="AG33" s="23">
        <f t="shared" si="9"/>
        <v>220.88417431189663</v>
      </c>
      <c r="AH33" s="19">
        <f>'30'!G137</f>
        <v>0</v>
      </c>
      <c r="AI33" s="19">
        <f>'30'!G138</f>
        <v>0</v>
      </c>
      <c r="AJ33" s="19">
        <f>'30'!G139</f>
        <v>9.0500000000029104</v>
      </c>
      <c r="AK33" s="19">
        <f t="shared" si="10"/>
        <v>9.0500000000029104</v>
      </c>
      <c r="AL33" s="19">
        <f>'30'!G140</f>
        <v>7.3099999999999454</v>
      </c>
      <c r="AM33" s="19">
        <f>'30'!G141</f>
        <v>0</v>
      </c>
      <c r="AN33" s="19"/>
      <c r="AO33" s="19">
        <f t="shared" si="11"/>
        <v>7.3099999999999454</v>
      </c>
      <c r="AP33" s="258">
        <f>'30'!G124</f>
        <v>192.41999999992549</v>
      </c>
      <c r="AQ33" s="261">
        <f>'30'!G35</f>
        <v>2432.9699999999721</v>
      </c>
      <c r="AR33" s="19">
        <f>'30'!G37</f>
        <v>1371.0500000000029</v>
      </c>
      <c r="AS33" s="19">
        <f>'30'!G38</f>
        <v>1456.7599999999948</v>
      </c>
      <c r="AT33" s="19">
        <f>'30'!G39</f>
        <v>2192.5499999999884</v>
      </c>
      <c r="AU33" s="19">
        <f>'30'!G40</f>
        <v>0</v>
      </c>
      <c r="AV33" s="19">
        <f>'30'!G41</f>
        <v>3911.3299999999872</v>
      </c>
      <c r="AW33" s="19">
        <f>'30'!G42</f>
        <v>0</v>
      </c>
      <c r="AX33" s="19">
        <f>'30'!G43</f>
        <v>2438.4899999999907</v>
      </c>
      <c r="AY33" s="23">
        <f>'30'!G44</f>
        <v>0</v>
      </c>
      <c r="AZ33" s="262">
        <f>'30'!G36</f>
        <v>715.3300000000163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575.21000000002095</v>
      </c>
      <c r="BE33" s="19">
        <f>'30'!G54</f>
        <v>70.549999999999272</v>
      </c>
      <c r="BF33" s="19">
        <f>'30'!G55</f>
        <v>1867</v>
      </c>
      <c r="BG33" s="19">
        <f>'30'!G56</f>
        <v>0</v>
      </c>
      <c r="BH33" s="19">
        <f>'30'!G57</f>
        <v>0</v>
      </c>
      <c r="BI33" s="262">
        <f>'30'!G50</f>
        <v>1382.7299999999814</v>
      </c>
      <c r="BJ33" s="370">
        <f t="shared" ref="BJ33" si="19">SUM(AV33,AW33,BF33,BG33)</f>
        <v>5778.3299999999872</v>
      </c>
      <c r="BK33" s="370">
        <f>'30'!G84</f>
        <v>770</v>
      </c>
      <c r="BL33" s="23">
        <f t="shared" si="13"/>
        <v>56.835254562920007</v>
      </c>
      <c r="BM33" s="23">
        <f t="shared" si="14"/>
        <v>14.770840004269449</v>
      </c>
      <c r="BN33" s="24">
        <f t="shared" si="15"/>
        <v>7.7739886860926782E-2</v>
      </c>
      <c r="BO33" s="25">
        <f t="shared" si="16"/>
        <v>220380.8499999987</v>
      </c>
      <c r="BP33" s="213">
        <f t="shared" si="17"/>
        <v>8986.8199999999779</v>
      </c>
      <c r="BQ33">
        <f t="shared" si="18"/>
        <v>1.2269031236346082</v>
      </c>
    </row>
    <row r="34" spans="1:69">
      <c r="A34" s="16"/>
      <c r="B34" s="27"/>
      <c r="C34" s="28"/>
      <c r="D34" s="19"/>
      <c r="E34" s="256"/>
      <c r="F34" s="256"/>
      <c r="G34" s="19"/>
      <c r="H34" s="19"/>
      <c r="I34" s="19"/>
      <c r="J34" s="19"/>
      <c r="K34" s="242"/>
      <c r="L34" s="238"/>
      <c r="M34" s="19"/>
      <c r="N34" s="19"/>
      <c r="O34" s="234"/>
      <c r="P34" s="19"/>
      <c r="Q34" s="19"/>
      <c r="R34" s="239"/>
      <c r="S34" s="240"/>
      <c r="T34" s="19"/>
      <c r="U34" s="19"/>
      <c r="V34" s="241"/>
      <c r="W34" s="22"/>
      <c r="X34" s="22"/>
      <c r="Y34" s="22"/>
      <c r="Z34" s="22"/>
      <c r="AA34" s="19"/>
      <c r="AB34" s="19"/>
      <c r="AC34" s="19"/>
      <c r="AD34" s="19"/>
      <c r="AE34" s="19"/>
      <c r="AF34" s="23"/>
      <c r="AG34" s="23"/>
      <c r="AH34" s="19"/>
      <c r="AI34" s="19"/>
      <c r="AJ34" s="19"/>
      <c r="AK34" s="19"/>
      <c r="AL34" s="19"/>
      <c r="AM34" s="19"/>
      <c r="AN34" s="19"/>
      <c r="AO34" s="19"/>
      <c r="AP34" s="258">
        <f>'31'!G124</f>
        <v>-7278.4599999999627</v>
      </c>
      <c r="AQ34" s="261"/>
      <c r="AR34" s="19"/>
      <c r="AS34" s="19"/>
      <c r="AT34" s="19"/>
      <c r="AU34" s="19"/>
      <c r="AV34" s="19"/>
      <c r="AW34" s="19"/>
      <c r="AX34" s="19"/>
      <c r="AY34" s="23"/>
      <c r="AZ34" s="262"/>
      <c r="BA34" s="261"/>
      <c r="BB34" s="19"/>
      <c r="BC34" s="19"/>
      <c r="BD34" s="19"/>
      <c r="BE34" s="19"/>
      <c r="BF34" s="19"/>
      <c r="BG34" s="19"/>
      <c r="BH34" s="19"/>
      <c r="BI34" s="262"/>
      <c r="BJ34" s="370"/>
      <c r="BK34" s="370"/>
      <c r="BL34" s="23"/>
      <c r="BM34" s="23"/>
      <c r="BN34" s="24"/>
      <c r="BO34" s="25"/>
      <c r="BP34" s="213"/>
    </row>
    <row r="35" spans="1:69">
      <c r="A35" s="16" t="s">
        <v>202</v>
      </c>
      <c r="B35" s="30"/>
      <c r="C35" s="31"/>
      <c r="D35" s="32">
        <f>AVERAGE(D4:D34)</f>
        <v>29.566666666666666</v>
      </c>
      <c r="E35" s="33"/>
      <c r="F35" s="384">
        <f>AVERAGE(F4:F34)</f>
        <v>0.53999999999999992</v>
      </c>
      <c r="G35" s="34">
        <f>SUM(G4:G34)</f>
        <v>5917003</v>
      </c>
      <c r="H35" s="34">
        <f>SUM(H4:H34)</f>
        <v>5917003</v>
      </c>
      <c r="I35" s="34">
        <f t="shared" ref="I35:BO35" si="20">SUM(I4:I34)</f>
        <v>5882456</v>
      </c>
      <c r="J35" s="34">
        <f t="shared" si="20"/>
        <v>299</v>
      </c>
      <c r="K35" s="34">
        <f t="shared" si="20"/>
        <v>59153977</v>
      </c>
      <c r="L35" s="34">
        <f t="shared" si="20"/>
        <v>29121.069306930687</v>
      </c>
      <c r="M35" s="34">
        <f t="shared" si="20"/>
        <v>0</v>
      </c>
      <c r="N35" s="34">
        <f t="shared" si="20"/>
        <v>1050</v>
      </c>
      <c r="O35" s="34">
        <f t="shared" si="20"/>
        <v>0</v>
      </c>
      <c r="P35" s="34">
        <f t="shared" si="20"/>
        <v>1596</v>
      </c>
      <c r="Q35" s="34">
        <f t="shared" si="20"/>
        <v>4020</v>
      </c>
      <c r="R35" s="34">
        <f t="shared" si="20"/>
        <v>213864</v>
      </c>
      <c r="S35" s="34">
        <f t="shared" si="20"/>
        <v>2937.293123890347</v>
      </c>
      <c r="T35" s="34">
        <f t="shared" si="20"/>
        <v>1290</v>
      </c>
      <c r="U35" s="34">
        <f t="shared" si="20"/>
        <v>2070</v>
      </c>
      <c r="V35" s="34">
        <f t="shared" si="20"/>
        <v>89010</v>
      </c>
      <c r="W35" s="34">
        <f t="shared" si="20"/>
        <v>0</v>
      </c>
      <c r="X35" s="34">
        <f t="shared" si="20"/>
        <v>0</v>
      </c>
      <c r="Y35" s="34">
        <f t="shared" si="20"/>
        <v>0</v>
      </c>
      <c r="Z35" s="34">
        <f t="shared" si="20"/>
        <v>0</v>
      </c>
      <c r="AA35" s="34">
        <f t="shared" si="20"/>
        <v>0</v>
      </c>
      <c r="AB35" s="34">
        <f t="shared" si="20"/>
        <v>0</v>
      </c>
      <c r="AC35" s="34">
        <f t="shared" si="20"/>
        <v>0</v>
      </c>
      <c r="AD35" s="34">
        <f t="shared" si="20"/>
        <v>0</v>
      </c>
      <c r="AE35" s="34">
        <f t="shared" si="20"/>
        <v>0</v>
      </c>
      <c r="AF35" s="34">
        <f t="shared" si="20"/>
        <v>346926</v>
      </c>
      <c r="AG35" s="34">
        <f t="shared" si="20"/>
        <v>5891.7073372437026</v>
      </c>
      <c r="AH35" s="34">
        <f t="shared" si="20"/>
        <v>3.9900000000016007</v>
      </c>
      <c r="AI35" s="34">
        <f t="shared" si="20"/>
        <v>0</v>
      </c>
      <c r="AJ35" s="34">
        <f t="shared" si="20"/>
        <v>-4.2300000000104774</v>
      </c>
      <c r="AK35" s="34">
        <f t="shared" si="20"/>
        <v>-0.24000000000887667</v>
      </c>
      <c r="AL35" s="34">
        <f t="shared" si="20"/>
        <v>6.0000000000172804E-2</v>
      </c>
      <c r="AM35" s="34">
        <f t="shared" si="20"/>
        <v>-0.6000000000003638</v>
      </c>
      <c r="AN35" s="34">
        <f t="shared" si="20"/>
        <v>0</v>
      </c>
      <c r="AO35" s="34">
        <f t="shared" si="20"/>
        <v>-0.54000000000019099</v>
      </c>
      <c r="AP35" s="34">
        <f t="shared" si="20"/>
        <v>-7278.4599999999627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-1.8179902028236938E-14</v>
      </c>
      <c r="AV35" s="34">
        <f t="shared" si="20"/>
        <v>0</v>
      </c>
      <c r="AW35" s="34">
        <f t="shared" si="20"/>
        <v>0</v>
      </c>
      <c r="AX35" s="34">
        <f t="shared" si="20"/>
        <v>0</v>
      </c>
      <c r="AY35" s="34">
        <f t="shared" si="20"/>
        <v>0</v>
      </c>
      <c r="AZ35" s="34">
        <f t="shared" si="20"/>
        <v>0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15382</v>
      </c>
      <c r="BE35" s="34">
        <f t="shared" si="20"/>
        <v>3693.7720000000008</v>
      </c>
      <c r="BF35" s="34">
        <f t="shared" si="20"/>
        <v>346926</v>
      </c>
      <c r="BG35" s="34">
        <f t="shared" si="20"/>
        <v>0</v>
      </c>
      <c r="BH35" s="34">
        <f t="shared" si="20"/>
        <v>0</v>
      </c>
      <c r="BI35" s="34">
        <f t="shared" si="20"/>
        <v>0</v>
      </c>
      <c r="BJ35" s="34">
        <f t="shared" si="20"/>
        <v>346926</v>
      </c>
      <c r="BK35" s="34">
        <f t="shared" si="20"/>
        <v>156</v>
      </c>
      <c r="BL35" s="34">
        <f t="shared" si="20"/>
        <v>1658.8784723074957</v>
      </c>
      <c r="BM35" s="34">
        <f t="shared" si="20"/>
        <v>454.18735840512949</v>
      </c>
      <c r="BN35" s="34">
        <f t="shared" si="20"/>
        <v>2.1634622146341185</v>
      </c>
      <c r="BO35" s="34">
        <f t="shared" si="20"/>
        <v>59456851.000000007</v>
      </c>
      <c r="BP35" s="213">
        <f t="shared" si="17"/>
        <v>347082</v>
      </c>
      <c r="BQ35" t="e">
        <f t="shared" si="18"/>
        <v>#DIV/0!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1</v>
      </c>
      <c r="E36" s="35">
        <f t="shared" si="21"/>
        <v>0</v>
      </c>
      <c r="F36" s="35">
        <f t="shared" si="21"/>
        <v>0.19999999999999996</v>
      </c>
      <c r="G36" s="35"/>
      <c r="H36" s="35"/>
      <c r="I36" s="35">
        <f t="shared" ref="I36:AO36" si="22">I18-I17</f>
        <v>2728.8099999999977</v>
      </c>
      <c r="J36" s="35">
        <f t="shared" si="22"/>
        <v>0</v>
      </c>
      <c r="K36" s="235">
        <f t="shared" si="22"/>
        <v>26861.70000000007</v>
      </c>
      <c r="L36" s="235">
        <f t="shared" si="22"/>
        <v>13.508960396039598</v>
      </c>
      <c r="M36" s="35">
        <f t="shared" si="22"/>
        <v>144.83999999985099</v>
      </c>
      <c r="N36" s="35">
        <f t="shared" si="22"/>
        <v>0</v>
      </c>
      <c r="O36" s="235">
        <f t="shared" si="22"/>
        <v>5069.3999999947846</v>
      </c>
      <c r="P36" s="35">
        <f t="shared" si="22"/>
        <v>39</v>
      </c>
      <c r="Q36" s="35">
        <f t="shared" si="22"/>
        <v>0</v>
      </c>
      <c r="R36" s="235">
        <f t="shared" si="22"/>
        <v>5226</v>
      </c>
      <c r="S36" s="235">
        <f t="shared" si="22"/>
        <v>8.6815910506713294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-4</v>
      </c>
      <c r="X36" s="35">
        <f t="shared" si="22"/>
        <v>0</v>
      </c>
      <c r="Y36" s="35">
        <f t="shared" si="22"/>
        <v>16</v>
      </c>
      <c r="Z36" s="35">
        <f t="shared" si="22"/>
        <v>12</v>
      </c>
      <c r="AA36" s="35">
        <f t="shared" si="22"/>
        <v>2.1699999999982538</v>
      </c>
      <c r="AB36" s="35">
        <f t="shared" si="22"/>
        <v>0</v>
      </c>
      <c r="AC36" s="35">
        <f t="shared" si="22"/>
        <v>-0.29999999999563443</v>
      </c>
      <c r="AD36" s="35">
        <f t="shared" si="22"/>
        <v>-0.41999999999825377</v>
      </c>
      <c r="AE36" s="35">
        <f t="shared" si="22"/>
        <v>1.4500000000043656</v>
      </c>
      <c r="AF36" s="35">
        <f t="shared" si="22"/>
        <v>1357.25000000002</v>
      </c>
      <c r="AG36" s="35">
        <f t="shared" si="22"/>
        <v>41.86468334457237</v>
      </c>
      <c r="AH36" s="35">
        <f t="shared" si="22"/>
        <v>0</v>
      </c>
      <c r="AI36" s="35">
        <f t="shared" si="22"/>
        <v>0</v>
      </c>
      <c r="AJ36" s="35">
        <f t="shared" si="22"/>
        <v>9.5299999999988358</v>
      </c>
      <c r="AK36" s="35">
        <f t="shared" si="22"/>
        <v>9.5299999999988358</v>
      </c>
      <c r="AL36" s="35">
        <f t="shared" si="22"/>
        <v>3.9999999999736247E-2</v>
      </c>
      <c r="AM36" s="35">
        <f t="shared" si="22"/>
        <v>0</v>
      </c>
      <c r="AN36" s="35">
        <f t="shared" si="22"/>
        <v>0</v>
      </c>
      <c r="AO36" s="35">
        <f t="shared" si="22"/>
        <v>3.9999999999736247E-2</v>
      </c>
      <c r="AP36" s="35"/>
      <c r="AQ36" s="35">
        <f t="shared" ref="AQ36:AX36" si="23">AQ18-AQ17</f>
        <v>218.33000000007451</v>
      </c>
      <c r="AR36" s="35">
        <f t="shared" si="23"/>
        <v>102.17999999999302</v>
      </c>
      <c r="AS36" s="35">
        <f t="shared" si="23"/>
        <v>226.9199999999837</v>
      </c>
      <c r="AT36" s="35">
        <f t="shared" si="23"/>
        <v>389.80999999999767</v>
      </c>
      <c r="AU36" s="35">
        <f t="shared" si="23"/>
        <v>-18.029999999999944</v>
      </c>
      <c r="AV36" s="35">
        <f t="shared" si="23"/>
        <v>471.45000000001164</v>
      </c>
      <c r="AW36" s="35">
        <f t="shared" si="23"/>
        <v>-8.000000000174623E-2</v>
      </c>
      <c r="AX36" s="35">
        <f t="shared" si="23"/>
        <v>66.900000000139698</v>
      </c>
      <c r="AY36" s="35"/>
      <c r="AZ36" s="35"/>
      <c r="BA36" s="35">
        <f t="shared" ref="BA36:BH36" si="24">BA18-BA17</f>
        <v>-0.13000000000465661</v>
      </c>
      <c r="BB36" s="35">
        <f t="shared" si="24"/>
        <v>0</v>
      </c>
      <c r="BC36" s="35">
        <f t="shared" si="24"/>
        <v>-6.9999999948777258E-2</v>
      </c>
      <c r="BD36" s="35">
        <f t="shared" si="24"/>
        <v>50.570000000065193</v>
      </c>
      <c r="BE36" s="35">
        <f t="shared" si="24"/>
        <v>-0.81000000000130967</v>
      </c>
      <c r="BF36" s="35">
        <f t="shared" si="24"/>
        <v>875.1200000000008</v>
      </c>
      <c r="BG36" s="35">
        <f t="shared" si="24"/>
        <v>10.760000000009313</v>
      </c>
      <c r="BH36" s="35">
        <f t="shared" si="24"/>
        <v>0</v>
      </c>
      <c r="BI36" s="35"/>
      <c r="BJ36" s="35"/>
      <c r="BK36" s="35"/>
      <c r="BL36" s="35">
        <f>BL18-BL17</f>
        <v>0.3519749478805565</v>
      </c>
      <c r="BM36" s="35">
        <f>BM18-BM17</f>
        <v>0.11302931452615361</v>
      </c>
      <c r="BN36" s="35"/>
      <c r="BO36" s="35">
        <f>BO18-BO17</f>
        <v>37157.099999994854</v>
      </c>
      <c r="BP36" s="35">
        <f>BP18-BP17</f>
        <v>1461.1500000001597</v>
      </c>
    </row>
    <row r="37" spans="1:69">
      <c r="F37" s="213">
        <f>AVERAGE(F4:F35)</f>
        <v>0.53999999999999992</v>
      </c>
      <c r="G37" s="213"/>
      <c r="H37" s="213"/>
      <c r="I37" s="213">
        <f>AVERAGE(I4:I35)</f>
        <v>379513.29032258067</v>
      </c>
    </row>
    <row r="38" spans="1:69">
      <c r="B38" s="36" t="s">
        <v>68</v>
      </c>
      <c r="F38" s="383">
        <f>AVERAGE(F4:F35)</f>
        <v>0.53999999999999992</v>
      </c>
      <c r="G38" s="383"/>
      <c r="H38" s="383"/>
    </row>
    <row r="41" spans="1:69">
      <c r="BJ41">
        <f>(BJ31+BK31)/400</f>
        <v>15.482007500000035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4" workbookViewId="0">
      <selection activeCell="H15" sqref="H15"/>
    </sheetView>
  </sheetViews>
  <sheetFormatPr defaultRowHeight="15.75"/>
  <cols>
    <col min="2" max="2" width="8.5546875" style="1164" customWidth="1"/>
    <col min="3" max="3" width="7.44140625" style="1164" customWidth="1"/>
    <col min="4" max="4" width="7.5546875" style="1164" customWidth="1"/>
    <col min="5" max="5" width="7.88671875" style="1164" customWidth="1"/>
    <col min="6" max="6" width="10.6640625" style="1164" customWidth="1"/>
  </cols>
  <sheetData>
    <row r="1" spans="1:7" ht="47.25">
      <c r="A1" s="1030"/>
      <c r="B1" s="1237" t="s">
        <v>306</v>
      </c>
      <c r="C1" s="1237" t="s">
        <v>304</v>
      </c>
      <c r="D1" s="1237" t="s">
        <v>305</v>
      </c>
      <c r="E1" s="1237" t="s">
        <v>308</v>
      </c>
      <c r="F1" s="1237" t="s">
        <v>307</v>
      </c>
      <c r="G1" s="1276" t="s">
        <v>310</v>
      </c>
    </row>
    <row r="2" spans="1:7">
      <c r="A2" s="1030">
        <v>1</v>
      </c>
      <c r="B2" s="1238"/>
      <c r="C2" s="1239">
        <v>62</v>
      </c>
      <c r="D2" s="1239">
        <v>24</v>
      </c>
      <c r="E2" s="1239">
        <f>SUM(C2:D2)/202%</f>
        <v>42.574257425742573</v>
      </c>
      <c r="F2" s="1275">
        <v>140</v>
      </c>
      <c r="G2" s="1275">
        <f>C2+D2</f>
        <v>86</v>
      </c>
    </row>
    <row r="3" spans="1:7">
      <c r="A3" s="1030">
        <v>2</v>
      </c>
      <c r="B3" s="1238"/>
      <c r="C3" s="1239">
        <v>35</v>
      </c>
      <c r="D3" s="1239">
        <v>24</v>
      </c>
      <c r="E3" s="1239">
        <f t="shared" ref="E3:E5" si="0">SUM(C3:D3)/202%</f>
        <v>29.207920792079207</v>
      </c>
      <c r="F3" s="1275">
        <v>83</v>
      </c>
      <c r="G3" s="1275">
        <f t="shared" ref="G3:G31" si="1">C3+D3</f>
        <v>59</v>
      </c>
    </row>
    <row r="4" spans="1:7">
      <c r="A4" s="1030">
        <v>3</v>
      </c>
      <c r="B4" s="1238"/>
      <c r="C4" s="1239">
        <v>30</v>
      </c>
      <c r="D4" s="1239">
        <v>23</v>
      </c>
      <c r="E4" s="1239">
        <f t="shared" si="0"/>
        <v>26.237623762376238</v>
      </c>
      <c r="F4" s="1275">
        <v>49</v>
      </c>
      <c r="G4" s="1275">
        <f t="shared" si="1"/>
        <v>53</v>
      </c>
    </row>
    <row r="5" spans="1:7">
      <c r="A5" s="1030">
        <v>4</v>
      </c>
      <c r="B5" s="1238"/>
      <c r="C5" s="1239">
        <v>37</v>
      </c>
      <c r="D5" s="1239">
        <v>25</v>
      </c>
      <c r="E5" s="1239">
        <f t="shared" si="0"/>
        <v>30.693069306930692</v>
      </c>
      <c r="F5" s="1275">
        <v>81</v>
      </c>
      <c r="G5" s="1275">
        <f t="shared" si="1"/>
        <v>62</v>
      </c>
    </row>
    <row r="6" spans="1:7">
      <c r="A6" s="1030">
        <v>5</v>
      </c>
      <c r="B6" s="1238"/>
      <c r="C6" s="1239">
        <v>24</v>
      </c>
      <c r="D6" s="1239">
        <v>24</v>
      </c>
      <c r="E6" s="1239">
        <f t="shared" ref="E6:E31" si="2">SUM(C6:D6)/202%</f>
        <v>23.762376237623762</v>
      </c>
      <c r="F6" s="1275">
        <v>64</v>
      </c>
      <c r="G6" s="1275">
        <f t="shared" si="1"/>
        <v>48</v>
      </c>
    </row>
    <row r="7" spans="1:7">
      <c r="A7" s="1030">
        <v>6</v>
      </c>
      <c r="B7" s="1238"/>
      <c r="C7" s="1239">
        <v>22</v>
      </c>
      <c r="D7" s="1239">
        <v>25</v>
      </c>
      <c r="E7" s="1239">
        <f t="shared" si="2"/>
        <v>23.267326732673268</v>
      </c>
      <c r="F7" s="1275">
        <v>41</v>
      </c>
      <c r="G7" s="1275">
        <f t="shared" si="1"/>
        <v>47</v>
      </c>
    </row>
    <row r="8" spans="1:7">
      <c r="A8" s="1030">
        <v>7</v>
      </c>
      <c r="B8" s="1238"/>
      <c r="C8" s="1239">
        <v>32</v>
      </c>
      <c r="D8" s="1239">
        <v>25</v>
      </c>
      <c r="E8" s="1239">
        <f t="shared" si="2"/>
        <v>28.217821782178216</v>
      </c>
      <c r="F8" s="1275">
        <v>71</v>
      </c>
      <c r="G8" s="1275">
        <f t="shared" si="1"/>
        <v>57</v>
      </c>
    </row>
    <row r="9" spans="1:7">
      <c r="A9" s="1030">
        <v>8</v>
      </c>
      <c r="B9" s="1238"/>
      <c r="C9" s="1239">
        <v>57</v>
      </c>
      <c r="D9" s="1239">
        <v>26</v>
      </c>
      <c r="E9" s="1239">
        <f t="shared" si="2"/>
        <v>41.089108910891092</v>
      </c>
      <c r="F9" s="1275">
        <v>282</v>
      </c>
      <c r="G9" s="1275">
        <f t="shared" si="1"/>
        <v>83</v>
      </c>
    </row>
    <row r="10" spans="1:7">
      <c r="A10" s="1030">
        <v>9</v>
      </c>
      <c r="B10" s="1238"/>
      <c r="C10" s="1239">
        <v>29</v>
      </c>
      <c r="D10" s="1239">
        <v>27</v>
      </c>
      <c r="E10" s="1239">
        <f t="shared" si="2"/>
        <v>27.722772277227723</v>
      </c>
      <c r="F10" s="1275">
        <v>189</v>
      </c>
      <c r="G10" s="1275">
        <f t="shared" si="1"/>
        <v>56</v>
      </c>
    </row>
    <row r="11" spans="1:7">
      <c r="A11" s="1030">
        <v>10</v>
      </c>
      <c r="B11" s="1238"/>
      <c r="C11" s="1239">
        <v>23</v>
      </c>
      <c r="D11" s="1239">
        <v>27</v>
      </c>
      <c r="E11" s="1239">
        <f t="shared" si="2"/>
        <v>24.752475247524753</v>
      </c>
      <c r="F11" s="1275">
        <v>72</v>
      </c>
      <c r="G11" s="1275">
        <f t="shared" si="1"/>
        <v>50</v>
      </c>
    </row>
    <row r="12" spans="1:7">
      <c r="A12" s="1030">
        <v>11</v>
      </c>
      <c r="B12" s="1238"/>
      <c r="C12" s="1239">
        <v>25</v>
      </c>
      <c r="D12" s="1239">
        <v>27</v>
      </c>
      <c r="E12" s="1239">
        <f t="shared" si="2"/>
        <v>25.742574257425744</v>
      </c>
      <c r="F12" s="1275">
        <v>52</v>
      </c>
      <c r="G12" s="1275">
        <f t="shared" si="1"/>
        <v>52</v>
      </c>
    </row>
    <row r="13" spans="1:7">
      <c r="A13" s="1030">
        <v>12</v>
      </c>
      <c r="B13" s="1238"/>
      <c r="C13" s="1239">
        <v>27</v>
      </c>
      <c r="D13" s="1239">
        <v>27</v>
      </c>
      <c r="E13" s="1239">
        <f t="shared" si="2"/>
        <v>26.732673267326732</v>
      </c>
      <c r="F13" s="1239">
        <v>45</v>
      </c>
      <c r="G13" s="1275">
        <f t="shared" si="1"/>
        <v>54</v>
      </c>
    </row>
    <row r="14" spans="1:7">
      <c r="A14" s="1030">
        <v>13</v>
      </c>
      <c r="B14" s="1238"/>
      <c r="C14" s="1239">
        <v>22</v>
      </c>
      <c r="D14" s="1239">
        <v>27</v>
      </c>
      <c r="E14" s="1239">
        <f t="shared" si="2"/>
        <v>24.257425742574256</v>
      </c>
      <c r="F14" s="1239">
        <v>60</v>
      </c>
      <c r="G14" s="1275">
        <f t="shared" si="1"/>
        <v>49</v>
      </c>
    </row>
    <row r="15" spans="1:7">
      <c r="A15" s="1030">
        <v>14</v>
      </c>
      <c r="B15" s="1238"/>
      <c r="C15" s="1239">
        <v>39</v>
      </c>
      <c r="D15" s="1239">
        <v>27</v>
      </c>
      <c r="E15" s="1239">
        <f t="shared" si="2"/>
        <v>32.67326732673267</v>
      </c>
      <c r="F15" s="1239">
        <v>77</v>
      </c>
      <c r="G15" s="1275">
        <f t="shared" si="1"/>
        <v>66</v>
      </c>
    </row>
    <row r="16" spans="1:7">
      <c r="A16" s="1030">
        <v>15</v>
      </c>
      <c r="B16" s="1238"/>
      <c r="C16" s="1239">
        <v>79</v>
      </c>
      <c r="D16" s="1239">
        <v>28</v>
      </c>
      <c r="E16" s="1239">
        <f t="shared" si="2"/>
        <v>52.970297029702969</v>
      </c>
      <c r="F16" s="1239">
        <v>173</v>
      </c>
      <c r="G16" s="1275">
        <f t="shared" si="1"/>
        <v>107</v>
      </c>
    </row>
    <row r="17" spans="1:7">
      <c r="A17" s="1030">
        <v>16</v>
      </c>
      <c r="B17" s="1238"/>
      <c r="C17" s="1239">
        <v>37</v>
      </c>
      <c r="D17" s="1239">
        <v>37</v>
      </c>
      <c r="E17" s="1239">
        <f>SUM(C17:D17)/202%</f>
        <v>36.633663366336634</v>
      </c>
      <c r="F17" s="1239">
        <v>115</v>
      </c>
      <c r="G17" s="1275">
        <f t="shared" si="1"/>
        <v>74</v>
      </c>
    </row>
    <row r="18" spans="1:7">
      <c r="A18" s="1030">
        <v>17</v>
      </c>
      <c r="B18" s="1238"/>
      <c r="C18" s="1239">
        <v>38</v>
      </c>
      <c r="D18" s="1239">
        <v>29</v>
      </c>
      <c r="E18" s="1239">
        <f t="shared" si="2"/>
        <v>33.168316831683171</v>
      </c>
      <c r="F18" s="1239">
        <v>75</v>
      </c>
      <c r="G18" s="1275">
        <f t="shared" si="1"/>
        <v>67</v>
      </c>
    </row>
    <row r="19" spans="1:7">
      <c r="A19" s="1030">
        <v>18</v>
      </c>
      <c r="B19" s="1238"/>
      <c r="C19" s="1164">
        <v>28</v>
      </c>
      <c r="D19" s="1164">
        <v>25</v>
      </c>
      <c r="E19" s="1239">
        <f t="shared" si="2"/>
        <v>26.237623762376238</v>
      </c>
      <c r="F19" s="1164">
        <v>64</v>
      </c>
      <c r="G19" s="1275">
        <f t="shared" si="1"/>
        <v>53</v>
      </c>
    </row>
    <row r="20" spans="1:7">
      <c r="A20" s="1030">
        <v>19</v>
      </c>
      <c r="B20" s="1238"/>
      <c r="C20" s="1239"/>
      <c r="D20" s="1239"/>
      <c r="E20" s="1239">
        <f t="shared" si="2"/>
        <v>0</v>
      </c>
      <c r="F20" s="1239"/>
      <c r="G20" s="1275">
        <f t="shared" si="1"/>
        <v>0</v>
      </c>
    </row>
    <row r="21" spans="1:7">
      <c r="A21" s="1030">
        <v>20</v>
      </c>
      <c r="B21" s="1238"/>
      <c r="C21" s="1239"/>
      <c r="D21" s="1239"/>
      <c r="E21" s="1239">
        <f t="shared" si="2"/>
        <v>0</v>
      </c>
      <c r="F21" s="1239"/>
      <c r="G21" s="1275">
        <f t="shared" si="1"/>
        <v>0</v>
      </c>
    </row>
    <row r="22" spans="1:7">
      <c r="A22" s="1030">
        <v>21</v>
      </c>
      <c r="B22" s="1238"/>
      <c r="C22" s="1239"/>
      <c r="D22" s="1239"/>
      <c r="E22" s="1239">
        <f t="shared" si="2"/>
        <v>0</v>
      </c>
      <c r="F22" s="1239"/>
      <c r="G22" s="1275">
        <f t="shared" si="1"/>
        <v>0</v>
      </c>
    </row>
    <row r="23" spans="1:7">
      <c r="A23" s="1030">
        <v>22</v>
      </c>
      <c r="B23" s="1238"/>
      <c r="C23" s="1239"/>
      <c r="D23" s="1239"/>
      <c r="E23" s="1239">
        <f t="shared" si="2"/>
        <v>0</v>
      </c>
      <c r="F23" s="1239"/>
      <c r="G23" s="1275">
        <f t="shared" si="1"/>
        <v>0</v>
      </c>
    </row>
    <row r="24" spans="1:7">
      <c r="A24" s="1030">
        <v>23</v>
      </c>
      <c r="B24" s="1238"/>
      <c r="C24" s="1239"/>
      <c r="D24" s="1239"/>
      <c r="E24" s="1239">
        <f t="shared" si="2"/>
        <v>0</v>
      </c>
      <c r="F24" s="1239"/>
      <c r="G24" s="1275">
        <f t="shared" si="1"/>
        <v>0</v>
      </c>
    </row>
    <row r="25" spans="1:7">
      <c r="A25" s="1030">
        <v>24</v>
      </c>
      <c r="B25" s="1238"/>
      <c r="C25" s="1239"/>
      <c r="D25" s="1239"/>
      <c r="E25" s="1239">
        <f t="shared" si="2"/>
        <v>0</v>
      </c>
      <c r="F25" s="1239"/>
      <c r="G25" s="1275">
        <f t="shared" si="1"/>
        <v>0</v>
      </c>
    </row>
    <row r="26" spans="1:7">
      <c r="A26" s="1030">
        <v>25</v>
      </c>
      <c r="B26" s="1238"/>
      <c r="C26" s="1239"/>
      <c r="D26" s="1239"/>
      <c r="E26" s="1239">
        <f t="shared" si="2"/>
        <v>0</v>
      </c>
      <c r="F26" s="1239"/>
      <c r="G26" s="1275">
        <f t="shared" si="1"/>
        <v>0</v>
      </c>
    </row>
    <row r="27" spans="1:7">
      <c r="A27" s="1030">
        <v>26</v>
      </c>
      <c r="B27" s="1238"/>
      <c r="C27" s="1239"/>
      <c r="D27" s="1239"/>
      <c r="E27" s="1239">
        <f t="shared" si="2"/>
        <v>0</v>
      </c>
      <c r="F27" s="1239"/>
      <c r="G27" s="1275">
        <f t="shared" si="1"/>
        <v>0</v>
      </c>
    </row>
    <row r="28" spans="1:7">
      <c r="A28" s="1030">
        <v>27</v>
      </c>
      <c r="B28" s="1238"/>
      <c r="C28" s="1239"/>
      <c r="D28" s="1239"/>
      <c r="E28" s="1239">
        <f t="shared" si="2"/>
        <v>0</v>
      </c>
      <c r="F28" s="1239"/>
      <c r="G28" s="1275">
        <f t="shared" si="1"/>
        <v>0</v>
      </c>
    </row>
    <row r="29" spans="1:7">
      <c r="A29" s="1030">
        <v>28</v>
      </c>
      <c r="B29" s="1238"/>
      <c r="C29" s="1239"/>
      <c r="D29" s="1239"/>
      <c r="E29" s="1239">
        <f t="shared" si="2"/>
        <v>0</v>
      </c>
      <c r="F29" s="1239"/>
      <c r="G29" s="1275">
        <f t="shared" si="1"/>
        <v>0</v>
      </c>
    </row>
    <row r="30" spans="1:7">
      <c r="A30" s="1030">
        <v>29</v>
      </c>
      <c r="B30" s="1238"/>
      <c r="C30" s="1239"/>
      <c r="D30" s="1239"/>
      <c r="E30" s="1239">
        <f t="shared" si="2"/>
        <v>0</v>
      </c>
      <c r="F30" s="1239"/>
      <c r="G30" s="1275">
        <f t="shared" si="1"/>
        <v>0</v>
      </c>
    </row>
    <row r="31" spans="1:7">
      <c r="A31" s="1030">
        <v>30</v>
      </c>
      <c r="B31" s="1239"/>
      <c r="C31" s="1239"/>
      <c r="D31" s="1239"/>
      <c r="E31" s="1239">
        <f t="shared" si="2"/>
        <v>0</v>
      </c>
      <c r="F31" s="1239"/>
      <c r="G31" s="1323">
        <f t="shared" si="1"/>
        <v>0</v>
      </c>
    </row>
    <row r="32" spans="1:7">
      <c r="A32" s="1030">
        <v>31</v>
      </c>
      <c r="B32" s="1239"/>
      <c r="C32" s="1239"/>
      <c r="D32" s="1239"/>
      <c r="E32" s="1239"/>
      <c r="F32" s="1239"/>
      <c r="G32" s="1323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R11" sqref="R11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80</v>
      </c>
      <c r="E5" s="450">
        <f>'2'!G18</f>
        <v>60</v>
      </c>
      <c r="F5" s="450">
        <f>'3'!G18</f>
        <v>60</v>
      </c>
      <c r="G5" s="450">
        <f>'4'!G18</f>
        <v>60</v>
      </c>
      <c r="H5" s="450">
        <f>'5'!G18</f>
        <v>60</v>
      </c>
      <c r="I5" s="450">
        <f>'6'!G18</f>
        <v>0</v>
      </c>
      <c r="J5" s="450">
        <f>'7'!G18</f>
        <v>0</v>
      </c>
      <c r="K5" s="450">
        <f>'8'!G18</f>
        <v>60</v>
      </c>
      <c r="L5" s="450">
        <f>'9'!G18</f>
        <v>40</v>
      </c>
      <c r="M5" s="450">
        <f>'10'!G18</f>
        <v>20</v>
      </c>
      <c r="N5" s="450">
        <f>'11'!G18</f>
        <v>20</v>
      </c>
      <c r="O5" s="450">
        <f>'12'!G18</f>
        <v>0</v>
      </c>
      <c r="P5" s="450">
        <f>'13'!G18</f>
        <v>20</v>
      </c>
      <c r="Q5" s="450">
        <f>'14'!G18</f>
        <v>20</v>
      </c>
      <c r="R5" s="450">
        <f>'15'!G18</f>
        <v>60</v>
      </c>
      <c r="S5" s="450">
        <f>'16'!G18</f>
        <v>60</v>
      </c>
      <c r="T5" s="450">
        <f>'17'!G18</f>
        <v>20</v>
      </c>
      <c r="U5" s="450">
        <f>'18'!G18</f>
        <v>0</v>
      </c>
      <c r="V5" s="450">
        <f>'19'!G18</f>
        <v>80</v>
      </c>
      <c r="W5" s="450">
        <f>'20'!G18</f>
        <v>80</v>
      </c>
      <c r="X5" s="450">
        <f>'21'!G18</f>
        <v>100</v>
      </c>
      <c r="Y5" s="450">
        <f>'22'!G18</f>
        <v>100</v>
      </c>
      <c r="Z5" s="450">
        <f>'23'!G18</f>
        <v>80</v>
      </c>
      <c r="AA5" s="450">
        <f>'24'!G18</f>
        <v>100</v>
      </c>
      <c r="AB5" s="450">
        <f>'25'!G18</f>
        <v>80</v>
      </c>
      <c r="AC5" s="450">
        <f>'26'!G18</f>
        <v>100</v>
      </c>
      <c r="AD5" s="450">
        <f>'27'!G18</f>
        <v>60</v>
      </c>
      <c r="AE5" s="450">
        <f>'28'!G18</f>
        <v>60</v>
      </c>
      <c r="AF5" s="450">
        <f>'29'!G18</f>
        <v>20</v>
      </c>
      <c r="AG5" s="450">
        <f>'30'!G18</f>
        <v>60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56</v>
      </c>
      <c r="E6" s="450">
        <f>'2'!G19</f>
        <v>51</v>
      </c>
      <c r="F6" s="450">
        <f>'3'!G19</f>
        <v>56</v>
      </c>
      <c r="G6" s="450">
        <f>'4'!G19</f>
        <v>47</v>
      </c>
      <c r="H6" s="450">
        <f>'5'!G19</f>
        <v>53</v>
      </c>
      <c r="I6" s="450">
        <f>'6'!G19</f>
        <v>56</v>
      </c>
      <c r="J6" s="450">
        <f>'7'!G19</f>
        <v>56</v>
      </c>
      <c r="K6" s="450">
        <f>'8'!G19</f>
        <v>55</v>
      </c>
      <c r="L6" s="450">
        <f>'9'!G19</f>
        <v>55</v>
      </c>
      <c r="M6" s="450">
        <f>'10'!G19</f>
        <v>57</v>
      </c>
      <c r="N6" s="450">
        <f>'11'!G19</f>
        <v>55</v>
      </c>
      <c r="O6" s="450">
        <f>'12'!G19</f>
        <v>52</v>
      </c>
      <c r="P6" s="450">
        <f>'13'!G19</f>
        <v>57</v>
      </c>
      <c r="Q6" s="450">
        <f>'14'!G19</f>
        <v>57</v>
      </c>
      <c r="R6" s="450">
        <f>'15'!G19</f>
        <v>56</v>
      </c>
      <c r="S6" s="450">
        <f>'16'!G19</f>
        <v>57</v>
      </c>
      <c r="T6" s="450">
        <f>'17'!G19</f>
        <v>56</v>
      </c>
      <c r="U6" s="450">
        <f>'18'!G19</f>
        <v>105</v>
      </c>
      <c r="V6" s="450">
        <f>'19'!G19</f>
        <v>-1660</v>
      </c>
      <c r="W6" s="450">
        <f>'20'!G19</f>
        <v>61</v>
      </c>
      <c r="X6" s="450">
        <f>'21'!G19</f>
        <v>58</v>
      </c>
      <c r="Y6" s="450">
        <f>'22'!G19</f>
        <v>59</v>
      </c>
      <c r="Z6" s="450">
        <f>'23'!G19</f>
        <v>58</v>
      </c>
      <c r="AA6" s="450">
        <f>'24'!G19</f>
        <v>58</v>
      </c>
      <c r="AB6" s="450">
        <f>'25'!G19</f>
        <v>53</v>
      </c>
      <c r="AC6" s="450">
        <f>'26'!G19</f>
        <v>59</v>
      </c>
      <c r="AD6" s="450">
        <f>'27'!G19</f>
        <v>52</v>
      </c>
      <c r="AE6" s="450">
        <f>'28'!G19</f>
        <v>56</v>
      </c>
      <c r="AF6" s="450">
        <f>'29'!G19</f>
        <v>55</v>
      </c>
      <c r="AG6" s="450">
        <f>'30'!G19</f>
        <v>54</v>
      </c>
      <c r="AH6" s="450">
        <f>'31'!G19</f>
        <v>-1722</v>
      </c>
      <c r="AI6" s="448"/>
    </row>
    <row r="7" spans="2:35">
      <c r="B7" s="452"/>
      <c r="C7" s="448" t="s">
        <v>72</v>
      </c>
      <c r="D7" s="450">
        <f>'1'!G93</f>
        <v>52</v>
      </c>
      <c r="E7" s="450">
        <f>'2'!G93</f>
        <v>36</v>
      </c>
      <c r="F7" s="450">
        <f>'3'!G93</f>
        <v>52</v>
      </c>
      <c r="G7" s="450">
        <f>'4'!G93</f>
        <v>39</v>
      </c>
      <c r="H7" s="450">
        <f>'5'!G93</f>
        <v>26</v>
      </c>
      <c r="I7" s="450">
        <f>'6'!G93</f>
        <v>0</v>
      </c>
      <c r="J7" s="450">
        <f>'7'!G93</f>
        <v>0</v>
      </c>
      <c r="K7" s="450">
        <f>'8'!G93</f>
        <v>53</v>
      </c>
      <c r="L7" s="450">
        <f>'9'!G93</f>
        <v>32</v>
      </c>
      <c r="M7" s="450">
        <f>'10'!G93</f>
        <v>0</v>
      </c>
      <c r="N7" s="450">
        <f>'11'!G93</f>
        <v>0</v>
      </c>
      <c r="O7" s="450">
        <f>'12'!G93</f>
        <v>20</v>
      </c>
      <c r="P7" s="450">
        <f>'13'!G93</f>
        <v>30</v>
      </c>
      <c r="Q7" s="450">
        <f>'14'!G93</f>
        <v>15</v>
      </c>
      <c r="R7" s="450">
        <f>'15'!G93</f>
        <v>153</v>
      </c>
      <c r="S7" s="450">
        <f>'16'!G93</f>
        <v>45</v>
      </c>
      <c r="T7" s="450">
        <f>'17'!G93</f>
        <v>0</v>
      </c>
      <c r="U7" s="450">
        <f>'18'!G93</f>
        <v>0</v>
      </c>
      <c r="V7" s="450">
        <f>'19'!G93</f>
        <v>-1134</v>
      </c>
      <c r="W7" s="450">
        <f>'20'!G93</f>
        <v>61</v>
      </c>
      <c r="X7" s="450">
        <f>'21'!G93</f>
        <v>73</v>
      </c>
      <c r="Y7" s="450">
        <f>'22'!G93</f>
        <v>61</v>
      </c>
      <c r="Z7" s="450">
        <f>'23'!G93</f>
        <v>66</v>
      </c>
      <c r="AA7" s="450">
        <f>'24'!G93</f>
        <v>86</v>
      </c>
      <c r="AB7" s="450">
        <f>'25'!G93</f>
        <v>70</v>
      </c>
      <c r="AC7" s="450">
        <f>'26'!G93</f>
        <v>57</v>
      </c>
      <c r="AD7" s="450">
        <f>'27'!G93</f>
        <v>34</v>
      </c>
      <c r="AE7" s="450">
        <f>'28'!G93</f>
        <v>0</v>
      </c>
      <c r="AF7" s="450">
        <f>'29'!G93</f>
        <v>17</v>
      </c>
      <c r="AG7" s="450">
        <f>'30'!G93</f>
        <v>56</v>
      </c>
      <c r="AH7" s="450">
        <f>'31'!G93</f>
        <v>-1878</v>
      </c>
      <c r="AI7" s="448"/>
    </row>
    <row r="8" spans="2:35">
      <c r="B8" s="452"/>
      <c r="C8" s="448" t="s">
        <v>338</v>
      </c>
      <c r="D8" s="450">
        <f>'1'!G94</f>
        <v>95</v>
      </c>
      <c r="E8" s="450">
        <f>'2'!G94</f>
        <v>101</v>
      </c>
      <c r="F8" s="450">
        <f>'3'!G94</f>
        <v>111</v>
      </c>
      <c r="G8" s="450">
        <f>'4'!G94</f>
        <v>71</v>
      </c>
      <c r="H8" s="450">
        <f>'5'!G94</f>
        <v>69</v>
      </c>
      <c r="I8" s="450">
        <f>'6'!G94</f>
        <v>100</v>
      </c>
      <c r="J8" s="450">
        <f>'7'!G94</f>
        <v>71</v>
      </c>
      <c r="K8" s="450">
        <f>'8'!G94</f>
        <v>49</v>
      </c>
      <c r="L8" s="450">
        <f>'9'!G94</f>
        <v>106</v>
      </c>
      <c r="M8" s="450">
        <f>'10'!G94</f>
        <v>45</v>
      </c>
      <c r="N8" s="450">
        <f>'11'!G94</f>
        <v>44</v>
      </c>
      <c r="O8" s="450">
        <f>'12'!G94</f>
        <v>119</v>
      </c>
      <c r="P8" s="450">
        <f>'13'!G94</f>
        <v>67</v>
      </c>
      <c r="Q8" s="450">
        <f>'14'!G94</f>
        <v>83</v>
      </c>
      <c r="R8" s="450">
        <f>'15'!G94</f>
        <v>131</v>
      </c>
      <c r="S8" s="450">
        <f>'16'!G94</f>
        <v>29</v>
      </c>
      <c r="T8" s="450">
        <f>'17'!G94</f>
        <v>93</v>
      </c>
      <c r="U8" s="450">
        <f>'18'!G94</f>
        <v>146</v>
      </c>
      <c r="V8" s="450">
        <f>'19'!G94</f>
        <v>-2641</v>
      </c>
      <c r="W8" s="450">
        <f>'20'!G94</f>
        <v>161</v>
      </c>
      <c r="X8" s="450">
        <f>'21'!G94</f>
        <v>134</v>
      </c>
      <c r="Y8" s="450">
        <f>'22'!G94</f>
        <v>81</v>
      </c>
      <c r="Z8" s="450">
        <f>'23'!G94</f>
        <v>78</v>
      </c>
      <c r="AA8" s="450">
        <f>'24'!G94</f>
        <v>133</v>
      </c>
      <c r="AB8" s="450">
        <f>'25'!G94</f>
        <v>100</v>
      </c>
      <c r="AC8" s="450">
        <f>'26'!G94</f>
        <v>119</v>
      </c>
      <c r="AD8" s="450">
        <f>'27'!G94</f>
        <v>48</v>
      </c>
      <c r="AE8" s="450">
        <f>'28'!G94</f>
        <v>120</v>
      </c>
      <c r="AF8" s="450">
        <f>'29'!G94</f>
        <v>52</v>
      </c>
      <c r="AG8" s="450">
        <f>'30'!G94</f>
        <v>85</v>
      </c>
      <c r="AH8" s="450">
        <f>'31'!G94</f>
        <v>-3852</v>
      </c>
      <c r="AI8" s="448"/>
    </row>
    <row r="9" spans="2:35">
      <c r="B9" s="1493" t="s">
        <v>73</v>
      </c>
      <c r="C9" s="448" t="s">
        <v>33</v>
      </c>
      <c r="D9" s="450">
        <f>'1'!G96</f>
        <v>72</v>
      </c>
      <c r="E9" s="450">
        <f>'2'!G96</f>
        <v>42</v>
      </c>
      <c r="F9" s="450">
        <f>'3'!G96</f>
        <v>61</v>
      </c>
      <c r="G9" s="450">
        <f>'4'!G96</f>
        <v>62</v>
      </c>
      <c r="H9" s="450">
        <f>'5'!G96</f>
        <v>31</v>
      </c>
      <c r="I9" s="450">
        <f>'6'!G96</f>
        <v>39</v>
      </c>
      <c r="J9" s="450">
        <f>'7'!G96</f>
        <v>31</v>
      </c>
      <c r="K9" s="450">
        <f>'8'!G96</f>
        <v>78</v>
      </c>
      <c r="L9" s="450">
        <f>'9'!G96</f>
        <v>40</v>
      </c>
      <c r="M9" s="450">
        <f>'10'!G96</f>
        <v>24</v>
      </c>
      <c r="N9" s="450">
        <f>'11'!G96</f>
        <v>26</v>
      </c>
      <c r="O9" s="450">
        <f>'12'!G96</f>
        <v>35</v>
      </c>
      <c r="P9" s="450">
        <f>'13'!G96</f>
        <v>52</v>
      </c>
      <c r="Q9" s="450">
        <f>'14'!G96</f>
        <v>46</v>
      </c>
      <c r="R9" s="450">
        <f>'15'!G96</f>
        <v>42</v>
      </c>
      <c r="S9" s="450">
        <f>'16'!G96</f>
        <v>27</v>
      </c>
      <c r="T9" s="450">
        <f>'17'!G96</f>
        <v>45</v>
      </c>
      <c r="U9" s="450">
        <f>'18'!G96</f>
        <v>29</v>
      </c>
      <c r="V9" s="450">
        <f>'19'!G96</f>
        <v>-1531</v>
      </c>
      <c r="W9" s="450">
        <f>'20'!G96</f>
        <v>77</v>
      </c>
      <c r="X9" s="450">
        <f>'21'!G96</f>
        <v>79</v>
      </c>
      <c r="Y9" s="450">
        <f>'22'!G96</f>
        <v>64</v>
      </c>
      <c r="Z9" s="450">
        <f>'23'!G96</f>
        <v>65</v>
      </c>
      <c r="AA9" s="450">
        <f>'24'!G96</f>
        <v>96</v>
      </c>
      <c r="AB9" s="450">
        <f>'25'!G96</f>
        <v>56</v>
      </c>
      <c r="AC9" s="450">
        <f>'26'!G96</f>
        <v>80</v>
      </c>
      <c r="AD9" s="450">
        <f>'27'!G96</f>
        <v>61</v>
      </c>
      <c r="AE9" s="450">
        <f>'28'!G96</f>
        <v>38</v>
      </c>
      <c r="AF9" s="450">
        <f>'29'!G96</f>
        <v>59</v>
      </c>
      <c r="AG9" s="450">
        <f>'30'!G96</f>
        <v>74</v>
      </c>
      <c r="AH9" s="450">
        <f>'31'!G96</f>
        <v>-2101</v>
      </c>
      <c r="AI9" s="448"/>
    </row>
    <row r="10" spans="2:35">
      <c r="B10" s="1493"/>
      <c r="C10" s="448" t="s">
        <v>34</v>
      </c>
      <c r="D10" s="450">
        <f>'1'!G97</f>
        <v>12</v>
      </c>
      <c r="E10" s="450">
        <f>'2'!G97</f>
        <v>12</v>
      </c>
      <c r="F10" s="450">
        <f>'3'!G97</f>
        <v>17</v>
      </c>
      <c r="G10" s="450">
        <f>'4'!G97</f>
        <v>9</v>
      </c>
      <c r="H10" s="450">
        <f>'5'!G97</f>
        <v>6</v>
      </c>
      <c r="I10" s="450">
        <f>'6'!G97</f>
        <v>9</v>
      </c>
      <c r="J10" s="450">
        <f>'7'!G97</f>
        <v>8</v>
      </c>
      <c r="K10" s="450">
        <f>'8'!G97</f>
        <v>9</v>
      </c>
      <c r="L10" s="450">
        <f>'9'!G97</f>
        <v>11</v>
      </c>
      <c r="M10" s="450">
        <f>'10'!G97</f>
        <v>7</v>
      </c>
      <c r="N10" s="450">
        <f>'11'!G97</f>
        <v>8</v>
      </c>
      <c r="O10" s="450">
        <f>'12'!G97</f>
        <v>6</v>
      </c>
      <c r="P10" s="450">
        <f>'13'!G97</f>
        <v>6</v>
      </c>
      <c r="Q10" s="450">
        <f>'14'!G97</f>
        <v>10</v>
      </c>
      <c r="R10" s="450">
        <f>'15'!G97</f>
        <v>10</v>
      </c>
      <c r="S10" s="450">
        <f>'16'!G97</f>
        <v>14</v>
      </c>
      <c r="T10" s="450">
        <f>'17'!G97</f>
        <v>7</v>
      </c>
      <c r="U10" s="450">
        <f>'18'!G97</f>
        <v>12</v>
      </c>
      <c r="V10" s="450">
        <f>'19'!G97</f>
        <v>-356</v>
      </c>
      <c r="W10" s="450">
        <f>'20'!G97</f>
        <v>19</v>
      </c>
      <c r="X10" s="450">
        <f>'21'!G97</f>
        <v>19</v>
      </c>
      <c r="Y10" s="450">
        <f>'22'!G97</f>
        <v>17</v>
      </c>
      <c r="Z10" s="450">
        <f>'23'!G97</f>
        <v>19</v>
      </c>
      <c r="AA10" s="450">
        <f>'24'!G97</f>
        <v>21</v>
      </c>
      <c r="AB10" s="450">
        <f>'25'!G97</f>
        <v>27</v>
      </c>
      <c r="AC10" s="450">
        <f>'26'!G97</f>
        <v>21</v>
      </c>
      <c r="AD10" s="450">
        <f>'27'!G97</f>
        <v>15</v>
      </c>
      <c r="AE10" s="450">
        <f>'28'!G97</f>
        <v>9</v>
      </c>
      <c r="AF10" s="450">
        <f>'29'!G97</f>
        <v>6</v>
      </c>
      <c r="AG10" s="450">
        <f>'30'!G97</f>
        <v>10</v>
      </c>
      <c r="AH10" s="450">
        <f>'31'!G97</f>
        <v>-512</v>
      </c>
      <c r="AI10" s="448"/>
    </row>
    <row r="11" spans="2:35">
      <c r="B11" s="1493"/>
      <c r="C11" s="448" t="s">
        <v>35</v>
      </c>
      <c r="D11" s="450">
        <f>'1'!G98</f>
        <v>17</v>
      </c>
      <c r="E11" s="450">
        <f>'2'!G98</f>
        <v>18</v>
      </c>
      <c r="F11" s="450">
        <f>'3'!G98</f>
        <v>15</v>
      </c>
      <c r="G11" s="450">
        <f>'4'!G98</f>
        <v>18</v>
      </c>
      <c r="H11" s="450">
        <f>'5'!G98</f>
        <v>11</v>
      </c>
      <c r="I11" s="450">
        <f>'6'!G98</f>
        <v>9</v>
      </c>
      <c r="J11" s="450">
        <f>'7'!G98</f>
        <v>10</v>
      </c>
      <c r="K11" s="450">
        <f>'8'!G98</f>
        <v>13</v>
      </c>
      <c r="L11" s="450">
        <f>'9'!G98</f>
        <v>15</v>
      </c>
      <c r="M11" s="450">
        <f>'10'!G98</f>
        <v>9</v>
      </c>
      <c r="N11" s="450">
        <f>'11'!G98</f>
        <v>10</v>
      </c>
      <c r="O11" s="450">
        <f>'12'!G98</f>
        <v>9</v>
      </c>
      <c r="P11" s="450">
        <f>'13'!G98</f>
        <v>12</v>
      </c>
      <c r="Q11" s="450">
        <f>'14'!G98</f>
        <v>17</v>
      </c>
      <c r="R11" s="450">
        <f>'15'!G98</f>
        <v>33</v>
      </c>
      <c r="S11" s="450">
        <f>'16'!G98</f>
        <v>19</v>
      </c>
      <c r="T11" s="450">
        <f>'17'!G98</f>
        <v>6</v>
      </c>
      <c r="U11" s="450">
        <f>'18'!G98</f>
        <v>8</v>
      </c>
      <c r="V11" s="450">
        <f>'19'!G98</f>
        <v>-418</v>
      </c>
      <c r="W11" s="450">
        <f>'20'!G98</f>
        <v>20</v>
      </c>
      <c r="X11" s="450">
        <f>'21'!G98</f>
        <v>15</v>
      </c>
      <c r="Y11" s="450">
        <f>'22'!G98</f>
        <v>19</v>
      </c>
      <c r="Z11" s="450">
        <f>'23'!G98</f>
        <v>21</v>
      </c>
      <c r="AA11" s="450">
        <f>'24'!G98</f>
        <v>17</v>
      </c>
      <c r="AB11" s="450">
        <f>'25'!G98</f>
        <v>17</v>
      </c>
      <c r="AC11" s="450">
        <f>'26'!G98</f>
        <v>14</v>
      </c>
      <c r="AD11" s="450">
        <f>'27'!G98</f>
        <v>8</v>
      </c>
      <c r="AE11" s="450">
        <f>'28'!G98</f>
        <v>8</v>
      </c>
      <c r="AF11" s="450">
        <f>'29'!G98</f>
        <v>14</v>
      </c>
      <c r="AG11" s="450">
        <f>'30'!G98</f>
        <v>16</v>
      </c>
      <c r="AH11" s="450">
        <f>'31'!G98</f>
        <v>-499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93" t="s">
        <v>74</v>
      </c>
      <c r="C13" s="448" t="s">
        <v>33</v>
      </c>
      <c r="D13" s="450">
        <f>'1'!G99</f>
        <v>5</v>
      </c>
      <c r="E13" s="450">
        <f>'2'!G99</f>
        <v>5</v>
      </c>
      <c r="F13" s="450">
        <f>'3'!G99</f>
        <v>4</v>
      </c>
      <c r="G13" s="450">
        <f>'4'!G99</f>
        <v>6</v>
      </c>
      <c r="H13" s="450">
        <f>'5'!G99</f>
        <v>7</v>
      </c>
      <c r="I13" s="450">
        <f>'6'!G99</f>
        <v>8</v>
      </c>
      <c r="J13" s="450">
        <f>'7'!G99</f>
        <v>5</v>
      </c>
      <c r="K13" s="450">
        <f>'8'!G99</f>
        <v>14</v>
      </c>
      <c r="L13" s="450">
        <f>'9'!G99</f>
        <v>10</v>
      </c>
      <c r="M13" s="450">
        <f>'10'!G99</f>
        <v>12</v>
      </c>
      <c r="N13" s="450">
        <f>'11'!G99</f>
        <v>6</v>
      </c>
      <c r="O13" s="450">
        <f>'12'!G99</f>
        <v>27</v>
      </c>
      <c r="P13" s="450">
        <f>'13'!G99</f>
        <v>27</v>
      </c>
      <c r="Q13" s="450">
        <f>'14'!G99</f>
        <v>26</v>
      </c>
      <c r="R13" s="450">
        <f>'15'!G99</f>
        <v>23</v>
      </c>
      <c r="S13" s="450">
        <f>'16'!G99</f>
        <v>5</v>
      </c>
      <c r="T13" s="450">
        <f>'17'!G99</f>
        <v>2</v>
      </c>
      <c r="U13" s="450">
        <f>'18'!G99</f>
        <v>4</v>
      </c>
      <c r="V13" s="450">
        <f>'19'!G99</f>
        <v>-279</v>
      </c>
      <c r="W13" s="450">
        <f>'20'!G99</f>
        <v>14</v>
      </c>
      <c r="X13" s="450">
        <f>'21'!G99</f>
        <v>8</v>
      </c>
      <c r="Y13" s="450">
        <f>'22'!G99</f>
        <v>7</v>
      </c>
      <c r="Z13" s="450">
        <f>'23'!G99</f>
        <v>6</v>
      </c>
      <c r="AA13" s="450">
        <f>'24'!G99</f>
        <v>5</v>
      </c>
      <c r="AB13" s="450">
        <f>'25'!G99</f>
        <v>5</v>
      </c>
      <c r="AC13" s="450">
        <f>'26'!G99</f>
        <v>10</v>
      </c>
      <c r="AD13" s="450">
        <f>'27'!G99</f>
        <v>11</v>
      </c>
      <c r="AE13" s="450">
        <f>'28'!G99</f>
        <v>3</v>
      </c>
      <c r="AF13" s="450">
        <f>'29'!G99</f>
        <v>6</v>
      </c>
      <c r="AG13" s="450">
        <f>'30'!G99</f>
        <v>8</v>
      </c>
      <c r="AH13" s="450">
        <f>'31'!G99</f>
        <v>-624</v>
      </c>
      <c r="AI13" s="448"/>
    </row>
    <row r="14" spans="2:35">
      <c r="B14" s="1493"/>
      <c r="C14" s="448" t="s">
        <v>34</v>
      </c>
      <c r="D14" s="450">
        <f>'1'!G115</f>
        <v>9</v>
      </c>
      <c r="E14" s="450">
        <f>'2'!G115</f>
        <v>4</v>
      </c>
      <c r="F14" s="450">
        <f>'3'!G115</f>
        <v>6</v>
      </c>
      <c r="G14" s="450">
        <f>'4'!G115</f>
        <v>5</v>
      </c>
      <c r="H14" s="450">
        <f>'5'!G115</f>
        <v>3</v>
      </c>
      <c r="I14" s="450">
        <f>'6'!G115</f>
        <v>3</v>
      </c>
      <c r="J14" s="450">
        <f>'7'!G115</f>
        <v>5</v>
      </c>
      <c r="K14" s="450">
        <f>'8'!G115</f>
        <v>4</v>
      </c>
      <c r="L14" s="450">
        <f>'9'!G115</f>
        <v>5</v>
      </c>
      <c r="M14" s="450">
        <f>'10'!G115</f>
        <v>6</v>
      </c>
      <c r="N14" s="450">
        <f>'11'!G115</f>
        <v>3</v>
      </c>
      <c r="O14" s="450">
        <f>'12'!G115</f>
        <v>6</v>
      </c>
      <c r="P14" s="450">
        <f>'13'!G115</f>
        <v>8</v>
      </c>
      <c r="Q14" s="450">
        <f>'14'!G115</f>
        <v>6</v>
      </c>
      <c r="R14" s="450">
        <f>'15'!G115</f>
        <v>7</v>
      </c>
      <c r="S14" s="450">
        <f>'16'!G115</f>
        <v>28</v>
      </c>
      <c r="T14" s="450">
        <f>'17'!G115</f>
        <v>22</v>
      </c>
      <c r="U14" s="450">
        <f>'18'!G115</f>
        <v>10</v>
      </c>
      <c r="V14" s="450">
        <f>'19'!G115</f>
        <v>-248</v>
      </c>
      <c r="W14" s="450">
        <f>'20'!G115</f>
        <v>14</v>
      </c>
      <c r="X14" s="450">
        <f>'21'!G115</f>
        <v>16</v>
      </c>
      <c r="Y14" s="450">
        <f>'22'!G115</f>
        <v>14</v>
      </c>
      <c r="Z14" s="450">
        <f>'23'!G115</f>
        <v>17</v>
      </c>
      <c r="AA14" s="450">
        <f>'24'!G115</f>
        <v>11</v>
      </c>
      <c r="AB14" s="450">
        <f>'25'!G115</f>
        <v>7</v>
      </c>
      <c r="AC14" s="450">
        <f>'26'!G115</f>
        <v>10</v>
      </c>
      <c r="AD14" s="450">
        <f>'27'!G115</f>
        <v>5</v>
      </c>
      <c r="AE14" s="450">
        <f>'28'!G115</f>
        <v>4</v>
      </c>
      <c r="AF14" s="450">
        <f>'29'!G115</f>
        <v>5</v>
      </c>
      <c r="AG14" s="450">
        <f>'30'!G115</f>
        <v>5</v>
      </c>
      <c r="AH14" s="450">
        <f>'31'!G115</f>
        <v>-402</v>
      </c>
      <c r="AI14" s="448"/>
    </row>
    <row r="15" spans="2:35">
      <c r="B15" s="1493"/>
      <c r="C15" s="448" t="s">
        <v>35</v>
      </c>
      <c r="D15" s="450">
        <f>'1'!G116</f>
        <v>5</v>
      </c>
      <c r="E15" s="450">
        <f>'2'!G116</f>
        <v>4</v>
      </c>
      <c r="F15" s="450">
        <f>'3'!G116</f>
        <v>4</v>
      </c>
      <c r="G15" s="450">
        <f>'4'!G116</f>
        <v>4</v>
      </c>
      <c r="H15" s="450">
        <f>'5'!G116</f>
        <v>20</v>
      </c>
      <c r="I15" s="450">
        <f>'6'!G116</f>
        <v>3</v>
      </c>
      <c r="J15" s="450">
        <f>'7'!G116</f>
        <v>9</v>
      </c>
      <c r="K15" s="450">
        <f>'8'!G116</f>
        <v>4</v>
      </c>
      <c r="L15" s="450">
        <f>'9'!G116</f>
        <v>4</v>
      </c>
      <c r="M15" s="450">
        <f>'10'!G116</f>
        <v>2</v>
      </c>
      <c r="N15" s="450">
        <f>'11'!G116</f>
        <v>1</v>
      </c>
      <c r="O15" s="450">
        <f>'12'!G116</f>
        <v>4</v>
      </c>
      <c r="P15" s="450">
        <f>'13'!G116</f>
        <v>4</v>
      </c>
      <c r="Q15" s="450">
        <f>'14'!G116</f>
        <v>4</v>
      </c>
      <c r="R15" s="450">
        <f>'15'!G116</f>
        <v>1</v>
      </c>
      <c r="S15" s="450">
        <f>'16'!G116</f>
        <v>7</v>
      </c>
      <c r="T15" s="450">
        <f>'17'!G116</f>
        <v>8</v>
      </c>
      <c r="U15" s="450">
        <f>'18'!G116</f>
        <v>0</v>
      </c>
      <c r="V15" s="450">
        <f>'19'!G116</f>
        <v>-135</v>
      </c>
      <c r="W15" s="450">
        <f>'20'!G116</f>
        <v>6</v>
      </c>
      <c r="X15" s="450">
        <f>'21'!G116</f>
        <v>5</v>
      </c>
      <c r="Y15" s="450">
        <f>'22'!G116</f>
        <v>4</v>
      </c>
      <c r="Z15" s="450">
        <f>'23'!G116</f>
        <v>4</v>
      </c>
      <c r="AA15" s="450">
        <f>'24'!G116</f>
        <v>4</v>
      </c>
      <c r="AB15" s="450">
        <f>'25'!G116</f>
        <v>12</v>
      </c>
      <c r="AC15" s="450">
        <f>'26'!G116</f>
        <v>5</v>
      </c>
      <c r="AD15" s="450">
        <f>'27'!G116</f>
        <v>0</v>
      </c>
      <c r="AE15" s="450">
        <f>'28'!G116</f>
        <v>2</v>
      </c>
      <c r="AF15" s="450">
        <f>'29'!G116</f>
        <v>2</v>
      </c>
      <c r="AG15" s="450">
        <f>'30'!G116</f>
        <v>3</v>
      </c>
      <c r="AH15" s="450">
        <f>'31'!G116</f>
        <v>-151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93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4</v>
      </c>
      <c r="I17" s="450">
        <f>'6'!G105</f>
        <v>4</v>
      </c>
      <c r="J17" s="450">
        <f>'7'!G105</f>
        <v>5</v>
      </c>
      <c r="K17" s="450">
        <f>'8'!G105</f>
        <v>0</v>
      </c>
      <c r="L17" s="450">
        <f>'9'!G105</f>
        <v>0</v>
      </c>
      <c r="M17" s="450">
        <f>'10'!G105</f>
        <v>8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-82</v>
      </c>
      <c r="W17" s="450">
        <f>'20'!G105</f>
        <v>0</v>
      </c>
      <c r="X17" s="450">
        <f>'21'!G105</f>
        <v>9</v>
      </c>
      <c r="Y17" s="450">
        <f>'22'!G105</f>
        <v>5</v>
      </c>
      <c r="Z17" s="450">
        <f>'23'!G105</f>
        <v>4</v>
      </c>
      <c r="AA17" s="450">
        <f>'24'!G105</f>
        <v>1</v>
      </c>
      <c r="AB17" s="450">
        <f>'25'!G105</f>
        <v>13</v>
      </c>
      <c r="AC17" s="450">
        <f>'26'!G105</f>
        <v>0</v>
      </c>
      <c r="AD17" s="450">
        <f>'27'!G105</f>
        <v>0</v>
      </c>
      <c r="AE17" s="450">
        <f>'28'!G105</f>
        <v>8</v>
      </c>
      <c r="AF17" s="450">
        <f>'29'!G105</f>
        <v>0</v>
      </c>
      <c r="AG17" s="450">
        <f>'30'!G105</f>
        <v>0</v>
      </c>
      <c r="AH17" s="450">
        <f>'31'!G105</f>
        <v>-106</v>
      </c>
      <c r="AI17" s="448"/>
    </row>
    <row r="18" spans="2:35">
      <c r="B18" s="1493"/>
      <c r="C18" s="448" t="s">
        <v>77</v>
      </c>
      <c r="D18" s="448">
        <f>'1'!G106</f>
        <v>0</v>
      </c>
      <c r="E18" s="450">
        <f>'2'!G106</f>
        <v>8</v>
      </c>
      <c r="F18" s="450">
        <f>'3'!G106</f>
        <v>0</v>
      </c>
      <c r="G18" s="450">
        <f>'4'!G106</f>
        <v>11</v>
      </c>
      <c r="H18" s="450">
        <f>'5'!G106</f>
        <v>0</v>
      </c>
      <c r="I18" s="450">
        <f>'6'!G106</f>
        <v>0</v>
      </c>
      <c r="J18" s="450">
        <f>'7'!G106</f>
        <v>6</v>
      </c>
      <c r="K18" s="450">
        <f>'8'!G106</f>
        <v>6</v>
      </c>
      <c r="L18" s="450">
        <f>'9'!G106</f>
        <v>157</v>
      </c>
      <c r="M18" s="450">
        <f>'10'!G106</f>
        <v>0</v>
      </c>
      <c r="N18" s="450">
        <f>'11'!G106</f>
        <v>0</v>
      </c>
      <c r="O18" s="450">
        <f>'12'!G106</f>
        <v>0</v>
      </c>
      <c r="P18" s="450">
        <f>'13'!G106</f>
        <v>15</v>
      </c>
      <c r="Q18" s="450">
        <f>'14'!G106</f>
        <v>0</v>
      </c>
      <c r="R18" s="450">
        <f>'15'!G106</f>
        <v>0</v>
      </c>
      <c r="S18" s="450">
        <f>'16'!G106</f>
        <v>0</v>
      </c>
      <c r="T18" s="450">
        <f>'17'!G106</f>
        <v>14</v>
      </c>
      <c r="U18" s="450">
        <f>'18'!G106</f>
        <v>0</v>
      </c>
      <c r="V18" s="450">
        <f>'19'!G106</f>
        <v>-125</v>
      </c>
      <c r="W18" s="450">
        <f>'20'!G106</f>
        <v>6</v>
      </c>
      <c r="X18" s="450">
        <f>'21'!G106</f>
        <v>4</v>
      </c>
      <c r="Y18" s="450">
        <f>'22'!G106</f>
        <v>5</v>
      </c>
      <c r="Z18" s="450">
        <f>'23'!G106</f>
        <v>9</v>
      </c>
      <c r="AA18" s="450">
        <f>'24'!G106</f>
        <v>13</v>
      </c>
      <c r="AB18" s="450">
        <f>'25'!G106</f>
        <v>5</v>
      </c>
      <c r="AC18" s="450">
        <f>'26'!G106</f>
        <v>8</v>
      </c>
      <c r="AD18" s="450">
        <f>'27'!G106</f>
        <v>5</v>
      </c>
      <c r="AE18" s="450">
        <f>'28'!G106</f>
        <v>0</v>
      </c>
      <c r="AF18" s="450">
        <f>'29'!G106</f>
        <v>9</v>
      </c>
      <c r="AG18" s="450">
        <f>'30'!G106</f>
        <v>0</v>
      </c>
      <c r="AH18" s="450">
        <f>'31'!G106</f>
        <v>-172</v>
      </c>
      <c r="AI18" s="448"/>
    </row>
    <row r="19" spans="2:35">
      <c r="B19" s="1493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3</v>
      </c>
      <c r="G19" s="450">
        <f>'4'!G107</f>
        <v>9</v>
      </c>
      <c r="H19" s="450">
        <f>'5'!G107</f>
        <v>3</v>
      </c>
      <c r="I19" s="450">
        <f>'6'!G107</f>
        <v>3</v>
      </c>
      <c r="J19" s="450">
        <f>'7'!G107</f>
        <v>1</v>
      </c>
      <c r="K19" s="450">
        <f>'8'!G107</f>
        <v>8</v>
      </c>
      <c r="L19" s="450">
        <f>'9'!G107</f>
        <v>184</v>
      </c>
      <c r="M19" s="450">
        <f>'10'!G107</f>
        <v>1</v>
      </c>
      <c r="N19" s="450">
        <f>'11'!G107</f>
        <v>0</v>
      </c>
      <c r="O19" s="450">
        <f>'12'!G107</f>
        <v>5</v>
      </c>
      <c r="P19" s="450">
        <f>'13'!G107</f>
        <v>5</v>
      </c>
      <c r="Q19" s="450">
        <f>'14'!G107</f>
        <v>0</v>
      </c>
      <c r="R19" s="450">
        <f>'15'!G107</f>
        <v>3</v>
      </c>
      <c r="S19" s="450">
        <f>'16'!G107</f>
        <v>0</v>
      </c>
      <c r="T19" s="450">
        <f>'17'!G107</f>
        <v>6</v>
      </c>
      <c r="U19" s="450">
        <f>'18'!G107</f>
        <v>2</v>
      </c>
      <c r="V19" s="450">
        <f>'19'!G107</f>
        <v>-124</v>
      </c>
      <c r="W19" s="450">
        <f>'20'!G107</f>
        <v>10</v>
      </c>
      <c r="X19" s="450">
        <f>'21'!G107</f>
        <v>7</v>
      </c>
      <c r="Y19" s="450">
        <f>'22'!G107</f>
        <v>7</v>
      </c>
      <c r="Z19" s="450">
        <f>'23'!G107</f>
        <v>6</v>
      </c>
      <c r="AA19" s="450">
        <f>'24'!G107</f>
        <v>9</v>
      </c>
      <c r="AB19" s="450">
        <f>'25'!G107</f>
        <v>7</v>
      </c>
      <c r="AC19" s="450">
        <f>'26'!G107</f>
        <v>5</v>
      </c>
      <c r="AD19" s="450">
        <f>'27'!G107</f>
        <v>6</v>
      </c>
      <c r="AE19" s="450">
        <f>'28'!G107</f>
        <v>3</v>
      </c>
      <c r="AF19" s="450">
        <f>'29'!G107</f>
        <v>7</v>
      </c>
      <c r="AG19" s="450">
        <f>'30'!G107</f>
        <v>3</v>
      </c>
      <c r="AH19" s="450">
        <f>'31'!G107</f>
        <v>-199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93" t="s">
        <v>79</v>
      </c>
      <c r="C21" s="448" t="s">
        <v>80</v>
      </c>
      <c r="D21" s="448">
        <f>'1'!G110</f>
        <v>85</v>
      </c>
      <c r="E21" s="450">
        <f>'2'!G110</f>
        <v>40</v>
      </c>
      <c r="F21" s="450">
        <f>'3'!G110</f>
        <v>41</v>
      </c>
      <c r="G21" s="450">
        <f>'4'!G110</f>
        <v>60</v>
      </c>
      <c r="H21" s="450">
        <f>'5'!G110</f>
        <v>39</v>
      </c>
      <c r="I21" s="450">
        <f>'6'!G110</f>
        <v>40</v>
      </c>
      <c r="J21" s="450">
        <f>'7'!G110</f>
        <v>59</v>
      </c>
      <c r="K21" s="450">
        <f>'8'!G110</f>
        <v>41</v>
      </c>
      <c r="L21" s="450">
        <f>'9'!G110</f>
        <v>50</v>
      </c>
      <c r="M21" s="450">
        <f>'10'!G110</f>
        <v>40</v>
      </c>
      <c r="N21" s="450">
        <f>'11'!G110</f>
        <v>53</v>
      </c>
      <c r="O21" s="450">
        <f>'12'!G110</f>
        <v>48</v>
      </c>
      <c r="P21" s="450">
        <f>'13'!G110</f>
        <v>60</v>
      </c>
      <c r="Q21" s="450">
        <f>'14'!G110</f>
        <v>40</v>
      </c>
      <c r="R21" s="450">
        <f>'15'!G110</f>
        <v>42</v>
      </c>
      <c r="S21" s="450">
        <f>'16'!G110</f>
        <v>107</v>
      </c>
      <c r="T21" s="450">
        <f>'17'!G110</f>
        <v>20</v>
      </c>
      <c r="U21" s="450">
        <f>'18'!G110</f>
        <v>73</v>
      </c>
      <c r="V21" s="450">
        <f>'19'!G110</f>
        <v>-1798</v>
      </c>
      <c r="W21" s="450">
        <f>'20'!G110</f>
        <v>62</v>
      </c>
      <c r="X21" s="450">
        <f>'21'!G110</f>
        <v>82</v>
      </c>
      <c r="Y21" s="450">
        <f>'22'!G110</f>
        <v>83</v>
      </c>
      <c r="Z21" s="450">
        <f>'23'!G110</f>
        <v>61</v>
      </c>
      <c r="AA21" s="450">
        <f>'24'!G110</f>
        <v>61</v>
      </c>
      <c r="AB21" s="450">
        <f>'25'!G110</f>
        <v>86</v>
      </c>
      <c r="AC21" s="450">
        <f>'26'!G110</f>
        <v>64</v>
      </c>
      <c r="AD21" s="450">
        <f>'27'!G110</f>
        <v>81</v>
      </c>
      <c r="AE21" s="450">
        <f>'28'!G110</f>
        <v>100</v>
      </c>
      <c r="AF21" s="450">
        <f>'29'!G110</f>
        <v>83</v>
      </c>
      <c r="AG21" s="450">
        <f>'30'!G110</f>
        <v>97</v>
      </c>
      <c r="AH21" s="450">
        <f>'31'!G110</f>
        <v>-2301</v>
      </c>
      <c r="AI21" s="448"/>
    </row>
    <row r="22" spans="2:35">
      <c r="B22" s="1493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22</v>
      </c>
      <c r="I22" s="450">
        <f>'6'!G111</f>
        <v>0</v>
      </c>
      <c r="J22" s="450">
        <f>'7'!G111</f>
        <v>0</v>
      </c>
      <c r="K22" s="450">
        <f>'8'!G111</f>
        <v>12</v>
      </c>
      <c r="L22" s="450">
        <f>'9'!G111</f>
        <v>9</v>
      </c>
      <c r="M22" s="450">
        <f>'10'!G111</f>
        <v>11</v>
      </c>
      <c r="N22" s="450">
        <f>'11'!G111</f>
        <v>0</v>
      </c>
      <c r="O22" s="450">
        <f>'12'!G111</f>
        <v>25</v>
      </c>
      <c r="P22" s="450">
        <f>'13'!G111</f>
        <v>30</v>
      </c>
      <c r="Q22" s="450">
        <f>'14'!G111</f>
        <v>17</v>
      </c>
      <c r="R22" s="450">
        <f>'15'!G111</f>
        <v>30</v>
      </c>
      <c r="S22" s="450">
        <f>'16'!G111</f>
        <v>0</v>
      </c>
      <c r="T22" s="450">
        <f>'17'!G111</f>
        <v>0</v>
      </c>
      <c r="U22" s="450">
        <f>'18'!G111</f>
        <v>0</v>
      </c>
      <c r="V22" s="450">
        <f>'19'!G111</f>
        <v>-291</v>
      </c>
      <c r="W22" s="450">
        <f>'20'!G111</f>
        <v>46</v>
      </c>
      <c r="X22" s="450">
        <f>'21'!G111</f>
        <v>0</v>
      </c>
      <c r="Y22" s="450">
        <f>'22'!G111</f>
        <v>0</v>
      </c>
      <c r="Z22" s="450">
        <f>'23'!G111</f>
        <v>9</v>
      </c>
      <c r="AA22" s="450">
        <f>'24'!G111</f>
        <v>11</v>
      </c>
      <c r="AB22" s="450">
        <f>'25'!G111</f>
        <v>0</v>
      </c>
      <c r="AC22" s="450">
        <f>'26'!G111</f>
        <v>18</v>
      </c>
      <c r="AD22" s="450">
        <f>'27'!G111</f>
        <v>19</v>
      </c>
      <c r="AE22" s="450">
        <f>'28'!G111</f>
        <v>0</v>
      </c>
      <c r="AF22" s="450">
        <f>'29'!G111</f>
        <v>22</v>
      </c>
      <c r="AG22" s="450">
        <f>'30'!G111</f>
        <v>0</v>
      </c>
      <c r="AH22" s="450">
        <f>'31'!G111</f>
        <v>-589</v>
      </c>
      <c r="AI22" s="448"/>
    </row>
    <row r="23" spans="2:35">
      <c r="B23" s="1493"/>
      <c r="C23" s="448" t="s">
        <v>82</v>
      </c>
      <c r="D23" s="448">
        <f>'1'!G112</f>
        <v>27</v>
      </c>
      <c r="E23" s="450">
        <f>'2'!G112</f>
        <v>0</v>
      </c>
      <c r="F23" s="450">
        <f>'3'!G112</f>
        <v>22</v>
      </c>
      <c r="G23" s="450">
        <f>'4'!G112</f>
        <v>0</v>
      </c>
      <c r="H23" s="450">
        <f>'5'!G112</f>
        <v>24</v>
      </c>
      <c r="I23" s="450">
        <f>'6'!G112</f>
        <v>0</v>
      </c>
      <c r="J23" s="450">
        <f>'7'!G112</f>
        <v>19</v>
      </c>
      <c r="K23" s="450">
        <f>'8'!G112</f>
        <v>0</v>
      </c>
      <c r="L23" s="450">
        <f>'9'!G112</f>
        <v>0</v>
      </c>
      <c r="M23" s="450">
        <f>'10'!G112</f>
        <v>6</v>
      </c>
      <c r="N23" s="450">
        <f>'11'!G112</f>
        <v>12</v>
      </c>
      <c r="O23" s="450">
        <f>'12'!G112</f>
        <v>0</v>
      </c>
      <c r="P23" s="450">
        <f>'13'!G112</f>
        <v>14</v>
      </c>
      <c r="Q23" s="450">
        <f>'14'!G112</f>
        <v>0</v>
      </c>
      <c r="R23" s="450">
        <f>'15'!G112</f>
        <v>17</v>
      </c>
      <c r="S23" s="450">
        <f>'16'!G112</f>
        <v>0</v>
      </c>
      <c r="T23" s="450">
        <f>'17'!G112</f>
        <v>0</v>
      </c>
      <c r="U23" s="450">
        <f>'18'!G112</f>
        <v>4</v>
      </c>
      <c r="V23" s="450">
        <f>'19'!G112</f>
        <v>-204</v>
      </c>
      <c r="W23" s="450">
        <f>'20'!G112</f>
        <v>0</v>
      </c>
      <c r="X23" s="450">
        <f>'21'!G112</f>
        <v>17</v>
      </c>
      <c r="Y23" s="450">
        <f>'22'!G112</f>
        <v>0</v>
      </c>
      <c r="Z23" s="450">
        <f>'23'!G112</f>
        <v>20</v>
      </c>
      <c r="AA23" s="450">
        <f>'24'!G112</f>
        <v>0</v>
      </c>
      <c r="AB23" s="450">
        <f>'25'!G112</f>
        <v>0</v>
      </c>
      <c r="AC23" s="450">
        <f>'26'!G112</f>
        <v>17</v>
      </c>
      <c r="AD23" s="450">
        <f>'27'!G112</f>
        <v>0</v>
      </c>
      <c r="AE23" s="450">
        <f>'28'!G112</f>
        <v>0</v>
      </c>
      <c r="AF23" s="450">
        <f>'29'!G112</f>
        <v>5</v>
      </c>
      <c r="AG23" s="450">
        <f>'30'!G112</f>
        <v>0</v>
      </c>
      <c r="AH23" s="450">
        <f>'31'!G112</f>
        <v>-212</v>
      </c>
      <c r="AI23" s="448"/>
    </row>
    <row r="24" spans="2:35" ht="30">
      <c r="B24" s="452" t="s">
        <v>340</v>
      </c>
      <c r="C24" s="448"/>
      <c r="D24" s="450">
        <f>SUM(D5:D6)</f>
        <v>136</v>
      </c>
      <c r="E24" s="450">
        <f t="shared" ref="E24:AH24" si="0">SUM(E5:E6)</f>
        <v>111</v>
      </c>
      <c r="F24" s="450">
        <f t="shared" si="0"/>
        <v>116</v>
      </c>
      <c r="G24" s="450">
        <f t="shared" si="0"/>
        <v>107</v>
      </c>
      <c r="H24" s="450">
        <f t="shared" si="0"/>
        <v>113</v>
      </c>
      <c r="I24" s="450">
        <f t="shared" si="0"/>
        <v>56</v>
      </c>
      <c r="J24" s="450">
        <f t="shared" si="0"/>
        <v>56</v>
      </c>
      <c r="K24" s="450">
        <f t="shared" si="0"/>
        <v>115</v>
      </c>
      <c r="L24" s="450">
        <f t="shared" si="0"/>
        <v>95</v>
      </c>
      <c r="M24" s="450">
        <f t="shared" si="0"/>
        <v>77</v>
      </c>
      <c r="N24" s="450">
        <f t="shared" si="0"/>
        <v>75</v>
      </c>
      <c r="O24" s="450">
        <f t="shared" si="0"/>
        <v>52</v>
      </c>
      <c r="P24" s="450">
        <f t="shared" si="0"/>
        <v>77</v>
      </c>
      <c r="Q24" s="450">
        <f t="shared" si="0"/>
        <v>77</v>
      </c>
      <c r="R24" s="450">
        <f t="shared" si="0"/>
        <v>116</v>
      </c>
      <c r="S24" s="450">
        <f t="shared" si="0"/>
        <v>117</v>
      </c>
      <c r="T24" s="450">
        <f t="shared" si="0"/>
        <v>76</v>
      </c>
      <c r="U24" s="450">
        <f t="shared" si="0"/>
        <v>105</v>
      </c>
      <c r="V24" s="450">
        <f t="shared" si="0"/>
        <v>-1580</v>
      </c>
      <c r="W24" s="450">
        <f t="shared" si="0"/>
        <v>141</v>
      </c>
      <c r="X24" s="450">
        <f t="shared" si="0"/>
        <v>158</v>
      </c>
      <c r="Y24" s="450">
        <f t="shared" si="0"/>
        <v>159</v>
      </c>
      <c r="Z24" s="450">
        <f t="shared" si="0"/>
        <v>138</v>
      </c>
      <c r="AA24" s="450">
        <f t="shared" si="0"/>
        <v>158</v>
      </c>
      <c r="AB24" s="450">
        <f t="shared" si="0"/>
        <v>133</v>
      </c>
      <c r="AC24" s="450">
        <f t="shared" si="0"/>
        <v>159</v>
      </c>
      <c r="AD24" s="450">
        <f t="shared" si="0"/>
        <v>112</v>
      </c>
      <c r="AE24" s="450">
        <f t="shared" si="0"/>
        <v>116</v>
      </c>
      <c r="AF24" s="450">
        <f t="shared" si="0"/>
        <v>75</v>
      </c>
      <c r="AG24" s="450">
        <f t="shared" si="0"/>
        <v>114</v>
      </c>
      <c r="AH24" s="450">
        <f t="shared" si="0"/>
        <v>-1572</v>
      </c>
      <c r="AI24" s="448"/>
    </row>
    <row r="25" spans="2:35" ht="30">
      <c r="B25" s="452" t="s">
        <v>83</v>
      </c>
      <c r="C25" s="448"/>
      <c r="D25" s="450">
        <f>SUM(D9:D11,D14:D15,)</f>
        <v>115</v>
      </c>
      <c r="E25" s="450">
        <f t="shared" ref="E25:AI25" si="1">SUM(E9:E11,E14:E15,)</f>
        <v>80</v>
      </c>
      <c r="F25" s="450">
        <f t="shared" si="1"/>
        <v>103</v>
      </c>
      <c r="G25" s="450">
        <f t="shared" si="1"/>
        <v>98</v>
      </c>
      <c r="H25" s="450">
        <f t="shared" si="1"/>
        <v>71</v>
      </c>
      <c r="I25" s="450">
        <f t="shared" si="1"/>
        <v>63</v>
      </c>
      <c r="J25" s="450">
        <f t="shared" si="1"/>
        <v>63</v>
      </c>
      <c r="K25" s="450">
        <f t="shared" si="1"/>
        <v>108</v>
      </c>
      <c r="L25" s="450">
        <f t="shared" si="1"/>
        <v>75</v>
      </c>
      <c r="M25" s="450">
        <f t="shared" si="1"/>
        <v>48</v>
      </c>
      <c r="N25" s="450">
        <f t="shared" si="1"/>
        <v>48</v>
      </c>
      <c r="O25" s="450">
        <f t="shared" si="1"/>
        <v>60</v>
      </c>
      <c r="P25" s="450">
        <f t="shared" si="1"/>
        <v>82</v>
      </c>
      <c r="Q25" s="450">
        <f t="shared" si="1"/>
        <v>83</v>
      </c>
      <c r="R25" s="450">
        <f t="shared" si="1"/>
        <v>93</v>
      </c>
      <c r="S25" s="450">
        <f t="shared" si="1"/>
        <v>95</v>
      </c>
      <c r="T25" s="450">
        <f>SUM(T9:T11,T14:T15,)</f>
        <v>88</v>
      </c>
      <c r="U25" s="450">
        <f t="shared" si="1"/>
        <v>59</v>
      </c>
      <c r="V25" s="450">
        <f t="shared" si="1"/>
        <v>-2688</v>
      </c>
      <c r="W25" s="450">
        <f t="shared" si="1"/>
        <v>136</v>
      </c>
      <c r="X25" s="450">
        <f t="shared" si="1"/>
        <v>134</v>
      </c>
      <c r="Y25" s="450">
        <f t="shared" si="1"/>
        <v>118</v>
      </c>
      <c r="Z25" s="450">
        <f t="shared" si="1"/>
        <v>126</v>
      </c>
      <c r="AA25" s="450">
        <f t="shared" si="1"/>
        <v>149</v>
      </c>
      <c r="AB25" s="450">
        <f t="shared" si="1"/>
        <v>119</v>
      </c>
      <c r="AC25" s="450">
        <f t="shared" si="1"/>
        <v>130</v>
      </c>
      <c r="AD25" s="450">
        <f t="shared" si="1"/>
        <v>89</v>
      </c>
      <c r="AE25" s="450">
        <f t="shared" si="1"/>
        <v>61</v>
      </c>
      <c r="AF25" s="450">
        <f t="shared" si="1"/>
        <v>86</v>
      </c>
      <c r="AG25" s="450">
        <f t="shared" si="1"/>
        <v>108</v>
      </c>
      <c r="AH25" s="450">
        <f t="shared" si="1"/>
        <v>-3665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117</v>
      </c>
      <c r="E27" s="450">
        <f t="shared" ref="E27:AH27" si="2">SUM(E13,E21,E23)</f>
        <v>45</v>
      </c>
      <c r="F27" s="450">
        <f>SUM(F13,F21,F23)</f>
        <v>67</v>
      </c>
      <c r="G27" s="450">
        <f t="shared" si="2"/>
        <v>66</v>
      </c>
      <c r="H27" s="450">
        <f t="shared" si="2"/>
        <v>70</v>
      </c>
      <c r="I27" s="450">
        <f t="shared" si="2"/>
        <v>48</v>
      </c>
      <c r="J27" s="450">
        <f t="shared" si="2"/>
        <v>83</v>
      </c>
      <c r="K27" s="450">
        <f t="shared" si="2"/>
        <v>55</v>
      </c>
      <c r="L27" s="450">
        <f t="shared" si="2"/>
        <v>60</v>
      </c>
      <c r="M27" s="450">
        <f t="shared" si="2"/>
        <v>58</v>
      </c>
      <c r="N27" s="450">
        <f t="shared" si="2"/>
        <v>71</v>
      </c>
      <c r="O27" s="450">
        <f t="shared" si="2"/>
        <v>75</v>
      </c>
      <c r="P27" s="450">
        <f t="shared" si="2"/>
        <v>101</v>
      </c>
      <c r="Q27" s="450">
        <f t="shared" si="2"/>
        <v>66</v>
      </c>
      <c r="R27" s="450">
        <f t="shared" si="2"/>
        <v>82</v>
      </c>
      <c r="S27" s="450">
        <f t="shared" si="2"/>
        <v>112</v>
      </c>
      <c r="T27" s="450">
        <f t="shared" si="2"/>
        <v>22</v>
      </c>
      <c r="U27" s="450">
        <f t="shared" si="2"/>
        <v>81</v>
      </c>
      <c r="V27" s="450">
        <f t="shared" si="2"/>
        <v>-2281</v>
      </c>
      <c r="W27" s="450">
        <f t="shared" si="2"/>
        <v>76</v>
      </c>
      <c r="X27" s="450">
        <f t="shared" si="2"/>
        <v>107</v>
      </c>
      <c r="Y27" s="450">
        <f t="shared" si="2"/>
        <v>90</v>
      </c>
      <c r="Z27" s="450">
        <f t="shared" si="2"/>
        <v>87</v>
      </c>
      <c r="AA27" s="450">
        <f t="shared" si="2"/>
        <v>66</v>
      </c>
      <c r="AB27" s="450">
        <f t="shared" si="2"/>
        <v>91</v>
      </c>
      <c r="AC27" s="450">
        <f t="shared" si="2"/>
        <v>91</v>
      </c>
      <c r="AD27" s="450">
        <f t="shared" si="2"/>
        <v>92</v>
      </c>
      <c r="AE27" s="450">
        <f t="shared" si="2"/>
        <v>103</v>
      </c>
      <c r="AF27" s="450">
        <f t="shared" si="2"/>
        <v>94</v>
      </c>
      <c r="AG27" s="450">
        <f t="shared" si="2"/>
        <v>105</v>
      </c>
      <c r="AH27" s="450">
        <f t="shared" si="2"/>
        <v>-3137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72</v>
      </c>
      <c r="E29" s="1031">
        <f t="shared" ref="E29:AH29" si="4">E9</f>
        <v>42</v>
      </c>
      <c r="F29" s="1031">
        <f t="shared" si="4"/>
        <v>61</v>
      </c>
      <c r="G29" s="1031">
        <f t="shared" si="4"/>
        <v>62</v>
      </c>
      <c r="H29" s="1031">
        <f t="shared" si="4"/>
        <v>31</v>
      </c>
      <c r="I29" s="1031">
        <f t="shared" si="4"/>
        <v>39</v>
      </c>
      <c r="J29" s="1031">
        <f t="shared" si="4"/>
        <v>31</v>
      </c>
      <c r="K29" s="1031">
        <f t="shared" si="4"/>
        <v>78</v>
      </c>
      <c r="L29" s="1031">
        <f t="shared" si="4"/>
        <v>40</v>
      </c>
      <c r="M29" s="1031">
        <f t="shared" si="4"/>
        <v>24</v>
      </c>
      <c r="N29" s="1031">
        <f t="shared" si="4"/>
        <v>26</v>
      </c>
      <c r="O29" s="1031">
        <f t="shared" si="4"/>
        <v>35</v>
      </c>
      <c r="P29" s="1031">
        <f t="shared" si="4"/>
        <v>52</v>
      </c>
      <c r="Q29" s="1031">
        <f t="shared" si="4"/>
        <v>46</v>
      </c>
      <c r="R29" s="1031">
        <f t="shared" si="4"/>
        <v>42</v>
      </c>
      <c r="S29" s="1031">
        <f t="shared" si="4"/>
        <v>27</v>
      </c>
      <c r="T29" s="1031">
        <f t="shared" si="4"/>
        <v>45</v>
      </c>
      <c r="U29" s="1031">
        <f t="shared" si="4"/>
        <v>29</v>
      </c>
      <c r="V29" s="1031">
        <f t="shared" si="4"/>
        <v>-1531</v>
      </c>
      <c r="W29" s="1031">
        <f t="shared" si="4"/>
        <v>77</v>
      </c>
      <c r="X29" s="1031">
        <f t="shared" si="4"/>
        <v>79</v>
      </c>
      <c r="Y29" s="1031">
        <f t="shared" si="4"/>
        <v>64</v>
      </c>
      <c r="Z29" s="1031">
        <f t="shared" si="4"/>
        <v>65</v>
      </c>
      <c r="AA29" s="1031">
        <f t="shared" si="4"/>
        <v>96</v>
      </c>
      <c r="AB29" s="1031">
        <f t="shared" si="4"/>
        <v>56</v>
      </c>
      <c r="AC29" s="1031">
        <f t="shared" si="4"/>
        <v>80</v>
      </c>
      <c r="AD29" s="1031">
        <f t="shared" si="4"/>
        <v>61</v>
      </c>
      <c r="AE29" s="1031">
        <f t="shared" si="4"/>
        <v>38</v>
      </c>
      <c r="AF29" s="1031">
        <f t="shared" si="4"/>
        <v>59</v>
      </c>
      <c r="AG29" s="1031">
        <f t="shared" si="4"/>
        <v>74</v>
      </c>
      <c r="AH29" s="1031">
        <f t="shared" si="4"/>
        <v>-2101</v>
      </c>
      <c r="AI29" s="1030"/>
    </row>
    <row r="30" spans="2:35">
      <c r="B30" s="1029" t="s">
        <v>86</v>
      </c>
      <c r="C30" s="1030"/>
      <c r="D30" s="1031">
        <f>SUM(D10:D11,D14:D15)</f>
        <v>43</v>
      </c>
      <c r="E30" s="1031">
        <f t="shared" ref="E30:AH30" si="5">SUM(E10:E11,E14:E15)</f>
        <v>38</v>
      </c>
      <c r="F30" s="1031">
        <f t="shared" si="5"/>
        <v>42</v>
      </c>
      <c r="G30" s="1031">
        <f t="shared" si="5"/>
        <v>36</v>
      </c>
      <c r="H30" s="1031">
        <f t="shared" si="5"/>
        <v>40</v>
      </c>
      <c r="I30" s="1031">
        <f t="shared" si="5"/>
        <v>24</v>
      </c>
      <c r="J30" s="1031">
        <f t="shared" si="5"/>
        <v>32</v>
      </c>
      <c r="K30" s="1031">
        <f t="shared" si="5"/>
        <v>30</v>
      </c>
      <c r="L30" s="1031">
        <f t="shared" si="5"/>
        <v>35</v>
      </c>
      <c r="M30" s="1031">
        <f t="shared" si="5"/>
        <v>24</v>
      </c>
      <c r="N30" s="1031">
        <f t="shared" si="5"/>
        <v>22</v>
      </c>
      <c r="O30" s="1031">
        <f t="shared" si="5"/>
        <v>25</v>
      </c>
      <c r="P30" s="1031">
        <f t="shared" si="5"/>
        <v>30</v>
      </c>
      <c r="Q30" s="1031">
        <f t="shared" si="5"/>
        <v>37</v>
      </c>
      <c r="R30" s="1031">
        <f t="shared" si="5"/>
        <v>51</v>
      </c>
      <c r="S30" s="1031">
        <f t="shared" si="5"/>
        <v>68</v>
      </c>
      <c r="T30" s="1031">
        <f t="shared" si="5"/>
        <v>43</v>
      </c>
      <c r="U30" s="1031">
        <f t="shared" si="5"/>
        <v>30</v>
      </c>
      <c r="V30" s="1031">
        <f t="shared" si="5"/>
        <v>-1157</v>
      </c>
      <c r="W30" s="1031">
        <f t="shared" si="5"/>
        <v>59</v>
      </c>
      <c r="X30" s="1031">
        <f t="shared" si="5"/>
        <v>55</v>
      </c>
      <c r="Y30" s="1031">
        <f t="shared" si="5"/>
        <v>54</v>
      </c>
      <c r="Z30" s="1031">
        <f t="shared" si="5"/>
        <v>61</v>
      </c>
      <c r="AA30" s="1031">
        <f t="shared" si="5"/>
        <v>53</v>
      </c>
      <c r="AB30" s="1031">
        <f t="shared" si="5"/>
        <v>63</v>
      </c>
      <c r="AC30" s="1031">
        <f t="shared" si="5"/>
        <v>50</v>
      </c>
      <c r="AD30" s="1031">
        <f t="shared" si="5"/>
        <v>28</v>
      </c>
      <c r="AE30" s="1031">
        <f t="shared" si="5"/>
        <v>23</v>
      </c>
      <c r="AF30" s="1031">
        <f t="shared" si="5"/>
        <v>27</v>
      </c>
      <c r="AG30" s="1031">
        <f t="shared" si="5"/>
        <v>34</v>
      </c>
      <c r="AH30" s="1031">
        <f t="shared" si="5"/>
        <v>-1564</v>
      </c>
      <c r="AI30" s="1030"/>
    </row>
    <row r="31" spans="2:35">
      <c r="B31" s="1029" t="s">
        <v>87</v>
      </c>
      <c r="C31" s="1030"/>
      <c r="D31" s="1030">
        <f>D30/SUM(D29:D30)%</f>
        <v>37.391304347826093</v>
      </c>
      <c r="E31" s="1030">
        <f t="shared" ref="E31:AH31" si="6">E30/SUM(E29:E30)%</f>
        <v>47.5</v>
      </c>
      <c r="F31" s="1030">
        <f t="shared" si="6"/>
        <v>40.776699029126213</v>
      </c>
      <c r="G31" s="1030">
        <f t="shared" si="6"/>
        <v>36.734693877551024</v>
      </c>
      <c r="H31" s="1030">
        <f t="shared" si="6"/>
        <v>56.338028169014088</v>
      </c>
      <c r="I31" s="1030">
        <f t="shared" si="6"/>
        <v>38.095238095238095</v>
      </c>
      <c r="J31" s="1030">
        <f t="shared" si="6"/>
        <v>50.793650793650791</v>
      </c>
      <c r="K31" s="1030">
        <f t="shared" si="6"/>
        <v>27.777777777777775</v>
      </c>
      <c r="L31" s="1030">
        <f t="shared" si="6"/>
        <v>46.666666666666664</v>
      </c>
      <c r="M31" s="1030">
        <f t="shared" si="6"/>
        <v>50</v>
      </c>
      <c r="N31" s="1030">
        <f t="shared" si="6"/>
        <v>45.833333333333336</v>
      </c>
      <c r="O31" s="1030">
        <f t="shared" si="6"/>
        <v>41.666666666666671</v>
      </c>
      <c r="P31" s="1030">
        <f t="shared" si="6"/>
        <v>36.585365853658537</v>
      </c>
      <c r="Q31" s="1030">
        <f t="shared" si="6"/>
        <v>44.578313253012048</v>
      </c>
      <c r="R31" s="1030">
        <f t="shared" si="6"/>
        <v>54.838709677419352</v>
      </c>
      <c r="S31" s="1030">
        <f t="shared" si="6"/>
        <v>71.578947368421055</v>
      </c>
      <c r="T31" s="1030">
        <f t="shared" si="6"/>
        <v>48.863636363636367</v>
      </c>
      <c r="U31" s="1030">
        <f t="shared" si="6"/>
        <v>50.847457627118644</v>
      </c>
      <c r="V31" s="1030">
        <f t="shared" si="6"/>
        <v>43.043154761904766</v>
      </c>
      <c r="W31" s="1030">
        <f t="shared" si="6"/>
        <v>43.382352941176471</v>
      </c>
      <c r="X31" s="1030">
        <f t="shared" si="6"/>
        <v>41.044776119402982</v>
      </c>
      <c r="Y31" s="1030">
        <f t="shared" si="6"/>
        <v>45.762711864406782</v>
      </c>
      <c r="Z31" s="1030">
        <f t="shared" si="6"/>
        <v>48.412698412698411</v>
      </c>
      <c r="AA31" s="1030">
        <f t="shared" si="6"/>
        <v>35.570469798657719</v>
      </c>
      <c r="AB31" s="1030">
        <f t="shared" si="6"/>
        <v>52.941176470588239</v>
      </c>
      <c r="AC31" s="1030">
        <f t="shared" si="6"/>
        <v>38.46153846153846</v>
      </c>
      <c r="AD31" s="1030">
        <f t="shared" si="6"/>
        <v>31.460674157303369</v>
      </c>
      <c r="AE31" s="1030">
        <f t="shared" si="6"/>
        <v>37.704918032786885</v>
      </c>
      <c r="AF31" s="1030">
        <f t="shared" si="6"/>
        <v>31.395348837209301</v>
      </c>
      <c r="AG31" s="1030">
        <f t="shared" si="6"/>
        <v>31.481481481481481</v>
      </c>
      <c r="AH31" s="1030">
        <f t="shared" si="6"/>
        <v>42.67394270122783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zoomScale="85" zoomScaleNormal="85" workbookViewId="0">
      <pane xSplit="1" topLeftCell="B1" activePane="topRight" state="frozen"/>
      <selection activeCell="A3" sqref="A3"/>
      <selection pane="topRight" activeCell="J22" sqref="J22"/>
    </sheetView>
  </sheetViews>
  <sheetFormatPr defaultRowHeight="15.75"/>
  <cols>
    <col min="1" max="5" width="8.88671875" style="1040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97" t="s">
        <v>352</v>
      </c>
      <c r="G2" s="1491"/>
      <c r="H2" s="1491"/>
      <c r="I2" s="1491"/>
      <c r="J2" s="1491"/>
      <c r="K2" s="1491"/>
      <c r="L2" s="1491"/>
      <c r="M2" s="1492"/>
      <c r="N2" s="1496" t="s">
        <v>88</v>
      </c>
      <c r="O2" s="1496"/>
      <c r="P2" s="1496"/>
      <c r="Q2" s="1496"/>
      <c r="R2" s="1496"/>
      <c r="S2" s="1496"/>
      <c r="T2" s="1496"/>
      <c r="U2" s="1496"/>
      <c r="V2" s="1496"/>
      <c r="W2" s="1496"/>
      <c r="X2" s="1496"/>
      <c r="Y2" s="1496"/>
      <c r="Z2" s="1496"/>
      <c r="AA2" s="1496"/>
      <c r="AB2" s="1496"/>
      <c r="AC2" s="1496"/>
      <c r="AD2" s="1496"/>
      <c r="AE2" s="1496"/>
      <c r="AF2" s="1496"/>
      <c r="AG2" s="1496"/>
      <c r="AH2" s="1496"/>
      <c r="AI2" s="1496"/>
      <c r="AJ2" s="1496"/>
      <c r="AK2" s="1496"/>
      <c r="AL2" s="1496"/>
      <c r="AM2" s="1496"/>
      <c r="AN2" s="1495"/>
      <c r="AO2" s="1495"/>
      <c r="AP2" s="1495"/>
      <c r="AQ2" s="1495"/>
      <c r="AR2" s="1495"/>
      <c r="AS2" s="1495"/>
      <c r="AT2" s="1495"/>
      <c r="AU2" s="1119"/>
      <c r="AV2" s="1494" t="s">
        <v>89</v>
      </c>
      <c r="AW2" s="1494"/>
      <c r="AX2" s="1494"/>
      <c r="AY2" s="1494"/>
    </row>
    <row r="3" spans="1:53">
      <c r="F3" s="1290"/>
      <c r="G3" s="438"/>
      <c r="H3" s="438"/>
      <c r="I3" s="438"/>
      <c r="J3" s="438"/>
      <c r="K3" s="438"/>
      <c r="L3" s="438"/>
      <c r="M3" s="1291"/>
      <c r="N3" s="1289"/>
      <c r="O3" s="1289"/>
      <c r="P3" s="1289"/>
      <c r="Q3" s="1289"/>
      <c r="R3" s="1289"/>
      <c r="S3" s="1289"/>
      <c r="T3" s="1289"/>
      <c r="U3" s="1289"/>
      <c r="V3" s="1289"/>
      <c r="W3" s="1289"/>
      <c r="X3" s="1289"/>
      <c r="Y3" s="1289"/>
      <c r="Z3" s="1289"/>
      <c r="AA3" s="1292"/>
      <c r="AB3" s="1292"/>
      <c r="AC3" s="1292"/>
      <c r="AD3" s="1292"/>
      <c r="AE3" s="1292"/>
      <c r="AF3" s="1292"/>
      <c r="AG3" s="1292"/>
      <c r="AH3" s="1292"/>
      <c r="AI3" s="1292"/>
      <c r="AJ3" s="1292"/>
      <c r="AK3" s="1292"/>
      <c r="AL3" s="1292"/>
      <c r="AM3" s="1289"/>
      <c r="AN3" s="1498" t="s">
        <v>140</v>
      </c>
      <c r="AO3" s="1498"/>
      <c r="AP3" s="1498"/>
      <c r="AQ3" s="1498"/>
      <c r="AR3" s="1498"/>
      <c r="AS3" s="1498"/>
      <c r="AT3" s="1498"/>
      <c r="AU3" s="1499" t="s">
        <v>321</v>
      </c>
      <c r="AV3" s="1499"/>
      <c r="AW3" s="1499"/>
      <c r="AX3" s="1499"/>
      <c r="AY3" s="1499"/>
    </row>
    <row r="4" spans="1:53" ht="34.5" customHeight="1">
      <c r="A4" s="1041"/>
      <c r="B4" s="1389" t="s">
        <v>347</v>
      </c>
      <c r="C4" s="1389" t="s">
        <v>348</v>
      </c>
      <c r="D4" s="1389" t="s">
        <v>351</v>
      </c>
      <c r="E4" s="1389" t="s">
        <v>350</v>
      </c>
      <c r="F4" s="1293" t="s">
        <v>322</v>
      </c>
      <c r="G4" s="1294" t="s">
        <v>323</v>
      </c>
      <c r="H4" s="1294" t="s">
        <v>324</v>
      </c>
      <c r="I4" s="1294" t="s">
        <v>325</v>
      </c>
      <c r="J4" s="1294" t="s">
        <v>320</v>
      </c>
      <c r="K4" s="1294" t="s">
        <v>53</v>
      </c>
      <c r="L4" s="1295" t="s">
        <v>62</v>
      </c>
      <c r="M4" s="1295" t="s">
        <v>55</v>
      </c>
      <c r="N4" s="1041" t="s">
        <v>90</v>
      </c>
      <c r="O4" s="1041" t="s">
        <v>91</v>
      </c>
      <c r="P4" s="1041" t="s">
        <v>106</v>
      </c>
      <c r="Q4" s="1041" t="s">
        <v>326</v>
      </c>
      <c r="R4" s="1041" t="s">
        <v>327</v>
      </c>
      <c r="S4" s="1041" t="s">
        <v>328</v>
      </c>
      <c r="T4" s="1041" t="s">
        <v>329</v>
      </c>
      <c r="U4" s="1041" t="s">
        <v>92</v>
      </c>
      <c r="V4" s="1041" t="s">
        <v>330</v>
      </c>
      <c r="W4" s="1041" t="s">
        <v>331</v>
      </c>
      <c r="X4" s="1041" t="s">
        <v>314</v>
      </c>
      <c r="Y4" s="1041" t="s">
        <v>77</v>
      </c>
      <c r="Z4" s="1041" t="s">
        <v>332</v>
      </c>
      <c r="AA4" s="1042" t="s">
        <v>333</v>
      </c>
      <c r="AB4" s="1042" t="s">
        <v>102</v>
      </c>
      <c r="AC4" s="1042" t="s">
        <v>96</v>
      </c>
      <c r="AD4" s="1042" t="s">
        <v>97</v>
      </c>
      <c r="AE4" s="433" t="s">
        <v>334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335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336</v>
      </c>
      <c r="AU4" s="1041" t="s">
        <v>105</v>
      </c>
      <c r="AV4" s="1041" t="s">
        <v>41</v>
      </c>
      <c r="AW4" s="1041" t="s">
        <v>42</v>
      </c>
      <c r="AX4" s="1041" t="s">
        <v>311</v>
      </c>
      <c r="AY4" s="1041" t="s">
        <v>110</v>
      </c>
    </row>
    <row r="5" spans="1:53">
      <c r="A5" s="1043">
        <v>43952</v>
      </c>
      <c r="B5" s="261">
        <f>'1'!G7</f>
        <v>15988</v>
      </c>
      <c r="C5" s="261">
        <f>'1'!G8</f>
        <v>16053</v>
      </c>
      <c r="D5" s="261">
        <f>'1'!G15</f>
        <v>334</v>
      </c>
      <c r="E5" s="261">
        <f>'1'!G20</f>
        <v>136</v>
      </c>
      <c r="F5" s="261">
        <f>SUM('1'!G35,'1'!G49)</f>
        <v>2167.8699999999953</v>
      </c>
      <c r="G5" s="261">
        <f>SUM('1'!H37,'1'!H51)</f>
        <v>1282</v>
      </c>
      <c r="H5" s="261">
        <f>SUM('1'!G38,'1'!G52)</f>
        <v>1352</v>
      </c>
      <c r="I5" s="261">
        <f>SUM('1'!G39,'1'!G53)</f>
        <v>2595</v>
      </c>
      <c r="J5" s="261">
        <f>SUM('1'!G41,'1'!G42,'1'!G55,'1'!G56)</f>
        <v>4654.5300000000279</v>
      </c>
      <c r="K5" s="261">
        <f>SUM('1'!G43,'1'!G57)</f>
        <v>2319</v>
      </c>
      <c r="L5" s="1044">
        <f>'1'!G50</f>
        <v>949</v>
      </c>
      <c r="M5" s="1044">
        <f>'1'!G36</f>
        <v>391</v>
      </c>
      <c r="N5" s="1044">
        <f>'1'!G72</f>
        <v>17</v>
      </c>
      <c r="O5" s="1044">
        <f>'1'!$G$73</f>
        <v>2</v>
      </c>
      <c r="P5" s="1044">
        <f>'1'!$G$74</f>
        <v>30</v>
      </c>
      <c r="Q5" s="1044">
        <f>'1'!$G$75</f>
        <v>54</v>
      </c>
      <c r="R5" s="1044">
        <f>'1'!$G$76</f>
        <v>57</v>
      </c>
      <c r="S5" s="1044">
        <f>'1'!$G$77</f>
        <v>50</v>
      </c>
      <c r="T5" s="1044">
        <f>'1'!$G$78</f>
        <v>124</v>
      </c>
      <c r="U5" s="1044">
        <f>'1'!$G$79</f>
        <v>189</v>
      </c>
      <c r="V5" s="1044">
        <f>'1'!$G$80</f>
        <v>394</v>
      </c>
      <c r="W5" s="1044">
        <f>'1'!$G$81</f>
        <v>81</v>
      </c>
      <c r="X5" s="1044">
        <f>'1'!$G$82</f>
        <v>12</v>
      </c>
      <c r="Y5" s="1044">
        <f>'1'!$G$58</f>
        <v>0</v>
      </c>
      <c r="Z5" s="1044">
        <f>'1'!$G$83</f>
        <v>255</v>
      </c>
      <c r="AA5" s="1044">
        <f>'1'!G86</f>
        <v>51</v>
      </c>
      <c r="AB5" s="1044">
        <f>'1'!G87</f>
        <v>10</v>
      </c>
      <c r="AC5" s="1044">
        <f>'1'!G88</f>
        <v>28</v>
      </c>
      <c r="AD5" s="1044">
        <f>'1'!G89+'1'!G90</f>
        <v>7</v>
      </c>
      <c r="AE5" s="1044">
        <f>'1'!$G$62</f>
        <v>0</v>
      </c>
      <c r="AF5" s="1044">
        <f>'1'!$G$63</f>
        <v>4</v>
      </c>
      <c r="AG5" s="1044">
        <f>'1'!$G$64</f>
        <v>211</v>
      </c>
      <c r="AH5" s="1044">
        <f>'1'!$G$65</f>
        <v>208</v>
      </c>
      <c r="AI5" s="1044">
        <f>'1'!$G$66</f>
        <v>271</v>
      </c>
      <c r="AJ5" s="1044">
        <f>'1'!$G$67</f>
        <v>222</v>
      </c>
      <c r="AK5" s="1044">
        <f>'1'!$G$68</f>
        <v>0</v>
      </c>
      <c r="AL5" s="1044">
        <f>'1'!$G$69</f>
        <v>82</v>
      </c>
      <c r="AM5" s="1044">
        <f>'1'!$G$84</f>
        <v>715</v>
      </c>
      <c r="AN5" s="1044">
        <f>'1'!$G$15</f>
        <v>334</v>
      </c>
      <c r="AO5" s="1044">
        <f>'1'!$G$124</f>
        <v>232.54000000003725</v>
      </c>
      <c r="AP5" s="1044">
        <f>'1'!$G$125</f>
        <v>0</v>
      </c>
      <c r="AQ5" s="1044">
        <f>'1'!$G$126</f>
        <v>59.559999999997672</v>
      </c>
      <c r="AR5" s="1044">
        <f>'1'!$G$127</f>
        <v>0</v>
      </c>
      <c r="AS5" s="1044">
        <f>'1'!$G$128</f>
        <v>0.2999999999992724</v>
      </c>
      <c r="AT5" s="1044">
        <f>AN5-SUM(AO5:AS5)</f>
        <v>41.599999999965803</v>
      </c>
      <c r="AU5" s="1044">
        <f>SUM('1'!G140:G141)</f>
        <v>8.8800000000001091</v>
      </c>
      <c r="AV5" s="1044">
        <f>'1'!$G$137</f>
        <v>0</v>
      </c>
      <c r="AW5" s="1044">
        <f>'1'!$G$138</f>
        <v>0</v>
      </c>
      <c r="AX5" s="1044">
        <f>'1'!$G$139</f>
        <v>0</v>
      </c>
      <c r="AY5" s="1041">
        <f>SUM(AV5:AX5)</f>
        <v>0</v>
      </c>
    </row>
    <row r="6" spans="1:53">
      <c r="A6" s="1043">
        <v>43953</v>
      </c>
      <c r="B6" s="261">
        <f>'2'!G7</f>
        <v>15961</v>
      </c>
      <c r="C6" s="261">
        <f>'2'!G8</f>
        <v>16031</v>
      </c>
      <c r="D6" s="261">
        <f>'2'!G15</f>
        <v>445</v>
      </c>
      <c r="E6" s="261">
        <f>'2'!G20</f>
        <v>111</v>
      </c>
      <c r="F6" s="261">
        <f>SUM('2'!G35,'2'!G49)</f>
        <v>2008.1300000000047</v>
      </c>
      <c r="G6" s="261">
        <f>SUM('2'!G37,'2'!G51)</f>
        <v>1264</v>
      </c>
      <c r="H6" s="261">
        <f>SUM('2'!G38,'2'!G52)</f>
        <v>1301</v>
      </c>
      <c r="I6" s="261">
        <f>SUM('2'!G39,'2'!G53)</f>
        <v>2441</v>
      </c>
      <c r="J6" s="261">
        <f>SUM('2'!G41,'2'!G42,'2'!G55,'2'!G56)</f>
        <v>5001</v>
      </c>
      <c r="K6" s="261">
        <f>SUM('2'!G43,'2'!G57)</f>
        <v>2231</v>
      </c>
      <c r="L6" s="1044">
        <f>'2'!G50</f>
        <v>884</v>
      </c>
      <c r="M6" s="1044">
        <f>'2'!G36</f>
        <v>385</v>
      </c>
      <c r="N6" s="1044">
        <f>'2'!G72</f>
        <v>15</v>
      </c>
      <c r="O6" s="1044">
        <f>'2'!$G$73</f>
        <v>1</v>
      </c>
      <c r="P6" s="1044">
        <f>'2'!$G$74</f>
        <v>16</v>
      </c>
      <c r="Q6" s="1044">
        <f>'2'!$G$75</f>
        <v>52</v>
      </c>
      <c r="R6" s="1044">
        <f>'2'!$G$76</f>
        <v>56</v>
      </c>
      <c r="S6" s="1044">
        <f>'2'!$G$77</f>
        <v>47</v>
      </c>
      <c r="T6" s="1044">
        <f>'2'!$G$78</f>
        <v>95</v>
      </c>
      <c r="U6" s="1044">
        <f>'2'!$G$79</f>
        <v>177</v>
      </c>
      <c r="V6" s="1044">
        <f>'2'!$G$80</f>
        <v>380</v>
      </c>
      <c r="W6" s="1035">
        <f>'2'!$G$81</f>
        <v>66</v>
      </c>
      <c r="X6" s="1035">
        <f>'2'!$G$82</f>
        <v>14</v>
      </c>
      <c r="Y6" s="1035">
        <f>'2'!$G$58</f>
        <v>113</v>
      </c>
      <c r="Z6" s="1035">
        <f>'2'!$G$83</f>
        <v>241</v>
      </c>
      <c r="AA6" s="1035">
        <f>'2'!G86</f>
        <v>21</v>
      </c>
      <c r="AB6" s="1044">
        <f>'2'!G87</f>
        <v>6</v>
      </c>
      <c r="AC6" s="1044">
        <f>'2'!G88</f>
        <v>24</v>
      </c>
      <c r="AD6" s="1044">
        <f>'2'!G89+'2'!G90</f>
        <v>6</v>
      </c>
      <c r="AE6" s="1044">
        <f>'2'!$G$62</f>
        <v>0</v>
      </c>
      <c r="AF6" s="1044">
        <f>'2'!$G$63</f>
        <v>4</v>
      </c>
      <c r="AG6" s="1044">
        <f>'2'!$G$64</f>
        <v>208</v>
      </c>
      <c r="AH6" s="1044">
        <f>'2'!$G$65</f>
        <v>199</v>
      </c>
      <c r="AI6" s="1044">
        <f>'2'!$G$66</f>
        <v>272</v>
      </c>
      <c r="AJ6" s="1044">
        <f>'2'!$G$67</f>
        <v>214</v>
      </c>
      <c r="AK6" s="1044">
        <f>'2'!$G$68</f>
        <v>0</v>
      </c>
      <c r="AL6" s="1044">
        <f>'2'!$G$69</f>
        <v>93</v>
      </c>
      <c r="AM6" s="1044">
        <f>'2'!$G$84</f>
        <v>712</v>
      </c>
      <c r="AN6" s="1044">
        <f>'2'!$G$15</f>
        <v>445</v>
      </c>
      <c r="AO6" s="1044">
        <f>'2'!$G$124</f>
        <v>203</v>
      </c>
      <c r="AP6" s="1044">
        <f>'2'!$G$125</f>
        <v>0</v>
      </c>
      <c r="AQ6" s="1044">
        <f>'2'!$G$126</f>
        <v>73</v>
      </c>
      <c r="AR6" s="1044">
        <f>'2'!$G$127</f>
        <v>0</v>
      </c>
      <c r="AS6" s="1044">
        <f>'2'!$G$128</f>
        <v>0</v>
      </c>
      <c r="AT6" s="1044">
        <f t="shared" ref="AT6:AT34" si="0">AN6-SUM(AO6:AS6)</f>
        <v>169</v>
      </c>
      <c r="AU6" s="1044">
        <f>SUM('2'!G140:G141)</f>
        <v>7.8099999999999454</v>
      </c>
      <c r="AV6" s="1044">
        <f>'2'!$G$137</f>
        <v>2.7099999999991269</v>
      </c>
      <c r="AW6" s="1044">
        <f>'2'!$G$138</f>
        <v>0</v>
      </c>
      <c r="AX6" s="1044">
        <f>'2'!$G$139</f>
        <v>0</v>
      </c>
      <c r="AY6" s="1041">
        <f t="shared" ref="AY6:AY34" si="1">SUM(AV6:AX6)</f>
        <v>2.7099999999991269</v>
      </c>
    </row>
    <row r="7" spans="1:53" s="1046" customFormat="1">
      <c r="A7" s="1043">
        <v>43954</v>
      </c>
      <c r="B7" s="261">
        <f>'3'!G7</f>
        <v>16029</v>
      </c>
      <c r="C7" s="261">
        <f>'3'!G8</f>
        <v>16089</v>
      </c>
      <c r="D7" s="261">
        <f>'3'!G15</f>
        <v>438</v>
      </c>
      <c r="E7" s="261">
        <f>'3'!G20</f>
        <v>116</v>
      </c>
      <c r="F7" s="261">
        <f>SUM('3'!G35,'3'!G49)</f>
        <v>2173.8699999999953</v>
      </c>
      <c r="G7" s="261">
        <f>SUM('3'!G37,'3'!G51)</f>
        <v>1224</v>
      </c>
      <c r="H7" s="261">
        <f>SUM('3'!G38,'3'!G52)</f>
        <v>1342</v>
      </c>
      <c r="I7" s="261">
        <f>SUM('3'!G39,'3'!G53)</f>
        <v>2337</v>
      </c>
      <c r="J7" s="261">
        <f>SUM('3'!G41,'3'!G42,'3'!G55,'3'!G56)</f>
        <v>4821</v>
      </c>
      <c r="K7" s="261">
        <f>SUM('3'!G43,'3'!G57)</f>
        <v>2220</v>
      </c>
      <c r="L7" s="1035">
        <f>'3'!G50</f>
        <v>1056</v>
      </c>
      <c r="M7" s="1035">
        <f>'3'!G36</f>
        <v>366</v>
      </c>
      <c r="N7" s="1035">
        <f>'3'!G72</f>
        <v>15</v>
      </c>
      <c r="O7" s="1035">
        <f>'3'!$G$73</f>
        <v>1</v>
      </c>
      <c r="P7" s="1035">
        <f>'3'!$G$74</f>
        <v>15</v>
      </c>
      <c r="Q7" s="1035">
        <f>'3'!$G$75</f>
        <v>54</v>
      </c>
      <c r="R7" s="1035">
        <f>'3'!$G$76</f>
        <v>54</v>
      </c>
      <c r="S7" s="1035">
        <f>'3'!$G$77</f>
        <v>50</v>
      </c>
      <c r="T7" s="1035">
        <f>'3'!$G$78</f>
        <v>101</v>
      </c>
      <c r="U7" s="1035">
        <f>'3'!$G$79</f>
        <v>174</v>
      </c>
      <c r="V7" s="1035">
        <f>'3'!$G$80</f>
        <v>359</v>
      </c>
      <c r="W7" s="1035">
        <f>'3'!$G$81</f>
        <v>68</v>
      </c>
      <c r="X7" s="1035">
        <f>'3'!$G$82</f>
        <v>25</v>
      </c>
      <c r="Y7" s="1035">
        <f>'3'!$G$58</f>
        <v>91</v>
      </c>
      <c r="Z7" s="1035">
        <f>'3'!$G$83</f>
        <v>249</v>
      </c>
      <c r="AA7" s="1044">
        <f>'3'!G86</f>
        <v>184</v>
      </c>
      <c r="AB7" s="1044">
        <f>'1'!G87</f>
        <v>10</v>
      </c>
      <c r="AC7" s="1044">
        <f>'3'!G88</f>
        <v>146</v>
      </c>
      <c r="AD7" s="1044">
        <f>'3'!G89+'3'!G90</f>
        <v>6</v>
      </c>
      <c r="AE7" s="1035">
        <f>'3'!$G$62</f>
        <v>0</v>
      </c>
      <c r="AF7" s="1035">
        <f>'3'!$G$63</f>
        <v>3</v>
      </c>
      <c r="AG7" s="1035">
        <f>'3'!$G$64</f>
        <v>213</v>
      </c>
      <c r="AH7" s="1035">
        <f>'3'!$G$65</f>
        <v>198</v>
      </c>
      <c r="AI7" s="1035">
        <f>'3'!$G$66</f>
        <v>265</v>
      </c>
      <c r="AJ7" s="785">
        <f>'3'!$G$67</f>
        <v>185</v>
      </c>
      <c r="AK7" s="785">
        <f>'3'!$G$68</f>
        <v>0</v>
      </c>
      <c r="AL7" s="1035">
        <f>'3'!$G$69</f>
        <v>85</v>
      </c>
      <c r="AM7" s="1035">
        <f>'3'!$G$84</f>
        <v>818</v>
      </c>
      <c r="AN7" s="1035">
        <f>'3'!$G$15</f>
        <v>438</v>
      </c>
      <c r="AO7" s="1035">
        <f>'3'!$G$124</f>
        <v>197</v>
      </c>
      <c r="AP7" s="1035">
        <f>'3'!$G$125</f>
        <v>-0.39999999999417923</v>
      </c>
      <c r="AQ7" s="1035">
        <f>'3'!$G$126</f>
        <v>58</v>
      </c>
      <c r="AR7" s="1035">
        <f>'3'!$G$127</f>
        <v>0</v>
      </c>
      <c r="AS7" s="1035">
        <f>'3'!$G$128</f>
        <v>0</v>
      </c>
      <c r="AT7" s="1035">
        <f t="shared" si="0"/>
        <v>183.39999999999418</v>
      </c>
      <c r="AU7" s="1044">
        <f>SUM('3'!G140:G141)</f>
        <v>7.4000000000000909</v>
      </c>
      <c r="AV7" s="1035">
        <f>'3'!$G$137</f>
        <v>0</v>
      </c>
      <c r="AW7" s="1035">
        <f>'3'!$G$138</f>
        <v>0.40000000000145519</v>
      </c>
      <c r="AX7" s="1035">
        <f>'3'!$G$139</f>
        <v>9.0100000000093132</v>
      </c>
      <c r="AY7" s="1045">
        <f t="shared" si="1"/>
        <v>9.4100000000107684</v>
      </c>
    </row>
    <row r="8" spans="1:53">
      <c r="A8" s="1043">
        <v>43955</v>
      </c>
      <c r="B8" s="261">
        <f>'4'!G7</f>
        <v>16163</v>
      </c>
      <c r="C8" s="261">
        <f>'4'!G8</f>
        <v>16226</v>
      </c>
      <c r="D8" s="261">
        <f>'4'!G15</f>
        <v>584</v>
      </c>
      <c r="E8" s="261">
        <f>'4'!G20</f>
        <v>107</v>
      </c>
      <c r="F8" s="261">
        <f>SUM('4'!G35,'4'!G49)</f>
        <v>2161</v>
      </c>
      <c r="G8" s="261">
        <f>SUM('4'!G37,'4'!G51)</f>
        <v>1213</v>
      </c>
      <c r="H8" s="261">
        <f>SUM('4'!G38,'4'!G52)</f>
        <v>1255</v>
      </c>
      <c r="I8" s="261">
        <f>SUM('4'!G39,'4'!G53)</f>
        <v>2251</v>
      </c>
      <c r="J8" s="261">
        <f>SUM('4'!G41,'4'!G42,'4'!G55,'4'!G56)</f>
        <v>5147</v>
      </c>
      <c r="K8" s="261">
        <f>SUM('4'!G43,'4'!G57)</f>
        <v>2199</v>
      </c>
      <c r="L8" s="1044">
        <f>'4'!G50</f>
        <v>1029</v>
      </c>
      <c r="M8" s="1044">
        <f>'4'!G36</f>
        <v>345</v>
      </c>
      <c r="N8" s="1044">
        <f>'4'!G72</f>
        <v>17</v>
      </c>
      <c r="O8" s="1044">
        <f>'4'!$G$73</f>
        <v>1</v>
      </c>
      <c r="P8" s="1044">
        <f>'4'!$G$74</f>
        <v>11</v>
      </c>
      <c r="Q8" s="1044">
        <f>'4'!$G$74</f>
        <v>11</v>
      </c>
      <c r="R8" s="1044">
        <f>'4'!$G$76</f>
        <v>54</v>
      </c>
      <c r="S8" s="1044">
        <f>'4'!$G$77</f>
        <v>51</v>
      </c>
      <c r="T8" s="1044">
        <f>'4'!$G$78</f>
        <v>55</v>
      </c>
      <c r="U8" s="1044">
        <f>'4'!$G$79</f>
        <v>188</v>
      </c>
      <c r="V8" s="1035">
        <f>'4'!$G$80</f>
        <v>362</v>
      </c>
      <c r="W8" s="1035">
        <f>'4'!$G$81</f>
        <v>75</v>
      </c>
      <c r="X8" s="1044">
        <f>'4'!$G$82</f>
        <v>12</v>
      </c>
      <c r="Y8" s="1044">
        <f>'4'!$G$58</f>
        <v>218</v>
      </c>
      <c r="Z8" s="1044">
        <f>'4'!$G$83</f>
        <v>179</v>
      </c>
      <c r="AA8" s="1044">
        <f>'4'!G86</f>
        <v>243</v>
      </c>
      <c r="AB8" s="1044">
        <f>'4'!G87</f>
        <v>12</v>
      </c>
      <c r="AC8" s="1044">
        <f>'4'!G88</f>
        <v>30</v>
      </c>
      <c r="AD8" s="1044">
        <f>'4'!G89+'4'!G90</f>
        <v>7</v>
      </c>
      <c r="AE8" s="1044">
        <f>'4'!$G$62</f>
        <v>0</v>
      </c>
      <c r="AF8" s="1044">
        <f>'4'!$G$63</f>
        <v>4</v>
      </c>
      <c r="AG8" s="1044">
        <f>'4'!$G$64</f>
        <v>206</v>
      </c>
      <c r="AH8" s="1044">
        <f>'4'!$G$65</f>
        <v>202</v>
      </c>
      <c r="AI8" s="1044">
        <f>'4'!$G$66</f>
        <v>266</v>
      </c>
      <c r="AJ8" s="1044">
        <f>'4'!$G$67</f>
        <v>151</v>
      </c>
      <c r="AK8" s="1044">
        <f>'4'!$G$68</f>
        <v>0</v>
      </c>
      <c r="AL8" s="1044">
        <f>'4'!$G$69</f>
        <v>78</v>
      </c>
      <c r="AM8" s="1044">
        <f>'4'!$G$84</f>
        <v>816</v>
      </c>
      <c r="AN8" s="1044">
        <f>'4'!$G$15</f>
        <v>584</v>
      </c>
      <c r="AO8" s="1044">
        <f>'4'!$G$124</f>
        <v>189</v>
      </c>
      <c r="AP8" s="1044">
        <f>'4'!$G$125</f>
        <v>0</v>
      </c>
      <c r="AQ8" s="1044">
        <f>'4'!$G$126</f>
        <v>45</v>
      </c>
      <c r="AR8" s="1044">
        <f>'4'!$G$127</f>
        <v>0</v>
      </c>
      <c r="AS8" s="1044">
        <f>'4'!$G$128</f>
        <v>0</v>
      </c>
      <c r="AT8" s="1044">
        <f t="shared" si="0"/>
        <v>350</v>
      </c>
      <c r="AU8" s="1044">
        <f>SUM('4'!G140:G141)</f>
        <v>7.1299999999998818</v>
      </c>
      <c r="AV8" s="1044">
        <f>'4'!$G$137</f>
        <v>7.2099999999991269</v>
      </c>
      <c r="AW8" s="1044">
        <f>'4'!$G$138</f>
        <v>-0.40000000000145519</v>
      </c>
      <c r="AX8" s="1044">
        <f>'4'!$G$139</f>
        <v>0</v>
      </c>
      <c r="AY8" s="1041">
        <f t="shared" si="1"/>
        <v>6.8099999999976717</v>
      </c>
    </row>
    <row r="9" spans="1:53">
      <c r="A9" s="1043">
        <v>43956</v>
      </c>
      <c r="B9" s="261">
        <f>'5'!G7</f>
        <v>15754</v>
      </c>
      <c r="C9" s="261">
        <f>'5'!G8</f>
        <v>15811</v>
      </c>
      <c r="D9" s="261">
        <f>'5'!G15</f>
        <v>287</v>
      </c>
      <c r="E9" s="261">
        <f>'5'!G20</f>
        <v>113</v>
      </c>
      <c r="F9" s="261">
        <f>SUM('5'!G35,'5'!G49)</f>
        <v>2118</v>
      </c>
      <c r="G9" s="261">
        <f>SUM('5'!G37,'5'!G51)</f>
        <v>1190</v>
      </c>
      <c r="H9" s="261">
        <f>SUM('5'!G38,'5'!G52)</f>
        <v>1208</v>
      </c>
      <c r="I9" s="261">
        <f>SUM('5'!G39,'5'!G53)</f>
        <v>2239</v>
      </c>
      <c r="J9" s="261">
        <f>SUM('5'!G41,'5'!G42,'5'!G55,'5'!G56)</f>
        <v>4970</v>
      </c>
      <c r="K9" s="261">
        <f>SUM('5'!G43,'5'!G57)</f>
        <v>2244</v>
      </c>
      <c r="L9" s="1044">
        <f>'5'!G50</f>
        <v>990</v>
      </c>
      <c r="M9" s="1044">
        <f>'5'!G36</f>
        <v>340</v>
      </c>
      <c r="N9" s="1044">
        <f>'5'!G72</f>
        <v>15</v>
      </c>
      <c r="O9" s="1044">
        <f>'5'!$G$73</f>
        <v>1</v>
      </c>
      <c r="P9" s="1044">
        <f>'5'!$G$74</f>
        <v>22</v>
      </c>
      <c r="Q9" s="1055">
        <f>'5'!$G$75</f>
        <v>50</v>
      </c>
      <c r="R9" s="1044">
        <f>'5'!$G$76</f>
        <v>49</v>
      </c>
      <c r="S9" s="1035">
        <f>'5'!$G$77</f>
        <v>47</v>
      </c>
      <c r="T9" s="1054">
        <f>'5'!$G$78</f>
        <v>46</v>
      </c>
      <c r="U9" s="1054">
        <f>'5'!$G$79</f>
        <v>177</v>
      </c>
      <c r="V9" s="1047">
        <f>'5'!$G$80</f>
        <v>339</v>
      </c>
      <c r="W9" s="1054">
        <f>'5'!$G$81</f>
        <v>70</v>
      </c>
      <c r="X9" s="1044">
        <f>'5'!$G$82</f>
        <v>10</v>
      </c>
      <c r="Y9" s="1044">
        <f>'5'!$G$58</f>
        <v>43</v>
      </c>
      <c r="Z9" s="1044">
        <f>'5'!$G$83</f>
        <v>189</v>
      </c>
      <c r="AA9" s="1054">
        <f>'5'!G86</f>
        <v>198</v>
      </c>
      <c r="AB9" s="1044">
        <f>'5'!G87</f>
        <v>18</v>
      </c>
      <c r="AC9" s="1044">
        <f>'5'!G88</f>
        <v>23</v>
      </c>
      <c r="AD9" s="1044">
        <f>'5'!G89+'5'!G90</f>
        <v>6</v>
      </c>
      <c r="AE9" s="1044">
        <f>'5'!$G$62</f>
        <v>0</v>
      </c>
      <c r="AF9" s="1044">
        <f>'5'!$G$63</f>
        <v>4</v>
      </c>
      <c r="AG9" s="1044">
        <f>'5'!$G$64</f>
        <v>205</v>
      </c>
      <c r="AH9" s="1044">
        <f>'5'!$G$65</f>
        <v>200</v>
      </c>
      <c r="AI9" s="1044">
        <f>'5'!$G$66</f>
        <v>250</v>
      </c>
      <c r="AJ9" s="1044">
        <f>'5'!$G$67</f>
        <v>147</v>
      </c>
      <c r="AK9" s="1044">
        <f>'5'!$G$68</f>
        <v>0</v>
      </c>
      <c r="AL9" s="1044">
        <f>'5'!$G$69</f>
        <v>70</v>
      </c>
      <c r="AM9" s="1044">
        <f>'5'!$G$84</f>
        <v>782</v>
      </c>
      <c r="AN9" s="1054">
        <f>'5'!$G$15</f>
        <v>287</v>
      </c>
      <c r="AO9" s="1044">
        <f>'5'!$G$124</f>
        <v>202</v>
      </c>
      <c r="AP9" s="1044">
        <f>'5'!$G$125</f>
        <v>0</v>
      </c>
      <c r="AQ9" s="1044">
        <f>'5'!$G$126</f>
        <v>51</v>
      </c>
      <c r="AR9" s="1044">
        <f>'5'!$G$127</f>
        <v>0</v>
      </c>
      <c r="AS9" s="1044">
        <f>'5'!$G$128</f>
        <v>0</v>
      </c>
      <c r="AT9" s="1044">
        <f t="shared" si="0"/>
        <v>34</v>
      </c>
      <c r="AU9" s="1044">
        <f>SUM('5'!G140:G141)</f>
        <v>7.7400000000000091</v>
      </c>
      <c r="AV9" s="1044">
        <f>'5'!$G$137</f>
        <v>0</v>
      </c>
      <c r="AW9" s="1044">
        <f>'5'!$G$138</f>
        <v>0</v>
      </c>
      <c r="AX9" s="1044">
        <f>'5'!$G$139</f>
        <v>0</v>
      </c>
      <c r="AY9" s="1041">
        <f t="shared" si="1"/>
        <v>0</v>
      </c>
    </row>
    <row r="10" spans="1:53">
      <c r="A10" s="1043">
        <v>43957</v>
      </c>
      <c r="B10" s="261">
        <f>'6'!G7</f>
        <v>15577</v>
      </c>
      <c r="C10" s="261">
        <f>'6'!G8</f>
        <v>15655</v>
      </c>
      <c r="D10" s="261">
        <f>'6'!G15</f>
        <v>477</v>
      </c>
      <c r="E10" s="261">
        <f>'6'!G20</f>
        <v>56</v>
      </c>
      <c r="F10" s="261">
        <f>SUM('6'!G35,'6'!G49)</f>
        <v>2168</v>
      </c>
      <c r="G10" s="261">
        <f>SUM('6'!G37,'6'!G51)</f>
        <v>1189</v>
      </c>
      <c r="H10" s="261">
        <f>SUM('6'!G38,'6'!G52)</f>
        <v>1199</v>
      </c>
      <c r="I10" s="261">
        <f>SUM('6'!G39,'6'!G53)</f>
        <v>2160</v>
      </c>
      <c r="J10" s="261">
        <f>SUM('6'!G41,'6'!G42,'6'!G55,'6'!G56)</f>
        <v>4851</v>
      </c>
      <c r="K10" s="261">
        <f>SUM('6'!G43,'6'!G57)</f>
        <v>2297</v>
      </c>
      <c r="L10" s="1044">
        <f>'6'!G50</f>
        <v>848</v>
      </c>
      <c r="M10" s="1044">
        <f>'6'!G36</f>
        <v>320</v>
      </c>
      <c r="N10" s="1044">
        <f>'6'!G72</f>
        <v>31</v>
      </c>
      <c r="O10" s="1044">
        <f>'6'!$G$73</f>
        <v>1</v>
      </c>
      <c r="P10" s="1044">
        <f>'6'!$G$74</f>
        <v>15</v>
      </c>
      <c r="Q10" s="1044">
        <f>'6'!$G$75</f>
        <v>54</v>
      </c>
      <c r="R10" s="1044">
        <f>'6'!$G$76</f>
        <v>52</v>
      </c>
      <c r="S10" s="1044">
        <f>'6'!$G$77</f>
        <v>50</v>
      </c>
      <c r="T10" s="1035">
        <f>'6'!$G$78</f>
        <v>49</v>
      </c>
      <c r="U10" s="1035">
        <f>'6'!$G$79</f>
        <v>157</v>
      </c>
      <c r="V10" s="1035">
        <f>'6'!$G$80</f>
        <v>351</v>
      </c>
      <c r="W10" s="1035">
        <f>'6'!$G$81</f>
        <v>123</v>
      </c>
      <c r="X10" s="1035">
        <f>'6'!$G$82</f>
        <v>41</v>
      </c>
      <c r="Y10" s="1035">
        <f>'6'!$G$58</f>
        <v>123</v>
      </c>
      <c r="Z10" s="1035">
        <f>'6'!$G$83</f>
        <v>214</v>
      </c>
      <c r="AA10" s="1035">
        <f>'6'!G86</f>
        <v>29</v>
      </c>
      <c r="AB10" s="1035">
        <f>'6'!G87</f>
        <v>18</v>
      </c>
      <c r="AC10" s="1035">
        <f>'6'!G88</f>
        <v>23</v>
      </c>
      <c r="AD10" s="1035">
        <f>'6'!G89+'6'!G90</f>
        <v>6</v>
      </c>
      <c r="AE10" s="1044">
        <f>'6'!$G$62</f>
        <v>0</v>
      </c>
      <c r="AF10" s="1044">
        <f>'6'!$G$63</f>
        <v>4</v>
      </c>
      <c r="AG10" s="1044">
        <f>'6'!$G$64</f>
        <v>204</v>
      </c>
      <c r="AH10" s="1044">
        <f>'6'!$G$65</f>
        <v>175</v>
      </c>
      <c r="AI10" s="1044">
        <f>'6'!$G$66</f>
        <v>252</v>
      </c>
      <c r="AJ10" s="1044">
        <f>'6'!$G$67</f>
        <v>145</v>
      </c>
      <c r="AK10" s="1044">
        <f>'6'!$G$68</f>
        <v>0</v>
      </c>
      <c r="AL10" s="1044">
        <f>'6'!$G$69</f>
        <v>41</v>
      </c>
      <c r="AM10" s="1044">
        <f>'6'!$G$84</f>
        <v>830</v>
      </c>
      <c r="AN10" s="1044">
        <f>'6'!$G$15</f>
        <v>477</v>
      </c>
      <c r="AO10" s="1082">
        <f>'6'!$G$124</f>
        <v>206</v>
      </c>
      <c r="AP10" s="1044">
        <f>'6'!$G$125</f>
        <v>0</v>
      </c>
      <c r="AQ10" s="1044">
        <f>'6'!$G$126</f>
        <v>57</v>
      </c>
      <c r="AR10" s="1044">
        <f>'6'!$G$127</f>
        <v>0</v>
      </c>
      <c r="AS10" s="1044">
        <f>'6'!$G$128</f>
        <v>0</v>
      </c>
      <c r="AT10" s="1044">
        <f t="shared" si="0"/>
        <v>214</v>
      </c>
      <c r="AU10" s="1044">
        <f>SUM('6'!G140:G141)</f>
        <v>7.6600000000000819</v>
      </c>
      <c r="AV10" s="1044">
        <f>'6'!$G$137</f>
        <v>0</v>
      </c>
      <c r="AW10" s="1044">
        <f>'6'!$G$138</f>
        <v>0</v>
      </c>
      <c r="AX10" s="1044">
        <f>'6'!$G$139</f>
        <v>11.379999999990105</v>
      </c>
      <c r="AY10" s="1041">
        <f t="shared" si="1"/>
        <v>11.379999999990105</v>
      </c>
    </row>
    <row r="11" spans="1:53">
      <c r="A11" s="1043">
        <v>43958</v>
      </c>
      <c r="B11" s="261">
        <f>'7'!G7</f>
        <v>14931</v>
      </c>
      <c r="C11" s="261">
        <f>'7'!G8</f>
        <v>15022</v>
      </c>
      <c r="D11" s="261">
        <f>'7'!G15</f>
        <v>348</v>
      </c>
      <c r="E11" s="261">
        <f>'7'!G20</f>
        <v>56</v>
      </c>
      <c r="F11" s="261">
        <f>SUM('7'!G35,'7'!G49)</f>
        <v>2063</v>
      </c>
      <c r="G11" s="261">
        <f>SUM('7'!G37,'7'!G51)</f>
        <v>1225</v>
      </c>
      <c r="H11" s="261">
        <f>SUM('7'!G38,'7'!G52)</f>
        <v>1112</v>
      </c>
      <c r="I11" s="261">
        <f>SUM('7'!G39,'7'!G53)</f>
        <v>2122</v>
      </c>
      <c r="J11" s="261">
        <f>SUM('7'!G41,'7'!G42,'7'!G55,'7'!G56)</f>
        <v>4616</v>
      </c>
      <c r="K11" s="261">
        <f>SUM('7'!G43,'7'!G57)</f>
        <v>2190</v>
      </c>
      <c r="L11" s="1044">
        <f>'7'!G50</f>
        <v>857</v>
      </c>
      <c r="M11" s="1044">
        <f>'7'!G36</f>
        <v>310</v>
      </c>
      <c r="N11" s="1044">
        <f>'7'!G72</f>
        <v>2</v>
      </c>
      <c r="O11" s="1044">
        <f>'7'!$G$73</f>
        <v>1</v>
      </c>
      <c r="P11" s="1044">
        <f>'7'!$G$74</f>
        <v>12</v>
      </c>
      <c r="Q11" s="1044">
        <f>'7'!$G$75</f>
        <v>55</v>
      </c>
      <c r="R11" s="1044">
        <f>'7'!$G$76</f>
        <v>55</v>
      </c>
      <c r="S11" s="1044">
        <f>'7'!$G$77</f>
        <v>50</v>
      </c>
      <c r="T11" s="1035">
        <f>'7'!$G$78</f>
        <v>72</v>
      </c>
      <c r="U11" s="1035">
        <f>'7'!$G$79</f>
        <v>144</v>
      </c>
      <c r="V11" s="1035">
        <f>'7'!$G$80</f>
        <v>367</v>
      </c>
      <c r="W11" s="1035">
        <f>'7'!$G$81</f>
        <v>31</v>
      </c>
      <c r="X11" s="1035">
        <f>'7'!$G$82</f>
        <v>19</v>
      </c>
      <c r="Y11" s="1035">
        <f>'7'!$G$58</f>
        <v>0</v>
      </c>
      <c r="Z11" s="1047">
        <f>'7'!$G$83</f>
        <v>197</v>
      </c>
      <c r="AA11" s="1070">
        <f>'7'!G86</f>
        <v>32</v>
      </c>
      <c r="AB11" s="1035">
        <f>'7'!G87</f>
        <v>28</v>
      </c>
      <c r="AC11" s="1035">
        <f>'7'!G88</f>
        <v>24</v>
      </c>
      <c r="AD11" s="1035">
        <f>'7'!G89+'7'!G90</f>
        <v>7</v>
      </c>
      <c r="AE11" s="1044">
        <f>'7'!$G$62</f>
        <v>0</v>
      </c>
      <c r="AF11" s="1044">
        <f>'7'!$G$63</f>
        <v>4</v>
      </c>
      <c r="AG11" s="1044">
        <f>'7'!$G$64</f>
        <v>207</v>
      </c>
      <c r="AH11" s="1044">
        <f>'7'!$G$65</f>
        <v>170</v>
      </c>
      <c r="AI11" s="1044">
        <f>'7'!$G$66</f>
        <v>249</v>
      </c>
      <c r="AJ11" s="1044">
        <f>'7'!$G$67</f>
        <v>125</v>
      </c>
      <c r="AK11" s="1047">
        <f>'7'!$G$68</f>
        <v>0</v>
      </c>
      <c r="AL11" s="1044">
        <f>'7'!$G$69</f>
        <v>34</v>
      </c>
      <c r="AM11" s="1044">
        <f>'7'!$G$84</f>
        <v>846</v>
      </c>
      <c r="AN11" s="1044">
        <f>'7'!$G$15</f>
        <v>348</v>
      </c>
      <c r="AO11" s="1082">
        <f>'7'!$G$124</f>
        <v>204</v>
      </c>
      <c r="AP11" s="1044">
        <f>'7'!$G$125</f>
        <v>0</v>
      </c>
      <c r="AQ11" s="1044">
        <f>'7'!$G$126</f>
        <v>71</v>
      </c>
      <c r="AR11" s="1044">
        <f>'7'!$G$127</f>
        <v>0</v>
      </c>
      <c r="AS11" s="1044">
        <f>'7'!$G$128</f>
        <v>0</v>
      </c>
      <c r="AT11" s="1044">
        <f t="shared" si="0"/>
        <v>73</v>
      </c>
      <c r="AU11" s="1044">
        <f>SUM('7'!G140:G141)</f>
        <v>7.7699999999999818</v>
      </c>
      <c r="AV11" s="1044">
        <f>'7'!$G$137</f>
        <v>0</v>
      </c>
      <c r="AW11" s="1044">
        <f>'7'!$G$138</f>
        <v>0</v>
      </c>
      <c r="AX11" s="1044">
        <f>'7'!$G$139</f>
        <v>0</v>
      </c>
      <c r="AY11" s="1041">
        <f t="shared" si="1"/>
        <v>0</v>
      </c>
    </row>
    <row r="12" spans="1:53">
      <c r="A12" s="1043">
        <v>43959</v>
      </c>
      <c r="B12" s="261">
        <f>'8'!G7</f>
        <v>19453</v>
      </c>
      <c r="C12" s="261">
        <f>'8'!G8</f>
        <v>19564</v>
      </c>
      <c r="D12" s="261">
        <f>'8'!G15</f>
        <v>613.47999999998137</v>
      </c>
      <c r="E12" s="261">
        <f>'8'!G20</f>
        <v>115</v>
      </c>
      <c r="F12" s="261">
        <f>SUM('8'!G35,'8'!G49)</f>
        <v>2427.5999999999767</v>
      </c>
      <c r="G12" s="261">
        <f>SUM('8'!G37,'8'!G51)</f>
        <v>1346.8899999999994</v>
      </c>
      <c r="H12" s="261">
        <f>SUM('8'!G38,'8'!G52)</f>
        <v>1203.3399999999529</v>
      </c>
      <c r="I12" s="261">
        <f>SUM('8'!G39,'8'!G53)</f>
        <v>2445.820000000007</v>
      </c>
      <c r="J12" s="261">
        <f>SUM('8'!G41,'8'!G42,'8'!G55,'8'!G56)</f>
        <v>4895.3799999999901</v>
      </c>
      <c r="K12" s="261">
        <f>SUM('8'!G43,'8'!G57)</f>
        <v>2425.2700000000186</v>
      </c>
      <c r="L12" s="1044">
        <f>'8'!G50</f>
        <v>1386.3099999999977</v>
      </c>
      <c r="M12" s="1044">
        <f>'8'!G36</f>
        <v>0</v>
      </c>
      <c r="N12" s="1044">
        <f>'8'!G72</f>
        <v>15</v>
      </c>
      <c r="O12" s="1044">
        <f>'8'!$G$73</f>
        <v>1</v>
      </c>
      <c r="P12" s="1044">
        <f>'8'!$G$74</f>
        <v>11.699999999999818</v>
      </c>
      <c r="Q12" s="1044">
        <f>'8'!$G$75</f>
        <v>66.6299999999992</v>
      </c>
      <c r="R12" s="1044">
        <f>'8'!$G$76</f>
        <v>54.920000000000073</v>
      </c>
      <c r="S12" s="1044">
        <f>'8'!$G$77</f>
        <v>48</v>
      </c>
      <c r="T12" s="1035">
        <f>'8'!$G$78</f>
        <v>69</v>
      </c>
      <c r="U12" s="1035">
        <f>'8'!$G$79</f>
        <v>104</v>
      </c>
      <c r="V12" s="1035">
        <f>'8'!$G$80</f>
        <v>373.71999999997206</v>
      </c>
      <c r="W12" s="1035">
        <f>'8'!$G$81</f>
        <v>71.800000000046566</v>
      </c>
      <c r="X12" s="1035">
        <f>'8'!$G$82</f>
        <v>11.660000000003492</v>
      </c>
      <c r="Y12" s="1035">
        <f>'8'!$G$58</f>
        <v>205.12999999999738</v>
      </c>
      <c r="Z12" s="1035">
        <f>'8'!$G$83</f>
        <v>156</v>
      </c>
      <c r="AA12" s="1035">
        <f>'8'!G86</f>
        <v>28.71999999997206</v>
      </c>
      <c r="AB12" s="1035">
        <f>'8'!G87</f>
        <v>1.6999999999970896</v>
      </c>
      <c r="AC12" s="1035">
        <f>'8'!G88</f>
        <v>20.950000000011642</v>
      </c>
      <c r="AD12" s="1035">
        <f>'8'!G89+'8'!G90</f>
        <v>7.3000000000015461</v>
      </c>
      <c r="AE12" s="1044">
        <f>'8'!$G$62</f>
        <v>0</v>
      </c>
      <c r="AF12" s="1044">
        <f>'8'!$G$63</f>
        <v>3.5399999999999636</v>
      </c>
      <c r="AG12" s="1044">
        <f>'8'!$G$64</f>
        <v>207.58999999999651</v>
      </c>
      <c r="AH12" s="1044">
        <f>'8'!$G$65</f>
        <v>208.20000000001164</v>
      </c>
      <c r="AI12" s="1044">
        <f>'8'!$G$66</f>
        <v>277.48999999999796</v>
      </c>
      <c r="AJ12" s="1044">
        <f>'8'!$G$67</f>
        <v>166.26999999998952</v>
      </c>
      <c r="AK12" s="1044">
        <f>'8'!$G$68</f>
        <v>0</v>
      </c>
      <c r="AL12" s="1044">
        <f>'8'!$G$69</f>
        <v>141.39999999999418</v>
      </c>
      <c r="AM12" s="1044">
        <f>'8'!$G$84</f>
        <v>794</v>
      </c>
      <c r="AN12" s="1044">
        <f>'8'!$G$15</f>
        <v>613.47999999998137</v>
      </c>
      <c r="AO12" s="1044">
        <f>'8'!$G$124</f>
        <v>209.8399999999674</v>
      </c>
      <c r="AP12" s="1044">
        <f>'8'!$G$125</f>
        <v>0.39999999999417923</v>
      </c>
      <c r="AQ12" s="1044">
        <f>'8'!$G$126</f>
        <v>77.5</v>
      </c>
      <c r="AR12" s="1044">
        <f>'8'!$G$127</f>
        <v>0.2000000000007276</v>
      </c>
      <c r="AS12" s="1044">
        <f>'8'!$G$128</f>
        <v>0.6000000000003638</v>
      </c>
      <c r="AT12" s="1044">
        <f t="shared" si="0"/>
        <v>324.9400000000187</v>
      </c>
      <c r="AU12" s="1044">
        <f>SUM('8'!G140:G141)</f>
        <v>7.8700000000001182</v>
      </c>
      <c r="AV12" s="1044">
        <f>'8'!$G$137</f>
        <v>5.75</v>
      </c>
      <c r="AW12" s="1044">
        <f>'8'!$G$138</f>
        <v>0</v>
      </c>
      <c r="AX12" s="1044">
        <f>'8'!$G$139</f>
        <v>1.9400000000023283</v>
      </c>
      <c r="AY12" s="1041">
        <f t="shared" si="1"/>
        <v>7.6900000000023283</v>
      </c>
    </row>
    <row r="13" spans="1:53">
      <c r="A13" s="1043">
        <v>43960</v>
      </c>
      <c r="B13" s="261">
        <f>'9'!G7</f>
        <v>15329</v>
      </c>
      <c r="C13" s="261">
        <f>'9'!G8</f>
        <v>15397</v>
      </c>
      <c r="D13" s="261">
        <f>'9'!G15</f>
        <v>523.52000000001863</v>
      </c>
      <c r="E13" s="261">
        <f>'9'!G20</f>
        <v>95</v>
      </c>
      <c r="F13" s="261">
        <f>SUM('9'!G35,'9'!G49)</f>
        <v>2125.5300000000279</v>
      </c>
      <c r="G13" s="261">
        <f>SUM('9'!G37,'9'!G51)</f>
        <v>1183.9799999999959</v>
      </c>
      <c r="H13" s="261">
        <f>SUM('9'!G38,'9'!G52)</f>
        <v>1229.7299999999959</v>
      </c>
      <c r="I13" s="261">
        <f>SUM('9'!G39,'9'!G53)</f>
        <v>2303.179999999993</v>
      </c>
      <c r="J13" s="261">
        <f>SUM('9'!G41,'9'!G42,'9'!G55,'9'!G56)</f>
        <v>4766.7299999999959</v>
      </c>
      <c r="K13" s="261">
        <f>SUM('9'!G43,'9'!G57)</f>
        <v>2140.7299999999814</v>
      </c>
      <c r="L13" s="1044">
        <f>'9'!G50</f>
        <v>861.69000000000233</v>
      </c>
      <c r="M13" s="1044">
        <f>'9'!G36</f>
        <v>0</v>
      </c>
      <c r="N13" s="1044">
        <f>'9'!G72</f>
        <v>16</v>
      </c>
      <c r="O13" s="1044">
        <f>'9'!$G$73</f>
        <v>1</v>
      </c>
      <c r="P13" s="1044">
        <f>'9'!$G$74</f>
        <v>10.300000000000182</v>
      </c>
      <c r="Q13" s="1044">
        <f>'9'!$G$75</f>
        <v>51.3700000000008</v>
      </c>
      <c r="R13" s="1044">
        <f>'9'!$G$76</f>
        <v>55.079999999999927</v>
      </c>
      <c r="S13" s="1044">
        <f>'9'!$G$77</f>
        <v>48</v>
      </c>
      <c r="T13" s="1035">
        <f>'9'!$G$78</f>
        <v>66</v>
      </c>
      <c r="U13" s="1035">
        <f>'9'!$G$79</f>
        <v>106</v>
      </c>
      <c r="V13" s="1035">
        <f>'9'!$G$80</f>
        <v>389.28000000002794</v>
      </c>
      <c r="W13" s="1035">
        <f>'9'!$G$81</f>
        <v>76.199999999953434</v>
      </c>
      <c r="X13" s="1035">
        <f>'9'!$G$82</f>
        <v>33.339999999996508</v>
      </c>
      <c r="Y13" s="1035">
        <f>'9'!$G$58</f>
        <v>11.870000000002619</v>
      </c>
      <c r="Z13" s="1035">
        <f>'9'!$G$83</f>
        <v>232</v>
      </c>
      <c r="AA13" s="1035">
        <f>'9'!G86</f>
        <v>30.28000000002794</v>
      </c>
      <c r="AB13" s="1035">
        <f>'9'!G87</f>
        <v>10.30000000000291</v>
      </c>
      <c r="AC13" s="1035">
        <f>'9'!G88</f>
        <v>22.049999999988358</v>
      </c>
      <c r="AD13" s="1035">
        <f>'9'!G89+'9'!H90</f>
        <v>6.0999999999985448</v>
      </c>
      <c r="AE13" s="1044">
        <f>'9'!$G$62</f>
        <v>0</v>
      </c>
      <c r="AF13" s="1044">
        <f>'9'!$G$63</f>
        <v>3.4600000000000364</v>
      </c>
      <c r="AG13" s="1044">
        <f>'9'!$G$64</f>
        <v>195.41000000000349</v>
      </c>
      <c r="AH13" s="1054">
        <f>'9'!$G$65</f>
        <v>186.79999999998836</v>
      </c>
      <c r="AI13" s="1054">
        <f>'9'!$G$66</f>
        <v>253.51000000000204</v>
      </c>
      <c r="AJ13" s="1044">
        <f>'9'!$G$67</f>
        <v>170.73000000001048</v>
      </c>
      <c r="AK13" s="1044">
        <f>'9'!$G$68</f>
        <v>0</v>
      </c>
      <c r="AL13" s="1044">
        <f>'9'!$G$69</f>
        <v>112.60000000000582</v>
      </c>
      <c r="AM13" s="1044">
        <f>'9'!$G$84</f>
        <v>798</v>
      </c>
      <c r="AN13" s="1044">
        <f>'9'!$G$15</f>
        <v>523.52000000001863</v>
      </c>
      <c r="AO13" s="1044">
        <f>'9'!$G$124</f>
        <v>186.1600000000326</v>
      </c>
      <c r="AP13" s="1044">
        <f>'9'!$G$125</f>
        <v>0</v>
      </c>
      <c r="AQ13" s="1044">
        <f>'9'!$G$126</f>
        <v>62.5</v>
      </c>
      <c r="AR13" s="1044">
        <f>'9'!$G$127</f>
        <v>0</v>
      </c>
      <c r="AS13" s="1044">
        <f>'9'!$G$128</f>
        <v>0.3999999999996362</v>
      </c>
      <c r="AT13" s="1044">
        <f t="shared" si="0"/>
        <v>274.45999999998639</v>
      </c>
      <c r="AU13" s="1044">
        <f>SUM('9'!G140:G141)</f>
        <v>6.7400000000000091</v>
      </c>
      <c r="AV13" s="1044">
        <f>'9'!$G$137</f>
        <v>3.7400000000016007</v>
      </c>
      <c r="AW13" s="1044">
        <f>'9'!$G$138</f>
        <v>-0.33000000000174623</v>
      </c>
      <c r="AX13" s="1044">
        <f>'9'!$G$139</f>
        <v>3.6199999999953434</v>
      </c>
      <c r="AY13" s="1041">
        <f t="shared" si="1"/>
        <v>7.0299999999951979</v>
      </c>
    </row>
    <row r="14" spans="1:53">
      <c r="A14" s="1043">
        <v>43961</v>
      </c>
      <c r="B14" s="261">
        <f>'10'!G7</f>
        <v>15144</v>
      </c>
      <c r="C14" s="261">
        <f>'10'!G8</f>
        <v>15255</v>
      </c>
      <c r="D14" s="261">
        <f>'10'!G15</f>
        <v>243</v>
      </c>
      <c r="E14" s="261">
        <f>'10'!G20</f>
        <v>77</v>
      </c>
      <c r="F14" s="261">
        <f>SUM('10'!G35,'10'!G49)</f>
        <v>1851</v>
      </c>
      <c r="G14" s="261">
        <f>SUM('10'!G37,'10'!G51)</f>
        <v>1187</v>
      </c>
      <c r="H14" s="261">
        <f>SUM('10'!G38,'10'!G52)</f>
        <v>1067</v>
      </c>
      <c r="I14" s="261">
        <f>SUM('10'!G39,'10'!G53)</f>
        <v>2173</v>
      </c>
      <c r="J14" s="261">
        <f>SUM('10'!G41,'10'!G42,'10'!G55,'10'!G56)</f>
        <v>4860.890000000014</v>
      </c>
      <c r="K14" s="261">
        <f>SUM('10'!G43,'10'!G57)</f>
        <v>2128</v>
      </c>
      <c r="L14" s="1044">
        <f>'10'!G50</f>
        <v>939</v>
      </c>
      <c r="M14" s="1044">
        <f>'10'!G36</f>
        <v>0</v>
      </c>
      <c r="N14" s="1044">
        <f>'10'!G72</f>
        <v>17</v>
      </c>
      <c r="O14" s="1044">
        <f>'10'!$G$73</f>
        <v>1</v>
      </c>
      <c r="P14" s="1044">
        <f>'10'!$G$74</f>
        <v>12</v>
      </c>
      <c r="Q14" s="1044">
        <f>'10'!$G$75</f>
        <v>53</v>
      </c>
      <c r="R14" s="1044">
        <f>'10'!$G$76</f>
        <v>57</v>
      </c>
      <c r="S14" s="1044">
        <f>'10'!$G$77</f>
        <v>52</v>
      </c>
      <c r="T14" s="1035">
        <f>'10'!$G$78</f>
        <v>70</v>
      </c>
      <c r="U14" s="1035">
        <f>'10'!$G$79</f>
        <v>109</v>
      </c>
      <c r="V14" s="1048">
        <f>'10'!$G$80</f>
        <v>343</v>
      </c>
      <c r="W14" s="1048">
        <f>'10'!$G$81</f>
        <v>77</v>
      </c>
      <c r="X14" s="1035">
        <f>'10'!$G$82</f>
        <v>11</v>
      </c>
      <c r="Y14" s="1035">
        <f>'10'!$G$58</f>
        <v>49</v>
      </c>
      <c r="Z14" s="1035">
        <f>'10'!$G$83</f>
        <v>162</v>
      </c>
      <c r="AA14" s="1035">
        <f>'10'!G86</f>
        <v>93</v>
      </c>
      <c r="AB14" s="1035">
        <f>'10'!G87</f>
        <v>17</v>
      </c>
      <c r="AC14" s="1035">
        <f>'10'!G88</f>
        <v>119</v>
      </c>
      <c r="AD14" s="1035">
        <f>'10'!G87+'10'!H90</f>
        <v>17</v>
      </c>
      <c r="AE14" s="1044">
        <f>'10'!$G$62</f>
        <v>0</v>
      </c>
      <c r="AF14" s="1044">
        <f>'10'!$G$63</f>
        <v>4</v>
      </c>
      <c r="AG14" s="1044">
        <f>'10'!$G$64</f>
        <v>203</v>
      </c>
      <c r="AH14" s="1044">
        <f>'10'!$G$65</f>
        <v>134</v>
      </c>
      <c r="AI14" s="1044">
        <f>'10'!$G$66</f>
        <v>259</v>
      </c>
      <c r="AJ14" s="1044">
        <f>'10'!$G$67</f>
        <v>126</v>
      </c>
      <c r="AK14" s="1044">
        <f>'10'!$G$68</f>
        <v>0</v>
      </c>
      <c r="AL14" s="1044">
        <f>'10'!$G$69</f>
        <v>100</v>
      </c>
      <c r="AM14" s="1044">
        <f>'10'!$G$84</f>
        <v>636</v>
      </c>
      <c r="AN14" s="1044">
        <f>'10'!$G$15</f>
        <v>243</v>
      </c>
      <c r="AO14" s="1044">
        <f>'10'!$G$124</f>
        <v>200</v>
      </c>
      <c r="AP14" s="1044">
        <f>'10'!$G$125</f>
        <v>0</v>
      </c>
      <c r="AQ14" s="1044">
        <f>'10'!$G$126</f>
        <v>35</v>
      </c>
      <c r="AR14" s="1044">
        <f>'10'!$G$127</f>
        <v>0</v>
      </c>
      <c r="AS14" s="1044">
        <f>'10'!$G$128</f>
        <v>0</v>
      </c>
      <c r="AT14" s="1044">
        <f t="shared" si="0"/>
        <v>8</v>
      </c>
      <c r="AU14" s="1044">
        <f>SUM('10'!G140:G141)</f>
        <v>7.5799999999999272</v>
      </c>
      <c r="AV14" s="1044">
        <f>'10'!$G$137</f>
        <v>0</v>
      </c>
      <c r="AW14" s="1044">
        <f>'10'!$G$138</f>
        <v>0</v>
      </c>
      <c r="AX14" s="1044">
        <f>'10'!$G$139</f>
        <v>0.13000000000465661</v>
      </c>
      <c r="AY14" s="1041">
        <f t="shared" si="1"/>
        <v>0.13000000000465661</v>
      </c>
    </row>
    <row r="15" spans="1:53">
      <c r="A15" s="1043">
        <v>43962</v>
      </c>
      <c r="B15" s="261">
        <f>'11'!G7</f>
        <v>14482.59</v>
      </c>
      <c r="C15" s="261">
        <f>'11'!G8</f>
        <v>14613.82</v>
      </c>
      <c r="D15" s="261">
        <f>'11'!G15</f>
        <v>333.68999999994412</v>
      </c>
      <c r="E15" s="261">
        <f>'11'!G20</f>
        <v>75</v>
      </c>
      <c r="F15" s="261">
        <f>SUM('11'!G35,'11'!G49)</f>
        <v>1869.2299999999814</v>
      </c>
      <c r="G15" s="261">
        <f>SUM('11'!G37,'11'!G51)</f>
        <v>1191.5</v>
      </c>
      <c r="H15" s="261">
        <f>SUM('11'!G38,'11'!G52)</f>
        <v>998.36999999999534</v>
      </c>
      <c r="I15" s="261">
        <f>SUM('11'!G39,'11'!G53)</f>
        <v>2053.3999999999651</v>
      </c>
      <c r="J15" s="261">
        <f>SUM('11'!G41,'11'!G42,'11'!G55,'11'!G56)</f>
        <v>4824.339999999982</v>
      </c>
      <c r="K15" s="261">
        <f>SUM('11'!G43,'11'!G57)</f>
        <v>2093.1899999999441</v>
      </c>
      <c r="L15" s="1044">
        <f>'11'!G50</f>
        <v>771.95000000001164</v>
      </c>
      <c r="M15" s="1044">
        <f>'11'!G36</f>
        <v>0</v>
      </c>
      <c r="N15" s="1044">
        <f>'11'!G72</f>
        <v>14</v>
      </c>
      <c r="O15" s="1044">
        <f>'11'!$G$73</f>
        <v>1</v>
      </c>
      <c r="P15" s="1044">
        <f>'11'!$G$74</f>
        <v>11.75</v>
      </c>
      <c r="Q15" s="1044">
        <f>'11'!$G$75</f>
        <v>50.739999999999782</v>
      </c>
      <c r="R15" s="1044">
        <f>'11'!$G$76</f>
        <v>55.050000000000182</v>
      </c>
      <c r="S15" s="1044">
        <f>'11'!$G$77</f>
        <v>46</v>
      </c>
      <c r="T15" s="1035">
        <f>'11'!$G$78</f>
        <v>64</v>
      </c>
      <c r="U15" s="1035">
        <f>'11'!$G$79</f>
        <v>142</v>
      </c>
      <c r="V15" s="1035">
        <f>'11'!$G$80</f>
        <v>328.9199999999837</v>
      </c>
      <c r="W15" s="1035">
        <f>'11'!$G$81</f>
        <v>76</v>
      </c>
      <c r="X15" s="1035">
        <f>'11'!$G$82</f>
        <v>10</v>
      </c>
      <c r="Y15" s="1035">
        <f>'11'!$G$58</f>
        <v>0.25</v>
      </c>
      <c r="Z15" s="1035">
        <f>'11'!$G$83</f>
        <v>124</v>
      </c>
      <c r="AA15" s="1035">
        <f>'11'!G86</f>
        <v>31</v>
      </c>
      <c r="AB15" s="1035">
        <f>'11'!G87</f>
        <v>15</v>
      </c>
      <c r="AC15" s="1035">
        <f>'11'!G88</f>
        <v>22</v>
      </c>
      <c r="AD15" s="1035">
        <f>'11'!G87+'11'!H90</f>
        <v>15</v>
      </c>
      <c r="AE15" s="1044">
        <f>'11'!$G$62</f>
        <v>0</v>
      </c>
      <c r="AF15" s="1044">
        <f>'11'!$G$63</f>
        <v>3.8000000000001819</v>
      </c>
      <c r="AG15" s="1044">
        <f>'11'!$G$64</f>
        <v>207.76999999998952</v>
      </c>
      <c r="AH15" s="1044">
        <f>'11'!$G$65</f>
        <v>129.13000000000466</v>
      </c>
      <c r="AI15" s="1044">
        <f>'11'!$G$66</f>
        <v>244.79000000000087</v>
      </c>
      <c r="AJ15" s="1044">
        <f>'11'!$G$67</f>
        <v>117.95000000001164</v>
      </c>
      <c r="AK15" s="1044">
        <f>'11'!$G$68</f>
        <v>0</v>
      </c>
      <c r="AL15" s="1044">
        <f>'11'!$G$69</f>
        <v>39.610000000000582</v>
      </c>
      <c r="AM15" s="1044">
        <f>'11'!$G$84</f>
        <v>552</v>
      </c>
      <c r="AN15" s="1044">
        <f>'11'!$G$15</f>
        <v>333.68999999994412</v>
      </c>
      <c r="AO15" s="1044">
        <f>'11'!$G$124</f>
        <v>203</v>
      </c>
      <c r="AP15" s="1044">
        <f>'11'!$G$125</f>
        <v>0</v>
      </c>
      <c r="AQ15" s="1044">
        <f>'11'!$G$126</f>
        <v>60.799999999988358</v>
      </c>
      <c r="AR15" s="1044">
        <f>'11'!$G$127</f>
        <v>0</v>
      </c>
      <c r="AS15" s="1044">
        <f>'11'!$G$128</f>
        <v>0</v>
      </c>
      <c r="AT15" s="1044">
        <f t="shared" si="0"/>
        <v>69.889999999955762</v>
      </c>
      <c r="AU15" s="1044">
        <f>SUM('11'!G140:G141)</f>
        <v>7.6700000000000728</v>
      </c>
      <c r="AV15" s="1044">
        <f>'11'!$G$137</f>
        <v>0</v>
      </c>
      <c r="AW15" s="1044">
        <f>'11'!$G$138</f>
        <v>0.46300000000337604</v>
      </c>
      <c r="AX15" s="1044">
        <f>'11'!$G$139</f>
        <v>0</v>
      </c>
      <c r="AY15" s="1041">
        <f t="shared" si="1"/>
        <v>0.46300000000337604</v>
      </c>
    </row>
    <row r="16" spans="1:53">
      <c r="A16" s="1043">
        <v>43963</v>
      </c>
      <c r="B16" s="261">
        <f>'12'!G7</f>
        <v>15169.280000000002</v>
      </c>
      <c r="C16" s="261">
        <f>'12'!G8</f>
        <v>15259.89</v>
      </c>
      <c r="D16" s="261">
        <f>'12'!G15</f>
        <v>436.43000000016764</v>
      </c>
      <c r="E16" s="261">
        <f>'12'!G20</f>
        <v>52</v>
      </c>
      <c r="F16" s="261">
        <f>SUM('12'!G35,'12'!G49)</f>
        <v>1863.4400000000605</v>
      </c>
      <c r="G16" s="261">
        <f>SUM('12'!G37,'12'!G51)</f>
        <v>1184.3600000000006</v>
      </c>
      <c r="H16" s="261">
        <f>SUM('12'!G38,'12'!G52)</f>
        <v>1220.2700000000186</v>
      </c>
      <c r="I16" s="261">
        <f>SUM('12'!G39,'12'!G53)</f>
        <v>2176.7200000000303</v>
      </c>
      <c r="J16" s="261">
        <f>SUM('12'!G41,'12'!G42,'12'!G55,'12'!G56)</f>
        <v>5003.0000000000082</v>
      </c>
      <c r="K16" s="261">
        <f>SUM('12'!G43,'12'!G57)</f>
        <v>2094.1100000001024</v>
      </c>
      <c r="L16" s="1044">
        <f>'12'!G50</f>
        <v>814.39999999996508</v>
      </c>
      <c r="M16" s="1044">
        <f>'12'!G36</f>
        <v>0</v>
      </c>
      <c r="N16" s="1044">
        <f>'12'!G72</f>
        <v>9</v>
      </c>
      <c r="O16" s="1044">
        <f>'12'!$G$73</f>
        <v>1</v>
      </c>
      <c r="P16" s="1044">
        <f>'12'!$G$74</f>
        <v>9.9800000000000182</v>
      </c>
      <c r="Q16" s="1044">
        <f>'12'!$G$75</f>
        <v>50.729999999999563</v>
      </c>
      <c r="R16" s="1044">
        <f>'12'!$G$76</f>
        <v>51.409999999999854</v>
      </c>
      <c r="S16" s="1044">
        <f>'12'!$G$77</f>
        <v>49</v>
      </c>
      <c r="T16" s="1035">
        <f>'12'!$G$78</f>
        <v>65</v>
      </c>
      <c r="U16" s="1035">
        <f>'12'!$G$79</f>
        <v>112</v>
      </c>
      <c r="V16" s="1035">
        <f>'12'!$G$80</f>
        <v>315.11999999999534</v>
      </c>
      <c r="W16" s="1035">
        <f>'12'!$G$81</f>
        <v>74.959999999962747</v>
      </c>
      <c r="X16" s="1035">
        <f>'12'!$G$82</f>
        <v>37.520000000004075</v>
      </c>
      <c r="Y16" s="1035">
        <f>'12'!$G$58</f>
        <v>97.709999999999127</v>
      </c>
      <c r="Z16" s="1035">
        <f>'12'!$G$83</f>
        <v>222</v>
      </c>
      <c r="AA16" s="1035">
        <f>'12'!G86</f>
        <v>30.840000000025611</v>
      </c>
      <c r="AB16" s="1035">
        <f>'12'!G87</f>
        <v>11</v>
      </c>
      <c r="AC16" s="1035">
        <f>'12'!G88</f>
        <v>81.910000000003492</v>
      </c>
      <c r="AD16" s="1035">
        <f>'12'!G87+'12'!H90</f>
        <v>11.5</v>
      </c>
      <c r="AE16" s="1044">
        <f>'12'!$G$62</f>
        <v>0</v>
      </c>
      <c r="AF16" s="1044">
        <f>'12'!$G$63</f>
        <v>3.7799999999997453</v>
      </c>
      <c r="AG16" s="1044">
        <f>'12'!$G$64</f>
        <v>221.5800000000163</v>
      </c>
      <c r="AH16" s="1044">
        <f>'12'!$G$65</f>
        <v>176.35000000000582</v>
      </c>
      <c r="AI16" s="1044">
        <f>'12'!$G$66</f>
        <v>247.69000000000233</v>
      </c>
      <c r="AJ16" s="1044">
        <f>'12'!$G$67</f>
        <v>118.59999999997672</v>
      </c>
      <c r="AK16" s="1044">
        <f>'12'!$G$68</f>
        <v>0</v>
      </c>
      <c r="AL16" s="1044">
        <f>'12'!$G$69</f>
        <v>43.210000000006403</v>
      </c>
      <c r="AM16" s="1044">
        <f>'12'!$G$84</f>
        <v>552</v>
      </c>
      <c r="AN16" s="1044">
        <f>'12'!$G$15</f>
        <v>436.43000000016764</v>
      </c>
      <c r="AO16" s="1082">
        <f>'12'!$G$124</f>
        <v>200.90000000002328</v>
      </c>
      <c r="AP16" s="1044">
        <f>'12'!$G$125</f>
        <v>-0.39999999999417923</v>
      </c>
      <c r="AQ16" s="1071">
        <f>'12'!$G$126</f>
        <v>51.660000000003492</v>
      </c>
      <c r="AR16" s="1044">
        <f>'12'!$G$127</f>
        <v>0</v>
      </c>
      <c r="AS16" s="1044">
        <f>'12'!$G$128</f>
        <v>0</v>
      </c>
      <c r="AT16" s="1044">
        <f t="shared" si="0"/>
        <v>184.27000000013504</v>
      </c>
      <c r="AU16" s="1044">
        <f>SUM('12'!G140:G141)</f>
        <v>7.5199999999999818</v>
      </c>
      <c r="AV16" s="1044">
        <f>'12'!$G$137</f>
        <v>0</v>
      </c>
      <c r="AW16" s="1044">
        <f>'12'!$G$138</f>
        <v>-3.0000000006111804E-3</v>
      </c>
      <c r="AX16" s="1044">
        <f>'12'!$G$139</f>
        <v>10.05000000000291</v>
      </c>
      <c r="AY16" s="1041">
        <f t="shared" si="1"/>
        <v>10.047000000002299</v>
      </c>
      <c r="BA16" s="1049">
        <f>AO16-AQ16</f>
        <v>149.24000000001979</v>
      </c>
    </row>
    <row r="17" spans="1:53">
      <c r="A17" s="1043">
        <v>43964</v>
      </c>
      <c r="B17" s="261">
        <f>'13'!G7</f>
        <v>14565.96</v>
      </c>
      <c r="C17" s="261">
        <f>'13'!G8</f>
        <v>14671.020000000004</v>
      </c>
      <c r="D17" s="261">
        <f>'13'!G15</f>
        <v>650.87999999988824</v>
      </c>
      <c r="E17" s="261">
        <f>'13'!G20</f>
        <v>77</v>
      </c>
      <c r="F17" s="261">
        <f>SUM('13'!G35,'13'!G49)</f>
        <v>1794.5599999999395</v>
      </c>
      <c r="G17" s="261">
        <f>SUM('13'!G37,'13'!G51)</f>
        <v>1166.1399999999994</v>
      </c>
      <c r="H17" s="261">
        <f>SUM('13'!G38,'13'!G52)</f>
        <v>1148.2199999999721</v>
      </c>
      <c r="I17" s="261">
        <f>SUM('13'!G39,'13'!G53)</f>
        <v>2066.6200000000536</v>
      </c>
      <c r="J17" s="261">
        <f>SUM('13'!G41,'13'!G42,'13'!G55,'13'!G56)</f>
        <v>4621.0999999999631</v>
      </c>
      <c r="K17" s="261">
        <f>SUM('13'!G43,'13'!G57)</f>
        <v>2011.33</v>
      </c>
      <c r="L17" s="1044">
        <f>'13'!G50</f>
        <v>820.80000000004657</v>
      </c>
      <c r="M17" s="1044">
        <f>'13'!G36</f>
        <v>0</v>
      </c>
      <c r="N17" s="1044">
        <f>'13'!G72</f>
        <v>11</v>
      </c>
      <c r="O17" s="1044">
        <f>'13'!$G$73</f>
        <v>1</v>
      </c>
      <c r="P17" s="1044">
        <f>'13'!$G$74</f>
        <v>8.8099999999999454</v>
      </c>
      <c r="Q17" s="1044">
        <f>'13'!$G$75</f>
        <v>51.159999999999854</v>
      </c>
      <c r="R17" s="1044">
        <f>'13'!$G$76</f>
        <v>51.119999999999891</v>
      </c>
      <c r="S17" s="1044">
        <f>'13'!$G$77</f>
        <v>38</v>
      </c>
      <c r="T17" s="1035">
        <f>'13'!$G$78</f>
        <v>76</v>
      </c>
      <c r="U17" s="1035">
        <f>'13'!$G$79</f>
        <v>120</v>
      </c>
      <c r="V17" s="1035">
        <f>'13'!$G$80</f>
        <v>319.96000000002095</v>
      </c>
      <c r="W17" s="1035">
        <f>'13'!$G$81</f>
        <v>70.040000000037253</v>
      </c>
      <c r="X17" s="1035">
        <f>'13'!$G$82</f>
        <v>10.479999999995925</v>
      </c>
      <c r="Y17" s="1035">
        <f>'13'!$G$58</f>
        <v>248.16000000000349</v>
      </c>
      <c r="Z17" s="1035">
        <f>'13'!$G$83</f>
        <v>169</v>
      </c>
      <c r="AA17" s="1035">
        <f>'13'!G86</f>
        <v>71.159999999974389</v>
      </c>
      <c r="AB17" s="1035">
        <f>'13'!G87</f>
        <v>10</v>
      </c>
      <c r="AC17" s="1035">
        <f>'13'!G88</f>
        <v>20.720000000001164</v>
      </c>
      <c r="AD17" s="1035">
        <f>'13'!G87+'13'!H90</f>
        <v>10</v>
      </c>
      <c r="AE17" s="1044">
        <f>'13'!$G$62</f>
        <v>0.18000000000029104</v>
      </c>
      <c r="AF17" s="1044">
        <f>'13'!$G$63</f>
        <v>3.7800000000002001</v>
      </c>
      <c r="AG17" s="1044">
        <f>'13'!$G$64</f>
        <v>205.94000000000233</v>
      </c>
      <c r="AH17" s="1044">
        <f>'13'!$G$65</f>
        <v>150.03999999997905</v>
      </c>
      <c r="AI17" s="1044">
        <f>'13'!$G$66</f>
        <v>244.44999999999709</v>
      </c>
      <c r="AJ17" s="1044">
        <f>'13'!$G$67</f>
        <v>125.05999999999767</v>
      </c>
      <c r="AK17" s="1044">
        <f>'13'!$G$68</f>
        <v>0</v>
      </c>
      <c r="AL17" s="1044">
        <f>'13'!$G$69</f>
        <v>43.44999999999709</v>
      </c>
      <c r="AM17" s="1044">
        <f>'13'!$G$84</f>
        <v>551</v>
      </c>
      <c r="AN17" s="1044">
        <f>'13'!$G$15</f>
        <v>650.87999999988824</v>
      </c>
      <c r="AO17" s="1082">
        <f>'13'!$G$124</f>
        <v>204.88000000000466</v>
      </c>
      <c r="AP17" s="1044">
        <f>'13'!$G$125</f>
        <v>0</v>
      </c>
      <c r="AQ17" s="1044">
        <f>'13'!$G$126</f>
        <v>52.630000000004657</v>
      </c>
      <c r="AR17" s="1044">
        <f>'13'!$G$127</f>
        <v>-0.2000000000007276</v>
      </c>
      <c r="AS17" s="1044">
        <f>'13'!$G$128</f>
        <v>0</v>
      </c>
      <c r="AT17" s="1044">
        <f t="shared" si="0"/>
        <v>393.56999999987966</v>
      </c>
      <c r="AU17" s="1044">
        <f>SUM('13'!G140:G141)</f>
        <v>7.5599999999999454</v>
      </c>
      <c r="AV17" s="1044">
        <f>'13'!$G$137</f>
        <v>7.9199999999982538</v>
      </c>
      <c r="AW17" s="1044">
        <f>'13'!$G$138</f>
        <v>0</v>
      </c>
      <c r="AX17" s="1044">
        <f>'13'!$G$139</f>
        <v>0</v>
      </c>
      <c r="AY17" s="1041">
        <f t="shared" si="1"/>
        <v>7.9199999999982538</v>
      </c>
      <c r="BA17" s="1049">
        <f t="shared" ref="BA17:BA34" si="2">AO17-AT17</f>
        <v>-188.689999999875</v>
      </c>
    </row>
    <row r="18" spans="1:53">
      <c r="A18" s="1043">
        <v>43965</v>
      </c>
      <c r="B18" s="261">
        <f>'14'!G7</f>
        <v>14303.68</v>
      </c>
      <c r="C18" s="261">
        <f>'14'!G8</f>
        <v>14430.549999999996</v>
      </c>
      <c r="D18" s="261">
        <f>'14'!G15</f>
        <v>292.58000000007451</v>
      </c>
      <c r="E18" s="261">
        <f>'14'!G20</f>
        <v>77</v>
      </c>
      <c r="F18" s="261">
        <f>SUM('14'!G35,'14'!G49)</f>
        <v>1788.7199999999721</v>
      </c>
      <c r="G18" s="261">
        <f>SUM('14'!G37,'14'!G51)</f>
        <v>1194.9100000000035</v>
      </c>
      <c r="H18" s="261">
        <f>SUM('14'!G38,'14'!G52)</f>
        <v>1089.1100000000151</v>
      </c>
      <c r="I18" s="261">
        <f>SUM('14'!G39,'14'!G53)</f>
        <v>2207.4399999999441</v>
      </c>
      <c r="J18" s="261">
        <f>SUM('14'!G41,'14'!G42,'14'!G55,'14'!G56)</f>
        <v>4497.8899999999994</v>
      </c>
      <c r="K18" s="261">
        <f>SUM('14'!G43,'14'!G57)</f>
        <v>2007.8999999999069</v>
      </c>
      <c r="L18" s="1044">
        <f>'14'!G50</f>
        <v>785.8399999999674</v>
      </c>
      <c r="M18" s="1044">
        <f>'14'!G36</f>
        <v>0</v>
      </c>
      <c r="N18" s="1044">
        <f>'14'!G72</f>
        <v>10</v>
      </c>
      <c r="O18" s="1044">
        <f>'14'!$G$73</f>
        <v>1</v>
      </c>
      <c r="P18" s="1044">
        <f>'14'!$G$74</f>
        <v>8.6199999999998909</v>
      </c>
      <c r="Q18" s="1044">
        <f>'14'!$G$75</f>
        <v>50.960000000000946</v>
      </c>
      <c r="R18" s="1044">
        <f>'14'!$G$76</f>
        <v>53.989999999999782</v>
      </c>
      <c r="S18" s="1044">
        <f>'14'!$G$77</f>
        <v>23</v>
      </c>
      <c r="T18" s="1035">
        <f>'14'!$G$78</f>
        <v>146</v>
      </c>
      <c r="U18" s="1035">
        <f>'14'!$G$79</f>
        <v>122</v>
      </c>
      <c r="V18" s="1035">
        <f>'14'!$G$80</f>
        <v>353.32000000000698</v>
      </c>
      <c r="W18" s="1035">
        <f>'14'!$G$81</f>
        <v>80.839999999967404</v>
      </c>
      <c r="X18" s="1035">
        <f>'14'!$G$82</f>
        <v>12.05000000000291</v>
      </c>
      <c r="Y18" s="1035">
        <f>'14'!$G$58</f>
        <v>0.14999999999417923</v>
      </c>
      <c r="Z18" s="1035">
        <f>'14'!$G$83</f>
        <v>176</v>
      </c>
      <c r="AA18" s="1035">
        <f>'14'!G86</f>
        <v>23.400000000023283</v>
      </c>
      <c r="AB18" s="1035">
        <f>'14'!G87</f>
        <v>7.8000000000029104</v>
      </c>
      <c r="AC18" s="1035">
        <f>'14'!G88</f>
        <v>51.369999999995343</v>
      </c>
      <c r="AD18" s="1035">
        <f>'14'!G87+'14'!H90</f>
        <v>7.8000000000029104</v>
      </c>
      <c r="AE18" s="1044">
        <f>'14'!$G$62</f>
        <v>0</v>
      </c>
      <c r="AF18" s="1044">
        <f>'14'!$G$63</f>
        <v>3.7899999999999636</v>
      </c>
      <c r="AG18" s="1044">
        <f>'14'!$G$64</f>
        <v>206.75999999998021</v>
      </c>
      <c r="AH18" s="1044">
        <f>'14'!$G$65</f>
        <v>165.65000000002328</v>
      </c>
      <c r="AI18" s="1044">
        <f>'14'!$G$66</f>
        <v>252.61000000000058</v>
      </c>
      <c r="AJ18" s="1044">
        <f>'14'!$G$67</f>
        <v>213.98000000001048</v>
      </c>
      <c r="AK18" s="1044">
        <f>'14'!$G$68</f>
        <v>0</v>
      </c>
      <c r="AL18" s="1044">
        <f>'14'!$G$69</f>
        <v>42.80000000000291</v>
      </c>
      <c r="AM18" s="1044">
        <f>'14'!$G$84</f>
        <v>562</v>
      </c>
      <c r="AN18" s="1044">
        <f>'14'!$G$15</f>
        <v>292.58000000007451</v>
      </c>
      <c r="AO18" s="1044">
        <f>'14'!$G$124</f>
        <v>201.30999999993946</v>
      </c>
      <c r="AP18" s="1044">
        <f>'14'!$G$125</f>
        <v>0</v>
      </c>
      <c r="AQ18" s="1044">
        <f>'14'!$G$126</f>
        <v>48.910000000003492</v>
      </c>
      <c r="AR18" s="1044">
        <f>'14'!$G$127</f>
        <v>0</v>
      </c>
      <c r="AS18" s="1044">
        <f>'14'!$G$128</f>
        <v>0</v>
      </c>
      <c r="AT18" s="1044">
        <f t="shared" si="0"/>
        <v>42.360000000131549</v>
      </c>
      <c r="AU18" s="1044">
        <f>SUM('14'!G140:G141)</f>
        <v>7.5800000000001546</v>
      </c>
      <c r="AV18" s="1044">
        <f>'14'!$G$137</f>
        <v>0</v>
      </c>
      <c r="AW18" s="1044">
        <f>'14'!$G$138</f>
        <v>0</v>
      </c>
      <c r="AX18" s="1044">
        <f>'14'!$G$139</f>
        <v>0</v>
      </c>
      <c r="AY18" s="1041">
        <f t="shared" si="1"/>
        <v>0</v>
      </c>
      <c r="BA18" s="1049">
        <f>AO18-AT18</f>
        <v>158.94999999980791</v>
      </c>
    </row>
    <row r="19" spans="1:53">
      <c r="A19" s="1043">
        <v>43966</v>
      </c>
      <c r="B19" s="261">
        <f>'15'!G7</f>
        <v>17032.489999999998</v>
      </c>
      <c r="C19" s="261">
        <f>'15'!G8</f>
        <v>17116.72</v>
      </c>
      <c r="D19" s="1467">
        <f>'15'!G15</f>
        <v>437.41999999992549</v>
      </c>
      <c r="E19" s="261">
        <f>'15'!G20</f>
        <v>116</v>
      </c>
      <c r="F19" s="1467">
        <f>SUM('15'!G35,'15'!G49)</f>
        <v>2006.9200000000419</v>
      </c>
      <c r="G19" s="1467">
        <f>SUM('15'!G37,'15'!G51)</f>
        <v>1297.0899999999965</v>
      </c>
      <c r="H19" s="1467">
        <f>SUM('15'!G38,'15'!G52)</f>
        <v>1315.9600000000501</v>
      </c>
      <c r="I19" s="1467">
        <f>SUM('15'!G39,'15'!G53)</f>
        <v>2647.820000000007</v>
      </c>
      <c r="J19" s="1467">
        <f>SUM('15'!G41,'15'!G42,'15'!G55,'15'!G56)</f>
        <v>5855.1400000000194</v>
      </c>
      <c r="K19" s="261">
        <f>SUM('15'!G43,'15'!G57)</f>
        <v>2074.8000000000466</v>
      </c>
      <c r="L19" s="1468">
        <f>'15'!G50</f>
        <v>895.01000000000931</v>
      </c>
      <c r="M19" s="1044">
        <f>'15'!G36</f>
        <v>0</v>
      </c>
      <c r="N19" s="1044">
        <f>'15'!G72</f>
        <v>10</v>
      </c>
      <c r="O19" s="1044">
        <f>'15'!$G$73</f>
        <v>1</v>
      </c>
      <c r="P19" s="1044">
        <f>'15'!$G$74</f>
        <v>6.8400000000001455</v>
      </c>
      <c r="Q19" s="1044">
        <f>'15'!$G$75</f>
        <v>52.409999999999854</v>
      </c>
      <c r="R19" s="1044">
        <f>'15'!$G$76</f>
        <v>57.430000000000291</v>
      </c>
      <c r="S19" s="1044">
        <f>'15'!$G$77</f>
        <v>25</v>
      </c>
      <c r="T19" s="1035">
        <f>'15'!$G$78</f>
        <v>144</v>
      </c>
      <c r="U19" s="1035">
        <f>'15'!$G$79</f>
        <v>125</v>
      </c>
      <c r="V19" s="1035">
        <f>'15'!$G$80</f>
        <v>373.67999999999302</v>
      </c>
      <c r="W19" s="1035">
        <f>'15'!$G$81</f>
        <v>75.160000000032596</v>
      </c>
      <c r="X19" s="1035">
        <f>'15'!$G$82</f>
        <v>37.94999999999709</v>
      </c>
      <c r="Y19" s="1035">
        <f>'15'!$G$58</f>
        <v>36.730000000003201</v>
      </c>
      <c r="Z19" s="1035">
        <f>'15'!$G$83</f>
        <v>252</v>
      </c>
      <c r="AA19" s="1035">
        <f>'15'!G86</f>
        <v>80.599999999976717</v>
      </c>
      <c r="AB19" s="1035">
        <f>'15'!G87</f>
        <v>7.1999999999970896</v>
      </c>
      <c r="AC19" s="1035">
        <f>'15'!G88</f>
        <v>4</v>
      </c>
      <c r="AD19" s="1035">
        <f>'15'!G87+'15'!H90</f>
        <v>7.1999999999970896</v>
      </c>
      <c r="AE19" s="1044">
        <f>'15'!$G$62</f>
        <v>0.18000000000029104</v>
      </c>
      <c r="AF19" s="1044">
        <f>'15'!$G$63</f>
        <v>2.8499999999999091</v>
      </c>
      <c r="AG19" s="1044">
        <f>'15'!$G$64</f>
        <v>201.95000000001164</v>
      </c>
      <c r="AH19" s="1044">
        <f>'15'!$G$65</f>
        <v>270.82999999998719</v>
      </c>
      <c r="AI19" s="1044">
        <f>'15'!$G$66</f>
        <v>271.45999999999913</v>
      </c>
      <c r="AJ19" s="1044">
        <f>'15'!$G$67</f>
        <v>339.41000000000349</v>
      </c>
      <c r="AK19" s="1044">
        <f>'15'!$G$68</f>
        <v>0</v>
      </c>
      <c r="AL19" s="1044">
        <f>'15'!$G$69</f>
        <v>89.929999999993015</v>
      </c>
      <c r="AM19" s="1044">
        <f>'15'!$G$84</f>
        <v>599</v>
      </c>
      <c r="AN19" s="1044">
        <f>'15'!$G$15</f>
        <v>437.41999999992549</v>
      </c>
      <c r="AO19" s="1044">
        <f>'15'!$G$124</f>
        <v>200.9100000000326</v>
      </c>
      <c r="AP19" s="1044">
        <f>'15'!$G$125</f>
        <v>0.39999999999417923</v>
      </c>
      <c r="AQ19" s="1044">
        <f>'15'!$G$126</f>
        <v>45</v>
      </c>
      <c r="AR19" s="1044">
        <f>'15'!$G$127</f>
        <v>0</v>
      </c>
      <c r="AS19" s="1044">
        <f>'15'!$G$128</f>
        <v>0</v>
      </c>
      <c r="AT19" s="1044">
        <f t="shared" si="0"/>
        <v>191.10999999989872</v>
      </c>
      <c r="AU19" s="1044">
        <f>SUM('15'!G140:G141)</f>
        <v>7.6199999999998909</v>
      </c>
      <c r="AV19" s="1044">
        <f>'15'!$G$137</f>
        <v>0</v>
      </c>
      <c r="AW19" s="1044">
        <f>'15'!$G$138</f>
        <v>0</v>
      </c>
      <c r="AX19" s="1044">
        <f>'15'!$G$139</f>
        <v>9.5299999999988358</v>
      </c>
      <c r="AY19" s="1041">
        <f t="shared" si="1"/>
        <v>9.5299999999988358</v>
      </c>
      <c r="BA19" s="1049">
        <f t="shared" si="2"/>
        <v>9.8000000001338776</v>
      </c>
    </row>
    <row r="20" spans="1:53">
      <c r="A20" s="1043">
        <v>43967</v>
      </c>
      <c r="B20" s="261">
        <f>'16'!G7</f>
        <v>15022</v>
      </c>
      <c r="C20" s="261">
        <f>'16'!G8</f>
        <v>15155</v>
      </c>
      <c r="D20" s="261">
        <f>'16'!G15</f>
        <v>317</v>
      </c>
      <c r="E20" s="261">
        <f>'16'!G20</f>
        <v>117</v>
      </c>
      <c r="F20" s="261">
        <f>SUM('16'!G35,'16'!G49)</f>
        <v>1926.1300000000047</v>
      </c>
      <c r="G20" s="261">
        <f>SUM('16'!G37,'16'!G51)</f>
        <v>1239</v>
      </c>
      <c r="H20" s="261">
        <f>SUM('16'!G38,'16'!G52)</f>
        <v>1097</v>
      </c>
      <c r="I20" s="261">
        <f>SUM('16'!G39,'16'!G53)</f>
        <v>2608</v>
      </c>
      <c r="J20" s="261">
        <f>SUM('16'!G41,'16'!G42,'16'!G55,'16'!G56)</f>
        <v>4448</v>
      </c>
      <c r="K20" s="261">
        <f>SUM('16'!G43,'16'!G57)</f>
        <v>2126</v>
      </c>
      <c r="L20" s="1044">
        <f>'16'!G50</f>
        <v>821</v>
      </c>
      <c r="M20" s="1044">
        <f>'16'!G36</f>
        <v>0</v>
      </c>
      <c r="N20" s="1044">
        <f>'16'!G72</f>
        <v>7</v>
      </c>
      <c r="O20" s="1044">
        <f>'16'!$G$73</f>
        <v>0</v>
      </c>
      <c r="P20" s="1044">
        <f>'16'!$G$74</f>
        <v>9</v>
      </c>
      <c r="Q20" s="1044">
        <f>'16'!$G$75</f>
        <v>54</v>
      </c>
      <c r="R20" s="1044">
        <f>'16'!$G$76</f>
        <v>56</v>
      </c>
      <c r="S20" s="1044">
        <f>'16'!$G$77</f>
        <v>29</v>
      </c>
      <c r="T20" s="1035">
        <f>'16'!$G$78</f>
        <v>118</v>
      </c>
      <c r="U20" s="1035">
        <f>'16'!$G$79</f>
        <v>120</v>
      </c>
      <c r="V20" s="1035">
        <f>'16'!$G$80</f>
        <v>333</v>
      </c>
      <c r="W20" s="1035">
        <f>'16'!$G$81</f>
        <v>82</v>
      </c>
      <c r="X20" s="1035">
        <f>'16'!$G$82</f>
        <v>10</v>
      </c>
      <c r="Y20" s="1035">
        <f>'16'!$G$58</f>
        <v>0</v>
      </c>
      <c r="Z20" s="1035">
        <f>'16'!$G$83</f>
        <v>116</v>
      </c>
      <c r="AA20" s="1035">
        <f>'16'!G86</f>
        <v>28</v>
      </c>
      <c r="AB20" s="1035">
        <f>'16'!G87</f>
        <v>4</v>
      </c>
      <c r="AC20" s="1035">
        <f>'16'!G88</f>
        <v>9</v>
      </c>
      <c r="AD20" s="1035">
        <f>'16'!G87+'16'!H90</f>
        <v>4</v>
      </c>
      <c r="AE20" s="1044">
        <f>'16'!$G$62</f>
        <v>0</v>
      </c>
      <c r="AF20" s="1044">
        <f>'16'!$G$63</f>
        <v>4</v>
      </c>
      <c r="AG20" s="1044">
        <f>'16'!$G$64</f>
        <v>201</v>
      </c>
      <c r="AH20" s="1044">
        <f>'16'!$G$65</f>
        <v>295</v>
      </c>
      <c r="AI20" s="1044">
        <f>'16'!$G$66</f>
        <v>260</v>
      </c>
      <c r="AJ20" s="1044">
        <f>'16'!$G$67</f>
        <v>332</v>
      </c>
      <c r="AK20" s="1044">
        <f>'16'!$G$68</f>
        <v>0</v>
      </c>
      <c r="AL20" s="1044">
        <f>'16'!$G$69</f>
        <v>95</v>
      </c>
      <c r="AM20" s="1044">
        <f>'16'!$G$84</f>
        <v>511</v>
      </c>
      <c r="AN20" s="1044">
        <f>'16'!$G$15</f>
        <v>317</v>
      </c>
      <c r="AO20" s="1082">
        <f>'16'!$G$124</f>
        <v>209</v>
      </c>
      <c r="AP20" s="1044">
        <f>'16'!$G$125</f>
        <v>0</v>
      </c>
      <c r="AQ20" s="1044">
        <f>'16'!$G$126</f>
        <v>57</v>
      </c>
      <c r="AR20" s="1044">
        <f>'16'!$G$127</f>
        <v>0</v>
      </c>
      <c r="AS20" s="1044">
        <f>'16'!$G$128</f>
        <v>0</v>
      </c>
      <c r="AT20" s="1044">
        <f t="shared" si="0"/>
        <v>51</v>
      </c>
      <c r="AU20" s="1044">
        <f>SUM('16'!G140:G141)</f>
        <v>7.9700000000000273</v>
      </c>
      <c r="AV20" s="1044">
        <f>'16'!$G$137</f>
        <v>0</v>
      </c>
      <c r="AW20" s="1044">
        <f>'16'!$G$138</f>
        <v>0</v>
      </c>
      <c r="AX20" s="1044">
        <f>'16'!$G$139</f>
        <v>0</v>
      </c>
      <c r="AY20" s="1041">
        <f t="shared" si="1"/>
        <v>0</v>
      </c>
      <c r="BA20" s="1049">
        <f t="shared" si="2"/>
        <v>158</v>
      </c>
    </row>
    <row r="21" spans="1:53">
      <c r="A21" s="1043">
        <v>43968</v>
      </c>
      <c r="B21" s="261">
        <f>'17'!G7</f>
        <v>14872</v>
      </c>
      <c r="C21" s="261">
        <f>'17'!G8</f>
        <v>15048</v>
      </c>
      <c r="D21" s="261">
        <f>'17'!G15</f>
        <v>562</v>
      </c>
      <c r="E21" s="261">
        <f>'17'!G20</f>
        <v>76</v>
      </c>
      <c r="F21" s="261">
        <f>SUM('17'!G35,'17'!G49)</f>
        <v>1602</v>
      </c>
      <c r="G21" s="261">
        <f>SUM('17'!G37,'17'!G51)</f>
        <v>1338.1300000000047</v>
      </c>
      <c r="H21" s="261">
        <f>SUM('17'!G38,'17'!G52)</f>
        <v>1050</v>
      </c>
      <c r="I21" s="261">
        <f>SUM('17'!G39,'17'!G53)</f>
        <v>2646</v>
      </c>
      <c r="J21" s="261">
        <f>SUM('17'!G41,'17'!G42,'17'!G55,'17'!G56)</f>
        <v>4494</v>
      </c>
      <c r="K21" s="261">
        <f>SUM('17'!G43,'17'!G57)</f>
        <v>2036</v>
      </c>
      <c r="L21" s="1044">
        <f>'17'!G50</f>
        <v>762</v>
      </c>
      <c r="M21" s="1044">
        <f>'17'!G36</f>
        <v>0</v>
      </c>
      <c r="N21" s="1044">
        <f>'18'!G72</f>
        <v>6</v>
      </c>
      <c r="O21" s="1044">
        <f>'17'!$G$73</f>
        <v>1</v>
      </c>
      <c r="P21" s="1044">
        <f>'17'!$G$74</f>
        <v>6</v>
      </c>
      <c r="Q21" s="1044">
        <f>'17'!$G$75</f>
        <v>59</v>
      </c>
      <c r="R21" s="1044">
        <f>'17'!$G$76</f>
        <v>57</v>
      </c>
      <c r="S21" s="1044">
        <f>'17'!$G$77</f>
        <v>29</v>
      </c>
      <c r="T21" s="1035">
        <f>'17'!$G$78</f>
        <v>89</v>
      </c>
      <c r="U21" s="1035">
        <f>'17'!$G$79</f>
        <v>117</v>
      </c>
      <c r="V21" s="1035">
        <f>'17'!$G$80</f>
        <v>311</v>
      </c>
      <c r="W21" s="1035">
        <f>'17'!$G$81</f>
        <v>76</v>
      </c>
      <c r="X21" s="1035">
        <f>'17'!$G$82</f>
        <v>11</v>
      </c>
      <c r="Y21" s="1035">
        <f>'17'!$G$58</f>
        <v>199</v>
      </c>
      <c r="Z21" s="1035">
        <f>'17'!$G$83</f>
        <v>175</v>
      </c>
      <c r="AA21" s="1035">
        <f>'17'!G86</f>
        <v>36</v>
      </c>
      <c r="AB21" s="1035">
        <f>'17'!G87</f>
        <v>7</v>
      </c>
      <c r="AC21" s="1035">
        <f>'17'!G88</f>
        <v>66</v>
      </c>
      <c r="AD21" s="1035">
        <f>'17'!G87+'17'!H90</f>
        <v>7</v>
      </c>
      <c r="AE21" s="1044">
        <f>'17'!$G$62</f>
        <v>-0.18000000000029104</v>
      </c>
      <c r="AF21" s="1044">
        <f>'17'!$G$63</f>
        <v>4</v>
      </c>
      <c r="AG21" s="1044">
        <f>'17'!$G$64</f>
        <v>266</v>
      </c>
      <c r="AH21" s="1044">
        <f>'17'!$G$65</f>
        <v>284</v>
      </c>
      <c r="AI21" s="1044">
        <f>'17'!$G$66</f>
        <v>272</v>
      </c>
      <c r="AJ21" s="1044">
        <f>'17'!$G$67</f>
        <v>322</v>
      </c>
      <c r="AK21" s="1044">
        <f>'17'!$G$68</f>
        <v>0</v>
      </c>
      <c r="AL21" s="1044">
        <f>'17'!$G$69</f>
        <v>87</v>
      </c>
      <c r="AM21" s="1044">
        <f>'17'!$G$84</f>
        <v>419</v>
      </c>
      <c r="AN21" s="1044">
        <f>'17'!$G$15</f>
        <v>562</v>
      </c>
      <c r="AO21" s="1044">
        <f>'17'!$G$124</f>
        <v>214</v>
      </c>
      <c r="AP21" s="1044">
        <f>'17'!$G$125</f>
        <v>0</v>
      </c>
      <c r="AQ21" s="1044">
        <f>'17'!$G$126</f>
        <v>46</v>
      </c>
      <c r="AR21" s="1044">
        <f>'17'!$G$127</f>
        <v>0</v>
      </c>
      <c r="AS21" s="1044">
        <f>'17'!$G$128</f>
        <v>0</v>
      </c>
      <c r="AT21" s="1044">
        <f t="shared" si="0"/>
        <v>302</v>
      </c>
      <c r="AU21" s="1044">
        <f>SUM('17'!G140:G141)</f>
        <v>8.0499999999999545</v>
      </c>
      <c r="AV21" s="1044">
        <f>'17'!$G$137</f>
        <v>6.2800000000024738</v>
      </c>
      <c r="AW21" s="1044">
        <f>'17'!$G$138</f>
        <v>0</v>
      </c>
      <c r="AX21" s="1044">
        <f>'17'!$G$139</f>
        <v>0</v>
      </c>
      <c r="AY21" s="1041">
        <f t="shared" si="1"/>
        <v>6.2800000000024738</v>
      </c>
      <c r="BA21" s="1049">
        <f t="shared" si="2"/>
        <v>-88</v>
      </c>
    </row>
    <row r="22" spans="1:53">
      <c r="A22" s="1043">
        <v>43969</v>
      </c>
      <c r="B22" s="261">
        <f>'18'!G7</f>
        <v>15342</v>
      </c>
      <c r="C22" s="261">
        <f>'18'!G8</f>
        <v>15496</v>
      </c>
      <c r="D22" s="261">
        <f>'18'!G15</f>
        <v>400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4">
        <f>'18'!G50</f>
        <v>802</v>
      </c>
      <c r="M22" s="1044">
        <f>'18'!G36</f>
        <v>0</v>
      </c>
      <c r="N22" s="1044">
        <f>'18'!G72</f>
        <v>6</v>
      </c>
      <c r="O22" s="1044">
        <f>'18'!$G$73</f>
        <v>2</v>
      </c>
      <c r="P22" s="1044">
        <f>'18'!$G$74</f>
        <v>4</v>
      </c>
      <c r="Q22" s="1044">
        <f>'18'!$G$75</f>
        <v>53</v>
      </c>
      <c r="R22" s="1044">
        <f>'18'!$G$76</f>
        <v>56</v>
      </c>
      <c r="S22" s="1044">
        <f>'18'!$G$77</f>
        <v>30</v>
      </c>
      <c r="T22" s="1035">
        <f>'18'!$G$78</f>
        <v>75</v>
      </c>
      <c r="U22" s="1035">
        <f>'18'!$G$79</f>
        <v>128</v>
      </c>
      <c r="V22" s="1047">
        <f>'18'!$G$80</f>
        <v>300</v>
      </c>
      <c r="W22" s="1047">
        <f>'18'!$G$81</f>
        <v>80</v>
      </c>
      <c r="X22" s="1047">
        <f>'18'!$G$82</f>
        <v>26</v>
      </c>
      <c r="Y22" s="1047">
        <f>'18'!$G$58</f>
        <v>63</v>
      </c>
      <c r="Z22" s="1047">
        <f>'18'!$G$83</f>
        <v>240</v>
      </c>
      <c r="AA22" s="1047">
        <f>'18'!G86</f>
        <v>31</v>
      </c>
      <c r="AB22" s="1035">
        <f>'18'!G87</f>
        <v>14</v>
      </c>
      <c r="AC22" s="1035">
        <f>'18'!G88</f>
        <v>68</v>
      </c>
      <c r="AD22" s="1035">
        <f>'18'!G87+'18'!H90</f>
        <v>14.199999999999818</v>
      </c>
      <c r="AE22" s="1044">
        <f>'18'!$G$62</f>
        <v>0.18000000000029104</v>
      </c>
      <c r="AF22" s="1044">
        <f>'18'!$G$63</f>
        <v>4</v>
      </c>
      <c r="AG22" s="1044">
        <f>'18'!$G$64</f>
        <v>337</v>
      </c>
      <c r="AH22" s="1044">
        <f>'18'!$G$65</f>
        <v>268</v>
      </c>
      <c r="AI22" s="1044">
        <f>'18'!$G$66</f>
        <v>270</v>
      </c>
      <c r="AJ22" s="1044">
        <f>'18'!$G$67</f>
        <v>300</v>
      </c>
      <c r="AK22" s="1044">
        <f>'18'!$G$68</f>
        <v>0</v>
      </c>
      <c r="AL22" s="1044">
        <f>'18'!$G$69</f>
        <v>78</v>
      </c>
      <c r="AM22" s="1044">
        <f>'18'!$G$84</f>
        <v>353</v>
      </c>
      <c r="AN22" s="1044">
        <f>'18'!$G$15</f>
        <v>400</v>
      </c>
      <c r="AO22" s="1044">
        <f>'18'!$G$124</f>
        <v>195</v>
      </c>
      <c r="AP22" s="1044">
        <f>'18'!$G$125</f>
        <v>0</v>
      </c>
      <c r="AQ22" s="1044">
        <f>'18'!$G$126</f>
        <v>45</v>
      </c>
      <c r="AR22" s="1044">
        <f>'18'!$G$127</f>
        <v>0</v>
      </c>
      <c r="AS22" s="1044">
        <f>'18'!$G$128</f>
        <v>0</v>
      </c>
      <c r="AT22" s="1044">
        <f t="shared" si="0"/>
        <v>160</v>
      </c>
      <c r="AU22" s="1044">
        <f>SUM('18'!G140:G141)</f>
        <v>7.7400000000000091</v>
      </c>
      <c r="AV22" s="1044">
        <f>'18'!$G$137</f>
        <v>0</v>
      </c>
      <c r="AW22" s="1044">
        <f>'18'!$G$138</f>
        <v>0</v>
      </c>
      <c r="AX22" s="1044">
        <f>'18'!$G$139</f>
        <v>8.5299999999988358</v>
      </c>
      <c r="AY22" s="1041">
        <f t="shared" si="1"/>
        <v>8.5299999999988358</v>
      </c>
      <c r="BA22" s="1049">
        <f t="shared" si="2"/>
        <v>35</v>
      </c>
    </row>
    <row r="23" spans="1:53" s="1046" customFormat="1">
      <c r="A23" s="1043">
        <v>43970</v>
      </c>
      <c r="B23" s="261">
        <f>'19'!G7</f>
        <v>5388415</v>
      </c>
      <c r="C23" s="261">
        <f>'19'!G8</f>
        <v>5420408</v>
      </c>
      <c r="D23" s="261">
        <f>'19'!G15</f>
        <v>-15200</v>
      </c>
      <c r="E23" s="261">
        <f>'19'!G20</f>
        <v>-1580</v>
      </c>
      <c r="F23" s="261">
        <f>SUM('19'!G35,'19'!G49)</f>
        <v>-65142.130000000005</v>
      </c>
      <c r="G23" s="261">
        <f>SUM('19'!G37,'19'!G51)</f>
        <v>-36567</v>
      </c>
      <c r="H23" s="261">
        <f>SUM('19'!G38,'19'!G52)</f>
        <v>-36833</v>
      </c>
      <c r="I23" s="261">
        <f>SUM('19'!G39,'19'!G53)</f>
        <v>-62529</v>
      </c>
      <c r="J23" s="261">
        <f>SUM('19'!G41,'19'!G42,'19'!G55,'19'!G56)</f>
        <v>195368.99000000005</v>
      </c>
      <c r="K23" s="261">
        <f>SUM('19'!G43,'19'!G57)</f>
        <v>-65003.33</v>
      </c>
      <c r="L23" s="1035">
        <f>'19'!G50</f>
        <v>-28272</v>
      </c>
      <c r="M23" s="1035">
        <f>'19'!G36</f>
        <v>-11377</v>
      </c>
      <c r="N23" s="1035">
        <f>'19'!G72</f>
        <v>-856</v>
      </c>
      <c r="O23" s="1035">
        <f>'19'!$G$73</f>
        <v>-66</v>
      </c>
      <c r="P23" s="1035">
        <f>'19'!$G$74</f>
        <v>-567</v>
      </c>
      <c r="Q23" s="1035">
        <f>'19'!$G$75</f>
        <v>-1624</v>
      </c>
      <c r="R23" s="1044">
        <f>'19'!G76</f>
        <v>-1461</v>
      </c>
      <c r="S23" s="1035">
        <f>'19'!$G$77</f>
        <v>-1239</v>
      </c>
      <c r="T23" s="1035">
        <f>'19'!$G$78</f>
        <v>-2320</v>
      </c>
      <c r="U23" s="1035">
        <f>'19'!$G$79</f>
        <v>-4549</v>
      </c>
      <c r="V23" s="1035">
        <f>'19'!$G$80</f>
        <v>-10395</v>
      </c>
      <c r="W23" s="1035">
        <f>'19'!$G$81</f>
        <v>-2936</v>
      </c>
      <c r="X23" s="1035">
        <f>'19'!$G$82</f>
        <v>-599</v>
      </c>
      <c r="Y23" s="1035">
        <f>'19'!$G$58</f>
        <v>-3125</v>
      </c>
      <c r="Z23" s="1035">
        <f>'19'!$G$83</f>
        <v>-6063</v>
      </c>
      <c r="AA23" s="1035">
        <f>'19'!G86</f>
        <v>-2502</v>
      </c>
      <c r="AB23" s="1035">
        <f>'19'!G87</f>
        <v>-358</v>
      </c>
      <c r="AC23" s="1035">
        <f>'19'!G88</f>
        <v>-1138</v>
      </c>
      <c r="AD23" s="1035">
        <f>'19'!G87+'19'!H90</f>
        <v>-358.69999999999982</v>
      </c>
      <c r="AE23" s="1035">
        <f>'19'!$G$62</f>
        <v>2.0000000000436557E-2</v>
      </c>
      <c r="AF23" s="1035">
        <f>'19'!$G$63</f>
        <v>-125</v>
      </c>
      <c r="AG23" s="1035">
        <f>'19'!$G$64</f>
        <v>-8923</v>
      </c>
      <c r="AH23" s="1035">
        <f>'19'!$G$65</f>
        <v>-7159</v>
      </c>
      <c r="AI23" s="1035">
        <f>'19'!$G$66</f>
        <v>-8650</v>
      </c>
      <c r="AJ23" s="1035">
        <f>'19'!$G$67</f>
        <v>-7557</v>
      </c>
      <c r="AK23" s="1035">
        <f>'19'!$G$68</f>
        <v>0</v>
      </c>
      <c r="AL23" s="1035">
        <f>'19'!$G$69</f>
        <v>-2106</v>
      </c>
      <c r="AM23" s="1035">
        <f>'19'!$G$84</f>
        <v>-20511</v>
      </c>
      <c r="AN23" s="1035">
        <f>'19'!$G$15</f>
        <v>-15200</v>
      </c>
      <c r="AO23" s="1035">
        <f>'19'!$G$124</f>
        <v>-6190</v>
      </c>
      <c r="AP23" s="1035">
        <f>'19'!$G$125</f>
        <v>-0.39999999999417923</v>
      </c>
      <c r="AQ23" s="1035">
        <f>'19'!$G$126</f>
        <v>-1860</v>
      </c>
      <c r="AR23" s="1035">
        <f>'19'!$G$127</f>
        <v>0</v>
      </c>
      <c r="AS23" s="1035">
        <f>'19'!$G$128</f>
        <v>-3</v>
      </c>
      <c r="AT23" s="1035">
        <f t="shared" si="0"/>
        <v>-7146.6000000000058</v>
      </c>
      <c r="AU23" s="1035">
        <f>SUM('19'!G140:G141)</f>
        <v>-231.36999999999989</v>
      </c>
      <c r="AV23" s="1035">
        <f>'19'!$G$137</f>
        <v>-101.20000000000073</v>
      </c>
      <c r="AW23" s="1035">
        <f>'19'!$G$138</f>
        <v>-1.7200000000011642</v>
      </c>
      <c r="AX23" s="1035">
        <f>'19'!$G$139</f>
        <v>-83.279999999998836</v>
      </c>
      <c r="AY23" s="1045">
        <f t="shared" si="1"/>
        <v>-186.20000000000073</v>
      </c>
      <c r="BA23" s="1050">
        <f t="shared" si="2"/>
        <v>956.60000000000582</v>
      </c>
    </row>
    <row r="24" spans="1:53">
      <c r="A24" s="1043">
        <v>43971</v>
      </c>
      <c r="B24" s="261">
        <f>'20'!G7</f>
        <v>20160</v>
      </c>
      <c r="C24" s="261">
        <f>'20'!G8</f>
        <v>20216</v>
      </c>
      <c r="D24" s="261">
        <f>'20'!G15</f>
        <v>772</v>
      </c>
      <c r="E24" s="261">
        <f>'20'!G20</f>
        <v>141</v>
      </c>
      <c r="F24" s="261">
        <f>SUM('20'!G35,'20'!G49)</f>
        <v>2817.1300000000047</v>
      </c>
      <c r="G24" s="261">
        <f>SUM('20'!G37,'20'!G51)</f>
        <v>1368</v>
      </c>
      <c r="H24" s="261">
        <f>SUM('20'!G38,'20'!G52)</f>
        <v>1488</v>
      </c>
      <c r="I24" s="261">
        <f>SUM('20'!G39,'20'!G53)</f>
        <v>3410</v>
      </c>
      <c r="J24" s="261">
        <f>SUM('20'!G41,'20'!G42,'20'!G55,'20'!G56)</f>
        <v>5991</v>
      </c>
      <c r="K24" s="261">
        <f>SUM('20'!G43,'20'!G57)</f>
        <v>2277</v>
      </c>
      <c r="L24" s="1044">
        <f>'20'!G50</f>
        <v>1139</v>
      </c>
      <c r="M24" s="1044">
        <f>'20'!G36</f>
        <v>1068</v>
      </c>
      <c r="N24" s="1044">
        <f>'20'!G72</f>
        <v>100</v>
      </c>
      <c r="O24" s="1044">
        <f>'20'!$G$73</f>
        <v>1</v>
      </c>
      <c r="P24" s="1044">
        <f>'20'!$G$74</f>
        <v>30</v>
      </c>
      <c r="Q24" s="1044">
        <f>'20'!$G$75</f>
        <v>58</v>
      </c>
      <c r="R24" s="1044">
        <f>'20'!$G$76</f>
        <v>50</v>
      </c>
      <c r="S24" s="1044">
        <f>'20'!$G$77</f>
        <v>44</v>
      </c>
      <c r="T24" s="1035">
        <f>'20'!$G$78</f>
        <v>22</v>
      </c>
      <c r="U24" s="1035">
        <f>'20'!$G$79</f>
        <v>193</v>
      </c>
      <c r="V24" s="1035">
        <f>'20'!$G$80</f>
        <v>396</v>
      </c>
      <c r="W24" s="1035">
        <f>'20'!$G$81</f>
        <v>211</v>
      </c>
      <c r="X24" s="1035">
        <f>'20'!$G$82</f>
        <v>22</v>
      </c>
      <c r="Y24" s="1035">
        <f>'20'!$G$58</f>
        <v>177</v>
      </c>
      <c r="Z24" s="1035">
        <f>'20'!$G$83</f>
        <v>291</v>
      </c>
      <c r="AA24" s="1035">
        <f>'20'!G86</f>
        <v>207</v>
      </c>
      <c r="AB24" s="1035">
        <f>'20'!G87</f>
        <v>17</v>
      </c>
      <c r="AC24" s="1035">
        <f>'20'!G88</f>
        <v>23</v>
      </c>
      <c r="AD24" s="1035">
        <f>'20'!G87+'20'!H90</f>
        <v>16.300000000000182</v>
      </c>
      <c r="AE24" s="1044">
        <f>'20'!$G$62</f>
        <v>0</v>
      </c>
      <c r="AF24" s="1044">
        <f>'20'!$G$63</f>
        <v>6</v>
      </c>
      <c r="AG24" s="1044">
        <f>'20'!$G$64</f>
        <v>517</v>
      </c>
      <c r="AH24" s="1044">
        <f>'20'!$G$65</f>
        <v>359</v>
      </c>
      <c r="AI24" s="1044">
        <f>'20'!$G$66</f>
        <v>395</v>
      </c>
      <c r="AJ24" s="1044">
        <f>'20'!$G$67</f>
        <v>389</v>
      </c>
      <c r="AK24" s="1044">
        <f>'20'!$G$68</f>
        <v>0</v>
      </c>
      <c r="AL24" s="1044">
        <f>'20'!$G$69</f>
        <v>47</v>
      </c>
      <c r="AM24" s="1044">
        <f>'20'!$G$84</f>
        <v>805</v>
      </c>
      <c r="AN24" s="1044">
        <f>'20'!$G$15</f>
        <v>772</v>
      </c>
      <c r="AO24" s="1044">
        <f>'20'!$G$124</f>
        <v>252</v>
      </c>
      <c r="AP24" s="1044">
        <f>'20'!$G$125</f>
        <v>0</v>
      </c>
      <c r="AQ24" s="1044">
        <f>'20'!$G$126</f>
        <v>78</v>
      </c>
      <c r="AR24" s="1044">
        <f>'20'!$G$127</f>
        <v>0</v>
      </c>
      <c r="AS24" s="1044">
        <f>'20'!$G$128</f>
        <v>-29.600000000000364</v>
      </c>
      <c r="AT24" s="1044">
        <f t="shared" si="0"/>
        <v>471.60000000000036</v>
      </c>
      <c r="AU24" s="1044">
        <f>SUM('20'!G140:G141)</f>
        <v>8.3400000000001455</v>
      </c>
      <c r="AV24" s="1044">
        <f>'20'!$G$137</f>
        <v>5.3800000000010186</v>
      </c>
      <c r="AW24" s="1044">
        <f>'20'!$G$138</f>
        <v>0</v>
      </c>
      <c r="AX24" s="1044">
        <f>'20'!$G$139</f>
        <v>4.319999999992433</v>
      </c>
      <c r="AY24" s="1041">
        <f t="shared" si="1"/>
        <v>9.6999999999934516</v>
      </c>
      <c r="BA24" s="1049">
        <f t="shared" si="2"/>
        <v>-219.60000000000036</v>
      </c>
    </row>
    <row r="25" spans="1:53">
      <c r="A25" s="1043">
        <v>43972</v>
      </c>
      <c r="B25" s="261">
        <f>'21'!G7</f>
        <v>19605</v>
      </c>
      <c r="C25" s="261">
        <f>'21'!G8</f>
        <v>19654</v>
      </c>
      <c r="D25" s="261">
        <f>'21'!G15</f>
        <v>700</v>
      </c>
      <c r="E25" s="261">
        <f>'21'!G20</f>
        <v>158</v>
      </c>
      <c r="F25" s="261">
        <f>SUM('21'!G35,'21'!G49)</f>
        <v>2824</v>
      </c>
      <c r="G25" s="261">
        <f>SUM('21'!G37,'21'!G51)</f>
        <v>1328</v>
      </c>
      <c r="H25" s="261">
        <f>SUM('21'!G38,'21'!G52)</f>
        <v>1434.0699999999488</v>
      </c>
      <c r="I25" s="261">
        <f>SUM('21'!G39,'21'!G53)</f>
        <v>3354</v>
      </c>
      <c r="J25" s="261">
        <f>SUM('21'!G41,'21'!G42,'21'!G55,'21'!G56)</f>
        <v>5862</v>
      </c>
      <c r="K25" s="261">
        <f>SUM('21'!G43,'21'!G57)</f>
        <v>2286</v>
      </c>
      <c r="L25" s="1044">
        <f>'21'!G50</f>
        <v>1022</v>
      </c>
      <c r="M25" s="1044">
        <f>'21'!G36</f>
        <v>968</v>
      </c>
      <c r="N25" s="1044">
        <f>'21'!G72</f>
        <v>59</v>
      </c>
      <c r="O25" s="1044">
        <f>'21'!$G$73</f>
        <v>1</v>
      </c>
      <c r="P25" s="1044">
        <f>'21'!$G$74</f>
        <v>32</v>
      </c>
      <c r="Q25" s="1044">
        <f>'21'!$G$75</f>
        <v>60</v>
      </c>
      <c r="R25" s="1044">
        <f>'21'!$G$76</f>
        <v>38</v>
      </c>
      <c r="S25" s="1044">
        <f>'21'!$G$77</f>
        <v>39</v>
      </c>
      <c r="T25" s="1035">
        <f>'21'!$G$78</f>
        <v>48</v>
      </c>
      <c r="U25" s="1035">
        <f>'21'!$G$79</f>
        <v>182</v>
      </c>
      <c r="V25" s="1035">
        <f>'21'!$G$80</f>
        <v>352</v>
      </c>
      <c r="W25" s="1035">
        <f>'21'!$G$81</f>
        <v>180</v>
      </c>
      <c r="X25" s="1035">
        <f>'21'!$G$82</f>
        <v>24</v>
      </c>
      <c r="Y25" s="1035">
        <f>'21'!$G$58</f>
        <v>159</v>
      </c>
      <c r="Z25" s="1035">
        <f>'21'!$G$83</f>
        <v>215</v>
      </c>
      <c r="AA25" s="1035">
        <f>'21'!G86</f>
        <v>87</v>
      </c>
      <c r="AB25" s="1035">
        <f>'21'!G87</f>
        <v>13</v>
      </c>
      <c r="AC25" s="1035">
        <f>'21'!G88</f>
        <v>23</v>
      </c>
      <c r="AD25" s="1035">
        <f>'21'!G87+'21'!H90</f>
        <v>12.300000000000182</v>
      </c>
      <c r="AE25" s="1044">
        <f>'21'!$G$62</f>
        <v>0</v>
      </c>
      <c r="AF25" s="1044">
        <f>'21'!$G$63</f>
        <v>5</v>
      </c>
      <c r="AG25" s="1044">
        <f>'21'!$G$64</f>
        <v>504</v>
      </c>
      <c r="AH25" s="1044">
        <f>'21'!$G$65</f>
        <v>346</v>
      </c>
      <c r="AI25" s="1044">
        <f>'21'!$G$66</f>
        <v>380</v>
      </c>
      <c r="AJ25" s="1044">
        <f>'21'!$G$67</f>
        <v>387</v>
      </c>
      <c r="AK25" s="1044">
        <f>'21'!$G$68</f>
        <v>0</v>
      </c>
      <c r="AL25" s="1044">
        <f>'21'!$G$69</f>
        <v>51</v>
      </c>
      <c r="AM25" s="1044">
        <f>'21'!$G$84</f>
        <v>798</v>
      </c>
      <c r="AN25" s="1044">
        <f>'21'!$G$15</f>
        <v>700</v>
      </c>
      <c r="AO25" s="1044">
        <f>'21'!$G$124</f>
        <v>246</v>
      </c>
      <c r="AP25" s="1044">
        <f>'21'!$G$125</f>
        <v>0</v>
      </c>
      <c r="AQ25" s="1044">
        <f>'21'!$G$126</f>
        <v>87</v>
      </c>
      <c r="AR25" s="1044">
        <f>'21'!$G$127</f>
        <v>0</v>
      </c>
      <c r="AS25" s="1044">
        <f>'21'!$G$128</f>
        <v>0</v>
      </c>
      <c r="AT25" s="1044">
        <f t="shared" si="0"/>
        <v>367</v>
      </c>
      <c r="AU25" s="1044">
        <f>SUM('21'!G140:G141)</f>
        <v>8.7699999999992997</v>
      </c>
      <c r="AV25" s="1044">
        <f>'21'!$G$137</f>
        <v>5.6199999999989814</v>
      </c>
      <c r="AW25" s="1044">
        <f>'21'!$G$138</f>
        <v>0</v>
      </c>
      <c r="AX25" s="1044">
        <f>'21'!$G$139</f>
        <v>3.4800000000104774</v>
      </c>
      <c r="AY25" s="1041">
        <f t="shared" si="1"/>
        <v>9.1000000000094587</v>
      </c>
      <c r="BA25" s="1049">
        <f t="shared" si="2"/>
        <v>-121</v>
      </c>
    </row>
    <row r="26" spans="1:53">
      <c r="A26" s="1043">
        <v>43973</v>
      </c>
      <c r="B26" s="261">
        <f>'22'!G7</f>
        <v>19762</v>
      </c>
      <c r="C26" s="261">
        <f>'22'!G8</f>
        <v>19819</v>
      </c>
      <c r="D26" s="261">
        <f>'22'!G15</f>
        <v>767</v>
      </c>
      <c r="E26" s="261">
        <f>'22'!G20</f>
        <v>159</v>
      </c>
      <c r="F26" s="261">
        <f>SUM('22'!G35,'22'!G49)</f>
        <v>2785</v>
      </c>
      <c r="G26" s="261">
        <f>SUM('22'!G37,'22'!G51)</f>
        <v>1343</v>
      </c>
      <c r="H26" s="261">
        <f>SUM('22'!G38,'22'!G52)</f>
        <v>1462</v>
      </c>
      <c r="I26" s="261">
        <f>SUM('22'!G39,'22'!G53)</f>
        <v>3364</v>
      </c>
      <c r="J26" s="261">
        <f>SUM('22'!G41,'22'!G42,'22'!G55,'22'!G56)</f>
        <v>5930</v>
      </c>
      <c r="K26" s="261">
        <f>SUM('22'!G43,'22'!G57)</f>
        <v>2328</v>
      </c>
      <c r="L26" s="1044">
        <f>'22'!G50</f>
        <v>955</v>
      </c>
      <c r="M26" s="1044">
        <f>'22'!G36</f>
        <v>1061</v>
      </c>
      <c r="N26" s="1044">
        <f>'22'!G72</f>
        <v>56</v>
      </c>
      <c r="O26" s="1044">
        <f>'22'!$G$73</f>
        <v>1</v>
      </c>
      <c r="P26" s="1044">
        <f>'22'!$G$74</f>
        <v>28</v>
      </c>
      <c r="Q26" s="1044">
        <f>'22'!$G$75</f>
        <v>76</v>
      </c>
      <c r="R26" s="1044">
        <f>'22'!$G$76</f>
        <v>41</v>
      </c>
      <c r="S26" s="1044">
        <f>'22'!$G$77</f>
        <v>35</v>
      </c>
      <c r="T26" s="1035">
        <f>'22'!$G$78</f>
        <v>47</v>
      </c>
      <c r="U26" s="1035">
        <f>'22'!$G$79</f>
        <v>179</v>
      </c>
      <c r="V26" s="1035">
        <f>'22'!$G$80</f>
        <v>365</v>
      </c>
      <c r="W26" s="1035">
        <f>'22'!$G$81</f>
        <v>199</v>
      </c>
      <c r="X26" s="1035">
        <f>'22'!$G$82</f>
        <v>27</v>
      </c>
      <c r="Y26" s="1035">
        <f>'22'!$G$58</f>
        <v>161</v>
      </c>
      <c r="Z26" s="1035">
        <f>'22'!$G$83</f>
        <v>213</v>
      </c>
      <c r="AA26" s="1035">
        <f>'22'!G86</f>
        <v>24</v>
      </c>
      <c r="AB26" s="1035">
        <f>'22'!G87</f>
        <v>11</v>
      </c>
      <c r="AC26" s="1035">
        <f>'22'!G88</f>
        <v>22</v>
      </c>
      <c r="AD26" s="1035">
        <f>'22'!G87+'22'!H90</f>
        <v>10.300000000000182</v>
      </c>
      <c r="AE26" s="1044">
        <f>'22'!$G$62</f>
        <v>0</v>
      </c>
      <c r="AF26" s="1044">
        <f>'22'!$G$63</f>
        <v>5</v>
      </c>
      <c r="AG26" s="1044">
        <f>'22'!$G$64</f>
        <v>504</v>
      </c>
      <c r="AH26" s="1044">
        <f>'22'!$G$65</f>
        <v>363</v>
      </c>
      <c r="AI26" s="1044">
        <f>'22'!$G$66</f>
        <v>383</v>
      </c>
      <c r="AJ26" s="1044">
        <f>'22'!$G$67</f>
        <v>396</v>
      </c>
      <c r="AK26" s="1044">
        <f>'22'!$G$68</f>
        <v>0</v>
      </c>
      <c r="AL26" s="1044">
        <f>'22'!$G$69</f>
        <v>43</v>
      </c>
      <c r="AM26" s="1044">
        <f>'22'!$G$84</f>
        <v>782</v>
      </c>
      <c r="AN26" s="1044">
        <f>'22'!$G$15</f>
        <v>767</v>
      </c>
      <c r="AO26" s="1082">
        <f>'22'!$G$124</f>
        <v>238</v>
      </c>
      <c r="AP26" s="1044">
        <f>'22'!$G$125</f>
        <v>0</v>
      </c>
      <c r="AQ26" s="1044">
        <f>'22'!$G$126</f>
        <v>94</v>
      </c>
      <c r="AR26" s="1044">
        <f>'22'!$G$127</f>
        <v>0</v>
      </c>
      <c r="AS26" s="1044">
        <f>'22'!$G$128</f>
        <v>0</v>
      </c>
      <c r="AT26" s="1044">
        <f t="shared" si="0"/>
        <v>435</v>
      </c>
      <c r="AU26" s="1044">
        <f>SUM('22'!G140:G141)</f>
        <v>8.7999999999999545</v>
      </c>
      <c r="AV26" s="1044">
        <f>'22'!$G$137</f>
        <v>8.8499999999985448</v>
      </c>
      <c r="AW26" s="1044">
        <f>'22'!$G$138</f>
        <v>0</v>
      </c>
      <c r="AX26" s="1044">
        <f>'22'!$G$139</f>
        <v>0.70999999999185093</v>
      </c>
      <c r="AY26" s="1041">
        <f t="shared" si="1"/>
        <v>9.5599999999903957</v>
      </c>
      <c r="BA26" s="1049">
        <f t="shared" si="2"/>
        <v>-197</v>
      </c>
    </row>
    <row r="27" spans="1:53">
      <c r="A27" s="1043">
        <v>43974</v>
      </c>
      <c r="B27" s="261">
        <f>'23'!G7</f>
        <v>19931</v>
      </c>
      <c r="C27" s="261">
        <f>'23'!G8</f>
        <v>19983</v>
      </c>
      <c r="D27" s="261">
        <f>'23'!G15</f>
        <v>824.37599999993108</v>
      </c>
      <c r="E27" s="261">
        <f>'23'!G20</f>
        <v>138</v>
      </c>
      <c r="F27" s="261">
        <f>SUM('23'!G35,'23'!G49)</f>
        <v>2814.390000000014</v>
      </c>
      <c r="G27" s="261">
        <f>SUM('23'!G37,'23'!G51)</f>
        <v>1398.7599999999948</v>
      </c>
      <c r="H27" s="261">
        <f>SUM('23'!G38,'23'!G52)</f>
        <v>1433.2400000000052</v>
      </c>
      <c r="I27" s="261">
        <f>SUM('23'!G39,'23'!G53)</f>
        <v>3567.1199999999953</v>
      </c>
      <c r="J27" s="261">
        <f>SUM('23'!G41,'23'!G42,'23'!G55,'23'!G56)</f>
        <v>5802.1230000000505</v>
      </c>
      <c r="K27" s="261">
        <f>SUM('23'!G43,'23'!G57)</f>
        <v>2355.4300000000512</v>
      </c>
      <c r="L27" s="1044">
        <f>'23'!G50</f>
        <v>1104.2700000000186</v>
      </c>
      <c r="M27" s="1044">
        <f>'23'!G36</f>
        <v>1122.9500000000116</v>
      </c>
      <c r="N27" s="1044">
        <f>'23'!G72</f>
        <v>65</v>
      </c>
      <c r="O27" s="1044">
        <f>'23'!G73</f>
        <v>2</v>
      </c>
      <c r="P27" s="1044">
        <f>'23'!$G$74</f>
        <v>32.980000000000018</v>
      </c>
      <c r="Q27" s="1044">
        <f>'23'!$G$75</f>
        <v>57.049999999999272</v>
      </c>
      <c r="R27" s="1044">
        <f>'23'!$G$76</f>
        <v>37.800000000000182</v>
      </c>
      <c r="S27" s="1044">
        <f>'23'!$G$77</f>
        <v>40</v>
      </c>
      <c r="T27" s="1035">
        <f>'23'!$G$78</f>
        <v>89</v>
      </c>
      <c r="U27" s="1035">
        <f>'23'!$G$79</f>
        <v>180</v>
      </c>
      <c r="V27" s="1035">
        <f>'23'!$G$80</f>
        <v>379.76000000000931</v>
      </c>
      <c r="W27" s="1035">
        <f>'23'!$G$81</f>
        <v>202.28000000002794</v>
      </c>
      <c r="X27" s="1035">
        <f>'23'!$G$82</f>
        <v>20.30000000000291</v>
      </c>
      <c r="Y27" s="1035">
        <f>'23'!$G$58</f>
        <v>182.16999999999825</v>
      </c>
      <c r="Z27" s="1080">
        <f>'23'!$G$83</f>
        <v>174</v>
      </c>
      <c r="AA27" s="1035">
        <f>'23'!$G$86</f>
        <v>31.35999999998603</v>
      </c>
      <c r="AB27" s="1035">
        <f>'23'!G87</f>
        <v>10</v>
      </c>
      <c r="AC27" s="1035">
        <f>'23'!G88</f>
        <v>24.200000000011642</v>
      </c>
      <c r="AD27" s="1035">
        <f>'23'!G87+'23'!H90</f>
        <v>10.699999999999818</v>
      </c>
      <c r="AE27" s="1044">
        <f>'23'!$G$62</f>
        <v>-0.2000000000007276</v>
      </c>
      <c r="AF27" s="1044">
        <f>'23'!$G$63</f>
        <v>4</v>
      </c>
      <c r="AG27" s="1044">
        <f>'23'!$G$64</f>
        <v>505.51999999998952</v>
      </c>
      <c r="AH27" s="1044">
        <f>'23'!$G$65</f>
        <v>382.07000000000698</v>
      </c>
      <c r="AI27" s="1044">
        <f>'23'!$G$66</f>
        <v>429.52999999999884</v>
      </c>
      <c r="AJ27" s="1044">
        <f>'23'!$G$67</f>
        <v>453.32999999998719</v>
      </c>
      <c r="AK27" s="1044">
        <f>'23'!$G$68</f>
        <v>0</v>
      </c>
      <c r="AL27" s="1044">
        <f>'23'!$G$69</f>
        <v>41.30000000000291</v>
      </c>
      <c r="AM27" s="1044">
        <f>'23'!$G$84</f>
        <v>788</v>
      </c>
      <c r="AN27" s="1044">
        <f>'23'!$G$15</f>
        <v>824.37599999993108</v>
      </c>
      <c r="AO27" s="1044">
        <f>'23'!$G$124</f>
        <v>259.4100000000326</v>
      </c>
      <c r="AP27" s="1044">
        <f>'23'!$G$125</f>
        <v>0.39999999999417923</v>
      </c>
      <c r="AQ27" s="1044">
        <f>'23'!$G$126</f>
        <v>89.070000000006985</v>
      </c>
      <c r="AR27" s="1044">
        <f>'23'!$G$127</f>
        <v>0.2000000000007276</v>
      </c>
      <c r="AS27" s="1044">
        <f>'23'!$G$128</f>
        <v>30.899999999999636</v>
      </c>
      <c r="AT27" s="1044">
        <f t="shared" si="0"/>
        <v>444.39599999989696</v>
      </c>
      <c r="AU27" s="1044">
        <f>SUM('23'!G140:G141)</f>
        <v>9.5900000000006003</v>
      </c>
      <c r="AV27" s="1044">
        <f>'23'!$G$137</f>
        <v>9.2100000000027649</v>
      </c>
      <c r="AW27" s="1044">
        <f>'23'!$G$138</f>
        <v>1.4900000000016007</v>
      </c>
      <c r="AX27" s="1044">
        <f>'23'!$G$139</f>
        <v>0</v>
      </c>
      <c r="AY27" s="1041">
        <f t="shared" si="1"/>
        <v>10.700000000004366</v>
      </c>
      <c r="BA27" s="1049">
        <f t="shared" si="2"/>
        <v>-184.98599999986436</v>
      </c>
    </row>
    <row r="28" spans="1:53" s="1083" customFormat="1">
      <c r="A28" s="1043">
        <v>43975</v>
      </c>
      <c r="B28" s="261">
        <f>'24'!G7</f>
        <v>19964</v>
      </c>
      <c r="C28" s="261">
        <f>'24'!G8</f>
        <v>20016</v>
      </c>
      <c r="D28" s="261">
        <f>'24'!G15</f>
        <v>817.29200000013225</v>
      </c>
      <c r="E28" s="261">
        <f>'24'!G20</f>
        <v>194</v>
      </c>
      <c r="F28" s="261">
        <f>SUM('24'!G35,'24'!G49)</f>
        <v>2831.2299999999814</v>
      </c>
      <c r="G28" s="261">
        <f>SUM('24'!G37,'24'!G51)</f>
        <v>1337.4499999999971</v>
      </c>
      <c r="H28" s="261">
        <f>SUM('24'!G38,'24'!G52)</f>
        <v>1505.5000000000437</v>
      </c>
      <c r="I28" s="261">
        <f>SUM('24'!G39,'24'!G53)</f>
        <v>3515.9199999999837</v>
      </c>
      <c r="J28" s="261">
        <f>SUM('24'!G41,'24'!G42,'24'!G55,'24'!G56)</f>
        <v>5836.2600000000093</v>
      </c>
      <c r="K28" s="261">
        <f>SUM('24'!G43,'24'!G57)</f>
        <v>2344.4199999999255</v>
      </c>
      <c r="L28" s="1044">
        <f>'24'!G50</f>
        <v>897.59999999997672</v>
      </c>
      <c r="M28" s="1035">
        <f>'24'!G36</f>
        <v>978.39999999996508</v>
      </c>
      <c r="N28" s="1035">
        <f>'24'!G72</f>
        <v>56</v>
      </c>
      <c r="O28" s="1035">
        <f>'24'!G73</f>
        <v>3</v>
      </c>
      <c r="P28" s="1035">
        <f>'24'!$G$74</f>
        <v>35.579999999999927</v>
      </c>
      <c r="Q28" s="1035">
        <f>'24'!$G$75</f>
        <v>61.940000000000509</v>
      </c>
      <c r="R28" s="1035">
        <f>'24'!$G$76</f>
        <v>38.199999999999818</v>
      </c>
      <c r="S28" s="1035">
        <f>'24'!$G$77</f>
        <v>44</v>
      </c>
      <c r="T28" s="1035">
        <f>'24'!$G$78</f>
        <v>104</v>
      </c>
      <c r="U28" s="1035">
        <f>'24'!$G$79</f>
        <v>186</v>
      </c>
      <c r="V28" s="1035">
        <f>'24'!$G$80</f>
        <v>373.11999999999534</v>
      </c>
      <c r="W28" s="1035">
        <f>'24'!$G$81</f>
        <v>168.47999999998137</v>
      </c>
      <c r="X28" s="1035">
        <f>'24'!$G$82</f>
        <v>25.029999999998836</v>
      </c>
      <c r="Y28" s="1035">
        <f>'24'!$G$58</f>
        <v>182.58099999999831</v>
      </c>
      <c r="Z28" s="1035">
        <f>'24'!$G$83</f>
        <v>245</v>
      </c>
      <c r="AA28" s="1035">
        <f>'24'!G86</f>
        <v>29.64000000001397</v>
      </c>
      <c r="AB28" s="1035">
        <f>'24'!G87</f>
        <v>12.399999999994179</v>
      </c>
      <c r="AC28" s="1035">
        <f>'24'!G88</f>
        <v>22.629999999975553</v>
      </c>
      <c r="AD28" s="1035">
        <f>'24'!G87+'24'!H90</f>
        <v>11.999999999994543</v>
      </c>
      <c r="AE28" s="1035">
        <f>'24'!$G$62</f>
        <v>0</v>
      </c>
      <c r="AF28" s="1035">
        <f>'24'!$G$63</f>
        <v>5.1959000000001652</v>
      </c>
      <c r="AG28" s="1035">
        <f>'24'!$G$64</f>
        <v>508.20000000001164</v>
      </c>
      <c r="AH28" s="1035">
        <f>'24'!$G$65</f>
        <v>353.60000000000582</v>
      </c>
      <c r="AI28" s="1035">
        <f>'24'!$G$66</f>
        <v>399.70999999999913</v>
      </c>
      <c r="AJ28" s="1035">
        <f>'24'!$G$67</f>
        <v>437.27999999999884</v>
      </c>
      <c r="AK28" s="1035">
        <f>'24'!$G$68</f>
        <v>0</v>
      </c>
      <c r="AL28" s="1035">
        <f>'24'!$G$69</f>
        <v>50.5</v>
      </c>
      <c r="AM28" s="1035">
        <f>'24'!$G$84</f>
        <v>787</v>
      </c>
      <c r="AN28" s="1035">
        <f>'24'!$G$15</f>
        <v>817.29200000013225</v>
      </c>
      <c r="AO28" s="1082">
        <f>'24'!$G$124</f>
        <v>235.02999999991152</v>
      </c>
      <c r="AP28" s="1082">
        <f>'24'!$G$125</f>
        <v>-0.39999999999417923</v>
      </c>
      <c r="AQ28" s="1082">
        <f>'24'!$G$126</f>
        <v>91.979999999981374</v>
      </c>
      <c r="AR28" s="1035">
        <f>'24'!$G$127</f>
        <v>0</v>
      </c>
      <c r="AS28" s="1035">
        <f>'24'!$G$128</f>
        <v>0.1000000000003638</v>
      </c>
      <c r="AT28" s="1082">
        <f>AN28-SUM(AO28:AS28)</f>
        <v>490.58200000023317</v>
      </c>
      <c r="AU28" s="1035">
        <f>SUM('24'!G140:G141)</f>
        <v>8.3799999999996544</v>
      </c>
      <c r="AV28" s="1035">
        <f>'24'!$G$137</f>
        <v>9.7999999999992724</v>
      </c>
      <c r="AW28" s="1035">
        <f>'24'!$G$138</f>
        <v>0</v>
      </c>
      <c r="AX28" s="1035">
        <f>'24'!$G$139</f>
        <v>0</v>
      </c>
      <c r="AY28" s="1045">
        <f t="shared" si="1"/>
        <v>9.7999999999992724</v>
      </c>
      <c r="BA28" s="1084">
        <f t="shared" si="2"/>
        <v>-255.55200000032164</v>
      </c>
    </row>
    <row r="29" spans="1:53">
      <c r="A29" s="1043">
        <v>43976</v>
      </c>
      <c r="B29" s="261">
        <f>'25'!G7</f>
        <v>22296</v>
      </c>
      <c r="C29" s="261">
        <f>'25'!G8</f>
        <v>22390</v>
      </c>
      <c r="D29" s="261">
        <f>'25'!G15</f>
        <v>698.87399999983609</v>
      </c>
      <c r="E29" s="261">
        <f>'25'!G20</f>
        <v>133</v>
      </c>
      <c r="F29" s="261">
        <f>SUM('25'!G35,'25'!G49)</f>
        <v>3053.3800000000047</v>
      </c>
      <c r="G29" s="261">
        <f>SUM('25'!G37,'25'!G51)</f>
        <v>1346.3300000000017</v>
      </c>
      <c r="H29" s="261">
        <f>SUM('25'!G38,'25'!G52)</f>
        <v>1455.6799999999494</v>
      </c>
      <c r="I29" s="261">
        <f>SUM('25'!G39,'25'!G53)</f>
        <v>3630.5200000000186</v>
      </c>
      <c r="J29" s="261">
        <f>SUM('25'!G41,'25'!G42,'25'!G55,'25'!G56)</f>
        <v>7229.7499999999709</v>
      </c>
      <c r="K29" s="261">
        <f>SUM('25'!G43,'25'!G57)</f>
        <v>2595.2199999999721</v>
      </c>
      <c r="L29" s="1044">
        <f>'25'!G50</f>
        <v>1368.2399999999907</v>
      </c>
      <c r="M29" s="1044">
        <f>'25'!G36</f>
        <v>1014.9200000000419</v>
      </c>
      <c r="N29" s="1044">
        <f>'25'!G72</f>
        <v>58</v>
      </c>
      <c r="O29" s="1044">
        <f>'25'!$G$73</f>
        <v>29</v>
      </c>
      <c r="P29" s="1044">
        <f>'25'!$G$74</f>
        <v>34.240000000000236</v>
      </c>
      <c r="Q29" s="1044">
        <f>'25'!$G$75</f>
        <v>64.630000000001019</v>
      </c>
      <c r="R29" s="1044">
        <f>'25'!$G$76</f>
        <v>31.880000000000109</v>
      </c>
      <c r="S29" s="1044">
        <f>'25'!$G$77</f>
        <v>45</v>
      </c>
      <c r="T29" s="1035">
        <f>'25'!$G$78</f>
        <v>42</v>
      </c>
      <c r="U29" s="1035">
        <f>'25'!$G$79</f>
        <v>171</v>
      </c>
      <c r="V29" s="1035">
        <f>'25'!$G$80</f>
        <v>418.76000000000931</v>
      </c>
      <c r="W29" s="1035">
        <f>'25'!$G$81</f>
        <v>197.88000000000466</v>
      </c>
      <c r="X29" s="1035">
        <f>'25'!$G$82</f>
        <v>24.580000000001746</v>
      </c>
      <c r="Y29" s="1035">
        <f>'25'!$G$58</f>
        <v>153.89900000000489</v>
      </c>
      <c r="Z29" s="1035">
        <f>'25'!$G$83</f>
        <v>187</v>
      </c>
      <c r="AA29" s="1035">
        <f>'25'!G86</f>
        <v>32.440000000002328</v>
      </c>
      <c r="AB29" s="1035">
        <f>'25'!G87</f>
        <v>11.900000000008731</v>
      </c>
      <c r="AC29" s="1035">
        <f>'25'!G88</f>
        <v>24.670000000012806</v>
      </c>
      <c r="AD29" s="1035">
        <f>'25'!G87+'25'!H90</f>
        <v>11.900000000008731</v>
      </c>
      <c r="AE29" s="1044">
        <f>'25'!$G$62</f>
        <v>0</v>
      </c>
      <c r="AF29" s="1044">
        <f>'25'!$G$63</f>
        <v>6.1440999999999804</v>
      </c>
      <c r="AG29" s="1044">
        <f>'25'!$G$64</f>
        <v>509.97000000000116</v>
      </c>
      <c r="AH29" s="1044">
        <f>'25'!$G$65</f>
        <v>362.50999999998021</v>
      </c>
      <c r="AI29" s="1044">
        <f>'25'!$G$66</f>
        <v>388.16000000000349</v>
      </c>
      <c r="AJ29" s="1044">
        <f>'25'!$G$67</f>
        <v>382.5</v>
      </c>
      <c r="AK29" s="1044">
        <f>'25'!$G$68</f>
        <v>0</v>
      </c>
      <c r="AL29" s="1044">
        <f>'25'!$G$69</f>
        <v>133</v>
      </c>
      <c r="AM29" s="1044">
        <f>'25'!$G$84</f>
        <v>890</v>
      </c>
      <c r="AN29" s="1044">
        <f>'25'!$G$15</f>
        <v>698.87399999983609</v>
      </c>
      <c r="AO29" s="1044">
        <f>'25'!$G$124</f>
        <v>257.38000000000466</v>
      </c>
      <c r="AP29" s="1044">
        <f>'25'!$G$125</f>
        <v>0.39999999999417923</v>
      </c>
      <c r="AQ29" s="1044">
        <f>'25'!$G$126</f>
        <v>82.75</v>
      </c>
      <c r="AR29" s="1044">
        <f>'25'!$G$127</f>
        <v>0</v>
      </c>
      <c r="AS29" s="1044">
        <f>'25'!$G$128</f>
        <v>0.2000000000007276</v>
      </c>
      <c r="AT29" s="1044">
        <f t="shared" si="0"/>
        <v>358.14399999983652</v>
      </c>
      <c r="AU29" s="1044">
        <f>SUM('25'!G140:G141)</f>
        <v>9.8100000000001728</v>
      </c>
      <c r="AV29" s="1044">
        <f>'25'!$G$137</f>
        <v>5.8099999999976717</v>
      </c>
      <c r="AW29" s="1044">
        <f>'25'!$G$138</f>
        <v>0</v>
      </c>
      <c r="AX29" s="1044">
        <f>'25'!$G$139</f>
        <v>4.2300000000104774</v>
      </c>
      <c r="AY29" s="1041">
        <f t="shared" si="1"/>
        <v>10.040000000008149</v>
      </c>
      <c r="BA29" s="1049">
        <f t="shared" si="2"/>
        <v>-100.76399999983187</v>
      </c>
    </row>
    <row r="30" spans="1:53">
      <c r="A30" s="1043">
        <v>43977</v>
      </c>
      <c r="B30" s="261">
        <f>'26'!G7</f>
        <v>20533</v>
      </c>
      <c r="C30" s="261">
        <f>'26'!G8</f>
        <v>20629</v>
      </c>
      <c r="D30" s="261">
        <f>'26'!G15</f>
        <v>688.53800000017509</v>
      </c>
      <c r="E30" s="261">
        <f>'26'!G20</f>
        <v>159</v>
      </c>
      <c r="F30" s="261">
        <f>SUM('26'!G35,'26'!G49)</f>
        <v>3075.9499999999534</v>
      </c>
      <c r="G30" s="261">
        <f>SUM('26'!G37,'26'!G51)</f>
        <v>1331.4199999999983</v>
      </c>
      <c r="H30" s="261">
        <f>SUM('26'!G38,'26'!G52)</f>
        <v>1433.6900000000023</v>
      </c>
      <c r="I30" s="261">
        <f>SUM('26'!G39,'26'!G53)</f>
        <v>3523.5</v>
      </c>
      <c r="J30" s="261">
        <f>SUM('26'!G41,'26'!G42,'26'!G55,'26'!G56)</f>
        <v>6105.3299999999581</v>
      </c>
      <c r="K30" s="261">
        <f>SUM('26'!G43,'26'!G57)</f>
        <v>2549.2400000001071</v>
      </c>
      <c r="L30" s="1044">
        <f>'26'!G50</f>
        <v>1194.0400000000373</v>
      </c>
      <c r="M30" s="1044">
        <f>'26'!G36</f>
        <v>766.79999999998836</v>
      </c>
      <c r="N30" s="1044">
        <f>'26'!G72</f>
        <v>57</v>
      </c>
      <c r="O30" s="1044">
        <f>'26'!$G$73</f>
        <v>1</v>
      </c>
      <c r="P30" s="1044">
        <f>'26'!$G$74</f>
        <v>31.698999999999614</v>
      </c>
      <c r="Q30" s="1044">
        <f>'26'!$G$75</f>
        <v>63.199999999998909</v>
      </c>
      <c r="R30" s="1044">
        <f>'26'!$G$76</f>
        <v>44.920000000000073</v>
      </c>
      <c r="S30" s="1044">
        <f>'26'!$G$77</f>
        <v>44</v>
      </c>
      <c r="T30" s="1035">
        <f>'26'!$G$78</f>
        <v>57</v>
      </c>
      <c r="U30" s="1035">
        <f>'26'!$G$79</f>
        <v>203</v>
      </c>
      <c r="V30" s="1035">
        <f>'26'!$G$80</f>
        <v>353.39999999996508</v>
      </c>
      <c r="W30" s="1035">
        <f>'26'!$G$81</f>
        <v>133.47999999998137</v>
      </c>
      <c r="X30" s="1035">
        <f>'26'!$G$82</f>
        <v>17.360000000000582</v>
      </c>
      <c r="Y30" s="1035">
        <f>'26'!$G$58</f>
        <v>153.16100000000006</v>
      </c>
      <c r="Z30" s="1035">
        <f>'26'!$G$83</f>
        <v>277</v>
      </c>
      <c r="AA30" s="1035">
        <f>'26'!G86</f>
        <v>191.59999999997672</v>
      </c>
      <c r="AB30" s="1035">
        <f>'26'!G87</f>
        <v>15.099999999991269</v>
      </c>
      <c r="AC30" s="1035">
        <f>'26'!G88</f>
        <v>123.20999999999185</v>
      </c>
      <c r="AD30" s="1035">
        <f>'26'!G87+'26'!H90</f>
        <v>15.099999999991269</v>
      </c>
      <c r="AE30" s="1044">
        <f>'26'!$G$62</f>
        <v>0</v>
      </c>
      <c r="AF30" s="1044">
        <f>'26'!$G$63</f>
        <v>5.75</v>
      </c>
      <c r="AG30" s="1044">
        <f>'26'!$G$64</f>
        <v>495.32999999998719</v>
      </c>
      <c r="AH30" s="1044">
        <f>'26'!$G$65</f>
        <v>368.30000000001746</v>
      </c>
      <c r="AI30" s="1044">
        <f>'26'!$G$66</f>
        <v>378.51000000000204</v>
      </c>
      <c r="AJ30" s="1044">
        <f>'26'!$G$67</f>
        <v>389.02000000001863</v>
      </c>
      <c r="AK30" s="1044">
        <f>'26'!$G$68</f>
        <v>0</v>
      </c>
      <c r="AL30" s="1044">
        <f>'26'!$G$69</f>
        <v>120.47000000000116</v>
      </c>
      <c r="AM30" s="1044">
        <f>'26'!$G$84</f>
        <v>981</v>
      </c>
      <c r="AN30" s="1044">
        <f>'26'!$G$15</f>
        <v>688.53800000017509</v>
      </c>
      <c r="AO30" s="1044">
        <f>'26'!$G$124</f>
        <v>228.63000000000466</v>
      </c>
      <c r="AP30" s="1044">
        <f>'26'!$G$125</f>
        <v>-0.29999999998835847</v>
      </c>
      <c r="AQ30" s="1044">
        <f>'26'!$G$126</f>
        <v>66.420000000012806</v>
      </c>
      <c r="AR30" s="1044">
        <f>'26'!$G$127</f>
        <v>0</v>
      </c>
      <c r="AS30" s="1044">
        <f>'26'!$G$128</f>
        <v>0</v>
      </c>
      <c r="AT30" s="1044">
        <f t="shared" si="0"/>
        <v>393.78800000014598</v>
      </c>
      <c r="AU30" s="1044">
        <f>SUM('26'!G140:G141)</f>
        <v>8.75</v>
      </c>
      <c r="AV30" s="1044">
        <f>'26'!$G$137</f>
        <v>7.6300000000010186</v>
      </c>
      <c r="AW30" s="1044">
        <f>'26'!$G$138</f>
        <v>0</v>
      </c>
      <c r="AX30" s="1044">
        <f>'26'!$G$139</f>
        <v>0</v>
      </c>
      <c r="AY30" s="1041">
        <f t="shared" si="1"/>
        <v>7.6300000000010186</v>
      </c>
      <c r="BA30" s="1049">
        <f t="shared" si="2"/>
        <v>-165.15800000014133</v>
      </c>
    </row>
    <row r="31" spans="1:53">
      <c r="A31" s="1043">
        <v>43978</v>
      </c>
      <c r="B31" s="261">
        <f>'27'!G7</f>
        <v>17995</v>
      </c>
      <c r="C31" s="261">
        <f>'27'!G8</f>
        <v>18091</v>
      </c>
      <c r="D31" s="261">
        <f>'27'!G15</f>
        <v>627.37899999995716</v>
      </c>
      <c r="E31" s="261">
        <f>'27'!G20</f>
        <v>112</v>
      </c>
      <c r="F31" s="261">
        <f>SUM('27'!G35,'27'!G49)</f>
        <v>2619.3600000001024</v>
      </c>
      <c r="G31" s="261">
        <f>SUM('27'!G37,'27'!G51)</f>
        <v>1174.25</v>
      </c>
      <c r="H31" s="261">
        <f>SUM('27'!G38,'27'!G52)</f>
        <v>1256</v>
      </c>
      <c r="I31" s="261">
        <f>SUM('27'!G39,'27'!G53)</f>
        <v>3319.6199999999953</v>
      </c>
      <c r="J31" s="261">
        <f>SUM('27'!G41,'27'!G42,'27'!G55,'27'!G56)</f>
        <v>5057.4740000000165</v>
      </c>
      <c r="K31" s="261">
        <f>SUM('27'!G43,'27'!G57)</f>
        <v>2417.7599999998929</v>
      </c>
      <c r="L31" s="1044">
        <f>'27'!G50</f>
        <v>949.11999999999534</v>
      </c>
      <c r="M31" s="1044">
        <f>'27'!G36</f>
        <v>390.47999999998137</v>
      </c>
      <c r="N31" s="1044">
        <f>'27'!G72</f>
        <v>61</v>
      </c>
      <c r="O31" s="1044">
        <f>'27'!$G$73</f>
        <v>1</v>
      </c>
      <c r="P31" s="1044">
        <f>'27'!$G$74</f>
        <v>29.46100000000024</v>
      </c>
      <c r="Q31" s="1044">
        <f>'27'!$G$75</f>
        <v>54.100000000000364</v>
      </c>
      <c r="R31" s="1044">
        <f>'27'!$G$76</f>
        <v>47.849999999999454</v>
      </c>
      <c r="S31" s="1044">
        <f>'27'!$G$77</f>
        <v>44</v>
      </c>
      <c r="T31" s="1035">
        <f>'27'!$G$78</f>
        <v>45</v>
      </c>
      <c r="U31" s="1035">
        <f>'27'!$G$79</f>
        <v>190</v>
      </c>
      <c r="V31" s="1035">
        <f>'27'!$G$80</f>
        <v>337.20000000001164</v>
      </c>
      <c r="W31" s="1035">
        <f>'27'!$G$81</f>
        <v>29.440000000060536</v>
      </c>
      <c r="X31" s="1035">
        <f>'27'!$G$82</f>
        <v>20.899999999994179</v>
      </c>
      <c r="Y31" s="1035">
        <f>'27'!$G$58</f>
        <v>161.54899999999907</v>
      </c>
      <c r="Z31" s="1035">
        <f>'27'!$G$83</f>
        <v>143</v>
      </c>
      <c r="AA31" s="1035">
        <f>'27'!G86</f>
        <v>178.72000000003027</v>
      </c>
      <c r="AB31" s="1035">
        <f>'27'!G87</f>
        <v>12.100000000005821</v>
      </c>
      <c r="AC31" s="1035">
        <f>'27'!G88</f>
        <v>22.480000000010477</v>
      </c>
      <c r="AD31" s="1035">
        <f>'27'!G87+'27'!H90</f>
        <v>12.100000000005821</v>
      </c>
      <c r="AE31" s="1044">
        <f>'27'!$G$62</f>
        <v>0</v>
      </c>
      <c r="AF31" s="1044">
        <f>'27'!$G$63</f>
        <v>5.1999999999998181</v>
      </c>
      <c r="AG31" s="1044">
        <f>'27'!$G$64</f>
        <v>477.18000000002212</v>
      </c>
      <c r="AH31" s="1044">
        <f>'27'!$G$65</f>
        <v>348.55999999999767</v>
      </c>
      <c r="AI31" s="1044">
        <f>'27'!$G$66</f>
        <v>363.73999999999796</v>
      </c>
      <c r="AJ31" s="1044">
        <f>'27'!$G$67</f>
        <v>382.39999999999418</v>
      </c>
      <c r="AK31" s="1044">
        <f>'27'!$G$68</f>
        <v>0</v>
      </c>
      <c r="AL31" s="1044">
        <f>'27'!$G$69</f>
        <v>36.080000000001746</v>
      </c>
      <c r="AM31" s="1044">
        <f>'27'!$G$84</f>
        <v>821</v>
      </c>
      <c r="AN31" s="1044">
        <f>'27'!$G$15</f>
        <v>627.37899999995716</v>
      </c>
      <c r="AO31" s="1044">
        <f>'27'!$G$124</f>
        <v>207.28000000002794</v>
      </c>
      <c r="AP31" s="1044">
        <f>'27'!$G$125</f>
        <v>0.29999999998835847</v>
      </c>
      <c r="AQ31" s="1044">
        <f>'27'!$G$126</f>
        <v>54</v>
      </c>
      <c r="AR31" s="1044">
        <f>'27'!$G$127</f>
        <v>0</v>
      </c>
      <c r="AS31" s="1044">
        <f>'27'!$G$128</f>
        <v>0.1000000000003638</v>
      </c>
      <c r="AT31" s="1044">
        <f t="shared" si="0"/>
        <v>365.6989999999405</v>
      </c>
      <c r="AU31" s="1044">
        <f>SUM('27'!G140:G141)</f>
        <v>7.5099999999999909</v>
      </c>
      <c r="AV31" s="1044">
        <f>'27'!$G$137</f>
        <v>7.2999999999992724</v>
      </c>
      <c r="AW31" s="1044">
        <f>'27'!$G$138</f>
        <v>0</v>
      </c>
      <c r="AX31" s="1044">
        <f>'27'!$G$139</f>
        <v>0</v>
      </c>
      <c r="AY31" s="1041">
        <f t="shared" si="1"/>
        <v>7.2999999999992724</v>
      </c>
      <c r="BA31" s="1049">
        <f t="shared" si="2"/>
        <v>-158.41899999991256</v>
      </c>
    </row>
    <row r="32" spans="1:53">
      <c r="A32" s="1043">
        <v>43979</v>
      </c>
      <c r="B32" s="261">
        <f>'28'!G7</f>
        <v>17985</v>
      </c>
      <c r="C32" s="261">
        <f>'28'!G8</f>
        <v>18026</v>
      </c>
      <c r="D32" s="261">
        <f>'28'!G15</f>
        <v>461.80099999997765</v>
      </c>
      <c r="E32" s="261">
        <f>'28'!G20</f>
        <v>116</v>
      </c>
      <c r="F32" s="261">
        <f>SUM('28'!G35,'28'!G49)</f>
        <v>2189.6799999999348</v>
      </c>
      <c r="G32" s="261">
        <f>SUM('28'!G37,'28'!G51)</f>
        <v>1197.9000000000087</v>
      </c>
      <c r="H32" s="261">
        <f>SUM('28'!G38,'28'!G52)</f>
        <v>1391.2400000000052</v>
      </c>
      <c r="I32" s="261">
        <f>SUM('28'!G39,'28'!G53)</f>
        <v>3434.7400000000198</v>
      </c>
      <c r="J32" s="261">
        <f>SUM('28'!G41,'28'!G42,'28'!G55,'28'!G56)</f>
        <v>5618.8030000000144</v>
      </c>
      <c r="K32" s="261">
        <f>SUM('28'!G43,'28'!G57)</f>
        <v>2386.2500000000418</v>
      </c>
      <c r="L32" s="1044">
        <f>'28'!G50</f>
        <v>977.15999999997439</v>
      </c>
      <c r="M32" s="1044">
        <f>'28'!G36</f>
        <v>384.40000000002328</v>
      </c>
      <c r="N32" s="1044">
        <f>'28'!G72</f>
        <v>57</v>
      </c>
      <c r="O32" s="1044">
        <f>'28'!$G$73</f>
        <v>2</v>
      </c>
      <c r="P32" s="1044">
        <f>'28'!$G$74</f>
        <v>31.949999999999818</v>
      </c>
      <c r="Q32" s="1044">
        <f>'28'!$G$75</f>
        <v>55.1200000000008</v>
      </c>
      <c r="R32" s="1044">
        <f>'28'!$G$76</f>
        <v>49.0600000000004</v>
      </c>
      <c r="S32" s="1044">
        <f>'28'!$G$77</f>
        <v>43</v>
      </c>
      <c r="T32" s="1035">
        <f>'28'!$G$78</f>
        <v>45</v>
      </c>
      <c r="U32" s="1035">
        <f>'28'!$G$79</f>
        <v>183</v>
      </c>
      <c r="V32" s="1035">
        <f>'28'!$G$80</f>
        <v>360.88000000000466</v>
      </c>
      <c r="W32" s="1035">
        <f>'28'!$G$81</f>
        <v>112.43999999994412</v>
      </c>
      <c r="X32" s="1035">
        <f>'28'!$G$82</f>
        <v>20.400000000008731</v>
      </c>
      <c r="Y32" s="1035">
        <f>'28'!$G$58</f>
        <v>105.41999999999825</v>
      </c>
      <c r="Z32" s="1035">
        <f>'28'!$G$83</f>
        <v>324</v>
      </c>
      <c r="AA32" s="1035">
        <f>'28'!G86</f>
        <v>149.11999999999534</v>
      </c>
      <c r="AB32" s="1035">
        <f>'28'!G87</f>
        <v>15.69999999999709</v>
      </c>
      <c r="AC32" s="1035">
        <f>'28'!G88</f>
        <v>23.139999999984866</v>
      </c>
      <c r="AD32" s="1035">
        <f>'28'!G87+'28'!H90</f>
        <v>15.799999999996999</v>
      </c>
      <c r="AE32" s="1044">
        <f>'28'!$G$62</f>
        <v>0</v>
      </c>
      <c r="AF32" s="1044">
        <f>'28'!$G$63</f>
        <v>6.0100000000002183</v>
      </c>
      <c r="AG32" s="1044">
        <f>'28'!$G$64</f>
        <v>433.54999999998836</v>
      </c>
      <c r="AH32" s="1044">
        <f>'28'!$G$65</f>
        <v>260.02999999999884</v>
      </c>
      <c r="AI32" s="1044">
        <f>'28'!$G$66</f>
        <v>315.72000000000116</v>
      </c>
      <c r="AJ32" s="1044">
        <f>'28'!$G$67</f>
        <v>333.42000000001281</v>
      </c>
      <c r="AK32" s="1044">
        <f>'28'!$G$68</f>
        <v>0</v>
      </c>
      <c r="AL32" s="1044">
        <f>'28'!$G$69</f>
        <v>48.619999999995343</v>
      </c>
      <c r="AM32" s="1044">
        <f>'28'!$G$84</f>
        <v>574</v>
      </c>
      <c r="AN32" s="1044">
        <f>'28'!$G$15</f>
        <v>461.80099999997765</v>
      </c>
      <c r="AO32" s="1044">
        <f>'28'!$G$124</f>
        <v>212.75</v>
      </c>
      <c r="AP32" s="1044">
        <f>'28'!$G$125</f>
        <v>0</v>
      </c>
      <c r="AQ32" s="1044">
        <f>'28'!$G$126</f>
        <v>74.779999999998836</v>
      </c>
      <c r="AR32" s="1044">
        <f>'28'!$G$127</f>
        <v>-0.2000000000007276</v>
      </c>
      <c r="AS32" s="1044">
        <f>'28'!$G$128</f>
        <v>0.2999999999992724</v>
      </c>
      <c r="AT32" s="1044">
        <f t="shared" si="0"/>
        <v>174.17099999998027</v>
      </c>
      <c r="AU32" s="1044">
        <f>SUM('28'!G140:G141)</f>
        <v>8.0199999999999818</v>
      </c>
      <c r="AV32" s="1044">
        <f>'28'!$G$137</f>
        <v>0.46000000000276486</v>
      </c>
      <c r="AW32" s="1044">
        <f>'28'!$G$138</f>
        <v>0</v>
      </c>
      <c r="AX32" s="1044">
        <f>'28'!$G$139</f>
        <v>7.2999999999883585</v>
      </c>
      <c r="AY32" s="1041">
        <f t="shared" si="1"/>
        <v>7.7599999999911233</v>
      </c>
      <c r="BA32" s="1049">
        <f t="shared" si="2"/>
        <v>38.579000000019732</v>
      </c>
    </row>
    <row r="33" spans="1:53">
      <c r="A33" s="1043">
        <v>43980</v>
      </c>
      <c r="B33" s="261">
        <f>'29'!G7</f>
        <v>15953</v>
      </c>
      <c r="C33" s="261">
        <f>'29'!G8</f>
        <v>16035</v>
      </c>
      <c r="D33" s="261">
        <f>'29'!G15</f>
        <v>643.03000000002794</v>
      </c>
      <c r="E33" s="261">
        <f>'29'!G20</f>
        <v>75</v>
      </c>
      <c r="F33" s="261">
        <f>SUM('29'!G35,'29'!G49)</f>
        <v>2054.0400000000373</v>
      </c>
      <c r="G33" s="261">
        <f>SUM('29'!G37,'29'!G51)</f>
        <v>1200.7099999999919</v>
      </c>
      <c r="H33" s="261">
        <f>SUM('29'!G38,'29'!G52)</f>
        <v>1247.8899999999994</v>
      </c>
      <c r="I33" s="261">
        <f>SUM('29'!G39,'29'!G53)</f>
        <v>2488.8199999999779</v>
      </c>
      <c r="J33" s="261">
        <f>SUM('29'!G41,'29'!G42,'29'!G55,'3'!G56)</f>
        <v>4925.2000000000116</v>
      </c>
      <c r="K33" s="261">
        <f>SUM('29'!G43,'29'!G57)</f>
        <v>2073.1900000000187</v>
      </c>
      <c r="L33" s="1044">
        <f>'29'!G50</f>
        <v>1009.8400000000256</v>
      </c>
      <c r="M33" s="1044">
        <f>'29'!G36</f>
        <v>449.71999999997206</v>
      </c>
      <c r="N33" s="1044">
        <f>'29'!G72</f>
        <v>29</v>
      </c>
      <c r="O33" s="1044">
        <f>'29'!$G$73</f>
        <v>1</v>
      </c>
      <c r="P33" s="1044">
        <f>'29'!$G$74</f>
        <v>30.570000000000164</v>
      </c>
      <c r="Q33" s="1044">
        <f>'29'!$G$75</f>
        <v>52.389999999999418</v>
      </c>
      <c r="R33" s="1044">
        <f>'29'!$G$76</f>
        <v>50.649999999999636</v>
      </c>
      <c r="S33" s="1044">
        <f>'29'!$G$77</f>
        <v>50</v>
      </c>
      <c r="T33" s="1044">
        <f>'29'!$G$78</f>
        <v>70</v>
      </c>
      <c r="U33" s="1044">
        <f>'29'!$G$79</f>
        <v>177</v>
      </c>
      <c r="V33" s="1044">
        <f>'29'!$G$80</f>
        <v>385.11999999999534</v>
      </c>
      <c r="W33" s="1044">
        <f>'29'!$G$81</f>
        <v>74.119999999995343</v>
      </c>
      <c r="X33" s="1044">
        <f>'29'!$G$82</f>
        <v>11.029999999998836</v>
      </c>
      <c r="Y33" s="1044">
        <f>'29'!$G$58</f>
        <v>189.02999999999884</v>
      </c>
      <c r="Z33" s="1044">
        <f>'29'!$G$83</f>
        <v>197</v>
      </c>
      <c r="AA33" s="1044">
        <f>'29'!G86</f>
        <v>158.88000000000466</v>
      </c>
      <c r="AB33" s="1044">
        <f>'29'!G87</f>
        <v>14.80000000000291</v>
      </c>
      <c r="AC33" s="1044">
        <f>'29'!G88</f>
        <v>22.670000000012806</v>
      </c>
      <c r="AD33" s="1044">
        <f>'29'!G87+'29'!H90</f>
        <v>14.80000000000291</v>
      </c>
      <c r="AE33" s="1044">
        <f>'29'!$G$62</f>
        <v>0</v>
      </c>
      <c r="AF33" s="1044">
        <f>'29'!$G$63</f>
        <v>5.4099999999998545</v>
      </c>
      <c r="AG33" s="1044">
        <f>'29'!$G$64</f>
        <v>324.98000000001048</v>
      </c>
      <c r="AH33" s="1044">
        <f>'29'!$G$65</f>
        <v>187.22999999998137</v>
      </c>
      <c r="AI33" s="1044">
        <f>'29'!$G$66</f>
        <v>273.20999999999913</v>
      </c>
      <c r="AJ33" s="1044">
        <f>'29'!$G$67</f>
        <v>205.31999999997788</v>
      </c>
      <c r="AK33" s="1044">
        <f>'29'!$G$68</f>
        <v>0</v>
      </c>
      <c r="AL33" s="1044">
        <f>'29'!$G$69</f>
        <v>59.899999999994179</v>
      </c>
      <c r="AM33" s="1044">
        <f>'29'!$G$84</f>
        <v>669</v>
      </c>
      <c r="AN33" s="1044">
        <f>'29'!$G$15</f>
        <v>643.03000000002794</v>
      </c>
      <c r="AO33" s="1044">
        <f>'29'!$G$124</f>
        <v>202.56000000005588</v>
      </c>
      <c r="AP33" s="1044">
        <f>'29'!$G$125</f>
        <v>-0.39999999999417923</v>
      </c>
      <c r="AQ33" s="1044">
        <f>'29'!$G$126</f>
        <v>68</v>
      </c>
      <c r="AR33" s="1044">
        <f>'29'!$G$127</f>
        <v>0</v>
      </c>
      <c r="AS33" s="1044">
        <f>'29'!$G$128</f>
        <v>-0.2999999999992724</v>
      </c>
      <c r="AT33" s="1044">
        <f t="shared" si="0"/>
        <v>373.16999999996551</v>
      </c>
      <c r="AU33" s="1044">
        <f>SUM('29'!G140:G141)</f>
        <v>7.7999999999999545</v>
      </c>
      <c r="AV33" s="1044">
        <f>'29'!$G$137</f>
        <v>7.5299999999988358</v>
      </c>
      <c r="AW33" s="1044">
        <f>'29'!$G$138</f>
        <v>9.9999999998544808E-2</v>
      </c>
      <c r="AX33" s="1044">
        <f>'29'!$G$139</f>
        <v>0</v>
      </c>
      <c r="AY33" s="1041">
        <f t="shared" si="1"/>
        <v>7.6299999999973807</v>
      </c>
      <c r="BA33" s="1049">
        <f t="shared" si="2"/>
        <v>-170.60999999990963</v>
      </c>
    </row>
    <row r="34" spans="1:53" s="1046" customFormat="1">
      <c r="A34" s="1043">
        <v>43981</v>
      </c>
      <c r="B34" s="261">
        <f>'30'!G7</f>
        <v>18738</v>
      </c>
      <c r="C34" s="261">
        <f>'30'!G8</f>
        <v>18842</v>
      </c>
      <c r="D34" s="261">
        <f>'30'!G15</f>
        <v>476.70999999996275</v>
      </c>
      <c r="E34" s="261">
        <f>'30'!G20</f>
        <v>114</v>
      </c>
      <c r="F34" s="1475">
        <f>SUM('30'!G35,'30'!G49)</f>
        <v>2432.9699999999721</v>
      </c>
      <c r="G34" s="1475">
        <f>SUM('30'!G37,'30'!G51)</f>
        <v>1371.1800000000076</v>
      </c>
      <c r="H34" s="1475">
        <f>SUM('30'!G38,'30'!G52)</f>
        <v>1456.690000000046</v>
      </c>
      <c r="I34" s="261">
        <f>SUM('30'!G39,'30'!G53)</f>
        <v>2767.7600000000093</v>
      </c>
      <c r="J34" s="1475">
        <f>SUM('30'!G41,'30'!G42,'30'!G55,'30'!G56)</f>
        <v>5778.3299999999872</v>
      </c>
      <c r="K34" s="1475">
        <f>SUM('30'!G43,'30'!G57)</f>
        <v>2438.4899999999907</v>
      </c>
      <c r="L34" s="785">
        <f>'30'!G50</f>
        <v>1382.7299999999814</v>
      </c>
      <c r="M34" s="785">
        <f>'30'!G36</f>
        <v>715.3300000000163</v>
      </c>
      <c r="N34" s="1035">
        <f>'30'!G72</f>
        <v>17</v>
      </c>
      <c r="O34" s="1035">
        <f>'30'!$G$73</f>
        <v>5</v>
      </c>
      <c r="P34" s="1035">
        <f>'30'!$G$74</f>
        <v>30.519999999999982</v>
      </c>
      <c r="Q34" s="1035">
        <f>'30'!$G$75</f>
        <v>58.569999999999709</v>
      </c>
      <c r="R34" s="1035">
        <f>'30'!$G$76</f>
        <v>49.640000000000327</v>
      </c>
      <c r="S34" s="1035">
        <f>'30'!$G$77</f>
        <v>49</v>
      </c>
      <c r="T34" s="1035">
        <f>'30'!$G$78</f>
        <v>227</v>
      </c>
      <c r="U34" s="1035">
        <f>'30'!$G$79</f>
        <v>194</v>
      </c>
      <c r="V34" s="1035">
        <f>'30'!$G$80</f>
        <v>380.76000000000931</v>
      </c>
      <c r="W34" s="1035">
        <f>'30'!$G$81</f>
        <v>73.880000000004657</v>
      </c>
      <c r="X34" s="1035">
        <f>'30'!$G$82</f>
        <v>42.399999999994179</v>
      </c>
      <c r="Y34" s="1035">
        <f>'30'!$G$58</f>
        <v>1.1900000000023283</v>
      </c>
      <c r="Z34" s="1035">
        <f>'30'!$G$83</f>
        <v>249</v>
      </c>
      <c r="AA34" s="1035">
        <f>'30'!G86</f>
        <v>170.23999999999069</v>
      </c>
      <c r="AB34" s="1035">
        <f>'30'!G87</f>
        <v>14</v>
      </c>
      <c r="AC34" s="1035">
        <f>'30'!G88</f>
        <v>24</v>
      </c>
      <c r="AD34" s="1035">
        <f>'30'!G87+'30'!H90</f>
        <v>13.599999999999909</v>
      </c>
      <c r="AE34" s="1035">
        <f>'30'!$G$62</f>
        <v>0</v>
      </c>
      <c r="AF34" s="1035">
        <f>'30'!$G$63</f>
        <v>3.2899999999999636</v>
      </c>
      <c r="AG34" s="1035">
        <f>'30'!$G$64</f>
        <v>235.26999999998952</v>
      </c>
      <c r="AH34" s="1035">
        <f>'30'!$G$65</f>
        <v>208.70000000001164</v>
      </c>
      <c r="AI34" s="1035">
        <f>'30'!$G$66</f>
        <v>265.41999999999825</v>
      </c>
      <c r="AJ34" s="1035">
        <f>'30'!$G$67</f>
        <v>280.73000000001048</v>
      </c>
      <c r="AK34" s="1035">
        <f>'30'!$G$68</f>
        <v>0</v>
      </c>
      <c r="AL34" s="1035">
        <f>'30'!$G$69</f>
        <v>119.13000000000466</v>
      </c>
      <c r="AM34" s="1035">
        <f>'30'!$G$84</f>
        <v>770</v>
      </c>
      <c r="AN34" s="1035">
        <f>'30'!$G$15</f>
        <v>476.70999999996275</v>
      </c>
      <c r="AO34" s="1035">
        <f>'30'!$G$124</f>
        <v>192.41999999992549</v>
      </c>
      <c r="AP34" s="1035">
        <f>'30'!$G$125</f>
        <v>0.39999999999417923</v>
      </c>
      <c r="AQ34" s="1035">
        <f>'30'!$G$126</f>
        <v>77.440000000002328</v>
      </c>
      <c r="AR34" s="1035">
        <f>'30'!$G$127</f>
        <v>0</v>
      </c>
      <c r="AS34" s="1035">
        <f>'30'!$G$128</f>
        <v>0</v>
      </c>
      <c r="AT34" s="1035">
        <f t="shared" si="0"/>
        <v>206.45000000004075</v>
      </c>
      <c r="AU34" s="1035">
        <f>SUM('30'!G140:G141)</f>
        <v>7.3099999999999454</v>
      </c>
      <c r="AV34" s="1035">
        <f>'30'!$G$137</f>
        <v>0</v>
      </c>
      <c r="AW34" s="1035">
        <f>'30'!$G$138</f>
        <v>0</v>
      </c>
      <c r="AX34" s="1035">
        <f>'30'!$G$139</f>
        <v>9.0500000000029104</v>
      </c>
      <c r="AY34" s="1045">
        <f t="shared" si="1"/>
        <v>9.0500000000029104</v>
      </c>
      <c r="BA34" s="1050">
        <f t="shared" si="2"/>
        <v>-14.030000000115251</v>
      </c>
    </row>
    <row r="35" spans="1:53">
      <c r="A35" s="1043">
        <v>43982</v>
      </c>
      <c r="B35" s="261">
        <f>'31'!G7</f>
        <v>-613510</v>
      </c>
      <c r="C35" s="261">
        <f>'31'!G8</f>
        <v>-615926</v>
      </c>
      <c r="D35" s="261">
        <f>'31'!G116</f>
        <v>-151</v>
      </c>
      <c r="E35" s="261">
        <f>'31'!G20</f>
        <v>-1572</v>
      </c>
      <c r="F35" s="1475">
        <f>SUM('31'!G35,'31'!G49)</f>
        <v>-88070.13</v>
      </c>
      <c r="G35" s="1475">
        <f>SUM('31'!G37,'31'!G51)</f>
        <v>-40428</v>
      </c>
      <c r="H35" s="1475">
        <f>SUM('31'!G38,'31'!G52)</f>
        <v>1895</v>
      </c>
      <c r="I35" s="261">
        <f>SUM('31'!G39,'31'!G53)</f>
        <v>-108878</v>
      </c>
      <c r="J35" s="1475">
        <f>SUM('31'!G41,'31'!G42,'31'!G55,'31'!G56)</f>
        <v>-179609.30999999997</v>
      </c>
      <c r="K35" s="1475">
        <f>SUM('31'!G43,'31'!G57)</f>
        <v>-71910</v>
      </c>
      <c r="L35" s="785">
        <f>'31'!G50</f>
        <v>-33304</v>
      </c>
      <c r="M35" s="785">
        <f>'31'!G36</f>
        <v>-27172</v>
      </c>
      <c r="N35" s="1035">
        <f>'31'!G72</f>
        <v>-2282</v>
      </c>
      <c r="O35" s="1035">
        <f>'31'!$G$73</f>
        <v>-76</v>
      </c>
      <c r="P35" s="1035">
        <f>'31'!$G$74</f>
        <v>-909</v>
      </c>
      <c r="Q35" s="1035">
        <f>'31'!$G$75</f>
        <v>-2290</v>
      </c>
      <c r="R35" s="1035">
        <f>'31'!$G$76</f>
        <v>-1672</v>
      </c>
      <c r="S35" s="1035">
        <f>'31'!$G$77</f>
        <v>-1348</v>
      </c>
      <c r="T35" s="1035">
        <f>'31'!$G$78</f>
        <v>-4645</v>
      </c>
      <c r="U35" s="1035">
        <f>'31'!$G$79</f>
        <v>-5571</v>
      </c>
      <c r="V35" s="1035">
        <f>'31'!$G$80</f>
        <v>-11039</v>
      </c>
      <c r="W35" s="1035">
        <f>'31'!$G$81</f>
        <v>-6293</v>
      </c>
      <c r="X35" s="1035">
        <f>'31'!$G$82</f>
        <v>-717</v>
      </c>
      <c r="Y35" s="1035">
        <f>'31'!$G$58</f>
        <v>-5121</v>
      </c>
      <c r="Z35" s="1035">
        <f>'31'!$G$83</f>
        <v>-7714</v>
      </c>
      <c r="AA35" s="1035">
        <f>'31'!G87</f>
        <v>-734</v>
      </c>
      <c r="AB35" s="1035">
        <f>'31'!G88</f>
        <v>-1206</v>
      </c>
      <c r="AC35" s="1035">
        <f>'31'!G89</f>
        <v>-1280</v>
      </c>
      <c r="AD35" s="1035">
        <f>'31'!G88+'31'!H92</f>
        <v>-1206</v>
      </c>
      <c r="AE35" s="1035">
        <f>'31'!$G$62</f>
        <v>0</v>
      </c>
      <c r="AF35" s="1035">
        <f>'31'!$G$63</f>
        <v>-263</v>
      </c>
      <c r="AG35" s="1035">
        <f>'31'!$G$64</f>
        <v>-14119</v>
      </c>
      <c r="AH35" s="1035">
        <f>'31'!$G$65</f>
        <v>-10394</v>
      </c>
      <c r="AI35" s="1035">
        <f>'31'!$G$66</f>
        <v>-11363</v>
      </c>
      <c r="AJ35" s="1035">
        <f>'31'!$G$67</f>
        <v>-14074</v>
      </c>
      <c r="AK35" s="1035">
        <f>'31'!$G$68</f>
        <v>-2234</v>
      </c>
      <c r="AL35" s="1035">
        <f>'31'!$G$69</f>
        <v>-4665</v>
      </c>
      <c r="AM35" s="1035">
        <f>'31'!$G$84</f>
        <v>-25449</v>
      </c>
      <c r="AN35" s="1035">
        <f>'31'!$G$15</f>
        <v>-23968</v>
      </c>
      <c r="AO35" s="1035">
        <f>'31'!$G$124</f>
        <v>-7278.4599999999627</v>
      </c>
      <c r="AP35" s="1035">
        <f>'31'!$G$125</f>
        <v>0</v>
      </c>
      <c r="AQ35" s="1035">
        <f>'31'!$G$126</f>
        <v>-2551.4400000000023</v>
      </c>
      <c r="AR35" s="1035">
        <f>'31'!$G$127</f>
        <v>28484</v>
      </c>
      <c r="AS35" s="1035">
        <f>'31'!$G$128</f>
        <v>-7.7000000000007276</v>
      </c>
      <c r="AT35" s="1035">
        <f t="shared" ref="AT35" si="3">AN35-SUM(AO35:AS35)</f>
        <v>-42614.400000000038</v>
      </c>
      <c r="AU35" s="1035">
        <f>SUM('31'!G141:G142)</f>
        <v>-168.46000000000004</v>
      </c>
      <c r="AV35" s="1035">
        <f>'31'!$G$137</f>
        <v>-250.93999999999869</v>
      </c>
      <c r="AW35" s="1035">
        <f>'31'!$G$138</f>
        <v>-2.7999999999992724</v>
      </c>
      <c r="AX35" s="1035">
        <f>'30'!$G$139</f>
        <v>9.0500000000029104</v>
      </c>
      <c r="AY35" s="1045">
        <f t="shared" ref="AY35" si="4">SUM(AV35:AX35)</f>
        <v>-244.68999999999505</v>
      </c>
      <c r="BA35" s="1049"/>
    </row>
    <row r="36" spans="1:53" s="1473" customFormat="1">
      <c r="A36" s="1472" t="s">
        <v>364</v>
      </c>
      <c r="B36" s="1474">
        <f>AVERAGE(B5:B35)</f>
        <v>169966</v>
      </c>
      <c r="C36" s="1472">
        <f t="shared" ref="C36:AY36" si="5">AVERAGE(C5:C35)</f>
        <v>171002.48387096773</v>
      </c>
      <c r="D36" s="1472">
        <f t="shared" si="5"/>
        <v>-4.870967741935484</v>
      </c>
      <c r="E36" s="1472">
        <f t="shared" si="5"/>
        <v>0.77419354838709675</v>
      </c>
      <c r="F36" s="1472">
        <f t="shared" si="5"/>
        <v>-2840.9719354838712</v>
      </c>
      <c r="G36" s="1472">
        <f t="shared" si="5"/>
        <v>-1304.1290322580646</v>
      </c>
      <c r="H36" s="1472">
        <f t="shared" si="5"/>
        <v>61.12903225806452</v>
      </c>
      <c r="I36" s="1472">
        <f t="shared" si="5"/>
        <v>-2997.8387096774195</v>
      </c>
      <c r="J36" s="1472">
        <f t="shared" si="5"/>
        <v>5397.0158064516154</v>
      </c>
      <c r="K36" s="1472">
        <f t="shared" si="5"/>
        <v>-2319.6774193548385</v>
      </c>
      <c r="L36" s="1472">
        <f t="shared" si="5"/>
        <v>-1074.3225806451612</v>
      </c>
      <c r="M36" s="1472">
        <f t="shared" si="5"/>
        <v>-876.51612903225805</v>
      </c>
      <c r="N36" s="1472">
        <f t="shared" si="5"/>
        <v>-73.870967741935488</v>
      </c>
      <c r="O36" s="1472">
        <f t="shared" si="5"/>
        <v>-2.4516129032258065</v>
      </c>
      <c r="P36" s="1472">
        <f t="shared" si="5"/>
        <v>-29.322580645161292</v>
      </c>
      <c r="Q36" s="1472">
        <f t="shared" si="5"/>
        <v>-75.161290322580641</v>
      </c>
      <c r="R36" s="1472">
        <f t="shared" si="5"/>
        <v>-53.935483870967744</v>
      </c>
      <c r="S36" s="1472">
        <f t="shared" si="5"/>
        <v>-43.483870967741936</v>
      </c>
      <c r="T36" s="1472">
        <f t="shared" si="5"/>
        <v>-149.83870967741936</v>
      </c>
      <c r="U36" s="1472">
        <f t="shared" si="5"/>
        <v>-179.70967741935485</v>
      </c>
      <c r="V36" s="1472">
        <f t="shared" si="5"/>
        <v>-356.09677419354841</v>
      </c>
      <c r="W36" s="1472">
        <f t="shared" si="5"/>
        <v>-203</v>
      </c>
      <c r="X36" s="1472">
        <f t="shared" si="5"/>
        <v>-23.129032258064516</v>
      </c>
      <c r="Y36" s="1472">
        <f t="shared" si="5"/>
        <v>-165.19354838709677</v>
      </c>
      <c r="Z36" s="1472">
        <f t="shared" si="5"/>
        <v>-248.83870967741936</v>
      </c>
      <c r="AA36" s="1472">
        <f t="shared" si="5"/>
        <v>-23.677419354838708</v>
      </c>
      <c r="AB36" s="1472">
        <f t="shared" si="5"/>
        <v>-39.032258064516128</v>
      </c>
      <c r="AC36" s="1472">
        <f t="shared" si="5"/>
        <v>-41.29032258064516</v>
      </c>
      <c r="AD36" s="1472">
        <f t="shared" si="5"/>
        <v>-40.89354838709675</v>
      </c>
      <c r="AE36" s="1472">
        <f t="shared" si="5"/>
        <v>5.8064516129126146E-3</v>
      </c>
      <c r="AF36" s="1472">
        <f t="shared" si="5"/>
        <v>-8.4838709677419359</v>
      </c>
      <c r="AG36" s="1472">
        <f t="shared" si="5"/>
        <v>-455.45161290322579</v>
      </c>
      <c r="AH36" s="1472">
        <f t="shared" si="5"/>
        <v>-335.29032258064518</v>
      </c>
      <c r="AI36" s="1472">
        <f t="shared" si="5"/>
        <v>-366.54838709677421</v>
      </c>
      <c r="AJ36" s="1472">
        <f t="shared" si="5"/>
        <v>-454</v>
      </c>
      <c r="AK36" s="1472">
        <f t="shared" si="5"/>
        <v>-72.064516129032256</v>
      </c>
      <c r="AL36" s="1472">
        <f t="shared" si="5"/>
        <v>-150.48387096774192</v>
      </c>
      <c r="AM36" s="1472">
        <f t="shared" si="5"/>
        <v>-820.93548387096769</v>
      </c>
      <c r="AN36" s="1472">
        <f t="shared" si="5"/>
        <v>-773.16129032258061</v>
      </c>
      <c r="AO36" s="1472">
        <f t="shared" si="5"/>
        <v>-234.78903225806332</v>
      </c>
      <c r="AP36" s="1472">
        <f t="shared" si="5"/>
        <v>0</v>
      </c>
      <c r="AQ36" s="1472">
        <f t="shared" si="5"/>
        <v>-82.304516129032336</v>
      </c>
      <c r="AR36" s="1472">
        <f t="shared" si="5"/>
        <v>918.83870967741939</v>
      </c>
      <c r="AS36" s="1472">
        <f t="shared" si="5"/>
        <v>-0.24838709677421703</v>
      </c>
      <c r="AT36" s="1472">
        <f t="shared" si="5"/>
        <v>-1374.6580645161303</v>
      </c>
      <c r="AU36" s="1472">
        <f t="shared" si="5"/>
        <v>-5.434193548387098</v>
      </c>
      <c r="AV36" s="1472">
        <f t="shared" si="5"/>
        <v>-8.0948387096773775</v>
      </c>
      <c r="AW36" s="1472">
        <f t="shared" si="5"/>
        <v>-9.0322580645137818E-2</v>
      </c>
      <c r="AX36" s="1472">
        <f t="shared" si="5"/>
        <v>0.29193548387106161</v>
      </c>
      <c r="AY36" s="1472">
        <f t="shared" si="5"/>
        <v>-7.8932258064514533</v>
      </c>
    </row>
    <row r="37" spans="1:53">
      <c r="A37" s="1085"/>
      <c r="B37" s="1085"/>
      <c r="C37" s="1085"/>
      <c r="D37" s="1085"/>
      <c r="E37" s="1085"/>
      <c r="F37" s="35">
        <f t="shared" ref="F37:K37" si="6">F19-F18</f>
        <v>218.20000000006985</v>
      </c>
      <c r="G37" s="35">
        <f t="shared" si="6"/>
        <v>102.17999999999302</v>
      </c>
      <c r="H37" s="35">
        <f t="shared" si="6"/>
        <v>226.85000000003492</v>
      </c>
      <c r="I37" s="35">
        <f t="shared" si="6"/>
        <v>440.38000000006286</v>
      </c>
      <c r="J37" s="35">
        <f t="shared" si="6"/>
        <v>1357.25000000002</v>
      </c>
      <c r="K37" s="35">
        <f t="shared" si="6"/>
        <v>66.900000000139698</v>
      </c>
      <c r="L37" s="35"/>
      <c r="M37" s="35"/>
      <c r="AO37" s="1087" t="s">
        <v>111</v>
      </c>
      <c r="AP37" s="1088">
        <v>191</v>
      </c>
      <c r="AQ37" s="1088"/>
      <c r="AR37" s="1088"/>
    </row>
    <row r="38" spans="1:53">
      <c r="A38" s="1085"/>
      <c r="B38" s="1085"/>
      <c r="C38" s="1085"/>
      <c r="D38" s="1085"/>
      <c r="E38" s="1085"/>
      <c r="AO38" s="1088"/>
      <c r="AP38" s="1088">
        <v>88</v>
      </c>
      <c r="AQ38" s="1088"/>
      <c r="AR38" s="1088"/>
    </row>
    <row r="39" spans="1:53">
      <c r="A39" s="1085"/>
      <c r="B39" s="1085"/>
      <c r="C39" s="1085"/>
      <c r="D39" s="1085"/>
      <c r="E39" s="1085"/>
      <c r="AO39" s="1088"/>
      <c r="AP39" s="1089">
        <f>SUM(AP37:AP38)</f>
        <v>279</v>
      </c>
      <c r="AQ39" s="1090" t="s">
        <v>112</v>
      </c>
      <c r="AR39" s="1090">
        <v>335</v>
      </c>
    </row>
    <row r="40" spans="1:53">
      <c r="A40" s="1085"/>
      <c r="B40" s="1085"/>
      <c r="C40" s="1085"/>
      <c r="D40" s="1085"/>
      <c r="E40" s="1085"/>
      <c r="AO40" s="1088"/>
      <c r="AP40" s="1088"/>
      <c r="AQ40" s="1088"/>
      <c r="AR40" s="1088"/>
    </row>
    <row r="41" spans="1:53">
      <c r="A41" s="1085"/>
      <c r="B41" s="1085"/>
      <c r="C41" s="1085"/>
      <c r="D41" s="1085"/>
      <c r="E41" s="1085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7" t="s">
        <v>113</v>
      </c>
      <c r="AP41" s="1089">
        <v>168</v>
      </c>
      <c r="AQ41" s="1088"/>
      <c r="AR41" s="1088"/>
    </row>
    <row r="42" spans="1:53">
      <c r="A42" s="1085"/>
      <c r="B42" s="1085"/>
      <c r="C42" s="1085"/>
      <c r="D42" s="1085"/>
      <c r="E42" s="1085"/>
      <c r="AO42" s="1088"/>
      <c r="AP42" s="1088"/>
      <c r="AQ42" s="1090" t="s">
        <v>114</v>
      </c>
      <c r="AR42" s="1088"/>
    </row>
    <row r="43" spans="1:53">
      <c r="A43" s="1085"/>
      <c r="B43" s="1085"/>
      <c r="C43" s="1085"/>
      <c r="D43" s="1085"/>
      <c r="E43" s="1085"/>
      <c r="AO43" s="1088" t="s">
        <v>115</v>
      </c>
      <c r="AP43" s="1088">
        <f>20*38.68</f>
        <v>773.6</v>
      </c>
      <c r="AQ43" s="1088" t="s">
        <v>116</v>
      </c>
      <c r="AR43" s="1088"/>
    </row>
    <row r="44" spans="1:53">
      <c r="A44" s="1085"/>
      <c r="B44" s="1085"/>
      <c r="C44" s="1085"/>
      <c r="D44" s="1085"/>
      <c r="E44" s="1085"/>
    </row>
    <row r="45" spans="1:53">
      <c r="A45" s="1085"/>
      <c r="B45" s="1085"/>
      <c r="C45" s="1085"/>
      <c r="D45" s="1085"/>
      <c r="E45" s="1085"/>
    </row>
    <row r="46" spans="1:53">
      <c r="A46" s="1085"/>
      <c r="B46" s="1085"/>
      <c r="C46" s="1085"/>
      <c r="D46" s="1085"/>
      <c r="E46" s="1085"/>
    </row>
    <row r="47" spans="1:53">
      <c r="A47" s="1085"/>
      <c r="B47" s="1085"/>
      <c r="C47" s="1085"/>
      <c r="D47" s="1085"/>
      <c r="E47" s="1085"/>
    </row>
    <row r="48" spans="1:53">
      <c r="A48" s="1085"/>
      <c r="B48" s="1085"/>
      <c r="C48" s="1085"/>
      <c r="D48" s="1085"/>
      <c r="E48" s="1085"/>
    </row>
    <row r="49" spans="1:5">
      <c r="A49" s="1085"/>
      <c r="B49" s="1085"/>
      <c r="C49" s="1085"/>
      <c r="D49" s="1085"/>
      <c r="E49" s="1085"/>
    </row>
    <row r="50" spans="1:5">
      <c r="A50" s="1085"/>
      <c r="B50" s="1085"/>
      <c r="C50" s="1085"/>
      <c r="D50" s="1085"/>
      <c r="E50" s="1085"/>
    </row>
    <row r="51" spans="1:5">
      <c r="A51" s="1085"/>
      <c r="B51" s="1085"/>
      <c r="C51" s="1085"/>
      <c r="D51" s="1085"/>
      <c r="E51" s="1085"/>
    </row>
    <row r="52" spans="1:5">
      <c r="A52" s="1085"/>
      <c r="B52" s="1085"/>
      <c r="C52" s="1085"/>
      <c r="D52" s="1085"/>
      <c r="E52" s="1085"/>
    </row>
    <row r="53" spans="1:5">
      <c r="A53" s="1085"/>
      <c r="B53" s="1085"/>
      <c r="C53" s="1085"/>
      <c r="D53" s="1085"/>
      <c r="E53" s="1085"/>
    </row>
    <row r="54" spans="1:5">
      <c r="A54" s="1085"/>
      <c r="B54" s="1085"/>
      <c r="C54" s="1085"/>
      <c r="D54" s="1085"/>
      <c r="E54" s="1085"/>
    </row>
    <row r="55" spans="1:5">
      <c r="A55" s="1085"/>
      <c r="B55" s="1085"/>
      <c r="C55" s="1085"/>
      <c r="D55" s="1085"/>
      <c r="E55" s="1085"/>
    </row>
    <row r="56" spans="1:5">
      <c r="A56" s="1085"/>
      <c r="B56" s="1085"/>
      <c r="C56" s="1085"/>
      <c r="D56" s="1085"/>
      <c r="E56" s="1085"/>
    </row>
    <row r="57" spans="1:5">
      <c r="A57" s="1085"/>
      <c r="B57" s="1085"/>
      <c r="C57" s="1085"/>
      <c r="D57" s="1085"/>
      <c r="E57" s="1085"/>
    </row>
    <row r="58" spans="1:5">
      <c r="A58" s="1085"/>
      <c r="B58" s="1085"/>
      <c r="C58" s="1085"/>
      <c r="D58" s="1085"/>
      <c r="E58" s="1085"/>
    </row>
    <row r="59" spans="1:5">
      <c r="A59" s="1085"/>
      <c r="B59" s="1085"/>
      <c r="C59" s="1085"/>
      <c r="D59" s="1085"/>
      <c r="E59" s="1085"/>
    </row>
    <row r="60" spans="1:5">
      <c r="A60" s="1085"/>
      <c r="B60" s="1085"/>
      <c r="C60" s="1085"/>
      <c r="D60" s="1085"/>
      <c r="E60" s="1085"/>
    </row>
    <row r="61" spans="1:5">
      <c r="A61" s="1085"/>
      <c r="B61" s="1085"/>
      <c r="C61" s="1085"/>
      <c r="D61" s="1085"/>
      <c r="E61" s="1085"/>
    </row>
    <row r="62" spans="1:5">
      <c r="A62" s="1085"/>
      <c r="B62" s="1085"/>
      <c r="C62" s="1085"/>
      <c r="D62" s="1085"/>
      <c r="E62" s="1085"/>
    </row>
    <row r="63" spans="1:5">
      <c r="A63" s="1085"/>
      <c r="B63" s="1085"/>
      <c r="C63" s="1085"/>
      <c r="D63" s="1085"/>
      <c r="E63" s="1085"/>
    </row>
    <row r="64" spans="1:5">
      <c r="A64" s="1085"/>
      <c r="B64" s="1085"/>
      <c r="C64" s="1085"/>
      <c r="D64" s="1085"/>
      <c r="E64" s="1085"/>
    </row>
    <row r="65" spans="1:5">
      <c r="A65" s="1085"/>
      <c r="B65" s="1085"/>
      <c r="C65" s="1085"/>
      <c r="D65" s="1085"/>
      <c r="E65" s="1085"/>
    </row>
    <row r="66" spans="1:5">
      <c r="A66" s="1085"/>
      <c r="B66" s="1085"/>
      <c r="C66" s="1085"/>
      <c r="D66" s="1085"/>
      <c r="E66" s="1085"/>
    </row>
    <row r="67" spans="1:5">
      <c r="A67" s="1085"/>
      <c r="B67" s="1085"/>
      <c r="C67" s="1085"/>
      <c r="D67" s="1085"/>
      <c r="E67" s="1085"/>
    </row>
    <row r="68" spans="1:5">
      <c r="A68" s="1085"/>
      <c r="B68" s="1085"/>
      <c r="C68" s="1085"/>
      <c r="D68" s="1085"/>
      <c r="E68" s="1085"/>
    </row>
    <row r="69" spans="1:5">
      <c r="A69" s="1085"/>
      <c r="B69" s="1085"/>
      <c r="C69" s="1085"/>
      <c r="D69" s="1085"/>
      <c r="E69" s="1085"/>
    </row>
    <row r="70" spans="1:5">
      <c r="A70" s="1085"/>
      <c r="B70" s="1085"/>
      <c r="C70" s="1085"/>
      <c r="D70" s="1085"/>
      <c r="E70" s="1085"/>
    </row>
    <row r="71" spans="1:5">
      <c r="A71" s="1085"/>
      <c r="B71" s="1085"/>
      <c r="C71" s="1085"/>
      <c r="D71" s="1085"/>
      <c r="E71" s="1085"/>
    </row>
    <row r="72" spans="1:5">
      <c r="A72" s="1085"/>
      <c r="B72" s="1085"/>
      <c r="C72" s="1085"/>
      <c r="D72" s="1085"/>
      <c r="E72" s="1085"/>
    </row>
    <row r="73" spans="1:5">
      <c r="A73" s="1085"/>
      <c r="B73" s="1085"/>
      <c r="C73" s="1085"/>
      <c r="D73" s="1085"/>
      <c r="E73" s="1085"/>
    </row>
    <row r="74" spans="1:5">
      <c r="A74" s="1085"/>
      <c r="B74" s="1085"/>
      <c r="C74" s="1085"/>
      <c r="D74" s="1085"/>
      <c r="E74" s="1085"/>
    </row>
    <row r="75" spans="1:5">
      <c r="A75" s="1085"/>
      <c r="B75" s="1085"/>
      <c r="C75" s="1085"/>
      <c r="D75" s="1085"/>
      <c r="E75" s="1085"/>
    </row>
    <row r="76" spans="1:5">
      <c r="A76" s="1085"/>
      <c r="B76" s="1085"/>
      <c r="C76" s="1085"/>
      <c r="D76" s="1085"/>
      <c r="E76" s="1085"/>
    </row>
    <row r="77" spans="1:5">
      <c r="A77" s="1085"/>
      <c r="B77" s="1085"/>
      <c r="C77" s="1085"/>
      <c r="D77" s="1085"/>
      <c r="E77" s="1085"/>
    </row>
    <row r="78" spans="1:5">
      <c r="A78" s="1085"/>
      <c r="B78" s="1085"/>
      <c r="C78" s="1085"/>
      <c r="D78" s="1085"/>
      <c r="E78" s="1085"/>
    </row>
    <row r="79" spans="1:5">
      <c r="A79" s="1085"/>
      <c r="B79" s="1085"/>
      <c r="C79" s="1085"/>
      <c r="D79" s="1085"/>
      <c r="E79" s="1085"/>
    </row>
    <row r="80" spans="1:5">
      <c r="A80" s="1085"/>
      <c r="B80" s="1085"/>
      <c r="C80" s="1085"/>
      <c r="D80" s="1085"/>
      <c r="E80" s="1085"/>
    </row>
    <row r="81" spans="1:5">
      <c r="A81" s="1085"/>
      <c r="B81" s="1085"/>
      <c r="C81" s="1085"/>
      <c r="D81" s="1085"/>
      <c r="E81" s="1085"/>
    </row>
    <row r="82" spans="1:5">
      <c r="A82" s="1085"/>
      <c r="B82" s="1085"/>
      <c r="C82" s="1085"/>
      <c r="D82" s="1085"/>
      <c r="E82" s="1085"/>
    </row>
    <row r="83" spans="1:5">
      <c r="A83" s="1085"/>
      <c r="B83" s="1085"/>
      <c r="C83" s="1085"/>
      <c r="D83" s="1085"/>
      <c r="E83" s="1085"/>
    </row>
    <row r="84" spans="1:5">
      <c r="A84" s="1085"/>
      <c r="B84" s="1085"/>
      <c r="C84" s="1085"/>
      <c r="D84" s="1085"/>
      <c r="E84" s="1085"/>
    </row>
    <row r="85" spans="1:5">
      <c r="A85" s="1085"/>
      <c r="B85" s="1085"/>
      <c r="C85" s="1085"/>
      <c r="D85" s="1085"/>
      <c r="E85" s="1085"/>
    </row>
    <row r="86" spans="1:5">
      <c r="A86" s="1085"/>
      <c r="B86" s="1085"/>
      <c r="C86" s="1085"/>
      <c r="D86" s="1085"/>
      <c r="E86" s="1085"/>
    </row>
    <row r="87" spans="1:5">
      <c r="A87" s="1086"/>
      <c r="B87" s="1086"/>
      <c r="C87" s="1086"/>
      <c r="D87" s="1086"/>
      <c r="E87" s="1086"/>
    </row>
    <row r="88" spans="1:5">
      <c r="A88" s="1086"/>
      <c r="B88" s="1086"/>
      <c r="C88" s="1086"/>
      <c r="D88" s="1086"/>
      <c r="E88" s="1086"/>
    </row>
    <row r="89" spans="1:5">
      <c r="A89" s="1086"/>
      <c r="B89" s="1086"/>
      <c r="C89" s="1086"/>
      <c r="D89" s="1086"/>
      <c r="E89" s="1086"/>
    </row>
    <row r="90" spans="1:5">
      <c r="A90" s="1086"/>
      <c r="B90" s="1086"/>
      <c r="C90" s="1086"/>
      <c r="D90" s="1086"/>
      <c r="E90" s="108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13" zoomScale="61" zoomScaleNormal="61" zoomScaleSheetLayoutView="61" zoomScalePageLayoutView="70" workbookViewId="0">
      <selection activeCell="F28" sqref="F2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366</v>
      </c>
      <c r="B2" s="1036">
        <v>44317</v>
      </c>
      <c r="C2" s="1311" t="s">
        <v>69</v>
      </c>
      <c r="D2" s="611">
        <v>0.84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30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5727433</v>
      </c>
      <c r="F7" s="455">
        <v>5743421</v>
      </c>
      <c r="G7" s="473">
        <f>F7-E7</f>
        <v>15988</v>
      </c>
      <c r="H7" s="460">
        <f>G7</f>
        <v>15988</v>
      </c>
      <c r="I7" s="474">
        <v>12000</v>
      </c>
      <c r="J7" s="552">
        <f>H7/DAY(B2)</f>
        <v>15988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5761244</v>
      </c>
      <c r="F8" s="475">
        <v>5777297</v>
      </c>
      <c r="G8" s="476">
        <f>F8-E8</f>
        <v>16053</v>
      </c>
      <c r="H8" s="460">
        <f>G8</f>
        <v>16053</v>
      </c>
      <c r="I8" s="477">
        <v>12000</v>
      </c>
      <c r="J8" s="552">
        <f>H8/DAY(B2)</f>
        <v>16053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990714</v>
      </c>
      <c r="F9" s="478">
        <v>1006183</v>
      </c>
      <c r="G9" s="473">
        <f>F9-E9</f>
        <v>15469</v>
      </c>
      <c r="H9" s="460">
        <f t="shared" ref="H9:H13" si="0">G9</f>
        <v>15469</v>
      </c>
      <c r="I9" s="479">
        <f>I8-J8</f>
        <v>-4053</v>
      </c>
      <c r="J9" s="552">
        <f>H9/DAY(B2)</f>
        <v>15469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15469</v>
      </c>
      <c r="H13" s="460">
        <f t="shared" si="0"/>
        <v>15469</v>
      </c>
      <c r="I13" s="482">
        <f>G7-G13</f>
        <v>519</v>
      </c>
      <c r="J13" s="552">
        <f>H13/DAY(B2)</f>
        <v>15469</v>
      </c>
      <c r="K13" s="428"/>
      <c r="L13" s="377"/>
      <c r="N13" s="382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9" t="s">
        <v>140</v>
      </c>
      <c r="B15" s="589"/>
      <c r="C15" s="589"/>
      <c r="D15" s="523" t="s">
        <v>141</v>
      </c>
      <c r="E15" s="522">
        <v>1670657</v>
      </c>
      <c r="F15" s="484">
        <v>1670991</v>
      </c>
      <c r="G15" s="783">
        <f>(F15-E15)</f>
        <v>334</v>
      </c>
      <c r="H15" s="460">
        <f>G15</f>
        <v>334</v>
      </c>
      <c r="I15" s="474">
        <v>800</v>
      </c>
      <c r="J15" s="552">
        <f>H15/DAY(B2)</f>
        <v>334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466</v>
      </c>
      <c r="J16" s="553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v>6</v>
      </c>
      <c r="F18" s="484">
        <v>8</v>
      </c>
      <c r="G18" s="481">
        <f>F18*10</f>
        <v>80</v>
      </c>
      <c r="H18" s="460">
        <f>G18</f>
        <v>80</v>
      </c>
      <c r="I18" s="474">
        <v>65</v>
      </c>
      <c r="J18" s="552">
        <f>H18/DAY(B2)</f>
        <v>80</v>
      </c>
      <c r="K18" s="428"/>
      <c r="L18" s="377"/>
      <c r="N18" s="382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84">
        <v>137812</v>
      </c>
      <c r="F19" s="484">
        <v>137868</v>
      </c>
      <c r="G19" s="473">
        <f t="shared" ref="G19" si="2">F19-E19</f>
        <v>56</v>
      </c>
      <c r="H19" s="460">
        <f t="shared" ref="H19" si="3">G19</f>
        <v>56</v>
      </c>
      <c r="I19" s="489"/>
      <c r="J19" s="552">
        <f>H19/DAY(B2)</f>
        <v>56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136</v>
      </c>
      <c r="H20" s="460">
        <f>G20</f>
        <v>136</v>
      </c>
      <c r="I20" s="492">
        <f>I18-J20</f>
        <v>-71</v>
      </c>
      <c r="J20" s="552">
        <f>H20/DAY(B2)</f>
        <v>136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4970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16053</v>
      </c>
      <c r="F27" s="501">
        <v>9</v>
      </c>
      <c r="G27" s="502">
        <f>E27*F27</f>
        <v>144477</v>
      </c>
      <c r="H27" s="460">
        <f>G27</f>
        <v>144477</v>
      </c>
      <c r="I27" s="503"/>
      <c r="J27" s="552">
        <f>H27/DAY(B2)</f>
        <v>144477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334</v>
      </c>
      <c r="F28" s="501">
        <v>49</v>
      </c>
      <c r="G28" s="502">
        <f>E28*F28</f>
        <v>16366</v>
      </c>
      <c r="H28" s="460">
        <f>G28</f>
        <v>16366</v>
      </c>
      <c r="I28" s="505"/>
      <c r="J28" s="552">
        <f>H28/DAY(B2)</f>
        <v>16366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56</v>
      </c>
      <c r="F30" s="501">
        <v>134</v>
      </c>
      <c r="G30" s="502">
        <f>E30*F30</f>
        <v>7504</v>
      </c>
      <c r="H30" s="460">
        <f>G30</f>
        <v>7504</v>
      </c>
      <c r="I30" s="505"/>
      <c r="J30" s="552">
        <f>H30/DAY(B2)</f>
        <v>7504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80</v>
      </c>
      <c r="F31" s="501">
        <v>80</v>
      </c>
      <c r="G31" s="502">
        <f>E31*F31</f>
        <v>6400</v>
      </c>
      <c r="H31" s="460">
        <f>G31</f>
        <v>6400</v>
      </c>
      <c r="I31" s="505"/>
      <c r="J31" s="552">
        <f>H31/DAY(B2)</f>
        <v>6400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174747</v>
      </c>
      <c r="H32" s="460">
        <f t="shared" ref="H32" si="5">G32</f>
        <v>174747</v>
      </c>
      <c r="I32" s="509"/>
      <c r="J32" s="552">
        <f>H32/DAY(B2)</f>
        <v>174747</v>
      </c>
      <c r="K32" s="373"/>
      <c r="L32" s="443"/>
      <c r="N32" s="444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314"/>
      <c r="C34" s="1314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886459</v>
      </c>
      <c r="F35" s="510">
        <v>888627</v>
      </c>
      <c r="G35" s="473">
        <f>F35-E35</f>
        <v>2168</v>
      </c>
      <c r="H35" s="460">
        <f>G35</f>
        <v>2168</v>
      </c>
      <c r="I35" s="455"/>
      <c r="J35" s="552">
        <f>H35/DAY(B2)</f>
        <v>2168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344608</v>
      </c>
      <c r="F36" s="510">
        <v>344999</v>
      </c>
      <c r="G36" s="473">
        <f t="shared" ref="G36:G46" si="6">F36-E36</f>
        <v>391</v>
      </c>
      <c r="H36" s="460">
        <f t="shared" ref="H36:H47" si="7">G36</f>
        <v>391</v>
      </c>
      <c r="I36" s="455"/>
      <c r="J36" s="552">
        <f>H36/DAY(B2)</f>
        <v>391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95225</v>
      </c>
      <c r="F37" s="510">
        <v>96507</v>
      </c>
      <c r="G37" s="473">
        <f t="shared" si="6"/>
        <v>1282</v>
      </c>
      <c r="H37" s="460">
        <f t="shared" si="7"/>
        <v>1282</v>
      </c>
      <c r="I37" s="455"/>
      <c r="J37" s="552">
        <f>H37/DAY(B2)</f>
        <v>1282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119596</v>
      </c>
      <c r="F38" s="469">
        <v>120948</v>
      </c>
      <c r="G38" s="473">
        <f t="shared" si="6"/>
        <v>1352</v>
      </c>
      <c r="H38" s="460">
        <f t="shared" si="7"/>
        <v>1352</v>
      </c>
      <c r="I38" s="455"/>
      <c r="J38" s="552">
        <f>H38/DAY(B2)</f>
        <v>1352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246653</v>
      </c>
      <c r="F39" s="510">
        <v>248577</v>
      </c>
      <c r="G39" s="473">
        <f t="shared" si="6"/>
        <v>1924</v>
      </c>
      <c r="H39" s="460">
        <f t="shared" si="7"/>
        <v>1924</v>
      </c>
      <c r="I39" s="455"/>
      <c r="J39" s="552">
        <f>H39/DAY(B2)</f>
        <v>1924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181528</v>
      </c>
      <c r="F41" s="510">
        <v>186183</v>
      </c>
      <c r="G41" s="473">
        <f t="shared" si="6"/>
        <v>4655</v>
      </c>
      <c r="H41" s="460">
        <f t="shared" si="7"/>
        <v>4655</v>
      </c>
      <c r="I41" s="455"/>
      <c r="J41" s="552">
        <f>H41/DAY(B2)</f>
        <v>4655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973958</v>
      </c>
      <c r="F43" s="510">
        <v>976277</v>
      </c>
      <c r="G43" s="473">
        <f t="shared" si="6"/>
        <v>2319</v>
      </c>
      <c r="H43" s="460">
        <f t="shared" si="7"/>
        <v>2319</v>
      </c>
      <c r="I43" s="455"/>
      <c r="J43" s="552">
        <f>H43/DAY(B2)</f>
        <v>2319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14091</v>
      </c>
      <c r="H47" s="460">
        <f t="shared" si="7"/>
        <v>14091</v>
      </c>
      <c r="I47" s="455"/>
      <c r="J47" s="552">
        <f>H47/DAY(B2)</f>
        <v>14091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260732.13</v>
      </c>
      <c r="F49" s="510">
        <v>260732</v>
      </c>
      <c r="G49" s="473">
        <f t="shared" ref="G49:G58" si="8">F49-E49</f>
        <v>-0.13000000000465661</v>
      </c>
      <c r="H49" s="460">
        <f>G49</f>
        <v>-0.13000000000465661</v>
      </c>
      <c r="I49" s="455"/>
      <c r="J49" s="552">
        <f>H49/DAY(B2)</f>
        <v>-0.13000000000465661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474536</v>
      </c>
      <c r="F50" s="510">
        <v>475485</v>
      </c>
      <c r="G50" s="473">
        <f t="shared" si="8"/>
        <v>949</v>
      </c>
      <c r="H50" s="460">
        <f t="shared" ref="H50:H60" si="9">G50</f>
        <v>949</v>
      </c>
      <c r="I50" s="455"/>
      <c r="J50" s="552">
        <f>H50/DAY(B2)</f>
        <v>949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416311</v>
      </c>
      <c r="F53" s="510">
        <v>416982</v>
      </c>
      <c r="G53" s="473">
        <f t="shared" si="8"/>
        <v>671</v>
      </c>
      <c r="H53" s="460">
        <f t="shared" si="9"/>
        <v>671</v>
      </c>
      <c r="I53" s="455"/>
      <c r="J53" s="552">
        <f>H53/DAY(B2)</f>
        <v>671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11378</v>
      </c>
      <c r="F54" s="510">
        <v>11452</v>
      </c>
      <c r="G54" s="473">
        <f t="shared" si="8"/>
        <v>74</v>
      </c>
      <c r="H54" s="460">
        <f t="shared" si="9"/>
        <v>74</v>
      </c>
      <c r="I54" s="455"/>
      <c r="J54" s="552">
        <f>H54/DAY(B2)</f>
        <v>74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1060">
        <v>346926</v>
      </c>
      <c r="F55" s="510">
        <v>346926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589288.47</v>
      </c>
      <c r="F56" s="510">
        <v>589288</v>
      </c>
      <c r="G56" s="473">
        <f t="shared" si="8"/>
        <v>-0.46999999997206032</v>
      </c>
      <c r="H56" s="460">
        <f t="shared" si="9"/>
        <v>-0.46999999997206032</v>
      </c>
      <c r="I56" s="455"/>
      <c r="J56" s="552">
        <f>H56/DAY(B2)</f>
        <v>-0.46999999997206032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46668</v>
      </c>
      <c r="F58" s="510">
        <v>46668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1693.4000000000233</v>
      </c>
      <c r="H59" s="460">
        <f t="shared" si="9"/>
        <v>1693.4000000000233</v>
      </c>
      <c r="I59" s="455">
        <f>G7-G60</f>
        <v>203.59999999997672</v>
      </c>
      <c r="J59" s="552">
        <f>H59/DAY(B2)</f>
        <v>1693.4000000000233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15784.400000000023</v>
      </c>
      <c r="H60" s="460">
        <f t="shared" si="9"/>
        <v>15784.400000000023</v>
      </c>
      <c r="I60" s="455">
        <f>G13-G60</f>
        <v>-315.40000000002328</v>
      </c>
      <c r="J60" s="552">
        <f>H60/DAY(B2)</f>
        <v>15784.400000000023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2359</v>
      </c>
      <c r="F63" s="514">
        <v>2363</v>
      </c>
      <c r="G63" s="473">
        <f t="shared" si="10"/>
        <v>4</v>
      </c>
      <c r="H63" s="460">
        <f t="shared" ref="H63:H70" si="11">G63</f>
        <v>4</v>
      </c>
      <c r="I63" s="515"/>
      <c r="J63" s="552">
        <f>H63/DAY(B2)</f>
        <v>4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v>153299</v>
      </c>
      <c r="F64" s="484">
        <v>153510</v>
      </c>
      <c r="G64" s="473">
        <f t="shared" si="10"/>
        <v>211</v>
      </c>
      <c r="H64" s="460">
        <f t="shared" si="11"/>
        <v>211</v>
      </c>
      <c r="I64" s="480"/>
      <c r="J64" s="552">
        <f>H64/DAY(B2)</f>
        <v>211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v>154599</v>
      </c>
      <c r="F65" s="484">
        <v>154807</v>
      </c>
      <c r="G65" s="473">
        <f t="shared" si="10"/>
        <v>208</v>
      </c>
      <c r="H65" s="460">
        <f t="shared" si="11"/>
        <v>208</v>
      </c>
      <c r="I65" s="489"/>
      <c r="J65" s="552">
        <f>H65/DAY(B2)</f>
        <v>208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v>48571</v>
      </c>
      <c r="F66" s="484">
        <v>48842</v>
      </c>
      <c r="G66" s="473">
        <f t="shared" si="10"/>
        <v>271</v>
      </c>
      <c r="H66" s="460">
        <f t="shared" si="11"/>
        <v>271</v>
      </c>
      <c r="I66" s="480"/>
      <c r="J66" s="552">
        <f>H66/DAY(B2)</f>
        <v>271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v>243174</v>
      </c>
      <c r="F67" s="484">
        <v>243396</v>
      </c>
      <c r="G67" s="473">
        <f t="shared" si="10"/>
        <v>222</v>
      </c>
      <c r="H67" s="460">
        <f t="shared" si="11"/>
        <v>222</v>
      </c>
      <c r="I67" s="489"/>
      <c r="J67" s="552">
        <f>H67/DAY(B2)</f>
        <v>222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v>78994</v>
      </c>
      <c r="F69" s="484">
        <v>79076</v>
      </c>
      <c r="G69" s="473">
        <f t="shared" si="10"/>
        <v>82</v>
      </c>
      <c r="H69" s="460">
        <f t="shared" si="11"/>
        <v>82</v>
      </c>
      <c r="I69" s="516"/>
      <c r="J69" s="552">
        <f>H69/DAY(B2)</f>
        <v>82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v>855461</v>
      </c>
      <c r="F72" s="519">
        <v>855478</v>
      </c>
      <c r="G72" s="473">
        <f t="shared" ref="G72:G84" si="12">F72-E72</f>
        <v>17</v>
      </c>
      <c r="H72" s="460">
        <f>G72</f>
        <v>17</v>
      </c>
      <c r="I72" s="480"/>
      <c r="J72" s="552">
        <f>H72/DAY(B2)</f>
        <v>17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20">
        <v>885876</v>
      </c>
      <c r="F73" s="520">
        <v>885878</v>
      </c>
      <c r="G73" s="473">
        <f t="shared" si="12"/>
        <v>2</v>
      </c>
      <c r="H73" s="460">
        <f t="shared" ref="H73:H88" si="13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10" t="s">
        <v>193</v>
      </c>
      <c r="B74" s="1511"/>
      <c r="C74" s="1512"/>
      <c r="D74" s="523" t="s">
        <v>187</v>
      </c>
      <c r="E74" s="521">
        <v>2279</v>
      </c>
      <c r="F74" s="521">
        <v>2309</v>
      </c>
      <c r="G74" s="473">
        <f t="shared" si="12"/>
        <v>30</v>
      </c>
      <c r="H74" s="460">
        <f t="shared" si="13"/>
        <v>30</v>
      </c>
      <c r="I74" s="480"/>
      <c r="J74" s="552">
        <f>H74/DAY(B2)</f>
        <v>30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21">
        <v>10970</v>
      </c>
      <c r="F75" s="521">
        <v>11024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20">
        <v>5709</v>
      </c>
      <c r="F76" s="520">
        <v>5766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21">
        <v>701562</v>
      </c>
      <c r="F77" s="521">
        <v>701612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521">
        <v>670025</v>
      </c>
      <c r="F78" s="521">
        <v>670149</v>
      </c>
      <c r="G78" s="473">
        <f t="shared" si="12"/>
        <v>124</v>
      </c>
      <c r="H78" s="460">
        <f t="shared" si="13"/>
        <v>124</v>
      </c>
      <c r="I78" s="505"/>
      <c r="J78" s="552">
        <f>H78/DAY(B2)</f>
        <v>124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v>826784</v>
      </c>
      <c r="F79" s="786">
        <v>826973</v>
      </c>
      <c r="G79" s="473">
        <f t="shared" si="12"/>
        <v>189</v>
      </c>
      <c r="H79" s="460">
        <f t="shared" si="13"/>
        <v>189</v>
      </c>
      <c r="I79" s="505"/>
      <c r="J79" s="552">
        <f>H79/DAY(B2)</f>
        <v>189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v>516738</v>
      </c>
      <c r="F80" s="520">
        <v>517132</v>
      </c>
      <c r="G80" s="473">
        <f t="shared" si="12"/>
        <v>394</v>
      </c>
      <c r="H80" s="460">
        <f t="shared" si="13"/>
        <v>394</v>
      </c>
      <c r="I80" s="505"/>
      <c r="J80" s="552">
        <f>H80/DAY(B2)</f>
        <v>394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v>636478</v>
      </c>
      <c r="F81" s="520">
        <v>636559</v>
      </c>
      <c r="G81" s="473">
        <f t="shared" si="12"/>
        <v>81</v>
      </c>
      <c r="H81" s="460">
        <f t="shared" si="13"/>
        <v>81</v>
      </c>
      <c r="I81" s="505"/>
      <c r="J81" s="552">
        <f>H81/DAY(B2)</f>
        <v>81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v>107612</v>
      </c>
      <c r="F82" s="522">
        <v>107624</v>
      </c>
      <c r="G82" s="473">
        <f t="shared" si="12"/>
        <v>12</v>
      </c>
      <c r="H82" s="460">
        <f t="shared" si="13"/>
        <v>12</v>
      </c>
      <c r="I82" s="486"/>
      <c r="J82" s="552">
        <f>H82/DAY(B2)</f>
        <v>12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v>14771</v>
      </c>
      <c r="F83" s="1319">
        <v>15026</v>
      </c>
      <c r="G83" s="473">
        <f t="shared" si="12"/>
        <v>255</v>
      </c>
      <c r="H83" s="460">
        <f t="shared" si="13"/>
        <v>255</v>
      </c>
      <c r="I83" s="481"/>
      <c r="J83" s="552">
        <f>H83/DAY(B2)</f>
        <v>255</v>
      </c>
      <c r="K83" s="429"/>
      <c r="L83" s="377"/>
      <c r="N83" s="382"/>
      <c r="O83" s="724"/>
    </row>
    <row r="84" spans="1:15">
      <c r="A84" s="1313" t="s">
        <v>201</v>
      </c>
      <c r="B84" s="571"/>
      <c r="C84" s="571"/>
      <c r="D84" s="478" t="s">
        <v>132</v>
      </c>
      <c r="E84" s="523">
        <v>480133</v>
      </c>
      <c r="F84" s="627">
        <v>480848</v>
      </c>
      <c r="G84" s="473">
        <f t="shared" si="12"/>
        <v>715</v>
      </c>
      <c r="H84" s="460">
        <f t="shared" si="13"/>
        <v>715</v>
      </c>
      <c r="I84" s="481"/>
      <c r="J84" s="552">
        <f>H84/DAY(B2)</f>
        <v>715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1980</v>
      </c>
      <c r="H85" s="460">
        <f t="shared" si="13"/>
        <v>1980</v>
      </c>
      <c r="I85" s="481"/>
      <c r="J85" s="552">
        <f>H85/DAY(B2)</f>
        <v>1980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459267</v>
      </c>
      <c r="F86" s="650">
        <v>459318</v>
      </c>
      <c r="G86" s="708">
        <f t="shared" ref="G86:G91" si="14">F86-E86</f>
        <v>51</v>
      </c>
      <c r="H86" s="708">
        <f t="shared" si="13"/>
        <v>51</v>
      </c>
      <c r="I86" s="655"/>
      <c r="J86" s="710">
        <f>H86/DAY(B2)</f>
        <v>51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80919</v>
      </c>
      <c r="F87" s="650">
        <v>80929</v>
      </c>
      <c r="G87" s="708">
        <f t="shared" si="14"/>
        <v>10</v>
      </c>
      <c r="H87" s="708">
        <f t="shared" si="13"/>
        <v>10</v>
      </c>
      <c r="I87" s="655"/>
      <c r="J87" s="710">
        <f>H87/DAY(B2)</f>
        <v>10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151805</v>
      </c>
      <c r="F88" s="650">
        <v>151833</v>
      </c>
      <c r="G88" s="708">
        <f t="shared" si="14"/>
        <v>28</v>
      </c>
      <c r="H88" s="708">
        <f t="shared" si="13"/>
        <v>28</v>
      </c>
      <c r="I88" s="655"/>
      <c r="J88" s="710">
        <f>H88/DAY(B2)</f>
        <v>28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64834</v>
      </c>
      <c r="F89" s="650">
        <v>64841</v>
      </c>
      <c r="G89" s="708">
        <f t="shared" si="14"/>
        <v>7</v>
      </c>
      <c r="H89" s="708">
        <f>G89</f>
        <v>7</v>
      </c>
      <c r="I89" s="655"/>
      <c r="J89" s="710">
        <f>H89/DAY(B2)</f>
        <v>7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3272</v>
      </c>
      <c r="F90" s="650">
        <v>3272</v>
      </c>
      <c r="G90" s="708">
        <f t="shared" si="14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50">
        <v>27907</v>
      </c>
      <c r="F91" s="650">
        <v>27910</v>
      </c>
      <c r="G91" s="708">
        <f t="shared" si="14"/>
        <v>3</v>
      </c>
      <c r="H91" s="708">
        <f>G91</f>
        <v>3</v>
      </c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315"/>
      <c r="C92" s="1315"/>
      <c r="D92" s="472"/>
      <c r="E92" s="472"/>
      <c r="F92" s="472"/>
      <c r="G92" s="488"/>
      <c r="H92" s="472"/>
      <c r="I92" s="472"/>
      <c r="J92" s="551"/>
      <c r="K92" s="380"/>
      <c r="L92" s="378"/>
      <c r="N92" s="780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v>244524</v>
      </c>
      <c r="F93" s="484">
        <v>244576</v>
      </c>
      <c r="G93" s="473">
        <f t="shared" ref="G93:G94" si="15">F93-E93</f>
        <v>52</v>
      </c>
      <c r="H93" s="460">
        <f t="shared" ref="H93" si="16">G93</f>
        <v>52</v>
      </c>
      <c r="I93" s="480"/>
      <c r="J93" s="552">
        <f>H93/DAY(B2)</f>
        <v>52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v>183531</v>
      </c>
      <c r="F94" s="704">
        <v>183626</v>
      </c>
      <c r="G94" s="473">
        <f t="shared" si="15"/>
        <v>95</v>
      </c>
      <c r="H94" s="460">
        <f>G94</f>
        <v>95</v>
      </c>
      <c r="I94" s="480"/>
      <c r="J94" s="552">
        <f>H94/DAY(B2)</f>
        <v>95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/>
      <c r="F95" s="484"/>
      <c r="G95" s="473">
        <f>G93+G94</f>
        <v>147</v>
      </c>
      <c r="H95" s="460"/>
      <c r="I95" s="480"/>
      <c r="J95" s="552"/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v>412886</v>
      </c>
      <c r="F96" s="484">
        <v>412958</v>
      </c>
      <c r="G96" s="473">
        <f t="shared" ref="G96:G101" si="17">F96-E96</f>
        <v>72</v>
      </c>
      <c r="H96" s="460">
        <f t="shared" ref="H96:H102" si="18">G96</f>
        <v>72</v>
      </c>
      <c r="I96" s="480"/>
      <c r="J96" s="552">
        <f>H96/DAY(B2)</f>
        <v>72</v>
      </c>
      <c r="K96" s="380"/>
      <c r="L96" s="377"/>
      <c r="N96" s="382"/>
      <c r="O96" s="382"/>
    </row>
    <row r="97" spans="1:15" ht="27.75">
      <c r="A97" s="1309" t="s">
        <v>210</v>
      </c>
      <c r="B97" s="1310"/>
      <c r="C97" s="1310"/>
      <c r="D97" s="523" t="s">
        <v>144</v>
      </c>
      <c r="E97" s="484">
        <v>102343</v>
      </c>
      <c r="F97" s="484">
        <v>102355</v>
      </c>
      <c r="G97" s="473">
        <f t="shared" si="17"/>
        <v>12</v>
      </c>
      <c r="H97" s="460">
        <f t="shared" si="18"/>
        <v>12</v>
      </c>
      <c r="I97" s="480"/>
      <c r="J97" s="552">
        <f>H97/DAY(B2)</f>
        <v>12</v>
      </c>
      <c r="K97" s="427"/>
      <c r="L97" s="377"/>
      <c r="N97" s="382"/>
      <c r="O97" s="382"/>
    </row>
    <row r="98" spans="1:15" ht="27.75">
      <c r="A98" s="1309" t="s">
        <v>211</v>
      </c>
      <c r="B98" s="1310"/>
      <c r="C98" s="1310"/>
      <c r="D98" s="523" t="s">
        <v>144</v>
      </c>
      <c r="E98" s="484">
        <v>97427</v>
      </c>
      <c r="F98" s="484">
        <v>97444</v>
      </c>
      <c r="G98" s="473">
        <f t="shared" si="17"/>
        <v>17</v>
      </c>
      <c r="H98" s="460">
        <f t="shared" si="18"/>
        <v>17</v>
      </c>
      <c r="I98" s="480"/>
      <c r="J98" s="552">
        <f>H98/DAY(B2)</f>
        <v>17</v>
      </c>
      <c r="K98" s="432"/>
      <c r="L98" s="377"/>
      <c r="N98" s="382"/>
      <c r="O98" s="382"/>
    </row>
    <row r="99" spans="1:15" ht="27.75">
      <c r="A99" s="1309" t="s">
        <v>212</v>
      </c>
      <c r="B99" s="1310"/>
      <c r="C99" s="1310"/>
      <c r="D99" s="523" t="s">
        <v>144</v>
      </c>
      <c r="E99" s="484">
        <v>149533</v>
      </c>
      <c r="F99" s="484">
        <v>149538</v>
      </c>
      <c r="G99" s="473">
        <f t="shared" si="17"/>
        <v>5</v>
      </c>
      <c r="H99" s="460">
        <f t="shared" si="18"/>
        <v>5</v>
      </c>
      <c r="I99" s="480"/>
      <c r="J99" s="552">
        <f>H99/DAY(B2)</f>
        <v>5</v>
      </c>
      <c r="K99" s="380"/>
      <c r="L99" s="377"/>
      <c r="N99" s="382"/>
      <c r="O99" s="382"/>
    </row>
    <row r="100" spans="1:15" ht="27.75">
      <c r="A100" s="1309" t="s">
        <v>213</v>
      </c>
      <c r="B100" s="1310"/>
      <c r="C100" s="1310"/>
      <c r="D100" s="523" t="s">
        <v>144</v>
      </c>
      <c r="E100" s="484">
        <v>7185</v>
      </c>
      <c r="F100" s="484">
        <v>7190</v>
      </c>
      <c r="G100" s="473">
        <f t="shared" si="17"/>
        <v>5</v>
      </c>
      <c r="H100" s="460">
        <f t="shared" si="18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9" t="s">
        <v>214</v>
      </c>
      <c r="B101" s="1310"/>
      <c r="C101" s="1310"/>
      <c r="D101" s="523" t="s">
        <v>144</v>
      </c>
      <c r="E101" s="484">
        <v>5138</v>
      </c>
      <c r="F101" s="484">
        <v>5144</v>
      </c>
      <c r="G101" s="473">
        <f t="shared" si="17"/>
        <v>6</v>
      </c>
      <c r="H101" s="460">
        <f t="shared" si="18"/>
        <v>6</v>
      </c>
      <c r="I101" s="480" t="s">
        <v>215</v>
      </c>
      <c r="J101" s="552">
        <f>H101/DAY(B2)</f>
        <v>6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525">
        <f>SUM(G96:G101)</f>
        <v>117</v>
      </c>
      <c r="H102" s="460">
        <f t="shared" si="18"/>
        <v>117</v>
      </c>
      <c r="I102" s="526"/>
      <c r="J102" s="552">
        <f>H102/DAY(B2)</f>
        <v>117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17" t="s">
        <v>219</v>
      </c>
      <c r="B105" s="1518"/>
      <c r="C105" s="1307"/>
      <c r="D105" s="622" t="s">
        <v>144</v>
      </c>
      <c r="E105" s="532">
        <v>7431</v>
      </c>
      <c r="F105" s="532">
        <v>7431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17" t="s">
        <v>77</v>
      </c>
      <c r="B106" s="1518"/>
      <c r="C106" s="1307"/>
      <c r="D106" s="622" t="s">
        <v>144</v>
      </c>
      <c r="E106" s="534">
        <v>35828</v>
      </c>
      <c r="F106" s="1476">
        <v>35828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v>19617</v>
      </c>
      <c r="F107" s="532">
        <v>19617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85</v>
      </c>
      <c r="N107" s="444"/>
      <c r="O107" s="382"/>
    </row>
    <row r="108" spans="1:15" s="442" customFormat="1" ht="27.75">
      <c r="A108" s="1519" t="s">
        <v>202</v>
      </c>
      <c r="B108" s="1520"/>
      <c r="C108" s="1307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23" t="s">
        <v>79</v>
      </c>
      <c r="B109" s="1524"/>
      <c r="C109" s="1307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17" t="s">
        <v>220</v>
      </c>
      <c r="B110" s="1518"/>
      <c r="C110" s="1307"/>
      <c r="D110" s="622" t="s">
        <v>144</v>
      </c>
      <c r="E110" s="532">
        <v>61174</v>
      </c>
      <c r="F110" s="532">
        <v>61259</v>
      </c>
      <c r="G110" s="532">
        <f>F110-E110</f>
        <v>85</v>
      </c>
      <c r="H110" s="533">
        <f t="shared" si="20"/>
        <v>85</v>
      </c>
      <c r="I110" s="532"/>
      <c r="J110" s="558">
        <f>H110/DAY(B2)</f>
        <v>85</v>
      </c>
      <c r="N110" s="444"/>
      <c r="O110" s="382"/>
    </row>
    <row r="111" spans="1:15" s="442" customFormat="1" ht="27.75">
      <c r="A111" s="1517" t="s">
        <v>221</v>
      </c>
      <c r="B111" s="1518"/>
      <c r="C111" s="1307"/>
      <c r="D111" s="622" t="s">
        <v>144</v>
      </c>
      <c r="E111" s="532">
        <v>32235</v>
      </c>
      <c r="F111" s="1476">
        <v>32235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17" t="s">
        <v>222</v>
      </c>
      <c r="B112" s="1518"/>
      <c r="C112" s="1307"/>
      <c r="D112" s="622" t="s">
        <v>144</v>
      </c>
      <c r="E112" s="532">
        <v>4368</v>
      </c>
      <c r="F112" s="1476">
        <v>4395</v>
      </c>
      <c r="G112" s="532">
        <f>F112-E112</f>
        <v>27</v>
      </c>
      <c r="H112" s="533">
        <f t="shared" si="20"/>
        <v>27</v>
      </c>
      <c r="I112" s="532"/>
      <c r="J112" s="558">
        <f>H112/DAY(B2)</f>
        <v>27</v>
      </c>
      <c r="N112" s="444"/>
      <c r="O112" s="382"/>
    </row>
    <row r="113" spans="1:15" s="442" customFormat="1" ht="27.75">
      <c r="A113" s="1521" t="s">
        <v>110</v>
      </c>
      <c r="B113" s="1522"/>
      <c r="C113" s="1307"/>
      <c r="D113" s="622"/>
      <c r="E113" s="532"/>
      <c r="F113" s="532"/>
      <c r="G113" s="532">
        <f>SUM(G110:G112)</f>
        <v>112</v>
      </c>
      <c r="H113" s="533">
        <f t="shared" si="20"/>
        <v>112</v>
      </c>
      <c r="I113" s="532"/>
      <c r="J113" s="558">
        <f>H113/DAY(B2)</f>
        <v>112</v>
      </c>
      <c r="N113" s="444"/>
      <c r="O113" s="382"/>
    </row>
    <row r="114" spans="1:15" s="442" customFormat="1" ht="27.75">
      <c r="A114" s="1523" t="s">
        <v>223</v>
      </c>
      <c r="B114" s="1524"/>
      <c r="C114" s="1307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4">
        <v>11259</v>
      </c>
      <c r="F115" s="534">
        <v>11268</v>
      </c>
      <c r="G115" s="534">
        <f>F115-E115</f>
        <v>9</v>
      </c>
      <c r="H115" s="533">
        <f t="shared" si="20"/>
        <v>9</v>
      </c>
      <c r="I115" s="532"/>
      <c r="J115" s="558">
        <f>H115/DAY(B2)</f>
        <v>9</v>
      </c>
      <c r="N115" s="444"/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4">
        <v>8126</v>
      </c>
      <c r="F116" s="534">
        <v>8131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534">
        <f>SUM(G115:G117)</f>
        <v>14</v>
      </c>
      <c r="H118" s="533">
        <f t="shared" si="20"/>
        <v>14</v>
      </c>
      <c r="I118" s="534"/>
      <c r="J118" s="558">
        <f>H118/DAY(B2)</f>
        <v>14</v>
      </c>
      <c r="N118" s="447"/>
      <c r="O118" s="382"/>
    </row>
    <row r="119" spans="1:15" s="446" customFormat="1" ht="27.75">
      <c r="A119" s="1513" t="s">
        <v>227</v>
      </c>
      <c r="B119" s="1514"/>
      <c r="C119" s="1306"/>
      <c r="D119" s="624" t="s">
        <v>144</v>
      </c>
      <c r="E119" s="536"/>
      <c r="F119" s="536">
        <f>SUM(G19+G93)</f>
        <v>108</v>
      </c>
      <c r="G119" s="536">
        <f>SUM(G19+G93)</f>
        <v>108</v>
      </c>
      <c r="H119" s="533">
        <f t="shared" si="20"/>
        <v>108</v>
      </c>
      <c r="I119" s="535"/>
      <c r="J119" s="559">
        <f>H119/DAY(B2)</f>
        <v>108</v>
      </c>
      <c r="N119" s="782"/>
      <c r="O119" s="382"/>
    </row>
    <row r="120" spans="1:15" s="446" customFormat="1" ht="27.75">
      <c r="A120" s="1513" t="s">
        <v>228</v>
      </c>
      <c r="B120" s="1514"/>
      <c r="C120" s="1306"/>
      <c r="D120" s="624" t="s">
        <v>144</v>
      </c>
      <c r="E120" s="536"/>
      <c r="F120" s="536">
        <f>SUM(G96,G97,G98,G100,G101)</f>
        <v>112</v>
      </c>
      <c r="G120" s="536">
        <f>SUM(G96,G97,G98,G100,G101)</f>
        <v>112</v>
      </c>
      <c r="H120" s="533">
        <f t="shared" si="20"/>
        <v>112</v>
      </c>
      <c r="I120" s="535"/>
      <c r="J120" s="559">
        <f>H120/DAY(B2)</f>
        <v>112</v>
      </c>
      <c r="N120" s="782"/>
      <c r="O120" s="382"/>
    </row>
    <row r="121" spans="1:15" s="446" customFormat="1" ht="27.75">
      <c r="A121" s="1513" t="s">
        <v>229</v>
      </c>
      <c r="B121" s="1514"/>
      <c r="C121" s="1306"/>
      <c r="D121" s="624" t="s">
        <v>144</v>
      </c>
      <c r="E121" s="534"/>
      <c r="F121" s="534">
        <f>SUM(G113)</f>
        <v>112</v>
      </c>
      <c r="G121" s="534">
        <f>SUM(G113)</f>
        <v>112</v>
      </c>
      <c r="H121" s="533">
        <f t="shared" si="20"/>
        <v>112</v>
      </c>
      <c r="I121" s="535"/>
      <c r="J121" s="559">
        <f>H121/DAY(B2)</f>
        <v>112</v>
      </c>
      <c r="N121" s="782"/>
      <c r="O121" s="382"/>
    </row>
    <row r="122" spans="1:15" s="442" customFormat="1" ht="27.75">
      <c r="A122" s="1515"/>
      <c r="B122" s="1516"/>
      <c r="C122" s="1307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9" t="s">
        <v>231</v>
      </c>
      <c r="B124" s="1310"/>
      <c r="C124" s="1310"/>
      <c r="D124" s="523" t="s">
        <v>141</v>
      </c>
      <c r="E124" s="478">
        <v>826088.46</v>
      </c>
      <c r="F124" s="478">
        <v>826321</v>
      </c>
      <c r="G124" s="473">
        <f>F124-E124</f>
        <v>232.54000000003725</v>
      </c>
      <c r="H124" s="460">
        <f>G124</f>
        <v>232.54000000003725</v>
      </c>
      <c r="I124" s="526"/>
      <c r="J124" s="552">
        <f>H124/DAY(B2)</f>
        <v>232.54000000003725</v>
      </c>
      <c r="K124" s="380"/>
      <c r="L124" s="377"/>
      <c r="N124" s="382"/>
      <c r="O124" s="382"/>
    </row>
    <row r="125" spans="1:15" ht="27.75">
      <c r="A125" s="1309" t="s">
        <v>232</v>
      </c>
      <c r="B125" s="1310"/>
      <c r="C125" s="1310"/>
      <c r="D125" s="523" t="s">
        <v>141</v>
      </c>
      <c r="E125" s="478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78">
        <v>144687.44</v>
      </c>
      <c r="F126" s="626">
        <v>144747</v>
      </c>
      <c r="G126" s="473">
        <f t="shared" si="22"/>
        <v>59.559999999997672</v>
      </c>
      <c r="H126" s="460">
        <f t="shared" si="23"/>
        <v>59.559999999997672</v>
      </c>
      <c r="I126" s="526"/>
      <c r="J126" s="552">
        <f>H126/DAY(B2)</f>
        <v>59.559999999997672</v>
      </c>
      <c r="K126" s="380"/>
      <c r="L126" s="377"/>
      <c r="N126" s="382"/>
      <c r="O126" s="382"/>
    </row>
    <row r="127" spans="1:15" ht="27.75">
      <c r="A127" s="609" t="s">
        <v>234</v>
      </c>
      <c r="B127" s="1310"/>
      <c r="C127" s="1310"/>
      <c r="D127" s="523" t="s">
        <v>141</v>
      </c>
      <c r="E127" s="478">
        <v>31404</v>
      </c>
      <c r="F127" s="626">
        <v>31404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10"/>
      <c r="C128" s="1310"/>
      <c r="D128" s="523" t="s">
        <v>141</v>
      </c>
      <c r="E128" s="478">
        <v>8969.7000000000007</v>
      </c>
      <c r="F128" s="626">
        <v>8970</v>
      </c>
      <c r="G128" s="473">
        <f t="shared" si="22"/>
        <v>0.2999999999992724</v>
      </c>
      <c r="H128" s="460">
        <f t="shared" si="23"/>
        <v>0.2999999999992724</v>
      </c>
      <c r="I128" s="480"/>
      <c r="J128" s="552">
        <f>H128/DAY(B2)</f>
        <v>0.2999999999992724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10"/>
      <c r="C129" s="1310"/>
      <c r="D129" s="523"/>
      <c r="E129" s="478"/>
      <c r="F129" s="478"/>
      <c r="G129" s="473">
        <f>G15-SUM(G124:G128)</f>
        <v>41.599999999965803</v>
      </c>
      <c r="H129" s="460">
        <f t="shared" si="23"/>
        <v>41.599999999965803</v>
      </c>
      <c r="I129" s="480"/>
      <c r="J129" s="552">
        <f>H129/DAY(B2)</f>
        <v>41.599999999965803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9" t="s">
        <v>238</v>
      </c>
      <c r="B131" s="1310"/>
      <c r="C131" s="1310"/>
      <c r="D131" s="523" t="s">
        <v>239</v>
      </c>
      <c r="E131" s="484"/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9" t="s">
        <v>240</v>
      </c>
      <c r="B132" s="1310"/>
      <c r="C132" s="1310"/>
      <c r="D132" s="523" t="s">
        <v>239</v>
      </c>
      <c r="E132" s="484"/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9" t="s">
        <v>241</v>
      </c>
      <c r="B133" s="1310"/>
      <c r="C133" s="1310"/>
      <c r="D133" s="523" t="s">
        <v>239</v>
      </c>
      <c r="E133" s="541">
        <v>39746.480000000003</v>
      </c>
      <c r="F133" s="541">
        <v>39770.33</v>
      </c>
      <c r="G133" s="473">
        <f t="shared" si="24"/>
        <v>23.849999999998545</v>
      </c>
      <c r="H133" s="460">
        <f t="shared" si="25"/>
        <v>23.849999999998545</v>
      </c>
      <c r="I133" s="480"/>
      <c r="J133" s="552">
        <f>H133/DAY(B2)</f>
        <v>23.849999999998545</v>
      </c>
      <c r="N133" s="382"/>
      <c r="O133" s="382"/>
    </row>
    <row r="134" spans="1:15" s="779" customFormat="1" ht="27.75">
      <c r="A134" s="796" t="s">
        <v>242</v>
      </c>
      <c r="B134" s="1241"/>
      <c r="C134" s="1241"/>
      <c r="D134" s="524" t="s">
        <v>239</v>
      </c>
      <c r="E134" s="541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42"/>
      <c r="J134" s="553">
        <f>H134/DAY(B2)</f>
        <v>0</v>
      </c>
      <c r="N134" s="724"/>
      <c r="O134" s="382"/>
    </row>
    <row r="135" spans="1:15" ht="27.75">
      <c r="A135" s="1309" t="s">
        <v>243</v>
      </c>
      <c r="B135" s="1310"/>
      <c r="C135" s="1310"/>
      <c r="D135" s="523" t="s">
        <v>239</v>
      </c>
      <c r="E135" s="541">
        <v>41385</v>
      </c>
      <c r="F135" s="541">
        <v>41385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9" t="s">
        <v>244</v>
      </c>
      <c r="B136" s="1310"/>
      <c r="C136" s="1310"/>
      <c r="D136" s="523" t="s">
        <v>239</v>
      </c>
      <c r="E136" s="541">
        <v>32583</v>
      </c>
      <c r="F136" s="541">
        <v>32583</v>
      </c>
      <c r="G136" s="473">
        <f t="shared" si="24"/>
        <v>0</v>
      </c>
      <c r="H136" s="460">
        <f t="shared" si="25"/>
        <v>0</v>
      </c>
      <c r="I136" s="480">
        <f>G133+G134+G135+G136</f>
        <v>23.849999999998545</v>
      </c>
      <c r="J136" s="552">
        <f>H136/DAY(B2)</f>
        <v>0</v>
      </c>
      <c r="N136" s="382"/>
      <c r="O136" s="382"/>
    </row>
    <row r="137" spans="1:15" ht="27.75">
      <c r="A137" s="1309" t="s">
        <v>245</v>
      </c>
      <c r="B137" s="1310"/>
      <c r="C137" s="1310"/>
      <c r="D137" s="523" t="s">
        <v>239</v>
      </c>
      <c r="E137" s="541">
        <v>22739.59</v>
      </c>
      <c r="F137" s="541">
        <v>22739.59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9" t="s">
        <v>246</v>
      </c>
      <c r="B138" s="1310"/>
      <c r="C138" s="1310"/>
      <c r="D138" s="523" t="s">
        <v>239</v>
      </c>
      <c r="E138" s="541">
        <v>25051.59</v>
      </c>
      <c r="F138" s="541">
        <v>25051.59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9" t="s">
        <v>247</v>
      </c>
      <c r="B139" s="1310"/>
      <c r="C139" s="1310"/>
      <c r="D139" s="523" t="s">
        <v>239</v>
      </c>
      <c r="E139" s="541">
        <v>70315.81</v>
      </c>
      <c r="F139" s="541">
        <v>70315.81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9" t="s">
        <v>248</v>
      </c>
      <c r="B140" s="1310"/>
      <c r="C140" s="1310"/>
      <c r="D140" s="523" t="s">
        <v>239</v>
      </c>
      <c r="E140" s="484">
        <v>1616.86</v>
      </c>
      <c r="F140" s="484">
        <v>1625.74</v>
      </c>
      <c r="G140" s="473">
        <f t="shared" si="24"/>
        <v>8.8800000000001091</v>
      </c>
      <c r="H140" s="460">
        <f t="shared" si="25"/>
        <v>8.8800000000001091</v>
      </c>
      <c r="I140" s="542"/>
      <c r="J140" s="552">
        <f>H140/DAY(B2)</f>
        <v>8.8800000000001091</v>
      </c>
      <c r="N140" s="382"/>
      <c r="O140" s="382"/>
    </row>
    <row r="141" spans="1:15" ht="27.75">
      <c r="A141" s="1309" t="s">
        <v>249</v>
      </c>
      <c r="B141" s="1310"/>
      <c r="C141" s="1310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8.8800000000001091</v>
      </c>
      <c r="J141" s="552">
        <f>H141/DAY(B2)</f>
        <v>0</v>
      </c>
      <c r="N141" s="382"/>
      <c r="O141" s="382"/>
    </row>
    <row r="142" spans="1:15">
      <c r="A142" s="1531" t="s">
        <v>250</v>
      </c>
      <c r="B142" s="1532"/>
      <c r="C142" s="1315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4486.8699999999953</v>
      </c>
      <c r="H143" s="460">
        <f>G143</f>
        <v>4486.8699999999953</v>
      </c>
      <c r="I143" s="480"/>
      <c r="J143" s="552">
        <f>H143/DAY(B2)</f>
        <v>4486.8699999999953</v>
      </c>
      <c r="K143" s="380"/>
      <c r="L143" s="377"/>
      <c r="N143" s="382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0.28063985489116811</v>
      </c>
      <c r="H144" s="460">
        <f t="shared" ref="H144:H154" si="26">G144</f>
        <v>0.28063985489116811</v>
      </c>
      <c r="I144" s="544"/>
      <c r="J144" s="552">
        <f>H144/DAY(B2)</f>
        <v>0.28063985489116811</v>
      </c>
      <c r="K144" s="380"/>
      <c r="L144" s="377"/>
      <c r="N144" s="382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4654.5300000000279</v>
      </c>
      <c r="H145" s="460">
        <f t="shared" si="26"/>
        <v>4654.5300000000279</v>
      </c>
      <c r="I145" s="480"/>
      <c r="J145" s="552">
        <f>H145/DAY(B2)</f>
        <v>4654.5300000000279</v>
      </c>
      <c r="K145" s="380"/>
      <c r="L145" s="377"/>
      <c r="N145" s="382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0.29112646985239105</v>
      </c>
      <c r="H146" s="460">
        <f t="shared" si="26"/>
        <v>0.29112646985239105</v>
      </c>
      <c r="I146" s="544"/>
      <c r="J146" s="552">
        <f>H146/DAY(B2)</f>
        <v>0.29112646985239105</v>
      </c>
      <c r="K146" s="380"/>
      <c r="L146" s="377"/>
      <c r="N146" s="382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2595</v>
      </c>
      <c r="H147" s="460">
        <f t="shared" si="26"/>
        <v>2595</v>
      </c>
      <c r="I147" s="545"/>
      <c r="J147" s="552">
        <f>H147/DAY(B2)</f>
        <v>2595</v>
      </c>
      <c r="K147" s="380"/>
      <c r="L147" s="377"/>
      <c r="N147" s="382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0.16230923192394295</v>
      </c>
      <c r="H148" s="460">
        <f t="shared" si="26"/>
        <v>0.16230923192394295</v>
      </c>
      <c r="I148" s="545"/>
      <c r="J148" s="552">
        <f>H148/DAY(B2)</f>
        <v>0.16230923192394295</v>
      </c>
      <c r="N148" s="382"/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1352</v>
      </c>
      <c r="H149" s="460">
        <f t="shared" si="26"/>
        <v>1352</v>
      </c>
      <c r="I149" s="480"/>
      <c r="J149" s="552">
        <f>H149/DAY(B2)</f>
        <v>1352</v>
      </c>
      <c r="K149" s="381"/>
      <c r="N149" s="382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8.45634225669252E-2</v>
      </c>
      <c r="H150" s="460">
        <f t="shared" si="26"/>
        <v>8.45634225669252E-2</v>
      </c>
      <c r="I150" s="545"/>
      <c r="J150" s="552">
        <f>H150/DAY(B2)</f>
        <v>8.45634225669252E-2</v>
      </c>
      <c r="N150" s="382"/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1340</v>
      </c>
      <c r="H151" s="460">
        <f t="shared" si="26"/>
        <v>1340</v>
      </c>
      <c r="I151" s="545"/>
      <c r="J151" s="552">
        <f>H151/DAY(B2)</f>
        <v>1340</v>
      </c>
      <c r="N151" s="382"/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8.3812859644733548E-2</v>
      </c>
      <c r="H152" s="460">
        <f t="shared" si="26"/>
        <v>8.3812859644733548E-2</v>
      </c>
      <c r="I152" s="480"/>
      <c r="J152" s="552">
        <f>H152/DAY(B2)</f>
        <v>8.3812859644733548E-2</v>
      </c>
      <c r="N152" s="382"/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1282</v>
      </c>
      <c r="H153" s="460">
        <f t="shared" si="26"/>
        <v>1282</v>
      </c>
      <c r="I153" s="480"/>
      <c r="J153" s="552">
        <f>H153/DAY(B2)</f>
        <v>1282</v>
      </c>
      <c r="N153" s="382"/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8.0185138854140608E-2</v>
      </c>
      <c r="H154" s="460">
        <f t="shared" si="26"/>
        <v>8.0185138854140608E-2</v>
      </c>
      <c r="I154" s="568"/>
      <c r="J154" s="569">
        <f>H154/DAY(B2)</f>
        <v>8.0185138854140608E-2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8" t="s">
        <v>263</v>
      </c>
      <c r="B161" s="789"/>
      <c r="C161" s="789"/>
      <c r="D161" s="511" t="s">
        <v>187</v>
      </c>
      <c r="E161" s="661">
        <v>35932</v>
      </c>
      <c r="F161" s="661">
        <v>36012</v>
      </c>
      <c r="G161" s="473">
        <f t="shared" ref="G161:G172" si="27">F161-E161</f>
        <v>80</v>
      </c>
    </row>
    <row r="162" spans="1:7">
      <c r="A162" s="788" t="s">
        <v>264</v>
      </c>
      <c r="B162" s="789"/>
      <c r="C162" s="789"/>
      <c r="D162" s="511" t="s">
        <v>187</v>
      </c>
      <c r="E162" s="661">
        <v>82358</v>
      </c>
      <c r="F162" s="661">
        <v>82806</v>
      </c>
      <c r="G162" s="473">
        <f t="shared" si="27"/>
        <v>448</v>
      </c>
    </row>
    <row r="163" spans="1:7">
      <c r="A163" s="788" t="s">
        <v>265</v>
      </c>
      <c r="B163" s="789"/>
      <c r="C163" s="789"/>
      <c r="D163" s="511" t="s">
        <v>187</v>
      </c>
      <c r="E163" s="661">
        <v>38300</v>
      </c>
      <c r="F163" s="661">
        <v>38569</v>
      </c>
      <c r="G163" s="473">
        <f t="shared" si="27"/>
        <v>269</v>
      </c>
    </row>
    <row r="164" spans="1:7">
      <c r="A164" s="788" t="s">
        <v>266</v>
      </c>
      <c r="B164" s="789"/>
      <c r="C164" s="789"/>
      <c r="D164" s="511" t="s">
        <v>187</v>
      </c>
      <c r="E164" s="661">
        <v>6219</v>
      </c>
      <c r="F164" s="661">
        <v>6241</v>
      </c>
      <c r="G164" s="473">
        <f t="shared" si="27"/>
        <v>22</v>
      </c>
    </row>
    <row r="165" spans="1:7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90" t="s">
        <v>188</v>
      </c>
      <c r="B166" s="604"/>
      <c r="C166" s="604"/>
      <c r="D166" s="511" t="s">
        <v>187</v>
      </c>
      <c r="E166" s="514">
        <f t="shared" ref="E166:E172" si="28">E63</f>
        <v>2359</v>
      </c>
      <c r="F166" s="514">
        <f t="shared" ref="F166:F172" si="29">F63</f>
        <v>2363</v>
      </c>
      <c r="G166" s="473">
        <f t="shared" si="27"/>
        <v>4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si="28"/>
        <v>153299</v>
      </c>
      <c r="F167" s="514">
        <f t="shared" si="29"/>
        <v>153510</v>
      </c>
      <c r="G167" s="473">
        <f t="shared" si="27"/>
        <v>211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si="28"/>
        <v>154599</v>
      </c>
      <c r="F168" s="514">
        <f t="shared" si="29"/>
        <v>154807</v>
      </c>
      <c r="G168" s="473">
        <f t="shared" si="27"/>
        <v>208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si="28"/>
        <v>48571</v>
      </c>
      <c r="F169" s="514">
        <f t="shared" si="29"/>
        <v>48842</v>
      </c>
      <c r="G169" s="473">
        <f t="shared" si="27"/>
        <v>271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si="28"/>
        <v>243174</v>
      </c>
      <c r="F170" s="514">
        <f t="shared" si="29"/>
        <v>243396</v>
      </c>
      <c r="G170" s="473">
        <f t="shared" si="27"/>
        <v>222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si="28"/>
        <v>78994</v>
      </c>
      <c r="F172" s="514">
        <f t="shared" si="29"/>
        <v>79076</v>
      </c>
      <c r="G172" s="473">
        <f t="shared" si="27"/>
        <v>82</v>
      </c>
    </row>
    <row r="173" spans="1:7">
      <c r="G173" s="539">
        <f>SUM(G161:G172)</f>
        <v>1817</v>
      </c>
    </row>
  </sheetData>
  <mergeCells count="74"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11:B111"/>
    <mergeCell ref="A112:B112"/>
    <mergeCell ref="A113:B113"/>
    <mergeCell ref="A114:B114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" zoomScale="50" zoomScaleSheetLayoutView="50" workbookViewId="0">
      <selection activeCell="F28" activeCellId="1" sqref="F28 F28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354</v>
      </c>
      <c r="B2" s="1036">
        <v>44318</v>
      </c>
      <c r="C2" s="1311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30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5743421</v>
      </c>
      <c r="F7" s="455">
        <v>5759382</v>
      </c>
      <c r="G7" s="473">
        <f>F7-E7</f>
        <v>15961</v>
      </c>
      <c r="H7" s="460">
        <f>G7+'1'!H7</f>
        <v>31949</v>
      </c>
      <c r="I7" s="474">
        <f>'[2]1'!I7</f>
        <v>12000</v>
      </c>
      <c r="J7" s="552">
        <f>H7/DAY(B2)</f>
        <v>15974.5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5777297</v>
      </c>
      <c r="F8" s="475">
        <v>5793328</v>
      </c>
      <c r="G8" s="476">
        <f>F8-E8</f>
        <v>16031</v>
      </c>
      <c r="H8" s="460">
        <f>G8+'1'!H8</f>
        <v>32084</v>
      </c>
      <c r="I8" s="477">
        <v>12000</v>
      </c>
      <c r="J8" s="552">
        <f>H8/DAY(B2)</f>
        <v>16042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1006183</v>
      </c>
      <c r="F9" s="478">
        <v>1021632</v>
      </c>
      <c r="G9" s="473">
        <f t="shared" ref="G9:G11" si="0">F9-E9</f>
        <v>15449</v>
      </c>
      <c r="H9" s="460">
        <f>G9+'1'!H9</f>
        <v>30918</v>
      </c>
      <c r="I9" s="479">
        <f>I8-J8</f>
        <v>-4042</v>
      </c>
      <c r="J9" s="552">
        <f>H9/DAY(B2)</f>
        <v>15459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15449</v>
      </c>
      <c r="H13" s="460">
        <f>G13+'1'!H13</f>
        <v>30918</v>
      </c>
      <c r="I13" s="482">
        <f>G7-G13</f>
        <v>512</v>
      </c>
      <c r="J13" s="552">
        <f>H13/DAY(B2)</f>
        <v>15459</v>
      </c>
      <c r="K13" s="428"/>
      <c r="L13" s="377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9" t="s">
        <v>140</v>
      </c>
      <c r="B15" s="589"/>
      <c r="C15" s="589"/>
      <c r="D15" s="523" t="s">
        <v>141</v>
      </c>
      <c r="E15" s="455">
        <f>'1'!F15</f>
        <v>1670991</v>
      </c>
      <c r="F15" s="654">
        <v>1671436</v>
      </c>
      <c r="G15" s="783">
        <f>(F15-E15)</f>
        <v>445</v>
      </c>
      <c r="H15" s="460">
        <f>G15+'1'!H15</f>
        <v>779</v>
      </c>
      <c r="I15" s="474">
        <v>800</v>
      </c>
      <c r="J15" s="552">
        <f>H15/DAY(B2)</f>
        <v>389.5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410.5</v>
      </c>
      <c r="J16" s="553"/>
      <c r="K16" s="428"/>
      <c r="L16" s="377"/>
      <c r="O16" s="382">
        <f>G15-150</f>
        <v>295</v>
      </c>
    </row>
    <row r="17" spans="1:15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140</v>
      </c>
      <c r="I18" s="474">
        <f>'[2]1'!I18</f>
        <v>65</v>
      </c>
      <c r="J18" s="552">
        <f>H18/DAY(B2)</f>
        <v>70</v>
      </c>
      <c r="K18" s="428"/>
      <c r="L18" s="377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55">
        <f>'1'!F19</f>
        <v>137868</v>
      </c>
      <c r="F19" s="478">
        <v>137919</v>
      </c>
      <c r="G19" s="473">
        <f>F19-E19</f>
        <v>51</v>
      </c>
      <c r="H19" s="460">
        <f>G19+'1'!H19</f>
        <v>107</v>
      </c>
      <c r="I19" s="489"/>
      <c r="J19" s="552">
        <f>H19/DAY(B2)</f>
        <v>53.5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111</v>
      </c>
      <c r="H20" s="460">
        <f>G20+'1'!H20</f>
        <v>247</v>
      </c>
      <c r="I20" s="492">
        <f>I18-J20</f>
        <v>-58.5</v>
      </c>
      <c r="J20" s="552">
        <f>H20/DAY(B2)</f>
        <v>123.5</v>
      </c>
      <c r="K20" s="428"/>
      <c r="L20" s="377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16031</v>
      </c>
      <c r="F27" s="501">
        <v>9</v>
      </c>
      <c r="G27" s="502">
        <f>E27*F27</f>
        <v>144279</v>
      </c>
      <c r="H27" s="460">
        <f>G27+'1'!H27</f>
        <v>288756</v>
      </c>
      <c r="I27" s="503"/>
      <c r="J27" s="552">
        <f>H27/DAY(B2)</f>
        <v>144378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445</v>
      </c>
      <c r="F28" s="501">
        <v>49</v>
      </c>
      <c r="G28" s="502">
        <f>E28*F28</f>
        <v>21805</v>
      </c>
      <c r="H28" s="460">
        <f>G28+'1'!H28</f>
        <v>38171</v>
      </c>
      <c r="I28" s="505"/>
      <c r="J28" s="552">
        <f>H28/DAY(B2)</f>
        <v>19085.5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G30+'1'!H30</f>
        <v>14338</v>
      </c>
      <c r="I30" s="505"/>
      <c r="J30" s="552">
        <f>H30/DAY(B2)</f>
        <v>7169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11200</v>
      </c>
      <c r="I31" s="505"/>
      <c r="J31" s="552">
        <f>H31/DAY(B2)</f>
        <v>5600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177718</v>
      </c>
      <c r="H32" s="460">
        <f>G32+'1'!H32</f>
        <v>352465</v>
      </c>
      <c r="I32" s="509"/>
      <c r="J32" s="552">
        <f>H32/DAY(B2)</f>
        <v>176232.5</v>
      </c>
      <c r="K32" s="373"/>
      <c r="L32" s="443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888627</v>
      </c>
      <c r="F35" s="510">
        <v>890635</v>
      </c>
      <c r="G35" s="473">
        <f t="shared" ref="G35:G46" si="2">F35-E35</f>
        <v>2008</v>
      </c>
      <c r="H35" s="460">
        <f>G35+'1'!H35</f>
        <v>4176</v>
      </c>
      <c r="I35" s="455"/>
      <c r="J35" s="552">
        <f>H35/DAY(B2)</f>
        <v>2088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344999</v>
      </c>
      <c r="F36" s="510">
        <v>345384</v>
      </c>
      <c r="G36" s="473">
        <f t="shared" si="2"/>
        <v>385</v>
      </c>
      <c r="H36" s="460">
        <f>G36+'1'!H36</f>
        <v>776</v>
      </c>
      <c r="I36" s="455"/>
      <c r="J36" s="552">
        <f>H36/DAY(B2)</f>
        <v>388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96507</v>
      </c>
      <c r="F37" s="510">
        <v>97771</v>
      </c>
      <c r="G37" s="473">
        <f t="shared" si="2"/>
        <v>1264</v>
      </c>
      <c r="H37" s="460">
        <f>G37+'1'!H37</f>
        <v>2546</v>
      </c>
      <c r="I37" s="455"/>
      <c r="J37" s="552">
        <f>H37/DAY(B2)</f>
        <v>1273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120948</v>
      </c>
      <c r="F38" s="469">
        <v>122249</v>
      </c>
      <c r="G38" s="473">
        <f t="shared" si="2"/>
        <v>1301</v>
      </c>
      <c r="H38" s="460">
        <f>G38+'1'!H38</f>
        <v>2653</v>
      </c>
      <c r="I38" s="455"/>
      <c r="J38" s="552">
        <f>H38/DAY(B2)</f>
        <v>1326.5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248577</v>
      </c>
      <c r="F39" s="510">
        <v>250465</v>
      </c>
      <c r="G39" s="473">
        <f t="shared" si="2"/>
        <v>1888</v>
      </c>
      <c r="H39" s="460">
        <f>G39+'1'!H39</f>
        <v>3812</v>
      </c>
      <c r="I39" s="455"/>
      <c r="J39" s="552">
        <f>H39/DAY(B2)</f>
        <v>1906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0.23</v>
      </c>
      <c r="F40" s="510">
        <v>0.23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186183</v>
      </c>
      <c r="F41" s="510">
        <v>191184</v>
      </c>
      <c r="G41" s="473">
        <f t="shared" si="2"/>
        <v>5001</v>
      </c>
      <c r="H41" s="460">
        <f>G41+'1'!H41</f>
        <v>9656</v>
      </c>
      <c r="I41" s="455"/>
      <c r="J41" s="552">
        <f>H41/DAY(B2)</f>
        <v>4828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59200</v>
      </c>
      <c r="F42" s="510">
        <v>59200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976277</v>
      </c>
      <c r="F43" s="510">
        <v>978508</v>
      </c>
      <c r="G43" s="473">
        <f t="shared" si="2"/>
        <v>2231</v>
      </c>
      <c r="H43" s="460">
        <f>G43+'1'!H43</f>
        <v>4550</v>
      </c>
      <c r="I43" s="455"/>
      <c r="J43" s="552">
        <f>H43/DAY(B2)</f>
        <v>2275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14078</v>
      </c>
      <c r="H47" s="460">
        <f>G47+'1'!H47</f>
        <v>28169</v>
      </c>
      <c r="I47" s="455"/>
      <c r="J47" s="552">
        <f>H47/DAY(B2)</f>
        <v>14084.5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475485</v>
      </c>
      <c r="F50" s="510">
        <v>476369</v>
      </c>
      <c r="G50" s="473">
        <f t="shared" si="3"/>
        <v>884</v>
      </c>
      <c r="H50" s="460">
        <f>G50+'1'!H50</f>
        <v>1833</v>
      </c>
      <c r="I50" s="455"/>
      <c r="J50" s="552">
        <f>H50/DAY(B2)</f>
        <v>916.5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416982</v>
      </c>
      <c r="F53" s="510">
        <v>417535</v>
      </c>
      <c r="G53" s="473">
        <f t="shared" si="3"/>
        <v>553</v>
      </c>
      <c r="H53" s="460">
        <f>G53+'1'!H53</f>
        <v>1224</v>
      </c>
      <c r="I53" s="455"/>
      <c r="J53" s="552">
        <f>H53/DAY(B2)</f>
        <v>612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11452</v>
      </c>
      <c r="F54" s="510">
        <v>11526</v>
      </c>
      <c r="G54" s="473">
        <f t="shared" si="3"/>
        <v>74</v>
      </c>
      <c r="H54" s="460">
        <f>G54+'1'!H54</f>
        <v>148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346926</v>
      </c>
      <c r="F55" s="1037">
        <v>346926</v>
      </c>
      <c r="G55" s="473">
        <f t="shared" si="3"/>
        <v>0</v>
      </c>
      <c r="H55" s="460">
        <f>G55+'1'!H55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589288</v>
      </c>
      <c r="F56" s="1037">
        <v>589288</v>
      </c>
      <c r="G56" s="473">
        <f t="shared" si="3"/>
        <v>0</v>
      </c>
      <c r="H56" s="460">
        <f>G56+'1'!H56</f>
        <v>-0.46999999997206032</v>
      </c>
      <c r="I56" s="455"/>
      <c r="J56" s="552">
        <f>H56/DAY(B2)</f>
        <v>-0.23499999998603016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46668</v>
      </c>
      <c r="F58" s="656">
        <v>46781</v>
      </c>
      <c r="G58" s="473">
        <f t="shared" si="3"/>
        <v>113</v>
      </c>
      <c r="H58" s="460">
        <f>G58+'1'!H58</f>
        <v>113</v>
      </c>
      <c r="I58" s="455"/>
      <c r="J58" s="552">
        <f>H58/DAY(B2)</f>
        <v>56.5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1624.1300000000047</v>
      </c>
      <c r="H59" s="460">
        <f>G59+'1'!H59</f>
        <v>3317.5300000000279</v>
      </c>
      <c r="I59" s="455">
        <f>G7-G60</f>
        <v>258.86999999999534</v>
      </c>
      <c r="J59" s="552">
        <f>H59/DAY(B2)</f>
        <v>1658.765000000014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15702.130000000005</v>
      </c>
      <c r="H60" s="460">
        <f>G60+'1'!H60</f>
        <v>31486.530000000028</v>
      </c>
      <c r="I60" s="455">
        <f>G13-G60</f>
        <v>-253.13000000000466</v>
      </c>
      <c r="J60" s="552">
        <f>H60/DAY(B2)</f>
        <v>15743.265000000014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2363</v>
      </c>
      <c r="F63" s="514">
        <v>2367</v>
      </c>
      <c r="G63" s="473">
        <f t="shared" si="4"/>
        <v>4</v>
      </c>
      <c r="H63" s="460">
        <f>G63+'1'!H63</f>
        <v>8</v>
      </c>
      <c r="I63" s="515"/>
      <c r="J63" s="552">
        <f>H63/DAY(B2)</f>
        <v>4</v>
      </c>
      <c r="K63" s="428"/>
      <c r="L63" s="377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55">
        <f>'1'!F64</f>
        <v>153510</v>
      </c>
      <c r="F64" s="478">
        <v>153718</v>
      </c>
      <c r="G64" s="473">
        <f t="shared" si="4"/>
        <v>208</v>
      </c>
      <c r="H64" s="460">
        <f>G64+'1'!H64</f>
        <v>419</v>
      </c>
      <c r="I64" s="480"/>
      <c r="J64" s="552">
        <f>H64/DAY(B2)</f>
        <v>209.5</v>
      </c>
      <c r="K64" s="428"/>
      <c r="L64" s="377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55">
        <f>'1'!F65</f>
        <v>154807</v>
      </c>
      <c r="F65" s="654">
        <v>155006</v>
      </c>
      <c r="G65" s="473">
        <f t="shared" si="4"/>
        <v>199</v>
      </c>
      <c r="H65" s="460">
        <f>G65+'1'!H65</f>
        <v>407</v>
      </c>
      <c r="I65" s="489"/>
      <c r="J65" s="552">
        <f>H65/DAY(B2)</f>
        <v>203.5</v>
      </c>
      <c r="K65" s="428"/>
      <c r="L65" s="377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55">
        <f>'1'!F66</f>
        <v>48842</v>
      </c>
      <c r="F66" s="478">
        <v>49114</v>
      </c>
      <c r="G66" s="473">
        <f t="shared" si="4"/>
        <v>272</v>
      </c>
      <c r="H66" s="460">
        <f>G66+'1'!H66</f>
        <v>543</v>
      </c>
      <c r="I66" s="480"/>
      <c r="J66" s="552">
        <f>H66/DAY(B2)</f>
        <v>271.5</v>
      </c>
      <c r="K66" s="428"/>
      <c r="L66" s="377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55">
        <f>'1'!F67</f>
        <v>243396</v>
      </c>
      <c r="F67" s="478">
        <v>243610</v>
      </c>
      <c r="G67" s="473">
        <f t="shared" si="4"/>
        <v>214</v>
      </c>
      <c r="H67" s="460">
        <f>G67+'1'!H67</f>
        <v>436</v>
      </c>
      <c r="I67" s="489"/>
      <c r="J67" s="552">
        <f>H67/DAY(B2)</f>
        <v>218</v>
      </c>
      <c r="K67" s="429"/>
      <c r="L67" s="377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55">
        <f>'1'!F69</f>
        <v>79076</v>
      </c>
      <c r="F69" s="478">
        <v>79169</v>
      </c>
      <c r="G69" s="473">
        <f t="shared" si="4"/>
        <v>93</v>
      </c>
      <c r="H69" s="460">
        <f>G69+'1'!H69</f>
        <v>175</v>
      </c>
      <c r="I69" s="516"/>
      <c r="J69" s="552">
        <f>H69/DAY(B2)</f>
        <v>87.5</v>
      </c>
      <c r="K69" s="431"/>
      <c r="L69" s="377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455">
        <f>'1'!F72</f>
        <v>855478</v>
      </c>
      <c r="F72" s="657">
        <v>855493</v>
      </c>
      <c r="G72" s="473">
        <f t="shared" ref="G72:G84" si="5">F72-E72</f>
        <v>15</v>
      </c>
      <c r="H72" s="460">
        <f>G72+'1'!H72</f>
        <v>32</v>
      </c>
      <c r="I72" s="480"/>
      <c r="J72" s="552">
        <f>H72/DAY(B2)</f>
        <v>16</v>
      </c>
      <c r="K72" s="431"/>
      <c r="L72" s="377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455">
        <f>'1'!F73</f>
        <v>885878</v>
      </c>
      <c r="F73" s="658">
        <v>885879</v>
      </c>
      <c r="G73" s="655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04" t="s">
        <v>193</v>
      </c>
      <c r="B74" s="1505"/>
      <c r="C74" s="1506"/>
      <c r="D74" s="523" t="s">
        <v>187</v>
      </c>
      <c r="E74" s="455">
        <f>'1'!F74</f>
        <v>2309</v>
      </c>
      <c r="F74" s="657">
        <v>2325</v>
      </c>
      <c r="G74" s="473">
        <f t="shared" si="5"/>
        <v>16</v>
      </c>
      <c r="H74" s="460">
        <f>G74+'1'!H74</f>
        <v>46</v>
      </c>
      <c r="I74" s="480"/>
      <c r="J74" s="552">
        <f>H74/DAY(B2)</f>
        <v>23</v>
      </c>
      <c r="K74" s="431"/>
      <c r="L74" s="377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455">
        <f>'1'!F75</f>
        <v>11024</v>
      </c>
      <c r="F75" s="659">
        <v>11076</v>
      </c>
      <c r="G75" s="473">
        <f t="shared" si="5"/>
        <v>52</v>
      </c>
      <c r="H75" s="460">
        <f>G75+'1'!H75</f>
        <v>106</v>
      </c>
      <c r="I75" s="480"/>
      <c r="J75" s="552">
        <f>H75/DAY(B2)</f>
        <v>53</v>
      </c>
      <c r="K75" s="430"/>
      <c r="L75" s="377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455">
        <f>'1'!F76</f>
        <v>5766</v>
      </c>
      <c r="F76" s="658">
        <v>5822</v>
      </c>
      <c r="G76" s="473">
        <f t="shared" si="5"/>
        <v>56</v>
      </c>
      <c r="H76" s="460">
        <f>G76+'1'!H76</f>
        <v>113</v>
      </c>
      <c r="I76" s="505"/>
      <c r="J76" s="552">
        <f>H76/DAY(B2)</f>
        <v>56.5</v>
      </c>
      <c r="K76" s="430"/>
      <c r="L76" s="377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455">
        <f>'1'!F77</f>
        <v>701612</v>
      </c>
      <c r="F77" s="658">
        <v>701659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'1'!F78</f>
        <v>670149</v>
      </c>
      <c r="F78" s="659">
        <v>670244</v>
      </c>
      <c r="G78" s="473">
        <f t="shared" si="5"/>
        <v>95</v>
      </c>
      <c r="H78" s="460">
        <f>G78+'1'!H78</f>
        <v>219</v>
      </c>
      <c r="I78" s="505"/>
      <c r="J78" s="552">
        <f>H78/DAY(B2)</f>
        <v>109.5</v>
      </c>
      <c r="K78" s="430"/>
      <c r="L78" s="377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455">
        <f>'1'!F79</f>
        <v>826973</v>
      </c>
      <c r="F79" s="659">
        <v>827150</v>
      </c>
      <c r="G79" s="473">
        <f t="shared" si="5"/>
        <v>177</v>
      </c>
      <c r="H79" s="460">
        <f>G79+'1'!H79</f>
        <v>366</v>
      </c>
      <c r="I79" s="505"/>
      <c r="J79" s="552">
        <f>H79/DAY(B2)</f>
        <v>183</v>
      </c>
      <c r="K79" s="430"/>
      <c r="L79" s="377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455">
        <f>'1'!F80</f>
        <v>517132</v>
      </c>
      <c r="F80" s="658">
        <v>517512</v>
      </c>
      <c r="G80" s="473">
        <f t="shared" si="5"/>
        <v>380</v>
      </c>
      <c r="H80" s="460">
        <f>G80+'1'!H80</f>
        <v>774</v>
      </c>
      <c r="I80" s="505"/>
      <c r="J80" s="552">
        <f>H80/DAY(B2)</f>
        <v>387</v>
      </c>
      <c r="K80" s="430"/>
      <c r="L80" s="377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455">
        <f>'1'!F81</f>
        <v>636559</v>
      </c>
      <c r="F81" s="658">
        <v>636625</v>
      </c>
      <c r="G81" s="473">
        <f t="shared" si="5"/>
        <v>66</v>
      </c>
      <c r="H81" s="460">
        <f>G81+'1'!H81</f>
        <v>147</v>
      </c>
      <c r="I81" s="505"/>
      <c r="J81" s="552">
        <f>H81/DAY(B2)</f>
        <v>73.5</v>
      </c>
      <c r="K81" s="430"/>
      <c r="L81" s="377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455">
        <f>'1'!F82</f>
        <v>107624</v>
      </c>
      <c r="F82" s="654">
        <v>107638</v>
      </c>
      <c r="G82" s="473">
        <f t="shared" si="5"/>
        <v>14</v>
      </c>
      <c r="H82" s="460">
        <f>G82+'1'!H82</f>
        <v>26</v>
      </c>
      <c r="I82" s="486"/>
      <c r="J82" s="552">
        <f>H82/DAY(B2)</f>
        <v>13</v>
      </c>
      <c r="K82" s="430"/>
      <c r="L82" s="377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455">
        <f>'1'!F83</f>
        <v>15026</v>
      </c>
      <c r="F83" s="511">
        <v>15267</v>
      </c>
      <c r="G83" s="473">
        <f t="shared" si="5"/>
        <v>241</v>
      </c>
      <c r="H83" s="460">
        <f>G83+'1'!H83</f>
        <v>496</v>
      </c>
      <c r="I83" s="481"/>
      <c r="J83" s="552">
        <f>H83/DAY(B2)</f>
        <v>248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'1'!F84</f>
        <v>480848</v>
      </c>
      <c r="F84" s="627">
        <v>481560</v>
      </c>
      <c r="G84" s="473">
        <f t="shared" si="5"/>
        <v>712</v>
      </c>
      <c r="H84" s="460">
        <f>G84+'1'!H84</f>
        <v>1427</v>
      </c>
      <c r="I84" s="481"/>
      <c r="J84" s="552">
        <f>H84/DAY(B2)</f>
        <v>713.5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1872</v>
      </c>
      <c r="H85" s="460">
        <f>G85+'1'!H85</f>
        <v>3852</v>
      </c>
      <c r="I85" s="481"/>
      <c r="J85" s="552">
        <f>H85/DAY(B2)</f>
        <v>1926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459318</v>
      </c>
      <c r="F86" s="650">
        <v>459339</v>
      </c>
      <c r="G86" s="708">
        <f t="shared" ref="G86:G91" si="6">F86-E86</f>
        <v>21</v>
      </c>
      <c r="H86" s="460">
        <f>G86+'1'!H86</f>
        <v>72</v>
      </c>
      <c r="I86" s="655"/>
      <c r="J86" s="710">
        <f>H86/DAY(B2)</f>
        <v>36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80929</v>
      </c>
      <c r="F87" s="650">
        <v>80935</v>
      </c>
      <c r="G87" s="708">
        <f t="shared" si="6"/>
        <v>6</v>
      </c>
      <c r="H87" s="460">
        <f>G87+'1'!H87</f>
        <v>16</v>
      </c>
      <c r="I87" s="655"/>
      <c r="J87" s="710">
        <f>H87/DAY(B2)</f>
        <v>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151833</v>
      </c>
      <c r="F88" s="650">
        <v>151857</v>
      </c>
      <c r="G88" s="708">
        <f t="shared" si="6"/>
        <v>24</v>
      </c>
      <c r="H88" s="460">
        <f>G88+'1'!H88</f>
        <v>52</v>
      </c>
      <c r="I88" s="655"/>
      <c r="J88" s="710">
        <f>H88/DAY(B2)</f>
        <v>26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64841</v>
      </c>
      <c r="F89" s="650">
        <v>64847</v>
      </c>
      <c r="G89" s="708">
        <f t="shared" si="6"/>
        <v>6</v>
      </c>
      <c r="H89" s="460">
        <f>G89+'1'!H89</f>
        <v>13</v>
      </c>
      <c r="I89" s="655"/>
      <c r="J89" s="710">
        <f>H89/DAY(B2)</f>
        <v>6.5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3272</v>
      </c>
      <c r="F90" s="650">
        <v>3272</v>
      </c>
      <c r="G90" s="708">
        <f t="shared" si="6"/>
        <v>0</v>
      </c>
      <c r="H90" s="460">
        <f>G90+'1'!H90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455">
        <f>'1'!F91</f>
        <v>27910</v>
      </c>
      <c r="F91" s="650">
        <v>27911.65</v>
      </c>
      <c r="G91" s="708">
        <f t="shared" si="6"/>
        <v>1.6500000000014552</v>
      </c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315"/>
      <c r="C92" s="1315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55">
        <f>'1'!F93</f>
        <v>244576</v>
      </c>
      <c r="F93" s="478">
        <v>244612</v>
      </c>
      <c r="G93" s="473">
        <f t="shared" ref="G93:G94" si="7">F93-E93</f>
        <v>36</v>
      </c>
      <c r="H93" s="460">
        <f>G93+'1'!H93</f>
        <v>88</v>
      </c>
      <c r="I93" s="480"/>
      <c r="J93" s="552">
        <f>H93/DAY(B2)</f>
        <v>44</v>
      </c>
      <c r="K93" s="429"/>
      <c r="L93" s="377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55">
        <f>'1'!F94</f>
        <v>183626</v>
      </c>
      <c r="F94" s="478">
        <v>183727</v>
      </c>
      <c r="G94" s="473">
        <f t="shared" si="7"/>
        <v>101</v>
      </c>
      <c r="H94" s="460">
        <f>G94+'1'!H94</f>
        <v>196</v>
      </c>
      <c r="I94" s="480"/>
      <c r="J94" s="552">
        <f>H94/DAY(B2)</f>
        <v>98</v>
      </c>
      <c r="K94" s="380"/>
      <c r="L94" s="377"/>
      <c r="O94" s="382"/>
    </row>
    <row r="95" spans="1:15">
      <c r="A95" s="1553" t="s">
        <v>208</v>
      </c>
      <c r="B95" s="1554"/>
      <c r="C95" s="1555"/>
      <c r="D95" s="523"/>
      <c r="E95" s="455">
        <f>'1'!F95</f>
        <v>0</v>
      </c>
      <c r="F95" s="478"/>
      <c r="G95" s="473">
        <f>G93+G94</f>
        <v>137</v>
      </c>
      <c r="H95" s="460">
        <f>G95+'1'!H95</f>
        <v>137</v>
      </c>
      <c r="I95" s="480"/>
      <c r="J95" s="552">
        <f>H95/DAY(B2)</f>
        <v>68.5</v>
      </c>
      <c r="K95" s="380"/>
      <c r="L95" s="377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55">
        <f>'1'!F96</f>
        <v>412958</v>
      </c>
      <c r="F96" s="478">
        <v>413000</v>
      </c>
      <c r="G96" s="473">
        <f t="shared" ref="G96:G101" si="8">F96-E96</f>
        <v>42</v>
      </c>
      <c r="H96" s="460">
        <f>G96+'1'!H96</f>
        <v>114</v>
      </c>
      <c r="I96" s="480"/>
      <c r="J96" s="552">
        <f>H96/DAY(B2)</f>
        <v>57</v>
      </c>
      <c r="K96" s="380"/>
      <c r="L96" s="377"/>
      <c r="O96" s="382"/>
    </row>
    <row r="97" spans="1:15" ht="27.75">
      <c r="A97" s="1309" t="s">
        <v>210</v>
      </c>
      <c r="B97" s="1310"/>
      <c r="C97" s="1310"/>
      <c r="D97" s="523" t="s">
        <v>144</v>
      </c>
      <c r="E97" s="455">
        <f>'1'!F97</f>
        <v>102355</v>
      </c>
      <c r="F97" s="478">
        <v>102367</v>
      </c>
      <c r="G97" s="473">
        <f t="shared" si="8"/>
        <v>12</v>
      </c>
      <c r="H97" s="460">
        <f>G97+'1'!H97</f>
        <v>24</v>
      </c>
      <c r="I97" s="480"/>
      <c r="J97" s="552">
        <f>H97/DAY(B2)</f>
        <v>12</v>
      </c>
      <c r="K97" s="427"/>
      <c r="L97" s="377"/>
      <c r="O97" s="382"/>
    </row>
    <row r="98" spans="1:15" ht="27.75">
      <c r="A98" s="1309" t="s">
        <v>211</v>
      </c>
      <c r="B98" s="1310"/>
      <c r="C98" s="1310"/>
      <c r="D98" s="523" t="s">
        <v>144</v>
      </c>
      <c r="E98" s="455">
        <f>'1'!F98</f>
        <v>97444</v>
      </c>
      <c r="F98" s="478">
        <v>97462</v>
      </c>
      <c r="G98" s="473">
        <f t="shared" si="8"/>
        <v>18</v>
      </c>
      <c r="H98" s="460">
        <f>G98+'1'!H98</f>
        <v>35</v>
      </c>
      <c r="I98" s="480"/>
      <c r="J98" s="552">
        <f>H98/DAY(B2)</f>
        <v>17.5</v>
      </c>
      <c r="K98" s="432"/>
      <c r="L98" s="377"/>
      <c r="O98" s="382"/>
    </row>
    <row r="99" spans="1:15" ht="27.75">
      <c r="A99" s="1309" t="s">
        <v>212</v>
      </c>
      <c r="B99" s="1310"/>
      <c r="C99" s="1310"/>
      <c r="D99" s="523" t="s">
        <v>144</v>
      </c>
      <c r="E99" s="455">
        <f>'1'!F99</f>
        <v>149538</v>
      </c>
      <c r="F99" s="478">
        <v>149543</v>
      </c>
      <c r="G99" s="473">
        <f t="shared" si="8"/>
        <v>5</v>
      </c>
      <c r="H99" s="460">
        <f>G99+'1'!H99</f>
        <v>10</v>
      </c>
      <c r="I99" s="480"/>
      <c r="J99" s="552">
        <f>H99/DAY(B2)</f>
        <v>5</v>
      </c>
      <c r="K99" s="380"/>
      <c r="L99" s="377"/>
      <c r="O99" s="382"/>
    </row>
    <row r="100" spans="1:15" ht="27.75">
      <c r="A100" s="1309" t="s">
        <v>213</v>
      </c>
      <c r="B100" s="1310"/>
      <c r="C100" s="1310"/>
      <c r="D100" s="523" t="s">
        <v>144</v>
      </c>
      <c r="E100" s="455">
        <f>'1'!F100</f>
        <v>7190</v>
      </c>
      <c r="F100" s="478">
        <v>7195</v>
      </c>
      <c r="G100" s="473">
        <f t="shared" si="8"/>
        <v>5</v>
      </c>
      <c r="H100" s="460">
        <f>G100+'1'!H100</f>
        <v>10</v>
      </c>
      <c r="I100" s="480"/>
      <c r="J100" s="552">
        <f>H100/DAY(B2)</f>
        <v>5</v>
      </c>
      <c r="K100" s="380"/>
      <c r="L100" s="377"/>
      <c r="O100" s="382"/>
    </row>
    <row r="101" spans="1:15" ht="27.75">
      <c r="A101" s="1309" t="s">
        <v>214</v>
      </c>
      <c r="B101" s="1310"/>
      <c r="C101" s="1310"/>
      <c r="D101" s="523" t="s">
        <v>144</v>
      </c>
      <c r="E101" s="455">
        <f>'1'!F101</f>
        <v>5144</v>
      </c>
      <c r="F101" s="478">
        <v>5150</v>
      </c>
      <c r="G101" s="473">
        <f t="shared" si="8"/>
        <v>6</v>
      </c>
      <c r="H101" s="460">
        <f>G101+'1'!H101</f>
        <v>12</v>
      </c>
      <c r="I101" s="480"/>
      <c r="J101" s="552">
        <f>H101/DAY(B2)</f>
        <v>6</v>
      </c>
      <c r="K101" s="380"/>
      <c r="L101" s="377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525">
        <f>SUM(G96:G101)</f>
        <v>88</v>
      </c>
      <c r="H102" s="460">
        <f>G102+'1'!H102</f>
        <v>205</v>
      </c>
      <c r="I102" s="526"/>
      <c r="J102" s="552">
        <f>H102/DAY(B2)</f>
        <v>102.5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661"/>
      <c r="G104" s="532"/>
      <c r="H104" s="533"/>
      <c r="I104" s="532"/>
      <c r="J104" s="558"/>
      <c r="O104" s="382"/>
    </row>
    <row r="105" spans="1:15" s="442" customFormat="1" ht="27.75">
      <c r="A105" s="1517" t="s">
        <v>219</v>
      </c>
      <c r="B105" s="1518"/>
      <c r="C105" s="1307"/>
      <c r="D105" s="622" t="s">
        <v>144</v>
      </c>
      <c r="E105" s="455">
        <f>'1'!F105</f>
        <v>7431</v>
      </c>
      <c r="F105" s="661">
        <v>7431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17" t="s">
        <v>77</v>
      </c>
      <c r="B106" s="1518"/>
      <c r="C106" s="1307"/>
      <c r="D106" s="622" t="s">
        <v>144</v>
      </c>
      <c r="E106" s="455">
        <f>'1'!F106</f>
        <v>35828</v>
      </c>
      <c r="F106" s="662">
        <v>35836</v>
      </c>
      <c r="G106" s="532">
        <f t="shared" ref="G106:G107" si="9">F106-E106</f>
        <v>8</v>
      </c>
      <c r="H106" s="460">
        <f>G106+'1'!H106</f>
        <v>8</v>
      </c>
      <c r="I106" s="532"/>
      <c r="J106" s="558">
        <f>H106/DAY(B2)</f>
        <v>4</v>
      </c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455">
        <f>'1'!F107</f>
        <v>19617</v>
      </c>
      <c r="F107" s="661">
        <v>19620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19" t="s">
        <v>202</v>
      </c>
      <c r="B108" s="1520"/>
      <c r="C108" s="1307"/>
      <c r="D108" s="622"/>
      <c r="E108" s="532"/>
      <c r="F108" s="661"/>
      <c r="G108" s="532">
        <f>SUM(G105:G107)</f>
        <v>11</v>
      </c>
      <c r="H108" s="460">
        <f>G108+'1'!H108</f>
        <v>11</v>
      </c>
      <c r="I108" s="532"/>
      <c r="J108" s="558">
        <f>H108/DAY(B2)</f>
        <v>5.5</v>
      </c>
      <c r="O108" s="382"/>
    </row>
    <row r="109" spans="1:15" s="442" customFormat="1" ht="27.75">
      <c r="A109" s="1523" t="s">
        <v>79</v>
      </c>
      <c r="B109" s="1524"/>
      <c r="C109" s="1307"/>
      <c r="D109" s="622" t="s">
        <v>144</v>
      </c>
      <c r="E109" s="532"/>
      <c r="F109" s="661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17" t="s">
        <v>220</v>
      </c>
      <c r="B110" s="1518"/>
      <c r="C110" s="1307"/>
      <c r="D110" s="622" t="s">
        <v>144</v>
      </c>
      <c r="E110" s="455">
        <f>'1'!F110</f>
        <v>61259</v>
      </c>
      <c r="F110" s="661">
        <v>61299</v>
      </c>
      <c r="G110" s="532">
        <f>F110-E110</f>
        <v>40</v>
      </c>
      <c r="H110" s="460">
        <f>G110+'1'!H110</f>
        <v>125</v>
      </c>
      <c r="I110" s="532"/>
      <c r="J110" s="558">
        <f>H110/DAY(B2)</f>
        <v>62.5</v>
      </c>
      <c r="O110" s="382"/>
    </row>
    <row r="111" spans="1:15" s="442" customFormat="1" ht="27.75">
      <c r="A111" s="1517" t="s">
        <v>221</v>
      </c>
      <c r="B111" s="1518"/>
      <c r="C111" s="1307"/>
      <c r="D111" s="622" t="s">
        <v>144</v>
      </c>
      <c r="E111" s="455">
        <f>'1'!F111</f>
        <v>32235</v>
      </c>
      <c r="F111" s="661">
        <v>32235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17" t="s">
        <v>222</v>
      </c>
      <c r="B112" s="1518"/>
      <c r="C112" s="1307"/>
      <c r="D112" s="622" t="s">
        <v>144</v>
      </c>
      <c r="E112" s="455">
        <f>'1'!F112</f>
        <v>4395</v>
      </c>
      <c r="F112" s="661">
        <v>4395</v>
      </c>
      <c r="G112" s="532">
        <f t="shared" si="10"/>
        <v>0</v>
      </c>
      <c r="H112" s="460">
        <f>G112+'1'!H112</f>
        <v>27</v>
      </c>
      <c r="I112" s="532"/>
      <c r="J112" s="558">
        <f>H112/DAY(B2)</f>
        <v>13.5</v>
      </c>
      <c r="O112" s="382"/>
    </row>
    <row r="113" spans="1:15" s="442" customFormat="1" ht="27.75">
      <c r="A113" s="1521" t="s">
        <v>110</v>
      </c>
      <c r="B113" s="1522"/>
      <c r="C113" s="1307"/>
      <c r="D113" s="622"/>
      <c r="E113" s="532"/>
      <c r="F113" s="661"/>
      <c r="G113" s="532">
        <f>SUM(G110:G112)</f>
        <v>40</v>
      </c>
      <c r="H113" s="460">
        <f>G113+'1'!H113</f>
        <v>152</v>
      </c>
      <c r="I113" s="532"/>
      <c r="J113" s="558">
        <f>H113/DAY(B2)</f>
        <v>76</v>
      </c>
      <c r="O113" s="382"/>
    </row>
    <row r="114" spans="1:15" s="442" customFormat="1" ht="27.75">
      <c r="A114" s="1523" t="s">
        <v>223</v>
      </c>
      <c r="B114" s="1524"/>
      <c r="C114" s="1307"/>
      <c r="D114" s="622"/>
      <c r="E114" s="532"/>
      <c r="F114" s="661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455">
        <f>'1'!F115</f>
        <v>11268</v>
      </c>
      <c r="F115" s="662">
        <v>11272</v>
      </c>
      <c r="G115" s="534">
        <f>F115-E115</f>
        <v>4</v>
      </c>
      <c r="H115" s="460">
        <f>G115+'1'!H115</f>
        <v>13</v>
      </c>
      <c r="I115" s="532"/>
      <c r="J115" s="558">
        <f>H115/DAY(B2)</f>
        <v>6.5</v>
      </c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455">
        <f>'1'!F116</f>
        <v>8131</v>
      </c>
      <c r="F116" s="662">
        <v>8135</v>
      </c>
      <c r="G116" s="534">
        <f t="shared" ref="G116:G117" si="11">F116-E116</f>
        <v>4</v>
      </c>
      <c r="H116" s="460">
        <f>G116+'1'!H116</f>
        <v>9</v>
      </c>
      <c r="I116" s="532"/>
      <c r="J116" s="558">
        <f>H116/DAY(B2)</f>
        <v>4.5</v>
      </c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8</v>
      </c>
      <c r="H118" s="460">
        <f>G118+'1'!H118</f>
        <v>22</v>
      </c>
      <c r="I118" s="534"/>
      <c r="J118" s="558">
        <f>H118/DAY(B2)</f>
        <v>11</v>
      </c>
      <c r="O118" s="382"/>
    </row>
    <row r="119" spans="1:15" s="446" customFormat="1" ht="27.75">
      <c r="A119" s="1513" t="s">
        <v>227</v>
      </c>
      <c r="B119" s="1514"/>
      <c r="C119" s="1306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G119+'1'!H119</f>
        <v>195</v>
      </c>
      <c r="I119" s="535"/>
      <c r="J119" s="559">
        <f>H119/DAY(B2)</f>
        <v>97.5</v>
      </c>
      <c r="O119" s="382"/>
    </row>
    <row r="120" spans="1:15" s="446" customFormat="1" ht="27.75">
      <c r="A120" s="1513" t="s">
        <v>228</v>
      </c>
      <c r="B120" s="1514"/>
      <c r="C120" s="1306"/>
      <c r="D120" s="624" t="s">
        <v>144</v>
      </c>
      <c r="E120" s="536"/>
      <c r="F120" s="663">
        <f>SUM(G96,G97,G98,G100,G101)</f>
        <v>83</v>
      </c>
      <c r="G120" s="536">
        <f>SUM(G96,G97,G98,G100,G101)</f>
        <v>83</v>
      </c>
      <c r="H120" s="460">
        <f>G120+'1'!H120</f>
        <v>195</v>
      </c>
      <c r="I120" s="535"/>
      <c r="J120" s="559">
        <f>H120/DAY(B2)</f>
        <v>97.5</v>
      </c>
      <c r="O120" s="382"/>
    </row>
    <row r="121" spans="1:15" s="446" customFormat="1" ht="27.75">
      <c r="A121" s="1513" t="s">
        <v>229</v>
      </c>
      <c r="B121" s="1514"/>
      <c r="C121" s="1306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G121+'1'!H121</f>
        <v>152</v>
      </c>
      <c r="I121" s="535"/>
      <c r="J121" s="559">
        <f>H121/DAY(B2)</f>
        <v>76</v>
      </c>
      <c r="O121" s="382"/>
    </row>
    <row r="122" spans="1:15" s="442" customFormat="1" ht="27.75">
      <c r="A122" s="1515"/>
      <c r="B122" s="1516"/>
      <c r="C122" s="1307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9" t="s">
        <v>231</v>
      </c>
      <c r="B124" s="1310"/>
      <c r="C124" s="1310"/>
      <c r="D124" s="523" t="s">
        <v>141</v>
      </c>
      <c r="E124" s="455">
        <f>'1'!F124</f>
        <v>826321</v>
      </c>
      <c r="F124" s="478">
        <v>826524</v>
      </c>
      <c r="G124" s="473">
        <f t="shared" ref="G124:G128" si="12">F124-E124</f>
        <v>203</v>
      </c>
      <c r="H124" s="460">
        <f>G124+'1'!H124</f>
        <v>435.54000000003725</v>
      </c>
      <c r="I124" s="526"/>
      <c r="J124" s="552">
        <f>H124/DAY(B2)</f>
        <v>217.77000000001863</v>
      </c>
      <c r="K124" s="380"/>
      <c r="L124" s="377"/>
      <c r="O124" s="382"/>
    </row>
    <row r="125" spans="1:15" ht="27.75">
      <c r="A125" s="1309" t="s">
        <v>232</v>
      </c>
      <c r="B125" s="1310"/>
      <c r="C125" s="1310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55">
        <f>'1'!F126</f>
        <v>144747</v>
      </c>
      <c r="F126" s="478">
        <v>144820</v>
      </c>
      <c r="G126" s="473">
        <f t="shared" si="12"/>
        <v>73</v>
      </c>
      <c r="H126" s="460">
        <f>G126+'1'!H126</f>
        <v>132.55999999999767</v>
      </c>
      <c r="I126" s="526"/>
      <c r="J126" s="552">
        <f>H126/DAY(B2)</f>
        <v>66.279999999998836</v>
      </c>
      <c r="K126" s="380"/>
      <c r="L126" s="377"/>
      <c r="O126" s="382"/>
    </row>
    <row r="127" spans="1:15" ht="27.75">
      <c r="A127" s="609" t="s">
        <v>234</v>
      </c>
      <c r="B127" s="1310"/>
      <c r="C127" s="1310"/>
      <c r="D127" s="523" t="s">
        <v>141</v>
      </c>
      <c r="E127" s="455">
        <f>'1'!F127</f>
        <v>31404</v>
      </c>
      <c r="F127" s="626">
        <v>31404</v>
      </c>
      <c r="G127" s="473">
        <f t="shared" si="12"/>
        <v>0</v>
      </c>
      <c r="H127" s="460">
        <f>G127+'1'!H127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10"/>
      <c r="C128" s="1310"/>
      <c r="D128" s="523" t="s">
        <v>141</v>
      </c>
      <c r="E128" s="455">
        <f>'1'!F128</f>
        <v>8970</v>
      </c>
      <c r="F128" s="626">
        <v>8970</v>
      </c>
      <c r="G128" s="473">
        <f t="shared" si="12"/>
        <v>0</v>
      </c>
      <c r="H128" s="460">
        <f>G128+'1'!H128</f>
        <v>0.2999999999992724</v>
      </c>
      <c r="I128" s="480"/>
      <c r="J128" s="552">
        <f>H128/DAY(B2)</f>
        <v>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10"/>
      <c r="C129" s="1310"/>
      <c r="D129" s="523"/>
      <c r="E129" s="478"/>
      <c r="F129" s="478"/>
      <c r="G129" s="473">
        <f>G15-SUM(G124:G128)</f>
        <v>169</v>
      </c>
      <c r="H129" s="460">
        <f>G129+'1'!H129</f>
        <v>210.5999999999658</v>
      </c>
      <c r="I129" s="480"/>
      <c r="J129" s="552">
        <f>H129/DAY(B2)</f>
        <v>105.2999999999829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9" t="s">
        <v>238</v>
      </c>
      <c r="B131" s="1310"/>
      <c r="C131" s="1310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9" t="s">
        <v>240</v>
      </c>
      <c r="B132" s="1310"/>
      <c r="C132" s="1310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9" t="s">
        <v>241</v>
      </c>
      <c r="B133" s="1310"/>
      <c r="C133" s="1310"/>
      <c r="D133" s="523" t="s">
        <v>239</v>
      </c>
      <c r="E133" s="455">
        <f>'1'!F133</f>
        <v>39770.33</v>
      </c>
      <c r="F133" s="654">
        <v>39794.31</v>
      </c>
      <c r="G133" s="473">
        <f t="shared" si="13"/>
        <v>23.979999999995925</v>
      </c>
      <c r="H133" s="460">
        <f>G133+'1'!H133</f>
        <v>47.82999999999447</v>
      </c>
      <c r="I133" s="480"/>
      <c r="J133" s="552">
        <f>H133/DAY(B2)</f>
        <v>23.914999999997235</v>
      </c>
      <c r="O133" s="382"/>
    </row>
    <row r="134" spans="1:15" ht="27.75">
      <c r="A134" s="1309" t="s">
        <v>242</v>
      </c>
      <c r="B134" s="1310"/>
      <c r="C134" s="1310"/>
      <c r="D134" s="523" t="s">
        <v>239</v>
      </c>
      <c r="E134" s="455">
        <f>'1'!F134</f>
        <v>300</v>
      </c>
      <c r="F134" s="654">
        <v>300</v>
      </c>
      <c r="G134" s="473">
        <f t="shared" si="13"/>
        <v>0</v>
      </c>
      <c r="H134" s="460">
        <f>G134+'1'!H134</f>
        <v>0</v>
      </c>
      <c r="I134" s="480">
        <f>G133+G134+G135+G136</f>
        <v>23.979999999995925</v>
      </c>
      <c r="J134" s="552">
        <f>H134/DAY(B2)</f>
        <v>0</v>
      </c>
      <c r="O134" s="382"/>
    </row>
    <row r="135" spans="1:15" ht="27.75">
      <c r="A135" s="1309" t="s">
        <v>243</v>
      </c>
      <c r="B135" s="1310"/>
      <c r="C135" s="1310"/>
      <c r="D135" s="523" t="s">
        <v>239</v>
      </c>
      <c r="E135" s="455">
        <f>'1'!F135</f>
        <v>41385</v>
      </c>
      <c r="F135" s="654">
        <v>41385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9" t="s">
        <v>244</v>
      </c>
      <c r="B136" s="1310"/>
      <c r="C136" s="1310"/>
      <c r="D136" s="523" t="s">
        <v>239</v>
      </c>
      <c r="E136" s="455">
        <f>'1'!F136</f>
        <v>32583</v>
      </c>
      <c r="F136" s="654">
        <v>32583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9" t="s">
        <v>245</v>
      </c>
      <c r="B137" s="1310"/>
      <c r="C137" s="1310"/>
      <c r="D137" s="523" t="s">
        <v>239</v>
      </c>
      <c r="E137" s="455">
        <f>'1'!F137</f>
        <v>22739.59</v>
      </c>
      <c r="F137" s="654">
        <v>22742.3</v>
      </c>
      <c r="G137" s="473">
        <f t="shared" si="13"/>
        <v>2.7099999999991269</v>
      </c>
      <c r="H137" s="460">
        <f>G137+'1'!H137</f>
        <v>2.7099999999991269</v>
      </c>
      <c r="I137" s="480"/>
      <c r="J137" s="552">
        <f>H137/DAY(B2)</f>
        <v>1.3549999999995634</v>
      </c>
      <c r="O137" s="382"/>
    </row>
    <row r="138" spans="1:15" ht="27.75">
      <c r="A138" s="1309" t="s">
        <v>246</v>
      </c>
      <c r="B138" s="1310"/>
      <c r="C138" s="1310"/>
      <c r="D138" s="523" t="s">
        <v>239</v>
      </c>
      <c r="E138" s="455">
        <f>'1'!F138</f>
        <v>25051.59</v>
      </c>
      <c r="F138" s="654">
        <v>25051.59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9" t="s">
        <v>247</v>
      </c>
      <c r="B139" s="1310"/>
      <c r="C139" s="1310"/>
      <c r="D139" s="523" t="s">
        <v>239</v>
      </c>
      <c r="E139" s="455">
        <f>'1'!F139</f>
        <v>70315.81</v>
      </c>
      <c r="F139" s="654">
        <v>70315.81</v>
      </c>
      <c r="G139" s="473">
        <f t="shared" si="13"/>
        <v>0</v>
      </c>
      <c r="H139" s="460">
        <f>G139+'1'!H139</f>
        <v>0</v>
      </c>
      <c r="I139" s="480">
        <f>G137+G138+G139</f>
        <v>2.7099999999991269</v>
      </c>
      <c r="J139" s="552">
        <f>H139/DAY(B2)</f>
        <v>0</v>
      </c>
      <c r="O139" s="382"/>
    </row>
    <row r="140" spans="1:15" ht="27.75">
      <c r="A140" s="1309" t="s">
        <v>248</v>
      </c>
      <c r="B140" s="1310"/>
      <c r="C140" s="1310"/>
      <c r="D140" s="523" t="s">
        <v>239</v>
      </c>
      <c r="E140" s="455">
        <f>'1'!F140</f>
        <v>1625.74</v>
      </c>
      <c r="F140" s="478">
        <v>1633.55</v>
      </c>
      <c r="G140" s="473">
        <f t="shared" si="13"/>
        <v>7.8099999999999454</v>
      </c>
      <c r="H140" s="460">
        <f>G140+'1'!H140</f>
        <v>16.690000000000055</v>
      </c>
      <c r="I140" s="542"/>
      <c r="J140" s="552">
        <f>H140/DAY(B2)</f>
        <v>8.3450000000000273</v>
      </c>
      <c r="O140" s="382"/>
    </row>
    <row r="141" spans="1:15" ht="27.75">
      <c r="A141" s="1309" t="s">
        <v>249</v>
      </c>
      <c r="B141" s="1310"/>
      <c r="C141" s="1310"/>
      <c r="D141" s="523" t="s">
        <v>239</v>
      </c>
      <c r="E141" s="455">
        <f>'1'!F141</f>
        <v>4637</v>
      </c>
      <c r="F141" s="478">
        <v>4637</v>
      </c>
      <c r="G141" s="473">
        <f t="shared" si="13"/>
        <v>0</v>
      </c>
      <c r="H141" s="460">
        <f>G141+'1'!H141</f>
        <v>0</v>
      </c>
      <c r="I141" s="542">
        <f>G140+G141</f>
        <v>7.8099999999999454</v>
      </c>
      <c r="J141" s="552">
        <f>H141/DAY(B2)</f>
        <v>0</v>
      </c>
      <c r="O141" s="382"/>
    </row>
    <row r="142" spans="1:15">
      <c r="A142" s="1531" t="s">
        <v>250</v>
      </c>
      <c r="B142" s="1532"/>
      <c r="C142" s="131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4239.1300000000047</v>
      </c>
      <c r="H143" s="460">
        <f>G143+'1'!H143</f>
        <v>8726</v>
      </c>
      <c r="I143" s="480"/>
      <c r="J143" s="552">
        <f>H143/DAY(B2)</f>
        <v>4363</v>
      </c>
      <c r="K143" s="380"/>
      <c r="L143" s="377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0.26559300795689522</v>
      </c>
      <c r="H144" s="460">
        <f>G144+'1'!H144</f>
        <v>0.54623286284806327</v>
      </c>
      <c r="I144" s="544"/>
      <c r="J144" s="552">
        <f>H144/DAY(B2)</f>
        <v>0.27311643142403164</v>
      </c>
      <c r="K144" s="380"/>
      <c r="L144" s="377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5001</v>
      </c>
      <c r="H145" s="460">
        <f>G145+'1'!H145</f>
        <v>9655.5300000000279</v>
      </c>
      <c r="I145" s="480"/>
      <c r="J145" s="552">
        <f>H145/DAY(B2)</f>
        <v>4827.765000000014</v>
      </c>
      <c r="K145" s="380"/>
      <c r="L145" s="377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0.31332623269218718</v>
      </c>
      <c r="H146" s="460">
        <f>G146+'1'!H146</f>
        <v>0.60445270254457828</v>
      </c>
      <c r="I146" s="544"/>
      <c r="J146" s="552">
        <f>H146/DAY(B2)</f>
        <v>0.30222635127228914</v>
      </c>
      <c r="K146" s="380"/>
      <c r="L146" s="377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2441</v>
      </c>
      <c r="H147" s="460">
        <f>G147+'1'!H147</f>
        <v>5036</v>
      </c>
      <c r="I147" s="545"/>
      <c r="J147" s="552">
        <f>H147/DAY(B2)</f>
        <v>2518</v>
      </c>
      <c r="K147" s="380"/>
      <c r="L147" s="377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0.15293527974437693</v>
      </c>
      <c r="H148" s="460">
        <f>G148+'1'!H148</f>
        <v>0.3152445116683199</v>
      </c>
      <c r="I148" s="545"/>
      <c r="J148" s="552">
        <f>H148/DAY(B2)</f>
        <v>0.15762225583415995</v>
      </c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1301</v>
      </c>
      <c r="H149" s="460">
        <f>G149+'1'!H149</f>
        <v>2653</v>
      </c>
      <c r="I149" s="480"/>
      <c r="J149" s="552">
        <f>H149/DAY(B2)</f>
        <v>1326.5</v>
      </c>
      <c r="K149" s="381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8.1511183509805143E-2</v>
      </c>
      <c r="H150" s="460">
        <f>G150+'1'!H150</f>
        <v>0.16607460607673036</v>
      </c>
      <c r="I150" s="545"/>
      <c r="J150" s="552">
        <f>H150/DAY(B2)</f>
        <v>8.3037303038365179E-2</v>
      </c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1269</v>
      </c>
      <c r="H151" s="460">
        <f>G151+'1'!H151</f>
        <v>2609</v>
      </c>
      <c r="I151" s="545"/>
      <c r="J151" s="552">
        <f>H151/DAY(B2)</f>
        <v>1304.5</v>
      </c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7.9506296597957521E-2</v>
      </c>
      <c r="H152" s="460">
        <f>G152+'1'!H152</f>
        <v>0.16331915624269105</v>
      </c>
      <c r="I152" s="480"/>
      <c r="J152" s="552">
        <f>H152/DAY(B2)</f>
        <v>8.1659578121345527E-2</v>
      </c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1264</v>
      </c>
      <c r="H153" s="460">
        <f>G153+'1'!H153</f>
        <v>2546</v>
      </c>
      <c r="I153" s="480"/>
      <c r="J153" s="552">
        <f>H153/DAY(B2)</f>
        <v>1273</v>
      </c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7.9193033017981335E-2</v>
      </c>
      <c r="H154" s="460">
        <f>G154+'1'!H154</f>
        <v>0.15937817187212194</v>
      </c>
      <c r="I154" s="568"/>
      <c r="J154" s="569">
        <f>H154/DAY(B2)</f>
        <v>7.9689085936060972E-2</v>
      </c>
      <c r="O154" s="382"/>
    </row>
    <row r="155" spans="1:15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O155" s="382"/>
    </row>
    <row r="158" spans="1:15" ht="29.25" customHeight="1">
      <c r="A158" s="1559" t="s">
        <v>267</v>
      </c>
      <c r="B158" s="1560"/>
      <c r="C158" s="1560"/>
      <c r="D158" s="1560"/>
      <c r="E158" s="1560"/>
      <c r="F158" s="1560"/>
      <c r="G158" s="1561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455">
        <f>'1'!F161</f>
        <v>36012</v>
      </c>
      <c r="F161" s="661">
        <v>36093</v>
      </c>
      <c r="G161" s="473">
        <f t="shared" ref="G161:G172" si="14">F161-E161</f>
        <v>81</v>
      </c>
    </row>
    <row r="162" spans="1:7">
      <c r="A162" s="788" t="s">
        <v>264</v>
      </c>
      <c r="B162" s="789"/>
      <c r="C162" s="789"/>
      <c r="D162" s="511" t="s">
        <v>187</v>
      </c>
      <c r="E162" s="455">
        <f>'1'!F162</f>
        <v>82806</v>
      </c>
      <c r="F162" s="661">
        <v>83235</v>
      </c>
      <c r="G162" s="473">
        <f t="shared" si="14"/>
        <v>429</v>
      </c>
    </row>
    <row r="163" spans="1:7">
      <c r="A163" s="788" t="s">
        <v>265</v>
      </c>
      <c r="B163" s="789"/>
      <c r="C163" s="789"/>
      <c r="D163" s="511" t="s">
        <v>187</v>
      </c>
      <c r="E163" s="455">
        <f>'1'!F163</f>
        <v>38569</v>
      </c>
      <c r="F163" s="661">
        <v>38792</v>
      </c>
      <c r="G163" s="473">
        <f t="shared" si="14"/>
        <v>223</v>
      </c>
    </row>
    <row r="164" spans="1:7">
      <c r="A164" s="788" t="s">
        <v>266</v>
      </c>
      <c r="B164" s="789"/>
      <c r="C164" s="789"/>
      <c r="D164" s="511" t="s">
        <v>187</v>
      </c>
      <c r="E164" s="455">
        <f>'1'!F164</f>
        <v>6241</v>
      </c>
      <c r="F164" s="661">
        <v>6245</v>
      </c>
      <c r="G164" s="473">
        <f t="shared" si="14"/>
        <v>4</v>
      </c>
    </row>
    <row r="165" spans="1:7">
      <c r="A165" s="790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90" t="s">
        <v>188</v>
      </c>
      <c r="B166" s="604"/>
      <c r="C166" s="604"/>
      <c r="D166" s="511" t="s">
        <v>187</v>
      </c>
      <c r="E166" s="455">
        <f>'1'!F166</f>
        <v>2363</v>
      </c>
      <c r="F166" s="514">
        <f t="shared" ref="F166:F172" si="15">F63</f>
        <v>2367</v>
      </c>
      <c r="G166" s="473">
        <f t="shared" si="14"/>
        <v>4</v>
      </c>
    </row>
    <row r="167" spans="1:7" ht="27.75">
      <c r="A167" s="1500" t="s">
        <v>99</v>
      </c>
      <c r="B167" s="1500"/>
      <c r="C167" s="1500"/>
      <c r="D167" s="523" t="s">
        <v>187</v>
      </c>
      <c r="E167" s="455">
        <f>'1'!F167</f>
        <v>153510</v>
      </c>
      <c r="F167" s="514">
        <f t="shared" si="15"/>
        <v>153718</v>
      </c>
      <c r="G167" s="473">
        <f t="shared" si="14"/>
        <v>208</v>
      </c>
    </row>
    <row r="168" spans="1:7" ht="27.75">
      <c r="A168" s="1500" t="s">
        <v>100</v>
      </c>
      <c r="B168" s="1500"/>
      <c r="C168" s="1500"/>
      <c r="D168" s="523" t="s">
        <v>187</v>
      </c>
      <c r="E168" s="455">
        <f>'1'!F168</f>
        <v>154807</v>
      </c>
      <c r="F168" s="514">
        <f t="shared" si="15"/>
        <v>155006</v>
      </c>
      <c r="G168" s="473">
        <f t="shared" si="14"/>
        <v>199</v>
      </c>
    </row>
    <row r="169" spans="1:7" ht="27.75">
      <c r="A169" s="1500" t="s">
        <v>101</v>
      </c>
      <c r="B169" s="1500"/>
      <c r="C169" s="1500"/>
      <c r="D169" s="523" t="s">
        <v>187</v>
      </c>
      <c r="E169" s="455">
        <f>'1'!F169</f>
        <v>48842</v>
      </c>
      <c r="F169" s="514">
        <f t="shared" si="15"/>
        <v>49114</v>
      </c>
      <c r="G169" s="473">
        <f t="shared" si="14"/>
        <v>272</v>
      </c>
    </row>
    <row r="170" spans="1:7" ht="27.75">
      <c r="A170" s="1500" t="s">
        <v>102</v>
      </c>
      <c r="B170" s="1500"/>
      <c r="C170" s="1500"/>
      <c r="D170" s="523" t="s">
        <v>187</v>
      </c>
      <c r="E170" s="455">
        <f>'1'!F170</f>
        <v>243396</v>
      </c>
      <c r="F170" s="514">
        <f t="shared" si="15"/>
        <v>243610</v>
      </c>
      <c r="G170" s="473">
        <f t="shared" si="14"/>
        <v>214</v>
      </c>
    </row>
    <row r="171" spans="1:7" ht="27.75">
      <c r="A171" s="1500" t="s">
        <v>103</v>
      </c>
      <c r="B171" s="1500"/>
      <c r="C171" s="1500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455">
        <f>'1'!F172</f>
        <v>79076</v>
      </c>
      <c r="F172" s="514">
        <f t="shared" si="15"/>
        <v>79169</v>
      </c>
      <c r="G172" s="473">
        <f t="shared" si="14"/>
        <v>93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69:C169"/>
    <mergeCell ref="A170:C170"/>
    <mergeCell ref="A171:C171"/>
    <mergeCell ref="A172:C172"/>
    <mergeCell ref="A167:C167"/>
    <mergeCell ref="A168:C168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49:C149"/>
    <mergeCell ref="A153:C153"/>
    <mergeCell ref="A154:C154"/>
    <mergeCell ref="A150:C150"/>
    <mergeCell ref="A151:C151"/>
    <mergeCell ref="A152:C152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0" zoomScale="55" zoomScaleSheetLayoutView="55" workbookViewId="0">
      <selection activeCell="F28" activeCellId="1" sqref="F28 F28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344</v>
      </c>
      <c r="B2" s="1036">
        <v>44319</v>
      </c>
      <c r="C2" s="1311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29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5759382</v>
      </c>
      <c r="F7" s="455">
        <v>5775411</v>
      </c>
      <c r="G7" s="692">
        <f>F7-E7</f>
        <v>16029</v>
      </c>
      <c r="H7" s="682">
        <f>G7+'2'!H7</f>
        <v>47978</v>
      </c>
      <c r="I7" s="683">
        <f>'[2]1'!I7</f>
        <v>12000</v>
      </c>
      <c r="J7" s="684">
        <f>H7/DAY(B2)</f>
        <v>15992.666666666666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5793328</v>
      </c>
      <c r="F8" s="475">
        <v>5809417</v>
      </c>
      <c r="G8" s="692">
        <f>F8-E8</f>
        <v>16089</v>
      </c>
      <c r="H8" s="682">
        <f>G8+'2'!H8</f>
        <v>48173</v>
      </c>
      <c r="I8" s="689">
        <v>12000</v>
      </c>
      <c r="J8" s="684">
        <f>H8/DAY(B2)</f>
        <v>16057.666666666666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1021632</v>
      </c>
      <c r="F9" s="478">
        <v>1037141</v>
      </c>
      <c r="G9" s="705">
        <f t="shared" ref="G9:G12" si="0">F9-E9</f>
        <v>15509</v>
      </c>
      <c r="H9" s="682">
        <f>G9+'2'!H9</f>
        <v>46427</v>
      </c>
      <c r="I9" s="693">
        <f>I8-J8</f>
        <v>-4057.6666666666661</v>
      </c>
      <c r="J9" s="684">
        <f>H9/DAY(B2)</f>
        <v>15475.666666666666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15509</v>
      </c>
      <c r="H13" s="682">
        <f>G13+'2'!H13</f>
        <v>46427</v>
      </c>
      <c r="I13" s="698">
        <f>G7-G13</f>
        <v>520</v>
      </c>
      <c r="J13" s="684">
        <f>H13/DAY(B2)</f>
        <v>15475.666666666666</v>
      </c>
      <c r="K13" s="428"/>
      <c r="L13" s="377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1671436</v>
      </c>
      <c r="F15" s="485">
        <v>1671874</v>
      </c>
      <c r="G15" s="783">
        <f>F15-E15</f>
        <v>438</v>
      </c>
      <c r="H15" s="682">
        <f>G15+'2'!H15</f>
        <v>1217</v>
      </c>
      <c r="I15" s="474">
        <v>800</v>
      </c>
      <c r="J15" s="553">
        <f>H15/DAY(B2)</f>
        <v>405.66666666666669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394.33333333333331</v>
      </c>
      <c r="J16" s="553"/>
      <c r="K16" s="428"/>
      <c r="L16" s="377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65" t="s">
        <v>143</v>
      </c>
      <c r="B18" s="1566"/>
      <c r="C18" s="1567"/>
      <c r="D18" s="638" t="s">
        <v>144</v>
      </c>
      <c r="E18" s="478">
        <v>6</v>
      </c>
      <c r="F18" s="478">
        <v>6</v>
      </c>
      <c r="G18" s="697">
        <f>F18*10</f>
        <v>60</v>
      </c>
      <c r="H18" s="682">
        <f>G18+'2'!H18</f>
        <v>200</v>
      </c>
      <c r="I18" s="683">
        <f>'[2]1'!I18</f>
        <v>65</v>
      </c>
      <c r="J18" s="684">
        <f>H18/DAY(B2)</f>
        <v>66.666666666666671</v>
      </c>
      <c r="K18" s="428"/>
      <c r="L18" s="377"/>
      <c r="O18" s="382"/>
    </row>
    <row r="19" spans="1:15" ht="27.75">
      <c r="A19" s="1565" t="s">
        <v>71</v>
      </c>
      <c r="B19" s="1566"/>
      <c r="C19" s="1567"/>
      <c r="D19" s="638" t="s">
        <v>144</v>
      </c>
      <c r="E19" s="455">
        <f>'2'!F19</f>
        <v>137919</v>
      </c>
      <c r="F19" s="478">
        <v>137975</v>
      </c>
      <c r="G19" s="692">
        <f t="shared" ref="G19" si="1">F19-E19</f>
        <v>56</v>
      </c>
      <c r="H19" s="682">
        <f>G19+'2'!H19</f>
        <v>163</v>
      </c>
      <c r="I19" s="699"/>
      <c r="J19" s="684">
        <f>H19/DAY(B2)</f>
        <v>54.333333333333336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116</v>
      </c>
      <c r="H20" s="682">
        <f>G20+'2'!H20</f>
        <v>363</v>
      </c>
      <c r="I20" s="701">
        <f>I18-J20</f>
        <v>-56</v>
      </c>
      <c r="J20" s="684">
        <f>H20/DAY(B2)</f>
        <v>121</v>
      </c>
      <c r="K20" s="428"/>
      <c r="L20" s="377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f>'1'!F23</f>
        <v>2000</v>
      </c>
      <c r="F23" s="478">
        <v>2000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16089</v>
      </c>
      <c r="F27" s="501">
        <v>9</v>
      </c>
      <c r="G27" s="502">
        <f>E27*F27</f>
        <v>144801</v>
      </c>
      <c r="H27" s="682">
        <f>G27+'2'!H27</f>
        <v>433557</v>
      </c>
      <c r="I27" s="503"/>
      <c r="J27" s="552">
        <f>H27/DAY(B2)</f>
        <v>144519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438</v>
      </c>
      <c r="F28" s="501">
        <v>49</v>
      </c>
      <c r="G28" s="502">
        <f>E28*F28</f>
        <v>21462</v>
      </c>
      <c r="H28" s="682">
        <f>G28+'2'!H28</f>
        <v>59633</v>
      </c>
      <c r="I28" s="505"/>
      <c r="J28" s="552">
        <f>H28/DAY(B2)</f>
        <v>19877.666666666668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682">
        <f>G30+'2'!H30</f>
        <v>21842</v>
      </c>
      <c r="I30" s="505"/>
      <c r="J30" s="552">
        <f>H30/DAY(B2)</f>
        <v>7280.666666666667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G31+'2'!H31</f>
        <v>16000</v>
      </c>
      <c r="I31" s="505"/>
      <c r="J31" s="552">
        <f>H31/DAY(B2)</f>
        <v>5333.333333333333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178567</v>
      </c>
      <c r="H32" s="682">
        <f>G32+'2'!H32</f>
        <v>531032</v>
      </c>
      <c r="I32" s="509"/>
      <c r="J32" s="552">
        <f>H32/DAY(B2)</f>
        <v>177010.66666666666</v>
      </c>
      <c r="K32" s="373"/>
      <c r="L32" s="443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890635</v>
      </c>
      <c r="F35" s="510">
        <v>892809</v>
      </c>
      <c r="G35" s="473">
        <f t="shared" ref="G35:G46" si="3">F35-E35</f>
        <v>2174</v>
      </c>
      <c r="H35" s="682">
        <f>G35+'2'!H35</f>
        <v>6350</v>
      </c>
      <c r="I35" s="455"/>
      <c r="J35" s="552">
        <f>H35/DAY(B2)</f>
        <v>2116.6666666666665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345384</v>
      </c>
      <c r="F36" s="510">
        <v>345750</v>
      </c>
      <c r="G36" s="473">
        <f t="shared" si="3"/>
        <v>366</v>
      </c>
      <c r="H36" s="682">
        <f>G36+'2'!H36</f>
        <v>1142</v>
      </c>
      <c r="I36" s="455"/>
      <c r="J36" s="552">
        <f>H36/DAY(B2)</f>
        <v>380.66666666666669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97771</v>
      </c>
      <c r="F37" s="510">
        <v>98995</v>
      </c>
      <c r="G37" s="473">
        <f t="shared" si="3"/>
        <v>1224</v>
      </c>
      <c r="H37" s="682">
        <f>G37+'2'!H37</f>
        <v>3770</v>
      </c>
      <c r="I37" s="455"/>
      <c r="J37" s="552">
        <f>H37/DAY(B2)</f>
        <v>1256.6666666666667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122249</v>
      </c>
      <c r="F38" s="469">
        <v>123591</v>
      </c>
      <c r="G38" s="473">
        <f t="shared" si="3"/>
        <v>1342</v>
      </c>
      <c r="H38" s="682">
        <f>G38+'2'!H38</f>
        <v>3995</v>
      </c>
      <c r="I38" s="455"/>
      <c r="J38" s="552">
        <f>H38/DAY(B2)</f>
        <v>1331.6666666666667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250465</v>
      </c>
      <c r="F39" s="510">
        <v>252272</v>
      </c>
      <c r="G39" s="473">
        <f t="shared" si="3"/>
        <v>1807</v>
      </c>
      <c r="H39" s="682">
        <f>G39+'2'!H39</f>
        <v>5619</v>
      </c>
      <c r="I39" s="455"/>
      <c r="J39" s="552">
        <f>H39/DAY(B2)</f>
        <v>1873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0.23</v>
      </c>
      <c r="F40" s="510">
        <v>0.23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191184</v>
      </c>
      <c r="F41" s="510">
        <v>196005</v>
      </c>
      <c r="G41" s="473">
        <f t="shared" si="3"/>
        <v>4821</v>
      </c>
      <c r="H41" s="682">
        <f>G41+'2'!H41</f>
        <v>14477</v>
      </c>
      <c r="I41" s="455"/>
      <c r="J41" s="552">
        <f>H41/DAY(B2)</f>
        <v>4825.666666666667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59200</v>
      </c>
      <c r="F42" s="510">
        <v>59200</v>
      </c>
      <c r="G42" s="473">
        <f>F42-E42</f>
        <v>0</v>
      </c>
      <c r="H42" s="682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978508</v>
      </c>
      <c r="F43" s="510">
        <v>980728</v>
      </c>
      <c r="G43" s="473">
        <f t="shared" si="3"/>
        <v>2220</v>
      </c>
      <c r="H43" s="682">
        <f>G43+'2'!H43</f>
        <v>6770</v>
      </c>
      <c r="I43" s="455"/>
      <c r="J43" s="552">
        <f>H43/DAY(B2)</f>
        <v>2256.6666666666665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13954</v>
      </c>
      <c r="H47" s="682">
        <f>G47+'2'!H47</f>
        <v>42123</v>
      </c>
      <c r="I47" s="455"/>
      <c r="J47" s="552">
        <f>H47/DAY(B2)</f>
        <v>14041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</v>
      </c>
      <c r="G49" s="473">
        <f t="shared" ref="G49:G58" si="4">F49-E49</f>
        <v>-0.13000000000465661</v>
      </c>
      <c r="H49" s="682">
        <f>G49+'2'!H49</f>
        <v>-0.13000000000465661</v>
      </c>
      <c r="I49" s="455"/>
      <c r="J49" s="552">
        <f>H49/DAY(B2)</f>
        <v>-4.3333333334885538E-2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476369</v>
      </c>
      <c r="F50" s="510">
        <v>477425</v>
      </c>
      <c r="G50" s="473">
        <f t="shared" si="4"/>
        <v>1056</v>
      </c>
      <c r="H50" s="682">
        <f>G50+'2'!H50</f>
        <v>2889</v>
      </c>
      <c r="I50" s="455"/>
      <c r="J50" s="552">
        <f>H50/DAY(B2)</f>
        <v>963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417535</v>
      </c>
      <c r="F53" s="510">
        <v>418065</v>
      </c>
      <c r="G53" s="473">
        <f t="shared" si="4"/>
        <v>530</v>
      </c>
      <c r="H53" s="682">
        <f>G53+'2'!H53</f>
        <v>1754</v>
      </c>
      <c r="I53" s="455"/>
      <c r="J53" s="552">
        <f>H53/DAY(B2)</f>
        <v>584.66666666666663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11526</v>
      </c>
      <c r="F54" s="656">
        <v>11600</v>
      </c>
      <c r="G54" s="473">
        <f t="shared" si="4"/>
        <v>74</v>
      </c>
      <c r="H54" s="682">
        <f>G54+'2'!H54</f>
        <v>222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346926</v>
      </c>
      <c r="F55" s="656">
        <v>346926</v>
      </c>
      <c r="G55" s="473">
        <f t="shared" si="4"/>
        <v>0</v>
      </c>
      <c r="H55" s="682">
        <f>G55+'2'!H55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589288</v>
      </c>
      <c r="F56" s="656">
        <v>589288</v>
      </c>
      <c r="G56" s="473">
        <f t="shared" si="4"/>
        <v>0</v>
      </c>
      <c r="H56" s="682">
        <f>G56+'2'!H56</f>
        <v>-0.46999999997206032</v>
      </c>
      <c r="I56" s="455"/>
      <c r="J56" s="552">
        <f>H56/DAY(B2)</f>
        <v>-0.15666666665735343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</v>
      </c>
      <c r="G57" s="473">
        <f t="shared" si="4"/>
        <v>0</v>
      </c>
      <c r="H57" s="682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46781</v>
      </c>
      <c r="F58" s="656">
        <v>46872</v>
      </c>
      <c r="G58" s="473">
        <f t="shared" si="4"/>
        <v>91</v>
      </c>
      <c r="H58" s="682">
        <f>G58+'2'!H58</f>
        <v>204</v>
      </c>
      <c r="I58" s="455"/>
      <c r="J58" s="552">
        <f>H58/DAY(B2)</f>
        <v>68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1750.8699999999953</v>
      </c>
      <c r="H59" s="682">
        <f>G59+'2'!H59</f>
        <v>5068.4000000000233</v>
      </c>
      <c r="I59" s="455">
        <f>G7-G60</f>
        <v>324.13000000000466</v>
      </c>
      <c r="J59" s="552">
        <f>H59/DAY(B2)</f>
        <v>1689.4666666666744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15704.869999999995</v>
      </c>
      <c r="H60" s="682">
        <f>G60+'2'!H60</f>
        <v>47191.400000000023</v>
      </c>
      <c r="I60" s="455">
        <f>G13-G60</f>
        <v>-195.86999999999534</v>
      </c>
      <c r="J60" s="552">
        <f>H60/DAY(B2)</f>
        <v>15730.466666666674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2367</v>
      </c>
      <c r="F63" s="514">
        <v>2370</v>
      </c>
      <c r="G63" s="473">
        <f t="shared" si="5"/>
        <v>3</v>
      </c>
      <c r="H63" s="682">
        <f>G63+'2'!H63</f>
        <v>11</v>
      </c>
      <c r="I63" s="515"/>
      <c r="J63" s="552">
        <f>H63/DAY(B2)</f>
        <v>3.6666666666666665</v>
      </c>
      <c r="K63" s="428"/>
      <c r="L63" s="377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55">
        <f>'2'!F64</f>
        <v>153718</v>
      </c>
      <c r="F64" s="478">
        <v>153931</v>
      </c>
      <c r="G64" s="473">
        <f t="shared" si="5"/>
        <v>213</v>
      </c>
      <c r="H64" s="682">
        <f>G64+'2'!H64</f>
        <v>632</v>
      </c>
      <c r="I64" s="480"/>
      <c r="J64" s="552">
        <f>H64/DAY(B2)</f>
        <v>210.66666666666666</v>
      </c>
      <c r="K64" s="428"/>
      <c r="L64" s="377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55">
        <f>'2'!F65</f>
        <v>155006</v>
      </c>
      <c r="F65" s="654">
        <v>155204</v>
      </c>
      <c r="G65" s="473">
        <f t="shared" si="5"/>
        <v>198</v>
      </c>
      <c r="H65" s="682">
        <f>G65+'2'!H65</f>
        <v>605</v>
      </c>
      <c r="I65" s="489"/>
      <c r="J65" s="552">
        <f>H65/DAY(B2)</f>
        <v>201.66666666666666</v>
      </c>
      <c r="K65" s="428"/>
      <c r="L65" s="377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55">
        <f>'2'!F66</f>
        <v>49114</v>
      </c>
      <c r="F66" s="478">
        <v>49379</v>
      </c>
      <c r="G66" s="473">
        <f t="shared" si="5"/>
        <v>265</v>
      </c>
      <c r="H66" s="682">
        <f>G66+'2'!H66</f>
        <v>808</v>
      </c>
      <c r="I66" s="480"/>
      <c r="J66" s="552">
        <f>H66/DAY(B2)</f>
        <v>269.33333333333331</v>
      </c>
      <c r="K66" s="428"/>
      <c r="L66" s="377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55">
        <f>'2'!F67</f>
        <v>243610</v>
      </c>
      <c r="F67" s="478">
        <v>243795</v>
      </c>
      <c r="G67" s="473">
        <f t="shared" si="5"/>
        <v>185</v>
      </c>
      <c r="H67" s="682">
        <f>G67+'2'!H67</f>
        <v>621</v>
      </c>
      <c r="I67" s="489"/>
      <c r="J67" s="552">
        <f>H67/DAY(B2)</f>
        <v>207</v>
      </c>
      <c r="K67" s="429"/>
      <c r="L67" s="377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2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55">
        <f>'2'!F69</f>
        <v>79169</v>
      </c>
      <c r="F69" s="478">
        <v>79254</v>
      </c>
      <c r="G69" s="473">
        <f t="shared" si="5"/>
        <v>85</v>
      </c>
      <c r="H69" s="682">
        <f>G69+'2'!H69</f>
        <v>260</v>
      </c>
      <c r="I69" s="516"/>
      <c r="J69" s="552">
        <f>H69/DAY(B2)</f>
        <v>86.666666666666671</v>
      </c>
      <c r="K69" s="431"/>
      <c r="L69" s="377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455">
        <f>'2'!F72</f>
        <v>855493</v>
      </c>
      <c r="F72" s="657">
        <v>855508</v>
      </c>
      <c r="G72" s="473">
        <f t="shared" ref="G72:G84" si="6">F72-E72</f>
        <v>15</v>
      </c>
      <c r="H72" s="682">
        <f>G72+'2'!H72</f>
        <v>47</v>
      </c>
      <c r="I72" s="480"/>
      <c r="J72" s="552">
        <f>H72/DAY(B2)</f>
        <v>15.666666666666666</v>
      </c>
      <c r="K72" s="431"/>
      <c r="L72" s="377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455">
        <f>'2'!F73</f>
        <v>885879</v>
      </c>
      <c r="F73" s="658">
        <v>885880</v>
      </c>
      <c r="G73" s="655">
        <f t="shared" si="6"/>
        <v>1</v>
      </c>
      <c r="H73" s="682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04" t="s">
        <v>193</v>
      </c>
      <c r="B74" s="1505"/>
      <c r="C74" s="1506"/>
      <c r="D74" s="523" t="s">
        <v>187</v>
      </c>
      <c r="E74" s="455">
        <f>'2'!F74</f>
        <v>2325</v>
      </c>
      <c r="F74" s="659">
        <v>2340</v>
      </c>
      <c r="G74" s="473">
        <f t="shared" si="6"/>
        <v>15</v>
      </c>
      <c r="H74" s="682">
        <f>G74+'2'!H74</f>
        <v>61</v>
      </c>
      <c r="I74" s="480"/>
      <c r="J74" s="552">
        <f>H74/DAY(B2)</f>
        <v>20.333333333333332</v>
      </c>
      <c r="K74" s="431"/>
      <c r="L74" s="377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455">
        <f>'2'!F75</f>
        <v>11076</v>
      </c>
      <c r="F75" s="659">
        <v>11130</v>
      </c>
      <c r="G75" s="473">
        <f t="shared" si="6"/>
        <v>54</v>
      </c>
      <c r="H75" s="682">
        <f>G75+'2'!H75</f>
        <v>160</v>
      </c>
      <c r="I75" s="480"/>
      <c r="J75" s="552">
        <f>H75/DAY(B2)</f>
        <v>53.333333333333336</v>
      </c>
      <c r="K75" s="430"/>
      <c r="L75" s="377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455">
        <f>'2'!F76</f>
        <v>5822</v>
      </c>
      <c r="F76" s="658">
        <v>5876</v>
      </c>
      <c r="G76" s="473">
        <f t="shared" si="6"/>
        <v>54</v>
      </c>
      <c r="H76" s="682">
        <f>G76+'2'!H76</f>
        <v>167</v>
      </c>
      <c r="I76" s="505"/>
      <c r="J76" s="552">
        <f>H76/DAY(B2)</f>
        <v>55.666666666666664</v>
      </c>
      <c r="K76" s="430"/>
      <c r="L76" s="377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455">
        <f>'2'!F77</f>
        <v>701659</v>
      </c>
      <c r="F77" s="658">
        <v>701709</v>
      </c>
      <c r="G77" s="655">
        <f t="shared" si="6"/>
        <v>50</v>
      </c>
      <c r="H77" s="682">
        <f>G77+'2'!H77</f>
        <v>147</v>
      </c>
      <c r="I77" s="505"/>
      <c r="J77" s="552">
        <f>H77/DAY(B2)</f>
        <v>49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'2'!F78</f>
        <v>670244</v>
      </c>
      <c r="F78" s="659">
        <v>670345</v>
      </c>
      <c r="G78" s="473">
        <f t="shared" si="6"/>
        <v>101</v>
      </c>
      <c r="H78" s="682">
        <f>G78+'2'!H78</f>
        <v>320</v>
      </c>
      <c r="I78" s="505"/>
      <c r="J78" s="552">
        <f>H78/DAY(B2)</f>
        <v>106.66666666666667</v>
      </c>
      <c r="K78" s="430"/>
      <c r="L78" s="377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455">
        <f>'2'!F79</f>
        <v>827150</v>
      </c>
      <c r="F79" s="659">
        <v>827324</v>
      </c>
      <c r="G79" s="473">
        <f t="shared" si="6"/>
        <v>174</v>
      </c>
      <c r="H79" s="682">
        <f>G79+'2'!H79</f>
        <v>540</v>
      </c>
      <c r="I79" s="505"/>
      <c r="J79" s="552">
        <f>H79/DAY(B2)</f>
        <v>180</v>
      </c>
      <c r="K79" s="430"/>
      <c r="L79" s="377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455">
        <f>'2'!F80</f>
        <v>517512</v>
      </c>
      <c r="F80" s="658">
        <v>517871</v>
      </c>
      <c r="G80" s="473">
        <f t="shared" si="6"/>
        <v>359</v>
      </c>
      <c r="H80" s="682">
        <f>G80+'2'!H80</f>
        <v>1133</v>
      </c>
      <c r="I80" s="505"/>
      <c r="J80" s="552">
        <f>H80/DAY(B2)</f>
        <v>377.66666666666669</v>
      </c>
      <c r="K80" s="430"/>
      <c r="L80" s="377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455">
        <f>'2'!F81</f>
        <v>636625</v>
      </c>
      <c r="F81" s="658">
        <v>636693</v>
      </c>
      <c r="G81" s="473">
        <f t="shared" si="6"/>
        <v>68</v>
      </c>
      <c r="H81" s="682">
        <f>G81+'2'!H81</f>
        <v>215</v>
      </c>
      <c r="I81" s="505"/>
      <c r="J81" s="552">
        <f>H81/DAY(B2)</f>
        <v>71.666666666666671</v>
      </c>
      <c r="K81" s="430"/>
      <c r="L81" s="377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455">
        <f>'2'!F82</f>
        <v>107638</v>
      </c>
      <c r="F82" s="654">
        <v>107663</v>
      </c>
      <c r="G82" s="473">
        <f t="shared" si="6"/>
        <v>25</v>
      </c>
      <c r="H82" s="682">
        <f>G82+'2'!H82</f>
        <v>51</v>
      </c>
      <c r="I82" s="486"/>
      <c r="J82" s="552">
        <f>H82/DAY(B2)</f>
        <v>17</v>
      </c>
      <c r="K82" s="430"/>
      <c r="L82" s="377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455">
        <f>'2'!F83</f>
        <v>15267</v>
      </c>
      <c r="F83" s="511">
        <v>15516</v>
      </c>
      <c r="G83" s="473">
        <f t="shared" si="6"/>
        <v>249</v>
      </c>
      <c r="H83" s="682">
        <f>G83+'2'!H83</f>
        <v>745</v>
      </c>
      <c r="I83" s="481"/>
      <c r="J83" s="552">
        <f>H83/DAY(B2)</f>
        <v>248.33333333333334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'2'!F84</f>
        <v>481560</v>
      </c>
      <c r="F84" s="627">
        <v>482378</v>
      </c>
      <c r="G84" s="473">
        <f t="shared" si="6"/>
        <v>818</v>
      </c>
      <c r="H84" s="682">
        <f>G84+'2'!H84</f>
        <v>2245</v>
      </c>
      <c r="I84" s="481"/>
      <c r="J84" s="552">
        <f>H84/DAY(B2)</f>
        <v>748.33333333333337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1983</v>
      </c>
      <c r="H85" s="682">
        <f>G85+'2'!H85</f>
        <v>5835</v>
      </c>
      <c r="I85" s="481"/>
      <c r="J85" s="552">
        <f>H85/DAY(B2)</f>
        <v>1945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459339</v>
      </c>
      <c r="F86" s="650">
        <v>459523</v>
      </c>
      <c r="G86" s="708">
        <f t="shared" ref="G86:G91" si="7">F86-E86</f>
        <v>184</v>
      </c>
      <c r="H86" s="682">
        <f>G86+'2'!H86</f>
        <v>256</v>
      </c>
      <c r="I86" s="655"/>
      <c r="J86" s="710">
        <f>H86/DAY(B2)</f>
        <v>85.333333333333329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80935</v>
      </c>
      <c r="F87" s="650">
        <v>80949</v>
      </c>
      <c r="G87" s="708">
        <f t="shared" si="7"/>
        <v>14</v>
      </c>
      <c r="H87" s="682">
        <f>G87+'2'!H87</f>
        <v>30</v>
      </c>
      <c r="I87" s="655"/>
      <c r="J87" s="710">
        <f>H87/DAY(B2)</f>
        <v>10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151857</v>
      </c>
      <c r="F88" s="650">
        <v>152003</v>
      </c>
      <c r="G88" s="708">
        <f t="shared" si="7"/>
        <v>146</v>
      </c>
      <c r="H88" s="682">
        <f>G88+'2'!H88</f>
        <v>198</v>
      </c>
      <c r="I88" s="655"/>
      <c r="J88" s="710">
        <f>H88/DAY(B2)</f>
        <v>66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64847</v>
      </c>
      <c r="F89" s="650">
        <v>64853</v>
      </c>
      <c r="G89" s="708">
        <f t="shared" si="7"/>
        <v>6</v>
      </c>
      <c r="H89" s="682">
        <f>G89+'2'!H89</f>
        <v>19</v>
      </c>
      <c r="I89" s="655"/>
      <c r="J89" s="710">
        <f>H89/DAY(B2)</f>
        <v>6.333333333333333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3272</v>
      </c>
      <c r="F90" s="650">
        <v>3272</v>
      </c>
      <c r="G90" s="708">
        <f t="shared" si="7"/>
        <v>0</v>
      </c>
      <c r="H90" s="682">
        <f>G90+'2'!H90</f>
        <v>0</v>
      </c>
      <c r="I90" s="655"/>
      <c r="J90" s="710">
        <f>H90/DAY(B2)</f>
        <v>0</v>
      </c>
      <c r="K90" s="736" t="e">
        <f t="shared" si="8"/>
        <v>#VALUE!</v>
      </c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455">
        <f>'2'!F91</f>
        <v>27911.65</v>
      </c>
      <c r="F91" s="650">
        <v>27914.1</v>
      </c>
      <c r="G91" s="708">
        <f t="shared" si="7"/>
        <v>2.4499999999970896</v>
      </c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315"/>
      <c r="C92" s="1315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55">
        <f>'2'!F93</f>
        <v>244612</v>
      </c>
      <c r="F93" s="478">
        <v>244664</v>
      </c>
      <c r="G93" s="473">
        <f t="shared" ref="G93:G94" si="9">F93-E93</f>
        <v>52</v>
      </c>
      <c r="H93" s="682">
        <f>G93+'2'!H93</f>
        <v>140</v>
      </c>
      <c r="I93" s="480"/>
      <c r="J93" s="552">
        <f>H93/DAY(B2)</f>
        <v>46.666666666666664</v>
      </c>
      <c r="K93" s="429"/>
      <c r="L93" s="377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55">
        <f>'2'!F94</f>
        <v>183727</v>
      </c>
      <c r="F94" s="478">
        <v>183838</v>
      </c>
      <c r="G94" s="473">
        <f t="shared" si="9"/>
        <v>111</v>
      </c>
      <c r="H94" s="682">
        <f>G94+'2'!H94</f>
        <v>307</v>
      </c>
      <c r="I94" s="480"/>
      <c r="J94" s="552">
        <f>H94/DAY(B2)</f>
        <v>102.33333333333333</v>
      </c>
      <c r="K94" s="380"/>
      <c r="L94" s="377"/>
      <c r="O94" s="382"/>
    </row>
    <row r="95" spans="1:15">
      <c r="A95" s="1553" t="s">
        <v>208</v>
      </c>
      <c r="B95" s="1554"/>
      <c r="C95" s="1555"/>
      <c r="D95" s="523"/>
      <c r="E95" s="455">
        <f>'2'!F95</f>
        <v>0</v>
      </c>
      <c r="F95" s="478"/>
      <c r="G95" s="473">
        <f>G93+G94</f>
        <v>163</v>
      </c>
      <c r="H95" s="682">
        <f>G95+'2'!H95</f>
        <v>300</v>
      </c>
      <c r="I95" s="480"/>
      <c r="J95" s="552">
        <f>H95/DAY(B2)</f>
        <v>100</v>
      </c>
      <c r="K95" s="380"/>
      <c r="L95" s="377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55">
        <f>'2'!F96</f>
        <v>413000</v>
      </c>
      <c r="F96" s="478">
        <v>413061</v>
      </c>
      <c r="G96" s="473">
        <f t="shared" ref="G96:G101" si="10">F96-E96</f>
        <v>61</v>
      </c>
      <c r="H96" s="682">
        <f>G96+'2'!H96</f>
        <v>175</v>
      </c>
      <c r="I96" s="480"/>
      <c r="J96" s="552">
        <f>H96/DAY(B2)</f>
        <v>58.333333333333336</v>
      </c>
      <c r="K96" s="380"/>
      <c r="L96" s="377"/>
      <c r="O96" s="382"/>
    </row>
    <row r="97" spans="1:15" ht="27.75">
      <c r="A97" s="1309" t="s">
        <v>210</v>
      </c>
      <c r="B97" s="1310"/>
      <c r="C97" s="1310"/>
      <c r="D97" s="523" t="s">
        <v>144</v>
      </c>
      <c r="E97" s="455">
        <f>'2'!F97</f>
        <v>102367</v>
      </c>
      <c r="F97" s="478">
        <v>102384</v>
      </c>
      <c r="G97" s="473">
        <f t="shared" si="10"/>
        <v>17</v>
      </c>
      <c r="H97" s="682">
        <f>G97+'2'!H97</f>
        <v>41</v>
      </c>
      <c r="I97" s="480"/>
      <c r="J97" s="552">
        <f>H97/DAY(B2)</f>
        <v>13.666666666666666</v>
      </c>
      <c r="K97" s="427"/>
      <c r="L97" s="377"/>
      <c r="O97" s="382"/>
    </row>
    <row r="98" spans="1:15" ht="27.75">
      <c r="A98" s="1309" t="s">
        <v>211</v>
      </c>
      <c r="B98" s="1310"/>
      <c r="C98" s="1310"/>
      <c r="D98" s="523" t="s">
        <v>144</v>
      </c>
      <c r="E98" s="455">
        <f>'2'!F98</f>
        <v>97462</v>
      </c>
      <c r="F98" s="478">
        <v>97477</v>
      </c>
      <c r="G98" s="473">
        <f t="shared" si="10"/>
        <v>15</v>
      </c>
      <c r="H98" s="682">
        <f>G98+'2'!H98</f>
        <v>50</v>
      </c>
      <c r="I98" s="480"/>
      <c r="J98" s="552">
        <f>H98/DAY(B2)</f>
        <v>16.666666666666668</v>
      </c>
      <c r="K98" s="432"/>
      <c r="L98" s="377"/>
      <c r="O98" s="382"/>
    </row>
    <row r="99" spans="1:15" ht="27.75">
      <c r="A99" s="1309" t="s">
        <v>212</v>
      </c>
      <c r="B99" s="1310"/>
      <c r="C99" s="1310"/>
      <c r="D99" s="523" t="s">
        <v>144</v>
      </c>
      <c r="E99" s="455">
        <f>'2'!F99</f>
        <v>149543</v>
      </c>
      <c r="F99" s="478">
        <v>149547</v>
      </c>
      <c r="G99" s="473">
        <f t="shared" si="10"/>
        <v>4</v>
      </c>
      <c r="H99" s="682">
        <f>G99+'2'!H99</f>
        <v>14</v>
      </c>
      <c r="I99" s="480"/>
      <c r="J99" s="552">
        <f>H99/DAY(B2)</f>
        <v>4.666666666666667</v>
      </c>
      <c r="K99" s="380"/>
      <c r="L99" s="377"/>
      <c r="O99" s="382"/>
    </row>
    <row r="100" spans="1:15" ht="27.75">
      <c r="A100" s="1309" t="s">
        <v>213</v>
      </c>
      <c r="B100" s="1310"/>
      <c r="C100" s="1310"/>
      <c r="D100" s="523" t="s">
        <v>144</v>
      </c>
      <c r="E100" s="455">
        <f>'2'!F100</f>
        <v>7195</v>
      </c>
      <c r="F100" s="478">
        <v>7199</v>
      </c>
      <c r="G100" s="473">
        <f t="shared" si="10"/>
        <v>4</v>
      </c>
      <c r="H100" s="682">
        <f>G100+'2'!H100</f>
        <v>14</v>
      </c>
      <c r="I100" s="480"/>
      <c r="J100" s="552">
        <f>H100/DAY(B2)</f>
        <v>4.666666666666667</v>
      </c>
      <c r="K100" s="380"/>
      <c r="L100" s="377"/>
      <c r="O100" s="382"/>
    </row>
    <row r="101" spans="1:15" ht="27.75">
      <c r="A101" s="1309" t="s">
        <v>214</v>
      </c>
      <c r="B101" s="1310"/>
      <c r="C101" s="1310"/>
      <c r="D101" s="523" t="s">
        <v>144</v>
      </c>
      <c r="E101" s="455">
        <f>'2'!F101</f>
        <v>5150</v>
      </c>
      <c r="F101" s="478">
        <v>5155</v>
      </c>
      <c r="G101" s="473">
        <f t="shared" si="10"/>
        <v>5</v>
      </c>
      <c r="H101" s="682">
        <f>G101+'2'!H101</f>
        <v>17</v>
      </c>
      <c r="I101" s="480"/>
      <c r="J101" s="552">
        <f>H101/DAY(B2)</f>
        <v>5.666666666666667</v>
      </c>
      <c r="K101" s="380"/>
      <c r="L101" s="377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525">
        <f>SUM(G96:G101)</f>
        <v>106</v>
      </c>
      <c r="H102" s="682">
        <f>G102+'2'!H102</f>
        <v>311</v>
      </c>
      <c r="I102" s="526"/>
      <c r="J102" s="552">
        <f>H102/DAY(B2)</f>
        <v>103.66666666666667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455"/>
      <c r="F104" s="661"/>
      <c r="G104" s="532"/>
      <c r="H104" s="533"/>
      <c r="I104" s="532"/>
      <c r="J104" s="558"/>
      <c r="O104" s="382"/>
    </row>
    <row r="105" spans="1:15" s="442" customFormat="1" ht="27.75">
      <c r="A105" s="1515" t="s">
        <v>219</v>
      </c>
      <c r="B105" s="1516"/>
      <c r="C105" s="1307"/>
      <c r="D105" s="622" t="s">
        <v>144</v>
      </c>
      <c r="E105" s="455">
        <f>'2'!F105</f>
        <v>7431</v>
      </c>
      <c r="F105" s="661">
        <v>7431</v>
      </c>
      <c r="G105" s="532">
        <f>F105-E105</f>
        <v>0</v>
      </c>
      <c r="H105" s="682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15" t="s">
        <v>77</v>
      </c>
      <c r="B106" s="1516"/>
      <c r="C106" s="1307"/>
      <c r="D106" s="622" t="s">
        <v>144</v>
      </c>
      <c r="E106" s="455">
        <f>'2'!F106</f>
        <v>35836</v>
      </c>
      <c r="F106" s="662">
        <v>35836</v>
      </c>
      <c r="G106" s="532">
        <f t="shared" ref="G106:G107" si="11">F106-E106</f>
        <v>0</v>
      </c>
      <c r="H106" s="682">
        <f>G106+'2'!H106</f>
        <v>8</v>
      </c>
      <c r="I106" s="532"/>
      <c r="J106" s="558">
        <f>H106/DAY(B2)</f>
        <v>2.6666666666666665</v>
      </c>
      <c r="O106" s="382"/>
    </row>
    <row r="107" spans="1:15" s="442" customFormat="1" ht="27.75">
      <c r="A107" s="1515" t="s">
        <v>78</v>
      </c>
      <c r="B107" s="1564"/>
      <c r="C107" s="1516"/>
      <c r="D107" s="622" t="s">
        <v>144</v>
      </c>
      <c r="E107" s="455">
        <f>'2'!F107</f>
        <v>19620</v>
      </c>
      <c r="F107" s="661">
        <v>19623</v>
      </c>
      <c r="G107" s="532">
        <f t="shared" si="11"/>
        <v>3</v>
      </c>
      <c r="H107" s="682">
        <f>G107+'2'!H107</f>
        <v>6</v>
      </c>
      <c r="I107" s="532"/>
      <c r="J107" s="558">
        <f>H107/DAY(B2)</f>
        <v>2</v>
      </c>
      <c r="O107" s="382"/>
    </row>
    <row r="108" spans="1:15" s="442" customFormat="1" ht="27.75">
      <c r="A108" s="1521" t="s">
        <v>202</v>
      </c>
      <c r="B108" s="1522"/>
      <c r="C108" s="1307"/>
      <c r="D108" s="622"/>
      <c r="E108" s="455"/>
      <c r="F108" s="661" t="s">
        <v>268</v>
      </c>
      <c r="G108" s="532">
        <f>SUM(G105:G107)</f>
        <v>3</v>
      </c>
      <c r="H108" s="682">
        <f>G108+'2'!H108</f>
        <v>14</v>
      </c>
      <c r="I108" s="532"/>
      <c r="J108" s="558">
        <f>H108/DAY(B2)</f>
        <v>4.666666666666667</v>
      </c>
      <c r="O108" s="382"/>
    </row>
    <row r="109" spans="1:15" s="442" customFormat="1" ht="27.75">
      <c r="A109" s="1562" t="s">
        <v>79</v>
      </c>
      <c r="B109" s="1563"/>
      <c r="C109" s="1307"/>
      <c r="D109" s="622" t="s">
        <v>144</v>
      </c>
      <c r="E109" s="455"/>
      <c r="F109" s="661"/>
      <c r="G109" s="532"/>
      <c r="H109" s="682">
        <f>G109+'2'!H109</f>
        <v>0</v>
      </c>
      <c r="I109" s="532"/>
      <c r="J109" s="558"/>
      <c r="O109" s="382"/>
    </row>
    <row r="110" spans="1:15" s="442" customFormat="1" ht="27.75">
      <c r="A110" s="1515" t="s">
        <v>220</v>
      </c>
      <c r="B110" s="1516"/>
      <c r="C110" s="1307"/>
      <c r="D110" s="622" t="s">
        <v>144</v>
      </c>
      <c r="E110" s="455">
        <f>'2'!F110</f>
        <v>61299</v>
      </c>
      <c r="F110" s="787">
        <v>61340</v>
      </c>
      <c r="G110" s="532">
        <f>F110-E110</f>
        <v>41</v>
      </c>
      <c r="H110" s="682">
        <f>G110+'2'!H110</f>
        <v>166</v>
      </c>
      <c r="I110" s="532"/>
      <c r="J110" s="558">
        <f>H110/DAY(B2)</f>
        <v>55.333333333333336</v>
      </c>
      <c r="O110" s="382"/>
    </row>
    <row r="111" spans="1:15" s="442" customFormat="1" ht="27.75">
      <c r="A111" s="1515" t="s">
        <v>221</v>
      </c>
      <c r="B111" s="1516"/>
      <c r="C111" s="1307"/>
      <c r="D111" s="622" t="s">
        <v>144</v>
      </c>
      <c r="E111" s="455">
        <f>'2'!F111</f>
        <v>32235</v>
      </c>
      <c r="F111" s="661">
        <v>32235</v>
      </c>
      <c r="G111" s="532">
        <f t="shared" ref="G111:G112" si="12">F111-E111</f>
        <v>0</v>
      </c>
      <c r="H111" s="682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15" t="s">
        <v>222</v>
      </c>
      <c r="B112" s="1516"/>
      <c r="C112" s="1307"/>
      <c r="D112" s="622" t="s">
        <v>144</v>
      </c>
      <c r="E112" s="455">
        <f>'2'!F112</f>
        <v>4395</v>
      </c>
      <c r="F112" s="661">
        <v>4417</v>
      </c>
      <c r="G112" s="532">
        <f t="shared" si="12"/>
        <v>22</v>
      </c>
      <c r="H112" s="682">
        <f>G112+'2'!H112</f>
        <v>49</v>
      </c>
      <c r="I112" s="532"/>
      <c r="J112" s="558">
        <f>H112/DAY(B2)</f>
        <v>16.333333333333332</v>
      </c>
      <c r="O112" s="382"/>
    </row>
    <row r="113" spans="1:15" s="442" customFormat="1" ht="27.75">
      <c r="A113" s="1521" t="s">
        <v>110</v>
      </c>
      <c r="B113" s="1522"/>
      <c r="C113" s="1307"/>
      <c r="D113" s="622"/>
      <c r="E113" s="455"/>
      <c r="F113" s="661"/>
      <c r="G113" s="532">
        <f>SUM(G110:G112)</f>
        <v>63</v>
      </c>
      <c r="H113" s="682">
        <f>G113+'2'!H113</f>
        <v>215</v>
      </c>
      <c r="I113" s="532"/>
      <c r="J113" s="558">
        <f>H113/DAY(B2)</f>
        <v>71.666666666666671</v>
      </c>
      <c r="O113" s="382"/>
    </row>
    <row r="114" spans="1:15" s="442" customFormat="1" ht="27.75">
      <c r="A114" s="1562" t="s">
        <v>223</v>
      </c>
      <c r="B114" s="1563"/>
      <c r="C114" s="1307"/>
      <c r="D114" s="622"/>
      <c r="E114" s="455"/>
      <c r="F114" s="661"/>
      <c r="G114" s="532"/>
      <c r="H114" s="682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15" t="s">
        <v>224</v>
      </c>
      <c r="B115" s="1516"/>
      <c r="C115" s="1306"/>
      <c r="D115" s="622" t="s">
        <v>144</v>
      </c>
      <c r="E115" s="455">
        <f>'2'!F115</f>
        <v>11272</v>
      </c>
      <c r="F115" s="662">
        <v>11278</v>
      </c>
      <c r="G115" s="534">
        <f>F115-E115</f>
        <v>6</v>
      </c>
      <c r="H115" s="682">
        <f>G115+'2'!H115</f>
        <v>19</v>
      </c>
      <c r="I115" s="532"/>
      <c r="J115" s="558">
        <f>H115/DAY(B2)</f>
        <v>6.333333333333333</v>
      </c>
      <c r="O115" s="382"/>
    </row>
    <row r="116" spans="1:15" s="442" customFormat="1" ht="27.75">
      <c r="A116" s="1515" t="s">
        <v>225</v>
      </c>
      <c r="B116" s="1516"/>
      <c r="C116" s="1306"/>
      <c r="D116" s="622" t="s">
        <v>144</v>
      </c>
      <c r="E116" s="455">
        <f>'2'!F116</f>
        <v>8135</v>
      </c>
      <c r="F116" s="662">
        <v>8139</v>
      </c>
      <c r="G116" s="534">
        <f t="shared" ref="G116:G117" si="13">F116-E116</f>
        <v>4</v>
      </c>
      <c r="H116" s="682">
        <f>G116+'2'!H116</f>
        <v>13</v>
      </c>
      <c r="I116" s="532"/>
      <c r="J116" s="558">
        <f>H116/DAY(B2)</f>
        <v>4.333333333333333</v>
      </c>
      <c r="O116" s="382"/>
    </row>
    <row r="117" spans="1:15" s="442" customFormat="1" ht="27.75">
      <c r="A117" s="1515" t="s">
        <v>226</v>
      </c>
      <c r="B117" s="1516"/>
      <c r="C117" s="1306"/>
      <c r="D117" s="622" t="s">
        <v>144</v>
      </c>
      <c r="E117" s="455"/>
      <c r="F117" s="662"/>
      <c r="G117" s="534">
        <f t="shared" si="13"/>
        <v>0</v>
      </c>
      <c r="H117" s="682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21" t="s">
        <v>202</v>
      </c>
      <c r="B118" s="1522"/>
      <c r="C118" s="1306"/>
      <c r="D118" s="784"/>
      <c r="E118" s="455"/>
      <c r="F118" s="662"/>
      <c r="G118" s="534">
        <f>SUM(G115:G117)</f>
        <v>10</v>
      </c>
      <c r="H118" s="682">
        <f>G118+'2'!H118</f>
        <v>32</v>
      </c>
      <c r="I118" s="534"/>
      <c r="J118" s="558">
        <f>H118/DAY(B2)</f>
        <v>10.666666666666666</v>
      </c>
      <c r="O118" s="382"/>
    </row>
    <row r="119" spans="1:15" s="445" customFormat="1" ht="27.75">
      <c r="A119" s="1513" t="s">
        <v>227</v>
      </c>
      <c r="B119" s="1514"/>
      <c r="C119" s="1306"/>
      <c r="D119" s="624" t="s">
        <v>144</v>
      </c>
      <c r="E119" s="455"/>
      <c r="F119" s="663">
        <f>SUM(G19+G93)</f>
        <v>108</v>
      </c>
      <c r="G119" s="536">
        <f>SUM(G19+G93)</f>
        <v>108</v>
      </c>
      <c r="H119" s="682">
        <f>G119+'2'!H119</f>
        <v>303</v>
      </c>
      <c r="I119" s="535"/>
      <c r="J119" s="559">
        <f>H119/DAY(B2)</f>
        <v>101</v>
      </c>
      <c r="O119" s="382"/>
    </row>
    <row r="120" spans="1:15" s="445" customFormat="1" ht="27.75">
      <c r="A120" s="1513" t="s">
        <v>228</v>
      </c>
      <c r="B120" s="1514"/>
      <c r="C120" s="1306"/>
      <c r="D120" s="624" t="s">
        <v>144</v>
      </c>
      <c r="E120" s="536"/>
      <c r="F120" s="663">
        <f>SUM(G96,G97,G98,G100,G101)</f>
        <v>102</v>
      </c>
      <c r="G120" s="536">
        <f>SUM(G96,G97,G98,G100,G101)</f>
        <v>102</v>
      </c>
      <c r="H120" s="682">
        <f>G120+'2'!H120</f>
        <v>297</v>
      </c>
      <c r="I120" s="535"/>
      <c r="J120" s="559">
        <f>H120/DAY(B2)</f>
        <v>99</v>
      </c>
      <c r="O120" s="382"/>
    </row>
    <row r="121" spans="1:15" s="445" customFormat="1" ht="27.75">
      <c r="A121" s="1513" t="s">
        <v>229</v>
      </c>
      <c r="B121" s="1514"/>
      <c r="C121" s="1306"/>
      <c r="D121" s="624" t="s">
        <v>144</v>
      </c>
      <c r="E121" s="534"/>
      <c r="F121" s="662">
        <f>SUM(G113)</f>
        <v>63</v>
      </c>
      <c r="G121" s="534">
        <f>SUM(G113)</f>
        <v>63</v>
      </c>
      <c r="H121" s="682">
        <f>G121+'2'!H121</f>
        <v>215</v>
      </c>
      <c r="I121" s="535"/>
      <c r="J121" s="559">
        <f>H121/DAY(B2)</f>
        <v>71.666666666666671</v>
      </c>
      <c r="O121" s="382"/>
    </row>
    <row r="122" spans="1:15" s="442" customFormat="1" ht="27.75">
      <c r="A122" s="1515"/>
      <c r="B122" s="1516"/>
      <c r="C122" s="1307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9" t="s">
        <v>231</v>
      </c>
      <c r="B124" s="1310"/>
      <c r="C124" s="1310"/>
      <c r="D124" s="523" t="s">
        <v>141</v>
      </c>
      <c r="E124" s="455">
        <f>'2'!F124</f>
        <v>826524</v>
      </c>
      <c r="F124" s="478">
        <v>826721</v>
      </c>
      <c r="G124" s="473">
        <f t="shared" ref="G124:G128" si="14">F124-E124</f>
        <v>197</v>
      </c>
      <c r="H124" s="682">
        <f>G124+'2'!H124</f>
        <v>632.54000000003725</v>
      </c>
      <c r="I124" s="526"/>
      <c r="J124" s="552">
        <f>H124/DAY(B2)</f>
        <v>210.84666666667908</v>
      </c>
      <c r="K124" s="380"/>
      <c r="L124" s="377"/>
      <c r="O124" s="382"/>
    </row>
    <row r="125" spans="1:15" ht="27.75">
      <c r="A125" s="1309" t="s">
        <v>232</v>
      </c>
      <c r="B125" s="1310"/>
      <c r="C125" s="1310"/>
      <c r="D125" s="523" t="s">
        <v>141</v>
      </c>
      <c r="E125" s="455">
        <f>'2'!F125</f>
        <v>73583.399999999994</v>
      </c>
      <c r="F125" s="626">
        <v>73583</v>
      </c>
      <c r="G125" s="473">
        <f t="shared" si="14"/>
        <v>-0.39999999999417923</v>
      </c>
      <c r="H125" s="682">
        <f>G125+'2'!H125</f>
        <v>-0.39999999999417923</v>
      </c>
      <c r="I125" s="526"/>
      <c r="J125" s="552">
        <f>H125/DAY(B2)</f>
        <v>-0.13333333333139308</v>
      </c>
      <c r="K125" s="380"/>
      <c r="L125" s="377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55">
        <f>'2'!F126</f>
        <v>144820</v>
      </c>
      <c r="F126" s="478">
        <v>144878</v>
      </c>
      <c r="G126" s="473">
        <f t="shared" si="14"/>
        <v>58</v>
      </c>
      <c r="H126" s="682">
        <f>G126+'2'!H126</f>
        <v>190.55999999999767</v>
      </c>
      <c r="I126" s="526"/>
      <c r="J126" s="552">
        <f>H126/DAY(B2)</f>
        <v>63.519999999999222</v>
      </c>
      <c r="K126" s="380"/>
      <c r="L126" s="377"/>
      <c r="O126" s="382"/>
    </row>
    <row r="127" spans="1:15" ht="27.75">
      <c r="A127" s="609" t="s">
        <v>234</v>
      </c>
      <c r="B127" s="1310"/>
      <c r="C127" s="1310"/>
      <c r="D127" s="523" t="s">
        <v>141</v>
      </c>
      <c r="E127" s="455">
        <f>'2'!F127</f>
        <v>31404</v>
      </c>
      <c r="F127" s="1387">
        <v>31404</v>
      </c>
      <c r="G127" s="473">
        <f t="shared" si="14"/>
        <v>0</v>
      </c>
      <c r="H127" s="682">
        <f>G127+'2'!H127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10"/>
      <c r="C128" s="1310"/>
      <c r="D128" s="523" t="s">
        <v>141</v>
      </c>
      <c r="E128" s="455">
        <f>'2'!F128</f>
        <v>8970</v>
      </c>
      <c r="F128" s="626">
        <v>8970</v>
      </c>
      <c r="G128" s="473">
        <f t="shared" si="14"/>
        <v>0</v>
      </c>
      <c r="H128" s="682">
        <f>G128+'2'!H128</f>
        <v>0.2999999999992724</v>
      </c>
      <c r="I128" s="480"/>
      <c r="J128" s="552">
        <f>H128/DAY(B2)</f>
        <v>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10"/>
      <c r="C129" s="1310"/>
      <c r="D129" s="523"/>
      <c r="E129" s="455">
        <f>'2'!F129</f>
        <v>0</v>
      </c>
      <c r="F129" s="478"/>
      <c r="G129" s="473">
        <f>G15-SUM(G124:G128)</f>
        <v>183.39999999999418</v>
      </c>
      <c r="H129" s="682">
        <f>G129+'2'!H129</f>
        <v>393.99999999995998</v>
      </c>
      <c r="I129" s="480"/>
      <c r="J129" s="552">
        <f>H129/DAY(B2)</f>
        <v>131.33333333331998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9" t="s">
        <v>238</v>
      </c>
      <c r="B131" s="1310"/>
      <c r="C131" s="1310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9" t="s">
        <v>240</v>
      </c>
      <c r="B132" s="1310"/>
      <c r="C132" s="1310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2">
        <f>G132+'2'!H132</f>
        <v>0</v>
      </c>
      <c r="I132" s="480"/>
      <c r="J132" s="552">
        <f>H132/DAY(B2)</f>
        <v>0</v>
      </c>
      <c r="O132" s="382"/>
    </row>
    <row r="133" spans="1:15" ht="27.75">
      <c r="A133" s="1309" t="s">
        <v>241</v>
      </c>
      <c r="B133" s="1310"/>
      <c r="C133" s="1310"/>
      <c r="D133" s="523" t="s">
        <v>239</v>
      </c>
      <c r="E133" s="455">
        <f>'2'!F133</f>
        <v>39794.31</v>
      </c>
      <c r="F133" s="654">
        <v>39818.31</v>
      </c>
      <c r="G133" s="473">
        <f t="shared" si="15"/>
        <v>24</v>
      </c>
      <c r="H133" s="682">
        <f>G133+'2'!H133</f>
        <v>71.82999999999447</v>
      </c>
      <c r="I133" s="480"/>
      <c r="J133" s="552">
        <f>H133/DAY(B2)</f>
        <v>23.943333333331491</v>
      </c>
      <c r="O133" s="382"/>
    </row>
    <row r="134" spans="1:15" ht="27.75">
      <c r="A134" s="1309" t="s">
        <v>242</v>
      </c>
      <c r="B134" s="1310"/>
      <c r="C134" s="1310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2">
        <f>G134+'2'!H134</f>
        <v>0</v>
      </c>
      <c r="I134" s="480"/>
      <c r="J134" s="552">
        <f>H134/DAY(B2)</f>
        <v>0</v>
      </c>
      <c r="O134" s="382"/>
    </row>
    <row r="135" spans="1:15" ht="27.75">
      <c r="A135" s="1309" t="s">
        <v>243</v>
      </c>
      <c r="B135" s="1310"/>
      <c r="C135" s="1310"/>
      <c r="D135" s="523" t="s">
        <v>239</v>
      </c>
      <c r="E135" s="455">
        <f>'2'!F135</f>
        <v>41385</v>
      </c>
      <c r="F135" s="626">
        <v>41385</v>
      </c>
      <c r="G135" s="473">
        <f t="shared" si="15"/>
        <v>0</v>
      </c>
      <c r="H135" s="682">
        <f>G135+'2'!H135</f>
        <v>0</v>
      </c>
      <c r="I135" s="480"/>
      <c r="J135" s="552">
        <f>H135/DAY(B2)</f>
        <v>0</v>
      </c>
      <c r="O135" s="382"/>
    </row>
    <row r="136" spans="1:15" ht="27.75">
      <c r="A136" s="1309" t="s">
        <v>244</v>
      </c>
      <c r="B136" s="1310"/>
      <c r="C136" s="1310"/>
      <c r="D136" s="523" t="s">
        <v>239</v>
      </c>
      <c r="E136" s="455">
        <f>'2'!F136</f>
        <v>32583</v>
      </c>
      <c r="F136" s="626">
        <v>32583</v>
      </c>
      <c r="G136" s="473">
        <f t="shared" si="15"/>
        <v>0</v>
      </c>
      <c r="H136" s="682">
        <f>G136+'2'!H136</f>
        <v>0</v>
      </c>
      <c r="I136" s="480">
        <f t="shared" ref="I136" si="16">G133+G134+G135+G136</f>
        <v>24</v>
      </c>
      <c r="J136" s="552">
        <f>H136/DAY(B2)</f>
        <v>0</v>
      </c>
      <c r="O136" s="382"/>
    </row>
    <row r="137" spans="1:15" ht="27.75">
      <c r="A137" s="1309" t="s">
        <v>245</v>
      </c>
      <c r="B137" s="1310"/>
      <c r="C137" s="1310"/>
      <c r="D137" s="523" t="s">
        <v>239</v>
      </c>
      <c r="E137" s="455">
        <f>'2'!F137</f>
        <v>22742.3</v>
      </c>
      <c r="F137" s="654">
        <v>22742.3</v>
      </c>
      <c r="G137" s="473">
        <f t="shared" si="15"/>
        <v>0</v>
      </c>
      <c r="H137" s="682">
        <f>G137+'2'!H137</f>
        <v>2.7099999999991269</v>
      </c>
      <c r="I137" s="480"/>
      <c r="J137" s="552">
        <f>H137/DAY(B2)</f>
        <v>0.90333333333304233</v>
      </c>
      <c r="O137" s="382"/>
    </row>
    <row r="138" spans="1:15" ht="27.75">
      <c r="A138" s="1309" t="s">
        <v>246</v>
      </c>
      <c r="B138" s="1310"/>
      <c r="C138" s="1310"/>
      <c r="D138" s="523" t="s">
        <v>239</v>
      </c>
      <c r="E138" s="455">
        <f>'2'!F138</f>
        <v>25051.59</v>
      </c>
      <c r="F138" s="654">
        <v>25051.99</v>
      </c>
      <c r="G138" s="473">
        <f t="shared" si="15"/>
        <v>0.40000000000145519</v>
      </c>
      <c r="H138" s="682">
        <f>G138+'2'!H138</f>
        <v>0.40000000000145519</v>
      </c>
      <c r="I138" s="480"/>
      <c r="J138" s="552">
        <f>H138/DAY(B2)</f>
        <v>0.13333333333381839</v>
      </c>
      <c r="O138" s="382"/>
    </row>
    <row r="139" spans="1:15" ht="27.75">
      <c r="A139" s="1309" t="s">
        <v>247</v>
      </c>
      <c r="B139" s="1310"/>
      <c r="C139" s="1310"/>
      <c r="D139" s="523" t="s">
        <v>239</v>
      </c>
      <c r="E139" s="455">
        <f>'2'!F139</f>
        <v>70315.81</v>
      </c>
      <c r="F139" s="654">
        <v>70324.820000000007</v>
      </c>
      <c r="G139" s="473">
        <f t="shared" si="15"/>
        <v>9.0100000000093132</v>
      </c>
      <c r="H139" s="682">
        <f>G139+'2'!H139</f>
        <v>9.0100000000093132</v>
      </c>
      <c r="I139" s="480">
        <f>G137+G138+G139</f>
        <v>9.4100000000107684</v>
      </c>
      <c r="J139" s="552">
        <f>H139/DAY(B2)</f>
        <v>3.0033333333364376</v>
      </c>
      <c r="O139" s="382"/>
    </row>
    <row r="140" spans="1:15" ht="27.75">
      <c r="A140" s="1309" t="s">
        <v>248</v>
      </c>
      <c r="B140" s="1310"/>
      <c r="C140" s="1310"/>
      <c r="D140" s="523" t="s">
        <v>239</v>
      </c>
      <c r="E140" s="455">
        <f>'2'!F140</f>
        <v>1633.55</v>
      </c>
      <c r="F140" s="626">
        <v>1640.95</v>
      </c>
      <c r="G140" s="473">
        <f t="shared" si="15"/>
        <v>7.4000000000000909</v>
      </c>
      <c r="H140" s="682">
        <f>G140+'2'!H140</f>
        <v>24.090000000000146</v>
      </c>
      <c r="I140" s="542"/>
      <c r="J140" s="552">
        <f>H140/DAY(B2)</f>
        <v>8.0300000000000491</v>
      </c>
      <c r="O140" s="382"/>
    </row>
    <row r="141" spans="1:15" ht="27.75">
      <c r="A141" s="1309" t="s">
        <v>249</v>
      </c>
      <c r="B141" s="1310"/>
      <c r="C141" s="1310"/>
      <c r="D141" s="523" t="s">
        <v>239</v>
      </c>
      <c r="E141" s="455">
        <f>'2'!F141</f>
        <v>4637</v>
      </c>
      <c r="F141" s="478">
        <v>4637</v>
      </c>
      <c r="G141" s="473">
        <f t="shared" si="15"/>
        <v>0</v>
      </c>
      <c r="H141" s="682">
        <f>G141+'2'!H141</f>
        <v>0</v>
      </c>
      <c r="I141" s="542">
        <f>G141+G178</f>
        <v>0</v>
      </c>
      <c r="J141" s="552">
        <f>H141/DAY(B2)</f>
        <v>0</v>
      </c>
      <c r="O141" s="382"/>
    </row>
    <row r="142" spans="1:15">
      <c r="A142" s="1531" t="s">
        <v>250</v>
      </c>
      <c r="B142" s="1532"/>
      <c r="C142" s="1315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4393.8699999999953</v>
      </c>
      <c r="H143" s="682">
        <f>G143+'2'!H143</f>
        <v>13119.869999999995</v>
      </c>
      <c r="I143" s="480"/>
      <c r="J143" s="552">
        <f>H143/DAY(B2)</f>
        <v>4373.2899999999981</v>
      </c>
      <c r="K143" s="380"/>
      <c r="L143" s="377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0.27412003244120003</v>
      </c>
      <c r="H144" s="682">
        <f>G144+'2'!H144</f>
        <v>0.82035289528926336</v>
      </c>
      <c r="I144" s="544"/>
      <c r="J144" s="552">
        <f>H144/DAY(B2)</f>
        <v>0.27345096509642114</v>
      </c>
      <c r="K144" s="380"/>
      <c r="L144" s="377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4821</v>
      </c>
      <c r="H145" s="682">
        <f>G145+'2'!H145</f>
        <v>14476.530000000028</v>
      </c>
      <c r="I145" s="480"/>
      <c r="J145" s="552">
        <f>H145/DAY(B2)</f>
        <v>4825.5100000000093</v>
      </c>
      <c r="K145" s="380"/>
      <c r="L145" s="377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0.30076735916151975</v>
      </c>
      <c r="H146" s="682">
        <f>G146+'2'!H146</f>
        <v>0.90522006170609803</v>
      </c>
      <c r="I146" s="544"/>
      <c r="J146" s="552">
        <f>H146/DAY(B2)</f>
        <v>0.30174002056869936</v>
      </c>
      <c r="K146" s="380"/>
      <c r="L146" s="377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2337</v>
      </c>
      <c r="H147" s="682">
        <f>G147+'2'!H147</f>
        <v>7373</v>
      </c>
      <c r="I147" s="545"/>
      <c r="J147" s="552">
        <f>H147/DAY(B2)</f>
        <v>2457.6666666666665</v>
      </c>
      <c r="K147" s="380"/>
      <c r="L147" s="377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0.14579824068875163</v>
      </c>
      <c r="H148" s="682">
        <f>G148+'2'!H148</f>
        <v>0.46104275235707154</v>
      </c>
      <c r="I148" s="545"/>
      <c r="J148" s="552">
        <f>H148/DAY(B2)</f>
        <v>0.15368091745235718</v>
      </c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1342</v>
      </c>
      <c r="H149" s="682">
        <f>G149+'2'!H149</f>
        <v>3995</v>
      </c>
      <c r="I149" s="480"/>
      <c r="J149" s="552">
        <f>H149/DAY(B2)</f>
        <v>1331.6666666666667</v>
      </c>
      <c r="K149" s="381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8.3723251606463281E-2</v>
      </c>
      <c r="H150" s="682">
        <f>G150+'2'!H150</f>
        <v>0.24979785768319362</v>
      </c>
      <c r="I150" s="545"/>
      <c r="J150" s="552">
        <f>H150/DAY(B2)</f>
        <v>8.3265952561064546E-2</v>
      </c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1422</v>
      </c>
      <c r="H151" s="682">
        <f>G151+'2'!H151</f>
        <v>4031</v>
      </c>
      <c r="I151" s="545"/>
      <c r="J151" s="552">
        <f>H151/DAY(B2)</f>
        <v>1343.6666666666667</v>
      </c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8.8714205502526663E-2</v>
      </c>
      <c r="H152" s="682">
        <f>G152+'2'!H152</f>
        <v>0.25203336174521773</v>
      </c>
      <c r="I152" s="480"/>
      <c r="J152" s="552">
        <f>H152/DAY(B2)</f>
        <v>8.4011120581739249E-2</v>
      </c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1224</v>
      </c>
      <c r="H153" s="682">
        <f>G153+'2'!H153</f>
        <v>3770</v>
      </c>
      <c r="I153" s="480"/>
      <c r="J153" s="552">
        <f>H153/DAY(B2)</f>
        <v>1256.6666666666667</v>
      </c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7.6361594609769795E-2</v>
      </c>
      <c r="H154" s="682">
        <f>G154+'2'!H154</f>
        <v>0.23573976648189174</v>
      </c>
      <c r="I154" s="568"/>
      <c r="J154" s="569">
        <f>H154/DAY(B2)</f>
        <v>7.8579922160630575E-2</v>
      </c>
      <c r="O154" s="382"/>
    </row>
    <row r="155" spans="1:15">
      <c r="O155" s="382"/>
    </row>
    <row r="158" spans="1:15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455">
        <f>'2'!F161</f>
        <v>36093</v>
      </c>
      <c r="F161" s="661">
        <v>36175</v>
      </c>
      <c r="G161" s="473">
        <f t="shared" ref="G161:G172" si="17">F161-E161</f>
        <v>82</v>
      </c>
    </row>
    <row r="162" spans="1:7">
      <c r="A162" s="788" t="s">
        <v>264</v>
      </c>
      <c r="B162" s="789"/>
      <c r="C162" s="789"/>
      <c r="D162" s="511" t="s">
        <v>187</v>
      </c>
      <c r="E162" s="455">
        <f>'2'!F162</f>
        <v>83235</v>
      </c>
      <c r="F162" s="661">
        <v>83633</v>
      </c>
      <c r="G162" s="473">
        <f t="shared" si="17"/>
        <v>398</v>
      </c>
    </row>
    <row r="163" spans="1:7">
      <c r="A163" s="788" t="s">
        <v>265</v>
      </c>
      <c r="B163" s="789"/>
      <c r="C163" s="789"/>
      <c r="D163" s="511" t="s">
        <v>187</v>
      </c>
      <c r="E163" s="455">
        <f>'2'!F163</f>
        <v>38792</v>
      </c>
      <c r="F163" s="661">
        <v>38999</v>
      </c>
      <c r="G163" s="473">
        <f t="shared" si="17"/>
        <v>207</v>
      </c>
    </row>
    <row r="164" spans="1:7">
      <c r="A164" s="788" t="s">
        <v>266</v>
      </c>
      <c r="B164" s="789"/>
      <c r="C164" s="789"/>
      <c r="D164" s="511" t="s">
        <v>187</v>
      </c>
      <c r="E164" s="455">
        <f>'2'!F164</f>
        <v>6245</v>
      </c>
      <c r="F164" s="661">
        <v>6255</v>
      </c>
      <c r="G164" s="473">
        <f t="shared" si="17"/>
        <v>10</v>
      </c>
    </row>
    <row r="165" spans="1:7">
      <c r="A165" s="790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90" t="s">
        <v>188</v>
      </c>
      <c r="B166" s="604"/>
      <c r="C166" s="604"/>
      <c r="D166" s="511" t="s">
        <v>187</v>
      </c>
      <c r="E166" s="455">
        <f>'2'!F166</f>
        <v>2367</v>
      </c>
      <c r="F166" s="514">
        <v>2370</v>
      </c>
      <c r="G166" s="473">
        <f t="shared" si="17"/>
        <v>3</v>
      </c>
    </row>
    <row r="167" spans="1:7" ht="21.75" customHeight="1">
      <c r="A167" s="1500" t="s">
        <v>99</v>
      </c>
      <c r="B167" s="1500"/>
      <c r="C167" s="1500"/>
      <c r="D167" s="523" t="s">
        <v>187</v>
      </c>
      <c r="E167" s="455">
        <f>'2'!F167</f>
        <v>153718</v>
      </c>
      <c r="F167" s="514">
        <v>153931.9</v>
      </c>
      <c r="G167" s="473">
        <f t="shared" si="17"/>
        <v>213.89999999999418</v>
      </c>
    </row>
    <row r="168" spans="1:7" ht="21.75" customHeight="1">
      <c r="A168" s="1500" t="s">
        <v>100</v>
      </c>
      <c r="B168" s="1500"/>
      <c r="C168" s="1500"/>
      <c r="D168" s="523" t="s">
        <v>187</v>
      </c>
      <c r="E168" s="455">
        <f>'2'!F168</f>
        <v>155006</v>
      </c>
      <c r="F168" s="514">
        <f t="shared" ref="F168:F172" si="18">F65</f>
        <v>155204</v>
      </c>
      <c r="G168" s="473">
        <f t="shared" si="17"/>
        <v>198</v>
      </c>
    </row>
    <row r="169" spans="1:7" ht="21.75" customHeight="1">
      <c r="A169" s="1500" t="s">
        <v>101</v>
      </c>
      <c r="B169" s="1500"/>
      <c r="C169" s="1500"/>
      <c r="D169" s="523" t="s">
        <v>187</v>
      </c>
      <c r="E169" s="455">
        <f>'2'!F169</f>
        <v>49114</v>
      </c>
      <c r="F169" s="514">
        <f t="shared" si="18"/>
        <v>49379</v>
      </c>
      <c r="G169" s="473">
        <f t="shared" si="17"/>
        <v>265</v>
      </c>
    </row>
    <row r="170" spans="1:7" ht="27.75" customHeight="1">
      <c r="A170" s="1500" t="s">
        <v>102</v>
      </c>
      <c r="B170" s="1500"/>
      <c r="C170" s="1500"/>
      <c r="D170" s="523" t="s">
        <v>187</v>
      </c>
      <c r="E170" s="455">
        <f>'2'!F170</f>
        <v>243610</v>
      </c>
      <c r="F170" s="514">
        <f t="shared" si="18"/>
        <v>243795</v>
      </c>
      <c r="G170" s="473">
        <f t="shared" si="17"/>
        <v>185</v>
      </c>
    </row>
    <row r="171" spans="1:7" ht="24" customHeight="1">
      <c r="A171" s="1500" t="s">
        <v>103</v>
      </c>
      <c r="B171" s="1500"/>
      <c r="C171" s="1500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00" t="s">
        <v>104</v>
      </c>
      <c r="B172" s="1500"/>
      <c r="C172" s="1500"/>
      <c r="D172" s="523" t="s">
        <v>187</v>
      </c>
      <c r="E172" s="455">
        <f>'2'!F172</f>
        <v>79169</v>
      </c>
      <c r="F172" s="514">
        <f t="shared" si="18"/>
        <v>79254</v>
      </c>
      <c r="G172" s="473">
        <f t="shared" si="17"/>
        <v>85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" zoomScale="55" zoomScaleNormal="48" zoomScaleSheetLayoutView="55" workbookViewId="0">
      <selection activeCell="F28" activeCellId="1" sqref="F28 F28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4" s="281" customFormat="1" ht="27">
      <c r="A2" s="575" t="s">
        <v>345</v>
      </c>
      <c r="B2" s="1036">
        <v>44320</v>
      </c>
      <c r="C2" s="1311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1" t="s">
        <v>120</v>
      </c>
      <c r="D3" s="612">
        <v>34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1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6" t="s">
        <v>130</v>
      </c>
      <c r="B6" s="1537"/>
      <c r="C6" s="1538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5775411</v>
      </c>
      <c r="F7" s="633">
        <v>5791574</v>
      </c>
      <c r="G7" s="692">
        <f>F7-E7</f>
        <v>16163</v>
      </c>
      <c r="H7" s="682">
        <f>G7+'3'!H7</f>
        <v>64141</v>
      </c>
      <c r="I7" s="683">
        <f>'[2]1'!I7</f>
        <v>12000</v>
      </c>
      <c r="J7" s="684">
        <f>H7/DAY(B2)</f>
        <v>16035.25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5809417</v>
      </c>
      <c r="F8" s="634">
        <v>5825643</v>
      </c>
      <c r="G8" s="1053">
        <f>F8-E8</f>
        <v>16226</v>
      </c>
      <c r="H8" s="682">
        <f>G8+'3'!H8</f>
        <v>64399</v>
      </c>
      <c r="I8" s="689">
        <v>12000</v>
      </c>
      <c r="J8" s="684">
        <f>H8/DAY(B2)</f>
        <v>16099.75</v>
      </c>
      <c r="K8" s="549"/>
      <c r="L8" s="425"/>
      <c r="M8" s="440"/>
      <c r="N8" s="706">
        <f>G7/G8</f>
        <v>0.9961173425366695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1037141</v>
      </c>
      <c r="F9" s="635">
        <v>1052790</v>
      </c>
      <c r="G9" s="705">
        <f t="shared" ref="G9:G12" si="0">F9-E9</f>
        <v>15649</v>
      </c>
      <c r="H9" s="682">
        <f>G9+'3'!H9</f>
        <v>62076</v>
      </c>
      <c r="I9" s="693">
        <f>I8-J8</f>
        <v>-4099.75</v>
      </c>
      <c r="J9" s="684">
        <f>H9/DAY(B2)</f>
        <v>15519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G11+'[2]3'!H11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G12+'[2]3'!H12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15649</v>
      </c>
      <c r="H13" s="682">
        <f>G13+'3'!H13</f>
        <v>62076</v>
      </c>
      <c r="I13" s="698">
        <f>G7-G13</f>
        <v>514</v>
      </c>
      <c r="J13" s="684">
        <f>H13/DAY(B2)</f>
        <v>15519</v>
      </c>
      <c r="K13" s="428"/>
      <c r="L13" s="377"/>
      <c r="N13" s="382"/>
    </row>
    <row r="14" spans="1:14">
      <c r="A14" s="1539" t="s">
        <v>139</v>
      </c>
      <c r="B14" s="1540"/>
      <c r="C14" s="1541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1671874</v>
      </c>
      <c r="F15" s="626">
        <v>1672458</v>
      </c>
      <c r="G15" s="777">
        <f>(F15-E15)</f>
        <v>584</v>
      </c>
      <c r="H15" s="682">
        <f>G15+'3'!H15</f>
        <v>1801</v>
      </c>
      <c r="I15" s="474">
        <v>800</v>
      </c>
      <c r="J15" s="553">
        <f>H15/DAY(B2)</f>
        <v>450.25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349.75</v>
      </c>
      <c r="J16" s="553"/>
      <c r="K16" s="428"/>
      <c r="L16" s="377"/>
      <c r="N16" s="382"/>
    </row>
    <row r="17" spans="1:14">
      <c r="A17" s="1539" t="s">
        <v>142</v>
      </c>
      <c r="B17" s="1540"/>
      <c r="C17" s="1541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8" t="s">
        <v>144</v>
      </c>
      <c r="E18" s="635">
        <f>'3'!F18</f>
        <v>6</v>
      </c>
      <c r="F18" s="635">
        <v>6</v>
      </c>
      <c r="G18" s="697">
        <f>F18*10</f>
        <v>60</v>
      </c>
      <c r="H18" s="682">
        <f>G18+'3'!H18</f>
        <v>260</v>
      </c>
      <c r="I18" s="683">
        <f>'[2]1'!I18</f>
        <v>65</v>
      </c>
      <c r="J18" s="684">
        <f>H18/DAY(B2)</f>
        <v>65</v>
      </c>
      <c r="K18" s="428"/>
      <c r="L18" s="377"/>
      <c r="N18" s="382"/>
    </row>
    <row r="19" spans="1:14" ht="27.75">
      <c r="A19" s="1565" t="s">
        <v>71</v>
      </c>
      <c r="B19" s="1566"/>
      <c r="C19" s="1567"/>
      <c r="D19" s="638" t="s">
        <v>144</v>
      </c>
      <c r="E19" s="635">
        <f>'3'!F19</f>
        <v>137975</v>
      </c>
      <c r="F19" s="635">
        <v>138022</v>
      </c>
      <c r="G19" s="692">
        <f t="shared" ref="G19" si="1">F19-E19</f>
        <v>47</v>
      </c>
      <c r="H19" s="682">
        <f>G19+'3'!H19</f>
        <v>210</v>
      </c>
      <c r="I19" s="699"/>
      <c r="J19" s="684">
        <f>H19/DAY(B2)</f>
        <v>52.5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107</v>
      </c>
      <c r="H20" s="682">
        <f>G20+'3'!H20</f>
        <v>470</v>
      </c>
      <c r="I20" s="701">
        <f>I18-J20</f>
        <v>-52.5</v>
      </c>
      <c r="J20" s="684">
        <f>H20/DAY(B2)</f>
        <v>117.5</v>
      </c>
      <c r="K20" s="428"/>
      <c r="L20" s="377"/>
      <c r="N20" s="382"/>
    </row>
    <row r="21" spans="1:14">
      <c r="A21" s="1539" t="s">
        <v>146</v>
      </c>
      <c r="B21" s="1540"/>
      <c r="C21" s="1541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9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9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44" t="s">
        <v>151</v>
      </c>
      <c r="B25" s="1545"/>
      <c r="C25" s="1546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16226</v>
      </c>
      <c r="F27" s="501">
        <v>9</v>
      </c>
      <c r="G27" s="502">
        <f>E27*F27</f>
        <v>146034</v>
      </c>
      <c r="H27" s="682">
        <f>G27+'3'!H27</f>
        <v>579591</v>
      </c>
      <c r="I27" s="503"/>
      <c r="J27" s="552">
        <f>H27/DAY(B2)</f>
        <v>144897.75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584</v>
      </c>
      <c r="F28" s="501">
        <v>49</v>
      </c>
      <c r="G28" s="502">
        <f>E28*F28</f>
        <v>28616</v>
      </c>
      <c r="H28" s="682">
        <f>G28+'3'!H28</f>
        <v>88249</v>
      </c>
      <c r="I28" s="505"/>
      <c r="J28" s="552">
        <f>H28/DAY(B2)</f>
        <v>22062.25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47</v>
      </c>
      <c r="F30" s="501">
        <v>134</v>
      </c>
      <c r="G30" s="502">
        <f>E30*F30</f>
        <v>6298</v>
      </c>
      <c r="H30" s="682">
        <f>G30+'3'!H30</f>
        <v>28140</v>
      </c>
      <c r="I30" s="505"/>
      <c r="J30" s="552">
        <f>H30/DAY(B2)</f>
        <v>7035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G31+'3'!H31</f>
        <v>20800</v>
      </c>
      <c r="I31" s="505"/>
      <c r="J31" s="552">
        <f>H31/DAY(B2)</f>
        <v>5200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185748</v>
      </c>
      <c r="H32" s="682">
        <f>G32+'3'!H32</f>
        <v>716780</v>
      </c>
      <c r="I32" s="509"/>
      <c r="J32" s="552">
        <f>H32/DAY(B2)</f>
        <v>179195</v>
      </c>
      <c r="K32" s="373"/>
      <c r="L32" s="443"/>
      <c r="N32" s="382"/>
    </row>
    <row r="33" spans="1:14" ht="25.5" customHeight="1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4">
      <c r="A34" s="598" t="s">
        <v>163</v>
      </c>
      <c r="B34" s="1314"/>
      <c r="C34" s="1314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892809</v>
      </c>
      <c r="F35" s="640">
        <v>894970</v>
      </c>
      <c r="G35" s="473">
        <f t="shared" ref="G35:G46" si="3">F35-E35</f>
        <v>2161</v>
      </c>
      <c r="H35" s="682">
        <f>G35+'3'!H35</f>
        <v>8511</v>
      </c>
      <c r="I35" s="455"/>
      <c r="J35" s="552">
        <f>H35/DAY(B2)</f>
        <v>2127.75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345750</v>
      </c>
      <c r="F36" s="640">
        <v>346095</v>
      </c>
      <c r="G36" s="473">
        <f t="shared" si="3"/>
        <v>345</v>
      </c>
      <c r="H36" s="682">
        <f>G36+'3'!H36</f>
        <v>1487</v>
      </c>
      <c r="I36" s="455"/>
      <c r="J36" s="552">
        <f>H36/DAY(B2)</f>
        <v>371.75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98995</v>
      </c>
      <c r="F37" s="640">
        <v>100208</v>
      </c>
      <c r="G37" s="473">
        <f t="shared" si="3"/>
        <v>1213</v>
      </c>
      <c r="H37" s="682">
        <f>G37+'3'!H37</f>
        <v>4983</v>
      </c>
      <c r="I37" s="455"/>
      <c r="J37" s="552">
        <f>H37/DAY(B2)</f>
        <v>1245.75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123591</v>
      </c>
      <c r="F38" s="641">
        <v>124846</v>
      </c>
      <c r="G38" s="473">
        <f t="shared" si="3"/>
        <v>1255</v>
      </c>
      <c r="H38" s="682">
        <f>G38+'3'!H38</f>
        <v>5250</v>
      </c>
      <c r="I38" s="455"/>
      <c r="J38" s="552">
        <f>H38/DAY(B2)</f>
        <v>1312.5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252272</v>
      </c>
      <c r="F39" s="640">
        <v>254017</v>
      </c>
      <c r="G39" s="473">
        <f t="shared" si="3"/>
        <v>1745</v>
      </c>
      <c r="H39" s="682">
        <f>G39+'3'!H39</f>
        <v>7364</v>
      </c>
      <c r="I39" s="455"/>
      <c r="J39" s="552">
        <f>H39/DAY(B2)</f>
        <v>1841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0.23</v>
      </c>
      <c r="F40" s="640">
        <v>0</v>
      </c>
      <c r="G40" s="473">
        <f t="shared" si="3"/>
        <v>-0.23</v>
      </c>
      <c r="H40" s="682">
        <f>G40+'3'!H40</f>
        <v>-0.23</v>
      </c>
      <c r="I40" s="455"/>
      <c r="J40" s="552">
        <f>H40/DAY(B2)</f>
        <v>-5.7500000000000002E-2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196005</v>
      </c>
      <c r="F41" s="640">
        <v>201104</v>
      </c>
      <c r="G41" s="473">
        <f t="shared" si="3"/>
        <v>5099</v>
      </c>
      <c r="H41" s="682">
        <f>G41+'3'!H41</f>
        <v>19576</v>
      </c>
      <c r="I41" s="455"/>
      <c r="J41" s="552">
        <f>H41/DAY(B2)</f>
        <v>4894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59200</v>
      </c>
      <c r="F42" s="640">
        <v>59200</v>
      </c>
      <c r="G42" s="473">
        <f t="shared" si="3"/>
        <v>0</v>
      </c>
      <c r="H42" s="682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980728</v>
      </c>
      <c r="F43" s="640">
        <v>982927</v>
      </c>
      <c r="G43" s="473">
        <f t="shared" si="3"/>
        <v>2199</v>
      </c>
      <c r="H43" s="682">
        <f>G43+'3'!H43</f>
        <v>8969</v>
      </c>
      <c r="I43" s="455"/>
      <c r="J43" s="552">
        <f>H43/DAY(B2)</f>
        <v>2242.25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14016.77</v>
      </c>
      <c r="H47" s="682">
        <f>G47+'3'!H47</f>
        <v>56139.770000000004</v>
      </c>
      <c r="I47" s="455"/>
      <c r="J47" s="552">
        <f>H47/DAY(B2)</f>
        <v>14034.942500000001</v>
      </c>
      <c r="K47" s="428"/>
      <c r="L47" s="377"/>
      <c r="N47" s="382"/>
    </row>
    <row r="48" spans="1:14">
      <c r="A48" s="598" t="s">
        <v>177</v>
      </c>
      <c r="B48" s="1314"/>
      <c r="C48" s="1314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</v>
      </c>
      <c r="F49" s="640">
        <v>260732</v>
      </c>
      <c r="G49" s="473">
        <f t="shared" ref="G49:G58" si="4">F49-E49</f>
        <v>0</v>
      </c>
      <c r="H49" s="682">
        <f>G49+'3'!H49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477425</v>
      </c>
      <c r="F50" s="640">
        <v>478454</v>
      </c>
      <c r="G50" s="473">
        <f t="shared" si="4"/>
        <v>1029</v>
      </c>
      <c r="H50" s="682">
        <f>G50+'3'!H50</f>
        <v>3918</v>
      </c>
      <c r="I50" s="455"/>
      <c r="J50" s="552">
        <f>H50/DAY(B2)</f>
        <v>979.5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418065</v>
      </c>
      <c r="F53" s="640">
        <v>418571</v>
      </c>
      <c r="G53" s="473">
        <f t="shared" si="4"/>
        <v>506</v>
      </c>
      <c r="H53" s="682">
        <f>G53+'3'!H53</f>
        <v>2260</v>
      </c>
      <c r="I53" s="455"/>
      <c r="J53" s="552">
        <f>H53/DAY(B2)</f>
        <v>565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11600</v>
      </c>
      <c r="F54" s="640">
        <v>11672</v>
      </c>
      <c r="G54" s="473">
        <f t="shared" si="4"/>
        <v>72</v>
      </c>
      <c r="H54" s="682">
        <f>G54+'3'!H54</f>
        <v>294</v>
      </c>
      <c r="I54" s="455"/>
      <c r="J54" s="552">
        <f>H54/DAY(B2)</f>
        <v>73.5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346926</v>
      </c>
      <c r="F55" s="643">
        <v>346926</v>
      </c>
      <c r="G55" s="473">
        <f t="shared" si="4"/>
        <v>0</v>
      </c>
      <c r="H55" s="682">
        <f>G55+'3'!H55</f>
        <v>0</v>
      </c>
      <c r="I55" s="455"/>
      <c r="J55" s="552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589288</v>
      </c>
      <c r="F56" s="643">
        <v>589336</v>
      </c>
      <c r="G56" s="473">
        <f t="shared" si="4"/>
        <v>48</v>
      </c>
      <c r="H56" s="682">
        <f>G56+'3'!H56</f>
        <v>47.53000000002794</v>
      </c>
      <c r="I56" s="455"/>
      <c r="J56" s="552">
        <f>H56/DAY(B2)</f>
        <v>11.882500000006985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46872</v>
      </c>
      <c r="F58" s="643">
        <v>47090</v>
      </c>
      <c r="G58" s="473">
        <f t="shared" si="4"/>
        <v>218</v>
      </c>
      <c r="H58" s="682">
        <f>G58+'3'!H58</f>
        <v>422</v>
      </c>
      <c r="I58" s="455"/>
      <c r="J58" s="552">
        <f>H58/DAY(B2)</f>
        <v>105.5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1873</v>
      </c>
      <c r="H59" s="682">
        <f>G59+'3'!H59</f>
        <v>6941.4000000000233</v>
      </c>
      <c r="I59" s="455">
        <f>G7-G60</f>
        <v>273.22999999999956</v>
      </c>
      <c r="J59" s="552">
        <f>H59/DAY(B2)</f>
        <v>1735.3500000000058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15889.77</v>
      </c>
      <c r="H60" s="682">
        <f>G60+'3'!H60</f>
        <v>63081.170000000027</v>
      </c>
      <c r="I60" s="455">
        <f>G13-G60</f>
        <v>-240.77000000000044</v>
      </c>
      <c r="J60" s="552">
        <f>H60/DAY(B2)</f>
        <v>15770.292500000007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2370</v>
      </c>
      <c r="F63" s="645">
        <v>2374</v>
      </c>
      <c r="G63" s="473">
        <f t="shared" si="5"/>
        <v>4</v>
      </c>
      <c r="H63" s="682">
        <f>G63+'3'!H63</f>
        <v>15</v>
      </c>
      <c r="I63" s="515"/>
      <c r="J63" s="552">
        <f>H63/DAY(B2)</f>
        <v>3.75</v>
      </c>
      <c r="K63" s="428"/>
      <c r="L63" s="377"/>
      <c r="N63" s="382"/>
    </row>
    <row r="64" spans="1:14" ht="27.75">
      <c r="A64" s="1504" t="s">
        <v>99</v>
      </c>
      <c r="B64" s="1505"/>
      <c r="C64" s="1506"/>
      <c r="D64" s="523" t="s">
        <v>187</v>
      </c>
      <c r="E64" s="514">
        <f>'3'!F64</f>
        <v>153931</v>
      </c>
      <c r="F64" s="635">
        <v>154137</v>
      </c>
      <c r="G64" s="473">
        <f t="shared" si="5"/>
        <v>206</v>
      </c>
      <c r="H64" s="682">
        <f>G64+'3'!H64</f>
        <v>838</v>
      </c>
      <c r="I64" s="480"/>
      <c r="J64" s="552">
        <f>H64/DAY(B2)</f>
        <v>209.5</v>
      </c>
      <c r="K64" s="428"/>
      <c r="L64" s="377"/>
      <c r="N64" s="382"/>
    </row>
    <row r="65" spans="1:14" ht="27.75">
      <c r="A65" s="1504" t="s">
        <v>100</v>
      </c>
      <c r="B65" s="1505"/>
      <c r="C65" s="1506"/>
      <c r="D65" s="523" t="s">
        <v>187</v>
      </c>
      <c r="E65" s="514">
        <f>'3'!F65</f>
        <v>155204</v>
      </c>
      <c r="F65" s="636">
        <v>155406</v>
      </c>
      <c r="G65" s="473">
        <f t="shared" si="5"/>
        <v>202</v>
      </c>
      <c r="H65" s="682">
        <f>G65+'3'!H65</f>
        <v>807</v>
      </c>
      <c r="I65" s="489"/>
      <c r="J65" s="552">
        <f>H65/DAY(B2)</f>
        <v>201.75</v>
      </c>
      <c r="K65" s="428"/>
      <c r="L65" s="377"/>
      <c r="N65" s="382"/>
    </row>
    <row r="66" spans="1:14" ht="27.75">
      <c r="A66" s="1504" t="s">
        <v>101</v>
      </c>
      <c r="B66" s="1505"/>
      <c r="C66" s="1506"/>
      <c r="D66" s="523" t="s">
        <v>187</v>
      </c>
      <c r="E66" s="514">
        <f>'3'!F66</f>
        <v>49379</v>
      </c>
      <c r="F66" s="635">
        <v>49645</v>
      </c>
      <c r="G66" s="473">
        <f t="shared" si="5"/>
        <v>266</v>
      </c>
      <c r="H66" s="682">
        <f>G66+'3'!H66</f>
        <v>1074</v>
      </c>
      <c r="I66" s="480"/>
      <c r="J66" s="552">
        <f>H66/DAY(B2)</f>
        <v>268.5</v>
      </c>
      <c r="K66" s="428"/>
      <c r="L66" s="377"/>
      <c r="N66" s="382"/>
    </row>
    <row r="67" spans="1:14" ht="27.75">
      <c r="A67" s="1504" t="s">
        <v>102</v>
      </c>
      <c r="B67" s="1505"/>
      <c r="C67" s="1506"/>
      <c r="D67" s="523" t="s">
        <v>187</v>
      </c>
      <c r="E67" s="514">
        <f>'3'!F67</f>
        <v>243795</v>
      </c>
      <c r="F67" s="635">
        <v>243946</v>
      </c>
      <c r="G67" s="473">
        <f t="shared" si="5"/>
        <v>151</v>
      </c>
      <c r="H67" s="682">
        <f>G67+'3'!H67</f>
        <v>772</v>
      </c>
      <c r="I67" s="489"/>
      <c r="J67" s="552">
        <f>H67/DAY(B2)</f>
        <v>193</v>
      </c>
      <c r="K67" s="429"/>
      <c r="L67" s="377"/>
      <c r="N67" s="382"/>
    </row>
    <row r="68" spans="1:14" ht="27.75">
      <c r="A68" s="1504" t="s">
        <v>103</v>
      </c>
      <c r="B68" s="1505"/>
      <c r="C68" s="1506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2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04" t="s">
        <v>104</v>
      </c>
      <c r="B69" s="1505"/>
      <c r="C69" s="1506"/>
      <c r="D69" s="523" t="s">
        <v>187</v>
      </c>
      <c r="E69" s="514">
        <f>'3'!F69</f>
        <v>79254</v>
      </c>
      <c r="F69" s="635">
        <v>79332</v>
      </c>
      <c r="G69" s="473">
        <f t="shared" si="5"/>
        <v>78</v>
      </c>
      <c r="H69" s="682">
        <f>G69+'3'!H69</f>
        <v>338</v>
      </c>
      <c r="I69" s="516"/>
      <c r="J69" s="552">
        <f>H69/DAY(B2)</f>
        <v>84.5</v>
      </c>
      <c r="K69" s="431"/>
      <c r="L69" s="377"/>
      <c r="N69" s="382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07"/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657">
        <v>855508</v>
      </c>
      <c r="F72" s="647">
        <v>855525</v>
      </c>
      <c r="G72" s="473">
        <f t="shared" ref="G72:G84" si="6">F72-E72</f>
        <v>17</v>
      </c>
      <c r="H72" s="682">
        <f>G72+'3'!H72</f>
        <v>64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04" t="s">
        <v>192</v>
      </c>
      <c r="B73" s="1505"/>
      <c r="C73" s="1506"/>
      <c r="D73" s="523" t="s">
        <v>187</v>
      </c>
      <c r="E73" s="658">
        <v>885880</v>
      </c>
      <c r="F73" s="648">
        <v>885881</v>
      </c>
      <c r="G73" s="655">
        <f t="shared" si="6"/>
        <v>1</v>
      </c>
      <c r="H73" s="682">
        <f>G73+'3'!H73</f>
        <v>5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04" t="s">
        <v>193</v>
      </c>
      <c r="B74" s="1505"/>
      <c r="C74" s="1506"/>
      <c r="D74" s="523" t="s">
        <v>187</v>
      </c>
      <c r="E74" s="659">
        <v>2340</v>
      </c>
      <c r="F74" s="649">
        <v>2351</v>
      </c>
      <c r="G74" s="473">
        <f>F74-E74</f>
        <v>11</v>
      </c>
      <c r="H74" s="682">
        <f>G74+'3'!H74</f>
        <v>72</v>
      </c>
      <c r="I74" s="480"/>
      <c r="J74" s="552">
        <f>H74/DAY(B2)</f>
        <v>18</v>
      </c>
      <c r="K74" s="431"/>
      <c r="L74" s="377"/>
      <c r="N74" s="382"/>
    </row>
    <row r="75" spans="1:14" ht="27.75">
      <c r="A75" s="1501" t="s">
        <v>194</v>
      </c>
      <c r="B75" s="1502"/>
      <c r="C75" s="1503"/>
      <c r="D75" s="523" t="s">
        <v>187</v>
      </c>
      <c r="E75" s="659">
        <v>11130</v>
      </c>
      <c r="F75" s="649">
        <v>11181</v>
      </c>
      <c r="G75" s="473">
        <f t="shared" si="6"/>
        <v>51</v>
      </c>
      <c r="H75" s="682">
        <f>G75+'3'!H75</f>
        <v>211</v>
      </c>
      <c r="I75" s="480"/>
      <c r="J75" s="552">
        <f>H75/DAY(B2)</f>
        <v>52.75</v>
      </c>
      <c r="K75" s="430"/>
      <c r="L75" s="377"/>
      <c r="N75" s="382"/>
    </row>
    <row r="76" spans="1:14" ht="27.75">
      <c r="A76" s="1501" t="s">
        <v>195</v>
      </c>
      <c r="B76" s="1502"/>
      <c r="C76" s="1503"/>
      <c r="D76" s="523" t="s">
        <v>187</v>
      </c>
      <c r="E76" s="658">
        <v>5876</v>
      </c>
      <c r="F76" s="648">
        <v>5930</v>
      </c>
      <c r="G76" s="473">
        <f t="shared" si="6"/>
        <v>54</v>
      </c>
      <c r="H76" s="682">
        <f>G76+'3'!H76</f>
        <v>221</v>
      </c>
      <c r="I76" s="505"/>
      <c r="J76" s="552">
        <f>H76/DAY(B2)</f>
        <v>55.25</v>
      </c>
      <c r="K76" s="430"/>
      <c r="L76" s="377"/>
      <c r="N76" s="382"/>
    </row>
    <row r="77" spans="1:14" ht="27.75">
      <c r="A77" s="1504" t="s">
        <v>196</v>
      </c>
      <c r="B77" s="1505"/>
      <c r="C77" s="1506"/>
      <c r="D77" s="523" t="s">
        <v>187</v>
      </c>
      <c r="E77" s="658">
        <v>701709</v>
      </c>
      <c r="F77" s="648">
        <v>701760</v>
      </c>
      <c r="G77" s="655">
        <f t="shared" si="6"/>
        <v>51</v>
      </c>
      <c r="H77" s="682">
        <f>G77+'3'!H77</f>
        <v>198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312" t="s">
        <v>197</v>
      </c>
      <c r="B78" s="1305"/>
      <c r="C78" s="1305"/>
      <c r="D78" s="523" t="s">
        <v>187</v>
      </c>
      <c r="E78" s="659">
        <v>670345</v>
      </c>
      <c r="F78" s="649">
        <v>670400</v>
      </c>
      <c r="G78" s="473">
        <f t="shared" si="6"/>
        <v>55</v>
      </c>
      <c r="H78" s="682">
        <f>G78+'3'!H78</f>
        <v>375</v>
      </c>
      <c r="I78" s="505"/>
      <c r="J78" s="552">
        <f>H78/DAY(B2)</f>
        <v>93.75</v>
      </c>
      <c r="K78" s="430"/>
      <c r="L78" s="377"/>
      <c r="N78" s="382"/>
    </row>
    <row r="79" spans="1:14" ht="27.75">
      <c r="A79" s="1501" t="s">
        <v>92</v>
      </c>
      <c r="B79" s="1502"/>
      <c r="C79" s="1503"/>
      <c r="D79" s="524" t="s">
        <v>187</v>
      </c>
      <c r="E79" s="659">
        <v>827324</v>
      </c>
      <c r="F79" s="1316">
        <v>827512</v>
      </c>
      <c r="G79" s="473">
        <f t="shared" si="6"/>
        <v>188</v>
      </c>
      <c r="H79" s="682">
        <f>G79+'3'!H79</f>
        <v>728</v>
      </c>
      <c r="I79" s="505"/>
      <c r="J79" s="552">
        <f>H79/DAY(B2)</f>
        <v>182</v>
      </c>
      <c r="K79" s="430"/>
      <c r="L79" s="377"/>
      <c r="N79" s="382"/>
    </row>
    <row r="80" spans="1:14" ht="27.75">
      <c r="A80" s="1501" t="s">
        <v>198</v>
      </c>
      <c r="B80" s="1502"/>
      <c r="C80" s="1503"/>
      <c r="D80" s="524" t="s">
        <v>187</v>
      </c>
      <c r="E80" s="658">
        <v>517871</v>
      </c>
      <c r="F80" s="648">
        <v>518233</v>
      </c>
      <c r="G80" s="473">
        <f t="shared" si="6"/>
        <v>362</v>
      </c>
      <c r="H80" s="682">
        <f>G80+'3'!H80</f>
        <v>1495</v>
      </c>
      <c r="I80" s="505"/>
      <c r="J80" s="552">
        <f>H80/DAY(B2)</f>
        <v>373.75</v>
      </c>
      <c r="K80" s="430"/>
      <c r="L80" s="377"/>
      <c r="N80" s="382"/>
    </row>
    <row r="81" spans="1:15" ht="27.75">
      <c r="A81" s="1501" t="s">
        <v>199</v>
      </c>
      <c r="B81" s="1502"/>
      <c r="C81" s="1503"/>
      <c r="D81" s="524" t="s">
        <v>187</v>
      </c>
      <c r="E81" s="658">
        <v>636693</v>
      </c>
      <c r="F81" s="648">
        <v>636768</v>
      </c>
      <c r="G81" s="473">
        <f t="shared" si="6"/>
        <v>75</v>
      </c>
      <c r="H81" s="682">
        <f>G81+'3'!H81</f>
        <v>290</v>
      </c>
      <c r="I81" s="505"/>
      <c r="J81" s="552">
        <f>H81/DAY(B2)</f>
        <v>72.5</v>
      </c>
      <c r="K81" s="430"/>
      <c r="L81" s="377"/>
      <c r="N81" s="382"/>
    </row>
    <row r="82" spans="1:15" ht="27.75">
      <c r="A82" s="1501" t="s">
        <v>93</v>
      </c>
      <c r="B82" s="1502"/>
      <c r="C82" s="1503"/>
      <c r="D82" s="485" t="s">
        <v>132</v>
      </c>
      <c r="E82" s="654">
        <v>107663</v>
      </c>
      <c r="F82" s="636">
        <v>107675</v>
      </c>
      <c r="G82" s="473">
        <f t="shared" si="6"/>
        <v>12</v>
      </c>
      <c r="H82" s="682">
        <f>G82+'3'!H82</f>
        <v>63</v>
      </c>
      <c r="I82" s="486"/>
      <c r="J82" s="552">
        <f>H82/DAY(B2)</f>
        <v>15.75</v>
      </c>
      <c r="K82" s="430"/>
      <c r="L82" s="377"/>
      <c r="N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v>15516</v>
      </c>
      <c r="F83" s="1317">
        <v>15695</v>
      </c>
      <c r="G83" s="473">
        <f t="shared" si="6"/>
        <v>179</v>
      </c>
      <c r="H83" s="682">
        <f>G83+'3'!H83</f>
        <v>924</v>
      </c>
      <c r="I83" s="481"/>
      <c r="J83" s="552">
        <f>H83/DAY(B2)</f>
        <v>231</v>
      </c>
      <c r="K83" s="429"/>
      <c r="L83" s="377"/>
      <c r="N83" s="382"/>
    </row>
    <row r="84" spans="1:15">
      <c r="A84" s="1313" t="s">
        <v>201</v>
      </c>
      <c r="B84" s="571"/>
      <c r="C84" s="571"/>
      <c r="D84" s="478" t="s">
        <v>132</v>
      </c>
      <c r="E84" s="627">
        <v>482378</v>
      </c>
      <c r="F84" s="650">
        <v>483194</v>
      </c>
      <c r="G84" s="473">
        <f t="shared" si="6"/>
        <v>816</v>
      </c>
      <c r="H84" s="682">
        <f>G84+'3'!H84</f>
        <v>3061</v>
      </c>
      <c r="I84" s="481"/>
      <c r="J84" s="552">
        <f>H84/DAY(B2)</f>
        <v>765.25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1872</v>
      </c>
      <c r="H85" s="682">
        <f>G85+'3'!H85</f>
        <v>7707</v>
      </c>
      <c r="I85" s="481"/>
      <c r="J85" s="552">
        <f>H85/DAY(B2)</f>
        <v>1926.75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459523</v>
      </c>
      <c r="F86" s="650">
        <v>459766</v>
      </c>
      <c r="G86" s="708">
        <f t="shared" ref="G86:G87" si="7">F86-E86</f>
        <v>243</v>
      </c>
      <c r="H86" s="682">
        <f>G86+'3'!H86</f>
        <v>499</v>
      </c>
      <c r="I86" s="655"/>
      <c r="J86" s="710">
        <f>H86/DAY(B2)</f>
        <v>124.75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80949</v>
      </c>
      <c r="F87" s="650">
        <v>80961</v>
      </c>
      <c r="G87" s="708">
        <f t="shared" si="7"/>
        <v>12</v>
      </c>
      <c r="H87" s="682">
        <f>G87+'3'!H87</f>
        <v>42</v>
      </c>
      <c r="I87" s="655"/>
      <c r="J87" s="710">
        <f>H87/DAY(B2)</f>
        <v>10.5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152003</v>
      </c>
      <c r="F88" s="650">
        <v>152033</v>
      </c>
      <c r="G88" s="708">
        <f>F88-E88</f>
        <v>30</v>
      </c>
      <c r="H88" s="682">
        <f>G88+'3'!H88</f>
        <v>228</v>
      </c>
      <c r="I88" s="655"/>
      <c r="J88" s="710">
        <f>H88/DAY(B2)</f>
        <v>57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64853</v>
      </c>
      <c r="F89" s="650">
        <v>64860</v>
      </c>
      <c r="G89" s="708">
        <f>F89-E89</f>
        <v>7</v>
      </c>
      <c r="H89" s="682">
        <f>G89+'3'!H89</f>
        <v>26</v>
      </c>
      <c r="I89" s="655"/>
      <c r="J89" s="710">
        <f>H89/DAY(B2)</f>
        <v>6.5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3272</v>
      </c>
      <c r="F90" s="650">
        <v>3272</v>
      </c>
      <c r="G90" s="708">
        <f t="shared" ref="G90:G91" si="8">F90-E90</f>
        <v>0</v>
      </c>
      <c r="H90" s="682">
        <f>G90+'3'!H90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'3'!F91</f>
        <v>27914.1</v>
      </c>
      <c r="F91" s="650">
        <v>27916.53</v>
      </c>
      <c r="G91" s="708">
        <f t="shared" si="8"/>
        <v>2.430000000000291</v>
      </c>
      <c r="H91" s="682">
        <f>G91+'3'!H91</f>
        <v>2.430000000000291</v>
      </c>
      <c r="I91" s="655"/>
      <c r="J91" s="710">
        <f>H91/DAY(B2)</f>
        <v>0.60750000000007276</v>
      </c>
      <c r="K91" s="736"/>
      <c r="L91" s="737"/>
      <c r="N91" s="781"/>
      <c r="O91" s="382"/>
    </row>
    <row r="92" spans="1:15" s="379" customFormat="1">
      <c r="A92" s="606" t="s">
        <v>205</v>
      </c>
      <c r="B92" s="1315"/>
      <c r="C92" s="1315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'3'!F93</f>
        <v>244664</v>
      </c>
      <c r="F93" s="635">
        <v>244703</v>
      </c>
      <c r="G93" s="473">
        <f t="shared" ref="G93:G94" si="9">F93-E93</f>
        <v>39</v>
      </c>
      <c r="H93" s="682">
        <f>G93+'3'!H93</f>
        <v>179</v>
      </c>
      <c r="I93" s="480"/>
      <c r="J93" s="552">
        <f>H93/DAY(B2)</f>
        <v>44.75</v>
      </c>
      <c r="K93" s="429"/>
      <c r="L93" s="377"/>
      <c r="N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'3'!F94</f>
        <v>183838</v>
      </c>
      <c r="F94" s="635">
        <v>183909</v>
      </c>
      <c r="G94" s="473">
        <f t="shared" si="9"/>
        <v>71</v>
      </c>
      <c r="H94" s="682">
        <f>G94+'3'!H94</f>
        <v>378</v>
      </c>
      <c r="I94" s="480"/>
      <c r="J94" s="552">
        <f>H94/DAY(B2)</f>
        <v>94.5</v>
      </c>
      <c r="K94" s="380"/>
      <c r="L94" s="377"/>
      <c r="N94" s="382"/>
    </row>
    <row r="95" spans="1:15">
      <c r="A95" s="1553" t="s">
        <v>208</v>
      </c>
      <c r="B95" s="1554"/>
      <c r="C95" s="1555"/>
      <c r="D95" s="523"/>
      <c r="E95" s="484"/>
      <c r="F95" s="635"/>
      <c r="G95" s="473">
        <f>G93+G94</f>
        <v>110</v>
      </c>
      <c r="H95" s="682">
        <f>G95+'3'!H95</f>
        <v>410</v>
      </c>
      <c r="I95" s="480"/>
      <c r="J95" s="552">
        <f>H95/DAY(B2)</f>
        <v>102.5</v>
      </c>
      <c r="K95" s="380"/>
      <c r="L95" s="377"/>
      <c r="N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'3'!F96</f>
        <v>413061</v>
      </c>
      <c r="F96" s="635">
        <v>413123</v>
      </c>
      <c r="G96" s="473">
        <f t="shared" ref="G96:G101" si="10">F96-E96</f>
        <v>62</v>
      </c>
      <c r="H96" s="682">
        <f>G96+'3'!H96</f>
        <v>237</v>
      </c>
      <c r="I96" s="480"/>
      <c r="J96" s="552">
        <f>H96/DAY(B2)</f>
        <v>59.25</v>
      </c>
      <c r="K96" s="380"/>
      <c r="L96" s="377"/>
      <c r="N96" s="382"/>
    </row>
    <row r="97" spans="1:14" ht="27.75">
      <c r="A97" s="1309" t="s">
        <v>210</v>
      </c>
      <c r="B97" s="1310"/>
      <c r="C97" s="1310"/>
      <c r="D97" s="523" t="s">
        <v>144</v>
      </c>
      <c r="E97" s="484">
        <f>'3'!F97</f>
        <v>102384</v>
      </c>
      <c r="F97" s="635">
        <v>102393</v>
      </c>
      <c r="G97" s="473">
        <f t="shared" si="10"/>
        <v>9</v>
      </c>
      <c r="H97" s="682">
        <f>G97+'3'!H97</f>
        <v>50</v>
      </c>
      <c r="I97" s="480"/>
      <c r="J97" s="552">
        <f>H97/DAY(B2)</f>
        <v>12.5</v>
      </c>
      <c r="K97" s="427"/>
      <c r="L97" s="377"/>
      <c r="N97" s="382"/>
    </row>
    <row r="98" spans="1:14" ht="27.75">
      <c r="A98" s="1309" t="s">
        <v>211</v>
      </c>
      <c r="B98" s="1310"/>
      <c r="C98" s="1310"/>
      <c r="D98" s="523" t="s">
        <v>144</v>
      </c>
      <c r="E98" s="484">
        <f>'3'!F98</f>
        <v>97477</v>
      </c>
      <c r="F98" s="635">
        <v>97495</v>
      </c>
      <c r="G98" s="473">
        <f t="shared" si="10"/>
        <v>18</v>
      </c>
      <c r="H98" s="682">
        <f>G98+'3'!H98</f>
        <v>68</v>
      </c>
      <c r="I98" s="480"/>
      <c r="J98" s="552">
        <f>H98/DAY(B2)</f>
        <v>17</v>
      </c>
      <c r="K98" s="432"/>
      <c r="L98" s="377"/>
      <c r="N98" s="382"/>
    </row>
    <row r="99" spans="1:14" ht="27.75">
      <c r="A99" s="1309" t="s">
        <v>212</v>
      </c>
      <c r="B99" s="1310"/>
      <c r="C99" s="1310"/>
      <c r="D99" s="523" t="s">
        <v>144</v>
      </c>
      <c r="E99" s="484">
        <f>'3'!F99</f>
        <v>149547</v>
      </c>
      <c r="F99" s="635">
        <v>149553</v>
      </c>
      <c r="G99" s="473">
        <f t="shared" si="10"/>
        <v>6</v>
      </c>
      <c r="H99" s="682">
        <f>G99+'3'!H99</f>
        <v>20</v>
      </c>
      <c r="I99" s="480"/>
      <c r="J99" s="552">
        <f>H99/DAY(B2)</f>
        <v>5</v>
      </c>
      <c r="K99" s="380"/>
      <c r="L99" s="377"/>
      <c r="N99" s="382"/>
    </row>
    <row r="100" spans="1:14" ht="27.75">
      <c r="A100" s="1309" t="s">
        <v>213</v>
      </c>
      <c r="B100" s="1310"/>
      <c r="C100" s="1310"/>
      <c r="D100" s="523" t="s">
        <v>144</v>
      </c>
      <c r="E100" s="484">
        <f>'3'!F100</f>
        <v>7199</v>
      </c>
      <c r="F100" s="635">
        <v>7202</v>
      </c>
      <c r="G100" s="473">
        <f t="shared" si="10"/>
        <v>3</v>
      </c>
      <c r="H100" s="682">
        <f>G100+'3'!H100</f>
        <v>17</v>
      </c>
      <c r="I100" s="480"/>
      <c r="J100" s="552">
        <f>H100/DAY(B2)</f>
        <v>4.25</v>
      </c>
      <c r="K100" s="380"/>
      <c r="L100" s="377"/>
      <c r="N100" s="382"/>
    </row>
    <row r="101" spans="1:14" ht="27.75">
      <c r="A101" s="1309" t="s">
        <v>214</v>
      </c>
      <c r="B101" s="1310"/>
      <c r="C101" s="1310"/>
      <c r="D101" s="523" t="s">
        <v>144</v>
      </c>
      <c r="E101" s="484">
        <f>'3'!F101</f>
        <v>5155</v>
      </c>
      <c r="F101" s="635">
        <v>5169</v>
      </c>
      <c r="G101" s="473">
        <f t="shared" si="10"/>
        <v>14</v>
      </c>
      <c r="H101" s="682">
        <f>G101+'3'!H101</f>
        <v>31</v>
      </c>
      <c r="I101" s="480"/>
      <c r="J101" s="552">
        <f>H101/DAY(B2)</f>
        <v>7.75</v>
      </c>
      <c r="K101" s="380"/>
      <c r="L101" s="377"/>
      <c r="N101" s="382"/>
    </row>
    <row r="102" spans="1:14">
      <c r="A102" s="1553" t="s">
        <v>216</v>
      </c>
      <c r="B102" s="1554"/>
      <c r="C102" s="1555"/>
      <c r="D102" s="524"/>
      <c r="E102" s="524"/>
      <c r="F102" s="639"/>
      <c r="G102" s="525">
        <f>SUM(G96:G101)</f>
        <v>112</v>
      </c>
      <c r="H102" s="682">
        <f>G102+'3'!H102</f>
        <v>423</v>
      </c>
      <c r="I102" s="526"/>
      <c r="J102" s="552">
        <f>H102/DAY(B2)</f>
        <v>105.75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1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308"/>
      <c r="D105" s="622" t="s">
        <v>144</v>
      </c>
      <c r="E105" s="532">
        <f>'3'!F105</f>
        <v>7431</v>
      </c>
      <c r="F105" s="532">
        <v>7431</v>
      </c>
      <c r="G105" s="532">
        <f>F105-E105</f>
        <v>0</v>
      </c>
      <c r="H105" s="682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17" t="s">
        <v>77</v>
      </c>
      <c r="B106" s="1518"/>
      <c r="C106" s="1308"/>
      <c r="D106" s="622" t="s">
        <v>144</v>
      </c>
      <c r="E106" s="532">
        <f>'3'!F106</f>
        <v>35836</v>
      </c>
      <c r="F106" s="534">
        <v>35847</v>
      </c>
      <c r="G106" s="532">
        <f t="shared" ref="G106:G107" si="11">F106-E106</f>
        <v>11</v>
      </c>
      <c r="H106" s="682">
        <f>G106+'3'!H106</f>
        <v>19</v>
      </c>
      <c r="I106" s="532"/>
      <c r="J106" s="558">
        <f>H106/DAY(B2)</f>
        <v>4.75</v>
      </c>
      <c r="N106" s="382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532">
        <f>'3'!F107</f>
        <v>19623</v>
      </c>
      <c r="F107" s="1051">
        <v>19632</v>
      </c>
      <c r="G107" s="532">
        <f t="shared" si="11"/>
        <v>9</v>
      </c>
      <c r="H107" s="682">
        <f>G107+'3'!H107</f>
        <v>15</v>
      </c>
      <c r="I107" s="532"/>
      <c r="J107" s="558">
        <f>H107/DAY(B2)</f>
        <v>3.75</v>
      </c>
      <c r="N107" s="382"/>
    </row>
    <row r="108" spans="1:14" s="442" customFormat="1" ht="27.75">
      <c r="A108" s="1519" t="s">
        <v>202</v>
      </c>
      <c r="B108" s="1520"/>
      <c r="C108" s="1308"/>
      <c r="D108" s="622"/>
      <c r="E108" s="532" t="str">
        <f>'3'!F108</f>
        <v>.</v>
      </c>
      <c r="F108" s="532"/>
      <c r="G108" s="532">
        <f>SUM(G105:G107)</f>
        <v>20</v>
      </c>
      <c r="H108" s="682">
        <f>G108+'3'!H108</f>
        <v>34</v>
      </c>
      <c r="I108" s="532"/>
      <c r="J108" s="558">
        <f>H108/DAY(B2)</f>
        <v>8.5</v>
      </c>
      <c r="N108" s="382"/>
    </row>
    <row r="109" spans="1:14" s="442" customFormat="1" ht="27.75">
      <c r="A109" s="1523" t="s">
        <v>79</v>
      </c>
      <c r="B109" s="1524"/>
      <c r="C109" s="1308"/>
      <c r="D109" s="622" t="s">
        <v>144</v>
      </c>
      <c r="E109" s="532">
        <f>'3'!F109</f>
        <v>0</v>
      </c>
      <c r="F109" s="532"/>
      <c r="G109" s="532"/>
      <c r="H109" s="682">
        <f>G109+'3'!H109</f>
        <v>0</v>
      </c>
      <c r="I109" s="532"/>
      <c r="J109" s="558"/>
      <c r="N109" s="382"/>
    </row>
    <row r="110" spans="1:14" s="442" customFormat="1" ht="27.75">
      <c r="A110" s="1517" t="s">
        <v>220</v>
      </c>
      <c r="B110" s="1518"/>
      <c r="C110" s="1308"/>
      <c r="D110" s="622" t="s">
        <v>144</v>
      </c>
      <c r="E110" s="532">
        <f>'3'!F110</f>
        <v>61340</v>
      </c>
      <c r="F110" s="532">
        <v>61400</v>
      </c>
      <c r="G110" s="532">
        <f>F110-E110</f>
        <v>60</v>
      </c>
      <c r="H110" s="682">
        <f>G110+'3'!H110</f>
        <v>226</v>
      </c>
      <c r="I110" s="532"/>
      <c r="J110" s="558">
        <f>H110/DAY(B2)</f>
        <v>56.5</v>
      </c>
      <c r="N110" s="382"/>
    </row>
    <row r="111" spans="1:14" s="442" customFormat="1" ht="27.75">
      <c r="A111" s="1517" t="s">
        <v>221</v>
      </c>
      <c r="B111" s="1518"/>
      <c r="C111" s="1308"/>
      <c r="D111" s="622" t="s">
        <v>144</v>
      </c>
      <c r="E111" s="532">
        <f>'3'!F111</f>
        <v>32235</v>
      </c>
      <c r="F111" s="532">
        <v>32245</v>
      </c>
      <c r="G111" s="532">
        <f t="shared" ref="G111:G112" si="12">F111-E111</f>
        <v>10</v>
      </c>
      <c r="H111" s="682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17" t="s">
        <v>222</v>
      </c>
      <c r="B112" s="1518"/>
      <c r="C112" s="1308"/>
      <c r="D112" s="622" t="s">
        <v>144</v>
      </c>
      <c r="E112" s="532">
        <f>'3'!F112</f>
        <v>4417</v>
      </c>
      <c r="F112" s="532">
        <v>4417</v>
      </c>
      <c r="G112" s="532">
        <f t="shared" si="12"/>
        <v>0</v>
      </c>
      <c r="H112" s="682">
        <f>G112+'3'!H112</f>
        <v>49</v>
      </c>
      <c r="I112" s="532"/>
      <c r="J112" s="558">
        <f>H112/DAY(B2)</f>
        <v>12.25</v>
      </c>
      <c r="N112" s="382"/>
    </row>
    <row r="113" spans="1:14" s="442" customFormat="1" ht="27.75">
      <c r="A113" s="1519" t="s">
        <v>110</v>
      </c>
      <c r="B113" s="1520"/>
      <c r="C113" s="1308"/>
      <c r="D113" s="622"/>
      <c r="E113" s="532">
        <f>'3'!F113</f>
        <v>0</v>
      </c>
      <c r="F113" s="532"/>
      <c r="G113" s="532">
        <f>SUM(G110:G112)</f>
        <v>70</v>
      </c>
      <c r="H113" s="682">
        <f>G113+'3'!H113</f>
        <v>285</v>
      </c>
      <c r="I113" s="532"/>
      <c r="J113" s="558">
        <f>H113/DAY(B2)</f>
        <v>71.25</v>
      </c>
      <c r="N113" s="382"/>
    </row>
    <row r="114" spans="1:14" s="442" customFormat="1" ht="27.75">
      <c r="A114" s="1523" t="s">
        <v>223</v>
      </c>
      <c r="B114" s="1524"/>
      <c r="C114" s="1308"/>
      <c r="D114" s="622"/>
      <c r="E114" s="532">
        <f>'3'!F114</f>
        <v>0</v>
      </c>
      <c r="F114" s="532"/>
      <c r="G114" s="532"/>
      <c r="H114" s="682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2">
        <f>'3'!F115</f>
        <v>11278</v>
      </c>
      <c r="F115" s="534">
        <v>11283</v>
      </c>
      <c r="G115" s="534">
        <f>F115-E115</f>
        <v>5</v>
      </c>
      <c r="H115" s="682">
        <f>G115+'3'!H115</f>
        <v>24</v>
      </c>
      <c r="I115" s="532"/>
      <c r="J115" s="558">
        <f>H115/DAY(B2)</f>
        <v>6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2">
        <f>'3'!F116</f>
        <v>8139</v>
      </c>
      <c r="F116" s="534">
        <v>8143</v>
      </c>
      <c r="G116" s="534">
        <f t="shared" ref="G116:G117" si="13">F116-E116</f>
        <v>4</v>
      </c>
      <c r="H116" s="682">
        <f>G116+'3'!H116</f>
        <v>17</v>
      </c>
      <c r="I116" s="532"/>
      <c r="J116" s="558">
        <f>H116/DAY(B2)</f>
        <v>4.25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534">
        <f t="shared" si="13"/>
        <v>0</v>
      </c>
      <c r="H117" s="682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534"/>
      <c r="G118" s="534">
        <f>SUM(G115:G117)</f>
        <v>9</v>
      </c>
      <c r="H118" s="682">
        <f>G118+'3'!H118</f>
        <v>41</v>
      </c>
      <c r="I118" s="534"/>
      <c r="J118" s="558">
        <f>H118/DAY(B2)</f>
        <v>10.25</v>
      </c>
      <c r="N118" s="382"/>
    </row>
    <row r="119" spans="1:14" s="446" customFormat="1" ht="27.75">
      <c r="A119" s="1513" t="s">
        <v>227</v>
      </c>
      <c r="B119" s="1514"/>
      <c r="C119" s="1306"/>
      <c r="D119" s="624" t="s">
        <v>144</v>
      </c>
      <c r="E119" s="536"/>
      <c r="F119" s="536">
        <f>SUM(G19+G93)</f>
        <v>86</v>
      </c>
      <c r="G119" s="536">
        <f>SUM(G19+G93)</f>
        <v>86</v>
      </c>
      <c r="H119" s="682">
        <f>G119+'3'!H119</f>
        <v>389</v>
      </c>
      <c r="I119" s="535"/>
      <c r="J119" s="559">
        <f>H119/DAY(B2)</f>
        <v>97.25</v>
      </c>
      <c r="N119" s="382"/>
    </row>
    <row r="120" spans="1:14" s="446" customFormat="1" ht="27.75">
      <c r="A120" s="1513" t="s">
        <v>228</v>
      </c>
      <c r="B120" s="1514"/>
      <c r="C120" s="1306"/>
      <c r="D120" s="624" t="s">
        <v>144</v>
      </c>
      <c r="E120" s="536"/>
      <c r="F120" s="536">
        <f>SUM(G96,G97,G98,G100,G101)</f>
        <v>106</v>
      </c>
      <c r="G120" s="536">
        <f>SUM(G96,G97,G98,G100,G101)</f>
        <v>106</v>
      </c>
      <c r="H120" s="682">
        <f>G120+'3'!H120</f>
        <v>403</v>
      </c>
      <c r="I120" s="535"/>
      <c r="J120" s="559">
        <f>H120/DAY(B2)</f>
        <v>100.75</v>
      </c>
      <c r="N120" s="382"/>
    </row>
    <row r="121" spans="1:14" s="446" customFormat="1" ht="27.75">
      <c r="A121" s="1513" t="s">
        <v>229</v>
      </c>
      <c r="B121" s="1514"/>
      <c r="C121" s="1306"/>
      <c r="D121" s="624" t="s">
        <v>144</v>
      </c>
      <c r="E121" s="534"/>
      <c r="F121" s="534">
        <f>SUM(G113)</f>
        <v>70</v>
      </c>
      <c r="G121" s="534">
        <f>SUM(G113)</f>
        <v>70</v>
      </c>
      <c r="H121" s="682">
        <f>G121+'3'!H121</f>
        <v>285</v>
      </c>
      <c r="I121" s="535"/>
      <c r="J121" s="559">
        <f>H121/DAY(B2)</f>
        <v>71.25</v>
      </c>
      <c r="N121" s="382"/>
    </row>
    <row r="122" spans="1:14" s="442" customFormat="1" ht="27.75">
      <c r="A122" s="1515"/>
      <c r="B122" s="1516"/>
      <c r="C122" s="1307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9" t="s">
        <v>231</v>
      </c>
      <c r="B124" s="1310"/>
      <c r="C124" s="1310"/>
      <c r="D124" s="523" t="s">
        <v>141</v>
      </c>
      <c r="E124" s="478">
        <f>'3'!F124</f>
        <v>826721</v>
      </c>
      <c r="F124" s="635">
        <v>826910</v>
      </c>
      <c r="G124" s="473">
        <f t="shared" ref="G124:G128" si="14">F124-E124</f>
        <v>189</v>
      </c>
      <c r="H124" s="682">
        <f>G124+'3'!H124</f>
        <v>821.54000000003725</v>
      </c>
      <c r="I124" s="526"/>
      <c r="J124" s="552">
        <f>H124/DAY(B2)</f>
        <v>205.38500000000931</v>
      </c>
      <c r="K124" s="380"/>
      <c r="L124" s="377"/>
      <c r="N124" s="382"/>
    </row>
    <row r="125" spans="1:14" ht="27.75">
      <c r="A125" s="1309" t="s">
        <v>232</v>
      </c>
      <c r="B125" s="1310"/>
      <c r="C125" s="1310"/>
      <c r="D125" s="523" t="s">
        <v>141</v>
      </c>
      <c r="E125" s="478">
        <f>'3'!F125</f>
        <v>73583</v>
      </c>
      <c r="F125" s="652">
        <v>73583</v>
      </c>
      <c r="G125" s="473">
        <f t="shared" si="14"/>
        <v>0</v>
      </c>
      <c r="H125" s="682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'3'!F126</f>
        <v>144878</v>
      </c>
      <c r="F126" s="635">
        <v>144923</v>
      </c>
      <c r="G126" s="473">
        <f t="shared" si="14"/>
        <v>45</v>
      </c>
      <c r="H126" s="682">
        <f>G126+'3'!H126</f>
        <v>235.55999999999767</v>
      </c>
      <c r="I126" s="526"/>
      <c r="J126" s="552">
        <f>H126/DAY(B2)</f>
        <v>58.889999999999418</v>
      </c>
      <c r="K126" s="380"/>
      <c r="L126" s="377"/>
      <c r="N126" s="382"/>
    </row>
    <row r="127" spans="1:14" ht="27.75">
      <c r="A127" s="609" t="s">
        <v>234</v>
      </c>
      <c r="B127" s="1310"/>
      <c r="C127" s="1310"/>
      <c r="D127" s="523" t="s">
        <v>141</v>
      </c>
      <c r="E127" s="478">
        <f>'3'!F127</f>
        <v>31404</v>
      </c>
      <c r="F127" s="652">
        <v>31404</v>
      </c>
      <c r="G127" s="473">
        <f t="shared" si="14"/>
        <v>0</v>
      </c>
      <c r="H127" s="682">
        <f>G127+'3'!H127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310"/>
      <c r="C128" s="1310"/>
      <c r="D128" s="523" t="s">
        <v>141</v>
      </c>
      <c r="E128" s="478">
        <f>'3'!F128</f>
        <v>8970</v>
      </c>
      <c r="F128" s="652">
        <v>8970</v>
      </c>
      <c r="G128" s="473">
        <f t="shared" si="14"/>
        <v>0</v>
      </c>
      <c r="H128" s="682">
        <f>G128+'3'!H128</f>
        <v>0.2999999999992724</v>
      </c>
      <c r="I128" s="480"/>
      <c r="J128" s="552">
        <f>H128/DAY(B2)</f>
        <v>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10"/>
      <c r="C129" s="1310"/>
      <c r="D129" s="523"/>
      <c r="E129" s="478"/>
      <c r="F129" s="635"/>
      <c r="G129" s="473">
        <f>G15-SUM(G124:G128)</f>
        <v>350</v>
      </c>
      <c r="H129" s="682">
        <f>G129+'3'!H129</f>
        <v>743.99999999995998</v>
      </c>
      <c r="I129" s="480"/>
      <c r="J129" s="552">
        <f>H129/DAY(B2)</f>
        <v>185.99999999999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9" t="s">
        <v>238</v>
      </c>
      <c r="B131" s="1310"/>
      <c r="C131" s="1310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9" t="s">
        <v>240</v>
      </c>
      <c r="B132" s="1310"/>
      <c r="C132" s="1310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2">
        <f>G132+'3'!H132</f>
        <v>0</v>
      </c>
      <c r="I132" s="480"/>
      <c r="J132" s="552">
        <f>H132/DAY(B2)</f>
        <v>0</v>
      </c>
      <c r="N132" s="382"/>
    </row>
    <row r="133" spans="1:14" ht="27.75">
      <c r="A133" s="1309" t="s">
        <v>241</v>
      </c>
      <c r="B133" s="1310"/>
      <c r="C133" s="1310"/>
      <c r="D133" s="523" t="s">
        <v>239</v>
      </c>
      <c r="E133" s="484">
        <f>'3'!F133</f>
        <v>39818.31</v>
      </c>
      <c r="F133" s="636">
        <v>39842</v>
      </c>
      <c r="G133" s="473">
        <f t="shared" si="15"/>
        <v>23.690000000002328</v>
      </c>
      <c r="H133" s="682">
        <f>G133+'3'!H133</f>
        <v>95.519999999996799</v>
      </c>
      <c r="I133" s="480"/>
      <c r="J133" s="552">
        <f>H133/DAY(B2)</f>
        <v>23.8799999999992</v>
      </c>
      <c r="N133" s="382"/>
    </row>
    <row r="134" spans="1:14" ht="27.75">
      <c r="A134" s="1309" t="s">
        <v>242</v>
      </c>
      <c r="B134" s="1310"/>
      <c r="C134" s="1310"/>
      <c r="D134" s="523" t="s">
        <v>239</v>
      </c>
      <c r="E134" s="484">
        <f>'3'!F134</f>
        <v>300</v>
      </c>
      <c r="F134" s="652">
        <v>300</v>
      </c>
      <c r="G134" s="473">
        <f t="shared" si="15"/>
        <v>0</v>
      </c>
      <c r="H134" s="682">
        <f>G134+'3'!H134</f>
        <v>0</v>
      </c>
      <c r="I134" s="480">
        <f>G133+G134+G135+G136</f>
        <v>23.690000000002328</v>
      </c>
      <c r="J134" s="552">
        <f>H134/DAY(B2)</f>
        <v>0</v>
      </c>
      <c r="N134" s="382"/>
    </row>
    <row r="135" spans="1:14" ht="27.75">
      <c r="A135" s="1309" t="s">
        <v>243</v>
      </c>
      <c r="B135" s="1310"/>
      <c r="C135" s="1310"/>
      <c r="D135" s="523" t="s">
        <v>239</v>
      </c>
      <c r="E135" s="484">
        <f>'3'!F135</f>
        <v>41385</v>
      </c>
      <c r="F135" s="652">
        <v>41385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9" t="s">
        <v>244</v>
      </c>
      <c r="B136" s="1310"/>
      <c r="C136" s="1310"/>
      <c r="D136" s="523" t="s">
        <v>239</v>
      </c>
      <c r="E136" s="484">
        <f>'3'!F136</f>
        <v>32583</v>
      </c>
      <c r="F136" s="652">
        <v>32583</v>
      </c>
      <c r="G136" s="473">
        <f t="shared" si="15"/>
        <v>0</v>
      </c>
      <c r="H136" s="682">
        <f>G136+'3'!H136</f>
        <v>0</v>
      </c>
      <c r="I136" s="480"/>
      <c r="J136" s="552">
        <f>H136/DAY(B2)</f>
        <v>0</v>
      </c>
      <c r="N136" s="382"/>
    </row>
    <row r="137" spans="1:14" ht="27.75">
      <c r="A137" s="1309" t="s">
        <v>245</v>
      </c>
      <c r="B137" s="1310"/>
      <c r="C137" s="1310"/>
      <c r="D137" s="523" t="s">
        <v>239</v>
      </c>
      <c r="E137" s="484">
        <f>'3'!F137</f>
        <v>22742.3</v>
      </c>
      <c r="F137" s="636">
        <v>22749.51</v>
      </c>
      <c r="G137" s="473">
        <f t="shared" si="15"/>
        <v>7.2099999999991269</v>
      </c>
      <c r="H137" s="682">
        <f>G137+'3'!H137</f>
        <v>9.9199999999982538</v>
      </c>
      <c r="I137" s="480">
        <f>G137+G138+G139</f>
        <v>6.8099999999976717</v>
      </c>
      <c r="J137" s="552">
        <f>H137/DAY(B2)</f>
        <v>2.4799999999995634</v>
      </c>
      <c r="N137" s="382"/>
    </row>
    <row r="138" spans="1:14" ht="27.75">
      <c r="A138" s="1309" t="s">
        <v>246</v>
      </c>
      <c r="B138" s="1310"/>
      <c r="C138" s="1310"/>
      <c r="D138" s="523" t="s">
        <v>239</v>
      </c>
      <c r="E138" s="484">
        <f>'3'!F138</f>
        <v>25051.99</v>
      </c>
      <c r="F138" s="636">
        <v>25051.59</v>
      </c>
      <c r="G138" s="473">
        <f t="shared" si="15"/>
        <v>-0.40000000000145519</v>
      </c>
      <c r="H138" s="682">
        <f>G138+'3'!H138</f>
        <v>0</v>
      </c>
      <c r="I138" s="480"/>
      <c r="J138" s="552">
        <f>H138/DAY(B2)</f>
        <v>0</v>
      </c>
      <c r="N138" s="382"/>
    </row>
    <row r="139" spans="1:14" ht="27.75">
      <c r="A139" s="1309" t="s">
        <v>247</v>
      </c>
      <c r="B139" s="1310"/>
      <c r="C139" s="1310"/>
      <c r="D139" s="523" t="s">
        <v>239</v>
      </c>
      <c r="E139" s="484">
        <f>'3'!F139</f>
        <v>70324.820000000007</v>
      </c>
      <c r="F139" s="636">
        <v>70324.820000000007</v>
      </c>
      <c r="G139" s="473">
        <f t="shared" si="15"/>
        <v>0</v>
      </c>
      <c r="H139" s="682">
        <f>G139+'3'!H139</f>
        <v>9.0100000000093132</v>
      </c>
      <c r="I139" s="480"/>
      <c r="J139" s="552">
        <f>H139/DAY(B2)</f>
        <v>2.2525000000023283</v>
      </c>
      <c r="N139" s="382"/>
    </row>
    <row r="140" spans="1:14" ht="27.75">
      <c r="A140" s="1309" t="s">
        <v>248</v>
      </c>
      <c r="B140" s="1310"/>
      <c r="C140" s="1310"/>
      <c r="D140" s="523" t="s">
        <v>239</v>
      </c>
      <c r="E140" s="484">
        <f>'3'!F140</f>
        <v>1640.95</v>
      </c>
      <c r="F140" s="652">
        <v>1648.08</v>
      </c>
      <c r="G140" s="473">
        <f t="shared" si="15"/>
        <v>7.1299999999998818</v>
      </c>
      <c r="H140" s="682">
        <f>G140+'3'!H140</f>
        <v>31.220000000000027</v>
      </c>
      <c r="I140" s="542">
        <f>G140+G141</f>
        <v>7.1299999999998818</v>
      </c>
      <c r="J140" s="552">
        <f>H140/DAY(B2)</f>
        <v>7.8050000000000068</v>
      </c>
      <c r="N140" s="382"/>
    </row>
    <row r="141" spans="1:14" ht="27.75">
      <c r="A141" s="1309" t="s">
        <v>249</v>
      </c>
      <c r="B141" s="1310"/>
      <c r="C141" s="1310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2">
        <f>G141+'3'!H141</f>
        <v>0</v>
      </c>
      <c r="I141" s="542"/>
      <c r="J141" s="552">
        <f>H141/DAY(B2)</f>
        <v>0</v>
      </c>
      <c r="N141" s="382"/>
    </row>
    <row r="142" spans="1:14">
      <c r="A142" s="1531" t="s">
        <v>250</v>
      </c>
      <c r="B142" s="1532"/>
      <c r="C142" s="1315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638"/>
      <c r="G143" s="460">
        <f>G35+G43+G49+G57</f>
        <v>4360</v>
      </c>
      <c r="H143" s="682">
        <f>G143+'3'!H143</f>
        <v>17479.869999999995</v>
      </c>
      <c r="I143" s="480"/>
      <c r="J143" s="552">
        <f>H143/DAY(B2)</f>
        <v>4369.9674999999988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642"/>
      <c r="G144" s="543">
        <f>G143/G7</f>
        <v>0.26975190249334902</v>
      </c>
      <c r="H144" s="682">
        <f>G144+'3'!H144</f>
        <v>1.0901047977826124</v>
      </c>
      <c r="I144" s="544"/>
      <c r="J144" s="552">
        <f>H144/DAY(B2)</f>
        <v>0.27252619944565309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633"/>
      <c r="G145" s="460">
        <f>G41+G42+G55+G56</f>
        <v>5147</v>
      </c>
      <c r="H145" s="682">
        <f>G145+'3'!H145</f>
        <v>19623.530000000028</v>
      </c>
      <c r="I145" s="480"/>
      <c r="J145" s="552">
        <f>H145/DAY(B2)</f>
        <v>4905.882500000007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633"/>
      <c r="G146" s="543">
        <f>G145/G7</f>
        <v>0.31844335828744663</v>
      </c>
      <c r="H146" s="682">
        <f>G146+'3'!H146</f>
        <v>1.2236634199935446</v>
      </c>
      <c r="I146" s="544"/>
      <c r="J146" s="552">
        <f>H146/DAY(B2)</f>
        <v>0.30591585499838614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633"/>
      <c r="G147" s="460">
        <f>G39+G53</f>
        <v>2251</v>
      </c>
      <c r="H147" s="682">
        <f>G147+'3'!H147</f>
        <v>9624</v>
      </c>
      <c r="I147" s="545"/>
      <c r="J147" s="552">
        <f>H147/DAY(B2)</f>
        <v>2406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633"/>
      <c r="G148" s="543">
        <f>G147/G7</f>
        <v>0.13926870011755244</v>
      </c>
      <c r="H148" s="682">
        <f>G148+'3'!H148</f>
        <v>0.60031145247462403</v>
      </c>
      <c r="I148" s="545"/>
      <c r="J148" s="552">
        <f>H148/DAY(B2)</f>
        <v>0.15007786311865601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633"/>
      <c r="G149" s="460">
        <f>G38+G52</f>
        <v>1255</v>
      </c>
      <c r="H149" s="682">
        <f>G149+'3'!H149</f>
        <v>5250</v>
      </c>
      <c r="I149" s="480"/>
      <c r="J149" s="552">
        <f>H149/DAY(B2)</f>
        <v>1312.5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633"/>
      <c r="G150" s="543">
        <f>G149/G7</f>
        <v>7.7646476520447941E-2</v>
      </c>
      <c r="H150" s="682">
        <f>G150+'3'!H150</f>
        <v>0.32744433420364155</v>
      </c>
      <c r="I150" s="545"/>
      <c r="J150" s="552">
        <f>H150/DAY(B2)</f>
        <v>8.1861083550910388E-2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633"/>
      <c r="G151" s="460">
        <f>G36+G50</f>
        <v>1374</v>
      </c>
      <c r="H151" s="682">
        <f>G151+'3'!H151</f>
        <v>5405</v>
      </c>
      <c r="I151" s="545"/>
      <c r="J151" s="552">
        <f>H151/DAY(B2)</f>
        <v>1351.25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633"/>
      <c r="G152" s="543">
        <f>G151/G7</f>
        <v>8.5008971106848977E-2</v>
      </c>
      <c r="H152" s="682">
        <f>G152+'3'!H152</f>
        <v>0.3370423328520667</v>
      </c>
      <c r="I152" s="480"/>
      <c r="J152" s="552">
        <f>H152/DAY(B2)</f>
        <v>8.4260583213016674E-2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633"/>
      <c r="G153" s="460">
        <f>G37+G51</f>
        <v>1213</v>
      </c>
      <c r="H153" s="682">
        <f>G153+'3'!H153</f>
        <v>4983</v>
      </c>
      <c r="I153" s="480"/>
      <c r="J153" s="552">
        <f>H153/DAY(B2)</f>
        <v>1245.75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653"/>
      <c r="G154" s="566">
        <f>G153/G7</f>
        <v>7.504794901936522E-2</v>
      </c>
      <c r="H154" s="682">
        <f>G154+'3'!H154</f>
        <v>0.31078771550125694</v>
      </c>
      <c r="I154" s="568"/>
      <c r="J154" s="569">
        <f>H154/DAY(B2)</f>
        <v>7.7696928875314236E-2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661">
        <f>'3'!F161</f>
        <v>36175</v>
      </c>
      <c r="F161" s="661">
        <v>36257</v>
      </c>
      <c r="G161" s="473">
        <f t="shared" ref="G161:G172" si="16">F161-E161</f>
        <v>82</v>
      </c>
    </row>
    <row r="162" spans="1:7">
      <c r="A162" s="788" t="s">
        <v>264</v>
      </c>
      <c r="B162" s="789"/>
      <c r="C162" s="789"/>
      <c r="D162" s="511" t="s">
        <v>187</v>
      </c>
      <c r="E162" s="661">
        <f>'3'!F162</f>
        <v>83633</v>
      </c>
      <c r="F162" s="661">
        <v>84066</v>
      </c>
      <c r="G162" s="473">
        <f t="shared" si="16"/>
        <v>433</v>
      </c>
    </row>
    <row r="163" spans="1:7">
      <c r="A163" s="788" t="s">
        <v>265</v>
      </c>
      <c r="B163" s="789"/>
      <c r="C163" s="789"/>
      <c r="D163" s="511" t="s">
        <v>187</v>
      </c>
      <c r="E163" s="661">
        <f>'3'!F163</f>
        <v>38999</v>
      </c>
      <c r="F163" s="661">
        <v>39208</v>
      </c>
      <c r="G163" s="473">
        <f t="shared" si="16"/>
        <v>209</v>
      </c>
    </row>
    <row r="164" spans="1:7">
      <c r="A164" s="788" t="s">
        <v>266</v>
      </c>
      <c r="B164" s="789"/>
      <c r="C164" s="789"/>
      <c r="D164" s="511" t="s">
        <v>187</v>
      </c>
      <c r="E164" s="661">
        <f>'3'!F164</f>
        <v>6255</v>
      </c>
      <c r="F164" s="661">
        <v>6261</v>
      </c>
      <c r="G164" s="473">
        <f t="shared" si="16"/>
        <v>6</v>
      </c>
    </row>
    <row r="165" spans="1:7">
      <c r="A165" s="790" t="s">
        <v>98</v>
      </c>
      <c r="B165" s="604"/>
      <c r="C165" s="604"/>
      <c r="D165" s="511" t="s">
        <v>187</v>
      </c>
      <c r="E165" s="661">
        <v>0</v>
      </c>
      <c r="F165" s="514">
        <f>F62</f>
        <v>0</v>
      </c>
      <c r="G165" s="473">
        <f t="shared" si="16"/>
        <v>0</v>
      </c>
    </row>
    <row r="166" spans="1:7">
      <c r="A166" s="790" t="s">
        <v>188</v>
      </c>
      <c r="B166" s="604"/>
      <c r="C166" s="604"/>
      <c r="D166" s="511" t="s">
        <v>187</v>
      </c>
      <c r="E166" s="661">
        <f>'3'!F166</f>
        <v>2370</v>
      </c>
      <c r="F166" s="514">
        <f t="shared" ref="F166:F172" si="17">F63</f>
        <v>2374</v>
      </c>
      <c r="G166" s="473">
        <f t="shared" si="16"/>
        <v>4</v>
      </c>
    </row>
    <row r="167" spans="1:7" ht="25.5" customHeight="1">
      <c r="A167" s="1500" t="s">
        <v>99</v>
      </c>
      <c r="B167" s="1500"/>
      <c r="C167" s="1500"/>
      <c r="D167" s="523" t="s">
        <v>187</v>
      </c>
      <c r="E167" s="661">
        <f>'3'!F167</f>
        <v>153931.9</v>
      </c>
      <c r="F167" s="514">
        <f t="shared" si="17"/>
        <v>154137</v>
      </c>
      <c r="G167" s="473">
        <f t="shared" si="16"/>
        <v>205.10000000000582</v>
      </c>
    </row>
    <row r="168" spans="1:7" ht="24.75" customHeight="1">
      <c r="A168" s="1500" t="s">
        <v>100</v>
      </c>
      <c r="B168" s="1500"/>
      <c r="C168" s="1500"/>
      <c r="D168" s="523" t="s">
        <v>187</v>
      </c>
      <c r="E168" s="661">
        <f>'3'!F168</f>
        <v>155204</v>
      </c>
      <c r="F168" s="514">
        <f t="shared" si="17"/>
        <v>155406</v>
      </c>
      <c r="G168" s="473">
        <f t="shared" si="16"/>
        <v>202</v>
      </c>
    </row>
    <row r="169" spans="1:7" ht="28.5" customHeight="1">
      <c r="A169" s="1500" t="s">
        <v>101</v>
      </c>
      <c r="B169" s="1500"/>
      <c r="C169" s="1500"/>
      <c r="D169" s="523" t="s">
        <v>187</v>
      </c>
      <c r="E169" s="661">
        <f>'3'!F169</f>
        <v>49379</v>
      </c>
      <c r="F169" s="514">
        <f t="shared" si="17"/>
        <v>49645</v>
      </c>
      <c r="G169" s="473">
        <f t="shared" si="16"/>
        <v>266</v>
      </c>
    </row>
    <row r="170" spans="1:7" ht="24.75" customHeight="1">
      <c r="A170" s="1500" t="s">
        <v>102</v>
      </c>
      <c r="B170" s="1500"/>
      <c r="C170" s="1500"/>
      <c r="D170" s="523" t="s">
        <v>187</v>
      </c>
      <c r="E170" s="661">
        <f>'3'!F170</f>
        <v>243795</v>
      </c>
      <c r="F170" s="514">
        <f t="shared" si="17"/>
        <v>243946</v>
      </c>
      <c r="G170" s="473">
        <f t="shared" si="16"/>
        <v>151</v>
      </c>
    </row>
    <row r="171" spans="1:7" ht="24" customHeight="1">
      <c r="A171" s="1500" t="s">
        <v>103</v>
      </c>
      <c r="B171" s="1500"/>
      <c r="C171" s="1500"/>
      <c r="D171" s="523" t="s">
        <v>187</v>
      </c>
      <c r="E171" s="661">
        <f>'3'!F171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661">
        <f>'3'!F172</f>
        <v>79254</v>
      </c>
      <c r="F172" s="514">
        <f t="shared" si="17"/>
        <v>79332</v>
      </c>
      <c r="G172" s="473">
        <f t="shared" si="16"/>
        <v>78</v>
      </c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48" zoomScaleSheetLayoutView="55" workbookViewId="0">
      <selection activeCell="F28" activeCellId="1" sqref="F28 F28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346</v>
      </c>
      <c r="B2" s="1036">
        <v>44321</v>
      </c>
      <c r="C2" s="1146" t="s">
        <v>69</v>
      </c>
      <c r="D2" s="611">
        <v>0.11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34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337</v>
      </c>
      <c r="E7" s="633">
        <f>'4'!F7</f>
        <v>5791574</v>
      </c>
      <c r="F7" s="1253">
        <v>5807328</v>
      </c>
      <c r="G7" s="1258">
        <f>F7-E7</f>
        <v>15754</v>
      </c>
      <c r="H7" s="682">
        <f>G7+'4'!H7</f>
        <v>79895</v>
      </c>
      <c r="I7" s="683">
        <f>'1'!I7</f>
        <v>12000</v>
      </c>
      <c r="J7" s="684">
        <f>H7/DAY(B2)</f>
        <v>15979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5825643</v>
      </c>
      <c r="F8" s="1254">
        <v>5841454</v>
      </c>
      <c r="G8" s="1258">
        <f t="shared" ref="G8:G9" si="0">F8-E8</f>
        <v>15811</v>
      </c>
      <c r="H8" s="682">
        <f>G8+'4'!H8</f>
        <v>80210</v>
      </c>
      <c r="I8" s="689">
        <v>12000</v>
      </c>
      <c r="J8" s="684">
        <f>H8/DAY(B2)</f>
        <v>16042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1052790</v>
      </c>
      <c r="F9" s="1250">
        <v>1068028</v>
      </c>
      <c r="G9" s="1258">
        <f t="shared" si="0"/>
        <v>15238</v>
      </c>
      <c r="H9" s="682">
        <f>G9+'4'!H9</f>
        <v>77314</v>
      </c>
      <c r="I9" s="693">
        <f>I8-J8</f>
        <v>-4042</v>
      </c>
      <c r="J9" s="684">
        <f>H9/DAY(B2)</f>
        <v>15462.8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0">
        <v>2322.58</v>
      </c>
      <c r="G10" s="1258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3">
        <v>37000</v>
      </c>
      <c r="G11" s="1258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0">
        <v>40010</v>
      </c>
      <c r="G12" s="1258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3"/>
      <c r="G13" s="1258">
        <f>G9+G10+G11+G12</f>
        <v>15238</v>
      </c>
      <c r="H13" s="682">
        <f>G13+'4'!H13</f>
        <v>77314</v>
      </c>
      <c r="I13" s="698">
        <f>G7-G13</f>
        <v>516</v>
      </c>
      <c r="J13" s="684">
        <f>H13/DAY(B2)</f>
        <v>15462.8</v>
      </c>
      <c r="K13" s="428"/>
      <c r="L13" s="377"/>
      <c r="N13" s="382">
        <v>349</v>
      </c>
      <c r="O13" s="382"/>
    </row>
    <row r="14" spans="1:15">
      <c r="A14" s="1539" t="s">
        <v>139</v>
      </c>
      <c r="B14" s="1540"/>
      <c r="C14" s="1541"/>
      <c r="D14" s="472"/>
      <c r="E14" s="472"/>
      <c r="F14" s="1098"/>
      <c r="G14" s="1261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6" t="s">
        <v>140</v>
      </c>
      <c r="B15" s="791"/>
      <c r="C15" s="791"/>
      <c r="D15" s="792" t="s">
        <v>141</v>
      </c>
      <c r="E15" s="1257">
        <f>'4'!F15</f>
        <v>1672458</v>
      </c>
      <c r="F15" s="1257">
        <v>1672745</v>
      </c>
      <c r="G15" s="1258">
        <f t="shared" ref="G15" si="2">F15-E15</f>
        <v>287</v>
      </c>
      <c r="H15" s="1259">
        <f>G15+'4'!H15</f>
        <v>2088</v>
      </c>
      <c r="I15" s="1100">
        <v>800</v>
      </c>
      <c r="J15" s="1260">
        <f>H15/DAY(B2)</f>
        <v>417.6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7"/>
      <c r="F16" s="1257"/>
      <c r="G16" s="1258"/>
      <c r="H16" s="1259"/>
      <c r="I16" s="1096">
        <f>I15-J15</f>
        <v>382.4</v>
      </c>
      <c r="J16" s="1260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1098"/>
      <c r="G17" s="1259"/>
      <c r="H17" s="472"/>
      <c r="I17" s="472"/>
      <c r="J17" s="551"/>
      <c r="K17" s="428"/>
      <c r="L17" s="377"/>
      <c r="N17" s="382"/>
      <c r="O17" s="382"/>
    </row>
    <row r="18" spans="1:15" ht="27.75">
      <c r="A18" s="1565" t="s">
        <v>143</v>
      </c>
      <c r="B18" s="1566"/>
      <c r="C18" s="1567"/>
      <c r="D18" s="638" t="s">
        <v>144</v>
      </c>
      <c r="E18" s="635">
        <v>6</v>
      </c>
      <c r="F18" s="1250">
        <v>6</v>
      </c>
      <c r="G18" s="1258">
        <f>F18*10</f>
        <v>60</v>
      </c>
      <c r="H18" s="682">
        <f>G18+'4'!H18</f>
        <v>320</v>
      </c>
      <c r="I18" s="683">
        <f>'1'!I18</f>
        <v>65</v>
      </c>
      <c r="J18" s="684">
        <f>H18/DAY(B2)</f>
        <v>64</v>
      </c>
      <c r="K18" s="428"/>
      <c r="L18" s="377"/>
      <c r="N18" s="382"/>
      <c r="O18" s="382"/>
    </row>
    <row r="19" spans="1:15" ht="27.75">
      <c r="A19" s="1565" t="s">
        <v>71</v>
      </c>
      <c r="B19" s="1566"/>
      <c r="C19" s="1567"/>
      <c r="D19" s="638" t="s">
        <v>144</v>
      </c>
      <c r="E19" s="635">
        <f>'4'!F19</f>
        <v>138022</v>
      </c>
      <c r="F19" s="1250">
        <v>138075</v>
      </c>
      <c r="G19" s="1258">
        <f t="shared" ref="G19" si="3">F19-E19</f>
        <v>53</v>
      </c>
      <c r="H19" s="682">
        <f>G19+'4'!H19</f>
        <v>263</v>
      </c>
      <c r="I19" s="699"/>
      <c r="J19" s="684">
        <f>H19/DAY(B2)</f>
        <v>52.6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2">
        <f>G18+G19</f>
        <v>113</v>
      </c>
      <c r="H20" s="682">
        <f>G20+'4'!H20</f>
        <v>583</v>
      </c>
      <c r="I20" s="701">
        <f>I18-J20</f>
        <v>-51.599999999999994</v>
      </c>
      <c r="J20" s="684">
        <f>H20/DAY(B2)</f>
        <v>116.6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635">
        <v>2000</v>
      </c>
      <c r="F23" s="635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7">
        <v>4970</v>
      </c>
      <c r="F24" s="637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15811</v>
      </c>
      <c r="F27" s="501">
        <v>9</v>
      </c>
      <c r="G27" s="502">
        <f>E27*F27</f>
        <v>142299</v>
      </c>
      <c r="H27" s="460">
        <f>G27+'4'!H27</f>
        <v>721890</v>
      </c>
      <c r="I27" s="503"/>
      <c r="J27" s="552">
        <f>H27/DAY(B2)</f>
        <v>144378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287</v>
      </c>
      <c r="F28" s="501">
        <v>49</v>
      </c>
      <c r="G28" s="502">
        <f>E28*F28</f>
        <v>14063</v>
      </c>
      <c r="H28" s="460">
        <f>G28+'4'!H28</f>
        <v>102312</v>
      </c>
      <c r="I28" s="505"/>
      <c r="J28" s="552">
        <f>H28/DAY(B2)</f>
        <v>20462.400000000001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G30+'4'!H30</f>
        <v>35242</v>
      </c>
      <c r="I30" s="505"/>
      <c r="J30" s="552">
        <f>H30/DAY(B2)</f>
        <v>7048.4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G31+'4'!H31</f>
        <v>25600</v>
      </c>
      <c r="I31" s="505"/>
      <c r="J31" s="552">
        <f>H31/DAY(B2)</f>
        <v>5120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168264</v>
      </c>
      <c r="H32" s="460">
        <f>G32+'4'!H32</f>
        <v>885044</v>
      </c>
      <c r="I32" s="509"/>
      <c r="J32" s="552">
        <f>H32/DAY(B2)</f>
        <v>177008.8</v>
      </c>
      <c r="K32" s="373"/>
      <c r="L32" s="443"/>
      <c r="N32" s="382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894970</v>
      </c>
      <c r="F35" s="1243">
        <v>897088</v>
      </c>
      <c r="G35" s="473">
        <f t="shared" ref="G35:G46" si="5">F35-E35</f>
        <v>2118</v>
      </c>
      <c r="H35" s="460">
        <f>G35+'4'!H35</f>
        <v>10629</v>
      </c>
      <c r="I35" s="455"/>
      <c r="J35" s="552">
        <f>H35/DAY(B2)</f>
        <v>2125.8000000000002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346095</v>
      </c>
      <c r="F36" s="1243">
        <v>346435</v>
      </c>
      <c r="G36" s="473">
        <f t="shared" si="5"/>
        <v>340</v>
      </c>
      <c r="H36" s="460">
        <f>G36+'4'!H36</f>
        <v>1827</v>
      </c>
      <c r="I36" s="455"/>
      <c r="J36" s="552">
        <f>H36/DAY(B2)</f>
        <v>365.4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100208</v>
      </c>
      <c r="F37" s="1243">
        <v>101398</v>
      </c>
      <c r="G37" s="473">
        <f t="shared" si="5"/>
        <v>1190</v>
      </c>
      <c r="H37" s="460">
        <f>G37+'4'!H37</f>
        <v>6173</v>
      </c>
      <c r="I37" s="455"/>
      <c r="J37" s="552">
        <f>H37/DAY(B2)</f>
        <v>1234.5999999999999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124846</v>
      </c>
      <c r="F38" s="1244">
        <v>126054</v>
      </c>
      <c r="G38" s="473">
        <f t="shared" si="5"/>
        <v>1208</v>
      </c>
      <c r="H38" s="460">
        <f>G38+'4'!H38</f>
        <v>6458</v>
      </c>
      <c r="I38" s="455"/>
      <c r="J38" s="552">
        <f>H38/DAY(B2)</f>
        <v>1291.5999999999999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254017</v>
      </c>
      <c r="F39" s="1243">
        <v>255727</v>
      </c>
      <c r="G39" s="473">
        <f t="shared" si="5"/>
        <v>1710</v>
      </c>
      <c r="H39" s="460">
        <f>G39+'4'!H39</f>
        <v>9074</v>
      </c>
      <c r="I39" s="455"/>
      <c r="J39" s="552">
        <f>H39/DAY(B2)</f>
        <v>1814.8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640">
        <v>0</v>
      </c>
      <c r="F40" s="1243">
        <v>0</v>
      </c>
      <c r="G40" s="473">
        <f t="shared" si="5"/>
        <v>0</v>
      </c>
      <c r="H40" s="460">
        <f>G40+'4'!H40</f>
        <v>-0.23</v>
      </c>
      <c r="I40" s="455"/>
      <c r="J40" s="552">
        <f>H40/DAY(B2)</f>
        <v>-4.5999999999999999E-2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640">
        <v>201104</v>
      </c>
      <c r="F41" s="1243">
        <v>206065</v>
      </c>
      <c r="G41" s="473">
        <f t="shared" si="5"/>
        <v>4961</v>
      </c>
      <c r="H41" s="460">
        <f>G41+'4'!H41</f>
        <v>24537</v>
      </c>
      <c r="I41" s="455"/>
      <c r="J41" s="552">
        <f>H41/DAY(B2)</f>
        <v>4907.3999999999996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640">
        <v>59200</v>
      </c>
      <c r="F42" s="1243">
        <v>59200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640">
        <v>982927</v>
      </c>
      <c r="F43" s="1243">
        <v>985171</v>
      </c>
      <c r="G43" s="473">
        <f t="shared" si="5"/>
        <v>2244</v>
      </c>
      <c r="H43" s="460">
        <f>G43+'4'!H43</f>
        <v>11213</v>
      </c>
      <c r="I43" s="455"/>
      <c r="J43" s="552">
        <f>H43/DAY(B2)</f>
        <v>2242.6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3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3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3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5"/>
      <c r="G47" s="481">
        <f>G35+G36+G37+G38+G39+G40+G41+G42+G43+G44+G45+G46</f>
        <v>13771</v>
      </c>
      <c r="H47" s="460">
        <f>G47+'4'!H47</f>
        <v>69910.77</v>
      </c>
      <c r="I47" s="455"/>
      <c r="J47" s="552">
        <f>H47/DAY(B2)</f>
        <v>13982.154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1246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3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478454</v>
      </c>
      <c r="F50" s="1243">
        <v>479444</v>
      </c>
      <c r="G50" s="473">
        <f t="shared" si="6"/>
        <v>990</v>
      </c>
      <c r="H50" s="460">
        <f>G50+'4'!H50</f>
        <v>4908</v>
      </c>
      <c r="I50" s="455"/>
      <c r="J50" s="552">
        <f>H50/DAY(B2)</f>
        <v>981.6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3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3">
        <v>539606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418571</v>
      </c>
      <c r="F53" s="1243">
        <v>419100</v>
      </c>
      <c r="G53" s="473">
        <f t="shared" si="6"/>
        <v>529</v>
      </c>
      <c r="H53" s="460">
        <f>G53+'4'!H53</f>
        <v>2789</v>
      </c>
      <c r="I53" s="455"/>
      <c r="J53" s="552">
        <f>H53/DAY(B2)</f>
        <v>557.79999999999995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11672</v>
      </c>
      <c r="F54" s="1243">
        <v>11743</v>
      </c>
      <c r="G54" s="473">
        <f t="shared" si="6"/>
        <v>71</v>
      </c>
      <c r="H54" s="460">
        <f>G54+'4'!H54</f>
        <v>365</v>
      </c>
      <c r="I54" s="455"/>
      <c r="J54" s="552">
        <f>H54/DAY(B2)</f>
        <v>73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346926</v>
      </c>
      <c r="F55" s="1255">
        <v>346926</v>
      </c>
      <c r="G55" s="473">
        <f t="shared" si="6"/>
        <v>0</v>
      </c>
      <c r="H55" s="460">
        <f>G55+'4'!H55</f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589336</v>
      </c>
      <c r="F56" s="1255">
        <v>589345</v>
      </c>
      <c r="G56" s="473">
        <f t="shared" si="6"/>
        <v>9</v>
      </c>
      <c r="H56" s="460">
        <f>G56+'4'!H56</f>
        <v>56.53000000002794</v>
      </c>
      <c r="I56" s="455"/>
      <c r="J56" s="552">
        <f>H56/DAY(B2)</f>
        <v>11.306000000005588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3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47090</v>
      </c>
      <c r="F58" s="1247">
        <v>47133</v>
      </c>
      <c r="G58" s="473">
        <f t="shared" si="6"/>
        <v>43</v>
      </c>
      <c r="H58" s="460">
        <f>G58+'4'!H58</f>
        <v>465</v>
      </c>
      <c r="I58" s="455"/>
      <c r="J58" s="552">
        <f>H58/DAY(B2)</f>
        <v>93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5"/>
      <c r="G59" s="481">
        <f>G49+G50+G51+G52+G53+G54+G55+G56+G57+G58</f>
        <v>1642</v>
      </c>
      <c r="H59" s="460">
        <f>G59+'4'!H59</f>
        <v>8583.4000000000233</v>
      </c>
      <c r="I59" s="455">
        <f>G7-G60</f>
        <v>341</v>
      </c>
      <c r="J59" s="552">
        <f>H59/DAY(B2)</f>
        <v>1716.6800000000046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5"/>
      <c r="G60" s="481">
        <f>G47+G59</f>
        <v>15413</v>
      </c>
      <c r="H60" s="460">
        <f>G60+'4'!H60</f>
        <v>78494.170000000027</v>
      </c>
      <c r="I60" s="455">
        <f>G13-G60</f>
        <v>-175</v>
      </c>
      <c r="J60" s="552">
        <f>H60/DAY(B2)</f>
        <v>15698.834000000006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8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9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2374</v>
      </c>
      <c r="F63" s="1249">
        <v>2378</v>
      </c>
      <c r="G63" s="473">
        <f t="shared" si="7"/>
        <v>4</v>
      </c>
      <c r="H63" s="460">
        <f>G63+'4'!H63</f>
        <v>19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f>'4'!F64</f>
        <v>154137</v>
      </c>
      <c r="F64" s="1250">
        <v>154342</v>
      </c>
      <c r="G64" s="473">
        <f t="shared" si="7"/>
        <v>205</v>
      </c>
      <c r="H64" s="460">
        <f>G64+'4'!H64</f>
        <v>1043</v>
      </c>
      <c r="I64" s="480"/>
      <c r="J64" s="552">
        <f>H64/DAY(B2)</f>
        <v>208.6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f>'4'!F65</f>
        <v>155406</v>
      </c>
      <c r="F65" s="1251">
        <v>155606</v>
      </c>
      <c r="G65" s="473">
        <f t="shared" si="7"/>
        <v>200</v>
      </c>
      <c r="H65" s="460">
        <f>G65+'4'!H65</f>
        <v>1007</v>
      </c>
      <c r="I65" s="489"/>
      <c r="J65" s="552">
        <f>H65/DAY(B2)</f>
        <v>201.4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f>'4'!F66</f>
        <v>49645</v>
      </c>
      <c r="F66" s="1250">
        <v>49895</v>
      </c>
      <c r="G66" s="473">
        <f t="shared" si="7"/>
        <v>250</v>
      </c>
      <c r="H66" s="460">
        <f>G66+'4'!H66</f>
        <v>1324</v>
      </c>
      <c r="I66" s="480"/>
      <c r="J66" s="552">
        <f>H66/DAY(B2)</f>
        <v>264.8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f>'4'!F67</f>
        <v>243946</v>
      </c>
      <c r="F67" s="1250">
        <v>244093</v>
      </c>
      <c r="G67" s="473">
        <f t="shared" si="7"/>
        <v>147</v>
      </c>
      <c r="H67" s="460">
        <f>G67+'4'!H67</f>
        <v>919</v>
      </c>
      <c r="I67" s="489"/>
      <c r="J67" s="552">
        <f>H67/DAY(B2)</f>
        <v>183.8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f>'4'!F68</f>
        <v>85321</v>
      </c>
      <c r="F68" s="1250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f>'4'!F69</f>
        <v>79332</v>
      </c>
      <c r="F69" s="1250">
        <v>79402</v>
      </c>
      <c r="G69" s="473">
        <f t="shared" si="7"/>
        <v>70</v>
      </c>
      <c r="H69" s="460">
        <f>G69+'4'!H69</f>
        <v>408</v>
      </c>
      <c r="I69" s="516"/>
      <c r="J69" s="552">
        <f>H69/DAY(B2)</f>
        <v>81.599999999999994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1252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f>'4'!F72</f>
        <v>855525</v>
      </c>
      <c r="F72" s="1263">
        <v>855540</v>
      </c>
      <c r="G72" s="473">
        <f t="shared" ref="G72:G84" si="8">F72-E72</f>
        <v>15</v>
      </c>
      <c r="H72" s="460">
        <f>G72+'4'!H72</f>
        <v>79</v>
      </c>
      <c r="I72" s="480"/>
      <c r="J72" s="552">
        <f>H72/DAY(B2)</f>
        <v>15.8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20">
        <f>'4'!F73</f>
        <v>885881</v>
      </c>
      <c r="F73" s="1264">
        <v>885882</v>
      </c>
      <c r="G73" s="655">
        <f t="shared" si="8"/>
        <v>1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04" t="s">
        <v>193</v>
      </c>
      <c r="B74" s="1505"/>
      <c r="C74" s="1506"/>
      <c r="D74" s="523" t="s">
        <v>187</v>
      </c>
      <c r="E74" s="521">
        <f>'4'!F74</f>
        <v>2351</v>
      </c>
      <c r="F74" s="1263">
        <v>2373</v>
      </c>
      <c r="G74" s="473">
        <f t="shared" si="8"/>
        <v>22</v>
      </c>
      <c r="H74" s="460">
        <f>G74+'4'!H74</f>
        <v>94</v>
      </c>
      <c r="I74" s="480"/>
      <c r="J74" s="552">
        <f>H74/DAY(B2)</f>
        <v>18.8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21">
        <f>'4'!F75</f>
        <v>11181</v>
      </c>
      <c r="F75" s="1265">
        <v>11231</v>
      </c>
      <c r="G75" s="473">
        <f t="shared" si="8"/>
        <v>50</v>
      </c>
      <c r="H75" s="460">
        <f>G75+'4'!H75</f>
        <v>261</v>
      </c>
      <c r="I75" s="480"/>
      <c r="J75" s="552">
        <f>H75/DAY(B2)</f>
        <v>52.2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20">
        <f>'4'!F76</f>
        <v>5930</v>
      </c>
      <c r="F76" s="1264">
        <v>5979</v>
      </c>
      <c r="G76" s="473">
        <f t="shared" si="8"/>
        <v>49</v>
      </c>
      <c r="H76" s="460">
        <f>G76+'4'!H76</f>
        <v>270</v>
      </c>
      <c r="I76" s="505"/>
      <c r="J76" s="552">
        <f>H76/DAY(B2)</f>
        <v>54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20">
        <f>'4'!F77</f>
        <v>701760</v>
      </c>
      <c r="F77" s="1264">
        <v>701807</v>
      </c>
      <c r="G77" s="655">
        <f t="shared" si="8"/>
        <v>47</v>
      </c>
      <c r="H77" s="460">
        <f>G77+'4'!H77</f>
        <v>245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'4'!F78</f>
        <v>670400</v>
      </c>
      <c r="F78" s="1265">
        <v>670446</v>
      </c>
      <c r="G78" s="473">
        <f t="shared" si="8"/>
        <v>46</v>
      </c>
      <c r="H78" s="460">
        <f>G78+'4'!H78</f>
        <v>421</v>
      </c>
      <c r="I78" s="505"/>
      <c r="J78" s="552">
        <f>H78/DAY(B2)</f>
        <v>84.2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f>'4'!F79</f>
        <v>827512</v>
      </c>
      <c r="F79" s="1265">
        <v>827689</v>
      </c>
      <c r="G79" s="473">
        <f t="shared" si="8"/>
        <v>177</v>
      </c>
      <c r="H79" s="460">
        <f>G79+'4'!H79</f>
        <v>905</v>
      </c>
      <c r="I79" s="505"/>
      <c r="J79" s="552">
        <f>H79/DAY(B2)</f>
        <v>181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f>'4'!F80</f>
        <v>518233</v>
      </c>
      <c r="F80" s="1264">
        <v>518572</v>
      </c>
      <c r="G80" s="473">
        <f t="shared" si="8"/>
        <v>339</v>
      </c>
      <c r="H80" s="460">
        <f>G80+'4'!H80</f>
        <v>1834</v>
      </c>
      <c r="I80" s="505"/>
      <c r="J80" s="552">
        <f>H80/DAY(B2)</f>
        <v>366.8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'4'!F81</f>
        <v>636768</v>
      </c>
      <c r="F81" s="1264">
        <v>636838</v>
      </c>
      <c r="G81" s="473">
        <f t="shared" si="8"/>
        <v>70</v>
      </c>
      <c r="H81" s="460">
        <f>G81+'4'!H81</f>
        <v>360</v>
      </c>
      <c r="I81" s="505"/>
      <c r="J81" s="552">
        <f>H81/DAY(B2)</f>
        <v>72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'4'!F82</f>
        <v>107675</v>
      </c>
      <c r="F82" s="1251">
        <v>107685</v>
      </c>
      <c r="G82" s="473">
        <f t="shared" si="8"/>
        <v>10</v>
      </c>
      <c r="H82" s="460">
        <f>G82+'4'!H82</f>
        <v>73</v>
      </c>
      <c r="I82" s="486"/>
      <c r="J82" s="552">
        <f>H82/DAY(B2)</f>
        <v>14.6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'4'!F83</f>
        <v>15695</v>
      </c>
      <c r="F83" s="1245">
        <v>15884</v>
      </c>
      <c r="G83" s="473">
        <f t="shared" si="8"/>
        <v>189</v>
      </c>
      <c r="H83" s="460">
        <f>G83+'4'!H83</f>
        <v>1113</v>
      </c>
      <c r="I83" s="481"/>
      <c r="J83" s="552">
        <f>H83/DAY(B2)</f>
        <v>222.6</v>
      </c>
      <c r="K83" s="429"/>
      <c r="L83" s="377"/>
      <c r="N83" s="382"/>
      <c r="O83" s="382"/>
    </row>
    <row r="84" spans="1:15">
      <c r="A84" s="1148" t="s">
        <v>201</v>
      </c>
      <c r="B84" s="571"/>
      <c r="C84" s="571"/>
      <c r="D84" s="478" t="s">
        <v>132</v>
      </c>
      <c r="E84" s="627">
        <f>'4'!F84</f>
        <v>483194</v>
      </c>
      <c r="F84" s="1266">
        <v>483976</v>
      </c>
      <c r="G84" s="473">
        <f t="shared" si="8"/>
        <v>782</v>
      </c>
      <c r="H84" s="460">
        <f>G84+'4'!H84</f>
        <v>3843</v>
      </c>
      <c r="I84" s="481"/>
      <c r="J84" s="552">
        <f>H84/DAY(B2)</f>
        <v>768.6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1"/>
      <c r="G85" s="460">
        <f xml:space="preserve"> SUM(G71:G84)</f>
        <v>1797</v>
      </c>
      <c r="H85" s="460">
        <f>G85+'4'!H85</f>
        <v>9504</v>
      </c>
      <c r="I85" s="481"/>
      <c r="J85" s="552">
        <f>H85/DAY(B2)</f>
        <v>1900.8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459766</v>
      </c>
      <c r="F86" s="1266">
        <v>459964</v>
      </c>
      <c r="G86" s="708">
        <f t="shared" ref="G86:G91" si="9">F86-E86</f>
        <v>198</v>
      </c>
      <c r="H86" s="460">
        <f>G86+'4'!H86</f>
        <v>697</v>
      </c>
      <c r="I86" s="655"/>
      <c r="J86" s="710">
        <f>H86/DAY(B2)</f>
        <v>139.4</v>
      </c>
      <c r="K86" s="736"/>
      <c r="L86" s="737"/>
      <c r="N86" s="781">
        <f>G86-173</f>
        <v>25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80961</v>
      </c>
      <c r="F87" s="1266">
        <v>80979</v>
      </c>
      <c r="G87" s="708">
        <f t="shared" si="9"/>
        <v>18</v>
      </c>
      <c r="H87" s="460">
        <f>G87+'4'!H87</f>
        <v>60</v>
      </c>
      <c r="I87" s="655"/>
      <c r="J87" s="710">
        <f>H87/DAY(B2)</f>
        <v>12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152033</v>
      </c>
      <c r="F88" s="1266">
        <v>152056</v>
      </c>
      <c r="G88" s="708">
        <f t="shared" si="9"/>
        <v>23</v>
      </c>
      <c r="H88" s="460">
        <f>G88+'4'!H88</f>
        <v>251</v>
      </c>
      <c r="I88" s="655"/>
      <c r="J88" s="710">
        <f>H88/DAY(B2)</f>
        <v>50.2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64860</v>
      </c>
      <c r="F89" s="1266">
        <v>64866</v>
      </c>
      <c r="G89" s="708">
        <f t="shared" si="9"/>
        <v>6</v>
      </c>
      <c r="H89" s="460">
        <f>G89+'4'!H89</f>
        <v>32</v>
      </c>
      <c r="I89" s="655"/>
      <c r="J89" s="710">
        <f>H89/DAY(B2)</f>
        <v>6.4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3272</v>
      </c>
      <c r="F90" s="1266">
        <v>3272</v>
      </c>
      <c r="G90" s="708">
        <f t="shared" si="9"/>
        <v>0</v>
      </c>
      <c r="H90" s="460">
        <f>G90+'4'!H90</f>
        <v>0</v>
      </c>
      <c r="I90" s="655"/>
      <c r="J90" s="710">
        <f>H90/DAY(B2)</f>
        <v>0</v>
      </c>
      <c r="K90" s="736"/>
      <c r="L90" s="737"/>
      <c r="N90" s="781">
        <v>349</v>
      </c>
      <c r="O90" s="382"/>
    </row>
    <row r="91" spans="1:15" s="738" customFormat="1">
      <c r="A91" s="733" t="s">
        <v>365</v>
      </c>
      <c r="B91" s="734"/>
      <c r="C91" s="734"/>
      <c r="D91" s="735"/>
      <c r="E91" s="627">
        <f>'4'!F91</f>
        <v>27916.53</v>
      </c>
      <c r="F91" s="650">
        <v>27918.61</v>
      </c>
      <c r="G91" s="708">
        <f t="shared" si="9"/>
        <v>2.0800000000017462</v>
      </c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1098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'4'!F93</f>
        <v>244703</v>
      </c>
      <c r="F93" s="1250">
        <v>244729</v>
      </c>
      <c r="G93" s="473">
        <f t="shared" ref="G93:G94" si="10">F93-E93</f>
        <v>26</v>
      </c>
      <c r="H93" s="460">
        <f>G93+'4'!H93</f>
        <v>205</v>
      </c>
      <c r="I93" s="480"/>
      <c r="J93" s="552">
        <f>H93/DAY(B2)</f>
        <v>41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'4'!F94</f>
        <v>183909</v>
      </c>
      <c r="F94" s="1250">
        <v>183978</v>
      </c>
      <c r="G94" s="473">
        <f t="shared" si="10"/>
        <v>69</v>
      </c>
      <c r="H94" s="460">
        <f>G94+'4'!H94</f>
        <v>447</v>
      </c>
      <c r="I94" s="480"/>
      <c r="J94" s="552">
        <f>H94/DAY(B2)</f>
        <v>89.4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/>
      <c r="F95" s="1250"/>
      <c r="G95" s="473">
        <f>G93+G94</f>
        <v>95</v>
      </c>
      <c r="H95" s="460">
        <f>G95+'4'!H95</f>
        <v>505</v>
      </c>
      <c r="I95" s="480"/>
      <c r="J95" s="552">
        <f>H95/DAY(B2)</f>
        <v>101</v>
      </c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'4'!F96</f>
        <v>413123</v>
      </c>
      <c r="F96" s="1250">
        <v>413154</v>
      </c>
      <c r="G96" s="473">
        <f t="shared" ref="G96:G101" si="11">F96-E96</f>
        <v>31</v>
      </c>
      <c r="H96" s="460">
        <f>G96+'4'!H96</f>
        <v>268</v>
      </c>
      <c r="I96" s="480"/>
      <c r="J96" s="552">
        <f>H96/DAY(B2)</f>
        <v>53.6</v>
      </c>
      <c r="K96" s="380"/>
      <c r="L96" s="377"/>
      <c r="N96" s="382"/>
      <c r="O96" s="382"/>
    </row>
    <row r="97" spans="1:15" ht="27.75">
      <c r="A97" s="1144" t="s">
        <v>210</v>
      </c>
      <c r="B97" s="1145"/>
      <c r="C97" s="1145"/>
      <c r="D97" s="523" t="s">
        <v>144</v>
      </c>
      <c r="E97" s="484">
        <f>'4'!F97</f>
        <v>102393</v>
      </c>
      <c r="F97" s="1250">
        <v>102399</v>
      </c>
      <c r="G97" s="473">
        <f t="shared" si="11"/>
        <v>6</v>
      </c>
      <c r="H97" s="460">
        <f>G97+'4'!H97</f>
        <v>56</v>
      </c>
      <c r="I97" s="480"/>
      <c r="J97" s="552">
        <f>H97/DAY(B2)</f>
        <v>11.2</v>
      </c>
      <c r="K97" s="427"/>
      <c r="L97" s="377"/>
      <c r="N97" s="382"/>
      <c r="O97" s="382"/>
    </row>
    <row r="98" spans="1:15" ht="27.75">
      <c r="A98" s="1144" t="s">
        <v>211</v>
      </c>
      <c r="B98" s="1145"/>
      <c r="C98" s="1145"/>
      <c r="D98" s="523" t="s">
        <v>144</v>
      </c>
      <c r="E98" s="484">
        <f>'4'!F98</f>
        <v>97495</v>
      </c>
      <c r="F98" s="1250">
        <v>97506</v>
      </c>
      <c r="G98" s="473">
        <f t="shared" si="11"/>
        <v>11</v>
      </c>
      <c r="H98" s="460">
        <f>G98+'4'!H98</f>
        <v>79</v>
      </c>
      <c r="I98" s="480"/>
      <c r="J98" s="552">
        <f>H98/DAY(B2)</f>
        <v>15.8</v>
      </c>
      <c r="K98" s="432"/>
      <c r="L98" s="377"/>
      <c r="N98" s="382"/>
      <c r="O98" s="382"/>
    </row>
    <row r="99" spans="1:15" ht="27.75">
      <c r="A99" s="1144" t="s">
        <v>212</v>
      </c>
      <c r="B99" s="1145"/>
      <c r="C99" s="1145"/>
      <c r="D99" s="523" t="s">
        <v>144</v>
      </c>
      <c r="E99" s="635">
        <v>149553</v>
      </c>
      <c r="F99" s="1250">
        <v>149560</v>
      </c>
      <c r="G99" s="473">
        <f t="shared" si="11"/>
        <v>7</v>
      </c>
      <c r="H99" s="460">
        <f>G99+'4'!H99</f>
        <v>27</v>
      </c>
      <c r="I99" s="480"/>
      <c r="J99" s="552">
        <f>H99/DAY(B2)</f>
        <v>5.4</v>
      </c>
      <c r="K99" s="380"/>
      <c r="L99" s="377"/>
      <c r="N99" s="707"/>
      <c r="O99" s="382"/>
    </row>
    <row r="100" spans="1:15" ht="27.75">
      <c r="A100" s="1144" t="s">
        <v>213</v>
      </c>
      <c r="B100" s="1145"/>
      <c r="C100" s="1145"/>
      <c r="D100" s="523" t="s">
        <v>144</v>
      </c>
      <c r="E100" s="484">
        <f>'4'!F100</f>
        <v>7202</v>
      </c>
      <c r="F100" s="1250">
        <v>7205</v>
      </c>
      <c r="G100" s="473">
        <f t="shared" si="11"/>
        <v>3</v>
      </c>
      <c r="H100" s="460">
        <f>G100+'4'!H100</f>
        <v>20</v>
      </c>
      <c r="I100" s="480"/>
      <c r="J100" s="552">
        <f>H100/DAY(B2)</f>
        <v>4</v>
      </c>
      <c r="K100" s="380"/>
      <c r="L100" s="377"/>
      <c r="N100" s="382"/>
      <c r="O100" s="382"/>
    </row>
    <row r="101" spans="1:15" ht="27.75">
      <c r="A101" s="1144" t="s">
        <v>214</v>
      </c>
      <c r="B101" s="1145"/>
      <c r="C101" s="1145"/>
      <c r="D101" s="523" t="s">
        <v>144</v>
      </c>
      <c r="E101" s="484">
        <f>'4'!F101</f>
        <v>5169</v>
      </c>
      <c r="F101" s="1250">
        <v>5190</v>
      </c>
      <c r="G101" s="473">
        <f t="shared" si="11"/>
        <v>21</v>
      </c>
      <c r="H101" s="460">
        <f>G101+'4'!H101</f>
        <v>52</v>
      </c>
      <c r="I101" s="480"/>
      <c r="J101" s="552">
        <f>H101/DAY(B2)</f>
        <v>10.4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1261"/>
      <c r="G102" s="525">
        <f>SUM(G96:G101)</f>
        <v>79</v>
      </c>
      <c r="H102" s="460">
        <f>G102+'4'!H102</f>
        <v>502</v>
      </c>
      <c r="I102" s="526"/>
      <c r="J102" s="552">
        <f>H102/DAY(B2)</f>
        <v>100.4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7"/>
      <c r="G103" s="529"/>
      <c r="H103" s="530"/>
      <c r="I103" s="531"/>
      <c r="J103" s="557"/>
      <c r="N103" s="382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1268"/>
      <c r="G104" s="532"/>
      <c r="H104" s="533"/>
      <c r="I104" s="532"/>
      <c r="J104" s="558"/>
      <c r="N104" s="382"/>
      <c r="O104" s="382"/>
    </row>
    <row r="105" spans="1:15" s="442" customFormat="1" ht="27.75">
      <c r="A105" s="1517" t="s">
        <v>219</v>
      </c>
      <c r="B105" s="1518"/>
      <c r="C105" s="1143"/>
      <c r="D105" s="622" t="s">
        <v>144</v>
      </c>
      <c r="E105" s="532">
        <v>7431</v>
      </c>
      <c r="F105" s="1268">
        <v>7435</v>
      </c>
      <c r="G105" s="532">
        <f>F105-E105</f>
        <v>4</v>
      </c>
      <c r="H105" s="460">
        <f>G105+'4'!H105</f>
        <v>4</v>
      </c>
      <c r="I105" s="532"/>
      <c r="J105" s="558">
        <f>H105/DAY(B2)</f>
        <v>0.8</v>
      </c>
      <c r="N105" s="382"/>
      <c r="O105" s="382"/>
    </row>
    <row r="106" spans="1:15" s="442" customFormat="1" ht="27.75">
      <c r="A106" s="1517" t="s">
        <v>77</v>
      </c>
      <c r="B106" s="1518"/>
      <c r="C106" s="1143"/>
      <c r="D106" s="622" t="s">
        <v>144</v>
      </c>
      <c r="E106" s="534">
        <v>35847</v>
      </c>
      <c r="F106" s="1274">
        <v>35847</v>
      </c>
      <c r="G106" s="532">
        <f t="shared" ref="G106:G107" si="12">F106-E106</f>
        <v>0</v>
      </c>
      <c r="H106" s="460">
        <f>G106+'4'!H106</f>
        <v>19</v>
      </c>
      <c r="I106" s="532"/>
      <c r="J106" s="558">
        <f>H106/DAY(B2)</f>
        <v>3.8</v>
      </c>
      <c r="N106" s="382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1051">
        <v>19632</v>
      </c>
      <c r="F107" s="1268">
        <v>19635</v>
      </c>
      <c r="G107" s="532">
        <f t="shared" si="12"/>
        <v>3</v>
      </c>
      <c r="H107" s="460">
        <f>G107+'4'!H107</f>
        <v>18</v>
      </c>
      <c r="I107" s="532"/>
      <c r="J107" s="558">
        <f>H107/DAY(B2)</f>
        <v>3.6</v>
      </c>
      <c r="N107" s="382"/>
      <c r="O107" s="382"/>
    </row>
    <row r="108" spans="1:15" s="442" customFormat="1" ht="27.75">
      <c r="A108" s="1519" t="s">
        <v>202</v>
      </c>
      <c r="B108" s="1520"/>
      <c r="C108" s="1143"/>
      <c r="D108" s="622"/>
      <c r="E108" s="532" t="str">
        <f>'4'!E108</f>
        <v>.</v>
      </c>
      <c r="F108" s="1268"/>
      <c r="G108" s="532">
        <f>SUM(G105:G107)</f>
        <v>7</v>
      </c>
      <c r="H108" s="460">
        <f>G108+'4'!H108</f>
        <v>41</v>
      </c>
      <c r="I108" s="532"/>
      <c r="J108" s="558">
        <f>H108/DAY(B2)</f>
        <v>8.1999999999999993</v>
      </c>
      <c r="N108" s="382"/>
      <c r="O108" s="382"/>
    </row>
    <row r="109" spans="1:15" s="442" customFormat="1" ht="27.75">
      <c r="A109" s="1523" t="s">
        <v>79</v>
      </c>
      <c r="B109" s="1524"/>
      <c r="C109" s="1143"/>
      <c r="D109" s="622" t="s">
        <v>144</v>
      </c>
      <c r="E109" s="532">
        <f>'4'!E109</f>
        <v>0</v>
      </c>
      <c r="F109" s="1268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17" t="s">
        <v>220</v>
      </c>
      <c r="B110" s="1518"/>
      <c r="C110" s="1143"/>
      <c r="D110" s="622" t="s">
        <v>144</v>
      </c>
      <c r="E110" s="532">
        <v>61400</v>
      </c>
      <c r="F110" s="1268">
        <v>61439</v>
      </c>
      <c r="G110" s="532">
        <f>F110-E110</f>
        <v>39</v>
      </c>
      <c r="H110" s="460">
        <f>G110+'4'!H110</f>
        <v>265</v>
      </c>
      <c r="I110" s="532"/>
      <c r="J110" s="558">
        <f>H110/DAY(B2)</f>
        <v>53</v>
      </c>
      <c r="N110" s="382"/>
    </row>
    <row r="111" spans="1:15" s="442" customFormat="1" ht="27.75">
      <c r="A111" s="1517" t="s">
        <v>221</v>
      </c>
      <c r="B111" s="1518"/>
      <c r="C111" s="1143"/>
      <c r="D111" s="622" t="s">
        <v>144</v>
      </c>
      <c r="E111" s="532">
        <v>32245</v>
      </c>
      <c r="F111" s="1268">
        <v>32267</v>
      </c>
      <c r="G111" s="532">
        <f t="shared" ref="G111:G112" si="13">F111-E111</f>
        <v>22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517" t="s">
        <v>222</v>
      </c>
      <c r="B112" s="1518"/>
      <c r="C112" s="1143"/>
      <c r="D112" s="622" t="s">
        <v>144</v>
      </c>
      <c r="E112" s="532">
        <v>4417</v>
      </c>
      <c r="F112" s="1268">
        <v>4441</v>
      </c>
      <c r="G112" s="532">
        <f t="shared" si="13"/>
        <v>24</v>
      </c>
      <c r="H112" s="460">
        <f>G112+'4'!H112</f>
        <v>73</v>
      </c>
      <c r="I112" s="532"/>
      <c r="J112" s="558">
        <f>H112/DAY(B2)</f>
        <v>14.6</v>
      </c>
      <c r="N112" s="382"/>
    </row>
    <row r="113" spans="1:14" s="442" customFormat="1" ht="27.75">
      <c r="A113" s="1519" t="s">
        <v>110</v>
      </c>
      <c r="B113" s="1520"/>
      <c r="C113" s="1143"/>
      <c r="D113" s="622"/>
      <c r="E113" s="532"/>
      <c r="F113" s="1268"/>
      <c r="G113" s="532">
        <f>SUM(G110:G112)</f>
        <v>85</v>
      </c>
      <c r="H113" s="460">
        <f>G113+'4'!H113</f>
        <v>370</v>
      </c>
      <c r="I113" s="532"/>
      <c r="J113" s="558">
        <f>H113/DAY(B2)</f>
        <v>74</v>
      </c>
      <c r="N113" s="382"/>
    </row>
    <row r="114" spans="1:14" s="442" customFormat="1" ht="27.75">
      <c r="A114" s="1523" t="s">
        <v>223</v>
      </c>
      <c r="B114" s="1524"/>
      <c r="C114" s="1143"/>
      <c r="D114" s="622"/>
      <c r="E114" s="532"/>
      <c r="F114" s="1268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4">
        <v>11283</v>
      </c>
      <c r="F115" s="1269">
        <v>11286</v>
      </c>
      <c r="G115" s="534">
        <f>F115-E115</f>
        <v>3</v>
      </c>
      <c r="H115" s="460">
        <f>G115+'4'!H115</f>
        <v>27</v>
      </c>
      <c r="I115" s="532"/>
      <c r="J115" s="558">
        <f>H115/DAY(B2)</f>
        <v>5.4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4">
        <v>8143</v>
      </c>
      <c r="F116" s="1269">
        <v>8163</v>
      </c>
      <c r="G116" s="534">
        <f t="shared" ref="G116:G117" si="14">F116-E116</f>
        <v>20</v>
      </c>
      <c r="H116" s="460">
        <f>G116+'4'!H116</f>
        <v>37</v>
      </c>
      <c r="I116" s="532"/>
      <c r="J116" s="558">
        <f>H116/DAY(B2)</f>
        <v>7.4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1269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1269"/>
      <c r="G118" s="534">
        <f>SUM(G115:G117)</f>
        <v>23</v>
      </c>
      <c r="H118" s="460">
        <f>G118+'4'!H118</f>
        <v>64</v>
      </c>
      <c r="I118" s="534"/>
      <c r="J118" s="558">
        <f>H118/DAY(B2)</f>
        <v>12.8</v>
      </c>
      <c r="N118" s="382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>
        <f>SUM(F19+F93)</f>
        <v>382804</v>
      </c>
      <c r="F119" s="1270">
        <f>SUM(G19+G93)</f>
        <v>79</v>
      </c>
      <c r="G119" s="536">
        <f>SUM(G19+G93)</f>
        <v>79</v>
      </c>
      <c r="H119" s="460">
        <f>G119+'4'!H119</f>
        <v>468</v>
      </c>
      <c r="I119" s="535"/>
      <c r="J119" s="559">
        <f>H119/DAY(B2)</f>
        <v>93.6</v>
      </c>
      <c r="N119" s="382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>
        <f>SUM(F96,F97,F98,F100,F101)</f>
        <v>625454</v>
      </c>
      <c r="F120" s="1270">
        <f>SUM(G96,G97,G98,G100,G101)</f>
        <v>72</v>
      </c>
      <c r="G120" s="536">
        <f>SUM(G96,G97,G98,G100,G101)</f>
        <v>72</v>
      </c>
      <c r="H120" s="460">
        <f>G120+'4'!H120</f>
        <v>475</v>
      </c>
      <c r="I120" s="535"/>
      <c r="J120" s="559">
        <f>H120/DAY(B2)</f>
        <v>95</v>
      </c>
      <c r="N120" s="382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>
        <f>SUM(F113)</f>
        <v>0</v>
      </c>
      <c r="F121" s="1269">
        <f>SUM(G113)</f>
        <v>85</v>
      </c>
      <c r="G121" s="534">
        <f>SUM(G113)</f>
        <v>85</v>
      </c>
      <c r="H121" s="460">
        <f>G121+'4'!H121</f>
        <v>370</v>
      </c>
      <c r="I121" s="535"/>
      <c r="J121" s="559">
        <f>H121/DAY(B2)</f>
        <v>74</v>
      </c>
      <c r="N121" s="382"/>
    </row>
    <row r="122" spans="1:14" s="442" customFormat="1" ht="27.75">
      <c r="A122" s="1515"/>
      <c r="B122" s="1516"/>
      <c r="C122" s="1142"/>
      <c r="D122" s="560"/>
      <c r="E122" s="560"/>
      <c r="F122" s="1271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1098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'4'!F124</f>
        <v>826910</v>
      </c>
      <c r="F124" s="1250">
        <v>827112</v>
      </c>
      <c r="G124" s="473">
        <f t="shared" ref="G124:G128" si="15">F124-E124</f>
        <v>202</v>
      </c>
      <c r="H124" s="460">
        <f>G124+'4'!H124</f>
        <v>1023.5400000000373</v>
      </c>
      <c r="I124" s="526"/>
      <c r="J124" s="552">
        <f>H124/DAY(B2)</f>
        <v>204.70800000000744</v>
      </c>
      <c r="K124" s="380"/>
      <c r="L124" s="377"/>
      <c r="N124" s="382"/>
    </row>
    <row r="125" spans="1:14" ht="27.75">
      <c r="A125" s="1144" t="s">
        <v>232</v>
      </c>
      <c r="B125" s="1145"/>
      <c r="C125" s="1145"/>
      <c r="D125" s="523" t="s">
        <v>141</v>
      </c>
      <c r="E125" s="626">
        <f>'4'!F125</f>
        <v>73583</v>
      </c>
      <c r="F125" s="1272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'4'!F126</f>
        <v>144923</v>
      </c>
      <c r="F126" s="1250">
        <v>144974</v>
      </c>
      <c r="G126" s="473">
        <f t="shared" si="15"/>
        <v>51</v>
      </c>
      <c r="H126" s="460">
        <f>G126+'4'!H126</f>
        <v>286.55999999999767</v>
      </c>
      <c r="I126" s="526"/>
      <c r="J126" s="552">
        <f>H126/DAY(B2)</f>
        <v>57.311999999999536</v>
      </c>
      <c r="K126" s="380"/>
      <c r="L126" s="377"/>
      <c r="N126" s="382"/>
    </row>
    <row r="127" spans="1:14" ht="27.75">
      <c r="A127" s="609" t="s">
        <v>234</v>
      </c>
      <c r="B127" s="1145"/>
      <c r="C127" s="1145"/>
      <c r="D127" s="523" t="s">
        <v>141</v>
      </c>
      <c r="E127" s="626">
        <f>'4'!F127</f>
        <v>31404</v>
      </c>
      <c r="F127" s="1272">
        <v>31404</v>
      </c>
      <c r="G127" s="473">
        <f t="shared" si="15"/>
        <v>0</v>
      </c>
      <c r="H127" s="460">
        <f>G127+'4'!H127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5"/>
      <c r="C128" s="1145"/>
      <c r="D128" s="523" t="s">
        <v>141</v>
      </c>
      <c r="E128" s="626">
        <f>'4'!F128</f>
        <v>8970</v>
      </c>
      <c r="F128" s="1272">
        <v>8970</v>
      </c>
      <c r="G128" s="473">
        <f t="shared" si="15"/>
        <v>0</v>
      </c>
      <c r="H128" s="460">
        <f>G128+'4'!H128</f>
        <v>0.2999999999992724</v>
      </c>
      <c r="I128" s="480"/>
      <c r="J128" s="552">
        <f>H128/DAY(B2)</f>
        <v>5.9999999999854482E-2</v>
      </c>
      <c r="K128" s="380"/>
      <c r="L128" s="377"/>
      <c r="N128" s="382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1250"/>
      <c r="G129" s="473">
        <f>G15-SUM(G124:G128)</f>
        <v>34</v>
      </c>
      <c r="H129" s="460">
        <f>G129+'4'!H129</f>
        <v>777.99999999995998</v>
      </c>
      <c r="I129" s="480"/>
      <c r="J129" s="552">
        <f>H129/DAY(B2)</f>
        <v>155.59999999999201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6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'4'!F131</f>
        <v>0</v>
      </c>
      <c r="F131" s="1250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'4'!F132</f>
        <v>0</v>
      </c>
      <c r="F132" s="1250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4" t="s">
        <v>241</v>
      </c>
      <c r="B133" s="1145"/>
      <c r="C133" s="1145"/>
      <c r="D133" s="523" t="s">
        <v>239</v>
      </c>
      <c r="E133" s="541">
        <f>'4'!F133</f>
        <v>39842</v>
      </c>
      <c r="F133" s="1251">
        <v>39866</v>
      </c>
      <c r="G133" s="473">
        <f t="shared" si="16"/>
        <v>24</v>
      </c>
      <c r="H133" s="460">
        <f>G133+'4'!H133</f>
        <v>119.5199999999968</v>
      </c>
      <c r="I133" s="480"/>
      <c r="J133" s="552">
        <f>H133/DAY(B2)</f>
        <v>23.90399999999936</v>
      </c>
      <c r="N133" s="382"/>
    </row>
    <row r="134" spans="1:14" ht="27.75">
      <c r="A134" s="1144" t="s">
        <v>242</v>
      </c>
      <c r="B134" s="1145"/>
      <c r="C134" s="1145"/>
      <c r="D134" s="523" t="s">
        <v>239</v>
      </c>
      <c r="E134" s="704">
        <f>'4'!F134</f>
        <v>300</v>
      </c>
      <c r="F134" s="1272">
        <v>300</v>
      </c>
      <c r="G134" s="473">
        <f t="shared" si="16"/>
        <v>0</v>
      </c>
      <c r="H134" s="460">
        <f>G134+'4'!H134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4" t="s">
        <v>243</v>
      </c>
      <c r="B135" s="1145"/>
      <c r="C135" s="1145"/>
      <c r="D135" s="523" t="s">
        <v>239</v>
      </c>
      <c r="E135" s="704">
        <f>'4'!F135</f>
        <v>41385</v>
      </c>
      <c r="F135" s="1272">
        <v>41385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4" t="s">
        <v>244</v>
      </c>
      <c r="B136" s="1145"/>
      <c r="C136" s="1145"/>
      <c r="D136" s="523" t="s">
        <v>239</v>
      </c>
      <c r="E136" s="704">
        <f>'4'!F136</f>
        <v>32583</v>
      </c>
      <c r="F136" s="1272">
        <v>32583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44" t="s">
        <v>245</v>
      </c>
      <c r="B137" s="1145"/>
      <c r="C137" s="1145"/>
      <c r="D137" s="523" t="s">
        <v>239</v>
      </c>
      <c r="E137" s="541">
        <f>'4'!F137</f>
        <v>22749.51</v>
      </c>
      <c r="F137" s="1251">
        <v>22749.51</v>
      </c>
      <c r="G137" s="473">
        <f t="shared" si="16"/>
        <v>0</v>
      </c>
      <c r="H137" s="460">
        <f>G137+'4'!H137</f>
        <v>9.9199999999982538</v>
      </c>
      <c r="I137" s="480">
        <f>G137+G138+G139</f>
        <v>0</v>
      </c>
      <c r="J137" s="552">
        <f>H137/DAY(B2)</f>
        <v>1.9839999999996507</v>
      </c>
      <c r="N137" s="382"/>
    </row>
    <row r="138" spans="1:14" ht="27.75">
      <c r="A138" s="1144" t="s">
        <v>246</v>
      </c>
      <c r="B138" s="1145"/>
      <c r="C138" s="1145"/>
      <c r="D138" s="523" t="s">
        <v>239</v>
      </c>
      <c r="E138" s="541">
        <f>'4'!F138</f>
        <v>25051.59</v>
      </c>
      <c r="F138" s="1251">
        <v>25051.59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4" t="s">
        <v>247</v>
      </c>
      <c r="B139" s="1145"/>
      <c r="C139" s="1145"/>
      <c r="D139" s="523" t="s">
        <v>239</v>
      </c>
      <c r="E139" s="541">
        <f>'4'!F139</f>
        <v>70324.820000000007</v>
      </c>
      <c r="F139" s="1251">
        <v>70324.820000000007</v>
      </c>
      <c r="G139" s="473">
        <f t="shared" si="16"/>
        <v>0</v>
      </c>
      <c r="H139" s="460">
        <f>G139+'4'!H139</f>
        <v>9.0100000000093132</v>
      </c>
      <c r="I139" s="480"/>
      <c r="J139" s="552">
        <f>H139/DAY(B2)</f>
        <v>1.8020000000018626</v>
      </c>
      <c r="N139" s="382"/>
    </row>
    <row r="140" spans="1:14" ht="27.75">
      <c r="A140" s="1144" t="s">
        <v>248</v>
      </c>
      <c r="B140" s="1145"/>
      <c r="C140" s="1145"/>
      <c r="D140" s="523" t="s">
        <v>239</v>
      </c>
      <c r="E140" s="704">
        <f>'4'!F140</f>
        <v>1648.08</v>
      </c>
      <c r="F140" s="1272">
        <v>1655.82</v>
      </c>
      <c r="G140" s="473">
        <f t="shared" si="16"/>
        <v>7.7400000000000091</v>
      </c>
      <c r="H140" s="460">
        <f>G140+'4'!H140</f>
        <v>38.960000000000036</v>
      </c>
      <c r="I140" s="542">
        <f>G140+G141</f>
        <v>7.7400000000000091</v>
      </c>
      <c r="J140" s="552">
        <f>H140/DAY(B2)</f>
        <v>7.7920000000000069</v>
      </c>
      <c r="N140" s="382"/>
    </row>
    <row r="141" spans="1:14" ht="27.75">
      <c r="A141" s="1144" t="s">
        <v>249</v>
      </c>
      <c r="B141" s="1145"/>
      <c r="C141" s="1145"/>
      <c r="D141" s="523" t="s">
        <v>239</v>
      </c>
      <c r="E141" s="484">
        <f>'4'!F141</f>
        <v>4637</v>
      </c>
      <c r="F141" s="1250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31" t="s">
        <v>250</v>
      </c>
      <c r="B142" s="1532"/>
      <c r="C142" s="1150"/>
      <c r="D142" s="472"/>
      <c r="E142" s="472"/>
      <c r="F142" s="1098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1101"/>
      <c r="G143" s="460">
        <f>G35+G43+G49+G57</f>
        <v>4362</v>
      </c>
      <c r="H143" s="460">
        <f>G143+'4'!H143</f>
        <v>21841.869999999995</v>
      </c>
      <c r="I143" s="480" t="s">
        <v>268</v>
      </c>
      <c r="J143" s="552">
        <f>H143/DAY(B2)</f>
        <v>4368.3739999999989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1245"/>
      <c r="G144" s="543">
        <f>G143/G7</f>
        <v>0.27688206169861623</v>
      </c>
      <c r="H144" s="460">
        <f>G144+'4'!H144</f>
        <v>1.3669868594812287</v>
      </c>
      <c r="I144" s="544"/>
      <c r="J144" s="552">
        <f>H144/DAY(B2)</f>
        <v>0.27339737189624574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1253"/>
      <c r="G145" s="460">
        <f>G41+G42+G55+G56</f>
        <v>4970</v>
      </c>
      <c r="H145" s="460">
        <f>G145+'4'!H145</f>
        <v>24593.530000000028</v>
      </c>
      <c r="I145" s="480"/>
      <c r="J145" s="552">
        <f>H145/DAY(B2)</f>
        <v>4918.7060000000056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1253"/>
      <c r="G146" s="543">
        <f>G145/G7</f>
        <v>0.31547543481020696</v>
      </c>
      <c r="H146" s="460">
        <f>G146+'4'!H146</f>
        <v>1.5391388548037515</v>
      </c>
      <c r="I146" s="544"/>
      <c r="J146" s="552">
        <f>H146/DAY(B2)</f>
        <v>0.30782777096075031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1253"/>
      <c r="G147" s="460">
        <f>G39+G53</f>
        <v>2239</v>
      </c>
      <c r="H147" s="460">
        <f>G147+'4'!H147</f>
        <v>11863</v>
      </c>
      <c r="I147" s="545"/>
      <c r="J147" s="552">
        <f>H147/DAY(B2)</f>
        <v>2372.6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1253"/>
      <c r="G148" s="543">
        <f>G147/G7</f>
        <v>0.14212263552113749</v>
      </c>
      <c r="H148" s="460">
        <f>G148+'4'!H148</f>
        <v>0.74243408799576149</v>
      </c>
      <c r="I148" s="545"/>
      <c r="J148" s="552">
        <f>H148/DAY(B2)</f>
        <v>0.1484868175991523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1253"/>
      <c r="G149" s="460">
        <f>G38+G52</f>
        <v>1208</v>
      </c>
      <c r="H149" s="460">
        <f>G149+'4'!H149</f>
        <v>6458</v>
      </c>
      <c r="I149" s="480"/>
      <c r="J149" s="552">
        <f>H149/DAY(B2)</f>
        <v>1291.5999999999999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1253"/>
      <c r="G150" s="543">
        <f>G149/G7</f>
        <v>7.6678938682239434E-2</v>
      </c>
      <c r="H150" s="460">
        <f>G150+'4'!H150</f>
        <v>0.40412327288588101</v>
      </c>
      <c r="I150" s="545"/>
      <c r="J150" s="552">
        <f>H150/DAY(B2)</f>
        <v>8.0824654577176205E-2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1253"/>
      <c r="G151" s="460">
        <f>G36+G50</f>
        <v>1330</v>
      </c>
      <c r="H151" s="460">
        <f>G151+'4'!H151</f>
        <v>6735</v>
      </c>
      <c r="I151" s="545"/>
      <c r="J151" s="552">
        <f>H151/DAY(B2)</f>
        <v>1347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1253"/>
      <c r="G152" s="543">
        <f>G151/G7</f>
        <v>8.4423003681604672E-2</v>
      </c>
      <c r="H152" s="460">
        <f>G152+'4'!H152</f>
        <v>0.42146533653367135</v>
      </c>
      <c r="I152" s="480"/>
      <c r="J152" s="552">
        <f>H152/DAY(B2)</f>
        <v>8.4293067306734276E-2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1253"/>
      <c r="G153" s="460">
        <f>G37+G51</f>
        <v>1190</v>
      </c>
      <c r="H153" s="460">
        <f>G153+'4'!H153</f>
        <v>6173</v>
      </c>
      <c r="I153" s="480"/>
      <c r="J153" s="552">
        <f>H153/DAY(B2)</f>
        <v>1234.5999999999999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1273"/>
      <c r="G154" s="566">
        <f>G153/G7</f>
        <v>7.5536371715119968E-2</v>
      </c>
      <c r="H154" s="460">
        <f>G154+'4'!H154</f>
        <v>0.3863240872163769</v>
      </c>
      <c r="I154" s="568"/>
      <c r="J154" s="569">
        <f>H154/DAY(B2)</f>
        <v>7.7264817443275374E-2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661">
        <v>36257</v>
      </c>
      <c r="F161" s="661">
        <v>36338</v>
      </c>
      <c r="G161" s="473">
        <f t="shared" ref="G161:G172" si="17">F161-E161</f>
        <v>81</v>
      </c>
    </row>
    <row r="162" spans="1:7">
      <c r="A162" s="788" t="s">
        <v>264</v>
      </c>
      <c r="B162" s="789"/>
      <c r="C162" s="789"/>
      <c r="D162" s="511" t="s">
        <v>187</v>
      </c>
      <c r="E162" s="661">
        <v>84066</v>
      </c>
      <c r="F162" s="661">
        <v>84490</v>
      </c>
      <c r="G162" s="473">
        <f t="shared" si="17"/>
        <v>424</v>
      </c>
    </row>
    <row r="163" spans="1:7">
      <c r="A163" s="788" t="s">
        <v>265</v>
      </c>
      <c r="B163" s="789"/>
      <c r="C163" s="789"/>
      <c r="D163" s="511" t="s">
        <v>187</v>
      </c>
      <c r="E163" s="661">
        <v>39208</v>
      </c>
      <c r="F163" s="661">
        <v>39414</v>
      </c>
      <c r="G163" s="473">
        <f t="shared" si="17"/>
        <v>206</v>
      </c>
    </row>
    <row r="164" spans="1:7">
      <c r="A164" s="788" t="s">
        <v>266</v>
      </c>
      <c r="B164" s="789"/>
      <c r="C164" s="789"/>
      <c r="D164" s="511" t="s">
        <v>187</v>
      </c>
      <c r="E164" s="661">
        <v>6261</v>
      </c>
      <c r="F164" s="661">
        <v>6267</v>
      </c>
      <c r="G164" s="473">
        <f t="shared" si="17"/>
        <v>6</v>
      </c>
    </row>
    <row r="165" spans="1:7">
      <c r="A165" s="790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90" t="s">
        <v>188</v>
      </c>
      <c r="B166" s="604"/>
      <c r="C166" s="604"/>
      <c r="D166" s="511" t="s">
        <v>187</v>
      </c>
      <c r="E166" s="514">
        <f t="shared" ref="E166" si="18">E63</f>
        <v>2374</v>
      </c>
      <c r="F166" s="514">
        <f t="shared" ref="F166:F172" si="19">F63</f>
        <v>2378</v>
      </c>
      <c r="G166" s="473">
        <f t="shared" si="17"/>
        <v>4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ref="E167" si="20">E64</f>
        <v>154137</v>
      </c>
      <c r="F167" s="514">
        <f t="shared" si="19"/>
        <v>154342</v>
      </c>
      <c r="G167" s="473">
        <f t="shared" si="17"/>
        <v>205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ref="E168" si="21">E65</f>
        <v>155406</v>
      </c>
      <c r="F168" s="514">
        <f t="shared" si="19"/>
        <v>155606</v>
      </c>
      <c r="G168" s="473">
        <f t="shared" si="17"/>
        <v>200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ref="E169" si="22">E66</f>
        <v>49645</v>
      </c>
      <c r="F169" s="514">
        <f t="shared" si="19"/>
        <v>49895</v>
      </c>
      <c r="G169" s="473">
        <f t="shared" si="17"/>
        <v>250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ref="E170" si="23">E67</f>
        <v>243946</v>
      </c>
      <c r="F170" s="514">
        <f t="shared" si="19"/>
        <v>244093</v>
      </c>
      <c r="G170" s="473">
        <f t="shared" si="17"/>
        <v>147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ref="E172" si="25">E69</f>
        <v>79332</v>
      </c>
      <c r="F172" s="514">
        <f t="shared" si="19"/>
        <v>79402</v>
      </c>
      <c r="G172" s="473">
        <f t="shared" si="17"/>
        <v>70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7:C107"/>
    <mergeCell ref="A108:B108"/>
    <mergeCell ref="A109:B109"/>
    <mergeCell ref="A110:B110"/>
    <mergeCell ref="A111:B111"/>
    <mergeCell ref="A95:C95"/>
    <mergeCell ref="A96:C96"/>
    <mergeCell ref="A104:B104"/>
    <mergeCell ref="A105:B105"/>
    <mergeCell ref="A106:B106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0" zoomScale="55" zoomScaleSheetLayoutView="55" workbookViewId="0">
      <selection activeCell="F28" activeCellId="1" sqref="F28 F28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7" s="281" customFormat="1" ht="27">
      <c r="A2" s="575" t="s">
        <v>346</v>
      </c>
      <c r="B2" s="1036">
        <v>44322</v>
      </c>
      <c r="C2" s="1146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6" t="s">
        <v>120</v>
      </c>
      <c r="D3" s="612">
        <v>34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6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5807328</v>
      </c>
      <c r="F7" s="455">
        <v>5822905</v>
      </c>
      <c r="G7" s="692">
        <f>F7-E7</f>
        <v>15577</v>
      </c>
      <c r="H7" s="682">
        <f>G7+'5'!H7</f>
        <v>95472</v>
      </c>
      <c r="I7" s="683">
        <f>'1'!I7</f>
        <v>12000</v>
      </c>
      <c r="J7" s="684">
        <f>H7/DAY(B2)</f>
        <v>15912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5841454</v>
      </c>
      <c r="F8" s="475">
        <v>5857109</v>
      </c>
      <c r="G8" s="692">
        <f t="shared" ref="G8:G12" si="0">F8-E8</f>
        <v>15655</v>
      </c>
      <c r="H8" s="682">
        <f>G8+'5'!H8</f>
        <v>95865</v>
      </c>
      <c r="I8" s="689">
        <v>12000</v>
      </c>
      <c r="J8" s="684">
        <f>H8/DAY(B2)</f>
        <v>15977.5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1068028</v>
      </c>
      <c r="F9" s="478">
        <v>1083115</v>
      </c>
      <c r="G9" s="692">
        <f t="shared" si="0"/>
        <v>15087</v>
      </c>
      <c r="H9" s="682">
        <f>G9+'5'!H9</f>
        <v>92401</v>
      </c>
      <c r="I9" s="693">
        <f>I8-J8</f>
        <v>-3977.5</v>
      </c>
      <c r="J9" s="684">
        <f>H9/DAY(B2)</f>
        <v>15400.166666666666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15087</v>
      </c>
      <c r="H13" s="682">
        <f>G13+'5'!H13</f>
        <v>92401</v>
      </c>
      <c r="I13" s="698">
        <f>G7-G13</f>
        <v>490</v>
      </c>
      <c r="J13" s="684">
        <f>H13/DAY(B2)</f>
        <v>15400.166666666666</v>
      </c>
      <c r="K13" s="428"/>
      <c r="L13" s="377"/>
      <c r="N13" s="382"/>
      <c r="O13" s="440"/>
      <c r="Q13" s="440"/>
    </row>
    <row r="14" spans="1:17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1672745</v>
      </c>
      <c r="F15" s="485">
        <v>1673222</v>
      </c>
      <c r="G15" s="473">
        <f>(F15-E15)</f>
        <v>477</v>
      </c>
      <c r="H15" s="486">
        <f>G15+'5'!H15</f>
        <v>2565</v>
      </c>
      <c r="I15" s="474">
        <v>800</v>
      </c>
      <c r="J15" s="553">
        <f>H15/DAY(B2)</f>
        <v>427.5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372.5</v>
      </c>
      <c r="J16" s="1057"/>
      <c r="K16" s="428"/>
      <c r="L16" s="377"/>
      <c r="N16" s="382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9" t="s">
        <v>144</v>
      </c>
      <c r="E18" s="637">
        <f>'5'!F18</f>
        <v>6</v>
      </c>
      <c r="F18" s="485">
        <v>0</v>
      </c>
      <c r="G18" s="692">
        <f>F18*10</f>
        <v>0</v>
      </c>
      <c r="H18" s="682">
        <f>G18+'5'!H18</f>
        <v>320</v>
      </c>
      <c r="I18" s="683">
        <f>'1'!I18</f>
        <v>65</v>
      </c>
      <c r="J18" s="684">
        <f>H18/DAY(B2)</f>
        <v>53.333333333333336</v>
      </c>
      <c r="K18" s="428"/>
      <c r="L18" s="377"/>
      <c r="N18" s="382"/>
    </row>
    <row r="19" spans="1:14" ht="27.75">
      <c r="A19" s="1565" t="s">
        <v>71</v>
      </c>
      <c r="B19" s="1566"/>
      <c r="C19" s="1567"/>
      <c r="D19" s="638" t="s">
        <v>144</v>
      </c>
      <c r="E19" s="635">
        <f>'5'!F19</f>
        <v>138075</v>
      </c>
      <c r="F19" s="478">
        <v>138131</v>
      </c>
      <c r="G19" s="692">
        <f t="shared" ref="G19" si="1">F19-E19</f>
        <v>56</v>
      </c>
      <c r="H19" s="682">
        <f>G19+'5'!H19</f>
        <v>319</v>
      </c>
      <c r="I19" s="699"/>
      <c r="J19" s="684">
        <f>H19/DAY(B2)</f>
        <v>53.166666666666664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G20+'5'!H20</f>
        <v>639</v>
      </c>
      <c r="I20" s="701">
        <f>I18-J20</f>
        <v>-41.5</v>
      </c>
      <c r="J20" s="684">
        <f>H20/DAY(B2)</f>
        <v>106.5</v>
      </c>
      <c r="K20" s="428"/>
      <c r="L20" s="377"/>
      <c r="N20" s="382"/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15655</v>
      </c>
      <c r="F27" s="501">
        <v>9</v>
      </c>
      <c r="G27" s="502">
        <f>E27*F27</f>
        <v>140895</v>
      </c>
      <c r="H27" s="460">
        <f>G27+'5'!H27</f>
        <v>862785</v>
      </c>
      <c r="I27" s="503"/>
      <c r="J27" s="552">
        <f>H27/DAY(B2)</f>
        <v>143797.5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477</v>
      </c>
      <c r="F28" s="501">
        <v>49</v>
      </c>
      <c r="G28" s="502">
        <f t="shared" ref="G28:G31" si="3">E28*F28</f>
        <v>23373</v>
      </c>
      <c r="H28" s="460">
        <f>G28+'5'!H28</f>
        <v>125685</v>
      </c>
      <c r="I28" s="505"/>
      <c r="J28" s="552">
        <f>H28/DAY(B2)</f>
        <v>20947.5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3"/>
        <v>7504</v>
      </c>
      <c r="H30" s="460">
        <f>G30+'5'!H30</f>
        <v>42746</v>
      </c>
      <c r="I30" s="505"/>
      <c r="J30" s="552">
        <f>H30/DAY(B2)</f>
        <v>7124.333333333333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 t="shared" si="3"/>
        <v>0</v>
      </c>
      <c r="H31" s="460">
        <f>G31+'5'!H31</f>
        <v>25600</v>
      </c>
      <c r="I31" s="505"/>
      <c r="J31" s="552">
        <f>H31/DAY(B2)</f>
        <v>4266.666666666667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171772</v>
      </c>
      <c r="H32" s="460">
        <f>G32+'5'!H32</f>
        <v>1056816</v>
      </c>
      <c r="I32" s="509"/>
      <c r="J32" s="552">
        <f>H32/DAY(B2)</f>
        <v>176136</v>
      </c>
      <c r="K32" s="373"/>
      <c r="L32" s="443"/>
      <c r="N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897088</v>
      </c>
      <c r="F35" s="510">
        <v>899256</v>
      </c>
      <c r="G35" s="473">
        <f t="shared" ref="G35:G46" si="4">F35-E35</f>
        <v>2168</v>
      </c>
      <c r="H35" s="460">
        <f>G35+'5'!H35</f>
        <v>12797</v>
      </c>
      <c r="I35" s="455"/>
      <c r="J35" s="552">
        <f>H35/DAY(B2)</f>
        <v>2132.8333333333335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346435</v>
      </c>
      <c r="F36" s="510">
        <v>346755</v>
      </c>
      <c r="G36" s="473">
        <f t="shared" si="4"/>
        <v>320</v>
      </c>
      <c r="H36" s="460">
        <f>G36+'5'!H36</f>
        <v>2147</v>
      </c>
      <c r="I36" s="455"/>
      <c r="J36" s="552">
        <f>H36/DAY(B2)</f>
        <v>357.83333333333331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101398</v>
      </c>
      <c r="F37" s="510">
        <v>102587</v>
      </c>
      <c r="G37" s="473">
        <f t="shared" si="4"/>
        <v>1189</v>
      </c>
      <c r="H37" s="460">
        <f>G37+'5'!H37</f>
        <v>7362</v>
      </c>
      <c r="I37" s="455"/>
      <c r="J37" s="552">
        <f>H37/DAY(B2)</f>
        <v>1227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126054</v>
      </c>
      <c r="F38" s="469">
        <v>127253</v>
      </c>
      <c r="G38" s="473">
        <f t="shared" si="4"/>
        <v>1199</v>
      </c>
      <c r="H38" s="460">
        <f>G38+'5'!H38</f>
        <v>7657</v>
      </c>
      <c r="I38" s="455"/>
      <c r="J38" s="552">
        <f>H38/DAY(B2)</f>
        <v>1276.1666666666667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255727</v>
      </c>
      <c r="F39" s="510">
        <v>257374</v>
      </c>
      <c r="G39" s="473">
        <f t="shared" si="4"/>
        <v>1647</v>
      </c>
      <c r="H39" s="460">
        <f>G39+'5'!H39</f>
        <v>10721</v>
      </c>
      <c r="I39" s="455"/>
      <c r="J39" s="552">
        <f>H39/DAY(B2)</f>
        <v>1786.8333333333333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-0.23</v>
      </c>
      <c r="I40" s="455"/>
      <c r="J40" s="552">
        <f>H40/DAY(B2)</f>
        <v>-3.8333333333333337E-2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206065</v>
      </c>
      <c r="F41" s="510">
        <v>210906</v>
      </c>
      <c r="G41" s="473">
        <f>F41-E41</f>
        <v>4841</v>
      </c>
      <c r="H41" s="460">
        <f>G41+'5'!H41</f>
        <v>29378</v>
      </c>
      <c r="I41" s="455"/>
      <c r="J41" s="552">
        <f>H41/DAY(B2)</f>
        <v>4896.333333333333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59200</v>
      </c>
      <c r="F42" s="510">
        <v>59200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985171</v>
      </c>
      <c r="F43" s="510">
        <v>987468</v>
      </c>
      <c r="G43" s="473">
        <f t="shared" si="4"/>
        <v>2297</v>
      </c>
      <c r="H43" s="460">
        <f>G43+'5'!H43</f>
        <v>13510</v>
      </c>
      <c r="I43" s="455"/>
      <c r="J43" s="552">
        <f>H43/DAY(B2)</f>
        <v>2251.6666666666665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13661</v>
      </c>
      <c r="H47" s="460">
        <f>G47+'5'!H47</f>
        <v>83571.77</v>
      </c>
      <c r="I47" s="455"/>
      <c r="J47" s="552">
        <f>H47/DAY(B2)</f>
        <v>13928.628333333334</v>
      </c>
      <c r="K47" s="428"/>
      <c r="L47" s="377"/>
      <c r="N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479444</v>
      </c>
      <c r="F50" s="510">
        <v>480292</v>
      </c>
      <c r="G50" s="473">
        <f t="shared" si="5"/>
        <v>848</v>
      </c>
      <c r="H50" s="460">
        <f>G50+'5'!H50</f>
        <v>5756</v>
      </c>
      <c r="I50" s="455"/>
      <c r="J50" s="552">
        <f>H50/DAY(B2)</f>
        <v>959.33333333333337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</v>
      </c>
      <c r="F52" s="510">
        <v>539606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419100</v>
      </c>
      <c r="F53" s="510">
        <v>419613</v>
      </c>
      <c r="G53" s="473">
        <f t="shared" si="5"/>
        <v>513</v>
      </c>
      <c r="H53" s="460">
        <f>G53+'5'!H53</f>
        <v>3302</v>
      </c>
      <c r="I53" s="455"/>
      <c r="J53" s="552">
        <f>H53/DAY(B2)</f>
        <v>550.33333333333337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11743</v>
      </c>
      <c r="F54" s="510">
        <v>11817</v>
      </c>
      <c r="G54" s="473">
        <f t="shared" si="5"/>
        <v>74</v>
      </c>
      <c r="H54" s="460">
        <f>G54+'5'!H54</f>
        <v>439</v>
      </c>
      <c r="I54" s="455"/>
      <c r="J54" s="552">
        <f>H54/DAY(B2)</f>
        <v>73.166666666666671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346926</v>
      </c>
      <c r="F55" s="656">
        <v>346926</v>
      </c>
      <c r="G55" s="655">
        <f t="shared" si="5"/>
        <v>0</v>
      </c>
      <c r="H55" s="708">
        <f>G55+'5'!H55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589345</v>
      </c>
      <c r="F56" s="1060">
        <v>589355</v>
      </c>
      <c r="G56" s="473">
        <f t="shared" si="5"/>
        <v>10</v>
      </c>
      <c r="H56" s="460">
        <f>G56+'5'!H56</f>
        <v>66.53000000002794</v>
      </c>
      <c r="I56" s="455"/>
      <c r="J56" s="552">
        <f>H56/DAY(B2)</f>
        <v>11.088333333337991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47133</v>
      </c>
      <c r="F58" s="656">
        <v>47256</v>
      </c>
      <c r="G58" s="473">
        <f t="shared" si="5"/>
        <v>123</v>
      </c>
      <c r="H58" s="460">
        <f>G58+'5'!H58</f>
        <v>588</v>
      </c>
      <c r="I58" s="455"/>
      <c r="J58" s="552">
        <f>H58/DAY(B2)</f>
        <v>98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1568</v>
      </c>
      <c r="H59" s="460">
        <f>G59+'5'!H59</f>
        <v>10151.400000000023</v>
      </c>
      <c r="I59" s="455">
        <f>G7-G60</f>
        <v>348</v>
      </c>
      <c r="J59" s="552">
        <f>H59/DAY(B2)</f>
        <v>1691.900000000004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15229</v>
      </c>
      <c r="H60" s="460">
        <f>G60+'5'!H60</f>
        <v>93723.170000000027</v>
      </c>
      <c r="I60" s="455">
        <f>G13-G60</f>
        <v>-142</v>
      </c>
      <c r="J60" s="552">
        <f>H60/DAY(B2)</f>
        <v>15620.528333333337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2378</v>
      </c>
      <c r="F63" s="514">
        <v>2382</v>
      </c>
      <c r="G63" s="473">
        <f t="shared" si="6"/>
        <v>4</v>
      </c>
      <c r="H63" s="460">
        <f>G63+'5'!H63</f>
        <v>23</v>
      </c>
      <c r="I63" s="515"/>
      <c r="J63" s="552">
        <f>H63/DAY(B2)</f>
        <v>3.8333333333333335</v>
      </c>
      <c r="K63" s="428"/>
      <c r="L63" s="377"/>
      <c r="N63" s="382"/>
    </row>
    <row r="64" spans="1:14" ht="27.75">
      <c r="A64" s="1504" t="s">
        <v>99</v>
      </c>
      <c r="B64" s="1505"/>
      <c r="C64" s="1506"/>
      <c r="D64" s="523" t="s">
        <v>187</v>
      </c>
      <c r="E64" s="484">
        <f>'5'!F64</f>
        <v>154342</v>
      </c>
      <c r="F64" s="478">
        <v>154546</v>
      </c>
      <c r="G64" s="473">
        <f t="shared" si="6"/>
        <v>204</v>
      </c>
      <c r="H64" s="460">
        <f>G64+'5'!H64</f>
        <v>1247</v>
      </c>
      <c r="I64" s="480"/>
      <c r="J64" s="552">
        <f>H64/DAY(B2)</f>
        <v>207.83333333333334</v>
      </c>
      <c r="K64" s="428"/>
      <c r="L64" s="377"/>
      <c r="N64" s="382"/>
    </row>
    <row r="65" spans="1:14" ht="27.75">
      <c r="A65" s="1504" t="s">
        <v>100</v>
      </c>
      <c r="B65" s="1505"/>
      <c r="C65" s="1506"/>
      <c r="D65" s="523" t="s">
        <v>187</v>
      </c>
      <c r="E65" s="484">
        <f>'5'!F65</f>
        <v>155606</v>
      </c>
      <c r="F65" s="654">
        <v>155781</v>
      </c>
      <c r="G65" s="473">
        <f t="shared" si="6"/>
        <v>175</v>
      </c>
      <c r="H65" s="460">
        <f>G65+'5'!H65</f>
        <v>1182</v>
      </c>
      <c r="I65" s="489"/>
      <c r="J65" s="552">
        <f>H65/DAY(B2)</f>
        <v>197</v>
      </c>
      <c r="K65" s="428"/>
      <c r="L65" s="377"/>
      <c r="N65" s="382"/>
    </row>
    <row r="66" spans="1:14" ht="27.75">
      <c r="A66" s="1504" t="s">
        <v>101</v>
      </c>
      <c r="B66" s="1505"/>
      <c r="C66" s="1506"/>
      <c r="D66" s="523" t="s">
        <v>187</v>
      </c>
      <c r="E66" s="484">
        <f>'5'!F66</f>
        <v>49895</v>
      </c>
      <c r="F66" s="478">
        <v>50147</v>
      </c>
      <c r="G66" s="473">
        <f t="shared" si="6"/>
        <v>252</v>
      </c>
      <c r="H66" s="460">
        <f>G66+'5'!H66</f>
        <v>1576</v>
      </c>
      <c r="I66" s="480"/>
      <c r="J66" s="552">
        <f>H66/DAY(B2)</f>
        <v>262.66666666666669</v>
      </c>
      <c r="K66" s="428"/>
      <c r="L66" s="377"/>
      <c r="N66" s="382"/>
    </row>
    <row r="67" spans="1:14" ht="27.75">
      <c r="A67" s="1504" t="s">
        <v>102</v>
      </c>
      <c r="B67" s="1505"/>
      <c r="C67" s="1506"/>
      <c r="D67" s="523" t="s">
        <v>187</v>
      </c>
      <c r="E67" s="484">
        <f>'5'!F67</f>
        <v>244093</v>
      </c>
      <c r="F67" s="478">
        <v>244238</v>
      </c>
      <c r="G67" s="473">
        <f t="shared" si="6"/>
        <v>145</v>
      </c>
      <c r="H67" s="460">
        <f>G67+'5'!H67</f>
        <v>1064</v>
      </c>
      <c r="I67" s="489"/>
      <c r="J67" s="552">
        <f>H67/DAY(B2)</f>
        <v>177.33333333333334</v>
      </c>
      <c r="K67" s="429"/>
      <c r="L67" s="377"/>
      <c r="N67" s="382"/>
    </row>
    <row r="68" spans="1:14" ht="27.75">
      <c r="A68" s="1504" t="s">
        <v>103</v>
      </c>
      <c r="B68" s="1505"/>
      <c r="C68" s="1506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04" t="s">
        <v>104</v>
      </c>
      <c r="B69" s="1505"/>
      <c r="C69" s="1506"/>
      <c r="D69" s="523" t="s">
        <v>187</v>
      </c>
      <c r="E69" s="484">
        <f>'5'!F69</f>
        <v>79402</v>
      </c>
      <c r="F69" s="478">
        <v>79443</v>
      </c>
      <c r="G69" s="473">
        <f t="shared" si="6"/>
        <v>41</v>
      </c>
      <c r="H69" s="460">
        <f>G69+'5'!H69</f>
        <v>449</v>
      </c>
      <c r="I69" s="516"/>
      <c r="J69" s="552">
        <f>H69/DAY(B2)</f>
        <v>74.833333333333329</v>
      </c>
      <c r="K69" s="431"/>
      <c r="L69" s="377"/>
      <c r="N69" s="382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519">
        <f>'5'!F72</f>
        <v>855540</v>
      </c>
      <c r="F72" s="657">
        <v>855571</v>
      </c>
      <c r="G72" s="473">
        <f t="shared" ref="G72:G84" si="7">F72-E72</f>
        <v>31</v>
      </c>
      <c r="H72" s="460">
        <f>G72+'5'!H72</f>
        <v>110</v>
      </c>
      <c r="I72" s="480"/>
      <c r="J72" s="552">
        <f>H72/DAY(B2)</f>
        <v>18.333333333333332</v>
      </c>
      <c r="K72" s="431"/>
      <c r="L72" s="377"/>
      <c r="N72" s="382"/>
    </row>
    <row r="73" spans="1:14" ht="27.75">
      <c r="A73" s="1504" t="s">
        <v>192</v>
      </c>
      <c r="B73" s="1505"/>
      <c r="C73" s="1506"/>
      <c r="D73" s="523" t="s">
        <v>187</v>
      </c>
      <c r="E73" s="520">
        <f>'5'!F73</f>
        <v>885882</v>
      </c>
      <c r="F73" s="658">
        <v>885883</v>
      </c>
      <c r="G73" s="655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04" t="s">
        <v>193</v>
      </c>
      <c r="B74" s="1505"/>
      <c r="C74" s="1506"/>
      <c r="D74" s="523" t="s">
        <v>187</v>
      </c>
      <c r="E74" s="521">
        <f>'5'!F74</f>
        <v>2373</v>
      </c>
      <c r="F74" s="657">
        <v>2388</v>
      </c>
      <c r="G74" s="473">
        <f t="shared" si="7"/>
        <v>15</v>
      </c>
      <c r="H74" s="460">
        <f>G74+'5'!H74</f>
        <v>109</v>
      </c>
      <c r="I74" s="480"/>
      <c r="J74" s="552">
        <f>H74/DAY(B2)</f>
        <v>18.166666666666668</v>
      </c>
      <c r="K74" s="431"/>
      <c r="L74" s="377"/>
      <c r="N74" s="382"/>
    </row>
    <row r="75" spans="1:14" ht="27.75">
      <c r="A75" s="1501" t="s">
        <v>194</v>
      </c>
      <c r="B75" s="1502"/>
      <c r="C75" s="1503"/>
      <c r="D75" s="523" t="s">
        <v>187</v>
      </c>
      <c r="E75" s="520">
        <f>'5'!F75</f>
        <v>11231</v>
      </c>
      <c r="F75" s="658">
        <v>11285</v>
      </c>
      <c r="G75" s="473">
        <f t="shared" si="7"/>
        <v>54</v>
      </c>
      <c r="H75" s="460">
        <f>G75+'5'!H75</f>
        <v>315</v>
      </c>
      <c r="I75" s="480"/>
      <c r="J75" s="552">
        <f>H75/DAY(B2)</f>
        <v>52.5</v>
      </c>
      <c r="K75" s="430"/>
      <c r="L75" s="377"/>
      <c r="N75" s="382"/>
    </row>
    <row r="76" spans="1:14" ht="27.75">
      <c r="A76" s="1501" t="s">
        <v>195</v>
      </c>
      <c r="B76" s="1502"/>
      <c r="C76" s="1503"/>
      <c r="D76" s="523" t="s">
        <v>187</v>
      </c>
      <c r="E76" s="520">
        <f>'5'!F76</f>
        <v>5979</v>
      </c>
      <c r="F76" s="658">
        <v>6031</v>
      </c>
      <c r="G76" s="473">
        <f t="shared" si="7"/>
        <v>52</v>
      </c>
      <c r="H76" s="460">
        <f>G76+'5'!H76</f>
        <v>322</v>
      </c>
      <c r="I76" s="505"/>
      <c r="J76" s="552">
        <f>H76/DAY(B2)</f>
        <v>53.666666666666664</v>
      </c>
      <c r="K76" s="430"/>
      <c r="L76" s="377"/>
      <c r="N76" s="382"/>
    </row>
    <row r="77" spans="1:14" ht="27.75">
      <c r="A77" s="1504" t="s">
        <v>196</v>
      </c>
      <c r="B77" s="1505"/>
      <c r="C77" s="1506"/>
      <c r="D77" s="523" t="s">
        <v>187</v>
      </c>
      <c r="E77" s="520">
        <f>'5'!F77</f>
        <v>701807</v>
      </c>
      <c r="F77" s="658">
        <v>701857</v>
      </c>
      <c r="G77" s="655">
        <f t="shared" si="7"/>
        <v>50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21">
        <f>'5'!F78</f>
        <v>670446</v>
      </c>
      <c r="F78" s="659">
        <v>670495</v>
      </c>
      <c r="G78" s="473">
        <f t="shared" si="7"/>
        <v>49</v>
      </c>
      <c r="H78" s="460">
        <f>G78+'5'!H78</f>
        <v>470</v>
      </c>
      <c r="I78" s="505"/>
      <c r="J78" s="552">
        <f>H78/DAY(B2)</f>
        <v>78.333333333333329</v>
      </c>
      <c r="K78" s="430"/>
      <c r="L78" s="377"/>
      <c r="N78" s="382"/>
    </row>
    <row r="79" spans="1:14" ht="27.75">
      <c r="A79" s="1501" t="s">
        <v>92</v>
      </c>
      <c r="B79" s="1502"/>
      <c r="C79" s="1503"/>
      <c r="D79" s="524" t="s">
        <v>187</v>
      </c>
      <c r="E79" s="521">
        <f>'5'!F79</f>
        <v>827689</v>
      </c>
      <c r="F79" s="659">
        <v>827846</v>
      </c>
      <c r="G79" s="473">
        <f t="shared" si="7"/>
        <v>157</v>
      </c>
      <c r="H79" s="460">
        <f>G79+'5'!H79</f>
        <v>1062</v>
      </c>
      <c r="I79" s="505"/>
      <c r="J79" s="552">
        <f>H79/DAY(B2)</f>
        <v>177</v>
      </c>
      <c r="K79" s="430"/>
      <c r="L79" s="377"/>
      <c r="N79" s="382"/>
    </row>
    <row r="80" spans="1:14" ht="27.75">
      <c r="A80" s="1501" t="s">
        <v>198</v>
      </c>
      <c r="B80" s="1502"/>
      <c r="C80" s="1503"/>
      <c r="D80" s="524" t="s">
        <v>187</v>
      </c>
      <c r="E80" s="520">
        <f>'5'!F80</f>
        <v>518572</v>
      </c>
      <c r="F80" s="658">
        <v>518923</v>
      </c>
      <c r="G80" s="473">
        <f t="shared" si="7"/>
        <v>351</v>
      </c>
      <c r="H80" s="460">
        <f>G80+'5'!H80</f>
        <v>2185</v>
      </c>
      <c r="I80" s="505"/>
      <c r="J80" s="552">
        <f>H80/DAY(B2)</f>
        <v>364.16666666666669</v>
      </c>
      <c r="K80" s="430"/>
      <c r="L80" s="377"/>
      <c r="N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'5'!F81</f>
        <v>636838</v>
      </c>
      <c r="F81" s="658">
        <v>636961</v>
      </c>
      <c r="G81" s="473">
        <f t="shared" si="7"/>
        <v>123</v>
      </c>
      <c r="H81" s="460">
        <f>G81+'5'!H81</f>
        <v>483</v>
      </c>
      <c r="I81" s="505"/>
      <c r="J81" s="552">
        <f>H81/DAY(B2)</f>
        <v>80.5</v>
      </c>
      <c r="K81" s="430"/>
      <c r="L81" s="377"/>
      <c r="N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'5'!F82</f>
        <v>107685</v>
      </c>
      <c r="F82" s="654">
        <v>107726</v>
      </c>
      <c r="G82" s="473">
        <f t="shared" si="7"/>
        <v>41</v>
      </c>
      <c r="H82" s="460">
        <f>G82+'5'!H82</f>
        <v>114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'5'!F83</f>
        <v>15884</v>
      </c>
      <c r="F83" s="511">
        <v>16098</v>
      </c>
      <c r="G83" s="473">
        <f t="shared" si="7"/>
        <v>214</v>
      </c>
      <c r="H83" s="460">
        <f>G83+'5'!H83</f>
        <v>1327</v>
      </c>
      <c r="I83" s="481"/>
      <c r="J83" s="552">
        <f>H83/DAY(B2)</f>
        <v>221.16666666666666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627">
        <f>'5'!F84</f>
        <v>483976</v>
      </c>
      <c r="F84" s="627">
        <v>484806</v>
      </c>
      <c r="G84" s="473">
        <f t="shared" si="7"/>
        <v>830</v>
      </c>
      <c r="H84" s="460">
        <f>G84+'5'!H84</f>
        <v>4673</v>
      </c>
      <c r="I84" s="481"/>
      <c r="J84" s="552">
        <f>H84/DAY(B2)</f>
        <v>778.83333333333337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1968</v>
      </c>
      <c r="H85" s="460">
        <f>G85+'5'!H85</f>
        <v>11472</v>
      </c>
      <c r="I85" s="481"/>
      <c r="J85" s="552">
        <f>H85/DAY(B2)</f>
        <v>1912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459964</v>
      </c>
      <c r="F86" s="650">
        <v>459993</v>
      </c>
      <c r="G86" s="708">
        <f t="shared" ref="G86:G91" si="8">F86-E86</f>
        <v>29</v>
      </c>
      <c r="H86" s="460">
        <f>G86+'5'!H86</f>
        <v>726</v>
      </c>
      <c r="I86" s="655"/>
      <c r="J86" s="710">
        <f>H86/DAY(B2)</f>
        <v>121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80979</v>
      </c>
      <c r="F87" s="650">
        <v>80997</v>
      </c>
      <c r="G87" s="708">
        <f t="shared" si="8"/>
        <v>18</v>
      </c>
      <c r="H87" s="460">
        <f>G87+'5'!H87</f>
        <v>78</v>
      </c>
      <c r="I87" s="655"/>
      <c r="J87" s="710">
        <f>H87/DAY(B2)</f>
        <v>13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152056</v>
      </c>
      <c r="F88" s="650">
        <v>152079</v>
      </c>
      <c r="G88" s="708">
        <f t="shared" si="8"/>
        <v>23</v>
      </c>
      <c r="H88" s="460">
        <f>G88+'5'!H88</f>
        <v>274</v>
      </c>
      <c r="I88" s="655"/>
      <c r="J88" s="710">
        <f>H88/DAY(B2)</f>
        <v>45.666666666666664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64866</v>
      </c>
      <c r="F89" s="650">
        <v>64872</v>
      </c>
      <c r="G89" s="708">
        <f t="shared" si="8"/>
        <v>6</v>
      </c>
      <c r="H89" s="460">
        <f>G89+'5'!H89</f>
        <v>38</v>
      </c>
      <c r="I89" s="655"/>
      <c r="J89" s="710">
        <f>H89/DAY(B2)</f>
        <v>6.333333333333333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'5'!F91</f>
        <v>27918.61</v>
      </c>
      <c r="F91" s="650">
        <v>27925</v>
      </c>
      <c r="G91" s="708">
        <f t="shared" si="8"/>
        <v>6.3899999999994179</v>
      </c>
      <c r="H91" s="460">
        <f>G91+'5'!H91</f>
        <v>6.3899999999994179</v>
      </c>
      <c r="I91" s="655"/>
      <c r="J91" s="710">
        <f>H91/DAY(B2)</f>
        <v>1.0649999999999029</v>
      </c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'5'!F93</f>
        <v>244729</v>
      </c>
      <c r="F93" s="478">
        <v>244729</v>
      </c>
      <c r="G93" s="473">
        <f t="shared" ref="G93:G94" si="9">F93-E93</f>
        <v>0</v>
      </c>
      <c r="H93" s="460">
        <f>G93+'5'!H93</f>
        <v>205</v>
      </c>
      <c r="I93" s="480"/>
      <c r="J93" s="552">
        <f>H93/DAY(B2)</f>
        <v>34.166666666666664</v>
      </c>
      <c r="K93" s="429"/>
      <c r="L93" s="377"/>
      <c r="N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'5'!F94</f>
        <v>183978</v>
      </c>
      <c r="F94" s="478">
        <v>184078</v>
      </c>
      <c r="G94" s="473">
        <f t="shared" si="9"/>
        <v>100</v>
      </c>
      <c r="H94" s="460">
        <f>G94+'5'!H94</f>
        <v>547</v>
      </c>
      <c r="I94" s="480"/>
      <c r="J94" s="552">
        <f>H94/DAY(B2)</f>
        <v>91.166666666666671</v>
      </c>
      <c r="K94" s="380"/>
      <c r="L94" s="377"/>
      <c r="N94" s="382"/>
    </row>
    <row r="95" spans="1:15">
      <c r="A95" s="1553" t="s">
        <v>208</v>
      </c>
      <c r="B95" s="1554"/>
      <c r="C95" s="1555"/>
      <c r="D95" s="523"/>
      <c r="E95" s="484">
        <f>'5'!F95</f>
        <v>0</v>
      </c>
      <c r="F95" s="478"/>
      <c r="G95" s="473">
        <f>G93+G94</f>
        <v>100</v>
      </c>
      <c r="H95" s="460">
        <f>G95+'5'!H95</f>
        <v>605</v>
      </c>
      <c r="I95" s="480"/>
      <c r="J95" s="552">
        <f>H95/DAY(B2)</f>
        <v>100.83333333333333</v>
      </c>
      <c r="K95" s="380"/>
      <c r="L95" s="377"/>
      <c r="N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'5'!F96</f>
        <v>413154</v>
      </c>
      <c r="F96" s="478">
        <v>413193</v>
      </c>
      <c r="G96" s="473">
        <f t="shared" ref="G96:G101" si="10">F96-E96</f>
        <v>39</v>
      </c>
      <c r="H96" s="460">
        <f>G96+'5'!H96</f>
        <v>307</v>
      </c>
      <c r="I96" s="480"/>
      <c r="J96" s="552">
        <f>H96/DAY(B2)</f>
        <v>51.166666666666664</v>
      </c>
      <c r="K96" s="380"/>
      <c r="L96" s="377"/>
      <c r="N96" s="382"/>
    </row>
    <row r="97" spans="1:14" ht="27.75">
      <c r="A97" s="1144" t="s">
        <v>210</v>
      </c>
      <c r="B97" s="1145"/>
      <c r="C97" s="1145"/>
      <c r="D97" s="523" t="s">
        <v>144</v>
      </c>
      <c r="E97" s="484">
        <f>'5'!F97</f>
        <v>102399</v>
      </c>
      <c r="F97" s="478">
        <v>102408</v>
      </c>
      <c r="G97" s="473">
        <f t="shared" si="10"/>
        <v>9</v>
      </c>
      <c r="H97" s="460">
        <f>G97+'5'!H97</f>
        <v>65</v>
      </c>
      <c r="I97" s="480"/>
      <c r="J97" s="552">
        <f>H97/DAY(B2)</f>
        <v>10.833333333333334</v>
      </c>
      <c r="K97" s="427"/>
      <c r="L97" s="377"/>
      <c r="N97" s="382"/>
    </row>
    <row r="98" spans="1:14" ht="27.75">
      <c r="A98" s="1144" t="s">
        <v>211</v>
      </c>
      <c r="B98" s="1145"/>
      <c r="C98" s="1145"/>
      <c r="D98" s="523" t="s">
        <v>144</v>
      </c>
      <c r="E98" s="1250">
        <v>97506</v>
      </c>
      <c r="F98" s="478">
        <v>97515</v>
      </c>
      <c r="G98" s="473">
        <f t="shared" si="10"/>
        <v>9</v>
      </c>
      <c r="H98" s="460">
        <f>G98+'5'!H98</f>
        <v>88</v>
      </c>
      <c r="I98" s="480"/>
      <c r="J98" s="552">
        <f>H98/DAY(B2)</f>
        <v>14.666666666666666</v>
      </c>
      <c r="K98" s="432"/>
      <c r="L98" s="377"/>
      <c r="N98" s="382"/>
    </row>
    <row r="99" spans="1:14" ht="27.75">
      <c r="A99" s="1144" t="s">
        <v>212</v>
      </c>
      <c r="B99" s="1145"/>
      <c r="C99" s="1145"/>
      <c r="D99" s="523" t="s">
        <v>144</v>
      </c>
      <c r="E99" s="484">
        <f>'5'!F99</f>
        <v>149560</v>
      </c>
      <c r="F99" s="478">
        <v>149568</v>
      </c>
      <c r="G99" s="473">
        <f t="shared" si="10"/>
        <v>8</v>
      </c>
      <c r="H99" s="460">
        <f>G99+'5'!H99</f>
        <v>35</v>
      </c>
      <c r="I99" s="480"/>
      <c r="J99" s="552">
        <f>H99/DAY(B2)</f>
        <v>5.833333333333333</v>
      </c>
      <c r="K99" s="380"/>
      <c r="L99" s="377"/>
      <c r="N99" s="707"/>
    </row>
    <row r="100" spans="1:14" ht="27.75">
      <c r="A100" s="1144" t="s">
        <v>213</v>
      </c>
      <c r="B100" s="1145"/>
      <c r="C100" s="1145"/>
      <c r="D100" s="523" t="s">
        <v>144</v>
      </c>
      <c r="E100" s="484">
        <f>'5'!F100</f>
        <v>7205</v>
      </c>
      <c r="F100" s="478">
        <v>7207</v>
      </c>
      <c r="G100" s="473">
        <f t="shared" si="10"/>
        <v>2</v>
      </c>
      <c r="H100" s="460">
        <f>G100+'5'!H100</f>
        <v>22</v>
      </c>
      <c r="I100" s="480"/>
      <c r="J100" s="552">
        <f>H100/DAY(B2)</f>
        <v>3.6666666666666665</v>
      </c>
      <c r="K100" s="380"/>
      <c r="L100" s="377"/>
      <c r="N100" s="382"/>
    </row>
    <row r="101" spans="1:14" ht="27.75">
      <c r="A101" s="1144" t="s">
        <v>214</v>
      </c>
      <c r="B101" s="1145"/>
      <c r="C101" s="1145"/>
      <c r="D101" s="523" t="s">
        <v>144</v>
      </c>
      <c r="E101" s="484">
        <f>'5'!F101</f>
        <v>5190</v>
      </c>
      <c r="F101" s="478">
        <v>5195</v>
      </c>
      <c r="G101" s="473">
        <f t="shared" si="10"/>
        <v>5</v>
      </c>
      <c r="H101" s="460">
        <f>G101+'5'!H101</f>
        <v>57</v>
      </c>
      <c r="I101" s="480"/>
      <c r="J101" s="552">
        <f>H101/DAY(B2)</f>
        <v>9.5</v>
      </c>
      <c r="K101" s="380"/>
      <c r="L101" s="377"/>
      <c r="N101" s="382"/>
    </row>
    <row r="102" spans="1:14">
      <c r="A102" s="1553" t="s">
        <v>216</v>
      </c>
      <c r="B102" s="1554"/>
      <c r="C102" s="1555"/>
      <c r="D102" s="524"/>
      <c r="E102" s="524"/>
      <c r="F102" s="524" t="s">
        <v>215</v>
      </c>
      <c r="G102" s="525">
        <f>SUM(G96:G101)</f>
        <v>72</v>
      </c>
      <c r="H102" s="460">
        <f>G102+'5'!H102</f>
        <v>574</v>
      </c>
      <c r="I102" s="526"/>
      <c r="J102" s="552">
        <f>H102/DAY(B2)</f>
        <v>95.666666666666671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532">
        <f>'5'!F105</f>
        <v>7435</v>
      </c>
      <c r="F105" s="661">
        <v>7439</v>
      </c>
      <c r="G105" s="532">
        <f>F105-E105</f>
        <v>4</v>
      </c>
      <c r="H105" s="460">
        <f>G105+'5'!H105</f>
        <v>8</v>
      </c>
      <c r="I105" s="532"/>
      <c r="J105" s="558">
        <f>H105/DAY(B2)</f>
        <v>1.3333333333333333</v>
      </c>
      <c r="N105" s="382"/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532">
        <f>'5'!F106</f>
        <v>35847</v>
      </c>
      <c r="F106" s="662">
        <v>35847</v>
      </c>
      <c r="G106" s="532">
        <f t="shared" ref="G106" si="11">F106-E106</f>
        <v>0</v>
      </c>
      <c r="H106" s="460">
        <f>G106+'5'!H106</f>
        <v>19</v>
      </c>
      <c r="I106" s="532"/>
      <c r="J106" s="558">
        <f>H106/DAY(B2)</f>
        <v>3.1666666666666665</v>
      </c>
      <c r="N106" s="382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532">
        <f>'5'!F107</f>
        <v>19635</v>
      </c>
      <c r="F107" s="661">
        <v>19638</v>
      </c>
      <c r="G107" s="532">
        <f>F107-E107</f>
        <v>3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19" t="s">
        <v>202</v>
      </c>
      <c r="B108" s="1520"/>
      <c r="C108" s="1143"/>
      <c r="D108" s="622"/>
      <c r="E108" s="532"/>
      <c r="F108" s="661"/>
      <c r="G108" s="532">
        <f>SUM(G105:G107)</f>
        <v>7</v>
      </c>
      <c r="H108" s="460">
        <f>G108+'5'!H108</f>
        <v>48</v>
      </c>
      <c r="I108" s="532"/>
      <c r="J108" s="558">
        <f>H108/DAY(B2)</f>
        <v>8</v>
      </c>
      <c r="N108" s="382"/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532"/>
      <c r="F109" s="661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532">
        <f>'5'!F110</f>
        <v>61439</v>
      </c>
      <c r="F110" s="661">
        <v>61479</v>
      </c>
      <c r="G110" s="532">
        <f>F110-E110</f>
        <v>40</v>
      </c>
      <c r="H110" s="460">
        <f>G110+'5'!H110</f>
        <v>305</v>
      </c>
      <c r="I110" s="532"/>
      <c r="J110" s="558">
        <f>H110/DAY(B2)</f>
        <v>50.833333333333336</v>
      </c>
      <c r="N110" s="382"/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532">
        <f>'5'!F111</f>
        <v>32267</v>
      </c>
      <c r="F111" s="661">
        <v>32267</v>
      </c>
      <c r="G111" s="532">
        <f>F111-E111</f>
        <v>0</v>
      </c>
      <c r="H111" s="460">
        <f>G111+'5'!H111</f>
        <v>32</v>
      </c>
      <c r="I111" s="532"/>
      <c r="J111" s="558">
        <f>H111/DAY(B2)</f>
        <v>5.333333333333333</v>
      </c>
      <c r="N111" s="382"/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532">
        <f>'5'!F112</f>
        <v>4441</v>
      </c>
      <c r="F112" s="661">
        <v>4441</v>
      </c>
      <c r="G112" s="532">
        <f t="shared" ref="G112" si="12">F112-E112</f>
        <v>0</v>
      </c>
      <c r="H112" s="460">
        <f>G112+'5'!H112</f>
        <v>73</v>
      </c>
      <c r="I112" s="532"/>
      <c r="J112" s="558">
        <f>H112/DAY(B2)</f>
        <v>12.166666666666666</v>
      </c>
      <c r="N112" s="382"/>
    </row>
    <row r="113" spans="1:14" s="442" customFormat="1" ht="27.75">
      <c r="A113" s="1519" t="s">
        <v>110</v>
      </c>
      <c r="B113" s="1520"/>
      <c r="C113" s="1143"/>
      <c r="D113" s="622"/>
      <c r="E113" s="532"/>
      <c r="F113" s="661"/>
      <c r="G113" s="532">
        <f>SUM(G110:G112)</f>
        <v>40</v>
      </c>
      <c r="H113" s="460">
        <f>G113+'5'!H113</f>
        <v>410</v>
      </c>
      <c r="I113" s="532"/>
      <c r="J113" s="558">
        <f>H113/DAY(B2)</f>
        <v>68.333333333333329</v>
      </c>
      <c r="N113" s="382"/>
    </row>
    <row r="114" spans="1:14" s="442" customFormat="1" ht="27.75">
      <c r="A114" s="1523" t="s">
        <v>223</v>
      </c>
      <c r="B114" s="1524"/>
      <c r="C114" s="1143"/>
      <c r="D114" s="622"/>
      <c r="E114" s="532"/>
      <c r="F114" s="661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2">
        <f>'5'!F115</f>
        <v>11286</v>
      </c>
      <c r="F115" s="662">
        <v>11289</v>
      </c>
      <c r="G115" s="534">
        <f>F115-E115</f>
        <v>3</v>
      </c>
      <c r="H115" s="460">
        <f>G115+'5'!H115</f>
        <v>30</v>
      </c>
      <c r="I115" s="532"/>
      <c r="J115" s="558">
        <f>H115/DAY(B2)</f>
        <v>5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2">
        <f>'5'!F116</f>
        <v>8163</v>
      </c>
      <c r="F116" s="662">
        <v>8166</v>
      </c>
      <c r="G116" s="534">
        <f t="shared" ref="G116:G117" si="13">F116-E116</f>
        <v>3</v>
      </c>
      <c r="H116" s="460">
        <f>G116+'5'!H116</f>
        <v>40</v>
      </c>
      <c r="I116" s="532"/>
      <c r="J116" s="558">
        <f>H116/DAY(B2)</f>
        <v>6.666666666666667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6</v>
      </c>
      <c r="H118" s="460">
        <f>G118+'5'!H118</f>
        <v>70</v>
      </c>
      <c r="I118" s="534"/>
      <c r="J118" s="558">
        <f>H118/DAY(B2)</f>
        <v>11.666666666666666</v>
      </c>
      <c r="N118" s="382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G119+'5'!H119</f>
        <v>524</v>
      </c>
      <c r="I119" s="535"/>
      <c r="J119" s="559">
        <f>H119/DAY(B2)</f>
        <v>87.333333333333329</v>
      </c>
      <c r="N119" s="382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64</v>
      </c>
      <c r="G120" s="536">
        <f>SUM(G96,G97,G98,G100,G101)</f>
        <v>64</v>
      </c>
      <c r="H120" s="460">
        <f>G120+'5'!H120</f>
        <v>539</v>
      </c>
      <c r="I120" s="535"/>
      <c r="J120" s="559">
        <f>H120/DAY(B2)</f>
        <v>89.833333333333329</v>
      </c>
      <c r="N120" s="382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G121+'5'!H121</f>
        <v>410</v>
      </c>
      <c r="I121" s="535"/>
      <c r="J121" s="559">
        <f>H121/DAY(B2)</f>
        <v>68.333333333333329</v>
      </c>
      <c r="N121" s="382"/>
    </row>
    <row r="122" spans="1:14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'5'!F124</f>
        <v>827112</v>
      </c>
      <c r="F124" s="478">
        <v>827318</v>
      </c>
      <c r="G124" s="473">
        <f t="shared" ref="G124:G128" si="14">F124-E124</f>
        <v>206</v>
      </c>
      <c r="H124" s="460">
        <f>G124+'5'!H124</f>
        <v>1229.5400000000373</v>
      </c>
      <c r="I124" s="526"/>
      <c r="J124" s="552">
        <f>H124/DAY(B2)</f>
        <v>204.92333333333954</v>
      </c>
      <c r="K124" s="380"/>
      <c r="L124" s="377"/>
      <c r="N124" s="382"/>
    </row>
    <row r="125" spans="1:14" ht="27.75">
      <c r="A125" s="1144" t="s">
        <v>232</v>
      </c>
      <c r="B125" s="1145"/>
      <c r="C125" s="1145"/>
      <c r="D125" s="523" t="s">
        <v>141</v>
      </c>
      <c r="E125" s="626">
        <f>'5'!F125</f>
        <v>73583</v>
      </c>
      <c r="F125" s="626">
        <v>73583</v>
      </c>
      <c r="G125" s="473">
        <f t="shared" si="14"/>
        <v>0</v>
      </c>
      <c r="H125" s="460">
        <f>G125+'5'!H125</f>
        <v>-0.39999999999417923</v>
      </c>
      <c r="I125" s="526"/>
      <c r="J125" s="552">
        <f>H125/DAY(B2)</f>
        <v>-6.6666666665696539E-2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'5'!F126</f>
        <v>144974</v>
      </c>
      <c r="F126" s="478">
        <v>145031</v>
      </c>
      <c r="G126" s="473">
        <f t="shared" si="14"/>
        <v>57</v>
      </c>
      <c r="H126" s="460">
        <f>G126+'5'!H126</f>
        <v>343.55999999999767</v>
      </c>
      <c r="I126" s="526"/>
      <c r="J126" s="552">
        <f>H126/DAY(B2)</f>
        <v>57.259999999999614</v>
      </c>
      <c r="K126" s="380"/>
      <c r="L126" s="377"/>
      <c r="N126" s="382"/>
    </row>
    <row r="127" spans="1:14" ht="27.75">
      <c r="A127" s="609" t="s">
        <v>234</v>
      </c>
      <c r="B127" s="1145"/>
      <c r="C127" s="1145"/>
      <c r="D127" s="523" t="s">
        <v>141</v>
      </c>
      <c r="E127" s="626">
        <f>'5'!F127</f>
        <v>31404</v>
      </c>
      <c r="F127" s="626">
        <v>31404</v>
      </c>
      <c r="G127" s="473">
        <f t="shared" si="14"/>
        <v>0</v>
      </c>
      <c r="H127" s="460">
        <f>G127+'5'!H127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5"/>
      <c r="C128" s="1145"/>
      <c r="D128" s="523" t="s">
        <v>141</v>
      </c>
      <c r="E128" s="626">
        <f>'5'!F128</f>
        <v>8970</v>
      </c>
      <c r="F128" s="626">
        <v>8970</v>
      </c>
      <c r="G128" s="473">
        <f t="shared" si="14"/>
        <v>0</v>
      </c>
      <c r="H128" s="460">
        <f>G128+'5'!H128</f>
        <v>0.2999999999992724</v>
      </c>
      <c r="I128" s="480"/>
      <c r="J128" s="552">
        <f>H128/DAY(B2)</f>
        <v>4.9999999999878732E-2</v>
      </c>
      <c r="K128" s="380"/>
      <c r="L128" s="377"/>
      <c r="N128" s="382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214</v>
      </c>
      <c r="H129" s="460">
        <f>G129+'5'!H129</f>
        <v>991.99999999995998</v>
      </c>
      <c r="I129" s="480"/>
      <c r="J129" s="552">
        <f>H129/DAY(B2)</f>
        <v>165.33333333332666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4" t="s">
        <v>241</v>
      </c>
      <c r="B133" s="1145"/>
      <c r="C133" s="1145"/>
      <c r="D133" s="523" t="s">
        <v>239</v>
      </c>
      <c r="E133" s="484">
        <f>'5'!F133</f>
        <v>39866</v>
      </c>
      <c r="F133" s="626">
        <f>39866+24</f>
        <v>39890</v>
      </c>
      <c r="G133" s="473">
        <f t="shared" si="15"/>
        <v>24</v>
      </c>
      <c r="H133" s="460">
        <f>G133+'5'!H133</f>
        <v>143.5199999999968</v>
      </c>
      <c r="I133" s="480"/>
      <c r="J133" s="552">
        <f>H133/DAY(B2)</f>
        <v>23.919999999999465</v>
      </c>
      <c r="N133" s="382"/>
    </row>
    <row r="134" spans="1:14" ht="27.75">
      <c r="A134" s="1144" t="s">
        <v>242</v>
      </c>
      <c r="B134" s="1145"/>
      <c r="C134" s="1145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23.56000000000131</v>
      </c>
      <c r="J134" s="552">
        <f>H134/DAY(B2)</f>
        <v>0</v>
      </c>
      <c r="N134" s="382"/>
    </row>
    <row r="135" spans="1:14" ht="27.75">
      <c r="A135" s="1144" t="s">
        <v>243</v>
      </c>
      <c r="B135" s="1145"/>
      <c r="C135" s="1145"/>
      <c r="D135" s="523" t="s">
        <v>239</v>
      </c>
      <c r="E135" s="704">
        <f>'5'!F135</f>
        <v>41385</v>
      </c>
      <c r="F135" s="626">
        <v>41385</v>
      </c>
      <c r="G135" s="473">
        <f t="shared" si="15"/>
        <v>0</v>
      </c>
      <c r="H135" s="460">
        <f>G135+'5'!H135</f>
        <v>0</v>
      </c>
      <c r="I135" s="480"/>
      <c r="J135" s="552">
        <f>H135/DAY(B2)</f>
        <v>0</v>
      </c>
      <c r="N135" s="382"/>
    </row>
    <row r="136" spans="1:14" ht="27.75">
      <c r="A136" s="1144" t="s">
        <v>244</v>
      </c>
      <c r="B136" s="1145"/>
      <c r="C136" s="1145"/>
      <c r="D136" s="523" t="s">
        <v>239</v>
      </c>
      <c r="E136" s="522">
        <f>'5'!F136</f>
        <v>32583</v>
      </c>
      <c r="F136" s="485">
        <v>32582.560000000001</v>
      </c>
      <c r="G136" s="473">
        <f t="shared" si="15"/>
        <v>-0.43999999999869033</v>
      </c>
      <c r="H136" s="460">
        <f>G136+'5'!H136</f>
        <v>-0.43999999999869033</v>
      </c>
      <c r="I136" s="480"/>
      <c r="J136" s="552">
        <f>H136/DAY(B2)</f>
        <v>-7.333333333311505E-2</v>
      </c>
      <c r="N136" s="382"/>
    </row>
    <row r="137" spans="1:14" ht="27.75">
      <c r="A137" s="1144" t="s">
        <v>245</v>
      </c>
      <c r="B137" s="1145"/>
      <c r="C137" s="1145"/>
      <c r="D137" s="523" t="s">
        <v>239</v>
      </c>
      <c r="E137" s="541">
        <f>'5'!F137</f>
        <v>22749.51</v>
      </c>
      <c r="F137" s="654">
        <v>22749.51</v>
      </c>
      <c r="G137" s="473">
        <f t="shared" si="15"/>
        <v>0</v>
      </c>
      <c r="H137" s="460">
        <f>G137+'5'!H137</f>
        <v>9.9199999999982538</v>
      </c>
      <c r="I137" s="480">
        <f>G137+G138+G139</f>
        <v>11.379999999990105</v>
      </c>
      <c r="J137" s="552">
        <f>H137/DAY(B2)</f>
        <v>1.6533333333330422</v>
      </c>
      <c r="N137" s="382"/>
    </row>
    <row r="138" spans="1:14" ht="27.75">
      <c r="A138" s="1144" t="s">
        <v>246</v>
      </c>
      <c r="B138" s="1145"/>
      <c r="C138" s="1145"/>
      <c r="D138" s="523" t="s">
        <v>239</v>
      </c>
      <c r="E138" s="541">
        <f>'5'!F138</f>
        <v>25051.59</v>
      </c>
      <c r="F138" s="654">
        <v>25051.59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4" t="s">
        <v>247</v>
      </c>
      <c r="B139" s="1145"/>
      <c r="C139" s="1145"/>
      <c r="D139" s="523" t="s">
        <v>239</v>
      </c>
      <c r="E139" s="541">
        <f>'5'!F139</f>
        <v>70324.820000000007</v>
      </c>
      <c r="F139" s="654">
        <v>70336.2</v>
      </c>
      <c r="G139" s="473">
        <f t="shared" si="15"/>
        <v>11.379999999990105</v>
      </c>
      <c r="H139" s="460">
        <f>G139+'5'!H139</f>
        <v>20.389999999999418</v>
      </c>
      <c r="I139" s="480"/>
      <c r="J139" s="552">
        <f>H139/DAY(B2)</f>
        <v>3.3983333333332362</v>
      </c>
      <c r="N139" s="382"/>
    </row>
    <row r="140" spans="1:14" ht="27.75">
      <c r="A140" s="1144" t="s">
        <v>248</v>
      </c>
      <c r="B140" s="1145"/>
      <c r="C140" s="1145"/>
      <c r="D140" s="523" t="s">
        <v>239</v>
      </c>
      <c r="E140" s="704">
        <f>'5'!F140</f>
        <v>1655.82</v>
      </c>
      <c r="F140" s="626">
        <v>1663.48</v>
      </c>
      <c r="G140" s="473">
        <f t="shared" si="15"/>
        <v>7.6600000000000819</v>
      </c>
      <c r="H140" s="460">
        <f>G140+'5'!H140</f>
        <v>46.620000000000118</v>
      </c>
      <c r="I140" s="542">
        <f>G141+G1278</f>
        <v>0</v>
      </c>
      <c r="J140" s="552">
        <f>H140/DAY(B2)</f>
        <v>7.77000000000002</v>
      </c>
      <c r="N140" s="382"/>
    </row>
    <row r="141" spans="1:14" ht="27.75">
      <c r="A141" s="1144" t="s">
        <v>249</v>
      </c>
      <c r="B141" s="1145"/>
      <c r="C141" s="1145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4465</v>
      </c>
      <c r="H143" s="460">
        <f>G143+'5'!H143</f>
        <v>26306.869999999995</v>
      </c>
      <c r="I143" s="480"/>
      <c r="J143" s="552">
        <f>H143/DAY(B2)</f>
        <v>4384.4783333333326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0.28664055979970471</v>
      </c>
      <c r="H144" s="460">
        <f>G144+'5'!H144</f>
        <v>1.6536274192809333</v>
      </c>
      <c r="I144" s="544"/>
      <c r="J144" s="552">
        <f>H144/DAY(B2)</f>
        <v>0.27560456988015553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4851</v>
      </c>
      <c r="H145" s="460">
        <f>G145+'5'!H145</f>
        <v>29444.530000000028</v>
      </c>
      <c r="I145" s="480"/>
      <c r="J145" s="552">
        <f>H145/DAY(B2)</f>
        <v>4907.4216666666716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0.31142068434229953</v>
      </c>
      <c r="H146" s="460">
        <f>G146+'5'!H146</f>
        <v>1.850559539146051</v>
      </c>
      <c r="I146" s="544"/>
      <c r="J146" s="552">
        <f>H146/DAY(B2)</f>
        <v>0.30842658985767518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2160</v>
      </c>
      <c r="H147" s="460">
        <f>G147+'5'!H147</f>
        <v>14023</v>
      </c>
      <c r="I147" s="545"/>
      <c r="J147" s="552">
        <f>H147/DAY(B2)</f>
        <v>2337.1666666666665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0.13866598189638571</v>
      </c>
      <c r="H148" s="460">
        <f>G148+'5'!H148</f>
        <v>0.88110006989214718</v>
      </c>
      <c r="I148" s="545"/>
      <c r="J148" s="552">
        <f>H148/DAY(B2)</f>
        <v>0.14685001164869119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1199</v>
      </c>
      <c r="H149" s="460">
        <f>G149+'5'!H149</f>
        <v>7657</v>
      </c>
      <c r="I149" s="480"/>
      <c r="J149" s="552">
        <f>H149/DAY(B2)</f>
        <v>1276.1666666666667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7.6972459395262247E-2</v>
      </c>
      <c r="H150" s="460">
        <f>G150+'5'!H150</f>
        <v>0.48109573228114327</v>
      </c>
      <c r="I150" s="545"/>
      <c r="J150" s="552">
        <f>H150/DAY(B2)</f>
        <v>8.0182622046857208E-2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1168</v>
      </c>
      <c r="H151" s="460">
        <f>G151+'5'!H151</f>
        <v>7903</v>
      </c>
      <c r="I151" s="545"/>
      <c r="J151" s="552">
        <f>H151/DAY(B2)</f>
        <v>1317.1666666666667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7.4982345766193753E-2</v>
      </c>
      <c r="H152" s="460">
        <f>G152+'5'!H152</f>
        <v>0.49644768229986513</v>
      </c>
      <c r="I152" s="480"/>
      <c r="J152" s="552">
        <f>H152/DAY(B2)</f>
        <v>8.2741280383310856E-2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1189</v>
      </c>
      <c r="H153" s="460">
        <f>G153+'5'!H153</f>
        <v>7362</v>
      </c>
      <c r="I153" s="480"/>
      <c r="J153" s="552">
        <f>H153/DAY(B2)</f>
        <v>1227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7.6330487256853055E-2</v>
      </c>
      <c r="H154" s="460">
        <f>G154+'5'!H154</f>
        <v>0.46265457447322994</v>
      </c>
      <c r="I154" s="568"/>
      <c r="J154" s="569">
        <f>H154/DAY(B2)</f>
        <v>7.7109095745538328E-2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661">
        <v>36338</v>
      </c>
      <c r="F161" s="661">
        <v>36420</v>
      </c>
      <c r="G161" s="473">
        <f t="shared" ref="G161:G172" si="16">F161-E161</f>
        <v>82</v>
      </c>
    </row>
    <row r="162" spans="1:7">
      <c r="A162" s="788" t="s">
        <v>264</v>
      </c>
      <c r="B162" s="789"/>
      <c r="C162" s="789"/>
      <c r="D162" s="511" t="s">
        <v>187</v>
      </c>
      <c r="E162" s="661">
        <v>84490</v>
      </c>
      <c r="F162" s="661">
        <v>84915</v>
      </c>
      <c r="G162" s="473">
        <f t="shared" si="16"/>
        <v>425</v>
      </c>
    </row>
    <row r="163" spans="1:7">
      <c r="A163" s="788" t="s">
        <v>265</v>
      </c>
      <c r="B163" s="789"/>
      <c r="C163" s="789"/>
      <c r="D163" s="511" t="s">
        <v>187</v>
      </c>
      <c r="E163" s="661">
        <v>39414</v>
      </c>
      <c r="F163" s="661">
        <v>39622</v>
      </c>
      <c r="G163" s="473">
        <f t="shared" si="16"/>
        <v>208</v>
      </c>
    </row>
    <row r="164" spans="1:7">
      <c r="A164" s="788" t="s">
        <v>266</v>
      </c>
      <c r="B164" s="789"/>
      <c r="C164" s="789"/>
      <c r="D164" s="511" t="s">
        <v>187</v>
      </c>
      <c r="E164" s="661">
        <v>6267</v>
      </c>
      <c r="F164" s="661">
        <v>6274</v>
      </c>
      <c r="G164" s="473">
        <f t="shared" si="16"/>
        <v>7</v>
      </c>
    </row>
    <row r="165" spans="1:7">
      <c r="A165" s="790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90" t="s">
        <v>188</v>
      </c>
      <c r="B166" s="604"/>
      <c r="C166" s="604"/>
      <c r="D166" s="511" t="s">
        <v>187</v>
      </c>
      <c r="E166" s="514">
        <f t="shared" ref="E166:E172" si="17">E63</f>
        <v>2378</v>
      </c>
      <c r="F166" s="514">
        <f t="shared" ref="F166:F172" si="18">F63</f>
        <v>2382</v>
      </c>
      <c r="G166" s="473">
        <f t="shared" si="16"/>
        <v>4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si="17"/>
        <v>154342</v>
      </c>
      <c r="F167" s="514">
        <f t="shared" si="18"/>
        <v>154546</v>
      </c>
      <c r="G167" s="473">
        <f t="shared" si="16"/>
        <v>204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si="17"/>
        <v>155606</v>
      </c>
      <c r="F168" s="514">
        <f t="shared" si="18"/>
        <v>155781</v>
      </c>
      <c r="G168" s="473">
        <f t="shared" si="16"/>
        <v>175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si="17"/>
        <v>49895</v>
      </c>
      <c r="F169" s="514">
        <f t="shared" si="18"/>
        <v>50147</v>
      </c>
      <c r="G169" s="473">
        <f t="shared" si="16"/>
        <v>252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si="17"/>
        <v>244093</v>
      </c>
      <c r="F170" s="514">
        <f t="shared" si="18"/>
        <v>244238</v>
      </c>
      <c r="G170" s="473">
        <f t="shared" si="16"/>
        <v>145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si="17"/>
        <v>79402</v>
      </c>
      <c r="F172" s="514">
        <f t="shared" si="18"/>
        <v>79443</v>
      </c>
      <c r="G172" s="473">
        <f t="shared" si="16"/>
        <v>41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6:C126"/>
    <mergeCell ref="A102:C102"/>
    <mergeCell ref="A123:C123"/>
    <mergeCell ref="A142:B142"/>
    <mergeCell ref="A69:C69"/>
    <mergeCell ref="A70:C70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2"/>
  <sheetViews>
    <sheetView view="pageBreakPreview" topLeftCell="A112" zoomScale="55" zoomScaleNormal="77" zoomScaleSheetLayoutView="55" workbookViewId="0">
      <selection activeCell="F28" activeCellId="1" sqref="F28 F2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343</v>
      </c>
      <c r="B2" s="1036">
        <v>44323</v>
      </c>
      <c r="C2" s="1146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6" t="s">
        <v>120</v>
      </c>
      <c r="D3" s="612">
        <v>33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5822905</v>
      </c>
      <c r="F7" s="455">
        <v>5837836</v>
      </c>
      <c r="G7" s="692">
        <f t="shared" ref="G7:G12" si="0">F7-E7</f>
        <v>14931</v>
      </c>
      <c r="H7" s="682">
        <f>G7+'6'!H7</f>
        <v>110403</v>
      </c>
      <c r="I7" s="683">
        <f>'1'!I7</f>
        <v>12000</v>
      </c>
      <c r="J7" s="684">
        <f>H7/DAY(B2)</f>
        <v>15771.857142857143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5857109</v>
      </c>
      <c r="F8" s="475">
        <v>5872131</v>
      </c>
      <c r="G8" s="692">
        <f t="shared" si="0"/>
        <v>15022</v>
      </c>
      <c r="H8" s="682">
        <f>G8+'6'!H8</f>
        <v>110887</v>
      </c>
      <c r="I8" s="689">
        <v>12000</v>
      </c>
      <c r="J8" s="684">
        <f>H8/DAY(B2)</f>
        <v>15841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1083115</v>
      </c>
      <c r="F9" s="478">
        <v>1097539</v>
      </c>
      <c r="G9" s="692">
        <f t="shared" si="0"/>
        <v>14424</v>
      </c>
      <c r="H9" s="682">
        <f>G9+'6'!H9</f>
        <v>106825</v>
      </c>
      <c r="I9" s="693">
        <f>I8-J8</f>
        <v>-3841</v>
      </c>
      <c r="J9" s="684">
        <f>H9/DAY(B2)</f>
        <v>15260.714285714286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8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14424</v>
      </c>
      <c r="H13" s="682">
        <f>G13+'6'!H13</f>
        <v>106825</v>
      </c>
      <c r="I13" s="698">
        <f>G7-G13</f>
        <v>507</v>
      </c>
      <c r="J13" s="684">
        <f>H13/DAY(B2)</f>
        <v>15260.714285714286</v>
      </c>
      <c r="K13" s="428"/>
      <c r="L13" s="377"/>
      <c r="N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1673222</v>
      </c>
      <c r="F15" s="485">
        <v>1673570</v>
      </c>
      <c r="G15" s="667">
        <f>(F15-E15)</f>
        <v>348</v>
      </c>
      <c r="H15" s="486">
        <f>G15+'6'!H15</f>
        <v>2913</v>
      </c>
      <c r="I15" s="1069">
        <v>800</v>
      </c>
      <c r="J15" s="553">
        <f>H15/DAY(B2)</f>
        <v>416.14285714285717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383.85714285714283</v>
      </c>
      <c r="J16" s="553"/>
      <c r="K16" s="428"/>
      <c r="L16" s="377"/>
      <c r="N16" s="382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8" t="s">
        <v>144</v>
      </c>
      <c r="E18" s="635">
        <f>'6'!F18</f>
        <v>0</v>
      </c>
      <c r="F18" s="478">
        <v>0</v>
      </c>
      <c r="G18" s="697">
        <f>F18*10</f>
        <v>0</v>
      </c>
      <c r="H18" s="682">
        <f>G18+'6'!H18</f>
        <v>320</v>
      </c>
      <c r="I18" s="683">
        <f>'1'!I18</f>
        <v>65</v>
      </c>
      <c r="J18" s="684">
        <f>H18/DAY(B2)</f>
        <v>45.714285714285715</v>
      </c>
      <c r="K18" s="428"/>
      <c r="L18" s="377"/>
      <c r="N18" s="382"/>
    </row>
    <row r="19" spans="1:14" ht="27.75">
      <c r="A19" s="1565" t="s">
        <v>71</v>
      </c>
      <c r="B19" s="1566"/>
      <c r="C19" s="1567"/>
      <c r="D19" s="638" t="s">
        <v>144</v>
      </c>
      <c r="E19" s="635">
        <f>'6'!F19</f>
        <v>138131</v>
      </c>
      <c r="F19" s="478">
        <v>138187</v>
      </c>
      <c r="G19" s="692">
        <f t="shared" ref="G19" si="1">F19-E19</f>
        <v>56</v>
      </c>
      <c r="H19" s="682">
        <f>G19+'6'!H19</f>
        <v>375</v>
      </c>
      <c r="I19" s="699"/>
      <c r="J19" s="684">
        <f>H19/DAY(B2)</f>
        <v>53.571428571428569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G20+'6'!H20</f>
        <v>695</v>
      </c>
      <c r="I20" s="701">
        <f>I18-J20</f>
        <v>-34.285714285714292</v>
      </c>
      <c r="J20" s="684">
        <f>H20/DAY(B2)</f>
        <v>99.285714285714292</v>
      </c>
      <c r="K20" s="428"/>
      <c r="L20" s="377"/>
      <c r="N20" s="382"/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15022</v>
      </c>
      <c r="F27" s="501">
        <v>9</v>
      </c>
      <c r="G27" s="502">
        <f>E27*F27</f>
        <v>135198</v>
      </c>
      <c r="H27" s="460">
        <f>G27+'6'!H27</f>
        <v>997983</v>
      </c>
      <c r="I27" s="503"/>
      <c r="J27" s="552">
        <f>H27/DAY(B2)</f>
        <v>142569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348</v>
      </c>
      <c r="F28" s="501">
        <v>49</v>
      </c>
      <c r="G28" s="502">
        <f>E28*F28</f>
        <v>17052</v>
      </c>
      <c r="H28" s="460">
        <f>G28+'6'!H28</f>
        <v>142737</v>
      </c>
      <c r="I28" s="505"/>
      <c r="J28" s="552">
        <f>H28/DAY(B2)</f>
        <v>20391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G30+'6'!H30</f>
        <v>50250</v>
      </c>
      <c r="I30" s="505"/>
      <c r="J30" s="552">
        <f>H30/DAY(B2)</f>
        <v>7178.5714285714284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G31+'6'!H31</f>
        <v>25600</v>
      </c>
      <c r="I31" s="505"/>
      <c r="J31" s="552">
        <f>H31/DAY(B2)</f>
        <v>3657.1428571428573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159754</v>
      </c>
      <c r="H32" s="460">
        <f>G32+'6'!H32</f>
        <v>1216570</v>
      </c>
      <c r="I32" s="509"/>
      <c r="J32" s="552">
        <f>H32/DAY(B2)</f>
        <v>173795.71428571429</v>
      </c>
      <c r="K32" s="373"/>
      <c r="L32" s="443"/>
      <c r="N32" s="382"/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899256</v>
      </c>
      <c r="F35" s="510">
        <v>901319</v>
      </c>
      <c r="G35" s="473">
        <f t="shared" ref="G35:G46" si="3">F35-E35</f>
        <v>2063</v>
      </c>
      <c r="H35" s="460">
        <f>G35+'6'!H35</f>
        <v>14860</v>
      </c>
      <c r="I35" s="455"/>
      <c r="J35" s="552">
        <f>H35/DAY(B2)</f>
        <v>2122.8571428571427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346755</v>
      </c>
      <c r="F36" s="510">
        <v>347065</v>
      </c>
      <c r="G36" s="473">
        <f t="shared" si="3"/>
        <v>310</v>
      </c>
      <c r="H36" s="460">
        <f>G36+'6'!H36</f>
        <v>2457</v>
      </c>
      <c r="I36" s="455"/>
      <c r="J36" s="552">
        <f>H36/DAY(B2)</f>
        <v>351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102587</v>
      </c>
      <c r="F37" s="510">
        <v>103812</v>
      </c>
      <c r="G37" s="473">
        <f t="shared" si="3"/>
        <v>1225</v>
      </c>
      <c r="H37" s="460">
        <f>G37+'6'!H37</f>
        <v>8587</v>
      </c>
      <c r="I37" s="455"/>
      <c r="J37" s="552">
        <f>H37/DAY(B2)</f>
        <v>1226.7142857142858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127253</v>
      </c>
      <c r="F38" s="469">
        <v>128365</v>
      </c>
      <c r="G38" s="473">
        <f t="shared" si="3"/>
        <v>1112</v>
      </c>
      <c r="H38" s="460">
        <f>G38+'6'!H38</f>
        <v>8769</v>
      </c>
      <c r="I38" s="455"/>
      <c r="J38" s="552">
        <f>H38/DAY(B2)</f>
        <v>1252.7142857142858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257374</v>
      </c>
      <c r="F39" s="510">
        <v>258976</v>
      </c>
      <c r="G39" s="473">
        <f t="shared" si="3"/>
        <v>1602</v>
      </c>
      <c r="H39" s="460">
        <f>G39+'6'!H39</f>
        <v>12323</v>
      </c>
      <c r="I39" s="455"/>
      <c r="J39" s="552">
        <f>H39/DAY(B2)</f>
        <v>1760.4285714285713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-0.23</v>
      </c>
      <c r="I40" s="455"/>
      <c r="J40" s="552">
        <f>H40/DAY(B2)</f>
        <v>-3.2857142857142856E-2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210906</v>
      </c>
      <c r="F41" s="510">
        <v>215512</v>
      </c>
      <c r="G41" s="473">
        <f t="shared" si="3"/>
        <v>4606</v>
      </c>
      <c r="H41" s="460">
        <f>G41+'6'!H41</f>
        <v>33984</v>
      </c>
      <c r="I41" s="455"/>
      <c r="J41" s="552">
        <f>H41/DAY(B2)</f>
        <v>4854.8571428571431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59200</v>
      </c>
      <c r="F42" s="1037">
        <v>59200</v>
      </c>
      <c r="G42" s="777">
        <f t="shared" si="3"/>
        <v>0</v>
      </c>
      <c r="H42" s="460">
        <f>G42+'6'!H42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987468</v>
      </c>
      <c r="F43" s="510">
        <v>989658</v>
      </c>
      <c r="G43" s="473">
        <f t="shared" si="3"/>
        <v>2190</v>
      </c>
      <c r="H43" s="460">
        <f>G43+'6'!H43</f>
        <v>15700</v>
      </c>
      <c r="I43" s="455"/>
      <c r="J43" s="552">
        <f>H43/DAY(B2)</f>
        <v>2242.8571428571427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13108</v>
      </c>
      <c r="H47" s="460">
        <f>G47+'6'!H47</f>
        <v>96679.77</v>
      </c>
      <c r="I47" s="455"/>
      <c r="J47" s="552">
        <f>H47/DAY(B2)</f>
        <v>13811.395714285714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480292</v>
      </c>
      <c r="F50" s="510">
        <v>481149</v>
      </c>
      <c r="G50" s="473">
        <f t="shared" si="4"/>
        <v>857</v>
      </c>
      <c r="H50" s="460">
        <f>G50+'6'!H50</f>
        <v>6613</v>
      </c>
      <c r="I50" s="455"/>
      <c r="J50" s="552">
        <f>H50/DAY(B2)</f>
        <v>944.71428571428567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</v>
      </c>
      <c r="F52" s="510">
        <v>539606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419613</v>
      </c>
      <c r="F53" s="510">
        <v>420133</v>
      </c>
      <c r="G53" s="473">
        <f t="shared" si="4"/>
        <v>520</v>
      </c>
      <c r="H53" s="460">
        <f>G53+'6'!H53</f>
        <v>3822</v>
      </c>
      <c r="I53" s="455"/>
      <c r="J53" s="552">
        <f>H53/DAY(B2)</f>
        <v>546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11817</v>
      </c>
      <c r="F54" s="510">
        <v>11889</v>
      </c>
      <c r="G54" s="473">
        <f t="shared" si="4"/>
        <v>72</v>
      </c>
      <c r="H54" s="460">
        <f>G54+'6'!H54</f>
        <v>511</v>
      </c>
      <c r="I54" s="455"/>
      <c r="J54" s="552">
        <f>H54/DAY(B2)</f>
        <v>73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346926</v>
      </c>
      <c r="F55" s="656">
        <v>346926</v>
      </c>
      <c r="G55" s="655">
        <f t="shared" si="4"/>
        <v>0</v>
      </c>
      <c r="H55" s="708">
        <f>G55+'6'!H55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589355</v>
      </c>
      <c r="F56" s="1037">
        <v>589365</v>
      </c>
      <c r="G56" s="777">
        <f t="shared" si="4"/>
        <v>10</v>
      </c>
      <c r="H56" s="460">
        <f>G56+'6'!H56</f>
        <v>76.53000000002794</v>
      </c>
      <c r="I56" s="455"/>
      <c r="J56" s="552">
        <f>H56/DAY(B2)</f>
        <v>10.932857142861135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47256</v>
      </c>
      <c r="F58" s="656">
        <v>47256</v>
      </c>
      <c r="G58" s="473">
        <f t="shared" si="4"/>
        <v>0</v>
      </c>
      <c r="H58" s="460">
        <f>G58+'6'!H58</f>
        <v>588</v>
      </c>
      <c r="I58" s="455"/>
      <c r="J58" s="552">
        <f>H58/DAY(B2)</f>
        <v>84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1459</v>
      </c>
      <c r="H59" s="460">
        <f>G59+'6'!H59</f>
        <v>11610.400000000023</v>
      </c>
      <c r="I59" s="455">
        <f>G7-G60</f>
        <v>364</v>
      </c>
      <c r="J59" s="552">
        <f>H59/DAY(B2)</f>
        <v>1658.6285714285748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14567</v>
      </c>
      <c r="H60" s="460">
        <f>G60+'6'!H60</f>
        <v>108290.17000000003</v>
      </c>
      <c r="I60" s="455">
        <f>G13-G60</f>
        <v>-143</v>
      </c>
      <c r="J60" s="552">
        <f>H60/DAY(B2)</f>
        <v>15470.024285714289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2382</v>
      </c>
      <c r="F63" s="514">
        <v>2386</v>
      </c>
      <c r="G63" s="473">
        <f t="shared" si="5"/>
        <v>4</v>
      </c>
      <c r="H63" s="460">
        <f>G63+'6'!H63</f>
        <v>27</v>
      </c>
      <c r="I63" s="515"/>
      <c r="J63" s="552">
        <f>H63/DAY(B2)</f>
        <v>3.8571428571428572</v>
      </c>
      <c r="K63" s="428"/>
      <c r="L63" s="377"/>
      <c r="N63" s="382"/>
    </row>
    <row r="64" spans="1:14" ht="27.75">
      <c r="A64" s="1504" t="s">
        <v>99</v>
      </c>
      <c r="B64" s="1505"/>
      <c r="C64" s="1506"/>
      <c r="D64" s="523" t="s">
        <v>187</v>
      </c>
      <c r="E64" s="484">
        <f>'6'!F64</f>
        <v>154546</v>
      </c>
      <c r="F64" s="478">
        <v>154753</v>
      </c>
      <c r="G64" s="473">
        <f t="shared" si="5"/>
        <v>207</v>
      </c>
      <c r="H64" s="460">
        <f>G64+'6'!H64</f>
        <v>1454</v>
      </c>
      <c r="I64" s="480"/>
      <c r="J64" s="552">
        <f>H64/DAY(B2)</f>
        <v>207.71428571428572</v>
      </c>
      <c r="K64" s="428"/>
      <c r="L64" s="377"/>
      <c r="N64" s="382"/>
    </row>
    <row r="65" spans="1:14" ht="27.75">
      <c r="A65" s="1504" t="s">
        <v>100</v>
      </c>
      <c r="B65" s="1505"/>
      <c r="C65" s="1506"/>
      <c r="D65" s="523" t="s">
        <v>187</v>
      </c>
      <c r="E65" s="484">
        <f>'6'!F65</f>
        <v>155781</v>
      </c>
      <c r="F65" s="654">
        <v>155951</v>
      </c>
      <c r="G65" s="473">
        <f t="shared" si="5"/>
        <v>170</v>
      </c>
      <c r="H65" s="460">
        <f>G65+'6'!H65</f>
        <v>1352</v>
      </c>
      <c r="I65" s="489"/>
      <c r="J65" s="552">
        <f>H65/DAY(B2)</f>
        <v>193.14285714285714</v>
      </c>
      <c r="K65" s="428"/>
      <c r="L65" s="377"/>
      <c r="N65" s="382"/>
    </row>
    <row r="66" spans="1:14" ht="27.75">
      <c r="A66" s="1504" t="s">
        <v>101</v>
      </c>
      <c r="B66" s="1505"/>
      <c r="C66" s="1506"/>
      <c r="D66" s="523" t="s">
        <v>187</v>
      </c>
      <c r="E66" s="484">
        <f>'6'!F66</f>
        <v>50147</v>
      </c>
      <c r="F66" s="478">
        <v>50396</v>
      </c>
      <c r="G66" s="473">
        <f t="shared" si="5"/>
        <v>249</v>
      </c>
      <c r="H66" s="460">
        <f>G66+'6'!H66</f>
        <v>1825</v>
      </c>
      <c r="I66" s="480"/>
      <c r="J66" s="552">
        <f>H66/DAY(B2)</f>
        <v>260.71428571428572</v>
      </c>
      <c r="K66" s="428"/>
      <c r="L66" s="377"/>
      <c r="N66" s="382"/>
    </row>
    <row r="67" spans="1:14" ht="27.75">
      <c r="A67" s="1504" t="s">
        <v>102</v>
      </c>
      <c r="B67" s="1505"/>
      <c r="C67" s="1506"/>
      <c r="D67" s="523" t="s">
        <v>187</v>
      </c>
      <c r="E67" s="484">
        <f>'6'!F67</f>
        <v>244238</v>
      </c>
      <c r="F67" s="478">
        <v>244363</v>
      </c>
      <c r="G67" s="473">
        <f t="shared" si="5"/>
        <v>125</v>
      </c>
      <c r="H67" s="460">
        <f>G67+'6'!H67</f>
        <v>1189</v>
      </c>
      <c r="I67" s="489"/>
      <c r="J67" s="552">
        <f>H67/DAY(B2)</f>
        <v>169.85714285714286</v>
      </c>
      <c r="K67" s="429"/>
      <c r="L67" s="377"/>
      <c r="N67" s="382"/>
    </row>
    <row r="68" spans="1:14" ht="27.75">
      <c r="A68" s="1504" t="s">
        <v>103</v>
      </c>
      <c r="B68" s="1505"/>
      <c r="C68" s="1506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04" t="s">
        <v>104</v>
      </c>
      <c r="B69" s="1505"/>
      <c r="C69" s="1506"/>
      <c r="D69" s="523" t="s">
        <v>187</v>
      </c>
      <c r="E69" s="484">
        <f>'6'!F69</f>
        <v>79443</v>
      </c>
      <c r="F69" s="478">
        <v>79477</v>
      </c>
      <c r="G69" s="473">
        <f t="shared" si="5"/>
        <v>34</v>
      </c>
      <c r="H69" s="460">
        <f>G69+'6'!H69</f>
        <v>483</v>
      </c>
      <c r="I69" s="516"/>
      <c r="J69" s="552">
        <f>H69/DAY(B2)</f>
        <v>69</v>
      </c>
      <c r="K69" s="431"/>
      <c r="L69" s="377"/>
      <c r="N69" s="382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519">
        <f>'6'!F72</f>
        <v>855571</v>
      </c>
      <c r="F72" s="657">
        <v>855573</v>
      </c>
      <c r="G72" s="473">
        <f t="shared" ref="G72:G84" si="6">F72-E72</f>
        <v>2</v>
      </c>
      <c r="H72" s="460">
        <f>G72+'6'!H72</f>
        <v>112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04" t="s">
        <v>192</v>
      </c>
      <c r="B73" s="1505"/>
      <c r="C73" s="1506"/>
      <c r="D73" s="523" t="s">
        <v>187</v>
      </c>
      <c r="E73" s="519">
        <f>'6'!F73</f>
        <v>885883</v>
      </c>
      <c r="F73" s="658">
        <v>885884</v>
      </c>
      <c r="G73" s="655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04" t="s">
        <v>193</v>
      </c>
      <c r="B74" s="1505"/>
      <c r="C74" s="1506"/>
      <c r="D74" s="523" t="s">
        <v>187</v>
      </c>
      <c r="E74" s="519">
        <f>'6'!F74</f>
        <v>2388</v>
      </c>
      <c r="F74" s="657">
        <v>2400</v>
      </c>
      <c r="G74" s="473">
        <f t="shared" si="6"/>
        <v>12</v>
      </c>
      <c r="H74" s="460">
        <f>G74+'6'!H74</f>
        <v>121</v>
      </c>
      <c r="I74" s="480"/>
      <c r="J74" s="552">
        <f>H74/DAY(B2)</f>
        <v>17.285714285714285</v>
      </c>
      <c r="K74" s="431"/>
      <c r="L74" s="377"/>
      <c r="N74" s="382"/>
    </row>
    <row r="75" spans="1:14" ht="27.75">
      <c r="A75" s="1501" t="s">
        <v>194</v>
      </c>
      <c r="B75" s="1502"/>
      <c r="C75" s="1503"/>
      <c r="D75" s="523" t="s">
        <v>187</v>
      </c>
      <c r="E75" s="519">
        <f>'6'!F75</f>
        <v>11285</v>
      </c>
      <c r="F75" s="658">
        <v>11340</v>
      </c>
      <c r="G75" s="473">
        <f t="shared" si="6"/>
        <v>55</v>
      </c>
      <c r="H75" s="460">
        <f>G75+'6'!H75</f>
        <v>370</v>
      </c>
      <c r="I75" s="480"/>
      <c r="J75" s="552">
        <f>H75/DAY(B2)</f>
        <v>52.857142857142854</v>
      </c>
      <c r="K75" s="430"/>
      <c r="L75" s="377"/>
      <c r="N75" s="382"/>
    </row>
    <row r="76" spans="1:14" ht="27.75">
      <c r="A76" s="1501" t="s">
        <v>195</v>
      </c>
      <c r="B76" s="1502"/>
      <c r="C76" s="1503"/>
      <c r="D76" s="523" t="s">
        <v>187</v>
      </c>
      <c r="E76" s="519">
        <f>'6'!F76</f>
        <v>6031</v>
      </c>
      <c r="F76" s="658">
        <v>6086</v>
      </c>
      <c r="G76" s="473">
        <f t="shared" si="6"/>
        <v>55</v>
      </c>
      <c r="H76" s="460">
        <f>G76+'6'!H76</f>
        <v>377</v>
      </c>
      <c r="I76" s="505"/>
      <c r="J76" s="552">
        <f>H76/DAY(B2)</f>
        <v>53.857142857142854</v>
      </c>
      <c r="K76" s="430"/>
      <c r="L76" s="377"/>
      <c r="N76" s="382"/>
    </row>
    <row r="77" spans="1:14" ht="27.75">
      <c r="A77" s="1504" t="s">
        <v>196</v>
      </c>
      <c r="B77" s="1505"/>
      <c r="C77" s="1506"/>
      <c r="D77" s="523" t="s">
        <v>187</v>
      </c>
      <c r="E77" s="519">
        <f>'6'!F77</f>
        <v>701857</v>
      </c>
      <c r="F77" s="658">
        <v>701907</v>
      </c>
      <c r="G77" s="655">
        <f t="shared" si="6"/>
        <v>50</v>
      </c>
      <c r="H77" s="460">
        <f>G77+'6'!H77</f>
        <v>345</v>
      </c>
      <c r="I77" s="505"/>
      <c r="J77" s="552">
        <f>H77/DAY(B2)</f>
        <v>49.285714285714285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'6'!F78</f>
        <v>670495</v>
      </c>
      <c r="F78" s="659">
        <v>670567</v>
      </c>
      <c r="G78" s="473">
        <f t="shared" si="6"/>
        <v>72</v>
      </c>
      <c r="H78" s="460">
        <f>G78+'6'!H78</f>
        <v>542</v>
      </c>
      <c r="I78" s="505"/>
      <c r="J78" s="552">
        <f>H78/DAY(B2)</f>
        <v>77.428571428571431</v>
      </c>
      <c r="K78" s="430"/>
      <c r="L78" s="377"/>
      <c r="N78" s="382"/>
    </row>
    <row r="79" spans="1:14" ht="27.75">
      <c r="A79" s="1501" t="s">
        <v>92</v>
      </c>
      <c r="B79" s="1502"/>
      <c r="C79" s="1503"/>
      <c r="D79" s="524" t="s">
        <v>187</v>
      </c>
      <c r="E79" s="519">
        <f>'6'!F79</f>
        <v>827846</v>
      </c>
      <c r="F79" s="657">
        <v>827990</v>
      </c>
      <c r="G79" s="473">
        <f t="shared" si="6"/>
        <v>144</v>
      </c>
      <c r="H79" s="460">
        <f>G79+'6'!H79</f>
        <v>1206</v>
      </c>
      <c r="I79" s="505"/>
      <c r="J79" s="552">
        <f>H79/DAY(B2)</f>
        <v>172.28571428571428</v>
      </c>
      <c r="K79" s="430"/>
      <c r="L79" s="377"/>
      <c r="N79" s="382"/>
    </row>
    <row r="80" spans="1:14" ht="27.75">
      <c r="A80" s="1501" t="s">
        <v>198</v>
      </c>
      <c r="B80" s="1502"/>
      <c r="C80" s="1503"/>
      <c r="D80" s="524" t="s">
        <v>187</v>
      </c>
      <c r="E80" s="519">
        <f>'6'!F80</f>
        <v>518923</v>
      </c>
      <c r="F80" s="658">
        <v>519290</v>
      </c>
      <c r="G80" s="473">
        <f t="shared" si="6"/>
        <v>367</v>
      </c>
      <c r="H80" s="460">
        <f>G80+'6'!H80</f>
        <v>2552</v>
      </c>
      <c r="I80" s="505"/>
      <c r="J80" s="552">
        <f>H80/DAY(B2)</f>
        <v>364.57142857142856</v>
      </c>
      <c r="K80" s="430"/>
      <c r="L80" s="377"/>
      <c r="N80" s="382"/>
    </row>
    <row r="81" spans="1:15" ht="27.75">
      <c r="A81" s="1501" t="s">
        <v>199</v>
      </c>
      <c r="B81" s="1502"/>
      <c r="C81" s="1503"/>
      <c r="D81" s="524" t="s">
        <v>187</v>
      </c>
      <c r="E81" s="519">
        <f>'6'!F81</f>
        <v>636961</v>
      </c>
      <c r="F81" s="658">
        <v>636992</v>
      </c>
      <c r="G81" s="473">
        <f t="shared" si="6"/>
        <v>31</v>
      </c>
      <c r="H81" s="460">
        <f>G81+'6'!H81</f>
        <v>514</v>
      </c>
      <c r="I81" s="505"/>
      <c r="J81" s="552">
        <f>H81/DAY(B2)</f>
        <v>73.428571428571431</v>
      </c>
      <c r="K81" s="430"/>
      <c r="L81" s="377"/>
      <c r="N81" s="382"/>
    </row>
    <row r="82" spans="1:15" ht="27.75">
      <c r="A82" s="1501" t="s">
        <v>93</v>
      </c>
      <c r="B82" s="1502"/>
      <c r="C82" s="1503"/>
      <c r="D82" s="485" t="s">
        <v>132</v>
      </c>
      <c r="E82" s="519">
        <f>'6'!F82</f>
        <v>107726</v>
      </c>
      <c r="F82" s="654">
        <v>107745</v>
      </c>
      <c r="G82" s="473">
        <f t="shared" si="6"/>
        <v>19</v>
      </c>
      <c r="H82" s="460">
        <f>G82+'6'!H82</f>
        <v>133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01" t="s">
        <v>200</v>
      </c>
      <c r="B83" s="1502"/>
      <c r="C83" s="1503"/>
      <c r="D83" s="620" t="s">
        <v>132</v>
      </c>
      <c r="E83" s="519">
        <f>'6'!F83</f>
        <v>16098</v>
      </c>
      <c r="F83" s="620">
        <v>16295</v>
      </c>
      <c r="G83" s="473">
        <f t="shared" si="6"/>
        <v>197</v>
      </c>
      <c r="H83" s="460">
        <f>G83+'6'!H83</f>
        <v>1524</v>
      </c>
      <c r="I83" s="481"/>
      <c r="J83" s="552">
        <f>H83/DAY(B2)</f>
        <v>217.71428571428572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'6'!F84</f>
        <v>484806</v>
      </c>
      <c r="F84" s="627">
        <v>485652</v>
      </c>
      <c r="G84" s="473">
        <f t="shared" si="6"/>
        <v>846</v>
      </c>
      <c r="H84" s="460">
        <f>G84+'6'!H84</f>
        <v>5519</v>
      </c>
      <c r="I84" s="481"/>
      <c r="J84" s="552">
        <f>H84/DAY(B2)</f>
        <v>788.42857142857144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1851</v>
      </c>
      <c r="H85" s="460">
        <f>G85+'6'!H85</f>
        <v>13323</v>
      </c>
      <c r="I85" s="481"/>
      <c r="J85" s="552">
        <f>H85/DAY(B2)</f>
        <v>1903.2857142857142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459993</v>
      </c>
      <c r="F86" s="650">
        <v>460025</v>
      </c>
      <c r="G86" s="708">
        <f t="shared" ref="G86:G91" si="7">F86-E86</f>
        <v>32</v>
      </c>
      <c r="H86" s="460">
        <f>G86+'6'!H86</f>
        <v>758</v>
      </c>
      <c r="I86" s="655"/>
      <c r="J86" s="710">
        <f>H86/DAY(B2)</f>
        <v>108.28571428571429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80997</v>
      </c>
      <c r="F87" s="650">
        <v>81025</v>
      </c>
      <c r="G87" s="708">
        <f t="shared" si="7"/>
        <v>28</v>
      </c>
      <c r="H87" s="460">
        <f>G87+'6'!H87</f>
        <v>106</v>
      </c>
      <c r="I87" s="655"/>
      <c r="J87" s="710">
        <f>H87/DAY(B2)</f>
        <v>15.142857142857142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152079</v>
      </c>
      <c r="F88" s="650">
        <v>152103</v>
      </c>
      <c r="G88" s="708">
        <f t="shared" si="7"/>
        <v>24</v>
      </c>
      <c r="H88" s="460">
        <f>G88+'6'!H88</f>
        <v>298</v>
      </c>
      <c r="I88" s="655"/>
      <c r="J88" s="710">
        <f>H88/DAY(B2)</f>
        <v>42.571428571428569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64872</v>
      </c>
      <c r="F89" s="650">
        <v>64879</v>
      </c>
      <c r="G89" s="708">
        <f t="shared" si="7"/>
        <v>7</v>
      </c>
      <c r="H89" s="460">
        <f>G89+'6'!H89</f>
        <v>45</v>
      </c>
      <c r="I89" s="655"/>
      <c r="J89" s="710">
        <f>H89/DAY(B2)</f>
        <v>6.4285714285714288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460">
        <f>G90+'6'!H90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'6'!F91</f>
        <v>27925</v>
      </c>
      <c r="F91" s="650">
        <v>27927</v>
      </c>
      <c r="G91" s="708">
        <f t="shared" si="7"/>
        <v>2</v>
      </c>
      <c r="H91" s="460">
        <f>G91+'6'!H91</f>
        <v>8.3899999999994179</v>
      </c>
      <c r="I91" s="655"/>
      <c r="J91" s="710">
        <f>H91/DAY(B2)</f>
        <v>1.1985714285713454</v>
      </c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'6'!F93</f>
        <v>244729</v>
      </c>
      <c r="F93" s="485">
        <v>244729</v>
      </c>
      <c r="G93" s="473">
        <f t="shared" ref="G93:G94" si="8">F93-E93</f>
        <v>0</v>
      </c>
      <c r="H93" s="460">
        <f>G93+'6'!H93</f>
        <v>205</v>
      </c>
      <c r="I93" s="480"/>
      <c r="J93" s="552">
        <f>H93/DAY(B2)</f>
        <v>29.285714285714285</v>
      </c>
      <c r="K93" s="429"/>
      <c r="L93" s="377"/>
      <c r="N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'6'!F94</f>
        <v>184078</v>
      </c>
      <c r="F94" s="485">
        <v>184149</v>
      </c>
      <c r="G94" s="473">
        <f t="shared" si="8"/>
        <v>71</v>
      </c>
      <c r="H94" s="460">
        <f>G94+'6'!H94</f>
        <v>618</v>
      </c>
      <c r="I94" s="480"/>
      <c r="J94" s="552">
        <f>H94/DAY(B2)</f>
        <v>88.285714285714292</v>
      </c>
      <c r="K94" s="380"/>
      <c r="L94" s="377"/>
      <c r="N94" s="382"/>
    </row>
    <row r="95" spans="1:15">
      <c r="A95" s="1553" t="s">
        <v>208</v>
      </c>
      <c r="B95" s="1554"/>
      <c r="C95" s="1555"/>
      <c r="D95" s="523"/>
      <c r="E95" s="484">
        <f>'6'!F95</f>
        <v>0</v>
      </c>
      <c r="F95" s="478"/>
      <c r="G95" s="473">
        <f>G93+G94</f>
        <v>71</v>
      </c>
      <c r="H95" s="460">
        <f>G95+'6'!H95</f>
        <v>676</v>
      </c>
      <c r="I95" s="480"/>
      <c r="J95" s="552">
        <f>H95/DAY(B2)</f>
        <v>96.571428571428569</v>
      </c>
      <c r="K95" s="380"/>
      <c r="L95" s="377"/>
      <c r="N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'6'!F96</f>
        <v>413193</v>
      </c>
      <c r="F96" s="478">
        <v>413224</v>
      </c>
      <c r="G96" s="473">
        <f t="shared" ref="G96:G101" si="9">F96-E96</f>
        <v>31</v>
      </c>
      <c r="H96" s="460">
        <f>G96+'6'!H96</f>
        <v>338</v>
      </c>
      <c r="I96" s="480"/>
      <c r="J96" s="552">
        <f>H96/DAY(B2)</f>
        <v>48.285714285714285</v>
      </c>
      <c r="K96" s="380"/>
      <c r="L96" s="377"/>
      <c r="N96" s="382"/>
    </row>
    <row r="97" spans="1:14" ht="27.75">
      <c r="A97" s="1144" t="s">
        <v>210</v>
      </c>
      <c r="B97" s="1145"/>
      <c r="C97" s="1145"/>
      <c r="D97" s="523" t="s">
        <v>144</v>
      </c>
      <c r="E97" s="484">
        <f>'6'!F97</f>
        <v>102408</v>
      </c>
      <c r="F97" s="478">
        <v>102416</v>
      </c>
      <c r="G97" s="473">
        <f t="shared" si="9"/>
        <v>8</v>
      </c>
      <c r="H97" s="460">
        <f>G97+'6'!H97</f>
        <v>73</v>
      </c>
      <c r="I97" s="480"/>
      <c r="J97" s="552">
        <f>H97/DAY(B2)</f>
        <v>10.428571428571429</v>
      </c>
      <c r="K97" s="427"/>
      <c r="L97" s="377"/>
      <c r="N97" s="382"/>
    </row>
    <row r="98" spans="1:14" ht="27.75">
      <c r="A98" s="1144" t="s">
        <v>211</v>
      </c>
      <c r="B98" s="1145"/>
      <c r="C98" s="1145"/>
      <c r="D98" s="523" t="s">
        <v>144</v>
      </c>
      <c r="E98" s="484">
        <f>'6'!F98</f>
        <v>97515</v>
      </c>
      <c r="F98" s="478">
        <v>97525</v>
      </c>
      <c r="G98" s="473">
        <f t="shared" si="9"/>
        <v>10</v>
      </c>
      <c r="H98" s="460">
        <f>G98+'6'!H98</f>
        <v>98</v>
      </c>
      <c r="I98" s="480"/>
      <c r="J98" s="552">
        <f>H98/DAY(B2)</f>
        <v>14</v>
      </c>
      <c r="K98" s="432"/>
      <c r="L98" s="377"/>
      <c r="N98" s="382"/>
    </row>
    <row r="99" spans="1:14" ht="27.75">
      <c r="A99" s="1144" t="s">
        <v>212</v>
      </c>
      <c r="B99" s="1145"/>
      <c r="C99" s="1145"/>
      <c r="D99" s="523" t="s">
        <v>144</v>
      </c>
      <c r="E99" s="484">
        <f>'6'!F99</f>
        <v>149568</v>
      </c>
      <c r="F99" s="478">
        <v>149573</v>
      </c>
      <c r="G99" s="473">
        <f t="shared" si="9"/>
        <v>5</v>
      </c>
      <c r="H99" s="460">
        <f>G99+'6'!H99</f>
        <v>40</v>
      </c>
      <c r="I99" s="480"/>
      <c r="J99" s="552">
        <f>H99/DAY(B2)</f>
        <v>5.7142857142857144</v>
      </c>
      <c r="K99" s="380"/>
      <c r="L99" s="377"/>
      <c r="N99" s="707"/>
    </row>
    <row r="100" spans="1:14" ht="27.75">
      <c r="A100" s="1144" t="s">
        <v>213</v>
      </c>
      <c r="B100" s="1145"/>
      <c r="C100" s="1145"/>
      <c r="D100" s="523" t="s">
        <v>144</v>
      </c>
      <c r="E100" s="484">
        <f>'6'!F100</f>
        <v>7207</v>
      </c>
      <c r="F100" s="478">
        <v>7214</v>
      </c>
      <c r="G100" s="473">
        <f t="shared" si="9"/>
        <v>7</v>
      </c>
      <c r="H100" s="460">
        <f>G100+'6'!H100</f>
        <v>29</v>
      </c>
      <c r="I100" s="480"/>
      <c r="J100" s="552">
        <f>H100/DAY(B2)</f>
        <v>4.1428571428571432</v>
      </c>
      <c r="K100" s="380"/>
      <c r="L100" s="377"/>
      <c r="N100" s="382"/>
    </row>
    <row r="101" spans="1:14" ht="27.75">
      <c r="A101" s="1144" t="s">
        <v>214</v>
      </c>
      <c r="B101" s="1145"/>
      <c r="C101" s="1145"/>
      <c r="D101" s="523" t="s">
        <v>144</v>
      </c>
      <c r="E101" s="484">
        <f>'6'!F101</f>
        <v>5195</v>
      </c>
      <c r="F101" s="478">
        <v>5205</v>
      </c>
      <c r="G101" s="473">
        <f t="shared" si="9"/>
        <v>10</v>
      </c>
      <c r="H101" s="460">
        <f>G101+'6'!H101</f>
        <v>67</v>
      </c>
      <c r="I101" s="480"/>
      <c r="J101" s="552">
        <f>H101/DAY(B2)</f>
        <v>9.5714285714285712</v>
      </c>
      <c r="K101" s="380"/>
      <c r="L101" s="377"/>
      <c r="N101" s="382"/>
    </row>
    <row r="102" spans="1:14">
      <c r="A102" s="1553" t="s">
        <v>216</v>
      </c>
      <c r="B102" s="1554"/>
      <c r="C102" s="1555"/>
      <c r="D102" s="524"/>
      <c r="E102" s="524"/>
      <c r="F102" s="524"/>
      <c r="G102" s="525">
        <f>SUM(G96:G101)</f>
        <v>71</v>
      </c>
      <c r="H102" s="460">
        <f>G102+'6'!H102</f>
        <v>645</v>
      </c>
      <c r="I102" s="526"/>
      <c r="J102" s="552">
        <f>H102/DAY(B2)</f>
        <v>92.142857142857139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661">
        <v>7344</v>
      </c>
      <c r="F105" s="661">
        <v>7349</v>
      </c>
      <c r="G105" s="532">
        <f>F105-E105</f>
        <v>5</v>
      </c>
      <c r="H105" s="460">
        <f>G105+'6'!H105</f>
        <v>13</v>
      </c>
      <c r="I105" s="532"/>
      <c r="J105" s="558">
        <f>H105/DAY(B2)</f>
        <v>1.8571428571428572</v>
      </c>
      <c r="N105" s="382"/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662">
        <v>35691</v>
      </c>
      <c r="F106" s="662">
        <v>35697</v>
      </c>
      <c r="G106" s="532">
        <f t="shared" ref="G106:G107" si="10">F106-E106</f>
        <v>6</v>
      </c>
      <c r="H106" s="460">
        <f>G106+'6'!H106</f>
        <v>25</v>
      </c>
      <c r="I106" s="532"/>
      <c r="J106" s="558">
        <f>H106/DAY(B2)</f>
        <v>3.5714285714285716</v>
      </c>
      <c r="N106" s="382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661">
        <v>19456</v>
      </c>
      <c r="F107" s="662">
        <v>19457</v>
      </c>
      <c r="G107" s="532">
        <f t="shared" si="10"/>
        <v>1</v>
      </c>
      <c r="H107" s="460">
        <f>G107+'6'!H107</f>
        <v>22</v>
      </c>
      <c r="I107" s="532"/>
      <c r="J107" s="558">
        <f>H107/DAY(B2)</f>
        <v>3.1428571428571428</v>
      </c>
      <c r="N107" s="382"/>
    </row>
    <row r="108" spans="1:14" s="442" customFormat="1" ht="27.75">
      <c r="A108" s="1519" t="s">
        <v>202</v>
      </c>
      <c r="B108" s="1520"/>
      <c r="C108" s="1143"/>
      <c r="D108" s="622"/>
      <c r="E108" s="532"/>
      <c r="F108" s="662"/>
      <c r="G108" s="532">
        <f>SUM(G105:G107)</f>
        <v>12</v>
      </c>
      <c r="H108" s="460">
        <f>G108+'6'!H108</f>
        <v>60</v>
      </c>
      <c r="I108" s="532"/>
      <c r="J108" s="558">
        <f>H108/DAY(B2)</f>
        <v>8.5714285714285712</v>
      </c>
      <c r="N108" s="382"/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532"/>
      <c r="F109" s="662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532">
        <f>'6'!F110</f>
        <v>61479</v>
      </c>
      <c r="F110" s="662">
        <v>61538</v>
      </c>
      <c r="G110" s="532">
        <f>F110-E110</f>
        <v>59</v>
      </c>
      <c r="H110" s="460">
        <f>G110+'6'!H110</f>
        <v>364</v>
      </c>
      <c r="I110" s="532"/>
      <c r="J110" s="558">
        <f>H110/DAY(B2)</f>
        <v>52</v>
      </c>
      <c r="N110" s="382"/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532">
        <f>'6'!F111</f>
        <v>32267</v>
      </c>
      <c r="F111" s="662">
        <v>32267</v>
      </c>
      <c r="G111" s="532">
        <f t="shared" ref="G111:G112" si="11">F111-E111</f>
        <v>0</v>
      </c>
      <c r="H111" s="460">
        <f>G111+'6'!H111</f>
        <v>32</v>
      </c>
      <c r="I111" s="532"/>
      <c r="J111" s="558">
        <f>H111/DAY(B2)</f>
        <v>4.5714285714285712</v>
      </c>
      <c r="N111" s="382"/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532">
        <f>'6'!F112</f>
        <v>4441</v>
      </c>
      <c r="F112" s="662">
        <v>4460</v>
      </c>
      <c r="G112" s="532">
        <f t="shared" si="11"/>
        <v>19</v>
      </c>
      <c r="H112" s="460">
        <f>G112+'6'!H112</f>
        <v>92</v>
      </c>
      <c r="I112" s="532"/>
      <c r="J112" s="558">
        <f>H112/DAY(B2)</f>
        <v>13.142857142857142</v>
      </c>
      <c r="N112" s="382"/>
    </row>
    <row r="113" spans="1:14" s="442" customFormat="1" ht="27.75">
      <c r="A113" s="1519" t="s">
        <v>110</v>
      </c>
      <c r="B113" s="1520"/>
      <c r="C113" s="1143"/>
      <c r="D113" s="622"/>
      <c r="E113" s="532"/>
      <c r="F113" s="662"/>
      <c r="G113" s="532">
        <f>SUM(G110:G112)</f>
        <v>78</v>
      </c>
      <c r="H113" s="460">
        <f>G113+'6'!H113</f>
        <v>488</v>
      </c>
      <c r="I113" s="532"/>
      <c r="J113" s="558">
        <f>H113/DAY(B2)</f>
        <v>69.714285714285708</v>
      </c>
      <c r="N113" s="382"/>
    </row>
    <row r="114" spans="1:14" s="442" customFormat="1" ht="27.75">
      <c r="A114" s="1523" t="s">
        <v>223</v>
      </c>
      <c r="B114" s="1524"/>
      <c r="C114" s="1143"/>
      <c r="D114" s="622"/>
      <c r="E114" s="532"/>
      <c r="F114" s="662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2">
        <f>'6'!F115</f>
        <v>11289</v>
      </c>
      <c r="F115" s="662">
        <v>11294</v>
      </c>
      <c r="G115" s="534">
        <f>F115-E115</f>
        <v>5</v>
      </c>
      <c r="H115" s="460">
        <f>G115+'6'!H115</f>
        <v>35</v>
      </c>
      <c r="I115" s="532"/>
      <c r="J115" s="558">
        <f>H115/DAY(B2)</f>
        <v>5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2">
        <f>'6'!F116</f>
        <v>8166</v>
      </c>
      <c r="F116" s="662">
        <v>8175</v>
      </c>
      <c r="G116" s="534">
        <f t="shared" ref="G116:G117" si="12">F116-E116</f>
        <v>9</v>
      </c>
      <c r="H116" s="460">
        <f>G116+'6'!H116</f>
        <v>49</v>
      </c>
      <c r="I116" s="532"/>
      <c r="J116" s="558">
        <f>H116/DAY(B2)</f>
        <v>7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14</v>
      </c>
      <c r="H118" s="460">
        <f>G118+'6'!H118</f>
        <v>84</v>
      </c>
      <c r="I118" s="534"/>
      <c r="J118" s="558">
        <f>H118/DAY(B2)</f>
        <v>12</v>
      </c>
      <c r="N118" s="382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G119+'6'!H119</f>
        <v>580</v>
      </c>
      <c r="I119" s="535"/>
      <c r="J119" s="559">
        <f>H119/DAY(B2)</f>
        <v>82.857142857142861</v>
      </c>
      <c r="N119" s="382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66</v>
      </c>
      <c r="G120" s="536">
        <f>SUM(G96,G97,G98,G100,G101)</f>
        <v>66</v>
      </c>
      <c r="H120" s="460">
        <f>G120+'6'!H120</f>
        <v>605</v>
      </c>
      <c r="I120" s="535"/>
      <c r="J120" s="559">
        <f>H120/DAY(B2)</f>
        <v>86.428571428571431</v>
      </c>
      <c r="N120" s="382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78</v>
      </c>
      <c r="G121" s="534">
        <f>SUM(G113)</f>
        <v>78</v>
      </c>
      <c r="H121" s="460">
        <f>G121+'6'!H121</f>
        <v>488</v>
      </c>
      <c r="I121" s="535"/>
      <c r="J121" s="559">
        <f>H121/DAY(B2)</f>
        <v>69.714285714285708</v>
      </c>
      <c r="N121" s="382"/>
    </row>
    <row r="122" spans="1:14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1061">
        <f>'6'!F124</f>
        <v>827318</v>
      </c>
      <c r="F124" s="1061">
        <v>827522</v>
      </c>
      <c r="G124" s="1062">
        <f t="shared" ref="G124:G128" si="13">F124-E124</f>
        <v>204</v>
      </c>
      <c r="H124" s="460">
        <f>G124+'6'!H124</f>
        <v>1433.5400000000373</v>
      </c>
      <c r="I124" s="526"/>
      <c r="J124" s="552">
        <f>H124/DAY(B2)</f>
        <v>204.7914285714339</v>
      </c>
      <c r="K124" s="380"/>
      <c r="L124" s="377"/>
      <c r="N124" s="382"/>
    </row>
    <row r="125" spans="1:14" ht="27.75">
      <c r="A125" s="1144" t="s">
        <v>232</v>
      </c>
      <c r="B125" s="1145"/>
      <c r="C125" s="1145"/>
      <c r="D125" s="523" t="s">
        <v>141</v>
      </c>
      <c r="E125" s="1061">
        <f>'6'!F125</f>
        <v>73583</v>
      </c>
      <c r="F125" s="485">
        <v>73583</v>
      </c>
      <c r="G125" s="473">
        <f t="shared" si="13"/>
        <v>0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1061">
        <f>'6'!F126</f>
        <v>145031</v>
      </c>
      <c r="F126" s="1067">
        <v>145102</v>
      </c>
      <c r="G126" s="1063">
        <f t="shared" si="13"/>
        <v>71</v>
      </c>
      <c r="H126" s="460">
        <f>G126+'6'!H126</f>
        <v>414.55999999999767</v>
      </c>
      <c r="I126" s="526"/>
      <c r="J126" s="552">
        <f>H126/DAY(B2)</f>
        <v>59.22285714285681</v>
      </c>
      <c r="K126" s="380"/>
      <c r="L126" s="377"/>
      <c r="N126" s="382"/>
    </row>
    <row r="127" spans="1:14" ht="27.75">
      <c r="A127" s="609" t="s">
        <v>234</v>
      </c>
      <c r="B127" s="1145"/>
      <c r="C127" s="1145"/>
      <c r="D127" s="523" t="s">
        <v>141</v>
      </c>
      <c r="E127" s="1061">
        <f>'6'!F127</f>
        <v>31404</v>
      </c>
      <c r="F127" s="485">
        <v>31404</v>
      </c>
      <c r="G127" s="473">
        <f t="shared" si="13"/>
        <v>0</v>
      </c>
      <c r="H127" s="460">
        <f>G127+'6'!H127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5"/>
      <c r="C128" s="1145"/>
      <c r="D128" s="523" t="s">
        <v>141</v>
      </c>
      <c r="E128" s="1061">
        <f>'6'!F128</f>
        <v>8970</v>
      </c>
      <c r="F128" s="485">
        <v>8970</v>
      </c>
      <c r="G128" s="473">
        <f t="shared" si="13"/>
        <v>0</v>
      </c>
      <c r="H128" s="460">
        <f>G128+'6'!H128</f>
        <v>0.2999999999992724</v>
      </c>
      <c r="I128" s="480"/>
      <c r="J128" s="552">
        <f>H128/DAY(B2)</f>
        <v>4.2857142857038913E-2</v>
      </c>
      <c r="K128" s="380"/>
      <c r="L128" s="377"/>
      <c r="N128" s="382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1059">
        <f>G15-SUM(G124:G128)</f>
        <v>73</v>
      </c>
      <c r="H129" s="460">
        <f>G129+'6'!H129</f>
        <v>1064.99999999996</v>
      </c>
      <c r="I129" s="480"/>
      <c r="J129" s="552">
        <f>H129/DAY(B2)</f>
        <v>152.14285714285143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4" t="s">
        <v>241</v>
      </c>
      <c r="B133" s="1145"/>
      <c r="C133" s="1145"/>
      <c r="D133" s="523" t="s">
        <v>239</v>
      </c>
      <c r="E133" s="522">
        <f>'6'!F133</f>
        <v>39890</v>
      </c>
      <c r="F133" s="485">
        <v>39913.599999999999</v>
      </c>
      <c r="G133" s="473">
        <f t="shared" si="14"/>
        <v>23.599999999998545</v>
      </c>
      <c r="H133" s="460">
        <f>G133+'6'!H133</f>
        <v>167.11999999999534</v>
      </c>
      <c r="I133" s="480"/>
      <c r="J133" s="552">
        <f>H133/DAY(B2)</f>
        <v>23.874285714285048</v>
      </c>
      <c r="N133" s="382"/>
    </row>
    <row r="134" spans="1:14" ht="27.75">
      <c r="A134" s="1144" t="s">
        <v>242</v>
      </c>
      <c r="B134" s="1145"/>
      <c r="C134" s="1145"/>
      <c r="D134" s="523" t="s">
        <v>239</v>
      </c>
      <c r="E134" s="704">
        <f>'6'!F134</f>
        <v>300</v>
      </c>
      <c r="F134" s="626">
        <v>300</v>
      </c>
      <c r="G134" s="777">
        <f t="shared" si="14"/>
        <v>0</v>
      </c>
      <c r="H134" s="460">
        <f>G134+'6'!H134</f>
        <v>0</v>
      </c>
      <c r="I134" s="480">
        <f>G133+G134+G135+G136</f>
        <v>23.599999999998545</v>
      </c>
      <c r="J134" s="552">
        <f>H134/DAY(B2)</f>
        <v>0</v>
      </c>
      <c r="N134" s="382"/>
    </row>
    <row r="135" spans="1:14" ht="27.75">
      <c r="A135" s="1144" t="s">
        <v>243</v>
      </c>
      <c r="B135" s="1145"/>
      <c r="C135" s="1145"/>
      <c r="D135" s="523" t="s">
        <v>239</v>
      </c>
      <c r="E135" s="522">
        <f>'6'!F135</f>
        <v>41385</v>
      </c>
      <c r="F135" s="485">
        <v>41385</v>
      </c>
      <c r="G135" s="473">
        <f t="shared" si="14"/>
        <v>0</v>
      </c>
      <c r="H135" s="460">
        <f>G135+'6'!H135</f>
        <v>0</v>
      </c>
      <c r="I135" s="480"/>
      <c r="J135" s="552">
        <f>H135/DAY(B2)</f>
        <v>0</v>
      </c>
      <c r="N135" s="382"/>
    </row>
    <row r="136" spans="1:14" ht="27.75">
      <c r="A136" s="1144" t="s">
        <v>244</v>
      </c>
      <c r="B136" s="1145"/>
      <c r="C136" s="1145"/>
      <c r="D136" s="523" t="s">
        <v>239</v>
      </c>
      <c r="E136" s="704">
        <f>'6'!F136</f>
        <v>32582.560000000001</v>
      </c>
      <c r="F136" s="626">
        <v>32582.560000000001</v>
      </c>
      <c r="G136" s="777">
        <f t="shared" si="14"/>
        <v>0</v>
      </c>
      <c r="H136" s="460">
        <f>G136+'6'!H136</f>
        <v>-0.43999999999869033</v>
      </c>
      <c r="I136" s="480"/>
      <c r="J136" s="552">
        <f>H136/DAY(B2)</f>
        <v>-6.2857142856955761E-2</v>
      </c>
      <c r="N136" s="382"/>
    </row>
    <row r="137" spans="1:14" ht="27.75">
      <c r="A137" s="1144" t="s">
        <v>245</v>
      </c>
      <c r="B137" s="1145"/>
      <c r="C137" s="1145"/>
      <c r="D137" s="523" t="s">
        <v>239</v>
      </c>
      <c r="E137" s="541">
        <f>'6'!F137</f>
        <v>22749.51</v>
      </c>
      <c r="F137" s="654">
        <v>22749.51</v>
      </c>
      <c r="G137" s="473">
        <f t="shared" si="14"/>
        <v>0</v>
      </c>
      <c r="H137" s="460">
        <f>G137+'6'!H137</f>
        <v>9.9199999999982538</v>
      </c>
      <c r="I137" s="480">
        <f>G137+G138+G139</f>
        <v>0</v>
      </c>
      <c r="J137" s="552">
        <f>H137/DAY(B2)</f>
        <v>1.4171428571426077</v>
      </c>
      <c r="N137" s="382"/>
    </row>
    <row r="138" spans="1:14" ht="27.75">
      <c r="A138" s="1144" t="s">
        <v>246</v>
      </c>
      <c r="B138" s="1145"/>
      <c r="C138" s="1145"/>
      <c r="D138" s="523" t="s">
        <v>239</v>
      </c>
      <c r="E138" s="541">
        <f>'6'!F138</f>
        <v>25051.59</v>
      </c>
      <c r="F138" s="654">
        <v>25051.59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4" t="s">
        <v>247</v>
      </c>
      <c r="B139" s="1145"/>
      <c r="C139" s="1145"/>
      <c r="D139" s="523" t="s">
        <v>239</v>
      </c>
      <c r="E139" s="1065">
        <f>'6'!F139</f>
        <v>70336.2</v>
      </c>
      <c r="F139" s="1066">
        <v>70336.2</v>
      </c>
      <c r="G139" s="1059">
        <f t="shared" si="14"/>
        <v>0</v>
      </c>
      <c r="H139" s="460">
        <f>G139+'6'!H139</f>
        <v>20.389999999999418</v>
      </c>
      <c r="I139" s="480"/>
      <c r="J139" s="552">
        <f>H139/DAY(B2)</f>
        <v>2.9128571428570598</v>
      </c>
      <c r="N139" s="382"/>
    </row>
    <row r="140" spans="1:14" ht="27.75">
      <c r="A140" s="1144" t="s">
        <v>248</v>
      </c>
      <c r="B140" s="1145"/>
      <c r="C140" s="1145"/>
      <c r="D140" s="523" t="s">
        <v>239</v>
      </c>
      <c r="E140" s="522">
        <f>'6'!F140</f>
        <v>1663.48</v>
      </c>
      <c r="F140" s="485">
        <v>1671.25</v>
      </c>
      <c r="G140" s="473">
        <f t="shared" si="14"/>
        <v>7.7699999999999818</v>
      </c>
      <c r="H140" s="460">
        <f>G140+'6'!H140</f>
        <v>54.3900000000001</v>
      </c>
      <c r="I140" s="542">
        <f>G140+G141</f>
        <v>7.7699999999999818</v>
      </c>
      <c r="J140" s="552">
        <f>H140/DAY(B2)</f>
        <v>7.7700000000000147</v>
      </c>
      <c r="N140" s="382"/>
    </row>
    <row r="141" spans="1:14" ht="27.75">
      <c r="A141" s="1144" t="s">
        <v>249</v>
      </c>
      <c r="B141" s="1145"/>
      <c r="C141" s="1145"/>
      <c r="D141" s="523" t="s">
        <v>239</v>
      </c>
      <c r="E141" s="1064">
        <f>'6'!F141</f>
        <v>4637</v>
      </c>
      <c r="F141" s="1061">
        <v>4637</v>
      </c>
      <c r="G141" s="1062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4253</v>
      </c>
      <c r="H143" s="460">
        <f>G143+'6'!H143</f>
        <v>30559.869999999995</v>
      </c>
      <c r="I143" s="480"/>
      <c r="J143" s="552">
        <f>H143/DAY(B2)</f>
        <v>4365.6957142857136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0.28484361395753799</v>
      </c>
      <c r="H144" s="460">
        <f>G144+'6'!H144</f>
        <v>1.9384710332384714</v>
      </c>
      <c r="I144" s="544"/>
      <c r="J144" s="552">
        <f>H144/DAY(B2)</f>
        <v>0.27692443331978162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4616</v>
      </c>
      <c r="H145" s="460">
        <f>G145+'6'!H145</f>
        <v>34060.530000000028</v>
      </c>
      <c r="I145" s="480"/>
      <c r="J145" s="552">
        <f>H145/DAY(B2)</f>
        <v>4865.7900000000036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0.30915544839595471</v>
      </c>
      <c r="H146" s="460">
        <f>G146+'6'!H146</f>
        <v>2.1597149875420056</v>
      </c>
      <c r="I146" s="544"/>
      <c r="J146" s="552">
        <f>H146/DAY(B2)</f>
        <v>0.30853071250600078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2122</v>
      </c>
      <c r="H147" s="460">
        <f>G147+'6'!H147</f>
        <v>16145</v>
      </c>
      <c r="I147" s="545"/>
      <c r="J147" s="552">
        <f>H147/DAY(B2)</f>
        <v>2306.4285714285716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0.14212042060143326</v>
      </c>
      <c r="H148" s="460">
        <f>G148+'6'!H148</f>
        <v>1.0232204904935804</v>
      </c>
      <c r="I148" s="545"/>
      <c r="J148" s="552">
        <f>H148/DAY(B2)</f>
        <v>0.14617435578479721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1112</v>
      </c>
      <c r="H149" s="460">
        <f>G149+'6'!H149</f>
        <v>8769</v>
      </c>
      <c r="I149" s="480"/>
      <c r="J149" s="552">
        <f>H149/DAY(B2)</f>
        <v>1252.7142857142858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7.4475922577188394E-2</v>
      </c>
      <c r="H150" s="460">
        <f>G150+'6'!H150</f>
        <v>0.55557165485833171</v>
      </c>
      <c r="I150" s="545"/>
      <c r="J150" s="552">
        <f>H150/DAY(B2)</f>
        <v>7.9367379265475962E-2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1167</v>
      </c>
      <c r="H151" s="460">
        <f>G151+'6'!H151</f>
        <v>9070</v>
      </c>
      <c r="I151" s="545"/>
      <c r="J151" s="552">
        <f>H151/DAY(B2)</f>
        <v>1295.7142857142858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7.8159533855736388E-2</v>
      </c>
      <c r="H152" s="460">
        <f>G152+'6'!H152</f>
        <v>0.57460721615560151</v>
      </c>
      <c r="I152" s="480"/>
      <c r="J152" s="552">
        <f>H152/DAY(B2)</f>
        <v>8.2086745165085934E-2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1225</v>
      </c>
      <c r="H153" s="460">
        <f>G153+'6'!H153</f>
        <v>8587</v>
      </c>
      <c r="I153" s="480"/>
      <c r="J153" s="552">
        <f>H153/DAY(B2)</f>
        <v>1226.7142857142858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8.2044069385841537E-2</v>
      </c>
      <c r="H154" s="460">
        <f>G154+'6'!H154</f>
        <v>0.54469864385907152</v>
      </c>
      <c r="I154" s="568"/>
      <c r="J154" s="569">
        <f>H154/DAY(B2)</f>
        <v>7.7814091979867356E-2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661">
        <v>36420</v>
      </c>
      <c r="F161" s="661">
        <v>36502</v>
      </c>
      <c r="G161" s="473">
        <f t="shared" ref="G161:G172" si="15">F161-E161</f>
        <v>82</v>
      </c>
    </row>
    <row r="162" spans="1:7">
      <c r="A162" s="788" t="s">
        <v>264</v>
      </c>
      <c r="B162" s="789"/>
      <c r="C162" s="789"/>
      <c r="D162" s="511" t="s">
        <v>187</v>
      </c>
      <c r="E162" s="661">
        <v>84915</v>
      </c>
      <c r="F162" s="661">
        <v>85326</v>
      </c>
      <c r="G162" s="473">
        <f t="shared" si="15"/>
        <v>411</v>
      </c>
    </row>
    <row r="163" spans="1:7">
      <c r="A163" s="788" t="s">
        <v>265</v>
      </c>
      <c r="B163" s="789"/>
      <c r="C163" s="789"/>
      <c r="D163" s="511" t="s">
        <v>187</v>
      </c>
      <c r="E163" s="661">
        <v>39622</v>
      </c>
      <c r="F163" s="661">
        <v>39835</v>
      </c>
      <c r="G163" s="473">
        <f t="shared" si="15"/>
        <v>213</v>
      </c>
    </row>
    <row r="164" spans="1:7">
      <c r="A164" s="788" t="s">
        <v>266</v>
      </c>
      <c r="B164" s="789"/>
      <c r="C164" s="789"/>
      <c r="D164" s="511" t="s">
        <v>187</v>
      </c>
      <c r="E164" s="661">
        <v>6274</v>
      </c>
      <c r="F164" s="661">
        <v>6280</v>
      </c>
      <c r="G164" s="473">
        <f t="shared" si="15"/>
        <v>6</v>
      </c>
    </row>
    <row r="165" spans="1:7">
      <c r="A165" s="790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90" t="s">
        <v>188</v>
      </c>
      <c r="B166" s="604"/>
      <c r="C166" s="604"/>
      <c r="D166" s="511" t="s">
        <v>187</v>
      </c>
      <c r="E166" s="1064">
        <f>'6'!F166</f>
        <v>2382</v>
      </c>
      <c r="F166" s="514">
        <f t="shared" ref="F166:F172" si="16">F63</f>
        <v>2386</v>
      </c>
      <c r="G166" s="473">
        <f t="shared" si="15"/>
        <v>4</v>
      </c>
    </row>
    <row r="167" spans="1:7" ht="27.75">
      <c r="A167" s="1500" t="s">
        <v>99</v>
      </c>
      <c r="B167" s="1500"/>
      <c r="C167" s="1500"/>
      <c r="D167" s="523" t="s">
        <v>187</v>
      </c>
      <c r="E167" s="1064">
        <f>'6'!F167</f>
        <v>154546</v>
      </c>
      <c r="F167" s="514">
        <f t="shared" si="16"/>
        <v>154753</v>
      </c>
      <c r="G167" s="473">
        <f t="shared" si="15"/>
        <v>207</v>
      </c>
    </row>
    <row r="168" spans="1:7" ht="27.75">
      <c r="A168" s="1500" t="s">
        <v>100</v>
      </c>
      <c r="B168" s="1500"/>
      <c r="C168" s="1500"/>
      <c r="D168" s="523" t="s">
        <v>187</v>
      </c>
      <c r="E168" s="1064">
        <f>'6'!F168</f>
        <v>155781</v>
      </c>
      <c r="F168" s="514">
        <f t="shared" si="16"/>
        <v>155951</v>
      </c>
      <c r="G168" s="473">
        <f t="shared" si="15"/>
        <v>170</v>
      </c>
    </row>
    <row r="169" spans="1:7" ht="27.75">
      <c r="A169" s="1500" t="s">
        <v>101</v>
      </c>
      <c r="B169" s="1500"/>
      <c r="C169" s="1500"/>
      <c r="D169" s="523" t="s">
        <v>187</v>
      </c>
      <c r="E169" s="1064">
        <f>'6'!F169</f>
        <v>50147</v>
      </c>
      <c r="F169" s="514">
        <f t="shared" si="16"/>
        <v>50396</v>
      </c>
      <c r="G169" s="473">
        <f t="shared" si="15"/>
        <v>249</v>
      </c>
    </row>
    <row r="170" spans="1:7" ht="27.75">
      <c r="A170" s="1500" t="s">
        <v>102</v>
      </c>
      <c r="B170" s="1500"/>
      <c r="C170" s="1500"/>
      <c r="D170" s="523" t="s">
        <v>187</v>
      </c>
      <c r="E170" s="1064">
        <f>'6'!F170</f>
        <v>244238</v>
      </c>
      <c r="F170" s="514">
        <f t="shared" si="16"/>
        <v>244363</v>
      </c>
      <c r="G170" s="473">
        <f t="shared" si="15"/>
        <v>125</v>
      </c>
    </row>
    <row r="171" spans="1:7" ht="27.75">
      <c r="A171" s="1500" t="s">
        <v>103</v>
      </c>
      <c r="B171" s="1500"/>
      <c r="C171" s="1500"/>
      <c r="D171" s="523" t="s">
        <v>187</v>
      </c>
      <c r="E171" s="1064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1064">
        <f>'6'!F172</f>
        <v>79443</v>
      </c>
      <c r="F172" s="514">
        <f t="shared" si="16"/>
        <v>79477</v>
      </c>
      <c r="G172" s="473">
        <f t="shared" si="15"/>
        <v>34</v>
      </c>
    </row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22" zoomScale="55" zoomScaleSheetLayoutView="55" workbookViewId="0">
      <selection activeCell="F29" sqref="F29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349</v>
      </c>
      <c r="B2" s="1036">
        <v>44324</v>
      </c>
      <c r="C2" s="1146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27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5837836</v>
      </c>
      <c r="F7" s="455">
        <v>5857289</v>
      </c>
      <c r="G7" s="681">
        <f>F7-E7</f>
        <v>19453</v>
      </c>
      <c r="H7" s="682">
        <f>G7+'7'!H7</f>
        <v>129856</v>
      </c>
      <c r="I7" s="683">
        <f>'1'!I7</f>
        <v>12000</v>
      </c>
      <c r="J7" s="684">
        <f>H7/DAY(B2)</f>
        <v>16232</v>
      </c>
      <c r="K7" s="549"/>
      <c r="L7" s="377"/>
      <c r="N7" s="711">
        <v>11335</v>
      </c>
      <c r="O7" s="382">
        <f>G7-N7</f>
        <v>8118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5872131</v>
      </c>
      <c r="F8" s="475">
        <v>5891695</v>
      </c>
      <c r="G8" s="692">
        <f>F8-E8</f>
        <v>19564</v>
      </c>
      <c r="H8" s="682">
        <f>G8+'7'!H8</f>
        <v>130451</v>
      </c>
      <c r="I8" s="689">
        <v>12000</v>
      </c>
      <c r="J8" s="684">
        <f>H8/DAY(B2)</f>
        <v>16306.375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1097539</v>
      </c>
      <c r="F9" s="478">
        <v>1116375.5</v>
      </c>
      <c r="G9" s="705">
        <f t="shared" ref="G9:G12" si="0">F9-E9</f>
        <v>18836.5</v>
      </c>
      <c r="H9" s="682">
        <f>G9+'7'!H9</f>
        <v>125661.5</v>
      </c>
      <c r="I9" s="693">
        <f>I7-J7</f>
        <v>-4232</v>
      </c>
      <c r="J9" s="684">
        <f>H9/DAY(B2)</f>
        <v>15707.6875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18836.5</v>
      </c>
      <c r="H13" s="682">
        <f>G13+'7'!H13</f>
        <v>125661.5</v>
      </c>
      <c r="I13" s="698">
        <f>G7-G13</f>
        <v>616.5</v>
      </c>
      <c r="J13" s="684">
        <f>H13/DAY(B2)</f>
        <v>15707.6875</v>
      </c>
      <c r="K13" s="428"/>
      <c r="L13" s="377"/>
      <c r="N13" s="382"/>
    </row>
    <row r="14" spans="1:1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1673570</v>
      </c>
      <c r="F15" s="485">
        <v>1674183.48</v>
      </c>
      <c r="G15" s="667">
        <f>(F15-E15)</f>
        <v>613.47999999998137</v>
      </c>
      <c r="H15" s="1477">
        <f>G15+'7'!H15</f>
        <v>3526.4799999999814</v>
      </c>
      <c r="I15" s="1478">
        <v>800</v>
      </c>
      <c r="J15" s="1479">
        <f>H15/DAY(B2)</f>
        <v>440.80999999999767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359.19000000000233</v>
      </c>
      <c r="J16" s="675"/>
      <c r="K16" s="428"/>
      <c r="L16" s="377"/>
      <c r="N16" s="382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8" t="s">
        <v>144</v>
      </c>
      <c r="E18" s="635">
        <f>'7'!F18</f>
        <v>0</v>
      </c>
      <c r="F18" s="626">
        <v>6</v>
      </c>
      <c r="G18" s="697">
        <f>F18*10</f>
        <v>60</v>
      </c>
      <c r="H18" s="682">
        <f>G18+'7'!H18</f>
        <v>380</v>
      </c>
      <c r="I18" s="683">
        <f>'1'!I18</f>
        <v>65</v>
      </c>
      <c r="J18" s="684">
        <f>H18/DAY(B2)</f>
        <v>47.5</v>
      </c>
      <c r="K18" s="428"/>
      <c r="L18" s="377"/>
      <c r="N18" s="382"/>
    </row>
    <row r="19" spans="1:14" ht="27.75">
      <c r="A19" s="1565" t="s">
        <v>71</v>
      </c>
      <c r="B19" s="1566"/>
      <c r="C19" s="1567"/>
      <c r="D19" s="638" t="s">
        <v>144</v>
      </c>
      <c r="E19" s="635">
        <f>'7'!F19</f>
        <v>138187</v>
      </c>
      <c r="F19" s="478">
        <v>138242</v>
      </c>
      <c r="G19" s="692">
        <f t="shared" ref="G19" si="1">F19-E19</f>
        <v>55</v>
      </c>
      <c r="H19" s="682">
        <f>G19+'7'!H19</f>
        <v>430</v>
      </c>
      <c r="I19" s="699"/>
      <c r="J19" s="684">
        <f>H19/DAY(B2)</f>
        <v>53.75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115</v>
      </c>
      <c r="H20" s="682">
        <f>G20+'7'!H20</f>
        <v>810</v>
      </c>
      <c r="I20" s="701">
        <f>I18-J20</f>
        <v>-36.25</v>
      </c>
      <c r="J20" s="684">
        <f>H20/DAY(B2)</f>
        <v>101.25</v>
      </c>
      <c r="K20" s="428"/>
      <c r="L20" s="377"/>
      <c r="N20" s="382"/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4250</v>
      </c>
      <c r="G24" s="76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19564</v>
      </c>
      <c r="F27" s="501">
        <v>9</v>
      </c>
      <c r="G27" s="502">
        <f>E27*F27</f>
        <v>176076</v>
      </c>
      <c r="H27" s="460">
        <f>G27+'7'!H27</f>
        <v>1174059</v>
      </c>
      <c r="I27" s="503"/>
      <c r="J27" s="552">
        <f>H27/DAY(B2)</f>
        <v>146757.375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613.47999999998137</v>
      </c>
      <c r="F28" s="501">
        <v>51.45</v>
      </c>
      <c r="G28" s="502">
        <f t="shared" ref="G28:G31" si="2">E28*F28</f>
        <v>31563.545999999042</v>
      </c>
      <c r="H28" s="460">
        <f>G28+'7'!H28</f>
        <v>174300.54599999904</v>
      </c>
      <c r="I28" s="505"/>
      <c r="J28" s="552">
        <f>H28/DAY(B2)</f>
        <v>21787.56824999988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 t="shared" si="2"/>
        <v>7370</v>
      </c>
      <c r="H30" s="460">
        <f>G30+'7'!H30</f>
        <v>57620</v>
      </c>
      <c r="I30" s="505"/>
      <c r="J30" s="552">
        <f>H30/DAY(B2)</f>
        <v>7202.5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 t="shared" si="2"/>
        <v>4800</v>
      </c>
      <c r="H31" s="460">
        <f>G31+'7'!H31</f>
        <v>30400</v>
      </c>
      <c r="I31" s="505"/>
      <c r="J31" s="552">
        <f>H31/DAY(B2)</f>
        <v>3800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219809.54599999904</v>
      </c>
      <c r="H32" s="460">
        <f>G32+'7'!H32</f>
        <v>1436379.5459999992</v>
      </c>
      <c r="I32" s="509"/>
      <c r="J32" s="552">
        <f>H32/DAY(B2)</f>
        <v>179547.44324999989</v>
      </c>
      <c r="K32" s="373"/>
      <c r="L32" s="443"/>
      <c r="N32" s="382"/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901319</v>
      </c>
      <c r="F35" s="510">
        <v>903746.47</v>
      </c>
      <c r="G35" s="473">
        <f t="shared" ref="G35:G46" si="3">F35-E35</f>
        <v>2427.4699999999721</v>
      </c>
      <c r="H35" s="460">
        <f>G35+'7'!H35</f>
        <v>17287.469999999972</v>
      </c>
      <c r="I35" s="455"/>
      <c r="J35" s="552">
        <f>H35/DAY(B2)</f>
        <v>2160.9337499999965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347065</v>
      </c>
      <c r="F36" s="510">
        <v>347065</v>
      </c>
      <c r="G36" s="473">
        <f t="shared" si="3"/>
        <v>0</v>
      </c>
      <c r="H36" s="460">
        <f>G36+'7'!H36</f>
        <v>2457</v>
      </c>
      <c r="I36" s="455"/>
      <c r="J36" s="552">
        <f>H36/DAY(B2)</f>
        <v>307.125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103812</v>
      </c>
      <c r="F37" s="510">
        <v>105159.02</v>
      </c>
      <c r="G37" s="473">
        <f t="shared" si="3"/>
        <v>1347.0200000000041</v>
      </c>
      <c r="H37" s="460">
        <f>G37+'7'!H37</f>
        <v>9934.0200000000041</v>
      </c>
      <c r="I37" s="455"/>
      <c r="J37" s="552">
        <f>H37/DAY(B2)</f>
        <v>1241.7525000000005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128365</v>
      </c>
      <c r="F38" s="469">
        <v>129568.27</v>
      </c>
      <c r="G38" s="473">
        <f t="shared" si="3"/>
        <v>1203.2700000000041</v>
      </c>
      <c r="H38" s="460">
        <f>G38+'7'!H38</f>
        <v>9972.2700000000041</v>
      </c>
      <c r="I38" s="455"/>
      <c r="J38" s="552">
        <f>H38/DAY(B2)</f>
        <v>1246.5337500000005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258976</v>
      </c>
      <c r="F39" s="510">
        <v>260900.75</v>
      </c>
      <c r="G39" s="473">
        <f t="shared" si="3"/>
        <v>1924.75</v>
      </c>
      <c r="H39" s="460">
        <f>G39+'7'!H39</f>
        <v>14247.75</v>
      </c>
      <c r="I39" s="455"/>
      <c r="J39" s="552">
        <f>H39/DAY(B2)</f>
        <v>1780.96875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0.23</v>
      </c>
      <c r="G40" s="473">
        <f t="shared" si="3"/>
        <v>0.23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215512</v>
      </c>
      <c r="F41" s="1060">
        <v>220397.19</v>
      </c>
      <c r="G41" s="473">
        <f t="shared" si="3"/>
        <v>4885.1900000000023</v>
      </c>
      <c r="H41" s="460">
        <f>G41+'7'!H41</f>
        <v>38869.19</v>
      </c>
      <c r="I41" s="455"/>
      <c r="J41" s="552">
        <f>H41/DAY(B2)</f>
        <v>4858.6487500000003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59200</v>
      </c>
      <c r="F42" s="510">
        <v>59200.08</v>
      </c>
      <c r="G42" s="473">
        <f t="shared" si="3"/>
        <v>8.000000000174623E-2</v>
      </c>
      <c r="H42" s="460">
        <f>G42+'7'!H42</f>
        <v>8.000000000174623E-2</v>
      </c>
      <c r="I42" s="455"/>
      <c r="J42" s="552">
        <f>H42/DAY(B2)</f>
        <v>1.0000000000218279E-2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989658</v>
      </c>
      <c r="F43" s="510">
        <v>992083.27</v>
      </c>
      <c r="G43" s="473">
        <f t="shared" si="3"/>
        <v>2425.2700000000186</v>
      </c>
      <c r="H43" s="460">
        <f>G43+'7'!H43</f>
        <v>18125.270000000019</v>
      </c>
      <c r="I43" s="455"/>
      <c r="J43" s="552">
        <f>H43/DAY(B2)</f>
        <v>2265.6587500000023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14213.280000000002</v>
      </c>
      <c r="H47" s="460">
        <f>G47+'7'!H47</f>
        <v>110893.05</v>
      </c>
      <c r="I47" s="455"/>
      <c r="J47" s="552">
        <f>H47/DAY(B2)</f>
        <v>13861.63125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481149</v>
      </c>
      <c r="F50" s="510">
        <v>482535.31</v>
      </c>
      <c r="G50" s="473">
        <f>F50-E50</f>
        <v>1386.3099999999977</v>
      </c>
      <c r="H50" s="460">
        <f>G50+'7'!H50</f>
        <v>7999.3099999999977</v>
      </c>
      <c r="I50" s="455"/>
      <c r="J50" s="552">
        <f>H50/DAY(B2)</f>
        <v>999.91374999999971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</v>
      </c>
      <c r="F52" s="1060">
        <v>539606.06999999995</v>
      </c>
      <c r="G52" s="473">
        <f t="shared" si="4"/>
        <v>6.9999999948777258E-2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420133</v>
      </c>
      <c r="F53" s="1060">
        <v>420654.07</v>
      </c>
      <c r="G53" s="473">
        <f t="shared" si="4"/>
        <v>521.07000000000698</v>
      </c>
      <c r="H53" s="460">
        <f>G53+'7'!H53</f>
        <v>4343.070000000007</v>
      </c>
      <c r="I53" s="455"/>
      <c r="J53" s="552">
        <f>H53/DAY(B2)</f>
        <v>542.88375000000087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11960.7</v>
      </c>
      <c r="G54" s="473">
        <f t="shared" si="4"/>
        <v>3760.7000000000007</v>
      </c>
      <c r="H54" s="460">
        <f>G54+'7'!H54</f>
        <v>4271.7000000000007</v>
      </c>
      <c r="I54" s="455"/>
      <c r="J54" s="552">
        <f>H54/DAY(B2)</f>
        <v>533.96250000000009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v>1979.37</v>
      </c>
      <c r="F55" s="656">
        <v>1979.37</v>
      </c>
      <c r="G55" s="655">
        <f t="shared" si="4"/>
        <v>0</v>
      </c>
      <c r="H55" s="708">
        <f>G55+'7'!H55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589365</v>
      </c>
      <c r="F56" s="656">
        <v>589375.11</v>
      </c>
      <c r="G56" s="473">
        <f t="shared" si="4"/>
        <v>10.10999999998603</v>
      </c>
      <c r="H56" s="460">
        <f>G56+'7'!H56</f>
        <v>86.64000000001397</v>
      </c>
      <c r="I56" s="455"/>
      <c r="J56" s="552">
        <f>H56/DAY(B2)</f>
        <v>10.830000000001746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47256</v>
      </c>
      <c r="F58" s="656">
        <v>47461.13</v>
      </c>
      <c r="G58" s="473">
        <f t="shared" si="4"/>
        <v>205.12999999999738</v>
      </c>
      <c r="H58" s="460">
        <f>G58+'7'!H58</f>
        <v>793.12999999999738</v>
      </c>
      <c r="I58" s="455"/>
      <c r="J58" s="552">
        <f>H58/DAY(B2)</f>
        <v>99.141249999999673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5883.3899999999376</v>
      </c>
      <c r="H59" s="460">
        <f>G59+'7'!H59</f>
        <v>17493.789999999961</v>
      </c>
      <c r="I59" s="455">
        <f>G7-G60</f>
        <v>-643.66999999994005</v>
      </c>
      <c r="J59" s="552">
        <f>H59/DAY(B2)</f>
        <v>2186.7237499999951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20096.66999999994</v>
      </c>
      <c r="H60" s="460">
        <f>G60+'7'!H60</f>
        <v>128386.83999999997</v>
      </c>
      <c r="I60" s="455">
        <f>G13-G60</f>
        <v>-1260.16999999994</v>
      </c>
      <c r="J60" s="552">
        <f>H60/DAY(B2)</f>
        <v>16048.354999999996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2386</v>
      </c>
      <c r="F63" s="514">
        <v>2389.54</v>
      </c>
      <c r="G63" s="473">
        <f t="shared" si="5"/>
        <v>3.5399999999999636</v>
      </c>
      <c r="H63" s="460">
        <f>G63+'7'!H63</f>
        <v>30.539999999999964</v>
      </c>
      <c r="I63" s="515"/>
      <c r="J63" s="552">
        <f>H63/DAY(B2)</f>
        <v>3.8174999999999955</v>
      </c>
      <c r="K63" s="428"/>
      <c r="L63" s="377"/>
      <c r="N63" s="382"/>
    </row>
    <row r="64" spans="1:14" ht="27.75">
      <c r="A64" s="1504" t="s">
        <v>99</v>
      </c>
      <c r="B64" s="1505"/>
      <c r="C64" s="1506"/>
      <c r="D64" s="523" t="s">
        <v>187</v>
      </c>
      <c r="E64" s="514">
        <f>'7'!F64</f>
        <v>154753</v>
      </c>
      <c r="F64" s="478">
        <v>154960.59</v>
      </c>
      <c r="G64" s="473">
        <f t="shared" si="5"/>
        <v>207.58999999999651</v>
      </c>
      <c r="H64" s="460">
        <f>G64+'7'!H64</f>
        <v>1661.5899999999965</v>
      </c>
      <c r="I64" s="480"/>
      <c r="J64" s="552">
        <f>H64/DAY(B2)</f>
        <v>207.69874999999956</v>
      </c>
      <c r="K64" s="428"/>
      <c r="L64" s="377"/>
      <c r="N64" s="382"/>
    </row>
    <row r="65" spans="1:14" ht="27.75">
      <c r="A65" s="1504" t="s">
        <v>100</v>
      </c>
      <c r="B65" s="1505"/>
      <c r="C65" s="1506"/>
      <c r="D65" s="523" t="s">
        <v>187</v>
      </c>
      <c r="E65" s="514">
        <f>'7'!F65</f>
        <v>155951</v>
      </c>
      <c r="F65" s="654">
        <v>156159.20000000001</v>
      </c>
      <c r="G65" s="473">
        <f t="shared" si="5"/>
        <v>208.20000000001164</v>
      </c>
      <c r="H65" s="460">
        <f>G65+'7'!H65</f>
        <v>1560.2000000000116</v>
      </c>
      <c r="I65" s="489"/>
      <c r="J65" s="552">
        <f>H65/DAY(B2)</f>
        <v>195.02500000000146</v>
      </c>
      <c r="K65" s="428"/>
      <c r="L65" s="377"/>
      <c r="N65" s="382"/>
    </row>
    <row r="66" spans="1:14" ht="27.75">
      <c r="A66" s="1504" t="s">
        <v>101</v>
      </c>
      <c r="B66" s="1505"/>
      <c r="C66" s="1506"/>
      <c r="D66" s="523" t="s">
        <v>187</v>
      </c>
      <c r="E66" s="514">
        <f>'7'!F66</f>
        <v>50396</v>
      </c>
      <c r="F66" s="478">
        <v>50673.49</v>
      </c>
      <c r="G66" s="473">
        <f t="shared" si="5"/>
        <v>277.48999999999796</v>
      </c>
      <c r="H66" s="460">
        <f>G66+'7'!H66</f>
        <v>2102.489999999998</v>
      </c>
      <c r="I66" s="480"/>
      <c r="J66" s="552">
        <f>H66/DAY(B2)</f>
        <v>262.81124999999975</v>
      </c>
      <c r="K66" s="428"/>
      <c r="L66" s="377"/>
      <c r="N66" s="382"/>
    </row>
    <row r="67" spans="1:14" ht="27.75">
      <c r="A67" s="1504" t="s">
        <v>102</v>
      </c>
      <c r="B67" s="1505"/>
      <c r="C67" s="1506"/>
      <c r="D67" s="523" t="s">
        <v>187</v>
      </c>
      <c r="E67" s="514">
        <f>'7'!F67</f>
        <v>244363</v>
      </c>
      <c r="F67" s="478">
        <v>244529.27</v>
      </c>
      <c r="G67" s="473">
        <f t="shared" si="5"/>
        <v>166.26999999998952</v>
      </c>
      <c r="H67" s="460">
        <f>G67+'7'!H67</f>
        <v>1355.2699999999895</v>
      </c>
      <c r="I67" s="489"/>
      <c r="J67" s="552">
        <f>H67/DAY(B2)</f>
        <v>169.40874999999869</v>
      </c>
      <c r="K67" s="429"/>
      <c r="L67" s="377"/>
      <c r="N67" s="382"/>
    </row>
    <row r="68" spans="1:14" ht="27.75">
      <c r="A68" s="1504" t="s">
        <v>103</v>
      </c>
      <c r="B68" s="1505"/>
      <c r="C68" s="1506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04" t="s">
        <v>104</v>
      </c>
      <c r="B69" s="1505"/>
      <c r="C69" s="1506"/>
      <c r="D69" s="523" t="s">
        <v>187</v>
      </c>
      <c r="E69" s="514">
        <f>'7'!F69</f>
        <v>79477</v>
      </c>
      <c r="F69" s="478">
        <v>79618.399999999994</v>
      </c>
      <c r="G69" s="473">
        <f t="shared" si="5"/>
        <v>141.39999999999418</v>
      </c>
      <c r="H69" s="460">
        <f>G69+'7'!H69</f>
        <v>624.39999999999418</v>
      </c>
      <c r="I69" s="516"/>
      <c r="J69" s="552">
        <f>H69/DAY(B2)</f>
        <v>78.049999999999272</v>
      </c>
      <c r="K69" s="431"/>
      <c r="L69" s="377"/>
      <c r="N69" s="382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519">
        <f>'7'!F72</f>
        <v>855573</v>
      </c>
      <c r="F72" s="657">
        <v>855588</v>
      </c>
      <c r="G72" s="473">
        <f t="shared" ref="G72:G84" si="6">F72-E72</f>
        <v>15</v>
      </c>
      <c r="H72" s="460">
        <f>G72+'7'!H72</f>
        <v>127</v>
      </c>
      <c r="I72" s="480"/>
      <c r="J72" s="552">
        <f>H72/DAY(B2)</f>
        <v>15.875</v>
      </c>
      <c r="K72" s="431"/>
      <c r="L72" s="377"/>
      <c r="N72" s="382"/>
    </row>
    <row r="73" spans="1:14" ht="27.75">
      <c r="A73" s="1504" t="s">
        <v>192</v>
      </c>
      <c r="B73" s="1505"/>
      <c r="C73" s="1506"/>
      <c r="D73" s="523" t="s">
        <v>187</v>
      </c>
      <c r="E73" s="519">
        <f>'7'!F73</f>
        <v>885884</v>
      </c>
      <c r="F73" s="658">
        <v>885885</v>
      </c>
      <c r="G73" s="655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04" t="s">
        <v>193</v>
      </c>
      <c r="B74" s="1505"/>
      <c r="C74" s="1506"/>
      <c r="D74" s="523" t="s">
        <v>187</v>
      </c>
      <c r="E74" s="519">
        <f>'7'!F74</f>
        <v>2400</v>
      </c>
      <c r="F74" s="657">
        <v>2411.6999999999998</v>
      </c>
      <c r="G74" s="473">
        <f t="shared" si="6"/>
        <v>11.699999999999818</v>
      </c>
      <c r="H74" s="460">
        <f>G74+'7'!H74</f>
        <v>132.69999999999982</v>
      </c>
      <c r="I74" s="480"/>
      <c r="J74" s="552">
        <f>H74/DAY(B2)</f>
        <v>16.587499999999977</v>
      </c>
      <c r="K74" s="431"/>
      <c r="L74" s="377"/>
      <c r="N74" s="382"/>
    </row>
    <row r="75" spans="1:14" ht="27.75">
      <c r="A75" s="1501" t="s">
        <v>194</v>
      </c>
      <c r="B75" s="1502"/>
      <c r="C75" s="1503"/>
      <c r="D75" s="523" t="s">
        <v>187</v>
      </c>
      <c r="E75" s="519">
        <f>'7'!F75</f>
        <v>11340</v>
      </c>
      <c r="F75" s="658">
        <v>11406.63</v>
      </c>
      <c r="G75" s="473">
        <f t="shared" si="6"/>
        <v>66.6299999999992</v>
      </c>
      <c r="H75" s="460">
        <f>G75+'7'!H75</f>
        <v>436.6299999999992</v>
      </c>
      <c r="I75" s="480"/>
      <c r="J75" s="552">
        <f>H75/DAY(B2)</f>
        <v>54.5787499999999</v>
      </c>
      <c r="K75" s="430"/>
      <c r="L75" s="377"/>
      <c r="N75" s="382"/>
    </row>
    <row r="76" spans="1:14" ht="27.75">
      <c r="A76" s="1501" t="s">
        <v>195</v>
      </c>
      <c r="B76" s="1502"/>
      <c r="C76" s="1503"/>
      <c r="D76" s="523" t="s">
        <v>187</v>
      </c>
      <c r="E76" s="519">
        <f>'7'!F76</f>
        <v>6086</v>
      </c>
      <c r="F76" s="658">
        <v>6140.92</v>
      </c>
      <c r="G76" s="473">
        <f t="shared" si="6"/>
        <v>54.920000000000073</v>
      </c>
      <c r="H76" s="460">
        <f>G76+'7'!H76</f>
        <v>431.92000000000007</v>
      </c>
      <c r="I76" s="505"/>
      <c r="J76" s="552">
        <f>H76/DAY(B2)</f>
        <v>53.990000000000009</v>
      </c>
      <c r="K76" s="430"/>
      <c r="L76" s="377"/>
      <c r="N76" s="382"/>
    </row>
    <row r="77" spans="1:14" ht="27.75">
      <c r="A77" s="1504" t="s">
        <v>196</v>
      </c>
      <c r="B77" s="1505"/>
      <c r="C77" s="1506"/>
      <c r="D77" s="523" t="s">
        <v>187</v>
      </c>
      <c r="E77" s="519">
        <f>'7'!F77</f>
        <v>701907</v>
      </c>
      <c r="F77" s="657">
        <v>701955</v>
      </c>
      <c r="G77" s="655">
        <f t="shared" si="6"/>
        <v>48</v>
      </c>
      <c r="H77" s="460">
        <f>G77+'7'!H77</f>
        <v>393</v>
      </c>
      <c r="I77" s="505"/>
      <c r="J77" s="552">
        <f>H77/DAY(B2)</f>
        <v>49.125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'7'!F78</f>
        <v>670567</v>
      </c>
      <c r="F78" s="659">
        <v>670636</v>
      </c>
      <c r="G78" s="473">
        <f t="shared" si="6"/>
        <v>69</v>
      </c>
      <c r="H78" s="460">
        <f>G78+'7'!H78</f>
        <v>611</v>
      </c>
      <c r="I78" s="505"/>
      <c r="J78" s="552">
        <f>H78/DAY(B2)</f>
        <v>76.375</v>
      </c>
      <c r="K78" s="430"/>
      <c r="L78" s="377"/>
      <c r="N78" s="382"/>
    </row>
    <row r="79" spans="1:14" ht="27.75">
      <c r="A79" s="1501" t="s">
        <v>92</v>
      </c>
      <c r="B79" s="1502"/>
      <c r="C79" s="1503"/>
      <c r="D79" s="524" t="s">
        <v>187</v>
      </c>
      <c r="E79" s="519">
        <f>'7'!F79</f>
        <v>827990</v>
      </c>
      <c r="F79" s="657">
        <v>828094</v>
      </c>
      <c r="G79" s="473">
        <f t="shared" si="6"/>
        <v>104</v>
      </c>
      <c r="H79" s="460">
        <f>G79+'7'!H79</f>
        <v>1310</v>
      </c>
      <c r="I79" s="505"/>
      <c r="J79" s="552">
        <f>H79/DAY(B2)</f>
        <v>163.75</v>
      </c>
      <c r="K79" s="430"/>
      <c r="L79" s="377"/>
      <c r="N79" s="382"/>
    </row>
    <row r="80" spans="1:14" ht="27.75">
      <c r="A80" s="1501" t="s">
        <v>198</v>
      </c>
      <c r="B80" s="1502"/>
      <c r="C80" s="1503"/>
      <c r="D80" s="524" t="s">
        <v>187</v>
      </c>
      <c r="E80" s="519">
        <f>'7'!F80</f>
        <v>519290</v>
      </c>
      <c r="F80" s="658">
        <v>519663.72</v>
      </c>
      <c r="G80" s="473">
        <f t="shared" si="6"/>
        <v>373.71999999997206</v>
      </c>
      <c r="H80" s="460">
        <f>G80+'7'!H80</f>
        <v>2925.7199999999721</v>
      </c>
      <c r="I80" s="505"/>
      <c r="J80" s="552">
        <f>H80/DAY(B2)</f>
        <v>365.71499999999651</v>
      </c>
      <c r="K80" s="430"/>
      <c r="L80" s="377"/>
      <c r="N80" s="382"/>
    </row>
    <row r="81" spans="1:15" ht="27.75">
      <c r="A81" s="1501" t="s">
        <v>199</v>
      </c>
      <c r="B81" s="1502"/>
      <c r="C81" s="1503"/>
      <c r="D81" s="524" t="s">
        <v>187</v>
      </c>
      <c r="E81" s="519">
        <f>'7'!F81</f>
        <v>636992</v>
      </c>
      <c r="F81" s="658">
        <v>637063.80000000005</v>
      </c>
      <c r="G81" s="473">
        <f t="shared" si="6"/>
        <v>71.800000000046566</v>
      </c>
      <c r="H81" s="460">
        <f>G81+'7'!H81</f>
        <v>585.80000000004657</v>
      </c>
      <c r="I81" s="505"/>
      <c r="J81" s="552">
        <f>H81/DAY(B2)</f>
        <v>73.225000000005821</v>
      </c>
      <c r="K81" s="430"/>
      <c r="L81" s="377"/>
      <c r="N81" s="382"/>
    </row>
    <row r="82" spans="1:15" ht="27.75">
      <c r="A82" s="1501" t="s">
        <v>93</v>
      </c>
      <c r="B82" s="1502"/>
      <c r="C82" s="1503"/>
      <c r="D82" s="485" t="s">
        <v>132</v>
      </c>
      <c r="E82" s="519">
        <f>'7'!F82</f>
        <v>107745</v>
      </c>
      <c r="F82" s="654">
        <v>107756.66</v>
      </c>
      <c r="G82" s="473">
        <f t="shared" si="6"/>
        <v>11.660000000003492</v>
      </c>
      <c r="H82" s="460">
        <f>G82+'7'!H82</f>
        <v>144.66000000000349</v>
      </c>
      <c r="I82" s="486"/>
      <c r="J82" s="552">
        <f>H82/DAY(B2)</f>
        <v>18.082500000000437</v>
      </c>
      <c r="K82" s="430"/>
      <c r="L82" s="377"/>
      <c r="N82" s="382"/>
    </row>
    <row r="83" spans="1:15" ht="27.75">
      <c r="A83" s="1501" t="s">
        <v>200</v>
      </c>
      <c r="B83" s="1502"/>
      <c r="C83" s="1503"/>
      <c r="D83" s="620" t="s">
        <v>132</v>
      </c>
      <c r="E83" s="519">
        <f>'7'!F83</f>
        <v>16295</v>
      </c>
      <c r="F83" s="620">
        <v>16451</v>
      </c>
      <c r="G83" s="473">
        <f t="shared" si="6"/>
        <v>156</v>
      </c>
      <c r="H83" s="460">
        <f>G83+'7'!H83</f>
        <v>1680</v>
      </c>
      <c r="I83" s="481"/>
      <c r="J83" s="552">
        <f>H83/DAY(B2)</f>
        <v>210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'7'!F84</f>
        <v>485652</v>
      </c>
      <c r="F84" s="627">
        <v>486446</v>
      </c>
      <c r="G84" s="473">
        <f t="shared" si="6"/>
        <v>794</v>
      </c>
      <c r="H84" s="460">
        <f>G84+'7'!H84</f>
        <v>6313</v>
      </c>
      <c r="I84" s="481"/>
      <c r="J84" s="552">
        <f>H84/DAY(B2)</f>
        <v>789.125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1777.4300000000212</v>
      </c>
      <c r="H85" s="460">
        <f>G85+'7'!H85</f>
        <v>15100.430000000022</v>
      </c>
      <c r="I85" s="481"/>
      <c r="J85" s="552">
        <f>H85/DAY(B2)</f>
        <v>1887.5537500000028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460025</v>
      </c>
      <c r="F86" s="650">
        <v>460053.72</v>
      </c>
      <c r="G86" s="708">
        <f t="shared" ref="G86:G91" si="7">F86-E86</f>
        <v>28.71999999997206</v>
      </c>
      <c r="H86" s="708">
        <f t="shared" ref="H86:H88" si="8">G86</f>
        <v>28.71999999997206</v>
      </c>
      <c r="I86" s="655"/>
      <c r="J86" s="710">
        <f>H86/DAY(B2)</f>
        <v>3.5899999999965075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81025</v>
      </c>
      <c r="F87" s="650">
        <v>81026.7</v>
      </c>
      <c r="G87" s="708">
        <f t="shared" si="7"/>
        <v>1.6999999999970896</v>
      </c>
      <c r="H87" s="708">
        <f t="shared" si="8"/>
        <v>1.6999999999970896</v>
      </c>
      <c r="I87" s="655"/>
      <c r="J87" s="710">
        <f>H87/DAY(B2)</f>
        <v>0.2124999999996362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152103</v>
      </c>
      <c r="F88" s="650">
        <v>152123.95000000001</v>
      </c>
      <c r="G88" s="708">
        <f t="shared" si="7"/>
        <v>20.950000000011642</v>
      </c>
      <c r="H88" s="708">
        <f t="shared" si="8"/>
        <v>20.950000000011642</v>
      </c>
      <c r="I88" s="655"/>
      <c r="J88" s="710">
        <f>H88/DAY(B2)</f>
        <v>2.6187500000014552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64879</v>
      </c>
      <c r="F89" s="650">
        <v>64885.9</v>
      </c>
      <c r="G89" s="708">
        <f t="shared" si="7"/>
        <v>6.9000000000014552</v>
      </c>
      <c r="H89" s="708">
        <f>G89</f>
        <v>6.9000000000014552</v>
      </c>
      <c r="I89" s="655"/>
      <c r="J89" s="710">
        <f>H89/DAY(B2)</f>
        <v>0.8625000000001819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3272.4</v>
      </c>
      <c r="G90" s="708">
        <f t="shared" si="7"/>
        <v>0.40000000000009095</v>
      </c>
      <c r="H90" s="708">
        <f>G90</f>
        <v>0.40000000000009095</v>
      </c>
      <c r="I90" s="655"/>
      <c r="J90" s="710">
        <f>H90/DAY(B2)</f>
        <v>5.0000000000011369E-2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'7'!F91</f>
        <v>27927</v>
      </c>
      <c r="F91" s="650">
        <v>27929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'7'!F93</f>
        <v>244729</v>
      </c>
      <c r="F93" s="478">
        <v>244782</v>
      </c>
      <c r="G93" s="473">
        <f t="shared" ref="G93" si="9">F93-E93</f>
        <v>53</v>
      </c>
      <c r="H93" s="460">
        <f>G93+'7'!H93</f>
        <v>258</v>
      </c>
      <c r="I93" s="480"/>
      <c r="J93" s="552">
        <f>H93/DAY(B2)</f>
        <v>32.25</v>
      </c>
      <c r="K93" s="429"/>
      <c r="L93" s="377"/>
      <c r="N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'7'!F94</f>
        <v>184149</v>
      </c>
      <c r="F94" s="485">
        <v>184198</v>
      </c>
      <c r="G94" s="473">
        <f>F94-E94</f>
        <v>49</v>
      </c>
      <c r="H94" s="460">
        <f>G94+'7'!H94</f>
        <v>667</v>
      </c>
      <c r="I94" s="480"/>
      <c r="J94" s="552">
        <f>H94/DAY(B2)</f>
        <v>83.375</v>
      </c>
      <c r="K94" s="380"/>
      <c r="L94" s="377"/>
      <c r="N94" s="382"/>
    </row>
    <row r="95" spans="1:15">
      <c r="A95" s="1553" t="s">
        <v>208</v>
      </c>
      <c r="B95" s="1554"/>
      <c r="C95" s="1555"/>
      <c r="D95" s="523"/>
      <c r="E95" s="484">
        <f>'7'!F95</f>
        <v>0</v>
      </c>
      <c r="F95" s="478"/>
      <c r="G95" s="473">
        <f>G93+G94</f>
        <v>102</v>
      </c>
      <c r="H95" s="460">
        <f>G95+'7'!H95</f>
        <v>778</v>
      </c>
      <c r="I95" s="480"/>
      <c r="J95" s="552">
        <f>H95/DAY(B2)</f>
        <v>97.25</v>
      </c>
      <c r="K95" s="380"/>
      <c r="L95" s="377"/>
      <c r="N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'7'!F96</f>
        <v>413224</v>
      </c>
      <c r="F96" s="478">
        <v>413302</v>
      </c>
      <c r="G96" s="473">
        <f t="shared" ref="G96:G101" si="10">F96-E96</f>
        <v>78</v>
      </c>
      <c r="H96" s="460">
        <f>G96+'7'!H96</f>
        <v>416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4" t="s">
        <v>210</v>
      </c>
      <c r="B97" s="1145"/>
      <c r="C97" s="1145"/>
      <c r="D97" s="523" t="s">
        <v>144</v>
      </c>
      <c r="E97" s="484">
        <f>'7'!F97</f>
        <v>102416</v>
      </c>
      <c r="F97" s="478">
        <v>102425</v>
      </c>
      <c r="G97" s="473">
        <f t="shared" si="10"/>
        <v>9</v>
      </c>
      <c r="H97" s="460">
        <f>G97+'7'!H97</f>
        <v>82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144" t="s">
        <v>211</v>
      </c>
      <c r="B98" s="1145"/>
      <c r="C98" s="1145"/>
      <c r="D98" s="523" t="s">
        <v>144</v>
      </c>
      <c r="E98" s="484">
        <f>'7'!F98</f>
        <v>97525</v>
      </c>
      <c r="F98" s="478">
        <v>97538</v>
      </c>
      <c r="G98" s="473">
        <f t="shared" si="10"/>
        <v>13</v>
      </c>
      <c r="H98" s="460">
        <f>G98+'7'!H98</f>
        <v>111</v>
      </c>
      <c r="I98" s="480"/>
      <c r="J98" s="552">
        <f>H98/DAY(B2)</f>
        <v>13.875</v>
      </c>
      <c r="K98" s="432"/>
      <c r="L98" s="377"/>
      <c r="N98" s="382"/>
    </row>
    <row r="99" spans="1:14" ht="27.75">
      <c r="A99" s="1144" t="s">
        <v>212</v>
      </c>
      <c r="B99" s="1145"/>
      <c r="C99" s="1145"/>
      <c r="D99" s="523" t="s">
        <v>144</v>
      </c>
      <c r="E99" s="484">
        <f>'7'!F99</f>
        <v>149573</v>
      </c>
      <c r="F99" s="478">
        <v>149587</v>
      </c>
      <c r="G99" s="473">
        <f t="shared" si="10"/>
        <v>14</v>
      </c>
      <c r="H99" s="460">
        <f>G99+'7'!H99</f>
        <v>54</v>
      </c>
      <c r="I99" s="480"/>
      <c r="J99" s="552">
        <f>H99/DAY(B2)</f>
        <v>6.75</v>
      </c>
      <c r="K99" s="380"/>
      <c r="L99" s="377"/>
      <c r="N99" s="707"/>
    </row>
    <row r="100" spans="1:14" ht="27.75">
      <c r="A100" s="1144" t="s">
        <v>213</v>
      </c>
      <c r="B100" s="1145"/>
      <c r="C100" s="1145"/>
      <c r="D100" s="523" t="s">
        <v>144</v>
      </c>
      <c r="E100" s="484">
        <f>'7'!F100</f>
        <v>7214</v>
      </c>
      <c r="F100" s="478">
        <v>7214</v>
      </c>
      <c r="G100" s="473">
        <f t="shared" si="10"/>
        <v>0</v>
      </c>
      <c r="H100" s="460">
        <f>G100+'7'!H100</f>
        <v>29</v>
      </c>
      <c r="I100" s="480"/>
      <c r="J100" s="552">
        <f>H100/DAY(B2)</f>
        <v>3.625</v>
      </c>
      <c r="K100" s="380"/>
      <c r="L100" s="377"/>
      <c r="N100" s="382"/>
    </row>
    <row r="101" spans="1:14" ht="27.75">
      <c r="A101" s="1144" t="s">
        <v>214</v>
      </c>
      <c r="B101" s="1145"/>
      <c r="C101" s="1145"/>
      <c r="D101" s="523" t="s">
        <v>144</v>
      </c>
      <c r="E101" s="484">
        <f>'7'!F101</f>
        <v>5205</v>
      </c>
      <c r="F101" s="478">
        <v>5212</v>
      </c>
      <c r="G101" s="473">
        <f t="shared" si="10"/>
        <v>7</v>
      </c>
      <c r="H101" s="460">
        <f>G101+'7'!H101</f>
        <v>74</v>
      </c>
      <c r="I101" s="480"/>
      <c r="J101" s="552">
        <f>H101/DAY(B2)</f>
        <v>9.25</v>
      </c>
      <c r="K101" s="380"/>
      <c r="L101" s="377"/>
      <c r="N101" s="382"/>
    </row>
    <row r="102" spans="1:14">
      <c r="A102" s="1553" t="s">
        <v>216</v>
      </c>
      <c r="B102" s="1554"/>
      <c r="C102" s="1555"/>
      <c r="D102" s="524"/>
      <c r="E102" s="524"/>
      <c r="F102" s="524"/>
      <c r="G102" s="525">
        <f>SUM(G96:G101)</f>
        <v>121</v>
      </c>
      <c r="H102" s="460">
        <f>G102+'7'!H102</f>
        <v>766</v>
      </c>
      <c r="I102" s="526"/>
      <c r="J102" s="552">
        <f>H102/DAY(B2)</f>
        <v>95.75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532">
        <f>'7'!F105</f>
        <v>7349</v>
      </c>
      <c r="F105" s="661">
        <v>7349</v>
      </c>
      <c r="G105" s="532">
        <f>F105-E105</f>
        <v>0</v>
      </c>
      <c r="H105" s="460">
        <f>G105+'7'!H105</f>
        <v>13</v>
      </c>
      <c r="I105" s="532"/>
      <c r="J105" s="558">
        <f>H105/DAY(B2)</f>
        <v>1.625</v>
      </c>
      <c r="N105" s="382"/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532">
        <f>'7'!F106</f>
        <v>35697</v>
      </c>
      <c r="F106" s="807">
        <v>35703</v>
      </c>
      <c r="G106" s="532">
        <f t="shared" ref="G106:G107" si="11">F106-E106</f>
        <v>6</v>
      </c>
      <c r="H106" s="460">
        <f>G106+'7'!H106</f>
        <v>31</v>
      </c>
      <c r="I106" s="532"/>
      <c r="J106" s="558">
        <f>H106/DAY(B2)</f>
        <v>3.875</v>
      </c>
      <c r="N106" s="382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532">
        <f>'7'!F107</f>
        <v>19457</v>
      </c>
      <c r="F107" s="662">
        <v>19465</v>
      </c>
      <c r="G107" s="532">
        <f t="shared" si="11"/>
        <v>8</v>
      </c>
      <c r="H107" s="460">
        <f>G107+'7'!H107</f>
        <v>30</v>
      </c>
      <c r="I107" s="532"/>
      <c r="J107" s="558">
        <f>H107/DAY(B2)</f>
        <v>3.75</v>
      </c>
      <c r="N107" s="382"/>
    </row>
    <row r="108" spans="1:14" s="442" customFormat="1" ht="27.75">
      <c r="A108" s="1519" t="s">
        <v>202</v>
      </c>
      <c r="B108" s="1520"/>
      <c r="C108" s="1143"/>
      <c r="D108" s="622"/>
      <c r="E108" s="532"/>
      <c r="F108" s="662"/>
      <c r="G108" s="532">
        <f>SUM(G105:G107)</f>
        <v>14</v>
      </c>
      <c r="H108" s="460">
        <f>G108+'7'!H108</f>
        <v>74</v>
      </c>
      <c r="I108" s="532"/>
      <c r="J108" s="558">
        <f>H108/DAY(B2)</f>
        <v>9.25</v>
      </c>
      <c r="N108" s="382"/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532"/>
      <c r="F109" s="662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532">
        <f>'7'!F110</f>
        <v>61538</v>
      </c>
      <c r="F110" s="662">
        <v>61579</v>
      </c>
      <c r="G110" s="532">
        <f>F110-E110</f>
        <v>41</v>
      </c>
      <c r="H110" s="460">
        <f>G110+'7'!H110</f>
        <v>405</v>
      </c>
      <c r="I110" s="532"/>
      <c r="J110" s="558">
        <f>H110/DAY(B2)</f>
        <v>50.625</v>
      </c>
      <c r="N110" s="382"/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532">
        <f>'7'!F111</f>
        <v>32267</v>
      </c>
      <c r="F111" s="807">
        <v>32279</v>
      </c>
      <c r="G111" s="532">
        <f t="shared" ref="G111:G112" si="12">F111-E111</f>
        <v>12</v>
      </c>
      <c r="H111" s="460">
        <f>G111+'7'!H111</f>
        <v>44</v>
      </c>
      <c r="I111" s="532"/>
      <c r="J111" s="558">
        <f>H111/DAY(B2)</f>
        <v>5.5</v>
      </c>
      <c r="N111" s="382"/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532">
        <f>'7'!F112</f>
        <v>4460</v>
      </c>
      <c r="F112" s="807">
        <v>4460</v>
      </c>
      <c r="G112" s="532">
        <f t="shared" si="12"/>
        <v>0</v>
      </c>
      <c r="H112" s="460">
        <f>G112+'7'!H112</f>
        <v>92</v>
      </c>
      <c r="I112" s="532"/>
      <c r="J112" s="558">
        <f>H112/DAY(B2)</f>
        <v>11.5</v>
      </c>
      <c r="N112" s="382"/>
    </row>
    <row r="113" spans="1:14" s="442" customFormat="1" ht="27.75">
      <c r="A113" s="1519" t="s">
        <v>110</v>
      </c>
      <c r="B113" s="1520"/>
      <c r="C113" s="1143"/>
      <c r="D113" s="622"/>
      <c r="E113" s="532"/>
      <c r="F113" s="662"/>
      <c r="G113" s="532">
        <f>SUM(G110:G112)</f>
        <v>53</v>
      </c>
      <c r="H113" s="460">
        <f>G113+'7'!H113</f>
        <v>541</v>
      </c>
      <c r="I113" s="532"/>
      <c r="J113" s="558">
        <f>H113/DAY(B2)</f>
        <v>67.625</v>
      </c>
      <c r="N113" s="382"/>
    </row>
    <row r="114" spans="1:14" s="442" customFormat="1" ht="27.75">
      <c r="A114" s="1523" t="s">
        <v>223</v>
      </c>
      <c r="B114" s="1524"/>
      <c r="C114" s="1143"/>
      <c r="D114" s="622"/>
      <c r="E114" s="532"/>
      <c r="F114" s="662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2">
        <f>'7'!F115</f>
        <v>11294</v>
      </c>
      <c r="F115" s="662">
        <v>11298</v>
      </c>
      <c r="G115" s="534">
        <f>F115-E115</f>
        <v>4</v>
      </c>
      <c r="H115" s="460">
        <f>G115+'7'!H115</f>
        <v>39</v>
      </c>
      <c r="I115" s="532"/>
      <c r="J115" s="558">
        <f>H115/DAY(B2)</f>
        <v>4.875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2">
        <f>'7'!F116</f>
        <v>8175</v>
      </c>
      <c r="F116" s="662">
        <v>8179</v>
      </c>
      <c r="G116" s="534">
        <f t="shared" ref="G116:G117" si="13">F116-E116</f>
        <v>4</v>
      </c>
      <c r="H116" s="460">
        <f>G116+'7'!H116</f>
        <v>53</v>
      </c>
      <c r="I116" s="532"/>
      <c r="J116" s="558">
        <f>H116/DAY(B2)</f>
        <v>6.625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8</v>
      </c>
      <c r="H118" s="460">
        <f>G118+'7'!H118</f>
        <v>92</v>
      </c>
      <c r="I118" s="534"/>
      <c r="J118" s="558">
        <f>H118/DAY(B2)</f>
        <v>11.5</v>
      </c>
      <c r="N118" s="382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108</v>
      </c>
      <c r="G119" s="536">
        <f>SUM(G19+G93)</f>
        <v>108</v>
      </c>
      <c r="H119" s="460">
        <f>G119+'7'!H119</f>
        <v>688</v>
      </c>
      <c r="I119" s="535"/>
      <c r="J119" s="559">
        <f>H119/DAY(B2)</f>
        <v>86</v>
      </c>
      <c r="N119" s="382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107</v>
      </c>
      <c r="G120" s="536">
        <f>SUM(G96,G97,G98,G100,G101)</f>
        <v>107</v>
      </c>
      <c r="H120" s="460">
        <f>G120+'7'!H120</f>
        <v>712</v>
      </c>
      <c r="I120" s="535"/>
      <c r="J120" s="559">
        <f>H120/DAY(B2)</f>
        <v>89</v>
      </c>
      <c r="N120" s="382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53</v>
      </c>
      <c r="G121" s="534">
        <f>SUM(G113)</f>
        <v>53</v>
      </c>
      <c r="H121" s="460">
        <f>G121+'7'!H121</f>
        <v>541</v>
      </c>
      <c r="I121" s="535"/>
      <c r="J121" s="559">
        <f>H121/DAY(B2)</f>
        <v>67.625</v>
      </c>
      <c r="N121" s="382"/>
    </row>
    <row r="122" spans="1:14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'7'!F124</f>
        <v>827522</v>
      </c>
      <c r="F124" s="478">
        <v>827731.84</v>
      </c>
      <c r="G124" s="473">
        <f t="shared" ref="G124:G128" si="14">F124-E124</f>
        <v>209.8399999999674</v>
      </c>
      <c r="H124" s="460">
        <f>G124+'7'!H124</f>
        <v>1643.3800000000047</v>
      </c>
      <c r="I124" s="526"/>
      <c r="J124" s="552">
        <f>H124/DAY(B2)</f>
        <v>205.42250000000058</v>
      </c>
      <c r="K124" s="380"/>
      <c r="L124" s="377"/>
      <c r="N124" s="382"/>
    </row>
    <row r="125" spans="1:14" ht="27.75">
      <c r="A125" s="1144" t="s">
        <v>232</v>
      </c>
      <c r="B125" s="1145"/>
      <c r="C125" s="1145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'7'!F126</f>
        <v>145102</v>
      </c>
      <c r="F126" s="478">
        <v>145179.5</v>
      </c>
      <c r="G126" s="473">
        <f t="shared" si="14"/>
        <v>77.5</v>
      </c>
      <c r="H126" s="460">
        <f>G126+'7'!H126</f>
        <v>492.05999999999767</v>
      </c>
      <c r="I126" s="526"/>
      <c r="J126" s="552">
        <f>H126/DAY(B2)</f>
        <v>61.507499999999709</v>
      </c>
      <c r="K126" s="380"/>
      <c r="L126" s="377"/>
      <c r="N126" s="382"/>
    </row>
    <row r="127" spans="1:14" ht="27.75">
      <c r="A127" s="609" t="s">
        <v>234</v>
      </c>
      <c r="B127" s="1145"/>
      <c r="C127" s="1145"/>
      <c r="D127" s="523" t="s">
        <v>141</v>
      </c>
      <c r="E127" s="626">
        <f>'7'!F127</f>
        <v>31404</v>
      </c>
      <c r="F127" s="626">
        <v>31404.2</v>
      </c>
      <c r="G127" s="473">
        <f t="shared" si="14"/>
        <v>0.2000000000007276</v>
      </c>
      <c r="H127" s="460">
        <f>G127+'7'!H127</f>
        <v>0.2000000000007276</v>
      </c>
      <c r="I127" s="526"/>
      <c r="J127" s="552">
        <f>H127/DAY(B2)</f>
        <v>2.5000000000090949E-2</v>
      </c>
      <c r="K127" s="380"/>
      <c r="L127" s="377"/>
      <c r="N127" s="382"/>
    </row>
    <row r="128" spans="1:14" ht="27.75">
      <c r="A128" s="609" t="s">
        <v>235</v>
      </c>
      <c r="B128" s="1145"/>
      <c r="C128" s="1145"/>
      <c r="D128" s="523" t="s">
        <v>141</v>
      </c>
      <c r="E128" s="626">
        <f>'7'!F128</f>
        <v>8970</v>
      </c>
      <c r="F128" s="626">
        <v>8970.6</v>
      </c>
      <c r="G128" s="473">
        <f t="shared" si="14"/>
        <v>0.6000000000003638</v>
      </c>
      <c r="H128" s="460">
        <f>G128+'7'!H128</f>
        <v>0.8999999999996362</v>
      </c>
      <c r="I128" s="480"/>
      <c r="J128" s="552">
        <f>H128/DAY(B2)</f>
        <v>0.11249999999995453</v>
      </c>
      <c r="K128" s="380"/>
      <c r="L128" s="377"/>
      <c r="N128" s="382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324.9400000000187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4" t="s">
        <v>241</v>
      </c>
      <c r="B133" s="1145"/>
      <c r="C133" s="1145"/>
      <c r="D133" s="523" t="s">
        <v>239</v>
      </c>
      <c r="E133" s="704">
        <f>'7'!F133</f>
        <v>39913.599999999999</v>
      </c>
      <c r="F133" s="626">
        <v>39937.25</v>
      </c>
      <c r="G133" s="473">
        <f t="shared" si="15"/>
        <v>23.650000000001455</v>
      </c>
      <c r="H133" s="460">
        <f>G133+'7'!H133</f>
        <v>190.7699999999968</v>
      </c>
      <c r="I133" s="480"/>
      <c r="J133" s="552">
        <f>H133/DAY(B2)</f>
        <v>23.8462499999996</v>
      </c>
      <c r="N133" s="382">
        <f>F133-24</f>
        <v>39913.25</v>
      </c>
    </row>
    <row r="134" spans="1:14" ht="27.75">
      <c r="A134" s="1144" t="s">
        <v>242</v>
      </c>
      <c r="B134" s="1145"/>
      <c r="C134" s="1145"/>
      <c r="D134" s="523" t="s">
        <v>239</v>
      </c>
      <c r="E134" s="522">
        <f>'7'!F134</f>
        <v>300</v>
      </c>
      <c r="F134" s="485">
        <v>300</v>
      </c>
      <c r="G134" s="473">
        <f t="shared" si="15"/>
        <v>0</v>
      </c>
      <c r="H134" s="460">
        <f>G134+'7'!H134</f>
        <v>0</v>
      </c>
      <c r="I134" s="480">
        <f>G131+G132+G133+G134</f>
        <v>23.650000000001455</v>
      </c>
      <c r="J134" s="552">
        <f>H134/DAY(B2)</f>
        <v>0</v>
      </c>
      <c r="N134" s="382"/>
    </row>
    <row r="135" spans="1:14" ht="27.75">
      <c r="A135" s="1144" t="s">
        <v>243</v>
      </c>
      <c r="B135" s="1145"/>
      <c r="C135" s="1145"/>
      <c r="D135" s="523" t="s">
        <v>239</v>
      </c>
      <c r="E135" s="704">
        <f>'7'!F135</f>
        <v>41385</v>
      </c>
      <c r="F135" s="626">
        <v>41393.33</v>
      </c>
      <c r="G135" s="473">
        <f t="shared" si="15"/>
        <v>8.3300000000017462</v>
      </c>
      <c r="H135" s="460">
        <f>G135+'7'!H135</f>
        <v>8.3300000000017462</v>
      </c>
      <c r="I135" s="480"/>
      <c r="J135" s="552">
        <f>H135/DAY(B2)</f>
        <v>1.0412500000002183</v>
      </c>
      <c r="N135" s="382"/>
    </row>
    <row r="136" spans="1:14" ht="27.75">
      <c r="A136" s="1144" t="s">
        <v>244</v>
      </c>
      <c r="B136" s="1145"/>
      <c r="C136" s="1145"/>
      <c r="D136" s="523" t="s">
        <v>239</v>
      </c>
      <c r="E136" s="704">
        <f>'7'!F136</f>
        <v>32582.560000000001</v>
      </c>
      <c r="F136" s="626">
        <v>32582.560000000001</v>
      </c>
      <c r="G136" s="473">
        <f t="shared" si="15"/>
        <v>0</v>
      </c>
      <c r="H136" s="460">
        <f>G136+'7'!H136</f>
        <v>-0.43999999999869033</v>
      </c>
      <c r="I136" s="480"/>
      <c r="J136" s="552">
        <f>H136/DAY(B2)</f>
        <v>-5.4999999999836291E-2</v>
      </c>
      <c r="N136" s="382"/>
    </row>
    <row r="137" spans="1:14" ht="27.75">
      <c r="A137" s="1144" t="s">
        <v>245</v>
      </c>
      <c r="B137" s="1145"/>
      <c r="C137" s="1145"/>
      <c r="D137" s="523" t="s">
        <v>239</v>
      </c>
      <c r="E137" s="541">
        <f>'7'!F137</f>
        <v>22749.51</v>
      </c>
      <c r="F137" s="654">
        <v>22755.26</v>
      </c>
      <c r="G137" s="473">
        <f t="shared" si="15"/>
        <v>5.75</v>
      </c>
      <c r="H137" s="460">
        <f>G137+'7'!H137</f>
        <v>15.669999999998254</v>
      </c>
      <c r="I137" s="480">
        <f>G135+G136+G137</f>
        <v>14.080000000001746</v>
      </c>
      <c r="J137" s="552">
        <f>H137/DAY(B2)</f>
        <v>1.9587499999997817</v>
      </c>
      <c r="N137" s="382"/>
    </row>
    <row r="138" spans="1:14" ht="27.75">
      <c r="A138" s="1144" t="s">
        <v>246</v>
      </c>
      <c r="B138" s="1145"/>
      <c r="C138" s="1145"/>
      <c r="D138" s="523" t="s">
        <v>239</v>
      </c>
      <c r="E138" s="541">
        <f>'7'!F138</f>
        <v>25051.59</v>
      </c>
      <c r="F138" s="654">
        <v>25051.59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4" t="s">
        <v>247</v>
      </c>
      <c r="B139" s="1145"/>
      <c r="C139" s="1145"/>
      <c r="D139" s="523" t="s">
        <v>239</v>
      </c>
      <c r="E139" s="541">
        <f>'7'!F139</f>
        <v>70336.2</v>
      </c>
      <c r="F139" s="654">
        <v>70338.14</v>
      </c>
      <c r="G139" s="473">
        <f t="shared" si="15"/>
        <v>1.9400000000023283</v>
      </c>
      <c r="H139" s="460">
        <f>G139+'7'!H139</f>
        <v>22.330000000001746</v>
      </c>
      <c r="I139" s="480">
        <f>G138+G139</f>
        <v>1.9400000000023283</v>
      </c>
      <c r="J139" s="552">
        <f>H139/DAY(B2)</f>
        <v>2.7912500000002183</v>
      </c>
      <c r="N139" s="382"/>
    </row>
    <row r="140" spans="1:14" ht="27.75">
      <c r="A140" s="1144" t="s">
        <v>248</v>
      </c>
      <c r="B140" s="1145"/>
      <c r="C140" s="1145"/>
      <c r="D140" s="523" t="s">
        <v>239</v>
      </c>
      <c r="E140" s="704">
        <f>'7'!F140</f>
        <v>1671.25</v>
      </c>
      <c r="F140" s="626">
        <v>1679.24</v>
      </c>
      <c r="G140" s="473">
        <f t="shared" si="15"/>
        <v>7.9900000000000091</v>
      </c>
      <c r="H140" s="460">
        <f>G140+'7'!H140</f>
        <v>62.380000000000109</v>
      </c>
      <c r="I140" s="542"/>
      <c r="J140" s="552">
        <f>H140/DAY(B2)</f>
        <v>7.7975000000000136</v>
      </c>
      <c r="N140" s="382"/>
    </row>
    <row r="141" spans="1:14" ht="27.75">
      <c r="A141" s="1144" t="s">
        <v>249</v>
      </c>
      <c r="B141" s="1145"/>
      <c r="C141" s="1145"/>
      <c r="D141" s="523" t="s">
        <v>239</v>
      </c>
      <c r="E141" s="484">
        <f>'7'!F141</f>
        <v>4637</v>
      </c>
      <c r="F141" s="478">
        <v>4636.88</v>
      </c>
      <c r="G141" s="473">
        <f t="shared" si="15"/>
        <v>-0.11999999999989086</v>
      </c>
      <c r="H141" s="460">
        <f>G141+'7'!H141</f>
        <v>-0.11999999999989086</v>
      </c>
      <c r="I141" s="542"/>
      <c r="J141" s="552">
        <f>H141/DAY(B2)</f>
        <v>-1.4999999999986358E-2</v>
      </c>
      <c r="N141" s="382"/>
    </row>
    <row r="142" spans="1:14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4852.8699999999953</v>
      </c>
      <c r="H143" s="460">
        <f>G143+'7'!H143</f>
        <v>35412.739999999991</v>
      </c>
      <c r="I143" s="480"/>
      <c r="J143" s="552">
        <f>H143/DAY(B2)</f>
        <v>4426.5924999999988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0.24946640620983887</v>
      </c>
      <c r="H144" s="460">
        <f>G144+'7'!H144</f>
        <v>2.1879374394483104</v>
      </c>
      <c r="I144" s="544"/>
      <c r="J144" s="552">
        <f>H144/DAY(B2)</f>
        <v>0.2734921799310388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4895.3799999999901</v>
      </c>
      <c r="H145" s="460">
        <f>G145+'7'!H145</f>
        <v>38955.910000000018</v>
      </c>
      <c r="I145" s="480"/>
      <c r="J145" s="552">
        <f>H145/DAY(B2)</f>
        <v>4869.4887500000023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0.25165167326376342</v>
      </c>
      <c r="H146" s="460">
        <f>G146+'7'!H146</f>
        <v>2.4113666608057689</v>
      </c>
      <c r="I146" s="544"/>
      <c r="J146" s="552">
        <f>H146/DAY(B2)</f>
        <v>0.30142083260072111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2445.820000000007</v>
      </c>
      <c r="H147" s="460">
        <f>G147+'7'!H147</f>
        <v>18590.820000000007</v>
      </c>
      <c r="I147" s="545"/>
      <c r="J147" s="552">
        <f>H147/DAY(B2)</f>
        <v>2323.8525000000009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0.12572970750012888</v>
      </c>
      <c r="H148" s="460">
        <f>G148+'7'!H148</f>
        <v>1.1489501979937093</v>
      </c>
      <c r="I148" s="545"/>
      <c r="J148" s="552">
        <f>H148/DAY(B2)</f>
        <v>0.14361877474921367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1203.3399999999529</v>
      </c>
      <c r="H149" s="460">
        <f>G149+'7'!H149</f>
        <v>9972.3399999999529</v>
      </c>
      <c r="I149" s="480"/>
      <c r="J149" s="552">
        <f>H149/DAY(B2)</f>
        <v>1246.5424999999941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6.1858839253583139E-2</v>
      </c>
      <c r="H150" s="460">
        <f>G150+'7'!H150</f>
        <v>0.61743049411191486</v>
      </c>
      <c r="I150" s="545"/>
      <c r="J150" s="552">
        <f>H150/DAY(B2)</f>
        <v>7.7178811763989358E-2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1386.3099999999977</v>
      </c>
      <c r="H151" s="460">
        <f>G151+'7'!H151</f>
        <v>10456.309999999998</v>
      </c>
      <c r="I151" s="545"/>
      <c r="J151" s="552">
        <f>H151/DAY(B2)</f>
        <v>1307.0387499999997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7.1264586439109531E-2</v>
      </c>
      <c r="H152" s="460">
        <f>G152+'7'!H152</f>
        <v>0.645871802594711</v>
      </c>
      <c r="I152" s="480"/>
      <c r="J152" s="552">
        <f>H152/DAY(B2)</f>
        <v>8.0733975324338875E-2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1346.8899999999994</v>
      </c>
      <c r="H153" s="460">
        <f>G153+'7'!H153</f>
        <v>9933.89</v>
      </c>
      <c r="I153" s="480"/>
      <c r="J153" s="552">
        <f>H153/DAY(B2)</f>
        <v>1241.7362499999999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6.9238163779365619E-2</v>
      </c>
      <c r="H154" s="460">
        <f>G154+'7'!H154</f>
        <v>0.61393680763843717</v>
      </c>
      <c r="I154" s="568"/>
      <c r="J154" s="569">
        <f>H154/DAY(B2)</f>
        <v>7.6742100954804646E-2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1064">
        <f>'7'!F161</f>
        <v>36502</v>
      </c>
      <c r="F161" s="661">
        <v>36586.199999999997</v>
      </c>
      <c r="G161" s="473">
        <f t="shared" ref="G161:G172" si="16">F161-E161</f>
        <v>84.19999999999709</v>
      </c>
    </row>
    <row r="162" spans="1:7">
      <c r="A162" s="788" t="s">
        <v>264</v>
      </c>
      <c r="B162" s="789"/>
      <c r="C162" s="789"/>
      <c r="D162" s="511" t="s">
        <v>187</v>
      </c>
      <c r="E162" s="1064">
        <f>'7'!F162</f>
        <v>85326</v>
      </c>
      <c r="F162" s="661">
        <v>85741.57</v>
      </c>
      <c r="G162" s="473">
        <f t="shared" si="16"/>
        <v>415.57000000000698</v>
      </c>
    </row>
    <row r="163" spans="1:7">
      <c r="A163" s="788" t="s">
        <v>265</v>
      </c>
      <c r="B163" s="789"/>
      <c r="C163" s="789"/>
      <c r="D163" s="511" t="s">
        <v>187</v>
      </c>
      <c r="E163" s="1064">
        <f>'7'!F163</f>
        <v>39835</v>
      </c>
      <c r="F163" s="661">
        <v>40045.4</v>
      </c>
      <c r="G163" s="473">
        <f t="shared" si="16"/>
        <v>210.40000000000146</v>
      </c>
    </row>
    <row r="164" spans="1:7">
      <c r="A164" s="788" t="s">
        <v>266</v>
      </c>
      <c r="B164" s="789"/>
      <c r="C164" s="789"/>
      <c r="D164" s="511" t="s">
        <v>187</v>
      </c>
      <c r="E164" s="1064">
        <f>'7'!F164</f>
        <v>6280</v>
      </c>
      <c r="F164" s="661">
        <v>6289.63</v>
      </c>
      <c r="G164" s="473">
        <f t="shared" si="16"/>
        <v>9.6300000000001091</v>
      </c>
    </row>
    <row r="165" spans="1:7">
      <c r="A165" s="790" t="s">
        <v>98</v>
      </c>
      <c r="B165" s="604"/>
      <c r="C165" s="604"/>
      <c r="D165" s="511" t="s">
        <v>187</v>
      </c>
      <c r="E165" s="1064">
        <v>20419</v>
      </c>
      <c r="F165" s="514">
        <f>F62</f>
        <v>20419</v>
      </c>
      <c r="G165" s="473">
        <f t="shared" si="16"/>
        <v>0</v>
      </c>
    </row>
    <row r="166" spans="1:7">
      <c r="A166" s="790" t="s">
        <v>188</v>
      </c>
      <c r="B166" s="604"/>
      <c r="C166" s="604"/>
      <c r="D166" s="511" t="s">
        <v>187</v>
      </c>
      <c r="E166" s="1064">
        <f>'7'!F166</f>
        <v>2386</v>
      </c>
      <c r="F166" s="514">
        <f t="shared" ref="F166:F172" si="17">F63</f>
        <v>2389.54</v>
      </c>
      <c r="G166" s="473">
        <f t="shared" si="16"/>
        <v>3.5399999999999636</v>
      </c>
    </row>
    <row r="167" spans="1:7" ht="27.75">
      <c r="A167" s="1500" t="s">
        <v>99</v>
      </c>
      <c r="B167" s="1500"/>
      <c r="C167" s="1500"/>
      <c r="D167" s="523" t="s">
        <v>187</v>
      </c>
      <c r="E167" s="1064">
        <f>'7'!F167</f>
        <v>154753</v>
      </c>
      <c r="F167" s="514">
        <f t="shared" si="17"/>
        <v>154960.59</v>
      </c>
      <c r="G167" s="473">
        <f t="shared" si="16"/>
        <v>207.58999999999651</v>
      </c>
    </row>
    <row r="168" spans="1:7" ht="27.75">
      <c r="A168" s="1500" t="s">
        <v>100</v>
      </c>
      <c r="B168" s="1500"/>
      <c r="C168" s="1500"/>
      <c r="D168" s="523" t="s">
        <v>187</v>
      </c>
      <c r="E168" s="1064">
        <f>'7'!F168</f>
        <v>155951</v>
      </c>
      <c r="F168" s="514">
        <f t="shared" si="17"/>
        <v>156159.20000000001</v>
      </c>
      <c r="G168" s="473">
        <f t="shared" si="16"/>
        <v>208.20000000001164</v>
      </c>
    </row>
    <row r="169" spans="1:7" ht="27.75">
      <c r="A169" s="1500" t="s">
        <v>101</v>
      </c>
      <c r="B169" s="1500"/>
      <c r="C169" s="1500"/>
      <c r="D169" s="523" t="s">
        <v>187</v>
      </c>
      <c r="E169" s="1064">
        <f>'7'!F169</f>
        <v>50396</v>
      </c>
      <c r="F169" s="514">
        <f t="shared" si="17"/>
        <v>50673.49</v>
      </c>
      <c r="G169" s="473">
        <f t="shared" si="16"/>
        <v>277.48999999999796</v>
      </c>
    </row>
    <row r="170" spans="1:7" ht="27.75">
      <c r="A170" s="1500" t="s">
        <v>102</v>
      </c>
      <c r="B170" s="1500"/>
      <c r="C170" s="1500"/>
      <c r="D170" s="523" t="s">
        <v>187</v>
      </c>
      <c r="E170" s="1064">
        <f>'7'!F170</f>
        <v>244363</v>
      </c>
      <c r="F170" s="514">
        <f t="shared" si="17"/>
        <v>244529.27</v>
      </c>
      <c r="G170" s="473">
        <f t="shared" si="16"/>
        <v>166.26999999998952</v>
      </c>
    </row>
    <row r="171" spans="1:7" ht="27.75">
      <c r="A171" s="1500" t="s">
        <v>103</v>
      </c>
      <c r="B171" s="1500"/>
      <c r="C171" s="1500"/>
      <c r="D171" s="523" t="s">
        <v>187</v>
      </c>
      <c r="E171" s="1064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1064">
        <f>'7'!F172</f>
        <v>79477</v>
      </c>
      <c r="F172" s="514">
        <f t="shared" si="17"/>
        <v>79618.399999999994</v>
      </c>
      <c r="G172" s="473">
        <f t="shared" si="16"/>
        <v>141.39999999999418</v>
      </c>
    </row>
    <row r="177" ht="18.75" customHeight="1"/>
    <row r="185" ht="20.25" customHeight="1"/>
    <row r="186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15" zoomScale="55" zoomScaleNormal="80" zoomScaleSheetLayoutView="55" workbookViewId="0">
      <selection activeCell="F7" sqref="F7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4" s="281" customFormat="1" ht="27">
      <c r="A2" s="575" t="s">
        <v>367</v>
      </c>
      <c r="B2" s="1036">
        <v>44325</v>
      </c>
      <c r="C2" s="1146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6" t="s">
        <v>120</v>
      </c>
      <c r="D3" s="612">
        <v>29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5857289</v>
      </c>
      <c r="F7" s="455">
        <v>5872618</v>
      </c>
      <c r="G7" s="681">
        <f>F7-E7</f>
        <v>15329</v>
      </c>
      <c r="H7" s="682">
        <f>G7+'8'!H7</f>
        <v>145185</v>
      </c>
      <c r="I7" s="683">
        <f>'1'!I7</f>
        <v>12000</v>
      </c>
      <c r="J7" s="684">
        <f>H7/DAY(B2)</f>
        <v>16131.666666666666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5891695</v>
      </c>
      <c r="F8" s="475">
        <v>5907092</v>
      </c>
      <c r="G8" s="692">
        <f>F8-E8</f>
        <v>15397</v>
      </c>
      <c r="H8" s="682">
        <f>G8+'8'!H8</f>
        <v>145848</v>
      </c>
      <c r="I8" s="689">
        <v>12000</v>
      </c>
      <c r="J8" s="684">
        <f>H8/DAY(B2)</f>
        <v>16205.333333333334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1116375.5</v>
      </c>
      <c r="F9" s="478">
        <v>1131200</v>
      </c>
      <c r="G9" s="705">
        <f t="shared" ref="G9:G12" si="0">F9-E9</f>
        <v>14824.5</v>
      </c>
      <c r="H9" s="682">
        <f>G9+'8'!H9</f>
        <v>140486</v>
      </c>
      <c r="I9" s="693">
        <f>I7-J7</f>
        <v>-4131.6666666666661</v>
      </c>
      <c r="J9" s="684">
        <f>H9/DAY(B2)</f>
        <v>15609.555555555555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'8'!F11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'8'!F12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14824.5</v>
      </c>
      <c r="H13" s="682">
        <f>G13+'8'!H13</f>
        <v>140486</v>
      </c>
      <c r="I13" s="698">
        <f>G7-G13</f>
        <v>504.5</v>
      </c>
      <c r="J13" s="684">
        <f>H13/DAY(B2)</f>
        <v>15609.555555555555</v>
      </c>
      <c r="K13" s="428"/>
      <c r="L13" s="377"/>
      <c r="N13" s="382">
        <v>11077</v>
      </c>
    </row>
    <row r="14" spans="1:14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2" t="s">
        <v>140</v>
      </c>
      <c r="B15" s="1183"/>
      <c r="C15" s="1183"/>
      <c r="D15" s="1184" t="s">
        <v>141</v>
      </c>
      <c r="E15" s="703">
        <f>'8'!F15</f>
        <v>1674183.48</v>
      </c>
      <c r="F15" s="703">
        <v>1674707</v>
      </c>
      <c r="G15" s="681">
        <f>(F15-E15)</f>
        <v>523.52000000001863</v>
      </c>
      <c r="H15" s="1177">
        <f>G15+'8'!H15</f>
        <v>4050</v>
      </c>
      <c r="I15" s="1178">
        <v>800</v>
      </c>
      <c r="J15" s="1179">
        <f>H15/DAY(B2)</f>
        <v>450</v>
      </c>
      <c r="K15" s="1171"/>
      <c r="L15" s="1172"/>
      <c r="M15" s="1173"/>
      <c r="N15" s="1174">
        <v>330.54600000008941</v>
      </c>
    </row>
    <row r="16" spans="1:14">
      <c r="A16" s="1175"/>
      <c r="B16" s="1176"/>
      <c r="C16" s="1176"/>
      <c r="D16" s="1169"/>
      <c r="E16" s="1170"/>
      <c r="F16" s="1170"/>
      <c r="G16" s="1180"/>
      <c r="H16" s="1177"/>
      <c r="I16" s="1181">
        <f>I15-J15</f>
        <v>350</v>
      </c>
      <c r="J16" s="1179"/>
      <c r="K16" s="1171"/>
      <c r="L16" s="1172"/>
      <c r="M16" s="1173"/>
      <c r="N16" s="1174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8" t="s">
        <v>144</v>
      </c>
      <c r="E18" s="635">
        <f>'8'!F18</f>
        <v>6</v>
      </c>
      <c r="F18" s="478">
        <v>4</v>
      </c>
      <c r="G18" s="697">
        <f>F18*10</f>
        <v>40</v>
      </c>
      <c r="H18" s="682">
        <f>G18+'8'!H18</f>
        <v>420</v>
      </c>
      <c r="I18" s="683">
        <v>65</v>
      </c>
      <c r="J18" s="684">
        <f>H18/DAY(B2)</f>
        <v>46.666666666666664</v>
      </c>
      <c r="K18" s="428"/>
      <c r="L18" s="377"/>
      <c r="N18" s="382">
        <v>0</v>
      </c>
    </row>
    <row r="19" spans="1:14" ht="27.75">
      <c r="A19" s="1565" t="s">
        <v>71</v>
      </c>
      <c r="B19" s="1566"/>
      <c r="C19" s="1567"/>
      <c r="D19" s="638" t="s">
        <v>144</v>
      </c>
      <c r="E19" s="635">
        <f>'8'!F19</f>
        <v>138242</v>
      </c>
      <c r="F19" s="478">
        <v>138297</v>
      </c>
      <c r="G19" s="692">
        <f t="shared" ref="G19" si="1">F19-E19</f>
        <v>55</v>
      </c>
      <c r="H19" s="682">
        <f>G19+'8'!H19</f>
        <v>485</v>
      </c>
      <c r="I19" s="699"/>
      <c r="J19" s="684">
        <f>H19/DAY(B2)</f>
        <v>53.888888888888886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95</v>
      </c>
      <c r="H20" s="682">
        <f>G20+'8'!H20</f>
        <v>905</v>
      </c>
      <c r="I20" s="701">
        <f>I18-J20</f>
        <v>-35.555555555555557</v>
      </c>
      <c r="J20" s="684">
        <f>H20/DAY(B2)</f>
        <v>100.55555555555556</v>
      </c>
      <c r="K20" s="428"/>
      <c r="L20" s="377"/>
      <c r="N20" s="382">
        <v>55</v>
      </c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4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15397</v>
      </c>
      <c r="F27" s="501">
        <v>9</v>
      </c>
      <c r="G27" s="502">
        <f>E27*F27</f>
        <v>138573</v>
      </c>
      <c r="H27" s="460">
        <f>G27+'8'!H27</f>
        <v>1312632</v>
      </c>
      <c r="I27" s="503"/>
      <c r="J27" s="552">
        <f>H27/DAY(B2)</f>
        <v>145848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523.52000000001863</v>
      </c>
      <c r="F28" s="501">
        <v>51.45</v>
      </c>
      <c r="G28" s="502">
        <f>E28*F28</f>
        <v>26935.10400000096</v>
      </c>
      <c r="H28" s="460">
        <f>G28+'8'!H28</f>
        <v>201235.65</v>
      </c>
      <c r="I28" s="505"/>
      <c r="J28" s="552">
        <f>H28/DAY(B2)</f>
        <v>22359.516666666666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>E30*F30</f>
        <v>7370</v>
      </c>
      <c r="H30" s="460">
        <f>G30+'8'!H30</f>
        <v>64990</v>
      </c>
      <c r="I30" s="505"/>
      <c r="J30" s="552">
        <f>H30/DAY(B2)</f>
        <v>7221.1111111111113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40</v>
      </c>
      <c r="F31" s="501">
        <v>80</v>
      </c>
      <c r="G31" s="502">
        <f>E31*F31</f>
        <v>3200</v>
      </c>
      <c r="H31" s="460">
        <f>G31+'8'!H31</f>
        <v>33600</v>
      </c>
      <c r="I31" s="505"/>
      <c r="J31" s="552">
        <f>H31/DAY(B2)</f>
        <v>3733.3333333333335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176078.10400000095</v>
      </c>
      <c r="H32" s="460">
        <f>G32+'8'!H32</f>
        <v>1612457.6500000001</v>
      </c>
      <c r="I32" s="509"/>
      <c r="J32" s="552">
        <f>H32/DAY(B2)</f>
        <v>179161.96111111113</v>
      </c>
      <c r="K32" s="373"/>
      <c r="L32" s="443"/>
      <c r="N32" s="382">
        <v>133809.11000000313</v>
      </c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903746.47</v>
      </c>
      <c r="F35" s="510">
        <v>905872</v>
      </c>
      <c r="G35" s="473">
        <f t="shared" ref="G35:G46" si="3">F35-E35</f>
        <v>2125.5300000000279</v>
      </c>
      <c r="H35" s="460">
        <f>G35+'8'!H35</f>
        <v>19413</v>
      </c>
      <c r="I35" s="455"/>
      <c r="J35" s="552">
        <f>H35/DAY(B2)</f>
        <v>2157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347065</v>
      </c>
      <c r="F36" s="510">
        <v>347065</v>
      </c>
      <c r="G36" s="473">
        <f t="shared" si="3"/>
        <v>0</v>
      </c>
      <c r="H36" s="460">
        <f>G36+'8'!H36</f>
        <v>2457</v>
      </c>
      <c r="I36" s="455"/>
      <c r="J36" s="552">
        <f>H36/DAY(B2)</f>
        <v>273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105159.02</v>
      </c>
      <c r="F37" s="510">
        <v>106343</v>
      </c>
      <c r="G37" s="473">
        <f t="shared" si="3"/>
        <v>1183.9799999999959</v>
      </c>
      <c r="H37" s="460">
        <f>G37+'8'!H37</f>
        <v>11118</v>
      </c>
      <c r="I37" s="455"/>
      <c r="J37" s="552">
        <f>H37/DAY(B2)</f>
        <v>1235.3333333333333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129568.27</v>
      </c>
      <c r="F38" s="469">
        <v>130798</v>
      </c>
      <c r="G38" s="473">
        <f t="shared" si="3"/>
        <v>1229.7299999999959</v>
      </c>
      <c r="H38" s="460">
        <f>G38+'8'!H38</f>
        <v>11202</v>
      </c>
      <c r="I38" s="455"/>
      <c r="J38" s="552">
        <f>H38/DAY(B2)</f>
        <v>1244.6666666666667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260900.75</v>
      </c>
      <c r="F39" s="510">
        <v>262691</v>
      </c>
      <c r="G39" s="473">
        <f t="shared" si="3"/>
        <v>1790.25</v>
      </c>
      <c r="H39" s="460">
        <f>G39+'8'!H39</f>
        <v>16038</v>
      </c>
      <c r="I39" s="455"/>
      <c r="J39" s="552">
        <f>H39/DAY(B2)</f>
        <v>1782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220397.19</v>
      </c>
      <c r="F41" s="510">
        <v>225164</v>
      </c>
      <c r="G41" s="473">
        <f t="shared" si="3"/>
        <v>4766.8099999999977</v>
      </c>
      <c r="H41" s="460">
        <f>G41+'8'!H41</f>
        <v>43636</v>
      </c>
      <c r="I41" s="455"/>
      <c r="J41" s="552">
        <f>H41/DAY(B2)</f>
        <v>4848.4444444444443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59200.08</v>
      </c>
      <c r="F42" s="510">
        <v>59200</v>
      </c>
      <c r="G42" s="473">
        <f t="shared" si="3"/>
        <v>-8.000000000174623E-2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992083.27</v>
      </c>
      <c r="F43" s="510">
        <v>994224</v>
      </c>
      <c r="G43" s="473">
        <f t="shared" si="3"/>
        <v>2140.7299999999814</v>
      </c>
      <c r="H43" s="460">
        <f>G43+'8'!H43</f>
        <v>20266</v>
      </c>
      <c r="I43" s="455"/>
      <c r="J43" s="552">
        <f>H43/DAY(B2)</f>
        <v>2251.7777777777778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13236.949999999997</v>
      </c>
      <c r="H47" s="460">
        <f>G47+'8'!H47</f>
        <v>124130</v>
      </c>
      <c r="I47" s="455"/>
      <c r="J47" s="552">
        <f>H47/DAY(B2)</f>
        <v>13792.222222222223</v>
      </c>
      <c r="K47" s="428"/>
      <c r="L47" s="377"/>
      <c r="N47" s="382">
        <v>9418.6299999999901</v>
      </c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482535.31</v>
      </c>
      <c r="F50" s="510">
        <v>483397</v>
      </c>
      <c r="G50" s="473">
        <f t="shared" si="4"/>
        <v>861.69000000000233</v>
      </c>
      <c r="H50" s="460">
        <f>G50+'8'!H50</f>
        <v>8861</v>
      </c>
      <c r="I50" s="455"/>
      <c r="J50" s="552">
        <f>H50/DAY(B2)</f>
        <v>984.55555555555554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420654.07</v>
      </c>
      <c r="F53" s="510">
        <v>421167</v>
      </c>
      <c r="G53" s="473">
        <f t="shared" si="4"/>
        <v>512.92999999999302</v>
      </c>
      <c r="H53" s="460">
        <f>G53+'8'!H53</f>
        <v>4856</v>
      </c>
      <c r="I53" s="455"/>
      <c r="J53" s="552">
        <f>H53/DAY(B2)</f>
        <v>539.55555555555554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11960.7</v>
      </c>
      <c r="F54" s="510">
        <v>12032</v>
      </c>
      <c r="G54" s="473">
        <f t="shared" si="4"/>
        <v>71.299999999999272</v>
      </c>
      <c r="H54" s="460">
        <f>G54+'8'!H54</f>
        <v>4343</v>
      </c>
      <c r="I54" s="455"/>
      <c r="J54" s="552">
        <f>H54/DAY(B2)</f>
        <v>482.55555555555554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1979.37</v>
      </c>
      <c r="F55" s="656">
        <v>1979.37</v>
      </c>
      <c r="G55" s="655">
        <f t="shared" si="4"/>
        <v>0</v>
      </c>
      <c r="H55" s="708">
        <f>G55+'8'!H55</f>
        <v>0</v>
      </c>
      <c r="I55" s="709"/>
      <c r="J55" s="710">
        <f>H55/DAY(B2)</f>
        <v>0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589375.11</v>
      </c>
      <c r="F56" s="656">
        <v>589375.11</v>
      </c>
      <c r="G56" s="473">
        <f t="shared" si="4"/>
        <v>0</v>
      </c>
      <c r="H56" s="460">
        <f>G56+'8'!H56</f>
        <v>86.64000000001397</v>
      </c>
      <c r="I56" s="455"/>
      <c r="J56" s="552">
        <f>H56/DAY(B2)</f>
        <v>9.6266666666682195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47461.13</v>
      </c>
      <c r="F58" s="656">
        <v>47473</v>
      </c>
      <c r="G58" s="473">
        <f t="shared" si="4"/>
        <v>11.870000000002619</v>
      </c>
      <c r="H58" s="460">
        <f>G58+'8'!H58</f>
        <v>805</v>
      </c>
      <c r="I58" s="455"/>
      <c r="J58" s="552">
        <f>H58/DAY(B2)</f>
        <v>89.444444444444443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1457.7899999999972</v>
      </c>
      <c r="H59" s="460">
        <f>G59+'8'!H59</f>
        <v>18951.579999999958</v>
      </c>
      <c r="I59" s="455">
        <f>G7-G60</f>
        <v>634.26000000000568</v>
      </c>
      <c r="J59" s="552">
        <f>H59/DAY(B2)</f>
        <v>2105.7311111111067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14694.739999999994</v>
      </c>
      <c r="H60" s="460">
        <f>G60+'8'!H60</f>
        <v>143081.57999999996</v>
      </c>
      <c r="I60" s="455">
        <f>G13-G60</f>
        <v>129.76000000000568</v>
      </c>
      <c r="J60" s="552">
        <f>H60/DAY(B2)</f>
        <v>15897.953333333329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2389.54</v>
      </c>
      <c r="F63" s="514">
        <v>2393</v>
      </c>
      <c r="G63" s="473">
        <f t="shared" si="5"/>
        <v>3.4600000000000364</v>
      </c>
      <c r="H63" s="460">
        <f>G63+'8'!H63</f>
        <v>34</v>
      </c>
      <c r="I63" s="515"/>
      <c r="J63" s="552">
        <f>H63/DAY(B2)</f>
        <v>3.7777777777777777</v>
      </c>
      <c r="K63" s="428"/>
      <c r="L63" s="377"/>
      <c r="N63" s="382">
        <v>0</v>
      </c>
    </row>
    <row r="64" spans="1:14" ht="27.75">
      <c r="A64" s="1504" t="s">
        <v>99</v>
      </c>
      <c r="B64" s="1505"/>
      <c r="C64" s="1506"/>
      <c r="D64" s="523" t="s">
        <v>187</v>
      </c>
      <c r="E64" s="514">
        <f>'8'!F64</f>
        <v>154960.59</v>
      </c>
      <c r="F64" s="478">
        <v>155156</v>
      </c>
      <c r="G64" s="473">
        <f t="shared" si="5"/>
        <v>195.41000000000349</v>
      </c>
      <c r="H64" s="460">
        <f>G64+'8'!H64</f>
        <v>1857</v>
      </c>
      <c r="I64" s="480"/>
      <c r="J64" s="552">
        <f>H64/DAY(B2)</f>
        <v>206.33333333333334</v>
      </c>
      <c r="K64" s="428"/>
      <c r="L64" s="377"/>
      <c r="N64" s="382">
        <v>161.90400000000227</v>
      </c>
    </row>
    <row r="65" spans="1:14" ht="27.75">
      <c r="A65" s="1504" t="s">
        <v>100</v>
      </c>
      <c r="B65" s="1505"/>
      <c r="C65" s="1506"/>
      <c r="D65" s="523" t="s">
        <v>187</v>
      </c>
      <c r="E65" s="514">
        <f>'8'!F65</f>
        <v>156159.20000000001</v>
      </c>
      <c r="F65" s="654">
        <v>156346</v>
      </c>
      <c r="G65" s="473">
        <f t="shared" si="5"/>
        <v>186.79999999998836</v>
      </c>
      <c r="H65" s="460">
        <f>G65+'8'!H65</f>
        <v>1747</v>
      </c>
      <c r="I65" s="489"/>
      <c r="J65" s="552">
        <f>H65/DAY(B2)</f>
        <v>194.11111111111111</v>
      </c>
      <c r="K65" s="428"/>
      <c r="L65" s="377"/>
      <c r="N65" s="382">
        <v>215.74700000000303</v>
      </c>
    </row>
    <row r="66" spans="1:14" ht="27.75">
      <c r="A66" s="1504" t="s">
        <v>101</v>
      </c>
      <c r="B66" s="1505"/>
      <c r="C66" s="1506"/>
      <c r="D66" s="523" t="s">
        <v>187</v>
      </c>
      <c r="E66" s="514">
        <f>'8'!F66</f>
        <v>50673.49</v>
      </c>
      <c r="F66" s="654">
        <v>50927</v>
      </c>
      <c r="G66" s="473">
        <f t="shared" si="5"/>
        <v>253.51000000000204</v>
      </c>
      <c r="H66" s="460">
        <f>G66+'8'!H66</f>
        <v>2356</v>
      </c>
      <c r="I66" s="480"/>
      <c r="J66" s="552">
        <f>H66/DAY(B2)</f>
        <v>261.77777777777777</v>
      </c>
      <c r="K66" s="428"/>
      <c r="L66" s="377"/>
      <c r="N66" s="382">
        <v>243.63500000000204</v>
      </c>
    </row>
    <row r="67" spans="1:14" ht="27.75">
      <c r="A67" s="1504" t="s">
        <v>102</v>
      </c>
      <c r="B67" s="1505"/>
      <c r="C67" s="1506"/>
      <c r="D67" s="523" t="s">
        <v>187</v>
      </c>
      <c r="E67" s="514">
        <f>'8'!F67</f>
        <v>244529.27</v>
      </c>
      <c r="F67" s="478">
        <v>244700</v>
      </c>
      <c r="G67" s="473">
        <f t="shared" si="5"/>
        <v>170.73000000001048</v>
      </c>
      <c r="H67" s="460">
        <f>G67+'8'!H67</f>
        <v>1526</v>
      </c>
      <c r="I67" s="489"/>
      <c r="J67" s="552">
        <f>H67/DAY(B2)</f>
        <v>169.55555555555554</v>
      </c>
      <c r="K67" s="429"/>
      <c r="L67" s="377"/>
      <c r="N67" s="382">
        <v>74.99199999999837</v>
      </c>
    </row>
    <row r="68" spans="1:14" ht="27.75">
      <c r="A68" s="1504" t="s">
        <v>103</v>
      </c>
      <c r="B68" s="1505"/>
      <c r="C68" s="1506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04" t="s">
        <v>104</v>
      </c>
      <c r="B69" s="1505"/>
      <c r="C69" s="1506"/>
      <c r="D69" s="523" t="s">
        <v>187</v>
      </c>
      <c r="E69" s="514">
        <f>'8'!F69</f>
        <v>79618.399999999994</v>
      </c>
      <c r="F69" s="478">
        <v>79731</v>
      </c>
      <c r="G69" s="473">
        <f t="shared" si="5"/>
        <v>112.60000000000582</v>
      </c>
      <c r="H69" s="460">
        <f>G69+'8'!H69</f>
        <v>737</v>
      </c>
      <c r="I69" s="516"/>
      <c r="J69" s="552">
        <f>H69/DAY(B2)</f>
        <v>81.888888888888886</v>
      </c>
      <c r="K69" s="431"/>
      <c r="L69" s="377"/>
      <c r="N69" s="382">
        <v>12.727999999999156</v>
      </c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519">
        <f>'8'!F72</f>
        <v>855588</v>
      </c>
      <c r="F72" s="657">
        <v>855604</v>
      </c>
      <c r="G72" s="473">
        <f t="shared" ref="G72:G84" si="6">F72-E72</f>
        <v>16</v>
      </c>
      <c r="H72" s="460">
        <f>G72+'8'!H72</f>
        <v>143</v>
      </c>
      <c r="I72" s="480"/>
      <c r="J72" s="552">
        <f>H72/DAY(B2)</f>
        <v>15.888888888888889</v>
      </c>
      <c r="K72" s="431"/>
      <c r="L72" s="377"/>
      <c r="N72" s="382">
        <v>11</v>
      </c>
    </row>
    <row r="73" spans="1:14" ht="27.75">
      <c r="A73" s="1504" t="s">
        <v>192</v>
      </c>
      <c r="B73" s="1505"/>
      <c r="C73" s="1506"/>
      <c r="D73" s="523" t="s">
        <v>187</v>
      </c>
      <c r="E73" s="519">
        <f>'8'!F73</f>
        <v>885885</v>
      </c>
      <c r="F73" s="658">
        <v>885886</v>
      </c>
      <c r="G73" s="655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04" t="s">
        <v>193</v>
      </c>
      <c r="B74" s="1505"/>
      <c r="C74" s="1506"/>
      <c r="D74" s="523" t="s">
        <v>187</v>
      </c>
      <c r="E74" s="519">
        <f>'8'!F74</f>
        <v>2411.6999999999998</v>
      </c>
      <c r="F74" s="657">
        <v>2422</v>
      </c>
      <c r="G74" s="473">
        <f t="shared" si="6"/>
        <v>10.300000000000182</v>
      </c>
      <c r="H74" s="460">
        <f>G74+'8'!H74</f>
        <v>143</v>
      </c>
      <c r="I74" s="480"/>
      <c r="J74" s="552">
        <f>H74/DAY(B2)</f>
        <v>15.888888888888889</v>
      </c>
      <c r="K74" s="431"/>
      <c r="L74" s="377"/>
      <c r="N74" s="382">
        <v>11</v>
      </c>
    </row>
    <row r="75" spans="1:14" ht="27.75">
      <c r="A75" s="1501" t="s">
        <v>194</v>
      </c>
      <c r="B75" s="1502"/>
      <c r="C75" s="1503"/>
      <c r="D75" s="523" t="s">
        <v>187</v>
      </c>
      <c r="E75" s="519">
        <f>'8'!F75</f>
        <v>11406.63</v>
      </c>
      <c r="F75" s="658">
        <v>11458</v>
      </c>
      <c r="G75" s="473">
        <f t="shared" si="6"/>
        <v>51.3700000000008</v>
      </c>
      <c r="H75" s="460">
        <f>G75+'8'!H75</f>
        <v>488</v>
      </c>
      <c r="I75" s="480"/>
      <c r="J75" s="552">
        <f>H75/DAY(B2)</f>
        <v>54.222222222222221</v>
      </c>
      <c r="K75" s="430"/>
      <c r="L75" s="377"/>
      <c r="N75" s="382">
        <v>62</v>
      </c>
    </row>
    <row r="76" spans="1:14" ht="27.75">
      <c r="A76" s="1501" t="s">
        <v>195</v>
      </c>
      <c r="B76" s="1502"/>
      <c r="C76" s="1503"/>
      <c r="D76" s="523" t="s">
        <v>187</v>
      </c>
      <c r="E76" s="519">
        <f>'8'!F76</f>
        <v>6140.92</v>
      </c>
      <c r="F76" s="658">
        <v>6196</v>
      </c>
      <c r="G76" s="473">
        <f t="shared" si="6"/>
        <v>55.079999999999927</v>
      </c>
      <c r="H76" s="460">
        <f>G76+'8'!H76</f>
        <v>487</v>
      </c>
      <c r="I76" s="505"/>
      <c r="J76" s="552">
        <f>H76/DAY(B2)</f>
        <v>54.111111111111114</v>
      </c>
      <c r="K76" s="430"/>
      <c r="L76" s="377"/>
      <c r="N76" s="382">
        <v>4</v>
      </c>
    </row>
    <row r="77" spans="1:14" ht="27.75">
      <c r="A77" s="1504" t="s">
        <v>196</v>
      </c>
      <c r="B77" s="1505"/>
      <c r="C77" s="1506"/>
      <c r="D77" s="523" t="s">
        <v>187</v>
      </c>
      <c r="E77" s="519">
        <f>'8'!F77</f>
        <v>701955</v>
      </c>
      <c r="F77" s="658">
        <v>702003</v>
      </c>
      <c r="G77" s="655">
        <f t="shared" si="6"/>
        <v>48</v>
      </c>
      <c r="H77" s="460">
        <f>G77+'8'!H77</f>
        <v>441</v>
      </c>
      <c r="I77" s="505"/>
      <c r="J77" s="552">
        <f>H77/DAY(B2)</f>
        <v>49</v>
      </c>
      <c r="K77" s="430"/>
      <c r="L77" s="377"/>
      <c r="N77" s="382">
        <v>19</v>
      </c>
    </row>
    <row r="78" spans="1:14" ht="27.75">
      <c r="A78" s="1147" t="s">
        <v>197</v>
      </c>
      <c r="B78" s="1120"/>
      <c r="C78" s="1120"/>
      <c r="D78" s="523" t="s">
        <v>187</v>
      </c>
      <c r="E78" s="519">
        <f>'8'!F78</f>
        <v>670636</v>
      </c>
      <c r="F78" s="659">
        <v>670702</v>
      </c>
      <c r="G78" s="473">
        <f t="shared" si="6"/>
        <v>66</v>
      </c>
      <c r="H78" s="460">
        <f>G78+'8'!H78</f>
        <v>677</v>
      </c>
      <c r="I78" s="505"/>
      <c r="J78" s="552">
        <f>H78/DAY(B2)</f>
        <v>75.222222222222229</v>
      </c>
      <c r="K78" s="430"/>
      <c r="L78" s="377"/>
      <c r="N78" s="382">
        <v>31</v>
      </c>
    </row>
    <row r="79" spans="1:14" ht="27.75">
      <c r="A79" s="1501" t="s">
        <v>92</v>
      </c>
      <c r="B79" s="1502"/>
      <c r="C79" s="1503"/>
      <c r="D79" s="524" t="s">
        <v>187</v>
      </c>
      <c r="E79" s="519">
        <f>'8'!F79</f>
        <v>828094</v>
      </c>
      <c r="F79" s="659">
        <v>828200</v>
      </c>
      <c r="G79" s="473">
        <f t="shared" si="6"/>
        <v>106</v>
      </c>
      <c r="H79" s="460">
        <f>G79+'8'!H79</f>
        <v>1416</v>
      </c>
      <c r="I79" s="505"/>
      <c r="J79" s="552">
        <f>H79/DAY(B2)</f>
        <v>157.33333333333334</v>
      </c>
      <c r="K79" s="430"/>
      <c r="L79" s="377"/>
      <c r="N79" s="382">
        <v>100</v>
      </c>
    </row>
    <row r="80" spans="1:14" ht="27.75">
      <c r="A80" s="1501" t="s">
        <v>198</v>
      </c>
      <c r="B80" s="1502"/>
      <c r="C80" s="1503"/>
      <c r="D80" s="524" t="s">
        <v>187</v>
      </c>
      <c r="E80" s="519">
        <f>'8'!F80</f>
        <v>519663.72</v>
      </c>
      <c r="F80" s="1318">
        <v>520053</v>
      </c>
      <c r="G80" s="473">
        <f t="shared" si="6"/>
        <v>389.28000000002794</v>
      </c>
      <c r="H80" s="460">
        <f>G80+'8'!H80</f>
        <v>3315</v>
      </c>
      <c r="I80" s="505"/>
      <c r="J80" s="552">
        <f>H80/DAY(B2)</f>
        <v>368.33333333333331</v>
      </c>
      <c r="K80" s="430"/>
      <c r="L80" s="377"/>
      <c r="N80" s="382">
        <v>158.95999999996275</v>
      </c>
    </row>
    <row r="81" spans="1:15" ht="27.75">
      <c r="A81" s="1501" t="s">
        <v>199</v>
      </c>
      <c r="B81" s="1502"/>
      <c r="C81" s="1503"/>
      <c r="D81" s="524" t="s">
        <v>187</v>
      </c>
      <c r="E81" s="519">
        <f>'8'!F81</f>
        <v>637063.80000000005</v>
      </c>
      <c r="F81" s="658">
        <v>637140</v>
      </c>
      <c r="G81" s="473">
        <f t="shared" si="6"/>
        <v>76.199999999953434</v>
      </c>
      <c r="H81" s="460">
        <f>G81+'8'!H81</f>
        <v>662</v>
      </c>
      <c r="I81" s="505"/>
      <c r="J81" s="552">
        <f>H81/DAY(B2)</f>
        <v>73.555555555555557</v>
      </c>
      <c r="K81" s="430"/>
      <c r="L81" s="377"/>
      <c r="N81" s="382">
        <v>79.199999999953434</v>
      </c>
    </row>
    <row r="82" spans="1:15" ht="27.75">
      <c r="A82" s="1501" t="s">
        <v>93</v>
      </c>
      <c r="B82" s="1502"/>
      <c r="C82" s="1503"/>
      <c r="D82" s="485" t="s">
        <v>132</v>
      </c>
      <c r="E82" s="519">
        <f>'8'!F82</f>
        <v>107756.66</v>
      </c>
      <c r="F82" s="654">
        <v>107790</v>
      </c>
      <c r="G82" s="473">
        <f t="shared" si="6"/>
        <v>33.339999999996508</v>
      </c>
      <c r="H82" s="460">
        <f>G82+'8'!H82</f>
        <v>178</v>
      </c>
      <c r="I82" s="486"/>
      <c r="J82" s="552">
        <f>H82/DAY(B2)</f>
        <v>19.777777777777779</v>
      </c>
      <c r="K82" s="430"/>
      <c r="L82" s="377"/>
      <c r="N82" s="382">
        <v>30.149999999994179</v>
      </c>
    </row>
    <row r="83" spans="1:15" ht="27.75">
      <c r="A83" s="1501" t="s">
        <v>200</v>
      </c>
      <c r="B83" s="1502"/>
      <c r="C83" s="1503"/>
      <c r="D83" s="620" t="s">
        <v>132</v>
      </c>
      <c r="E83" s="519">
        <f>'8'!F83</f>
        <v>16451</v>
      </c>
      <c r="F83" s="511">
        <v>16683</v>
      </c>
      <c r="G83" s="473">
        <f t="shared" si="6"/>
        <v>232</v>
      </c>
      <c r="H83" s="460">
        <f>G83+'8'!H83</f>
        <v>1912</v>
      </c>
      <c r="I83" s="481"/>
      <c r="J83" s="552">
        <f>H83/DAY(B2)</f>
        <v>212.44444444444446</v>
      </c>
      <c r="K83" s="429"/>
      <c r="L83" s="377"/>
      <c r="N83" s="382">
        <v>316</v>
      </c>
    </row>
    <row r="84" spans="1:15">
      <c r="A84" s="1148" t="s">
        <v>201</v>
      </c>
      <c r="B84" s="571"/>
      <c r="C84" s="571"/>
      <c r="D84" s="478" t="s">
        <v>132</v>
      </c>
      <c r="E84" s="519">
        <f>'8'!F84</f>
        <v>486446</v>
      </c>
      <c r="F84" s="627">
        <v>487244</v>
      </c>
      <c r="G84" s="473">
        <f t="shared" si="6"/>
        <v>798</v>
      </c>
      <c r="H84" s="460">
        <f>G84+'8'!H84</f>
        <v>7111</v>
      </c>
      <c r="I84" s="481"/>
      <c r="J84" s="552">
        <f>H84/DAY(B2)</f>
        <v>790.11111111111109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1882.5699999999788</v>
      </c>
      <c r="H85" s="460">
        <f>G85+'8'!H85</f>
        <v>16983</v>
      </c>
      <c r="I85" s="481"/>
      <c r="J85" s="552">
        <f>H85/DAY(B2)</f>
        <v>1887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460053.72</v>
      </c>
      <c r="F86" s="639">
        <v>460084</v>
      </c>
      <c r="G86" s="708">
        <f t="shared" ref="G86:G91" si="7">F86-E86</f>
        <v>30.28000000002794</v>
      </c>
      <c r="H86" s="460">
        <f>G86+'8'!H86</f>
        <v>59</v>
      </c>
      <c r="I86" s="655"/>
      <c r="J86" s="710">
        <f>H86/DAY(B2)</f>
        <v>6.5555555555555554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81026.7</v>
      </c>
      <c r="F87" s="650">
        <v>81037</v>
      </c>
      <c r="G87" s="708">
        <f t="shared" si="7"/>
        <v>10.30000000000291</v>
      </c>
      <c r="H87" s="460">
        <f>G87+'8'!H87</f>
        <v>12</v>
      </c>
      <c r="I87" s="655"/>
      <c r="J87" s="710">
        <f>H87/DAY(B2)</f>
        <v>1.3333333333333333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152123.95000000001</v>
      </c>
      <c r="F88" s="639">
        <v>152146</v>
      </c>
      <c r="G88" s="708">
        <f t="shared" si="7"/>
        <v>22.049999999988358</v>
      </c>
      <c r="H88" s="460">
        <f>G88+'8'!H88</f>
        <v>43</v>
      </c>
      <c r="I88" s="655"/>
      <c r="J88" s="710">
        <f>H88/DAY(B2)</f>
        <v>4.7777777777777777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64885.9</v>
      </c>
      <c r="F89" s="650">
        <v>64892</v>
      </c>
      <c r="G89" s="708">
        <f t="shared" si="7"/>
        <v>6.0999999999985448</v>
      </c>
      <c r="H89" s="460">
        <f>G89+'8'!H89</f>
        <v>13</v>
      </c>
      <c r="I89" s="655"/>
      <c r="J89" s="710">
        <f>H89/DAY(B2)</f>
        <v>1.4444444444444444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3272.4</v>
      </c>
      <c r="F90" s="650">
        <v>3272</v>
      </c>
      <c r="G90" s="708">
        <f t="shared" si="7"/>
        <v>-0.40000000000009095</v>
      </c>
      <c r="H90" s="460">
        <f>G90+'8'!H90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 t="s">
        <v>132</v>
      </c>
      <c r="E91" s="627">
        <f>'8'!F91</f>
        <v>27929</v>
      </c>
      <c r="F91" s="650">
        <v>27931</v>
      </c>
      <c r="G91" s="708">
        <f t="shared" si="7"/>
        <v>2</v>
      </c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'8'!F93</f>
        <v>244782</v>
      </c>
      <c r="F93" s="478">
        <v>244814</v>
      </c>
      <c r="G93" s="473">
        <f t="shared" ref="G93:G94" si="8">F93-E93</f>
        <v>32</v>
      </c>
      <c r="H93" s="460">
        <f>G93+'8'!H93</f>
        <v>290</v>
      </c>
      <c r="I93" s="480"/>
      <c r="J93" s="552">
        <f>H93/DAY(B2)</f>
        <v>32.222222222222221</v>
      </c>
      <c r="K93" s="429"/>
      <c r="L93" s="377"/>
      <c r="N93" s="382">
        <v>0</v>
      </c>
    </row>
    <row r="94" spans="1:15" ht="27.75">
      <c r="A94" s="1525" t="s">
        <v>207</v>
      </c>
      <c r="B94" s="1526"/>
      <c r="C94" s="1527"/>
      <c r="D94" s="523" t="s">
        <v>144</v>
      </c>
      <c r="E94" s="484">
        <f>'8'!F94</f>
        <v>184198</v>
      </c>
      <c r="F94" s="478">
        <v>184304</v>
      </c>
      <c r="G94" s="473">
        <f t="shared" si="8"/>
        <v>106</v>
      </c>
      <c r="H94" s="460">
        <f>G94+'8'!H94</f>
        <v>773</v>
      </c>
      <c r="I94" s="480"/>
      <c r="J94" s="552">
        <f>H94/DAY(B2)</f>
        <v>85.888888888888886</v>
      </c>
      <c r="K94" s="380"/>
      <c r="L94" s="377"/>
      <c r="N94" s="382">
        <v>71</v>
      </c>
    </row>
    <row r="95" spans="1:15">
      <c r="A95" s="1553" t="s">
        <v>208</v>
      </c>
      <c r="B95" s="1554"/>
      <c r="C95" s="1555"/>
      <c r="D95" s="523"/>
      <c r="E95" s="484">
        <f>'8'!F95</f>
        <v>0</v>
      </c>
      <c r="F95" s="478"/>
      <c r="G95" s="473">
        <f>G93+G94</f>
        <v>138</v>
      </c>
      <c r="H95" s="460">
        <f>G95+'8'!H95</f>
        <v>916</v>
      </c>
      <c r="I95" s="480"/>
      <c r="J95" s="552">
        <f>H95/DAY(B2)</f>
        <v>101.77777777777777</v>
      </c>
      <c r="K95" s="380"/>
      <c r="L95" s="377"/>
      <c r="N95" s="382">
        <v>71</v>
      </c>
    </row>
    <row r="96" spans="1:15" ht="27.75">
      <c r="A96" s="1525" t="s">
        <v>209</v>
      </c>
      <c r="B96" s="1526"/>
      <c r="C96" s="1527"/>
      <c r="D96" s="523" t="s">
        <v>144</v>
      </c>
      <c r="E96" s="484">
        <f>'8'!F96</f>
        <v>413302</v>
      </c>
      <c r="F96" s="478">
        <v>413342</v>
      </c>
      <c r="G96" s="473">
        <f t="shared" ref="G96:G101" si="9">F96-E96</f>
        <v>40</v>
      </c>
      <c r="H96" s="460">
        <f>G96+'8'!H96</f>
        <v>456</v>
      </c>
      <c r="I96" s="480"/>
      <c r="J96" s="552">
        <f>H96/DAY(B2)</f>
        <v>50.666666666666664</v>
      </c>
      <c r="K96" s="380"/>
      <c r="L96" s="377"/>
      <c r="N96" s="382">
        <v>26</v>
      </c>
    </row>
    <row r="97" spans="1:14" ht="27.75">
      <c r="A97" s="1144" t="s">
        <v>210</v>
      </c>
      <c r="B97" s="1145"/>
      <c r="C97" s="1145"/>
      <c r="D97" s="523" t="s">
        <v>144</v>
      </c>
      <c r="E97" s="484">
        <f>'8'!F97</f>
        <v>102425</v>
      </c>
      <c r="F97" s="478">
        <v>102436</v>
      </c>
      <c r="G97" s="473">
        <f t="shared" si="9"/>
        <v>11</v>
      </c>
      <c r="H97" s="460">
        <f>G97+'8'!H97</f>
        <v>93</v>
      </c>
      <c r="I97" s="480"/>
      <c r="J97" s="552">
        <f>H97/DAY(B2)</f>
        <v>10.333333333333334</v>
      </c>
      <c r="K97" s="427"/>
      <c r="L97" s="377"/>
      <c r="N97" s="382">
        <v>11</v>
      </c>
    </row>
    <row r="98" spans="1:14" ht="27.75">
      <c r="A98" s="1144" t="s">
        <v>211</v>
      </c>
      <c r="B98" s="1145"/>
      <c r="C98" s="1145"/>
      <c r="D98" s="523" t="s">
        <v>144</v>
      </c>
      <c r="E98" s="484">
        <f>'8'!F98</f>
        <v>97538</v>
      </c>
      <c r="F98" s="478">
        <v>97553</v>
      </c>
      <c r="G98" s="473">
        <f t="shared" si="9"/>
        <v>15</v>
      </c>
      <c r="H98" s="460">
        <f>G98+'8'!H98</f>
        <v>126</v>
      </c>
      <c r="I98" s="480"/>
      <c r="J98" s="552">
        <f>H98/DAY(B2)</f>
        <v>14</v>
      </c>
      <c r="K98" s="432"/>
      <c r="L98" s="377"/>
      <c r="N98" s="382">
        <v>9</v>
      </c>
    </row>
    <row r="99" spans="1:14" ht="27.75">
      <c r="A99" s="1144" t="s">
        <v>212</v>
      </c>
      <c r="B99" s="1145"/>
      <c r="C99" s="1145"/>
      <c r="D99" s="523" t="s">
        <v>144</v>
      </c>
      <c r="E99" s="484">
        <f>'8'!F99</f>
        <v>149587</v>
      </c>
      <c r="F99" s="478">
        <v>149597</v>
      </c>
      <c r="G99" s="473">
        <f t="shared" si="9"/>
        <v>10</v>
      </c>
      <c r="H99" s="460">
        <f>G99+'8'!H99</f>
        <v>64</v>
      </c>
      <c r="I99" s="480"/>
      <c r="J99" s="552">
        <f>H99/DAY(B2)</f>
        <v>7.1111111111111107</v>
      </c>
      <c r="K99" s="380"/>
      <c r="L99" s="377"/>
      <c r="N99" s="707">
        <v>24</v>
      </c>
    </row>
    <row r="100" spans="1:14" ht="27.75">
      <c r="A100" s="1144" t="s">
        <v>213</v>
      </c>
      <c r="B100" s="1145"/>
      <c r="C100" s="1145"/>
      <c r="D100" s="523" t="s">
        <v>144</v>
      </c>
      <c r="E100" s="484">
        <f>'8'!F100</f>
        <v>7214</v>
      </c>
      <c r="F100" s="478">
        <v>7217</v>
      </c>
      <c r="G100" s="473">
        <f t="shared" si="9"/>
        <v>3</v>
      </c>
      <c r="H100" s="460">
        <f>G100+'8'!H100</f>
        <v>32</v>
      </c>
      <c r="I100" s="480"/>
      <c r="J100" s="552">
        <f>H100/DAY(B2)</f>
        <v>3.5555555555555554</v>
      </c>
      <c r="K100" s="380"/>
      <c r="L100" s="377"/>
      <c r="N100" s="382">
        <v>3</v>
      </c>
    </row>
    <row r="101" spans="1:14" ht="27.75">
      <c r="A101" s="1144" t="s">
        <v>214</v>
      </c>
      <c r="B101" s="1145"/>
      <c r="C101" s="1145"/>
      <c r="D101" s="523" t="s">
        <v>144</v>
      </c>
      <c r="E101" s="484">
        <f>'8'!F101</f>
        <v>5212</v>
      </c>
      <c r="F101" s="478">
        <v>5215</v>
      </c>
      <c r="G101" s="473">
        <f t="shared" si="9"/>
        <v>3</v>
      </c>
      <c r="H101" s="460">
        <f>G101+'8'!H101</f>
        <v>77</v>
      </c>
      <c r="I101" s="480"/>
      <c r="J101" s="552">
        <f>H101/DAY(B2)</f>
        <v>8.5555555555555554</v>
      </c>
      <c r="K101" s="380"/>
      <c r="L101" s="377"/>
      <c r="N101" s="382">
        <v>0</v>
      </c>
    </row>
    <row r="102" spans="1:14">
      <c r="A102" s="1553" t="s">
        <v>216</v>
      </c>
      <c r="B102" s="1554"/>
      <c r="C102" s="1555"/>
      <c r="D102" s="524"/>
      <c r="E102" s="484"/>
      <c r="F102" s="524"/>
      <c r="G102" s="525">
        <f>SUM(G96:G101)</f>
        <v>82</v>
      </c>
      <c r="H102" s="460">
        <f>G102+'8'!H102</f>
        <v>848</v>
      </c>
      <c r="I102" s="526"/>
      <c r="J102" s="552">
        <f>H102/DAY(B2)</f>
        <v>94.222222222222229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484">
        <f>'8'!F105</f>
        <v>7349</v>
      </c>
      <c r="F105" s="661">
        <v>7349</v>
      </c>
      <c r="G105" s="532">
        <f>F105-E105</f>
        <v>0</v>
      </c>
      <c r="H105" s="460">
        <f>G105+'8'!H105</f>
        <v>13</v>
      </c>
      <c r="I105" s="532"/>
      <c r="J105" s="558">
        <f>H105/DAY(B2)</f>
        <v>1.4444444444444444</v>
      </c>
      <c r="N105" s="382">
        <v>0</v>
      </c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484">
        <f>'8'!F106</f>
        <v>35703</v>
      </c>
      <c r="F106" s="662">
        <v>35860</v>
      </c>
      <c r="G106" s="532">
        <f t="shared" ref="G106:G107" si="10">F106-E106</f>
        <v>157</v>
      </c>
      <c r="H106" s="460">
        <f>G106+'8'!H106</f>
        <v>188</v>
      </c>
      <c r="I106" s="532"/>
      <c r="J106" s="558">
        <f>H106/DAY(B2)</f>
        <v>20.888888888888889</v>
      </c>
      <c r="N106" s="382">
        <v>0</v>
      </c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484">
        <f>'8'!F107</f>
        <v>19465</v>
      </c>
      <c r="F107" s="787">
        <v>19649</v>
      </c>
      <c r="G107" s="532">
        <f t="shared" si="10"/>
        <v>184</v>
      </c>
      <c r="H107" s="460">
        <f>G107+'8'!H107</f>
        <v>214</v>
      </c>
      <c r="I107" s="532"/>
      <c r="J107" s="558">
        <f>H107/DAY(B2)</f>
        <v>23.777777777777779</v>
      </c>
      <c r="N107" s="382">
        <v>4</v>
      </c>
    </row>
    <row r="108" spans="1:14" s="442" customFormat="1" ht="27.75">
      <c r="A108" s="1519" t="s">
        <v>202</v>
      </c>
      <c r="B108" s="1520"/>
      <c r="C108" s="1143"/>
      <c r="D108" s="622"/>
      <c r="E108" s="484"/>
      <c r="F108" s="662"/>
      <c r="G108" s="532">
        <f>SUM(G105:G107)</f>
        <v>341</v>
      </c>
      <c r="H108" s="460">
        <f>G108+'8'!H108</f>
        <v>415</v>
      </c>
      <c r="I108" s="532"/>
      <c r="J108" s="558">
        <f>H108/DAY(B2)</f>
        <v>46.111111111111114</v>
      </c>
      <c r="N108" s="382">
        <v>4</v>
      </c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484">
        <f>'8'!F109</f>
        <v>0</v>
      </c>
      <c r="F109" s="662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484">
        <f>'8'!F110</f>
        <v>61579</v>
      </c>
      <c r="F110" s="662">
        <v>61629</v>
      </c>
      <c r="G110" s="532">
        <f>F110-E110</f>
        <v>50</v>
      </c>
      <c r="H110" s="460">
        <f>G110+'8'!H110</f>
        <v>455</v>
      </c>
      <c r="I110" s="532"/>
      <c r="J110" s="558">
        <f>H110/DAY(B2)</f>
        <v>50.555555555555557</v>
      </c>
      <c r="N110" s="382">
        <v>40</v>
      </c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484">
        <f>'8'!F111</f>
        <v>32279</v>
      </c>
      <c r="F111" s="662">
        <v>32288</v>
      </c>
      <c r="G111" s="532">
        <f t="shared" ref="G111:G112" si="11">F111-E111</f>
        <v>9</v>
      </c>
      <c r="H111" s="460">
        <f>G111+'8'!H111</f>
        <v>53</v>
      </c>
      <c r="I111" s="532"/>
      <c r="J111" s="558">
        <f>H111/DAY(B2)</f>
        <v>5.8888888888888893</v>
      </c>
      <c r="N111" s="382">
        <v>43</v>
      </c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484">
        <f>'8'!F112</f>
        <v>4460</v>
      </c>
      <c r="F112" s="662">
        <v>4460</v>
      </c>
      <c r="G112" s="532">
        <f t="shared" si="11"/>
        <v>0</v>
      </c>
      <c r="H112" s="460">
        <f>G112+'8'!H112</f>
        <v>92</v>
      </c>
      <c r="I112" s="532"/>
      <c r="J112" s="558">
        <f>H112/DAY(B2)</f>
        <v>10.222222222222221</v>
      </c>
      <c r="N112" s="382">
        <v>0</v>
      </c>
    </row>
    <row r="113" spans="1:14" s="442" customFormat="1" ht="27.75">
      <c r="A113" s="1519" t="s">
        <v>110</v>
      </c>
      <c r="B113" s="1520"/>
      <c r="C113" s="1143"/>
      <c r="D113" s="622"/>
      <c r="E113" s="484"/>
      <c r="F113" s="662"/>
      <c r="G113" s="532">
        <f>SUM(G110:G112)</f>
        <v>59</v>
      </c>
      <c r="H113" s="460">
        <f>G113+'8'!H113</f>
        <v>600</v>
      </c>
      <c r="I113" s="532"/>
      <c r="J113" s="558">
        <f>H113/DAY(B2)</f>
        <v>66.666666666666671</v>
      </c>
      <c r="N113" s="382">
        <v>83</v>
      </c>
    </row>
    <row r="114" spans="1:14" s="442" customFormat="1" ht="27.75">
      <c r="A114" s="1523" t="s">
        <v>223</v>
      </c>
      <c r="B114" s="1524"/>
      <c r="C114" s="1143"/>
      <c r="D114" s="622"/>
      <c r="E114" s="484"/>
      <c r="F114" s="662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484">
        <f>'8'!F115</f>
        <v>11298</v>
      </c>
      <c r="F115" s="662">
        <v>11303</v>
      </c>
      <c r="G115" s="534">
        <f>F115-E115</f>
        <v>5</v>
      </c>
      <c r="H115" s="460">
        <f>G115+'8'!H115</f>
        <v>44</v>
      </c>
      <c r="I115" s="532"/>
      <c r="J115" s="558">
        <f>H115/DAY(B2)</f>
        <v>4.8888888888888893</v>
      </c>
      <c r="N115" s="382">
        <v>5</v>
      </c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484">
        <f>'8'!F116</f>
        <v>8179</v>
      </c>
      <c r="F116" s="662">
        <v>8183</v>
      </c>
      <c r="G116" s="534">
        <f t="shared" ref="G116:G117" si="12">F116-E116</f>
        <v>4</v>
      </c>
      <c r="H116" s="460">
        <f>G116+'8'!H116</f>
        <v>57</v>
      </c>
      <c r="I116" s="532"/>
      <c r="J116" s="558">
        <f>H116/DAY(B2)</f>
        <v>6.333333333333333</v>
      </c>
      <c r="N116" s="382">
        <v>3</v>
      </c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9</v>
      </c>
      <c r="H118" s="460">
        <f>G118+'8'!H118</f>
        <v>101</v>
      </c>
      <c r="I118" s="534"/>
      <c r="J118" s="558">
        <f>H118/DAY(B2)</f>
        <v>11.222222222222221</v>
      </c>
      <c r="N118" s="382">
        <v>8</v>
      </c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G119+'8'!H119</f>
        <v>775</v>
      </c>
      <c r="I119" s="535"/>
      <c r="J119" s="559">
        <f>H119/DAY(B2)</f>
        <v>86.111111111111114</v>
      </c>
      <c r="N119" s="382">
        <v>55</v>
      </c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72</v>
      </c>
      <c r="G120" s="536">
        <f>SUM(G96,G97,G98,G100,G101)</f>
        <v>72</v>
      </c>
      <c r="H120" s="460">
        <f>G120+'8'!H120</f>
        <v>784</v>
      </c>
      <c r="I120" s="535"/>
      <c r="J120" s="559">
        <f>H120/DAY(B2)</f>
        <v>87.111111111111114</v>
      </c>
      <c r="N120" s="382">
        <v>49</v>
      </c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59</v>
      </c>
      <c r="G121" s="534">
        <f>SUM(G113)</f>
        <v>59</v>
      </c>
      <c r="H121" s="460">
        <f>G121+'8'!H121</f>
        <v>600</v>
      </c>
      <c r="I121" s="535"/>
      <c r="J121" s="559">
        <f>H121/DAY(B2)</f>
        <v>66.666666666666671</v>
      </c>
      <c r="N121" s="382">
        <v>83</v>
      </c>
    </row>
    <row r="122" spans="1:14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'8'!F124</f>
        <v>827731.84</v>
      </c>
      <c r="F124" s="478">
        <v>827918</v>
      </c>
      <c r="G124" s="473">
        <f t="shared" ref="G124:G128" si="13">F124-E124</f>
        <v>186.1600000000326</v>
      </c>
      <c r="H124" s="460">
        <f>G124+'8'!H124</f>
        <v>1829.5400000000373</v>
      </c>
      <c r="I124" s="526"/>
      <c r="J124" s="552">
        <f>H124/DAY(B2)</f>
        <v>203.28222222222635</v>
      </c>
      <c r="K124" s="380"/>
      <c r="L124" s="377"/>
      <c r="N124" s="382">
        <v>111.45100000000093</v>
      </c>
    </row>
    <row r="125" spans="1:14" ht="27.75">
      <c r="A125" s="1144" t="s">
        <v>232</v>
      </c>
      <c r="B125" s="1145"/>
      <c r="C125" s="1145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04" t="s">
        <v>233</v>
      </c>
      <c r="B126" s="1505"/>
      <c r="C126" s="1506"/>
      <c r="D126" s="523" t="s">
        <v>141</v>
      </c>
      <c r="E126" s="478">
        <f>'8'!F126</f>
        <v>145179.5</v>
      </c>
      <c r="F126" s="478">
        <v>145242</v>
      </c>
      <c r="G126" s="473">
        <f t="shared" si="13"/>
        <v>62.5</v>
      </c>
      <c r="H126" s="460">
        <f>G126+'8'!H126</f>
        <v>554.55999999999767</v>
      </c>
      <c r="I126" s="526"/>
      <c r="J126" s="552">
        <f>H126/DAY(B2)</f>
        <v>61.617777777777519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5"/>
      <c r="C127" s="1145"/>
      <c r="D127" s="523" t="s">
        <v>141</v>
      </c>
      <c r="E127" s="478">
        <f>'8'!F127</f>
        <v>31404.2</v>
      </c>
      <c r="F127" s="626">
        <v>31404.2</v>
      </c>
      <c r="G127" s="473">
        <f t="shared" si="13"/>
        <v>0</v>
      </c>
      <c r="H127" s="460">
        <f>G127+'8'!H127</f>
        <v>0.2000000000007276</v>
      </c>
      <c r="I127" s="526"/>
      <c r="J127" s="552">
        <f>H127/DAY(B2)</f>
        <v>2.2222222222303065E-2</v>
      </c>
      <c r="K127" s="380"/>
      <c r="L127" s="377"/>
      <c r="N127" s="382">
        <v>0</v>
      </c>
    </row>
    <row r="128" spans="1:14" ht="27.75">
      <c r="A128" s="609" t="s">
        <v>235</v>
      </c>
      <c r="B128" s="1145"/>
      <c r="C128" s="1145"/>
      <c r="D128" s="523" t="s">
        <v>141</v>
      </c>
      <c r="E128" s="478">
        <f>'8'!F128</f>
        <v>8970.6</v>
      </c>
      <c r="F128" s="626">
        <v>8971</v>
      </c>
      <c r="G128" s="473">
        <f t="shared" si="13"/>
        <v>0.3999999999996362</v>
      </c>
      <c r="H128" s="460">
        <f>G128+'8'!H128</f>
        <v>1.2999999999992724</v>
      </c>
      <c r="I128" s="480"/>
      <c r="J128" s="552">
        <f>H128/DAY(B2)</f>
        <v>0.14444444444436361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274.45999999998639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4" t="s">
        <v>240</v>
      </c>
      <c r="B132" s="1145"/>
      <c r="C132" s="1145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4" t="s">
        <v>241</v>
      </c>
      <c r="B133" s="1145"/>
      <c r="C133" s="1145"/>
      <c r="D133" s="523" t="s">
        <v>239</v>
      </c>
      <c r="E133" s="484">
        <f>'8'!F133</f>
        <v>39937.25</v>
      </c>
      <c r="F133" s="626">
        <v>39960.33</v>
      </c>
      <c r="G133" s="473">
        <f t="shared" si="14"/>
        <v>23.080000000001746</v>
      </c>
      <c r="H133" s="460">
        <f>G133+'8'!H133</f>
        <v>213.84999999999854</v>
      </c>
      <c r="I133" s="480"/>
      <c r="J133" s="552">
        <f>H133/DAY(B2)</f>
        <v>23.761111111110949</v>
      </c>
      <c r="N133" s="382">
        <v>22</v>
      </c>
    </row>
    <row r="134" spans="1:14" ht="27.75">
      <c r="A134" s="1144" t="s">
        <v>242</v>
      </c>
      <c r="B134" s="1145"/>
      <c r="C134" s="1145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23.080000000001746</v>
      </c>
      <c r="J134" s="552">
        <f>H134/DAY(B2)</f>
        <v>0</v>
      </c>
      <c r="N134" s="382">
        <v>0</v>
      </c>
    </row>
    <row r="135" spans="1:14" ht="27.75">
      <c r="A135" s="1144" t="s">
        <v>243</v>
      </c>
      <c r="B135" s="1145"/>
      <c r="C135" s="1145"/>
      <c r="D135" s="523" t="s">
        <v>239</v>
      </c>
      <c r="E135" s="484">
        <f>'8'!F135</f>
        <v>41393.33</v>
      </c>
      <c r="F135" s="626">
        <v>41393.33</v>
      </c>
      <c r="G135" s="473">
        <f t="shared" si="14"/>
        <v>0</v>
      </c>
      <c r="H135" s="460">
        <f>G135+'8'!H135</f>
        <v>8.3300000000017462</v>
      </c>
      <c r="I135" s="480"/>
      <c r="J135" s="552">
        <f>H135/DAY(B2)</f>
        <v>0.92555555555574953</v>
      </c>
      <c r="N135" s="382">
        <v>0</v>
      </c>
    </row>
    <row r="136" spans="1:14" ht="27.75">
      <c r="A136" s="1144" t="s">
        <v>244</v>
      </c>
      <c r="B136" s="1145"/>
      <c r="C136" s="1145"/>
      <c r="D136" s="523" t="s">
        <v>239</v>
      </c>
      <c r="E136" s="484">
        <f>'8'!F136</f>
        <v>32582.560000000001</v>
      </c>
      <c r="F136" s="626">
        <v>32582.560000000001</v>
      </c>
      <c r="G136" s="473">
        <f t="shared" si="14"/>
        <v>0</v>
      </c>
      <c r="H136" s="460">
        <f>G136+'8'!H136</f>
        <v>-0.43999999999869033</v>
      </c>
      <c r="I136" s="480"/>
      <c r="J136" s="552">
        <f>H136/DAY(B2)</f>
        <v>-4.8888888888743369E-2</v>
      </c>
      <c r="N136" s="382">
        <v>0</v>
      </c>
    </row>
    <row r="137" spans="1:14" ht="27.75">
      <c r="A137" s="1144" t="s">
        <v>245</v>
      </c>
      <c r="B137" s="1145"/>
      <c r="C137" s="1145"/>
      <c r="D137" s="523" t="s">
        <v>239</v>
      </c>
      <c r="E137" s="484">
        <f>'8'!F137</f>
        <v>22755.26</v>
      </c>
      <c r="F137" s="654">
        <v>22759</v>
      </c>
      <c r="G137" s="473">
        <f t="shared" si="14"/>
        <v>3.7400000000016007</v>
      </c>
      <c r="H137" s="460">
        <f>G137+'8'!H137</f>
        <v>19.409999999999854</v>
      </c>
      <c r="I137" s="480">
        <f>G135+G136+G137</f>
        <v>3.7400000000016007</v>
      </c>
      <c r="J137" s="552">
        <f>H137/DAY(B2)</f>
        <v>2.1566666666666503</v>
      </c>
      <c r="N137" s="382">
        <v>-0.2999999999992724</v>
      </c>
    </row>
    <row r="138" spans="1:14" ht="27.75">
      <c r="A138" s="1144" t="s">
        <v>246</v>
      </c>
      <c r="B138" s="1145"/>
      <c r="C138" s="1145"/>
      <c r="D138" s="523" t="s">
        <v>239</v>
      </c>
      <c r="E138" s="484">
        <f>'8'!F138</f>
        <v>25051.59</v>
      </c>
      <c r="F138" s="654">
        <v>25051.26</v>
      </c>
      <c r="G138" s="473">
        <f t="shared" si="14"/>
        <v>-0.33000000000174623</v>
      </c>
      <c r="H138" s="460">
        <f>G138+'8'!H138</f>
        <v>-0.33000000000174623</v>
      </c>
      <c r="I138" s="480"/>
      <c r="J138" s="552">
        <f>H138/DAY(B2)</f>
        <v>-3.6666666666860692E-2</v>
      </c>
      <c r="N138" s="382">
        <v>0</v>
      </c>
    </row>
    <row r="139" spans="1:14" ht="27.75">
      <c r="A139" s="1144" t="s">
        <v>247</v>
      </c>
      <c r="B139" s="1145"/>
      <c r="C139" s="1145"/>
      <c r="D139" s="523" t="s">
        <v>239</v>
      </c>
      <c r="E139" s="484">
        <f>'8'!F139</f>
        <v>70338.14</v>
      </c>
      <c r="F139" s="654">
        <v>70341.759999999995</v>
      </c>
      <c r="G139" s="473">
        <f t="shared" si="14"/>
        <v>3.6199999999953434</v>
      </c>
      <c r="H139" s="460">
        <f>G139+'8'!H139</f>
        <v>25.94999999999709</v>
      </c>
      <c r="I139" s="480">
        <f>G138+G139</f>
        <v>3.2899999999935972</v>
      </c>
      <c r="J139" s="552">
        <f>H139/DAY(B2)</f>
        <v>2.88333333333301</v>
      </c>
      <c r="N139" s="382">
        <v>9.7100000000064028</v>
      </c>
    </row>
    <row r="140" spans="1:14" ht="27.75">
      <c r="A140" s="1144" t="s">
        <v>248</v>
      </c>
      <c r="B140" s="1145"/>
      <c r="C140" s="1145"/>
      <c r="D140" s="523" t="s">
        <v>239</v>
      </c>
      <c r="E140" s="484">
        <f>'8'!F140</f>
        <v>1679.24</v>
      </c>
      <c r="F140" s="626">
        <v>1685.98</v>
      </c>
      <c r="G140" s="473">
        <f t="shared" si="14"/>
        <v>6.7400000000000091</v>
      </c>
      <c r="H140" s="460">
        <f>G140+'8'!H140</f>
        <v>69.120000000000118</v>
      </c>
      <c r="I140" s="542"/>
      <c r="J140" s="552">
        <f>H140/DAY(B2)</f>
        <v>7.680000000000013</v>
      </c>
      <c r="N140" s="382">
        <v>0</v>
      </c>
    </row>
    <row r="141" spans="1:14" ht="27.75">
      <c r="A141" s="1144" t="s">
        <v>249</v>
      </c>
      <c r="B141" s="1145"/>
      <c r="C141" s="1145"/>
      <c r="D141" s="523" t="s">
        <v>239</v>
      </c>
      <c r="E141" s="484">
        <f>'8'!F141</f>
        <v>4636.88</v>
      </c>
      <c r="F141" s="478">
        <v>4636.88</v>
      </c>
      <c r="G141" s="473">
        <f t="shared" si="14"/>
        <v>0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4266.2600000000093</v>
      </c>
      <c r="H143" s="460">
        <f>G143+'8'!H143</f>
        <v>39679</v>
      </c>
      <c r="I143" s="480"/>
      <c r="J143" s="552">
        <f>H143/DAY(B2)</f>
        <v>4408.7777777777774</v>
      </c>
      <c r="K143" s="380"/>
      <c r="L143" s="377"/>
      <c r="N143" s="382">
        <v>2912.0800000000163</v>
      </c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0.27831300150042465</v>
      </c>
      <c r="H144" s="460">
        <f>G144+'8'!H144</f>
        <v>2.4662504409487349</v>
      </c>
      <c r="I144" s="544"/>
      <c r="J144" s="552">
        <f>H144/DAY(B2)</f>
        <v>0.27402782677208165</v>
      </c>
      <c r="K144" s="380"/>
      <c r="L144" s="377"/>
      <c r="N144" s="382">
        <v>0.25636763799630391</v>
      </c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4766.7299999999959</v>
      </c>
      <c r="H145" s="460">
        <f>G145+'8'!H145</f>
        <v>43722.640000000014</v>
      </c>
      <c r="I145" s="480"/>
      <c r="J145" s="552">
        <f>H145/DAY(B2)</f>
        <v>4858.0711111111123</v>
      </c>
      <c r="K145" s="380"/>
      <c r="L145" s="377"/>
      <c r="N145" s="382">
        <v>2876.3199999999779</v>
      </c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0.31096157609759251</v>
      </c>
      <c r="H146" s="460">
        <f>G146+'8'!H146</f>
        <v>2.7223282369033615</v>
      </c>
      <c r="I146" s="544"/>
      <c r="J146" s="552">
        <f>H146/DAY(B2)</f>
        <v>0.30248091521148462</v>
      </c>
      <c r="K146" s="380"/>
      <c r="L146" s="377"/>
      <c r="N146" s="382">
        <v>0.25321947354520452</v>
      </c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2303.179999999993</v>
      </c>
      <c r="H147" s="460">
        <f>G147+'8'!H147</f>
        <v>20894</v>
      </c>
      <c r="I147" s="545"/>
      <c r="J147" s="552">
        <f>H147/DAY(B2)</f>
        <v>2321.5555555555557</v>
      </c>
      <c r="K147" s="380"/>
      <c r="L147" s="377"/>
      <c r="N147" s="382">
        <v>2036.5859000000055</v>
      </c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0.15024985321938764</v>
      </c>
      <c r="H148" s="460">
        <f>G148+'8'!H148</f>
        <v>1.299200051213097</v>
      </c>
      <c r="I148" s="545"/>
      <c r="J148" s="552">
        <f>H148/DAY(B2)</f>
        <v>0.14435556124589966</v>
      </c>
      <c r="N148" s="382">
        <v>0.17929271062593585</v>
      </c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1229.7299999999959</v>
      </c>
      <c r="H149" s="460">
        <f>G149+'8'!H149</f>
        <v>11202.069999999949</v>
      </c>
      <c r="I149" s="480"/>
      <c r="J149" s="552">
        <f>H149/DAY(B2)</f>
        <v>1244.6744444444387</v>
      </c>
      <c r="K149" s="381"/>
      <c r="N149" s="382">
        <v>1071.8899999999849</v>
      </c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8.0222454171830909E-2</v>
      </c>
      <c r="H150" s="460">
        <f>G150+'8'!H150</f>
        <v>0.6976529482837458</v>
      </c>
      <c r="I150" s="545"/>
      <c r="J150" s="552">
        <f>H150/DAY(B2)</f>
        <v>7.7516994253749527E-2</v>
      </c>
      <c r="N150" s="382">
        <v>9.4364820846904202E-2</v>
      </c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861.69000000000233</v>
      </c>
      <c r="H151" s="460">
        <f>G151+'8'!H151</f>
        <v>11318</v>
      </c>
      <c r="I151" s="545"/>
      <c r="J151" s="552">
        <f>H151/DAY(B2)</f>
        <v>1257.5555555555557</v>
      </c>
      <c r="N151" s="382">
        <v>1124.1299999999901</v>
      </c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5.6213060212668947E-2</v>
      </c>
      <c r="H152" s="460">
        <f>G152+'8'!H152</f>
        <v>0.70208486280737992</v>
      </c>
      <c r="I152" s="480"/>
      <c r="J152" s="552">
        <f>H152/DAY(B2)</f>
        <v>7.8009429200819991E-2</v>
      </c>
      <c r="N152" s="382">
        <v>9.8963817237432E-2</v>
      </c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1183.9799999999959</v>
      </c>
      <c r="H153" s="460">
        <f>G153+'8'!H153</f>
        <v>11117.869999999995</v>
      </c>
      <c r="I153" s="480"/>
      <c r="J153" s="552">
        <f>H153/DAY(B2)</f>
        <v>1235.3188888888883</v>
      </c>
      <c r="N153" s="382">
        <v>1164.4599999999919</v>
      </c>
    </row>
    <row r="154" spans="1:14" ht="27" customHeight="1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7.7237915062952314E-2</v>
      </c>
      <c r="H154" s="460">
        <f>G154+'8'!H154</f>
        <v>0.69117472270138947</v>
      </c>
      <c r="I154" s="568"/>
      <c r="J154" s="569">
        <f>H154/DAY(B2)</f>
        <v>7.6797191411265495E-2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7">
      <c r="A161" s="788" t="s">
        <v>263</v>
      </c>
      <c r="B161" s="789"/>
      <c r="C161" s="789"/>
      <c r="D161" s="511" t="s">
        <v>187</v>
      </c>
      <c r="E161" s="1064">
        <f>'8'!F161</f>
        <v>36586.199999999997</v>
      </c>
      <c r="F161" s="661">
        <v>36665</v>
      </c>
      <c r="G161" s="473">
        <f t="shared" ref="G161:G172" si="15">F161-E161</f>
        <v>78.80000000000291</v>
      </c>
    </row>
    <row r="162" spans="1:7">
      <c r="A162" s="788" t="s">
        <v>264</v>
      </c>
      <c r="B162" s="789"/>
      <c r="C162" s="789"/>
      <c r="D162" s="511" t="s">
        <v>187</v>
      </c>
      <c r="E162" s="1064">
        <f>'8'!F162</f>
        <v>85741.57</v>
      </c>
      <c r="F162" s="661">
        <v>86130</v>
      </c>
      <c r="G162" s="473">
        <f t="shared" si="15"/>
        <v>388.42999999999302</v>
      </c>
    </row>
    <row r="163" spans="1:7">
      <c r="A163" s="788" t="s">
        <v>265</v>
      </c>
      <c r="B163" s="789"/>
      <c r="C163" s="789"/>
      <c r="D163" s="511" t="s">
        <v>187</v>
      </c>
      <c r="E163" s="1064">
        <f>'8'!F163</f>
        <v>40045.4</v>
      </c>
      <c r="F163" s="661">
        <v>40244</v>
      </c>
      <c r="G163" s="473">
        <f t="shared" si="15"/>
        <v>198.59999999999854</v>
      </c>
    </row>
    <row r="164" spans="1:7">
      <c r="A164" s="788" t="s">
        <v>266</v>
      </c>
      <c r="B164" s="789"/>
      <c r="C164" s="789"/>
      <c r="D164" s="511" t="s">
        <v>187</v>
      </c>
      <c r="E164" s="1064">
        <f>'8'!F164</f>
        <v>6289.63</v>
      </c>
      <c r="F164" s="661">
        <v>6310</v>
      </c>
      <c r="G164" s="473">
        <f t="shared" si="15"/>
        <v>20.369999999999891</v>
      </c>
    </row>
    <row r="165" spans="1:7">
      <c r="A165" s="790" t="s">
        <v>98</v>
      </c>
      <c r="B165" s="604"/>
      <c r="C165" s="604"/>
      <c r="D165" s="511" t="s">
        <v>187</v>
      </c>
      <c r="E165" s="1064">
        <f>'8'!F165</f>
        <v>20419</v>
      </c>
      <c r="F165" s="514">
        <f>F62</f>
        <v>20419</v>
      </c>
      <c r="G165" s="473">
        <f t="shared" si="15"/>
        <v>0</v>
      </c>
    </row>
    <row r="166" spans="1:7">
      <c r="A166" s="790" t="s">
        <v>188</v>
      </c>
      <c r="B166" s="604"/>
      <c r="C166" s="604"/>
      <c r="D166" s="511" t="s">
        <v>187</v>
      </c>
      <c r="E166" s="1064">
        <f>'8'!F166</f>
        <v>2389.54</v>
      </c>
      <c r="F166" s="514">
        <f t="shared" ref="F166:F172" si="16">F63</f>
        <v>2393</v>
      </c>
      <c r="G166" s="473">
        <f t="shared" si="15"/>
        <v>3.4600000000000364</v>
      </c>
    </row>
    <row r="167" spans="1:7" ht="27.75">
      <c r="A167" s="1500" t="s">
        <v>99</v>
      </c>
      <c r="B167" s="1500"/>
      <c r="C167" s="1500"/>
      <c r="D167" s="523" t="s">
        <v>187</v>
      </c>
      <c r="E167" s="1064">
        <f>'8'!F167</f>
        <v>154960.59</v>
      </c>
      <c r="F167" s="514">
        <f t="shared" si="16"/>
        <v>155156</v>
      </c>
      <c r="G167" s="473">
        <f t="shared" si="15"/>
        <v>195.41000000000349</v>
      </c>
    </row>
    <row r="168" spans="1:7" ht="27.75">
      <c r="A168" s="1500" t="s">
        <v>100</v>
      </c>
      <c r="B168" s="1500"/>
      <c r="C168" s="1500"/>
      <c r="D168" s="523" t="s">
        <v>187</v>
      </c>
      <c r="E168" s="1064">
        <f>'8'!F168</f>
        <v>156159.20000000001</v>
      </c>
      <c r="F168" s="514">
        <f t="shared" si="16"/>
        <v>156346</v>
      </c>
      <c r="G168" s="473">
        <f t="shared" si="15"/>
        <v>186.79999999998836</v>
      </c>
    </row>
    <row r="169" spans="1:7" ht="27.75">
      <c r="A169" s="1500" t="s">
        <v>101</v>
      </c>
      <c r="B169" s="1500"/>
      <c r="C169" s="1500"/>
      <c r="D169" s="523" t="s">
        <v>187</v>
      </c>
      <c r="E169" s="1064">
        <f>'8'!F169</f>
        <v>50673.49</v>
      </c>
      <c r="F169" s="514">
        <f t="shared" si="16"/>
        <v>50927</v>
      </c>
      <c r="G169" s="473">
        <f t="shared" si="15"/>
        <v>253.51000000000204</v>
      </c>
    </row>
    <row r="170" spans="1:7" ht="27.75">
      <c r="A170" s="1500" t="s">
        <v>102</v>
      </c>
      <c r="B170" s="1500"/>
      <c r="C170" s="1500"/>
      <c r="D170" s="523" t="s">
        <v>187</v>
      </c>
      <c r="E170" s="1064">
        <f>'8'!F170</f>
        <v>244529.27</v>
      </c>
      <c r="F170" s="514">
        <f t="shared" si="16"/>
        <v>244700</v>
      </c>
      <c r="G170" s="473">
        <f t="shared" si="15"/>
        <v>170.73000000001048</v>
      </c>
    </row>
    <row r="171" spans="1:7" ht="27.75">
      <c r="A171" s="1500" t="s">
        <v>103</v>
      </c>
      <c r="B171" s="1500"/>
      <c r="C171" s="1500"/>
      <c r="D171" s="523" t="s">
        <v>187</v>
      </c>
      <c r="E171" s="1064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1064">
        <f>'8'!F172</f>
        <v>79618.399999999994</v>
      </c>
      <c r="F172" s="514">
        <f t="shared" si="16"/>
        <v>79731</v>
      </c>
      <c r="G172" s="473">
        <f t="shared" si="15"/>
        <v>112.60000000000582</v>
      </c>
    </row>
    <row r="177" spans="6:6" ht="18.75" customHeight="1"/>
    <row r="178" spans="6:6" ht="18.75" customHeight="1">
      <c r="F178" s="666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" zoomScale="60" zoomScaleNormal="55" workbookViewId="0">
      <selection activeCell="F28" activeCellId="1" sqref="F28 F28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4" s="281" customFormat="1" ht="27">
      <c r="A2" s="575" t="s">
        <v>368</v>
      </c>
      <c r="B2" s="1036">
        <v>44326</v>
      </c>
      <c r="C2" s="1146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6" t="s">
        <v>120</v>
      </c>
      <c r="D3" s="612">
        <v>30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5872618</v>
      </c>
      <c r="F7" s="455">
        <v>5887762</v>
      </c>
      <c r="G7" s="681">
        <f>F7-E7</f>
        <v>15144</v>
      </c>
      <c r="H7" s="682">
        <f>G7+'9'!H7</f>
        <v>160329</v>
      </c>
      <c r="I7" s="683">
        <v>12000</v>
      </c>
      <c r="J7" s="684">
        <f>H7/DAY(B2)</f>
        <v>16032.9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5907092</v>
      </c>
      <c r="F8" s="475">
        <v>5922347</v>
      </c>
      <c r="G8" s="692">
        <f>F8-E8</f>
        <v>15255</v>
      </c>
      <c r="H8" s="682">
        <f>G8+'9'!H8</f>
        <v>161103</v>
      </c>
      <c r="I8" s="689">
        <v>12000</v>
      </c>
      <c r="J8" s="684">
        <f>H8/DAY(B2)</f>
        <v>16110.3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1131200</v>
      </c>
      <c r="F9" s="478">
        <v>1145721</v>
      </c>
      <c r="G9" s="705">
        <f t="shared" ref="G9:G12" si="0">F9-E9</f>
        <v>14521</v>
      </c>
      <c r="H9" s="682">
        <f>G9+'9'!H9</f>
        <v>155007</v>
      </c>
      <c r="I9" s="693">
        <f>I7-J7</f>
        <v>-4032.8999999999996</v>
      </c>
      <c r="J9" s="684">
        <f>H9/DAY(B2)</f>
        <v>15500.7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14521</v>
      </c>
      <c r="H13" s="682">
        <f>G13+'9'!H13</f>
        <v>155007</v>
      </c>
      <c r="I13" s="698">
        <f>G7-G13</f>
        <v>623</v>
      </c>
      <c r="J13" s="684">
        <f>H13/DAY(B2)</f>
        <v>15500.7</v>
      </c>
      <c r="K13" s="428"/>
      <c r="L13" s="377"/>
      <c r="N13" s="716"/>
    </row>
    <row r="14" spans="1:14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1674707</v>
      </c>
      <c r="F15" s="485">
        <v>1674950</v>
      </c>
      <c r="G15" s="667">
        <f>(F15-E15)</f>
        <v>243</v>
      </c>
      <c r="H15" s="486">
        <f>G15+'9'!H15</f>
        <v>4293</v>
      </c>
      <c r="I15" s="474">
        <v>800</v>
      </c>
      <c r="J15" s="553">
        <f>H15/DAY(B2)</f>
        <v>429.3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370.7</v>
      </c>
      <c r="J16" s="553"/>
      <c r="K16" s="428"/>
      <c r="L16" s="377"/>
      <c r="N16" s="716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65" t="s">
        <v>143</v>
      </c>
      <c r="B18" s="1566"/>
      <c r="C18" s="1567"/>
      <c r="D18" s="638" t="s">
        <v>144</v>
      </c>
      <c r="E18" s="635">
        <f>'9'!F18</f>
        <v>4</v>
      </c>
      <c r="F18" s="478">
        <v>2</v>
      </c>
      <c r="G18" s="697">
        <f>F18*10</f>
        <v>20</v>
      </c>
      <c r="H18" s="682">
        <f>G18+'9'!H18</f>
        <v>440</v>
      </c>
      <c r="I18" s="683">
        <v>65</v>
      </c>
      <c r="J18" s="684">
        <f>H18/DAY(B2)</f>
        <v>44</v>
      </c>
      <c r="K18" s="428"/>
      <c r="L18" s="377"/>
      <c r="N18" s="716"/>
    </row>
    <row r="19" spans="1:14" ht="27.75">
      <c r="A19" s="1565" t="s">
        <v>71</v>
      </c>
      <c r="B19" s="1566"/>
      <c r="C19" s="1567"/>
      <c r="D19" s="638" t="s">
        <v>144</v>
      </c>
      <c r="E19" s="635">
        <f>'9'!F19</f>
        <v>138297</v>
      </c>
      <c r="F19" s="478">
        <v>138354</v>
      </c>
      <c r="G19" s="692">
        <f t="shared" ref="G19" si="1">F19-E19</f>
        <v>57</v>
      </c>
      <c r="H19" s="682">
        <f>G19+'9'!H19</f>
        <v>542</v>
      </c>
      <c r="I19" s="699"/>
      <c r="J19" s="684">
        <f>H19/DAY(B2)</f>
        <v>54.2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77</v>
      </c>
      <c r="H20" s="682">
        <f>G20+'9'!H20</f>
        <v>982</v>
      </c>
      <c r="I20" s="701">
        <f>I18-J20</f>
        <v>-33.200000000000003</v>
      </c>
      <c r="J20" s="684">
        <f>H20/DAY(B2)</f>
        <v>98.2</v>
      </c>
      <c r="K20" s="428"/>
      <c r="L20" s="377"/>
      <c r="N20" s="716"/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4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4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15255</v>
      </c>
      <c r="F27" s="501">
        <v>9</v>
      </c>
      <c r="G27" s="502">
        <f>E27*F27</f>
        <v>137295</v>
      </c>
      <c r="H27" s="460">
        <f>G27+'9'!H27</f>
        <v>1449927</v>
      </c>
      <c r="I27" s="503"/>
      <c r="J27" s="552">
        <f>H27/DAY(B2)</f>
        <v>144992.70000000001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243</v>
      </c>
      <c r="F28" s="501">
        <v>49</v>
      </c>
      <c r="G28" s="502">
        <f>E28*F28</f>
        <v>11907</v>
      </c>
      <c r="H28" s="460">
        <f>G28+'9'!H28</f>
        <v>213142.65</v>
      </c>
      <c r="I28" s="505"/>
      <c r="J28" s="552">
        <f>H28/DAY(B2)</f>
        <v>21314.264999999999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G30+'9'!H30</f>
        <v>72628</v>
      </c>
      <c r="I30" s="505"/>
      <c r="J30" s="552">
        <f>H30/DAY(B2)</f>
        <v>7262.8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G31+'9'!H31</f>
        <v>35200</v>
      </c>
      <c r="I31" s="505"/>
      <c r="J31" s="552">
        <f>H31/DAY(B2)</f>
        <v>3520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158440</v>
      </c>
      <c r="H32" s="460">
        <f>G32+'9'!H32</f>
        <v>1770897.6500000001</v>
      </c>
      <c r="I32" s="509"/>
      <c r="J32" s="552">
        <f>H32/DAY(B2)</f>
        <v>177089.76500000001</v>
      </c>
      <c r="K32" s="373"/>
      <c r="L32" s="443"/>
      <c r="N32" s="716"/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16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905872</v>
      </c>
      <c r="F35" s="1037">
        <v>907723</v>
      </c>
      <c r="G35" s="473">
        <f t="shared" ref="G35:G46" si="3">F35-E35</f>
        <v>1851</v>
      </c>
      <c r="H35" s="460">
        <f>G35+'9'!H35</f>
        <v>21264</v>
      </c>
      <c r="I35" s="455"/>
      <c r="J35" s="552">
        <f>H35/DAY(B2)</f>
        <v>2126.4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347065</v>
      </c>
      <c r="F36" s="1037">
        <v>347065</v>
      </c>
      <c r="G36" s="473">
        <f t="shared" si="3"/>
        <v>0</v>
      </c>
      <c r="H36" s="460">
        <f>G36+'9'!H36</f>
        <v>2457</v>
      </c>
      <c r="I36" s="455"/>
      <c r="J36" s="552">
        <f>H36/DAY(B2)</f>
        <v>245.7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106343</v>
      </c>
      <c r="F37" s="1037">
        <v>107530</v>
      </c>
      <c r="G37" s="473">
        <f t="shared" si="3"/>
        <v>1187</v>
      </c>
      <c r="H37" s="460">
        <f>G37+'9'!H37</f>
        <v>12305</v>
      </c>
      <c r="I37" s="455"/>
      <c r="J37" s="552">
        <f>H37/DAY(B2)</f>
        <v>1230.5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130798</v>
      </c>
      <c r="F38" s="467">
        <v>131865</v>
      </c>
      <c r="G38" s="473">
        <f t="shared" si="3"/>
        <v>1067</v>
      </c>
      <c r="H38" s="460">
        <f>G38+'9'!H38</f>
        <v>12269</v>
      </c>
      <c r="I38" s="455"/>
      <c r="J38" s="552">
        <f>H38/DAY(B2)</f>
        <v>1226.9000000000001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262691</v>
      </c>
      <c r="F39" s="1037">
        <v>264341</v>
      </c>
      <c r="G39" s="473">
        <f t="shared" si="3"/>
        <v>1650</v>
      </c>
      <c r="H39" s="460">
        <f>G39+'9'!H39</f>
        <v>17688</v>
      </c>
      <c r="I39" s="455"/>
      <c r="J39" s="552">
        <f>H39/DAY(B2)</f>
        <v>1768.8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225164</v>
      </c>
      <c r="F41" s="1037">
        <v>230025</v>
      </c>
      <c r="G41" s="473">
        <f>F41-E41</f>
        <v>4861</v>
      </c>
      <c r="H41" s="460">
        <f>G41+'9'!H41</f>
        <v>48497</v>
      </c>
      <c r="I41" s="455"/>
      <c r="J41" s="552">
        <f>H41/DAY(B2)</f>
        <v>4849.7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59200</v>
      </c>
      <c r="F42" s="1037">
        <v>59200</v>
      </c>
      <c r="G42" s="473">
        <f t="shared" si="3"/>
        <v>0</v>
      </c>
      <c r="H42" s="460">
        <f>G42+'9'!H42</f>
        <v>0</v>
      </c>
      <c r="I42" s="455"/>
      <c r="J42" s="552">
        <f>H42/DAY(B2)</f>
        <v>0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994224</v>
      </c>
      <c r="F43" s="1037">
        <v>996352</v>
      </c>
      <c r="G43" s="473">
        <f t="shared" si="3"/>
        <v>2128</v>
      </c>
      <c r="H43" s="460">
        <f>G43+'9'!H43</f>
        <v>22394</v>
      </c>
      <c r="I43" s="455"/>
      <c r="J43" s="552">
        <f>H43/DAY(B2)</f>
        <v>2239.4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12744</v>
      </c>
      <c r="H47" s="460">
        <f>G47+'9'!H47</f>
        <v>136874</v>
      </c>
      <c r="I47" s="455"/>
      <c r="J47" s="552">
        <f>H47/DAY(B2)</f>
        <v>13687.4</v>
      </c>
      <c r="K47" s="428"/>
      <c r="L47" s="377"/>
      <c r="N47" s="716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483397</v>
      </c>
      <c r="F50" s="1037">
        <v>484336</v>
      </c>
      <c r="G50" s="473">
        <f t="shared" si="4"/>
        <v>939</v>
      </c>
      <c r="H50" s="460">
        <f>G50+'9'!H50</f>
        <v>9800</v>
      </c>
      <c r="I50" s="455"/>
      <c r="J50" s="552">
        <f>H50/DAY(B2)</f>
        <v>980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421167</v>
      </c>
      <c r="F53" s="510">
        <v>421690</v>
      </c>
      <c r="G53" s="473">
        <f t="shared" si="4"/>
        <v>523</v>
      </c>
      <c r="H53" s="460">
        <f>G53+'9'!H53</f>
        <v>5379</v>
      </c>
      <c r="I53" s="455"/>
      <c r="J53" s="552">
        <f>H53/DAY(B2)</f>
        <v>537.9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12032</v>
      </c>
      <c r="F54" s="510">
        <v>12105</v>
      </c>
      <c r="G54" s="473">
        <f t="shared" si="4"/>
        <v>73</v>
      </c>
      <c r="H54" s="460">
        <f>G54+'9'!H54</f>
        <v>4416</v>
      </c>
      <c r="I54" s="455"/>
      <c r="J54" s="552">
        <f>H54/DAY(B2)</f>
        <v>441.6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589375.11</v>
      </c>
      <c r="F56" s="656">
        <v>589375</v>
      </c>
      <c r="G56" s="473">
        <f t="shared" si="4"/>
        <v>-0.10999999998603016</v>
      </c>
      <c r="H56" s="460">
        <f>G56+'9'!H56</f>
        <v>86.53000000002794</v>
      </c>
      <c r="I56" s="455"/>
      <c r="J56" s="552">
        <f>H56/DAY(B2)</f>
        <v>8.6530000000027947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47473</v>
      </c>
      <c r="F58" s="656">
        <v>47522</v>
      </c>
      <c r="G58" s="473">
        <f t="shared" si="4"/>
        <v>49</v>
      </c>
      <c r="H58" s="460">
        <f>G58+'9'!H58</f>
        <v>854</v>
      </c>
      <c r="I58" s="455"/>
      <c r="J58" s="552">
        <f>H58/DAY(B2)</f>
        <v>85.4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1583.890000000014</v>
      </c>
      <c r="H59" s="460">
        <f>G59+'9'!H59</f>
        <v>20535.469999999972</v>
      </c>
      <c r="I59" s="455">
        <f>G7-G60</f>
        <v>816.10999999998603</v>
      </c>
      <c r="J59" s="552">
        <f>H59/DAY(B2)</f>
        <v>2053.5469999999973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14327.890000000014</v>
      </c>
      <c r="H60" s="460">
        <f>G60+'9'!H60</f>
        <v>157409.46999999997</v>
      </c>
      <c r="I60" s="455">
        <f>G8-G60</f>
        <v>927.10999999998603</v>
      </c>
      <c r="J60" s="552">
        <f>H60/DAY(B2)</f>
        <v>15740.946999999996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2393</v>
      </c>
      <c r="F63" s="514">
        <v>2397</v>
      </c>
      <c r="G63" s="473">
        <f t="shared" si="5"/>
        <v>4</v>
      </c>
      <c r="H63" s="460">
        <f>G63+'9'!H63</f>
        <v>38</v>
      </c>
      <c r="I63" s="515"/>
      <c r="J63" s="552">
        <f>H63/DAY(B2)</f>
        <v>3.8</v>
      </c>
      <c r="K63" s="428"/>
      <c r="L63" s="377"/>
      <c r="N63" s="716"/>
    </row>
    <row r="64" spans="1:14" ht="27.75">
      <c r="A64" s="1504" t="s">
        <v>99</v>
      </c>
      <c r="B64" s="1505"/>
      <c r="C64" s="1506"/>
      <c r="D64" s="523" t="s">
        <v>187</v>
      </c>
      <c r="E64" s="514">
        <f>'9'!F64</f>
        <v>155156</v>
      </c>
      <c r="F64" s="478">
        <v>155359</v>
      </c>
      <c r="G64" s="473">
        <f t="shared" si="5"/>
        <v>203</v>
      </c>
      <c r="H64" s="460">
        <f>G64+'9'!H64</f>
        <v>2060</v>
      </c>
      <c r="I64" s="480"/>
      <c r="J64" s="552">
        <f>H64/DAY(B2)</f>
        <v>206</v>
      </c>
      <c r="K64" s="428"/>
      <c r="L64" s="377"/>
      <c r="N64" s="716"/>
    </row>
    <row r="65" spans="1:14" ht="27.75">
      <c r="A65" s="1504" t="s">
        <v>100</v>
      </c>
      <c r="B65" s="1505"/>
      <c r="C65" s="1506"/>
      <c r="D65" s="523" t="s">
        <v>187</v>
      </c>
      <c r="E65" s="514">
        <f>'9'!F65</f>
        <v>156346</v>
      </c>
      <c r="F65" s="654">
        <v>156480</v>
      </c>
      <c r="G65" s="473">
        <f t="shared" si="5"/>
        <v>134</v>
      </c>
      <c r="H65" s="460">
        <f>G65+'9'!H65</f>
        <v>1881</v>
      </c>
      <c r="I65" s="489"/>
      <c r="J65" s="552">
        <f>H65/DAY(B2)</f>
        <v>188.1</v>
      </c>
      <c r="K65" s="428"/>
      <c r="L65" s="377"/>
      <c r="N65" s="716"/>
    </row>
    <row r="66" spans="1:14" ht="27.75">
      <c r="A66" s="1504" t="s">
        <v>101</v>
      </c>
      <c r="B66" s="1505"/>
      <c r="C66" s="1506"/>
      <c r="D66" s="523" t="s">
        <v>187</v>
      </c>
      <c r="E66" s="514">
        <f>'9'!F66</f>
        <v>50927</v>
      </c>
      <c r="F66" s="478">
        <v>51186</v>
      </c>
      <c r="G66" s="473">
        <f t="shared" si="5"/>
        <v>259</v>
      </c>
      <c r="H66" s="460">
        <f>G66+'9'!H66</f>
        <v>2615</v>
      </c>
      <c r="I66" s="480"/>
      <c r="J66" s="552">
        <f>H66/DAY(B2)</f>
        <v>261.5</v>
      </c>
      <c r="K66" s="428"/>
      <c r="L66" s="377"/>
      <c r="N66" s="716"/>
    </row>
    <row r="67" spans="1:14" ht="27.75">
      <c r="A67" s="1504" t="s">
        <v>102</v>
      </c>
      <c r="B67" s="1505"/>
      <c r="C67" s="1506"/>
      <c r="D67" s="523" t="s">
        <v>187</v>
      </c>
      <c r="E67" s="514">
        <f>'9'!F67</f>
        <v>244700</v>
      </c>
      <c r="F67" s="478">
        <v>244826</v>
      </c>
      <c r="G67" s="473">
        <f t="shared" si="5"/>
        <v>126</v>
      </c>
      <c r="H67" s="460">
        <f>G67+'9'!H67</f>
        <v>1652</v>
      </c>
      <c r="I67" s="489"/>
      <c r="J67" s="552">
        <f>H67/DAY(B2)</f>
        <v>165.2</v>
      </c>
      <c r="K67" s="429"/>
      <c r="L67" s="377"/>
      <c r="N67" s="716"/>
    </row>
    <row r="68" spans="1:14" ht="27.75">
      <c r="A68" s="1504" t="s">
        <v>103</v>
      </c>
      <c r="B68" s="1505"/>
      <c r="C68" s="1506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6"/>
    </row>
    <row r="69" spans="1:14" ht="27.75">
      <c r="A69" s="1504" t="s">
        <v>104</v>
      </c>
      <c r="B69" s="1505"/>
      <c r="C69" s="1506"/>
      <c r="D69" s="523" t="s">
        <v>187</v>
      </c>
      <c r="E69" s="514">
        <f>'9'!F69</f>
        <v>79731</v>
      </c>
      <c r="F69" s="478">
        <v>79831</v>
      </c>
      <c r="G69" s="473">
        <f t="shared" si="5"/>
        <v>100</v>
      </c>
      <c r="H69" s="460">
        <f>G69+'9'!H69</f>
        <v>837</v>
      </c>
      <c r="I69" s="516"/>
      <c r="J69" s="552">
        <f>H69/DAY(B2)</f>
        <v>83.7</v>
      </c>
      <c r="K69" s="431"/>
      <c r="L69" s="377"/>
      <c r="N69" s="716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16"/>
    </row>
    <row r="72" spans="1:14" ht="27.75">
      <c r="A72" s="1504" t="s">
        <v>191</v>
      </c>
      <c r="B72" s="1505"/>
      <c r="C72" s="1506"/>
      <c r="D72" s="523" t="s">
        <v>187</v>
      </c>
      <c r="E72" s="519">
        <f>'9'!F72</f>
        <v>855604</v>
      </c>
      <c r="F72" s="657">
        <v>855621</v>
      </c>
      <c r="G72" s="473">
        <f t="shared" ref="G72:G84" si="6">F72-E72</f>
        <v>17</v>
      </c>
      <c r="H72" s="460">
        <f>G72+'9'!H72</f>
        <v>160</v>
      </c>
      <c r="I72" s="480"/>
      <c r="J72" s="552">
        <f>H72/DAY(B2)</f>
        <v>16</v>
      </c>
      <c r="K72" s="431"/>
      <c r="L72" s="377"/>
      <c r="N72" s="716"/>
    </row>
    <row r="73" spans="1:14" ht="27.75">
      <c r="A73" s="1504" t="s">
        <v>192</v>
      </c>
      <c r="B73" s="1505"/>
      <c r="C73" s="1506"/>
      <c r="D73" s="523" t="s">
        <v>187</v>
      </c>
      <c r="E73" s="519">
        <f>'9'!F73</f>
        <v>885886</v>
      </c>
      <c r="F73" s="658">
        <v>885887</v>
      </c>
      <c r="G73" s="655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6"/>
    </row>
    <row r="74" spans="1:14" ht="27.75">
      <c r="A74" s="1504" t="s">
        <v>193</v>
      </c>
      <c r="B74" s="1505"/>
      <c r="C74" s="1506"/>
      <c r="D74" s="523" t="s">
        <v>187</v>
      </c>
      <c r="E74" s="519">
        <f>'9'!F74</f>
        <v>2422</v>
      </c>
      <c r="F74" s="657">
        <v>2434</v>
      </c>
      <c r="G74" s="473">
        <f t="shared" si="6"/>
        <v>12</v>
      </c>
      <c r="H74" s="460">
        <f>G74+'9'!H74</f>
        <v>155</v>
      </c>
      <c r="I74" s="480"/>
      <c r="J74" s="552">
        <f>H74/DAY(B2)</f>
        <v>15.5</v>
      </c>
      <c r="K74" s="431"/>
      <c r="L74" s="377"/>
      <c r="N74" s="716"/>
    </row>
    <row r="75" spans="1:14" ht="27.75">
      <c r="A75" s="1501" t="s">
        <v>194</v>
      </c>
      <c r="B75" s="1502"/>
      <c r="C75" s="1503"/>
      <c r="D75" s="523" t="s">
        <v>187</v>
      </c>
      <c r="E75" s="519">
        <f>'9'!F75</f>
        <v>11458</v>
      </c>
      <c r="F75" s="658">
        <v>11511</v>
      </c>
      <c r="G75" s="473">
        <f t="shared" si="6"/>
        <v>53</v>
      </c>
      <c r="H75" s="460">
        <f>G75+'9'!H75</f>
        <v>541</v>
      </c>
      <c r="I75" s="480"/>
      <c r="J75" s="552">
        <f>H75/DAY(B2)</f>
        <v>54.1</v>
      </c>
      <c r="K75" s="430"/>
      <c r="L75" s="377"/>
      <c r="N75" s="716"/>
    </row>
    <row r="76" spans="1:14" ht="27.75">
      <c r="A76" s="1501" t="s">
        <v>195</v>
      </c>
      <c r="B76" s="1502"/>
      <c r="C76" s="1503"/>
      <c r="D76" s="523" t="s">
        <v>187</v>
      </c>
      <c r="E76" s="519">
        <f>'9'!F76</f>
        <v>6196</v>
      </c>
      <c r="F76" s="658">
        <v>6253</v>
      </c>
      <c r="G76" s="473">
        <f t="shared" si="6"/>
        <v>57</v>
      </c>
      <c r="H76" s="460">
        <f>G76+'9'!H76</f>
        <v>544</v>
      </c>
      <c r="I76" s="505"/>
      <c r="J76" s="552">
        <f>H76/DAY(B2)</f>
        <v>54.4</v>
      </c>
      <c r="K76" s="430"/>
      <c r="L76" s="377"/>
      <c r="N76" s="716"/>
    </row>
    <row r="77" spans="1:14" ht="27.75">
      <c r="A77" s="1504" t="s">
        <v>196</v>
      </c>
      <c r="B77" s="1505"/>
      <c r="C77" s="1506"/>
      <c r="D77" s="523" t="s">
        <v>187</v>
      </c>
      <c r="E77" s="519">
        <f>'9'!F77</f>
        <v>702003</v>
      </c>
      <c r="F77" s="658">
        <v>702055</v>
      </c>
      <c r="G77" s="655">
        <f t="shared" si="6"/>
        <v>52</v>
      </c>
      <c r="H77" s="460">
        <f>G77+'9'!H77</f>
        <v>493</v>
      </c>
      <c r="I77" s="505"/>
      <c r="J77" s="552">
        <f>H77/DAY(B2)</f>
        <v>49.3</v>
      </c>
      <c r="K77" s="430"/>
      <c r="L77" s="377"/>
      <c r="N77" s="716"/>
    </row>
    <row r="78" spans="1:14" ht="27.75">
      <c r="A78" s="1147" t="s">
        <v>197</v>
      </c>
      <c r="B78" s="1120"/>
      <c r="C78" s="1120"/>
      <c r="D78" s="523" t="s">
        <v>187</v>
      </c>
      <c r="E78" s="519">
        <f>'9'!F78</f>
        <v>670702</v>
      </c>
      <c r="F78" s="659">
        <v>670772</v>
      </c>
      <c r="G78" s="473">
        <f t="shared" si="6"/>
        <v>70</v>
      </c>
      <c r="H78" s="460">
        <f>G78+'9'!H78</f>
        <v>747</v>
      </c>
      <c r="I78" s="505"/>
      <c r="J78" s="552">
        <f>H78/DAY(B2)</f>
        <v>74.7</v>
      </c>
      <c r="K78" s="430"/>
      <c r="L78" s="377"/>
      <c r="N78" s="716"/>
    </row>
    <row r="79" spans="1:14" ht="27.75">
      <c r="A79" s="1501" t="s">
        <v>92</v>
      </c>
      <c r="B79" s="1502"/>
      <c r="C79" s="1503"/>
      <c r="D79" s="524" t="s">
        <v>187</v>
      </c>
      <c r="E79" s="519">
        <f>'9'!F79</f>
        <v>828200</v>
      </c>
      <c r="F79" s="659">
        <v>828309</v>
      </c>
      <c r="G79" s="473">
        <f t="shared" si="6"/>
        <v>109</v>
      </c>
      <c r="H79" s="460">
        <f>G79+'9'!H79</f>
        <v>1525</v>
      </c>
      <c r="I79" s="505"/>
      <c r="J79" s="552">
        <f>H79/DAY(B2)</f>
        <v>152.5</v>
      </c>
      <c r="K79" s="430"/>
      <c r="L79" s="377"/>
      <c r="N79" s="716"/>
    </row>
    <row r="80" spans="1:14" ht="27.75">
      <c r="A80" s="1501" t="s">
        <v>198</v>
      </c>
      <c r="B80" s="1502"/>
      <c r="C80" s="1503"/>
      <c r="D80" s="524" t="s">
        <v>187</v>
      </c>
      <c r="E80" s="519">
        <f>'9'!F80</f>
        <v>520053</v>
      </c>
      <c r="F80" s="658">
        <v>520396</v>
      </c>
      <c r="G80" s="473">
        <f>F80-E80</f>
        <v>343</v>
      </c>
      <c r="H80" s="460">
        <f>G80+'9'!H80</f>
        <v>3658</v>
      </c>
      <c r="I80" s="505"/>
      <c r="J80" s="552">
        <f>H80/DAY(B2)</f>
        <v>365.8</v>
      </c>
      <c r="K80" s="430"/>
      <c r="L80" s="377"/>
      <c r="N80" s="716"/>
    </row>
    <row r="81" spans="1:15" ht="27.75">
      <c r="A81" s="1501" t="s">
        <v>199</v>
      </c>
      <c r="B81" s="1502"/>
      <c r="C81" s="1503"/>
      <c r="D81" s="524" t="s">
        <v>187</v>
      </c>
      <c r="E81" s="519">
        <f>'9'!F81</f>
        <v>637140</v>
      </c>
      <c r="F81" s="658">
        <v>637217</v>
      </c>
      <c r="G81" s="473">
        <f t="shared" si="6"/>
        <v>77</v>
      </c>
      <c r="H81" s="460">
        <f>G81+'9'!H81</f>
        <v>739</v>
      </c>
      <c r="I81" s="505"/>
      <c r="J81" s="552">
        <f>H81/DAY(B2)</f>
        <v>73.900000000000006</v>
      </c>
      <c r="K81" s="430"/>
      <c r="L81" s="377"/>
      <c r="N81" s="716"/>
    </row>
    <row r="82" spans="1:15" ht="27.75">
      <c r="A82" s="1501" t="s">
        <v>93</v>
      </c>
      <c r="B82" s="1502"/>
      <c r="C82" s="1503"/>
      <c r="D82" s="485" t="s">
        <v>132</v>
      </c>
      <c r="E82" s="519">
        <f>'9'!F82</f>
        <v>107790</v>
      </c>
      <c r="F82" s="654">
        <v>107801</v>
      </c>
      <c r="G82" s="473">
        <f t="shared" si="6"/>
        <v>11</v>
      </c>
      <c r="H82" s="460">
        <f>G82+'9'!H82</f>
        <v>189</v>
      </c>
      <c r="I82" s="486"/>
      <c r="J82" s="552">
        <f>H82/DAY(B2)</f>
        <v>18.899999999999999</v>
      </c>
      <c r="K82" s="430"/>
      <c r="L82" s="377"/>
      <c r="N82" s="716"/>
    </row>
    <row r="83" spans="1:15" ht="27.75">
      <c r="A83" s="1501" t="s">
        <v>200</v>
      </c>
      <c r="B83" s="1502"/>
      <c r="C83" s="1503"/>
      <c r="D83" s="620" t="s">
        <v>132</v>
      </c>
      <c r="E83" s="519">
        <f>'9'!F83</f>
        <v>16683</v>
      </c>
      <c r="F83" s="511">
        <v>16845</v>
      </c>
      <c r="G83" s="473">
        <f t="shared" si="6"/>
        <v>162</v>
      </c>
      <c r="H83" s="460">
        <f>G83+'9'!H83</f>
        <v>2074</v>
      </c>
      <c r="I83" s="481"/>
      <c r="J83" s="552">
        <f>H83/DAY(B2)</f>
        <v>207.4</v>
      </c>
      <c r="K83" s="429"/>
      <c r="L83" s="377"/>
      <c r="N83" s="716"/>
    </row>
    <row r="84" spans="1:15">
      <c r="A84" s="1148" t="s">
        <v>201</v>
      </c>
      <c r="B84" s="571"/>
      <c r="C84" s="571"/>
      <c r="D84" s="478" t="s">
        <v>132</v>
      </c>
      <c r="E84" s="519">
        <f>'9'!F84</f>
        <v>487244</v>
      </c>
      <c r="F84" s="627">
        <v>487880</v>
      </c>
      <c r="G84" s="473">
        <f t="shared" si="6"/>
        <v>636</v>
      </c>
      <c r="H84" s="460">
        <f>G84+'9'!H84</f>
        <v>7747</v>
      </c>
      <c r="I84" s="481"/>
      <c r="J84" s="552">
        <f>H84/DAY(B2)</f>
        <v>774.7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1600</v>
      </c>
      <c r="H85" s="460">
        <f>G85+'9'!H85</f>
        <v>18583</v>
      </c>
      <c r="I85" s="481"/>
      <c r="J85" s="552">
        <f>H85/DAY(B2)</f>
        <v>1858.3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460084</v>
      </c>
      <c r="F86" s="650">
        <v>460177</v>
      </c>
      <c r="G86" s="708">
        <f t="shared" ref="G86:G91" si="7">F86-E86</f>
        <v>93</v>
      </c>
      <c r="H86" s="460">
        <f>G86+'9'!H86</f>
        <v>152</v>
      </c>
      <c r="I86" s="655"/>
      <c r="J86" s="710">
        <f>H86/DAY(B2)</f>
        <v>15.2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81037</v>
      </c>
      <c r="F87" s="650">
        <v>81054</v>
      </c>
      <c r="G87" s="708">
        <f t="shared" si="7"/>
        <v>17</v>
      </c>
      <c r="H87" s="460">
        <f>G87+'9'!H87</f>
        <v>29</v>
      </c>
      <c r="I87" s="655"/>
      <c r="J87" s="710">
        <f>H87/DAY(B2)</f>
        <v>2.9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152146</v>
      </c>
      <c r="F88" s="639">
        <v>152265</v>
      </c>
      <c r="G88" s="708">
        <f t="shared" si="7"/>
        <v>119</v>
      </c>
      <c r="H88" s="460">
        <f>G88+'9'!H88</f>
        <v>162</v>
      </c>
      <c r="I88" s="655"/>
      <c r="J88" s="710">
        <f>H88/DAY(B2)</f>
        <v>16.2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64892</v>
      </c>
      <c r="F89" s="650">
        <v>64898</v>
      </c>
      <c r="G89" s="708">
        <f t="shared" si="7"/>
        <v>6</v>
      </c>
      <c r="H89" s="460">
        <f>G89+'9'!H89</f>
        <v>19</v>
      </c>
      <c r="I89" s="655"/>
      <c r="J89" s="710">
        <f>H89/DAY(B2)</f>
        <v>1.9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3272</v>
      </c>
      <c r="F90" s="650">
        <v>3272</v>
      </c>
      <c r="G90" s="708">
        <f t="shared" si="7"/>
        <v>0</v>
      </c>
      <c r="H90" s="460">
        <f>G90+'9'!H90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'9'!F91</f>
        <v>27931</v>
      </c>
      <c r="F91" s="650">
        <v>27933</v>
      </c>
      <c r="G91" s="708">
        <f t="shared" si="7"/>
        <v>2</v>
      </c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716"/>
    </row>
    <row r="93" spans="1:15" ht="27.75">
      <c r="A93" s="1525" t="s">
        <v>206</v>
      </c>
      <c r="B93" s="1526"/>
      <c r="C93" s="1527"/>
      <c r="D93" s="523" t="s">
        <v>144</v>
      </c>
      <c r="E93" s="484">
        <f>'9'!F93</f>
        <v>244814</v>
      </c>
      <c r="F93" s="478">
        <v>244814</v>
      </c>
      <c r="G93" s="473">
        <f t="shared" ref="G93:G94" si="8">F93-E93</f>
        <v>0</v>
      </c>
      <c r="H93" s="460">
        <f>G93+'9'!H93</f>
        <v>290</v>
      </c>
      <c r="I93" s="480"/>
      <c r="J93" s="552">
        <f>H93/DAY(B2)</f>
        <v>29</v>
      </c>
      <c r="K93" s="429"/>
      <c r="L93" s="377"/>
      <c r="N93" s="716"/>
    </row>
    <row r="94" spans="1:15" ht="27.75">
      <c r="A94" s="1525" t="s">
        <v>207</v>
      </c>
      <c r="B94" s="1526"/>
      <c r="C94" s="1527"/>
      <c r="D94" s="523" t="s">
        <v>144</v>
      </c>
      <c r="E94" s="484">
        <f>'9'!F94</f>
        <v>184304</v>
      </c>
      <c r="F94" s="478">
        <v>184349</v>
      </c>
      <c r="G94" s="473">
        <f t="shared" si="8"/>
        <v>45</v>
      </c>
      <c r="H94" s="460">
        <f>G94+'9'!H94</f>
        <v>818</v>
      </c>
      <c r="I94" s="480"/>
      <c r="J94" s="552">
        <f>H94/DAY(B2)</f>
        <v>81.8</v>
      </c>
      <c r="K94" s="380"/>
      <c r="L94" s="377"/>
      <c r="N94" s="716"/>
    </row>
    <row r="95" spans="1:15">
      <c r="A95" s="1553" t="s">
        <v>208</v>
      </c>
      <c r="B95" s="1554"/>
      <c r="C95" s="1555"/>
      <c r="D95" s="523"/>
      <c r="E95" s="484"/>
      <c r="F95" s="478"/>
      <c r="G95" s="473">
        <f>G93+G94</f>
        <v>45</v>
      </c>
      <c r="H95" s="460">
        <f>G95+'9'!H95</f>
        <v>961</v>
      </c>
      <c r="I95" s="480"/>
      <c r="J95" s="552">
        <f>H95/DAY(B2)</f>
        <v>96.1</v>
      </c>
      <c r="K95" s="380"/>
      <c r="L95" s="377"/>
      <c r="N95" s="716"/>
    </row>
    <row r="96" spans="1:15" ht="27.75">
      <c r="A96" s="1525" t="s">
        <v>209</v>
      </c>
      <c r="B96" s="1526"/>
      <c r="C96" s="1527"/>
      <c r="D96" s="523" t="s">
        <v>144</v>
      </c>
      <c r="E96" s="484">
        <f>'9'!F96</f>
        <v>413342</v>
      </c>
      <c r="F96" s="478">
        <v>413366</v>
      </c>
      <c r="G96" s="473">
        <f t="shared" ref="G96:G101" si="9">F96-E96</f>
        <v>24</v>
      </c>
      <c r="H96" s="460">
        <f>G96+'9'!H96</f>
        <v>480</v>
      </c>
      <c r="I96" s="480"/>
      <c r="J96" s="552">
        <f>H96/DAY(B2)</f>
        <v>48</v>
      </c>
      <c r="K96" s="380"/>
      <c r="L96" s="377"/>
      <c r="N96" s="716"/>
    </row>
    <row r="97" spans="1:14" ht="27.75">
      <c r="A97" s="1144" t="s">
        <v>210</v>
      </c>
      <c r="B97" s="1145"/>
      <c r="C97" s="1145"/>
      <c r="D97" s="523" t="s">
        <v>144</v>
      </c>
      <c r="E97" s="484">
        <f>'9'!F97</f>
        <v>102436</v>
      </c>
      <c r="F97" s="478">
        <v>102443</v>
      </c>
      <c r="G97" s="473">
        <f t="shared" si="9"/>
        <v>7</v>
      </c>
      <c r="H97" s="460">
        <f>G97+'9'!H97</f>
        <v>100</v>
      </c>
      <c r="I97" s="480"/>
      <c r="J97" s="552">
        <f>H97/DAY(B2)</f>
        <v>10</v>
      </c>
      <c r="K97" s="427"/>
      <c r="L97" s="377"/>
      <c r="N97" s="716"/>
    </row>
    <row r="98" spans="1:14" ht="27.75">
      <c r="A98" s="1144" t="s">
        <v>211</v>
      </c>
      <c r="B98" s="1145"/>
      <c r="C98" s="1145"/>
      <c r="D98" s="523" t="s">
        <v>144</v>
      </c>
      <c r="E98" s="484">
        <f>'9'!F98</f>
        <v>97553</v>
      </c>
      <c r="F98" s="478">
        <v>97562</v>
      </c>
      <c r="G98" s="473">
        <f t="shared" si="9"/>
        <v>9</v>
      </c>
      <c r="H98" s="460">
        <f>G98+'9'!H98</f>
        <v>135</v>
      </c>
      <c r="I98" s="480"/>
      <c r="J98" s="552">
        <f>H98/DAY(B2)</f>
        <v>13.5</v>
      </c>
      <c r="K98" s="432"/>
      <c r="L98" s="377"/>
      <c r="N98" s="716"/>
    </row>
    <row r="99" spans="1:14" ht="27.75">
      <c r="A99" s="1144" t="s">
        <v>212</v>
      </c>
      <c r="B99" s="1145"/>
      <c r="C99" s="1145"/>
      <c r="D99" s="523" t="s">
        <v>144</v>
      </c>
      <c r="E99" s="484">
        <f>'9'!F99</f>
        <v>149597</v>
      </c>
      <c r="F99" s="478">
        <v>149609</v>
      </c>
      <c r="G99" s="473">
        <f t="shared" si="9"/>
        <v>12</v>
      </c>
      <c r="H99" s="460">
        <f>G99+'9'!H99</f>
        <v>76</v>
      </c>
      <c r="I99" s="480"/>
      <c r="J99" s="552">
        <f>H99/DAY(B2)</f>
        <v>7.6</v>
      </c>
      <c r="K99" s="380"/>
      <c r="L99" s="377"/>
      <c r="N99" s="718"/>
    </row>
    <row r="100" spans="1:14" ht="27.75">
      <c r="A100" s="1144" t="s">
        <v>213</v>
      </c>
      <c r="B100" s="1145"/>
      <c r="C100" s="1145"/>
      <c r="D100" s="523" t="s">
        <v>144</v>
      </c>
      <c r="E100" s="484">
        <f>'9'!F100</f>
        <v>7217</v>
      </c>
      <c r="F100" s="478">
        <v>7220</v>
      </c>
      <c r="G100" s="473">
        <f t="shared" si="9"/>
        <v>3</v>
      </c>
      <c r="H100" s="460">
        <f>G100+'9'!H100</f>
        <v>35</v>
      </c>
      <c r="I100" s="480"/>
      <c r="J100" s="552">
        <f>H100/DAY(B2)</f>
        <v>3.5</v>
      </c>
      <c r="K100" s="380"/>
      <c r="L100" s="377"/>
      <c r="N100" s="716"/>
    </row>
    <row r="101" spans="1:14" ht="27.75">
      <c r="A101" s="1144" t="s">
        <v>214</v>
      </c>
      <c r="B101" s="1145"/>
      <c r="C101" s="1145"/>
      <c r="D101" s="523" t="s">
        <v>144</v>
      </c>
      <c r="E101" s="484">
        <f>'9'!F101</f>
        <v>5215</v>
      </c>
      <c r="F101" s="478">
        <v>5218</v>
      </c>
      <c r="G101" s="473">
        <f t="shared" si="9"/>
        <v>3</v>
      </c>
      <c r="H101" s="460">
        <f>G101+'9'!H101</f>
        <v>80</v>
      </c>
      <c r="I101" s="480"/>
      <c r="J101" s="552">
        <f>H101/DAY(B2)</f>
        <v>8</v>
      </c>
      <c r="K101" s="380"/>
      <c r="L101" s="377"/>
      <c r="N101" s="716"/>
    </row>
    <row r="102" spans="1:14">
      <c r="A102" s="1553" t="s">
        <v>216</v>
      </c>
      <c r="B102" s="1554"/>
      <c r="C102" s="1555"/>
      <c r="D102" s="524"/>
      <c r="E102" s="484"/>
      <c r="F102" s="524"/>
      <c r="G102" s="525">
        <f>SUM(G96:G101)</f>
        <v>58</v>
      </c>
      <c r="H102" s="460">
        <f>G102+'9'!H102</f>
        <v>906</v>
      </c>
      <c r="I102" s="526"/>
      <c r="J102" s="552">
        <f>H102/DAY(B2)</f>
        <v>90.6</v>
      </c>
      <c r="K102" s="380"/>
      <c r="L102" s="377"/>
      <c r="N102" s="716"/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16"/>
    </row>
    <row r="104" spans="1:14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16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484">
        <f>'9'!F105</f>
        <v>7349</v>
      </c>
      <c r="F105" s="661">
        <v>7349</v>
      </c>
      <c r="G105" s="532">
        <v>8</v>
      </c>
      <c r="H105" s="460">
        <f>G105+'9'!H105</f>
        <v>21</v>
      </c>
      <c r="I105" s="532"/>
      <c r="J105" s="558">
        <f>H105/DAY(B2)</f>
        <v>2.1</v>
      </c>
      <c r="N105" s="716"/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484">
        <f>'9'!F106</f>
        <v>35860</v>
      </c>
      <c r="F106" s="662">
        <v>35860</v>
      </c>
      <c r="G106" s="532">
        <f t="shared" ref="G106:G107" si="10">F106-E106</f>
        <v>0</v>
      </c>
      <c r="H106" s="460">
        <f>G106+'9'!H106</f>
        <v>188</v>
      </c>
      <c r="I106" s="532"/>
      <c r="J106" s="558">
        <f>H106/DAY(B2)</f>
        <v>18.8</v>
      </c>
      <c r="N106" s="716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484">
        <f>'9'!F107</f>
        <v>19649</v>
      </c>
      <c r="F107" s="662">
        <v>19650</v>
      </c>
      <c r="G107" s="532">
        <f t="shared" si="10"/>
        <v>1</v>
      </c>
      <c r="H107" s="460">
        <f>G107+'9'!H107</f>
        <v>215</v>
      </c>
      <c r="I107" s="532"/>
      <c r="J107" s="558">
        <f>H107/DAY(B2)</f>
        <v>21.5</v>
      </c>
      <c r="N107" s="716"/>
    </row>
    <row r="108" spans="1:14" s="442" customFormat="1" ht="27.75">
      <c r="A108" s="1519" t="s">
        <v>202</v>
      </c>
      <c r="B108" s="1520"/>
      <c r="C108" s="1143"/>
      <c r="D108" s="622"/>
      <c r="E108" s="484"/>
      <c r="F108" s="662"/>
      <c r="G108" s="532">
        <f>SUM(G105:G107)</f>
        <v>9</v>
      </c>
      <c r="H108" s="460">
        <f>G108+'9'!H108</f>
        <v>424</v>
      </c>
      <c r="I108" s="532"/>
      <c r="J108" s="558">
        <f>H108/DAY(B2)</f>
        <v>42.4</v>
      </c>
      <c r="N108" s="716"/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484"/>
      <c r="F109" s="662"/>
      <c r="G109" s="532"/>
      <c r="H109" s="533"/>
      <c r="I109" s="532"/>
      <c r="J109" s="558"/>
      <c r="N109" s="716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484">
        <f>'9'!F110</f>
        <v>61629</v>
      </c>
      <c r="F110" s="662">
        <v>61669</v>
      </c>
      <c r="G110" s="532">
        <f>F110-E110</f>
        <v>40</v>
      </c>
      <c r="H110" s="460">
        <f>G110+'9'!H110</f>
        <v>495</v>
      </c>
      <c r="I110" s="532"/>
      <c r="J110" s="558">
        <f>H110/DAY(B2)</f>
        <v>49.5</v>
      </c>
      <c r="N110" s="716"/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484">
        <f>'9'!F111</f>
        <v>32288</v>
      </c>
      <c r="F111" s="662">
        <v>32299</v>
      </c>
      <c r="G111" s="532">
        <f t="shared" ref="G111:G112" si="11">F111-E111</f>
        <v>11</v>
      </c>
      <c r="H111" s="460">
        <f>G111+'9'!H111</f>
        <v>64</v>
      </c>
      <c r="I111" s="532"/>
      <c r="J111" s="558">
        <f>H111/DAY(B2)</f>
        <v>6.4</v>
      </c>
      <c r="N111" s="716"/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484">
        <f>'9'!F112</f>
        <v>4460</v>
      </c>
      <c r="F112" s="662">
        <v>4466</v>
      </c>
      <c r="G112" s="532">
        <f t="shared" si="11"/>
        <v>6</v>
      </c>
      <c r="H112" s="460">
        <f>G112+'9'!H112</f>
        <v>98</v>
      </c>
      <c r="I112" s="532"/>
      <c r="J112" s="558">
        <f>H112/DAY(B2)</f>
        <v>9.8000000000000007</v>
      </c>
      <c r="N112" s="716"/>
    </row>
    <row r="113" spans="1:14" s="442" customFormat="1" ht="27.75">
      <c r="A113" s="1519" t="s">
        <v>110</v>
      </c>
      <c r="B113" s="1520"/>
      <c r="C113" s="1143"/>
      <c r="D113" s="622"/>
      <c r="E113" s="484"/>
      <c r="F113" s="662"/>
      <c r="G113" s="532">
        <f>SUM(G110:G112)</f>
        <v>57</v>
      </c>
      <c r="H113" s="460">
        <f>G113+'9'!H113</f>
        <v>657</v>
      </c>
      <c r="I113" s="532"/>
      <c r="J113" s="558">
        <f>H113/DAY(B2)</f>
        <v>65.7</v>
      </c>
      <c r="N113" s="716"/>
    </row>
    <row r="114" spans="1:14" s="442" customFormat="1" ht="27.75">
      <c r="A114" s="1523" t="s">
        <v>223</v>
      </c>
      <c r="B114" s="1524"/>
      <c r="C114" s="1143"/>
      <c r="D114" s="622"/>
      <c r="E114" s="484"/>
      <c r="F114" s="662"/>
      <c r="G114" s="532"/>
      <c r="H114" s="460">
        <f>G114+'9'!H114</f>
        <v>0</v>
      </c>
      <c r="I114" s="532"/>
      <c r="J114" s="558">
        <f>H114/DAY(B2)</f>
        <v>0</v>
      </c>
      <c r="N114" s="716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484">
        <f>'9'!F115</f>
        <v>11303</v>
      </c>
      <c r="F115" s="662">
        <v>11309</v>
      </c>
      <c r="G115" s="534">
        <f>F115-E115</f>
        <v>6</v>
      </c>
      <c r="H115" s="460">
        <f>G115+'9'!H115</f>
        <v>50</v>
      </c>
      <c r="I115" s="532"/>
      <c r="J115" s="558">
        <f>H115/DAY(B2)</f>
        <v>5</v>
      </c>
      <c r="N115" s="716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484">
        <f>'9'!F116</f>
        <v>8183</v>
      </c>
      <c r="F116" s="662">
        <v>8185</v>
      </c>
      <c r="G116" s="534">
        <f t="shared" ref="G116:G117" si="12">F116-E116</f>
        <v>2</v>
      </c>
      <c r="H116" s="460">
        <f>G116+'9'!H116</f>
        <v>59</v>
      </c>
      <c r="I116" s="532"/>
      <c r="J116" s="558">
        <f>H116/DAY(B2)</f>
        <v>5.9</v>
      </c>
      <c r="N116" s="716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6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8</v>
      </c>
      <c r="H118" s="460">
        <f>G118+'9'!H118</f>
        <v>109</v>
      </c>
      <c r="I118" s="534"/>
      <c r="J118" s="558">
        <f>H118/DAY(B2)</f>
        <v>10.9</v>
      </c>
      <c r="N118" s="716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57</v>
      </c>
      <c r="G119" s="536">
        <f>SUM(G19+G93)</f>
        <v>57</v>
      </c>
      <c r="H119" s="460">
        <f>G119+'9'!H119</f>
        <v>832</v>
      </c>
      <c r="I119" s="535"/>
      <c r="J119" s="559">
        <f>H119/DAY(B2)</f>
        <v>83.2</v>
      </c>
      <c r="N119" s="716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46</v>
      </c>
      <c r="G120" s="536">
        <f>SUM(G96,G97,G98,G100,G101)</f>
        <v>46</v>
      </c>
      <c r="H120" s="460">
        <f>G120+'9'!H120</f>
        <v>830</v>
      </c>
      <c r="I120" s="535"/>
      <c r="J120" s="559">
        <f>H120/DAY(B2)</f>
        <v>83</v>
      </c>
      <c r="N120" s="716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57</v>
      </c>
      <c r="G121" s="534">
        <f>SUM(G113)</f>
        <v>57</v>
      </c>
      <c r="H121" s="460">
        <f>G121+'9'!H121</f>
        <v>657</v>
      </c>
      <c r="I121" s="535"/>
      <c r="J121" s="559">
        <f>H121/DAY(B2)</f>
        <v>65.7</v>
      </c>
      <c r="N121" s="716"/>
    </row>
    <row r="122" spans="1:14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716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16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'9'!F124</f>
        <v>827918</v>
      </c>
      <c r="F124" s="478">
        <v>828118</v>
      </c>
      <c r="G124" s="473">
        <f t="shared" ref="G124:G128" si="13">F124-E124</f>
        <v>200</v>
      </c>
      <c r="H124" s="460">
        <f>G124+'9'!H124</f>
        <v>2029.5400000000373</v>
      </c>
      <c r="I124" s="526"/>
      <c r="J124" s="552">
        <f>H124/DAY(B2)</f>
        <v>202.95400000000373</v>
      </c>
      <c r="K124" s="380"/>
      <c r="L124" s="377"/>
      <c r="N124" s="716"/>
    </row>
    <row r="125" spans="1:14" ht="27.75">
      <c r="A125" s="1144" t="s">
        <v>232</v>
      </c>
      <c r="B125" s="1145"/>
      <c r="C125" s="1145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6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'9'!F126</f>
        <v>145242</v>
      </c>
      <c r="F126" s="478">
        <v>145277</v>
      </c>
      <c r="G126" s="473">
        <f t="shared" si="13"/>
        <v>35</v>
      </c>
      <c r="H126" s="460">
        <f>G126+'9'!H126</f>
        <v>589.55999999999767</v>
      </c>
      <c r="I126" s="526"/>
      <c r="J126" s="552">
        <f>H126/DAY(B2)</f>
        <v>58.955999999999769</v>
      </c>
      <c r="K126" s="380"/>
      <c r="L126" s="377"/>
      <c r="N126" s="716"/>
    </row>
    <row r="127" spans="1:14" ht="27.75">
      <c r="A127" s="609" t="s">
        <v>234</v>
      </c>
      <c r="B127" s="1145"/>
      <c r="C127" s="1145"/>
      <c r="D127" s="523" t="s">
        <v>141</v>
      </c>
      <c r="E127" s="626">
        <f>'9'!F127</f>
        <v>31404.2</v>
      </c>
      <c r="F127" s="626">
        <v>31404.2</v>
      </c>
      <c r="G127" s="473">
        <f t="shared" si="13"/>
        <v>0</v>
      </c>
      <c r="H127" s="460">
        <f>G127+'9'!H127</f>
        <v>0.2000000000007276</v>
      </c>
      <c r="I127" s="526"/>
      <c r="J127" s="552">
        <f>H127/DAY(B2)</f>
        <v>2.0000000000072758E-2</v>
      </c>
      <c r="K127" s="380"/>
      <c r="L127" s="377"/>
      <c r="N127" s="716"/>
    </row>
    <row r="128" spans="1:14" ht="27.75">
      <c r="A128" s="609" t="s">
        <v>235</v>
      </c>
      <c r="B128" s="1145"/>
      <c r="C128" s="1145"/>
      <c r="D128" s="523" t="s">
        <v>141</v>
      </c>
      <c r="E128" s="626">
        <f>'9'!F128</f>
        <v>8971</v>
      </c>
      <c r="F128" s="626">
        <v>8971</v>
      </c>
      <c r="G128" s="473">
        <f t="shared" si="13"/>
        <v>0</v>
      </c>
      <c r="H128" s="460">
        <f>G128+'9'!H128</f>
        <v>1.2999999999992724</v>
      </c>
      <c r="I128" s="480"/>
      <c r="J128" s="552">
        <f>H128/DAY(B2)</f>
        <v>0.12999999999992723</v>
      </c>
      <c r="K128" s="380"/>
      <c r="L128" s="377"/>
      <c r="N128" s="716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8</v>
      </c>
      <c r="H129" s="460"/>
      <c r="I129" s="480"/>
      <c r="J129" s="552"/>
      <c r="K129" s="364"/>
      <c r="L129" s="292"/>
      <c r="N129" s="716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6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6"/>
    </row>
    <row r="133" spans="1:14" ht="27.75">
      <c r="A133" s="1144" t="s">
        <v>241</v>
      </c>
      <c r="B133" s="1145"/>
      <c r="C133" s="1145"/>
      <c r="D133" s="523" t="s">
        <v>239</v>
      </c>
      <c r="E133" s="1390">
        <f>'9'!F133</f>
        <v>39960.33</v>
      </c>
      <c r="F133" s="1391">
        <v>39984.36</v>
      </c>
      <c r="G133" s="1392">
        <f t="shared" si="14"/>
        <v>24.029999999998836</v>
      </c>
      <c r="H133" s="460">
        <f>G133+'9'!H133</f>
        <v>237.87999999999738</v>
      </c>
      <c r="I133" s="480"/>
      <c r="J133" s="552">
        <f>H133/DAY(B2)</f>
        <v>23.787999999999737</v>
      </c>
      <c r="N133" s="716"/>
    </row>
    <row r="134" spans="1:14" ht="27.75">
      <c r="A134" s="1144" t="s">
        <v>242</v>
      </c>
      <c r="B134" s="1145"/>
      <c r="C134" s="1145"/>
      <c r="D134" s="523" t="s">
        <v>239</v>
      </c>
      <c r="E134" s="1390">
        <f>'9'!F134</f>
        <v>300</v>
      </c>
      <c r="F134" s="1391">
        <v>300</v>
      </c>
      <c r="G134" s="1392">
        <f t="shared" si="14"/>
        <v>0</v>
      </c>
      <c r="H134" s="460">
        <f>G134+'9'!H134</f>
        <v>0</v>
      </c>
      <c r="I134" s="480">
        <f>G131+G132+G133+G134</f>
        <v>24.029999999998836</v>
      </c>
      <c r="J134" s="552">
        <f>H134/DAY(B2)</f>
        <v>0</v>
      </c>
      <c r="N134" s="716"/>
    </row>
    <row r="135" spans="1:14" ht="27.75">
      <c r="A135" s="1144" t="s">
        <v>243</v>
      </c>
      <c r="B135" s="1145"/>
      <c r="C135" s="1145"/>
      <c r="D135" s="523" t="s">
        <v>239</v>
      </c>
      <c r="E135" s="1390">
        <f>'9'!F135</f>
        <v>41393.33</v>
      </c>
      <c r="F135" s="1391">
        <v>41393.33</v>
      </c>
      <c r="G135" s="1392">
        <f t="shared" si="14"/>
        <v>0</v>
      </c>
      <c r="H135" s="460">
        <f>G135+'9'!H135</f>
        <v>8.3300000000017462</v>
      </c>
      <c r="I135" s="480"/>
      <c r="J135" s="552">
        <f>H135/DAY(B2)</f>
        <v>0.8330000000001746</v>
      </c>
      <c r="N135" s="716"/>
    </row>
    <row r="136" spans="1:14" ht="27.75">
      <c r="A136" s="1144" t="s">
        <v>244</v>
      </c>
      <c r="B136" s="1145"/>
      <c r="C136" s="1145"/>
      <c r="D136" s="523" t="s">
        <v>239</v>
      </c>
      <c r="E136" s="1390">
        <f>'9'!F136</f>
        <v>32582.560000000001</v>
      </c>
      <c r="F136" s="1391">
        <v>32582.560000000001</v>
      </c>
      <c r="G136" s="1392">
        <f t="shared" si="14"/>
        <v>0</v>
      </c>
      <c r="H136" s="460">
        <f>G136+'9'!H136</f>
        <v>-0.43999999999869033</v>
      </c>
      <c r="I136" s="480"/>
      <c r="J136" s="552">
        <f>H136/DAY(B2)</f>
        <v>-4.3999999999869033E-2</v>
      </c>
      <c r="N136" s="716"/>
    </row>
    <row r="137" spans="1:14" ht="27.75">
      <c r="A137" s="1144" t="s">
        <v>245</v>
      </c>
      <c r="B137" s="1145"/>
      <c r="C137" s="1145"/>
      <c r="D137" s="523" t="s">
        <v>239</v>
      </c>
      <c r="E137" s="1390">
        <f>'9'!F137</f>
        <v>22759</v>
      </c>
      <c r="F137" s="1391">
        <v>22759</v>
      </c>
      <c r="G137" s="1392">
        <f t="shared" si="14"/>
        <v>0</v>
      </c>
      <c r="H137" s="460">
        <f>G137+'9'!H137</f>
        <v>19.409999999999854</v>
      </c>
      <c r="I137" s="480">
        <f>G135+G136+G137</f>
        <v>0</v>
      </c>
      <c r="J137" s="552">
        <f>H137/DAY(B2)</f>
        <v>1.9409999999999854</v>
      </c>
      <c r="N137" s="716"/>
    </row>
    <row r="138" spans="1:14" ht="27.75">
      <c r="A138" s="1144" t="s">
        <v>246</v>
      </c>
      <c r="B138" s="1145"/>
      <c r="C138" s="1145"/>
      <c r="D138" s="523" t="s">
        <v>239</v>
      </c>
      <c r="E138" s="1390">
        <f>'9'!F138</f>
        <v>25051.26</v>
      </c>
      <c r="F138" s="1391">
        <v>25051.26</v>
      </c>
      <c r="G138" s="1392">
        <f t="shared" si="14"/>
        <v>0</v>
      </c>
      <c r="H138" s="460">
        <f>G138+'9'!H138</f>
        <v>-0.33000000000174623</v>
      </c>
      <c r="I138" s="480"/>
      <c r="J138" s="552">
        <f>H138/DAY(B2)</f>
        <v>-3.3000000000174626E-2</v>
      </c>
      <c r="N138" s="716"/>
    </row>
    <row r="139" spans="1:14" ht="27.75">
      <c r="A139" s="1144" t="s">
        <v>247</v>
      </c>
      <c r="B139" s="1145"/>
      <c r="C139" s="1145"/>
      <c r="D139" s="523" t="s">
        <v>239</v>
      </c>
      <c r="E139" s="1390">
        <f>'9'!F139</f>
        <v>70341.759999999995</v>
      </c>
      <c r="F139" s="1391">
        <v>70341.89</v>
      </c>
      <c r="G139" s="1392">
        <f t="shared" si="14"/>
        <v>0.13000000000465661</v>
      </c>
      <c r="H139" s="460">
        <f>G139+'9'!H139</f>
        <v>26.080000000001746</v>
      </c>
      <c r="I139" s="480">
        <f>G138+G139</f>
        <v>0.13000000000465661</v>
      </c>
      <c r="J139" s="552">
        <f>H139/DAY(B2)</f>
        <v>2.6080000000001746</v>
      </c>
      <c r="N139" s="716"/>
    </row>
    <row r="140" spans="1:14" ht="27.75">
      <c r="A140" s="1144" t="s">
        <v>248</v>
      </c>
      <c r="B140" s="1145"/>
      <c r="C140" s="1145"/>
      <c r="D140" s="523" t="s">
        <v>239</v>
      </c>
      <c r="E140" s="1390">
        <f>'9'!F140</f>
        <v>1685.98</v>
      </c>
      <c r="F140" s="1391">
        <v>1693.56</v>
      </c>
      <c r="G140" s="1392">
        <f t="shared" si="14"/>
        <v>7.5799999999999272</v>
      </c>
      <c r="H140" s="460">
        <f>G140+'9'!H140</f>
        <v>76.700000000000045</v>
      </c>
      <c r="I140" s="542"/>
      <c r="J140" s="552">
        <f>H140/DAY(B2)</f>
        <v>7.6700000000000044</v>
      </c>
      <c r="N140" s="716"/>
    </row>
    <row r="141" spans="1:14" ht="27.75">
      <c r="A141" s="1144" t="s">
        <v>249</v>
      </c>
      <c r="B141" s="1145"/>
      <c r="C141" s="1145"/>
      <c r="D141" s="523" t="s">
        <v>239</v>
      </c>
      <c r="E141" s="1390">
        <f>'9'!F141</f>
        <v>4636.88</v>
      </c>
      <c r="F141" s="1391">
        <v>4636.88</v>
      </c>
      <c r="G141" s="1392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6"/>
    </row>
    <row r="142" spans="1:14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6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3979</v>
      </c>
      <c r="H143" s="460">
        <f>G143+'9'!H143</f>
        <v>43658</v>
      </c>
      <c r="I143" s="480"/>
      <c r="J143" s="552">
        <f>H143/DAY(B2)</f>
        <v>4365.8</v>
      </c>
      <c r="K143" s="380"/>
      <c r="L143" s="377"/>
      <c r="N143" s="716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0.26274432118330693</v>
      </c>
      <c r="H144" s="460">
        <f>G144+'9'!H144</f>
        <v>2.7289947621320421</v>
      </c>
      <c r="I144" s="544"/>
      <c r="J144" s="552">
        <f>H144/DAY(B2)</f>
        <v>0.27289947621320421</v>
      </c>
      <c r="K144" s="380"/>
      <c r="L144" s="377"/>
      <c r="N144" s="716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4860.890000000014</v>
      </c>
      <c r="H145" s="460">
        <f>G145+'9'!H145</f>
        <v>48583.530000000028</v>
      </c>
      <c r="I145" s="480"/>
      <c r="J145" s="552">
        <f>H145/DAY(B2)</f>
        <v>4858.3530000000028</v>
      </c>
      <c r="K145" s="380"/>
      <c r="L145" s="377"/>
      <c r="N145" s="716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0.32097794506075106</v>
      </c>
      <c r="H146" s="460">
        <f>G146+'9'!H146</f>
        <v>3.0433061819641125</v>
      </c>
      <c r="I146" s="544"/>
      <c r="J146" s="552">
        <f>H146/DAY(B2)</f>
        <v>0.30433061819641127</v>
      </c>
      <c r="K146" s="380"/>
      <c r="L146" s="377"/>
      <c r="N146" s="716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2173</v>
      </c>
      <c r="H147" s="460">
        <f>G147+'9'!H147</f>
        <v>23067</v>
      </c>
      <c r="I147" s="545"/>
      <c r="J147" s="552">
        <f>H147/DAY(B2)</f>
        <v>2306.6999999999998</v>
      </c>
      <c r="K147" s="380"/>
      <c r="L147" s="377"/>
      <c r="N147" s="716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0.14348917062863181</v>
      </c>
      <c r="H148" s="460">
        <f>G148+'9'!H148</f>
        <v>1.4426892218417289</v>
      </c>
      <c r="I148" s="545"/>
      <c r="J148" s="552">
        <f>H148/DAY(B2)</f>
        <v>0.14426892218417289</v>
      </c>
      <c r="N148" s="716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1067</v>
      </c>
      <c r="H149" s="460">
        <f>G149+'9'!H149</f>
        <v>12269.069999999949</v>
      </c>
      <c r="I149" s="480"/>
      <c r="J149" s="552">
        <f>H149/DAY(B2)</f>
        <v>1226.9069999999949</v>
      </c>
      <c r="K149" s="381"/>
      <c r="N149" s="716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7.0456946645536186E-2</v>
      </c>
      <c r="H150" s="460">
        <f>G150+'9'!H150</f>
        <v>0.76810989492928194</v>
      </c>
      <c r="I150" s="545"/>
      <c r="J150" s="552">
        <f>H150/DAY(B2)</f>
        <v>7.6810989492928194E-2</v>
      </c>
      <c r="N150" s="716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939</v>
      </c>
      <c r="H151" s="460">
        <f>G151+'9'!H151</f>
        <v>12257</v>
      </c>
      <c r="I151" s="545"/>
      <c r="J151" s="552">
        <f>H151/DAY(B2)</f>
        <v>1225.7</v>
      </c>
      <c r="N151" s="716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6.2004754358161648E-2</v>
      </c>
      <c r="H152" s="460">
        <f>G152+'9'!H152</f>
        <v>0.76408961716554158</v>
      </c>
      <c r="I152" s="480"/>
      <c r="J152" s="552">
        <f>H152/DAY(B2)</f>
        <v>7.6408961716554161E-2</v>
      </c>
      <c r="N152" s="716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1187</v>
      </c>
      <c r="H153" s="460">
        <f>G153+'9'!H153</f>
        <v>12304.869999999995</v>
      </c>
      <c r="I153" s="480"/>
      <c r="J153" s="552">
        <f>H153/DAY(B2)</f>
        <v>1230.4869999999996</v>
      </c>
      <c r="N153" s="716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7.8380876914949812E-2</v>
      </c>
      <c r="H154" s="567">
        <f>G154+'9'!H154</f>
        <v>0.76955559961633924</v>
      </c>
      <c r="I154" s="568"/>
      <c r="J154" s="569">
        <f>H154/DAY(B2)</f>
        <v>7.6955559961633918E-2</v>
      </c>
      <c r="N154" s="716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16"/>
    </row>
    <row r="158" spans="1:14" ht="27.75">
      <c r="A158" s="1559" t="s">
        <v>267</v>
      </c>
      <c r="B158" s="1560"/>
      <c r="C158" s="1560"/>
      <c r="D158" s="1560"/>
      <c r="E158" s="1560"/>
      <c r="F158" s="1560"/>
      <c r="G158" s="1561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/>
      <c r="B160" s="789"/>
      <c r="C160" s="789"/>
      <c r="D160" s="511"/>
      <c r="E160" s="455"/>
      <c r="F160" s="661"/>
      <c r="G160" s="473"/>
    </row>
    <row r="161" spans="1:8">
      <c r="A161" s="788" t="s">
        <v>263</v>
      </c>
      <c r="B161" s="789"/>
      <c r="C161" s="789"/>
      <c r="D161" s="511" t="s">
        <v>187</v>
      </c>
      <c r="E161" s="1064">
        <f>'9'!F161</f>
        <v>36665</v>
      </c>
      <c r="F161" s="661">
        <v>36748</v>
      </c>
      <c r="G161" s="473">
        <f>F161-E161</f>
        <v>83</v>
      </c>
    </row>
    <row r="162" spans="1:8">
      <c r="A162" s="788" t="s">
        <v>264</v>
      </c>
      <c r="B162" s="789"/>
      <c r="C162" s="789"/>
      <c r="D162" s="511" t="s">
        <v>187</v>
      </c>
      <c r="E162" s="1064">
        <f>'9'!F162</f>
        <v>86130</v>
      </c>
      <c r="F162" s="661">
        <v>86560</v>
      </c>
      <c r="G162" s="473">
        <f t="shared" ref="G162:G172" si="15">F162-E162</f>
        <v>430</v>
      </c>
    </row>
    <row r="163" spans="1:8">
      <c r="A163" s="788" t="s">
        <v>265</v>
      </c>
      <c r="B163" s="789"/>
      <c r="C163" s="789"/>
      <c r="D163" s="511" t="s">
        <v>187</v>
      </c>
      <c r="E163" s="1064">
        <f>'9'!F163</f>
        <v>40244</v>
      </c>
      <c r="F163" s="661">
        <v>40455</v>
      </c>
      <c r="G163" s="473">
        <f t="shared" si="15"/>
        <v>211</v>
      </c>
      <c r="H163" s="514"/>
    </row>
    <row r="164" spans="1:8">
      <c r="A164" s="788" t="s">
        <v>266</v>
      </c>
      <c r="B164" s="789"/>
      <c r="C164" s="789"/>
      <c r="D164" s="511" t="s">
        <v>187</v>
      </c>
      <c r="E164" s="1064">
        <f>'9'!F164</f>
        <v>6310</v>
      </c>
      <c r="F164" s="661">
        <v>6329</v>
      </c>
      <c r="G164" s="473">
        <f t="shared" si="15"/>
        <v>19</v>
      </c>
    </row>
    <row r="165" spans="1:8">
      <c r="A165" s="790" t="s">
        <v>98</v>
      </c>
      <c r="B165" s="604"/>
      <c r="C165" s="604"/>
      <c r="D165" s="511" t="s">
        <v>187</v>
      </c>
      <c r="E165" s="1064">
        <f>'9'!F165</f>
        <v>20419</v>
      </c>
      <c r="F165" s="514">
        <f>F62</f>
        <v>20419</v>
      </c>
      <c r="G165" s="473">
        <f t="shared" si="15"/>
        <v>0</v>
      </c>
    </row>
    <row r="166" spans="1:8" ht="34.5" customHeight="1">
      <c r="A166" s="790" t="s">
        <v>188</v>
      </c>
      <c r="B166" s="604"/>
      <c r="C166" s="604"/>
      <c r="D166" s="511" t="s">
        <v>187</v>
      </c>
      <c r="E166" s="1064">
        <f>'9'!F166</f>
        <v>2393</v>
      </c>
      <c r="F166" s="514">
        <f t="shared" ref="F166:F172" si="16">F63</f>
        <v>2397</v>
      </c>
      <c r="G166" s="473">
        <f t="shared" si="15"/>
        <v>4</v>
      </c>
    </row>
    <row r="167" spans="1:8" ht="31.5" customHeight="1">
      <c r="A167" s="1500" t="s">
        <v>99</v>
      </c>
      <c r="B167" s="1500"/>
      <c r="C167" s="1500"/>
      <c r="D167" s="523" t="s">
        <v>187</v>
      </c>
      <c r="E167" s="1064">
        <f>'9'!F167</f>
        <v>155156</v>
      </c>
      <c r="F167" s="514">
        <f t="shared" si="16"/>
        <v>155359</v>
      </c>
      <c r="G167" s="473">
        <f t="shared" si="15"/>
        <v>203</v>
      </c>
    </row>
    <row r="168" spans="1:8" ht="21.75" customHeight="1">
      <c r="A168" s="1500" t="s">
        <v>100</v>
      </c>
      <c r="B168" s="1500"/>
      <c r="C168" s="1500"/>
      <c r="D168" s="523" t="s">
        <v>187</v>
      </c>
      <c r="E168" s="1064">
        <f>'9'!F168</f>
        <v>156346</v>
      </c>
      <c r="F168" s="514">
        <f t="shared" si="16"/>
        <v>156480</v>
      </c>
      <c r="G168" s="473">
        <f t="shared" si="15"/>
        <v>134</v>
      </c>
    </row>
    <row r="169" spans="1:8" ht="27.75" customHeight="1">
      <c r="A169" s="1500" t="s">
        <v>101</v>
      </c>
      <c r="B169" s="1500"/>
      <c r="C169" s="1500"/>
      <c r="D169" s="523" t="s">
        <v>187</v>
      </c>
      <c r="E169" s="1064">
        <f>'9'!F169</f>
        <v>50927</v>
      </c>
      <c r="F169" s="514">
        <f t="shared" si="16"/>
        <v>51186</v>
      </c>
      <c r="G169" s="473">
        <f t="shared" si="15"/>
        <v>259</v>
      </c>
    </row>
    <row r="170" spans="1:8" ht="21.75" customHeight="1">
      <c r="A170" s="1500" t="s">
        <v>102</v>
      </c>
      <c r="B170" s="1500"/>
      <c r="C170" s="1500"/>
      <c r="D170" s="523" t="s">
        <v>187</v>
      </c>
      <c r="E170" s="1064">
        <f>'9'!F170</f>
        <v>244700</v>
      </c>
      <c r="F170" s="514">
        <f t="shared" si="16"/>
        <v>244826</v>
      </c>
      <c r="G170" s="473">
        <f t="shared" si="15"/>
        <v>126</v>
      </c>
    </row>
    <row r="171" spans="1:8" ht="27.75" customHeight="1">
      <c r="A171" s="1500" t="s">
        <v>103</v>
      </c>
      <c r="B171" s="1500"/>
      <c r="C171" s="1500"/>
      <c r="D171" s="523" t="s">
        <v>187</v>
      </c>
      <c r="E171" s="1064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00" t="s">
        <v>104</v>
      </c>
      <c r="B172" s="1500"/>
      <c r="C172" s="1500"/>
      <c r="D172" s="523" t="s">
        <v>187</v>
      </c>
      <c r="E172" s="1064">
        <f>'9'!F172</f>
        <v>79731</v>
      </c>
      <c r="F172" s="514">
        <f t="shared" si="16"/>
        <v>79831</v>
      </c>
      <c r="G172" s="473">
        <f t="shared" si="15"/>
        <v>100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6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6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6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6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6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6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6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6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6">
        <f>SUM(G93+G19)</f>
        <v>57</v>
      </c>
      <c r="G195" s="537">
        <f>F195+'[3]9'!I145</f>
        <v>57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6">
        <f>SUM(G96:G98,G190:G192)</f>
        <v>47</v>
      </c>
      <c r="G197" s="537">
        <f>F197+'[3]9'!I147</f>
        <v>47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6">
        <f>H189+H140</f>
        <v>76.700000000000045</v>
      </c>
      <c r="G199" s="537">
        <f>SUM(G99,G185:G187)</f>
        <v>63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67" zoomScale="55" zoomScaleNormal="55" workbookViewId="0">
      <selection activeCell="F28" activeCellId="1" sqref="F28 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63" customWidth="1"/>
    <col min="6" max="6" width="30" style="1464" customWidth="1"/>
    <col min="7" max="7" width="28.88671875" style="1463" customWidth="1"/>
    <col min="8" max="8" width="39.21875" style="1465" customWidth="1"/>
    <col min="9" max="9" width="16.109375" style="1463" customWidth="1"/>
    <col min="10" max="10" width="24" style="1466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369</v>
      </c>
      <c r="B2" s="1036">
        <v>44327</v>
      </c>
      <c r="C2" s="1146" t="s">
        <v>69</v>
      </c>
      <c r="D2" s="611">
        <v>0.5</v>
      </c>
      <c r="E2" s="1393"/>
      <c r="F2" s="1393"/>
      <c r="G2" s="1393" t="s">
        <v>118</v>
      </c>
      <c r="H2" s="1393" t="s">
        <v>6</v>
      </c>
      <c r="I2" s="1393" t="s">
        <v>8</v>
      </c>
      <c r="J2" s="1394" t="s">
        <v>119</v>
      </c>
      <c r="N2" s="720"/>
    </row>
    <row r="3" spans="1:16" s="281" customFormat="1" ht="27">
      <c r="A3" s="570"/>
      <c r="B3" s="614"/>
      <c r="C3" s="1146" t="s">
        <v>120</v>
      </c>
      <c r="D3" s="612">
        <v>29</v>
      </c>
      <c r="E3" s="1568" t="s">
        <v>121</v>
      </c>
      <c r="F3" s="1569"/>
      <c r="G3" s="1395"/>
      <c r="H3" s="1396"/>
      <c r="I3" s="1396"/>
      <c r="J3" s="1397"/>
      <c r="K3" s="371"/>
      <c r="L3" s="292"/>
      <c r="N3" s="720"/>
    </row>
    <row r="4" spans="1:16" s="281" customFormat="1" ht="27">
      <c r="A4" s="576"/>
      <c r="B4" s="616"/>
      <c r="C4" s="1146" t="s">
        <v>122</v>
      </c>
      <c r="D4" s="611">
        <v>0.8</v>
      </c>
      <c r="E4" s="1398"/>
      <c r="F4" s="1398"/>
      <c r="G4" s="1398"/>
      <c r="H4" s="1398"/>
      <c r="I4" s="1399"/>
      <c r="J4" s="1397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400" t="s">
        <v>125</v>
      </c>
      <c r="F5" s="1400" t="s">
        <v>112</v>
      </c>
      <c r="G5" s="1401" t="s">
        <v>126</v>
      </c>
      <c r="H5" s="1400" t="s">
        <v>127</v>
      </c>
      <c r="I5" s="1112" t="s">
        <v>128</v>
      </c>
      <c r="J5" s="1402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1403"/>
      <c r="F6" s="1403"/>
      <c r="G6" s="1403"/>
      <c r="H6" s="627"/>
      <c r="I6" s="627"/>
      <c r="J6" s="1404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5">
        <v>5306</v>
      </c>
      <c r="F7" s="709">
        <v>19788.59</v>
      </c>
      <c r="G7" s="1406">
        <f>F7-E7</f>
        <v>14482.59</v>
      </c>
      <c r="H7" s="753">
        <f>G7+'10'!H7</f>
        <v>174811.59</v>
      </c>
      <c r="I7" s="1407">
        <v>12000</v>
      </c>
      <c r="J7" s="1408">
        <f>H7/DAY(B2)</f>
        <v>15891.962727272727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5">
        <v>5344</v>
      </c>
      <c r="F8" s="1409">
        <v>19957.82</v>
      </c>
      <c r="G8" s="1406">
        <f t="shared" ref="G8:G12" si="0">F8-E8</f>
        <v>14613.82</v>
      </c>
      <c r="H8" s="753">
        <f>G8+'10'!H8</f>
        <v>175716.82</v>
      </c>
      <c r="I8" s="1410">
        <v>12000</v>
      </c>
      <c r="J8" s="1408">
        <f>H8/DAY(B2)</f>
        <v>15974.256363636365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5">
        <f>'10'!F9</f>
        <v>1145721</v>
      </c>
      <c r="F9" s="654">
        <v>1159720.3</v>
      </c>
      <c r="G9" s="1411">
        <f t="shared" si="0"/>
        <v>13999.300000000047</v>
      </c>
      <c r="H9" s="753">
        <f>G9+'10'!H9</f>
        <v>169006.30000000005</v>
      </c>
      <c r="I9" s="753">
        <f>I7-J7</f>
        <v>-3891.9627272727266</v>
      </c>
      <c r="J9" s="1408">
        <f>H9/DAY(B2)</f>
        <v>15364.209090909095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5">
        <f>'10'!F10</f>
        <v>2322.58</v>
      </c>
      <c r="F10" s="654">
        <v>2322.58</v>
      </c>
      <c r="G10" s="1406">
        <f t="shared" si="0"/>
        <v>0</v>
      </c>
      <c r="H10" s="753">
        <f>G10+'10'!H10</f>
        <v>0</v>
      </c>
      <c r="I10" s="1412"/>
      <c r="J10" s="1408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5">
        <f>'5'!E11</f>
        <v>37000</v>
      </c>
      <c r="F11" s="709">
        <v>37000</v>
      </c>
      <c r="G11" s="1406">
        <f t="shared" si="0"/>
        <v>0</v>
      </c>
      <c r="H11" s="753">
        <f>G11+'10'!H11</f>
        <v>0</v>
      </c>
      <c r="I11" s="1412"/>
      <c r="J11" s="1408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5">
        <f>'5'!E12</f>
        <v>40010</v>
      </c>
      <c r="F12" s="654">
        <v>40010</v>
      </c>
      <c r="G12" s="1406">
        <f t="shared" si="0"/>
        <v>0</v>
      </c>
      <c r="H12" s="753">
        <f>G12+'10'!H12</f>
        <v>0</v>
      </c>
      <c r="I12" s="1412"/>
      <c r="J12" s="1408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5"/>
      <c r="F13" s="709"/>
      <c r="G13" s="1406">
        <f>G9+G10+G11+G12</f>
        <v>13999.300000000047</v>
      </c>
      <c r="H13" s="753">
        <f>G13+'9'!H13</f>
        <v>154485.30000000005</v>
      </c>
      <c r="I13" s="1405">
        <f>G7-G13</f>
        <v>483.28999999995358</v>
      </c>
      <c r="J13" s="1408">
        <f>H13/DAY(B2)</f>
        <v>14044.118181818187</v>
      </c>
      <c r="K13" s="428"/>
      <c r="L13" s="377"/>
      <c r="N13" s="721"/>
      <c r="P13" s="382"/>
    </row>
    <row r="14" spans="1:16">
      <c r="A14" s="1539" t="s">
        <v>139</v>
      </c>
      <c r="B14" s="1540"/>
      <c r="C14" s="1541"/>
      <c r="D14" s="472"/>
      <c r="E14" s="627"/>
      <c r="F14" s="627"/>
      <c r="G14" s="650"/>
      <c r="H14" s="627"/>
      <c r="I14" s="627"/>
      <c r="J14" s="1404"/>
      <c r="K14" s="429"/>
      <c r="L14" s="377"/>
      <c r="N14" s="721"/>
      <c r="P14" s="382"/>
    </row>
    <row r="15" spans="1:16">
      <c r="A15" s="796" t="s">
        <v>140</v>
      </c>
      <c r="B15" s="797"/>
      <c r="C15" s="797"/>
      <c r="D15" s="524" t="s">
        <v>141</v>
      </c>
      <c r="E15" s="654">
        <f>'10'!F15</f>
        <v>1674950</v>
      </c>
      <c r="F15" s="654">
        <v>1675283.69</v>
      </c>
      <c r="G15" s="655">
        <f>(F15-E15)</f>
        <v>333.68999999994412</v>
      </c>
      <c r="H15" s="708">
        <f>G15+'10'!H15</f>
        <v>4626.6899999999441</v>
      </c>
      <c r="I15" s="1414">
        <v>800</v>
      </c>
      <c r="J15" s="710">
        <f>H15/DAY(B2)</f>
        <v>420.60818181817672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13"/>
      <c r="H16" s="708"/>
      <c r="I16" s="709">
        <f>I15-J15</f>
        <v>379.39181818182328</v>
      </c>
      <c r="J16" s="710"/>
      <c r="K16" s="428"/>
      <c r="L16" s="377"/>
      <c r="N16" s="721"/>
      <c r="P16" s="382"/>
    </row>
    <row r="17" spans="1:16">
      <c r="A17" s="1539" t="s">
        <v>142</v>
      </c>
      <c r="B17" s="1540"/>
      <c r="C17" s="1541"/>
      <c r="D17" s="472"/>
      <c r="E17" s="627"/>
      <c r="F17" s="627"/>
      <c r="G17" s="753"/>
      <c r="H17" s="627"/>
      <c r="I17" s="627"/>
      <c r="J17" s="1404"/>
      <c r="K17" s="428"/>
      <c r="L17" s="377"/>
      <c r="N17" s="721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6">
        <f>'10'!F18</f>
        <v>2</v>
      </c>
      <c r="F18" s="654">
        <v>2</v>
      </c>
      <c r="G18" s="1406">
        <f>F18*10</f>
        <v>20</v>
      </c>
      <c r="H18" s="753">
        <f>G18+'10'!H18</f>
        <v>460</v>
      </c>
      <c r="I18" s="1407">
        <v>65</v>
      </c>
      <c r="J18" s="1408">
        <f>H18/DAY(B2)</f>
        <v>41.81818181818182</v>
      </c>
      <c r="K18" s="428"/>
      <c r="L18" s="377"/>
      <c r="N18" s="721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6">
        <f>'10'!F19</f>
        <v>138354</v>
      </c>
      <c r="F19" s="654">
        <v>138409</v>
      </c>
      <c r="G19" s="1406">
        <f t="shared" ref="G19" si="1">F19-E19</f>
        <v>55</v>
      </c>
      <c r="H19" s="753">
        <f>G19+'10'!H19</f>
        <v>597</v>
      </c>
      <c r="I19" s="1415"/>
      <c r="J19" s="1408">
        <f>H19/DAY(B2)</f>
        <v>54.272727272727273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6">
        <f>G18+G19</f>
        <v>75</v>
      </c>
      <c r="H20" s="753">
        <f>G20+'10'!H20</f>
        <v>1057</v>
      </c>
      <c r="I20" s="1417">
        <f>I18-J20</f>
        <v>-31.090909090909093</v>
      </c>
      <c r="J20" s="1408">
        <f>H20/DAY(B2)</f>
        <v>96.090909090909093</v>
      </c>
      <c r="K20" s="428"/>
      <c r="L20" s="377"/>
      <c r="N20" s="721"/>
      <c r="P20" s="382"/>
    </row>
    <row r="21" spans="1:16">
      <c r="A21" s="1539" t="s">
        <v>146</v>
      </c>
      <c r="B21" s="1540"/>
      <c r="C21" s="1541"/>
      <c r="D21" s="472"/>
      <c r="E21" s="627"/>
      <c r="F21" s="627"/>
      <c r="G21" s="650"/>
      <c r="H21" s="627"/>
      <c r="I21" s="627"/>
      <c r="J21" s="1404"/>
      <c r="K21" s="428"/>
      <c r="L21" s="377"/>
      <c r="N21" s="721"/>
      <c r="P21" s="382"/>
    </row>
    <row r="22" spans="1:16">
      <c r="A22" s="1144" t="s">
        <v>147</v>
      </c>
      <c r="B22" s="589"/>
      <c r="C22" s="589"/>
      <c r="D22" s="523" t="s">
        <v>148</v>
      </c>
      <c r="E22" s="636">
        <f>'10'!F22</f>
        <v>2970</v>
      </c>
      <c r="F22" s="654">
        <v>2970</v>
      </c>
      <c r="G22" s="655">
        <f t="shared" ref="G22" si="2">(F22-E22)</f>
        <v>0</v>
      </c>
      <c r="H22" s="708">
        <f>G22+'10'!H22</f>
        <v>0</v>
      </c>
      <c r="I22" s="1076"/>
      <c r="J22" s="710">
        <f>H22/DAY(B2)</f>
        <v>0</v>
      </c>
      <c r="K22" s="428"/>
      <c r="L22" s="377"/>
      <c r="N22" s="721"/>
      <c r="P22" s="382"/>
    </row>
    <row r="23" spans="1:16">
      <c r="A23" s="1144" t="s">
        <v>149</v>
      </c>
      <c r="B23" s="589"/>
      <c r="C23" s="589"/>
      <c r="D23" s="523" t="s">
        <v>148</v>
      </c>
      <c r="E23" s="636">
        <f>'10'!F23</f>
        <v>2000</v>
      </c>
      <c r="F23" s="654">
        <v>2900</v>
      </c>
      <c r="G23" s="655">
        <v>0</v>
      </c>
      <c r="H23" s="708">
        <f>G23+'10'!H23</f>
        <v>0</v>
      </c>
      <c r="I23" s="1076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8">
        <f>'10'!F24</f>
        <v>4250</v>
      </c>
      <c r="F24" s="654">
        <v>4250</v>
      </c>
      <c r="G24" s="655">
        <v>0</v>
      </c>
      <c r="H24" s="708">
        <f>G24+'10'!H24</f>
        <v>0</v>
      </c>
      <c r="I24" s="1076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44" t="s">
        <v>151</v>
      </c>
      <c r="B25" s="1545"/>
      <c r="C25" s="1546"/>
      <c r="D25" s="471"/>
      <c r="E25" s="1403"/>
      <c r="F25" s="1403"/>
      <c r="G25" s="1419"/>
      <c r="H25" s="1112"/>
      <c r="I25" s="1420"/>
      <c r="J25" s="1421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22"/>
      <c r="F26" s="709"/>
      <c r="G26" s="1423"/>
      <c r="H26" s="708"/>
      <c r="I26" s="1424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5">
        <f>G8</f>
        <v>14613.82</v>
      </c>
      <c r="F27" s="1426">
        <v>9</v>
      </c>
      <c r="G27" s="1427">
        <f>E27*F27</f>
        <v>131524.38</v>
      </c>
      <c r="H27" s="708">
        <f>G27+'10'!H27</f>
        <v>1581451.38</v>
      </c>
      <c r="I27" s="1428"/>
      <c r="J27" s="710">
        <f>H27/DAY(B2)</f>
        <v>143768.30727272725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5">
        <f>G15</f>
        <v>333.68999999994412</v>
      </c>
      <c r="F28" s="501">
        <v>49</v>
      </c>
      <c r="G28" s="1427">
        <f>E28*F28</f>
        <v>16350.809999997262</v>
      </c>
      <c r="H28" s="708">
        <f>G28+'10'!H28</f>
        <v>229493.45999999726</v>
      </c>
      <c r="I28" s="1429"/>
      <c r="J28" s="710">
        <f>H28/DAY(B2)</f>
        <v>20863.041818181569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5">
        <f>G24</f>
        <v>0</v>
      </c>
      <c r="F29" s="1426">
        <v>69</v>
      </c>
      <c r="G29" s="1427">
        <f>E29*F29</f>
        <v>0</v>
      </c>
      <c r="H29" s="708">
        <f>G29+'10'!H29</f>
        <v>0</v>
      </c>
      <c r="I29" s="1429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5">
        <f>G19</f>
        <v>55</v>
      </c>
      <c r="F30" s="1426">
        <v>134</v>
      </c>
      <c r="G30" s="1427">
        <f>E30*F30</f>
        <v>7370</v>
      </c>
      <c r="H30" s="708">
        <f>G30+'10'!H30</f>
        <v>79998</v>
      </c>
      <c r="I30" s="1429"/>
      <c r="J30" s="710">
        <f>H30/DAY(B2)</f>
        <v>7272.545454545455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5">
        <f>G18</f>
        <v>20</v>
      </c>
      <c r="F31" s="1426">
        <v>80</v>
      </c>
      <c r="G31" s="1427">
        <f>E31*F31</f>
        <v>1600</v>
      </c>
      <c r="H31" s="708">
        <f>G31+'10'!H31</f>
        <v>36800</v>
      </c>
      <c r="I31" s="1429"/>
      <c r="J31" s="710">
        <f>H31/DAY(B2)</f>
        <v>3345.4545454545455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30"/>
      <c r="F32" s="627"/>
      <c r="G32" s="1431">
        <f>G27+G28+G29+G30+G31</f>
        <v>156845.18999999727</v>
      </c>
      <c r="H32" s="708">
        <f>G32+'10'!H32</f>
        <v>1927742.8399999975</v>
      </c>
      <c r="I32" s="1432"/>
      <c r="J32" s="710">
        <f>H32/DAY(B2)</f>
        <v>175249.34909090886</v>
      </c>
      <c r="K32" s="373"/>
      <c r="L32" s="443"/>
      <c r="N32" s="721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P33" s="382"/>
    </row>
    <row r="34" spans="1:16">
      <c r="A34" s="598" t="s">
        <v>163</v>
      </c>
      <c r="B34" s="1149"/>
      <c r="C34" s="1149"/>
      <c r="D34" s="472"/>
      <c r="E34" s="1403"/>
      <c r="F34" s="1403"/>
      <c r="G34" s="627"/>
      <c r="H34" s="627"/>
      <c r="I34" s="627"/>
      <c r="J34" s="1404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907723</v>
      </c>
      <c r="F35" s="656">
        <v>909592.23</v>
      </c>
      <c r="G35" s="655">
        <f t="shared" ref="G35:G46" si="3">F35-E35</f>
        <v>1869.2299999999814</v>
      </c>
      <c r="H35" s="708">
        <f>G35+'10'!H35</f>
        <v>23133.229999999981</v>
      </c>
      <c r="I35" s="709"/>
      <c r="J35" s="710">
        <f>H35/DAY(B2)</f>
        <v>2103.0209090909075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347065</v>
      </c>
      <c r="F36" s="656">
        <v>347065</v>
      </c>
      <c r="G36" s="655">
        <f t="shared" si="3"/>
        <v>0</v>
      </c>
      <c r="H36" s="708">
        <f>G36+'10'!H36</f>
        <v>2457</v>
      </c>
      <c r="I36" s="709"/>
      <c r="J36" s="710">
        <f>H36/DAY(B2)</f>
        <v>223.36363636363637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107530</v>
      </c>
      <c r="F37" s="656">
        <v>108721.5</v>
      </c>
      <c r="G37" s="655">
        <f t="shared" si="3"/>
        <v>1191.5</v>
      </c>
      <c r="H37" s="708">
        <f>G37+'10'!H37</f>
        <v>13496.5</v>
      </c>
      <c r="I37" s="709"/>
      <c r="J37" s="710">
        <f>H37/DAY(B2)</f>
        <v>1226.9545454545455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131865</v>
      </c>
      <c r="F38" s="1400">
        <v>132863.37</v>
      </c>
      <c r="G38" s="655">
        <f t="shared" si="3"/>
        <v>998.36999999999534</v>
      </c>
      <c r="H38" s="708">
        <f>G38+'10'!H38</f>
        <v>13267.369999999995</v>
      </c>
      <c r="I38" s="709"/>
      <c r="J38" s="710">
        <f>H38/DAY(B2)</f>
        <v>1206.1245454545451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264341</v>
      </c>
      <c r="F39" s="656">
        <v>265908.17</v>
      </c>
      <c r="G39" s="655">
        <f t="shared" si="3"/>
        <v>1567.1699999999837</v>
      </c>
      <c r="H39" s="708">
        <f>G39+'10'!H39</f>
        <v>19255.169999999984</v>
      </c>
      <c r="I39" s="709"/>
      <c r="J39" s="710">
        <f>H39/DAY(B2)</f>
        <v>1750.4699999999984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86.47</v>
      </c>
      <c r="G40" s="655">
        <f t="shared" si="3"/>
        <v>86.24</v>
      </c>
      <c r="H40" s="708">
        <f>G40+'10'!H40</f>
        <v>86.24</v>
      </c>
      <c r="I40" s="709"/>
      <c r="J40" s="710">
        <f>H40/DAY(B2)</f>
        <v>7.84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230025</v>
      </c>
      <c r="F41" s="656">
        <v>234819.03</v>
      </c>
      <c r="G41" s="655">
        <f t="shared" si="3"/>
        <v>4794.0299999999988</v>
      </c>
      <c r="H41" s="708">
        <f>G41+'10'!H41</f>
        <v>53291.03</v>
      </c>
      <c r="I41" s="709"/>
      <c r="J41" s="710">
        <f>H41/DAY(B2)</f>
        <v>4844.6390909090906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59200</v>
      </c>
      <c r="F42" s="656">
        <v>59200.08</v>
      </c>
      <c r="G42" s="655">
        <f t="shared" si="3"/>
        <v>8.000000000174623E-2</v>
      </c>
      <c r="H42" s="708">
        <f>G42+'10'!H42</f>
        <v>8.000000000174623E-2</v>
      </c>
      <c r="I42" s="709"/>
      <c r="J42" s="710">
        <f>H42/DAY(B2)</f>
        <v>7.2727272728860207E-3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996352</v>
      </c>
      <c r="F43" s="656">
        <v>998445.19</v>
      </c>
      <c r="G43" s="655">
        <f>F43-E43</f>
        <v>2093.1899999999441</v>
      </c>
      <c r="H43" s="708">
        <f>G43+'10'!H43</f>
        <v>24487.189999999944</v>
      </c>
      <c r="I43" s="709"/>
      <c r="J43" s="710">
        <f>H43/DAY(B2)</f>
        <v>2226.1081818181769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0</v>
      </c>
      <c r="I45" s="709"/>
      <c r="J45" s="710">
        <f>H45/DAY(B2)</f>
        <v>0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0.49000000000000909</v>
      </c>
      <c r="I46" s="709"/>
      <c r="J46" s="710">
        <f>H46/DAY(B2)</f>
        <v>4.4545454545455374E-2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403"/>
      <c r="F47" s="1403"/>
      <c r="G47" s="655">
        <f>G35+G36+G37+G38+G39+G40+G41+G42+G43+G44+G45+G46</f>
        <v>12600.299999999905</v>
      </c>
      <c r="H47" s="708">
        <f>G47+'10'!H47</f>
        <v>149474.2999999999</v>
      </c>
      <c r="I47" s="709"/>
      <c r="J47" s="710">
        <f>H47/DAY(B2)</f>
        <v>13588.572727272718</v>
      </c>
      <c r="K47" s="428"/>
      <c r="L47" s="377"/>
      <c r="N47" s="721"/>
      <c r="P47" s="382"/>
    </row>
    <row r="48" spans="1:16">
      <c r="A48" s="598" t="s">
        <v>177</v>
      </c>
      <c r="B48" s="1149"/>
      <c r="C48" s="1149"/>
      <c r="D48" s="472"/>
      <c r="E48" s="1403"/>
      <c r="F48" s="1403"/>
      <c r="G48" s="627"/>
      <c r="H48" s="627"/>
      <c r="I48" s="627"/>
      <c r="J48" s="1404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260732.13</v>
      </c>
      <c r="G49" s="655">
        <f t="shared" ref="G49:G58" si="4">F49-E49</f>
        <v>0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484336</v>
      </c>
      <c r="F50" s="656">
        <v>485107.95</v>
      </c>
      <c r="G50" s="655">
        <f t="shared" si="4"/>
        <v>771.95000000001164</v>
      </c>
      <c r="H50" s="708">
        <f>G50+'9'!H50</f>
        <v>9632.9500000000116</v>
      </c>
      <c r="I50" s="709"/>
      <c r="J50" s="710">
        <f>H50/DAY(B2)</f>
        <v>875.72272727272832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6.9999999948777258E-2</v>
      </c>
      <c r="I52" s="709"/>
      <c r="J52" s="710">
        <f>H52/DAY(B2)</f>
        <v>6.3636363589797511E-3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421690</v>
      </c>
      <c r="F53" s="656">
        <v>422176.23</v>
      </c>
      <c r="G53" s="655">
        <f t="shared" si="4"/>
        <v>486.22999999998137</v>
      </c>
      <c r="H53" s="708">
        <f>G53+'9'!H53</f>
        <v>5342.2299999999814</v>
      </c>
      <c r="I53" s="709"/>
      <c r="J53" s="710">
        <f>H53/DAY(B2)</f>
        <v>485.65727272727105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12105</v>
      </c>
      <c r="F54" s="656">
        <v>12177.65</v>
      </c>
      <c r="G54" s="655">
        <f t="shared" si="4"/>
        <v>72.649999999999636</v>
      </c>
      <c r="H54" s="708">
        <f>G54+'9'!H54</f>
        <v>4415.6499999999996</v>
      </c>
      <c r="I54" s="709"/>
      <c r="J54" s="710">
        <f>H54/DAY(B2)</f>
        <v>401.42272727272723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589375</v>
      </c>
      <c r="F56" s="656">
        <v>589405.23</v>
      </c>
      <c r="G56" s="655">
        <f t="shared" si="4"/>
        <v>30.229999999981374</v>
      </c>
      <c r="H56" s="708">
        <f>G56+'9'!H56</f>
        <v>116.86999999999534</v>
      </c>
      <c r="I56" s="709"/>
      <c r="J56" s="710">
        <f>H56/DAY(B2)</f>
        <v>10.62454545454503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47522</v>
      </c>
      <c r="F58" s="656">
        <v>47522.25</v>
      </c>
      <c r="G58" s="655">
        <f t="shared" si="4"/>
        <v>0.25</v>
      </c>
      <c r="H58" s="708">
        <f>G58+'9'!H58</f>
        <v>805.25</v>
      </c>
      <c r="I58" s="709"/>
      <c r="J58" s="710">
        <f>H58/DAY(B2)</f>
        <v>73.204545454545453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403"/>
      <c r="F59" s="1403"/>
      <c r="G59" s="655">
        <f>G49+G50+G51+G52+G53+G54+G55+G56+G57+G58</f>
        <v>1361.309999999974</v>
      </c>
      <c r="H59" s="708">
        <f>G59+'9'!H59</f>
        <v>20312.889999999934</v>
      </c>
      <c r="I59" s="709">
        <f>G7-G60</f>
        <v>520.98000000012144</v>
      </c>
      <c r="J59" s="710">
        <f>H59/DAY(B2)</f>
        <v>1846.6263636363576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403"/>
      <c r="F60" s="1403"/>
      <c r="G60" s="655">
        <f>G47+G59</f>
        <v>13961.609999999879</v>
      </c>
      <c r="H60" s="708">
        <f>G60+'10'!H60</f>
        <v>171371.07999999984</v>
      </c>
      <c r="I60" s="709">
        <f>G13-G60</f>
        <v>37.690000000167856</v>
      </c>
      <c r="J60" s="710">
        <f>H60/DAY(B2)</f>
        <v>15579.189090909076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33"/>
      <c r="F61" s="1433"/>
      <c r="G61" s="1434"/>
      <c r="H61" s="1434"/>
      <c r="I61" s="1434"/>
      <c r="J61" s="1435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2">
        <f>'10'!F62</f>
        <v>20419</v>
      </c>
      <c r="F62" s="1112">
        <v>20419</v>
      </c>
      <c r="G62" s="655">
        <f t="shared" ref="G62:G69" si="5">F62-E62</f>
        <v>0</v>
      </c>
      <c r="H62" s="708">
        <f>G62+'10'!H62</f>
        <v>1.9999999967694748E-3</v>
      </c>
      <c r="I62" s="1436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2">
        <f>'10'!F63</f>
        <v>2397</v>
      </c>
      <c r="F63" s="1112">
        <v>2400.8000000000002</v>
      </c>
      <c r="G63" s="655">
        <f t="shared" si="5"/>
        <v>3.8000000000001819</v>
      </c>
      <c r="H63" s="708">
        <f>G63+'10'!H63</f>
        <v>41.800000000000182</v>
      </c>
      <c r="I63" s="1436"/>
      <c r="J63" s="710">
        <f>H63/DAY(B2)</f>
        <v>3.8000000000000167</v>
      </c>
      <c r="K63" s="428"/>
      <c r="L63" s="377"/>
      <c r="N63" s="721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1112">
        <f>'10'!F64</f>
        <v>155359</v>
      </c>
      <c r="F64" s="654">
        <v>155566.76999999999</v>
      </c>
      <c r="G64" s="655">
        <f t="shared" si="5"/>
        <v>207.76999999998952</v>
      </c>
      <c r="H64" s="708">
        <f>G64+'10'!H64</f>
        <v>2267.7699999999895</v>
      </c>
      <c r="I64" s="1076"/>
      <c r="J64" s="710">
        <f>H64/DAY(B2)</f>
        <v>206.16090909090815</v>
      </c>
      <c r="K64" s="428"/>
      <c r="L64" s="377"/>
      <c r="N64" s="721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1112">
        <f>'10'!F65</f>
        <v>156480</v>
      </c>
      <c r="F65" s="654">
        <v>156609.13</v>
      </c>
      <c r="G65" s="655">
        <f t="shared" si="5"/>
        <v>129.13000000000466</v>
      </c>
      <c r="H65" s="708">
        <f>G65+'10'!H65</f>
        <v>2010.1300000000047</v>
      </c>
      <c r="I65" s="735"/>
      <c r="J65" s="710">
        <f>H65/DAY(B2)</f>
        <v>182.73909090909135</v>
      </c>
      <c r="K65" s="428"/>
      <c r="L65" s="377"/>
      <c r="N65" s="721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1112">
        <f>'10'!F66</f>
        <v>51186</v>
      </c>
      <c r="F66" s="654">
        <v>51430.79</v>
      </c>
      <c r="G66" s="655">
        <f t="shared" si="5"/>
        <v>244.79000000000087</v>
      </c>
      <c r="H66" s="708">
        <f>G66+'10'!H66</f>
        <v>2859.7900000000009</v>
      </c>
      <c r="I66" s="1076"/>
      <c r="J66" s="710">
        <f>H66/DAY(B2)</f>
        <v>259.98090909090917</v>
      </c>
      <c r="K66" s="428"/>
      <c r="L66" s="377"/>
      <c r="N66" s="721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1112">
        <f>'10'!F67</f>
        <v>244826</v>
      </c>
      <c r="F67" s="654">
        <v>244943.95</v>
      </c>
      <c r="G67" s="655">
        <f t="shared" si="5"/>
        <v>117.95000000001164</v>
      </c>
      <c r="H67" s="708">
        <f>G67+'10'!H67</f>
        <v>1769.9500000000116</v>
      </c>
      <c r="I67" s="735"/>
      <c r="J67" s="710">
        <f>H67/DAY(B2)</f>
        <v>160.90454545454651</v>
      </c>
      <c r="K67" s="429"/>
      <c r="L67" s="377"/>
      <c r="N67" s="721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1112">
        <f>'10'!F68</f>
        <v>85321</v>
      </c>
      <c r="F68" s="654">
        <v>85321</v>
      </c>
      <c r="G68" s="655">
        <f t="shared" si="5"/>
        <v>0</v>
      </c>
      <c r="H68" s="708">
        <f>G68+'10'!H68</f>
        <v>0</v>
      </c>
      <c r="I68" s="1437"/>
      <c r="J68" s="710">
        <f>H68/DAY(B2)</f>
        <v>0</v>
      </c>
      <c r="K68" s="430"/>
      <c r="L68" s="377"/>
      <c r="N68" s="721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1112">
        <f>'10'!F69</f>
        <v>79831</v>
      </c>
      <c r="F69" s="654">
        <v>79870.61</v>
      </c>
      <c r="G69" s="655">
        <f t="shared" si="5"/>
        <v>39.610000000000582</v>
      </c>
      <c r="H69" s="708">
        <f>G69+'10'!H69</f>
        <v>876.61000000000058</v>
      </c>
      <c r="I69" s="1437"/>
      <c r="J69" s="710">
        <f>H69/DAY(B2)</f>
        <v>79.691818181818235</v>
      </c>
      <c r="K69" s="431"/>
      <c r="L69" s="377"/>
      <c r="N69" s="721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1438"/>
      <c r="F70" s="1438"/>
      <c r="G70" s="1438"/>
      <c r="H70" s="708">
        <f>G70+'10'!H70</f>
        <v>0</v>
      </c>
      <c r="I70" s="1438"/>
      <c r="J70" s="1439">
        <f>H70/DAY(B2)</f>
        <v>0</v>
      </c>
      <c r="K70" s="431"/>
      <c r="L70" s="377"/>
      <c r="N70" s="721"/>
      <c r="P70" s="382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20">
        <f>'10'!F72</f>
        <v>855621</v>
      </c>
      <c r="F72" s="658">
        <v>855635</v>
      </c>
      <c r="G72" s="655">
        <f t="shared" ref="G72:G84" si="6">F72-E72</f>
        <v>14</v>
      </c>
      <c r="H72" s="708">
        <f>G72+'10'!H72</f>
        <v>174</v>
      </c>
      <c r="I72" s="1076"/>
      <c r="J72" s="710">
        <f>H72/DAY(B2)</f>
        <v>15.818181818181818</v>
      </c>
      <c r="K72" s="431"/>
      <c r="L72" s="377"/>
      <c r="N72" s="721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20">
        <f>'10'!F73</f>
        <v>885887</v>
      </c>
      <c r="F73" s="658">
        <v>885888</v>
      </c>
      <c r="G73" s="655">
        <f t="shared" si="6"/>
        <v>1</v>
      </c>
      <c r="H73" s="708">
        <f>G73+'10'!H73</f>
        <v>12</v>
      </c>
      <c r="I73" s="1076"/>
      <c r="J73" s="710">
        <f>H73/DAY(B2)</f>
        <v>1.0909090909090908</v>
      </c>
      <c r="K73" s="430"/>
      <c r="L73" s="377"/>
      <c r="N73" s="721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20">
        <f>'10'!F74</f>
        <v>2434</v>
      </c>
      <c r="F74" s="658">
        <v>2445.75</v>
      </c>
      <c r="G74" s="655">
        <f t="shared" si="6"/>
        <v>11.75</v>
      </c>
      <c r="H74" s="708">
        <f>G74+'10'!H74</f>
        <v>166.75</v>
      </c>
      <c r="I74" s="1076"/>
      <c r="J74" s="710">
        <f>H74/DAY(B2)</f>
        <v>15.159090909090908</v>
      </c>
      <c r="K74" s="431"/>
      <c r="L74" s="377"/>
      <c r="N74" s="721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20">
        <f>'10'!F75</f>
        <v>11511</v>
      </c>
      <c r="F75" s="658">
        <v>11561.74</v>
      </c>
      <c r="G75" s="655">
        <f t="shared" si="6"/>
        <v>50.739999999999782</v>
      </c>
      <c r="H75" s="708">
        <f>G75+'10'!H75</f>
        <v>591.73999999999978</v>
      </c>
      <c r="I75" s="1076"/>
      <c r="J75" s="710">
        <f>H75/DAY(B2)</f>
        <v>53.794545454545435</v>
      </c>
      <c r="K75" s="430"/>
      <c r="L75" s="377"/>
      <c r="N75" s="721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20">
        <f>'10'!F76</f>
        <v>6253</v>
      </c>
      <c r="F76" s="658">
        <v>6308.05</v>
      </c>
      <c r="G76" s="655">
        <f t="shared" si="6"/>
        <v>55.050000000000182</v>
      </c>
      <c r="H76" s="708">
        <f>G76+'10'!H76</f>
        <v>599.05000000000018</v>
      </c>
      <c r="I76" s="1429"/>
      <c r="J76" s="710">
        <f>H76/DAY(B2)</f>
        <v>54.459090909090925</v>
      </c>
      <c r="K76" s="430"/>
      <c r="L76" s="377"/>
      <c r="N76" s="721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20">
        <f>'10'!F77</f>
        <v>702055</v>
      </c>
      <c r="F77" s="658">
        <v>702101</v>
      </c>
      <c r="G77" s="655">
        <f t="shared" si="6"/>
        <v>46</v>
      </c>
      <c r="H77" s="708">
        <f>G77+'10'!H77</f>
        <v>539</v>
      </c>
      <c r="I77" s="1429"/>
      <c r="J77" s="710">
        <f>H77/DAY(B2)</f>
        <v>49</v>
      </c>
      <c r="K77" s="430"/>
      <c r="L77" s="377"/>
      <c r="N77" s="721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20">
        <f>'10'!F78</f>
        <v>670772</v>
      </c>
      <c r="F78" s="658">
        <v>670836</v>
      </c>
      <c r="G78" s="655">
        <f t="shared" si="6"/>
        <v>64</v>
      </c>
      <c r="H78" s="708">
        <f>G78+'10'!H78</f>
        <v>811</v>
      </c>
      <c r="I78" s="1429"/>
      <c r="J78" s="710">
        <f>H78/DAY(B2)</f>
        <v>73.727272727272734</v>
      </c>
      <c r="K78" s="430"/>
      <c r="L78" s="377"/>
      <c r="N78" s="721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20">
        <f>'10'!F79</f>
        <v>828309</v>
      </c>
      <c r="F79" s="658">
        <v>828451</v>
      </c>
      <c r="G79" s="655">
        <f t="shared" si="6"/>
        <v>142</v>
      </c>
      <c r="H79" s="708">
        <f>G79+'10'!H79</f>
        <v>1667</v>
      </c>
      <c r="I79" s="1429"/>
      <c r="J79" s="710">
        <f>H79/DAY(B2)</f>
        <v>151.54545454545453</v>
      </c>
      <c r="K79" s="430"/>
      <c r="L79" s="377"/>
      <c r="N79" s="721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20">
        <f>'10'!F80</f>
        <v>520396</v>
      </c>
      <c r="F80" s="658">
        <v>520724.92</v>
      </c>
      <c r="G80" s="655">
        <f t="shared" si="6"/>
        <v>328.9199999999837</v>
      </c>
      <c r="H80" s="708">
        <f>G80+'10'!H80</f>
        <v>3986.9199999999837</v>
      </c>
      <c r="I80" s="1429"/>
      <c r="J80" s="710">
        <f>H80/DAY(B2)</f>
        <v>362.44727272727124</v>
      </c>
      <c r="K80" s="430"/>
      <c r="L80" s="377"/>
      <c r="N80" s="721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20">
        <f>'10'!F81</f>
        <v>637217</v>
      </c>
      <c r="F81" s="658">
        <v>637293</v>
      </c>
      <c r="G81" s="655">
        <f t="shared" si="6"/>
        <v>76</v>
      </c>
      <c r="H81" s="708">
        <f>G81+'10'!H81</f>
        <v>815</v>
      </c>
      <c r="I81" s="1429"/>
      <c r="J81" s="710">
        <f>H81/DAY(B2)</f>
        <v>74.090909090909093</v>
      </c>
      <c r="K81" s="430"/>
      <c r="L81" s="377"/>
      <c r="N81" s="721"/>
      <c r="P81" s="382"/>
    </row>
    <row r="82" spans="1:16" ht="27.75">
      <c r="A82" s="1501" t="s">
        <v>93</v>
      </c>
      <c r="B82" s="1502"/>
      <c r="C82" s="1503"/>
      <c r="D82" s="485" t="s">
        <v>132</v>
      </c>
      <c r="E82" s="520">
        <f>'10'!F82</f>
        <v>107801</v>
      </c>
      <c r="F82" s="654">
        <v>107811</v>
      </c>
      <c r="G82" s="655">
        <f t="shared" si="6"/>
        <v>10</v>
      </c>
      <c r="H82" s="708">
        <f>G82+'10'!H82</f>
        <v>199</v>
      </c>
      <c r="I82" s="708"/>
      <c r="J82" s="710">
        <f>H82/DAY(B2)</f>
        <v>18.09090909090909</v>
      </c>
      <c r="K82" s="430"/>
      <c r="L82" s="377"/>
      <c r="N82" s="721"/>
      <c r="P82" s="382"/>
    </row>
    <row r="83" spans="1:16" ht="27.75">
      <c r="A83" s="1501" t="s">
        <v>200</v>
      </c>
      <c r="B83" s="1502"/>
      <c r="C83" s="1503"/>
      <c r="D83" s="620" t="s">
        <v>132</v>
      </c>
      <c r="E83" s="520">
        <f>'10'!F83</f>
        <v>16845</v>
      </c>
      <c r="F83" s="1403">
        <v>16969</v>
      </c>
      <c r="G83" s="655">
        <f t="shared" si="6"/>
        <v>124</v>
      </c>
      <c r="H83" s="708">
        <f>G83+'10'!H83</f>
        <v>2198</v>
      </c>
      <c r="I83" s="655"/>
      <c r="J83" s="710">
        <f>H83/DAY(B2)</f>
        <v>199.81818181818181</v>
      </c>
      <c r="K83" s="429"/>
      <c r="L83" s="377"/>
      <c r="N83" s="721"/>
      <c r="P83" s="382"/>
    </row>
    <row r="84" spans="1:16">
      <c r="A84" s="1148" t="s">
        <v>201</v>
      </c>
      <c r="B84" s="571"/>
      <c r="C84" s="571"/>
      <c r="D84" s="478" t="s">
        <v>132</v>
      </c>
      <c r="E84" s="520">
        <f>'10'!F84</f>
        <v>487880</v>
      </c>
      <c r="F84" s="627">
        <v>488432</v>
      </c>
      <c r="G84" s="655">
        <f t="shared" si="6"/>
        <v>552</v>
      </c>
      <c r="H84" s="708">
        <f>G84+'10'!H84</f>
        <v>8299</v>
      </c>
      <c r="I84" s="655"/>
      <c r="J84" s="710">
        <f>H84/DAY(B2)</f>
        <v>754.4545454545455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1475.4599999999837</v>
      </c>
      <c r="H85" s="708">
        <f>G85+'10'!H85</f>
        <v>20058.459999999985</v>
      </c>
      <c r="I85" s="655"/>
      <c r="J85" s="710">
        <f>H85/DAY(B2)</f>
        <v>1823.4963636363623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460177</v>
      </c>
      <c r="F86" s="650">
        <v>460208</v>
      </c>
      <c r="G86" s="708">
        <f>F86-E86</f>
        <v>31</v>
      </c>
      <c r="H86" s="708">
        <f t="shared" ref="H86:H88" si="7">G86</f>
        <v>31</v>
      </c>
      <c r="I86" s="655"/>
      <c r="J86" s="710">
        <f>H86/DAY(B2)</f>
        <v>2.8181818181818183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81054</v>
      </c>
      <c r="F87" s="650">
        <v>81069</v>
      </c>
      <c r="G87" s="708">
        <f t="shared" ref="G87:G91" si="8">F87-E87</f>
        <v>15</v>
      </c>
      <c r="H87" s="708">
        <f t="shared" si="7"/>
        <v>15</v>
      </c>
      <c r="I87" s="655"/>
      <c r="J87" s="710">
        <f>H87/DAY(B2)</f>
        <v>1.3636363636363635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152265</v>
      </c>
      <c r="F88" s="650">
        <v>152287</v>
      </c>
      <c r="G88" s="708">
        <f t="shared" si="8"/>
        <v>22</v>
      </c>
      <c r="H88" s="708">
        <f t="shared" si="7"/>
        <v>22</v>
      </c>
      <c r="I88" s="655"/>
      <c r="J88" s="710">
        <f>H88/DAY(B2)</f>
        <v>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64898</v>
      </c>
      <c r="F89" s="650">
        <v>64905.2</v>
      </c>
      <c r="G89" s="708">
        <f t="shared" si="8"/>
        <v>7.1999999999970896</v>
      </c>
      <c r="H89" s="708">
        <f>G89</f>
        <v>7.1999999999970896</v>
      </c>
      <c r="I89" s="655"/>
      <c r="J89" s="710">
        <f>H89/DAY(B2)</f>
        <v>0.65454545454518998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'10'!F91</f>
        <v>27933</v>
      </c>
      <c r="F91" s="650">
        <v>27935.5</v>
      </c>
      <c r="G91" s="708">
        <f t="shared" si="8"/>
        <v>2.5</v>
      </c>
      <c r="H91" s="708">
        <f>G91</f>
        <v>2.5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150"/>
      <c r="C92" s="1150"/>
      <c r="D92" s="472"/>
      <c r="E92" s="627"/>
      <c r="F92" s="627"/>
      <c r="G92" s="753"/>
      <c r="H92" s="627"/>
      <c r="I92" s="627"/>
      <c r="J92" s="1404"/>
      <c r="K92" s="380"/>
      <c r="L92" s="378"/>
      <c r="N92" s="721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541">
        <f>'10'!F93</f>
        <v>244814</v>
      </c>
      <c r="F93" s="654">
        <v>244814</v>
      </c>
      <c r="G93" s="655">
        <f t="shared" ref="G93:G94" si="9">F93-E93</f>
        <v>0</v>
      </c>
      <c r="H93" s="708">
        <f>G93+'10'!H93</f>
        <v>290</v>
      </c>
      <c r="I93" s="1076"/>
      <c r="J93" s="710">
        <f>H93/DAY(B2)</f>
        <v>26.363636363636363</v>
      </c>
      <c r="K93" s="429"/>
      <c r="L93" s="377"/>
      <c r="N93" s="721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541">
        <f>'10'!F94</f>
        <v>184349</v>
      </c>
      <c r="F94" s="654">
        <v>184393</v>
      </c>
      <c r="G94" s="655">
        <f t="shared" si="9"/>
        <v>44</v>
      </c>
      <c r="H94" s="708">
        <f>G94+'10'!H94</f>
        <v>862</v>
      </c>
      <c r="I94" s="1076"/>
      <c r="J94" s="710">
        <f>H94/DAY(B2)</f>
        <v>78.36363636363636</v>
      </c>
      <c r="K94" s="380"/>
      <c r="L94" s="377"/>
      <c r="N94" s="721"/>
      <c r="P94" s="382"/>
    </row>
    <row r="95" spans="1:16">
      <c r="A95" s="1553" t="s">
        <v>208</v>
      </c>
      <c r="B95" s="1554"/>
      <c r="C95" s="1555"/>
      <c r="D95" s="523"/>
      <c r="E95" s="541">
        <f>'10'!F95</f>
        <v>0</v>
      </c>
      <c r="F95" s="654"/>
      <c r="G95" s="655">
        <f>G93+G94</f>
        <v>44</v>
      </c>
      <c r="H95" s="708">
        <f>G95+'10'!H95</f>
        <v>1005</v>
      </c>
      <c r="I95" s="1076"/>
      <c r="J95" s="710">
        <f>H95/DAY(B2)</f>
        <v>91.36363636363636</v>
      </c>
      <c r="K95" s="380"/>
      <c r="L95" s="377"/>
      <c r="N95" s="721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541">
        <f>'10'!F96</f>
        <v>413366</v>
      </c>
      <c r="F96" s="654">
        <v>413392</v>
      </c>
      <c r="G96" s="655">
        <f t="shared" ref="G96:G101" si="10">F96-E96</f>
        <v>26</v>
      </c>
      <c r="H96" s="708">
        <f>G96+'10'!H96</f>
        <v>506</v>
      </c>
      <c r="I96" s="1076"/>
      <c r="J96" s="710">
        <f>H96/DAY(B2)</f>
        <v>46</v>
      </c>
      <c r="K96" s="380"/>
      <c r="L96" s="377"/>
      <c r="N96" s="721"/>
      <c r="P96" s="382"/>
    </row>
    <row r="97" spans="1:16" ht="27.75">
      <c r="A97" s="1144" t="s">
        <v>210</v>
      </c>
      <c r="B97" s="1145"/>
      <c r="C97" s="1145"/>
      <c r="D97" s="523" t="s">
        <v>144</v>
      </c>
      <c r="E97" s="541">
        <f>'10'!F97</f>
        <v>102443</v>
      </c>
      <c r="F97" s="654">
        <v>102451</v>
      </c>
      <c r="G97" s="655">
        <f t="shared" si="10"/>
        <v>8</v>
      </c>
      <c r="H97" s="708">
        <f>G97+'10'!H97</f>
        <v>108</v>
      </c>
      <c r="I97" s="1076"/>
      <c r="J97" s="710">
        <f>H97/DAY(B2)</f>
        <v>9.8181818181818183</v>
      </c>
      <c r="K97" s="427"/>
      <c r="L97" s="377"/>
      <c r="N97" s="721"/>
      <c r="P97" s="382"/>
    </row>
    <row r="98" spans="1:16" ht="27.75">
      <c r="A98" s="1144" t="s">
        <v>211</v>
      </c>
      <c r="B98" s="1145"/>
      <c r="C98" s="1145"/>
      <c r="D98" s="523" t="s">
        <v>144</v>
      </c>
      <c r="E98" s="541">
        <f>'10'!F98</f>
        <v>97562</v>
      </c>
      <c r="F98" s="654">
        <v>97572</v>
      </c>
      <c r="G98" s="655">
        <f t="shared" si="10"/>
        <v>10</v>
      </c>
      <c r="H98" s="708">
        <f>G98+'10'!H98</f>
        <v>145</v>
      </c>
      <c r="I98" s="1076"/>
      <c r="J98" s="710">
        <f>H98/DAY(B2)</f>
        <v>13.181818181818182</v>
      </c>
      <c r="K98" s="432"/>
      <c r="L98" s="377"/>
      <c r="N98" s="721"/>
      <c r="P98" s="382"/>
    </row>
    <row r="99" spans="1:16" ht="27.75">
      <c r="A99" s="1144" t="s">
        <v>212</v>
      </c>
      <c r="B99" s="1145"/>
      <c r="C99" s="1145"/>
      <c r="D99" s="523" t="s">
        <v>144</v>
      </c>
      <c r="E99" s="541">
        <f>'10'!F99</f>
        <v>149609</v>
      </c>
      <c r="F99" s="654">
        <v>149615</v>
      </c>
      <c r="G99" s="655">
        <f t="shared" si="10"/>
        <v>6</v>
      </c>
      <c r="H99" s="708">
        <f>G99+'10'!H99</f>
        <v>82</v>
      </c>
      <c r="I99" s="1076"/>
      <c r="J99" s="710">
        <f>H99/DAY(B2)</f>
        <v>7.4545454545454541</v>
      </c>
      <c r="K99" s="380"/>
      <c r="L99" s="377"/>
      <c r="N99" s="723"/>
      <c r="P99" s="382"/>
    </row>
    <row r="100" spans="1:16" ht="27.75">
      <c r="A100" s="1144" t="s">
        <v>213</v>
      </c>
      <c r="B100" s="1145"/>
      <c r="C100" s="1145"/>
      <c r="D100" s="523" t="s">
        <v>144</v>
      </c>
      <c r="E100" s="541">
        <f>'10'!F100</f>
        <v>7220</v>
      </c>
      <c r="F100" s="654">
        <v>7226</v>
      </c>
      <c r="G100" s="655">
        <f t="shared" si="10"/>
        <v>6</v>
      </c>
      <c r="H100" s="708">
        <f>G100+'10'!H100</f>
        <v>41</v>
      </c>
      <c r="I100" s="1076"/>
      <c r="J100" s="710">
        <f>H100/DAY(B2)</f>
        <v>3.7272727272727271</v>
      </c>
      <c r="K100" s="380"/>
      <c r="L100" s="377"/>
      <c r="N100" s="721"/>
      <c r="P100" s="382"/>
    </row>
    <row r="101" spans="1:16" ht="27.75">
      <c r="A101" s="1144" t="s">
        <v>214</v>
      </c>
      <c r="B101" s="1145"/>
      <c r="C101" s="1145"/>
      <c r="D101" s="523" t="s">
        <v>144</v>
      </c>
      <c r="E101" s="541">
        <f>'10'!F101</f>
        <v>5218</v>
      </c>
      <c r="F101" s="654">
        <v>5221</v>
      </c>
      <c r="G101" s="655">
        <f t="shared" si="10"/>
        <v>3</v>
      </c>
      <c r="H101" s="708">
        <f>G101+'10'!H101</f>
        <v>83</v>
      </c>
      <c r="I101" s="1076"/>
      <c r="J101" s="710">
        <f>H101/DAY(B2)</f>
        <v>7.5454545454545459</v>
      </c>
      <c r="K101" s="380"/>
      <c r="L101" s="377"/>
      <c r="N101" s="721"/>
      <c r="P101" s="382"/>
    </row>
    <row r="102" spans="1:16">
      <c r="A102" s="1553" t="s">
        <v>216</v>
      </c>
      <c r="B102" s="1554"/>
      <c r="C102" s="1555"/>
      <c r="D102" s="524"/>
      <c r="E102" s="541"/>
      <c r="F102" s="627"/>
      <c r="G102" s="753">
        <f>SUM(G96:G101)</f>
        <v>59</v>
      </c>
      <c r="H102" s="708">
        <f>G102+'10'!H102</f>
        <v>965</v>
      </c>
      <c r="I102" s="1440"/>
      <c r="J102" s="710">
        <f>H102/DAY(B2)</f>
        <v>87.727272727272734</v>
      </c>
      <c r="K102" s="380"/>
      <c r="L102" s="377"/>
      <c r="N102" s="721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41"/>
      <c r="G103" s="1442"/>
      <c r="H103" s="1443"/>
      <c r="I103" s="1444"/>
      <c r="J103" s="1445"/>
      <c r="N103" s="721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541"/>
      <c r="F104" s="662"/>
      <c r="G104" s="534"/>
      <c r="H104" s="536"/>
      <c r="I104" s="534"/>
      <c r="J104" s="559"/>
      <c r="N104" s="721"/>
      <c r="P104" s="382"/>
    </row>
    <row r="105" spans="1:16" s="442" customFormat="1" ht="27.75">
      <c r="A105" s="1517" t="s">
        <v>219</v>
      </c>
      <c r="B105" s="1518"/>
      <c r="C105" s="1143"/>
      <c r="D105" s="622" t="s">
        <v>144</v>
      </c>
      <c r="E105" s="541">
        <v>7473</v>
      </c>
      <c r="F105" s="662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21"/>
      <c r="P105" s="382"/>
    </row>
    <row r="106" spans="1:16" s="442" customFormat="1" ht="27.75">
      <c r="A106" s="1517" t="s">
        <v>77</v>
      </c>
      <c r="B106" s="1518"/>
      <c r="C106" s="1143"/>
      <c r="D106" s="622" t="s">
        <v>144</v>
      </c>
      <c r="E106" s="541">
        <f>'10'!F106</f>
        <v>35860</v>
      </c>
      <c r="F106" s="662">
        <v>35860</v>
      </c>
      <c r="G106" s="534">
        <f t="shared" ref="G106:G107" si="11">F106-E106</f>
        <v>0</v>
      </c>
      <c r="H106" s="536">
        <f>SUM(G106+'1'!G77)</f>
        <v>50</v>
      </c>
      <c r="I106" s="534"/>
      <c r="J106" s="559">
        <f>H106/DAY(B2)</f>
        <v>4.5454545454545459</v>
      </c>
      <c r="N106" s="721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541">
        <f>'10'!F107</f>
        <v>19650</v>
      </c>
      <c r="F107" s="662">
        <v>19650</v>
      </c>
      <c r="G107" s="534">
        <f t="shared" si="11"/>
        <v>0</v>
      </c>
      <c r="H107" s="536">
        <f>SUM(G107+'1'!G78)</f>
        <v>124</v>
      </c>
      <c r="I107" s="534"/>
      <c r="J107" s="559">
        <f>H107/DAY(B2)</f>
        <v>11.272727272727273</v>
      </c>
      <c r="N107" s="721"/>
      <c r="P107" s="382"/>
    </row>
    <row r="108" spans="1:16" s="442" customFormat="1" ht="27.75">
      <c r="A108" s="1519" t="s">
        <v>202</v>
      </c>
      <c r="B108" s="1520"/>
      <c r="C108" s="1143"/>
      <c r="D108" s="622"/>
      <c r="E108" s="541"/>
      <c r="F108" s="662"/>
      <c r="G108" s="534">
        <f>SUM(G105:G107)</f>
        <v>0</v>
      </c>
      <c r="H108" s="536">
        <f>SUM(G108+'1'!G79)</f>
        <v>189</v>
      </c>
      <c r="I108" s="534"/>
      <c r="J108" s="559">
        <f>H108/DAY(B2)</f>
        <v>17.181818181818183</v>
      </c>
      <c r="N108" s="721"/>
      <c r="P108" s="382"/>
    </row>
    <row r="109" spans="1:16" s="442" customFormat="1" ht="27.75">
      <c r="A109" s="1523" t="s">
        <v>79</v>
      </c>
      <c r="B109" s="1524"/>
      <c r="C109" s="1143"/>
      <c r="D109" s="622" t="s">
        <v>144</v>
      </c>
      <c r="E109" s="541"/>
      <c r="F109" s="662"/>
      <c r="G109" s="534"/>
      <c r="H109" s="536"/>
      <c r="I109" s="534"/>
      <c r="J109" s="559"/>
      <c r="N109" s="721"/>
      <c r="P109" s="382"/>
    </row>
    <row r="110" spans="1:16" s="442" customFormat="1" ht="27.75">
      <c r="A110" s="1517" t="s">
        <v>220</v>
      </c>
      <c r="B110" s="1518"/>
      <c r="C110" s="1143"/>
      <c r="D110" s="622" t="s">
        <v>144</v>
      </c>
      <c r="E110" s="541">
        <f>'10'!F110</f>
        <v>61669</v>
      </c>
      <c r="F110" s="662">
        <v>61722</v>
      </c>
      <c r="G110" s="534">
        <f>F110-E110</f>
        <v>53</v>
      </c>
      <c r="H110" s="536">
        <f>SUM(G110+'1'!G81)</f>
        <v>134</v>
      </c>
      <c r="I110" s="534"/>
      <c r="J110" s="559">
        <f>H110/DAY(B2)</f>
        <v>12.181818181818182</v>
      </c>
      <c r="N110" s="721"/>
      <c r="P110" s="382"/>
    </row>
    <row r="111" spans="1:16" s="442" customFormat="1" ht="27.75">
      <c r="A111" s="1517" t="s">
        <v>221</v>
      </c>
      <c r="B111" s="1518"/>
      <c r="C111" s="1143"/>
      <c r="D111" s="622" t="s">
        <v>144</v>
      </c>
      <c r="E111" s="541">
        <f>'10'!F111</f>
        <v>32299</v>
      </c>
      <c r="F111" s="662">
        <v>32299</v>
      </c>
      <c r="G111" s="534">
        <f t="shared" ref="G111:G112" si="12">F111-E111</f>
        <v>0</v>
      </c>
      <c r="H111" s="536">
        <f>SUM(G111+'1'!G82)</f>
        <v>12</v>
      </c>
      <c r="I111" s="534"/>
      <c r="J111" s="559">
        <f>H111/DAY(B2)</f>
        <v>1.0909090909090908</v>
      </c>
      <c r="N111" s="721"/>
      <c r="P111" s="382"/>
    </row>
    <row r="112" spans="1:16" s="442" customFormat="1" ht="27.75">
      <c r="A112" s="1517" t="s">
        <v>222</v>
      </c>
      <c r="B112" s="1518"/>
      <c r="C112" s="1143"/>
      <c r="D112" s="622" t="s">
        <v>144</v>
      </c>
      <c r="E112" s="541">
        <f>'10'!F112</f>
        <v>4466</v>
      </c>
      <c r="F112" s="662">
        <v>4478</v>
      </c>
      <c r="G112" s="534">
        <f t="shared" si="12"/>
        <v>12</v>
      </c>
      <c r="H112" s="536">
        <f>SUM(G112+'1'!G83)</f>
        <v>267</v>
      </c>
      <c r="I112" s="534"/>
      <c r="J112" s="559">
        <f>H112/DAY(B2)</f>
        <v>24.272727272727273</v>
      </c>
      <c r="N112" s="721"/>
      <c r="P112" s="382"/>
    </row>
    <row r="113" spans="1:16" s="442" customFormat="1" ht="27.75">
      <c r="A113" s="1519" t="s">
        <v>110</v>
      </c>
      <c r="B113" s="1520"/>
      <c r="C113" s="1143"/>
      <c r="D113" s="622"/>
      <c r="E113" s="541"/>
      <c r="F113" s="662"/>
      <c r="G113" s="534">
        <f>SUM(G110:G112)</f>
        <v>65</v>
      </c>
      <c r="H113" s="536">
        <f>SUM(G113+'1'!G84)</f>
        <v>780</v>
      </c>
      <c r="I113" s="534"/>
      <c r="J113" s="559">
        <f>H113/DAY(B2)</f>
        <v>70.909090909090907</v>
      </c>
      <c r="N113" s="721"/>
      <c r="P113" s="382"/>
    </row>
    <row r="114" spans="1:16" s="442" customFormat="1" ht="27.75">
      <c r="A114" s="1523" t="s">
        <v>223</v>
      </c>
      <c r="B114" s="1524"/>
      <c r="C114" s="1143"/>
      <c r="D114" s="622"/>
      <c r="E114" s="541"/>
      <c r="F114" s="662"/>
      <c r="G114" s="534"/>
      <c r="H114" s="536"/>
      <c r="I114" s="534"/>
      <c r="J114" s="559">
        <f>H114/DAY(B2)</f>
        <v>0</v>
      </c>
      <c r="N114" s="721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541">
        <f>'10'!F115</f>
        <v>11309</v>
      </c>
      <c r="F115" s="662">
        <v>11312</v>
      </c>
      <c r="G115" s="534">
        <f>F115-E115</f>
        <v>3</v>
      </c>
      <c r="H115" s="536">
        <f>SUM(G115+'1'!G92)</f>
        <v>3</v>
      </c>
      <c r="I115" s="534"/>
      <c r="J115" s="559">
        <f>H115/DAY(B2)</f>
        <v>0.27272727272727271</v>
      </c>
      <c r="N115" s="721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541">
        <f>'10'!F116</f>
        <v>8185</v>
      </c>
      <c r="F116" s="662">
        <v>8186</v>
      </c>
      <c r="G116" s="534">
        <f t="shared" ref="G116:G117" si="13">F116-E116</f>
        <v>1</v>
      </c>
      <c r="H116" s="536">
        <f>SUM(G116+'1'!G93)</f>
        <v>53</v>
      </c>
      <c r="I116" s="534"/>
      <c r="J116" s="559">
        <f>H116/DAY(B2)</f>
        <v>4.8181818181818183</v>
      </c>
      <c r="N116" s="721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6">
        <f>SUM(G117+'1'!G94)</f>
        <v>95</v>
      </c>
      <c r="I117" s="534"/>
      <c r="J117" s="559">
        <f>H117/DAY(B2)</f>
        <v>8.6363636363636367</v>
      </c>
      <c r="N117" s="721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4</v>
      </c>
      <c r="H118" s="536">
        <f>SUM(G118+'1'!G96)</f>
        <v>76</v>
      </c>
      <c r="I118" s="534"/>
      <c r="J118" s="559">
        <f>H118/DAY(B2)</f>
        <v>6.9090909090909092</v>
      </c>
      <c r="N118" s="721"/>
      <c r="P118" s="382"/>
    </row>
    <row r="119" spans="1:16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55</v>
      </c>
      <c r="G119" s="536">
        <f>SUM(G19+G93)</f>
        <v>55</v>
      </c>
      <c r="H119" s="536">
        <f>SUM(G119+'1'!G97)</f>
        <v>67</v>
      </c>
      <c r="I119" s="535"/>
      <c r="J119" s="559">
        <f>H119/DAY(B2)</f>
        <v>6.0909090909090908</v>
      </c>
      <c r="N119" s="721"/>
      <c r="P119" s="382"/>
    </row>
    <row r="120" spans="1:16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53</v>
      </c>
      <c r="G120" s="536">
        <f>SUM(G96,G97,G98,G100,G101)</f>
        <v>53</v>
      </c>
      <c r="H120" s="536">
        <f>SUM(G120+'1'!G99)</f>
        <v>58</v>
      </c>
      <c r="I120" s="535"/>
      <c r="J120" s="559">
        <f>H120/DAY(B2)</f>
        <v>5.2727272727272725</v>
      </c>
      <c r="N120" s="721"/>
      <c r="P120" s="382"/>
    </row>
    <row r="121" spans="1:16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65</v>
      </c>
      <c r="G121" s="534">
        <f>SUM(G113)</f>
        <v>65</v>
      </c>
      <c r="H121" s="536">
        <f>SUM(G121+'1'!G101)</f>
        <v>71</v>
      </c>
      <c r="I121" s="535"/>
      <c r="J121" s="559">
        <f>H121/DAY(B2)</f>
        <v>6.4545454545454541</v>
      </c>
      <c r="N121" s="721"/>
      <c r="P121" s="382"/>
    </row>
    <row r="122" spans="1:16" s="442" customFormat="1" ht="27.75">
      <c r="A122" s="1515"/>
      <c r="B122" s="1516"/>
      <c r="C122" s="1142"/>
      <c r="D122" s="560"/>
      <c r="E122" s="1446"/>
      <c r="F122" s="1447" t="s">
        <v>215</v>
      </c>
      <c r="G122" s="1446"/>
      <c r="H122" s="1448"/>
      <c r="I122" s="1446"/>
      <c r="J122" s="1449"/>
      <c r="N122" s="721"/>
      <c r="P122" s="382"/>
    </row>
    <row r="123" spans="1:16">
      <c r="A123" s="1550" t="s">
        <v>230</v>
      </c>
      <c r="B123" s="1551"/>
      <c r="C123" s="1552"/>
      <c r="D123" s="472"/>
      <c r="E123" s="627"/>
      <c r="F123" s="627"/>
      <c r="G123" s="650"/>
      <c r="H123" s="650"/>
      <c r="I123" s="650"/>
      <c r="J123" s="1450"/>
      <c r="K123" s="380"/>
      <c r="L123" s="377"/>
      <c r="N123" s="721"/>
      <c r="P123" s="382"/>
    </row>
    <row r="124" spans="1:16" ht="27.75">
      <c r="A124" s="1144" t="s">
        <v>231</v>
      </c>
      <c r="B124" s="1145"/>
      <c r="C124" s="1145"/>
      <c r="D124" s="523" t="s">
        <v>141</v>
      </c>
      <c r="E124" s="654">
        <f>'10'!F124</f>
        <v>828118</v>
      </c>
      <c r="F124" s="654">
        <v>828321</v>
      </c>
      <c r="G124" s="655">
        <f t="shared" ref="G124:G128" si="14">F124-E124</f>
        <v>203</v>
      </c>
      <c r="H124" s="708">
        <f>G124+'10'!H124</f>
        <v>2232.5400000000373</v>
      </c>
      <c r="I124" s="1440"/>
      <c r="J124" s="710">
        <f>H124/DAY(B2)</f>
        <v>202.95818181818521</v>
      </c>
      <c r="K124" s="380"/>
      <c r="L124" s="377"/>
      <c r="N124" s="721"/>
      <c r="P124" s="382"/>
    </row>
    <row r="125" spans="1:16" ht="27.75">
      <c r="A125" s="1144" t="s">
        <v>232</v>
      </c>
      <c r="B125" s="1145"/>
      <c r="C125" s="1145"/>
      <c r="D125" s="523" t="s">
        <v>141</v>
      </c>
      <c r="E125" s="654">
        <f>'10'!F125</f>
        <v>73583.399999999994</v>
      </c>
      <c r="F125" s="654">
        <v>73583.399999999994</v>
      </c>
      <c r="G125" s="655">
        <f t="shared" si="14"/>
        <v>0</v>
      </c>
      <c r="H125" s="708">
        <f>G125+'10'!H125</f>
        <v>0</v>
      </c>
      <c r="I125" s="1440"/>
      <c r="J125" s="710">
        <f>H125/DAY(B2)</f>
        <v>0</v>
      </c>
      <c r="K125" s="380"/>
      <c r="L125" s="377"/>
      <c r="N125" s="721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654">
        <f>'10'!F126</f>
        <v>145277</v>
      </c>
      <c r="F126" s="654">
        <v>145337.79999999999</v>
      </c>
      <c r="G126" s="655">
        <f t="shared" si="14"/>
        <v>60.799999999988358</v>
      </c>
      <c r="H126" s="708">
        <f>G126+'10'!H126</f>
        <v>650.35999999998603</v>
      </c>
      <c r="I126" s="1440"/>
      <c r="J126" s="710">
        <f>H126/DAY(B2)</f>
        <v>59.123636363635093</v>
      </c>
      <c r="K126" s="380"/>
      <c r="L126" s="377"/>
      <c r="N126" s="721"/>
      <c r="P126" s="382"/>
    </row>
    <row r="127" spans="1:16" ht="27.75">
      <c r="A127" s="609" t="s">
        <v>234</v>
      </c>
      <c r="B127" s="1145"/>
      <c r="C127" s="1145"/>
      <c r="D127" s="523" t="s">
        <v>141</v>
      </c>
      <c r="E127" s="654">
        <f>'10'!F127</f>
        <v>31404.2</v>
      </c>
      <c r="F127" s="654">
        <v>31404.2</v>
      </c>
      <c r="G127" s="655">
        <f t="shared" si="14"/>
        <v>0</v>
      </c>
      <c r="H127" s="708">
        <f>G127+'10'!H127</f>
        <v>0.2000000000007276</v>
      </c>
      <c r="I127" s="1440"/>
      <c r="J127" s="710">
        <f>H127/DAY(B2)</f>
        <v>1.8181818181884326E-2</v>
      </c>
      <c r="K127" s="380"/>
      <c r="L127" s="377"/>
      <c r="N127" s="721"/>
      <c r="P127" s="382"/>
    </row>
    <row r="128" spans="1:16" ht="27.75">
      <c r="A128" s="609" t="s">
        <v>235</v>
      </c>
      <c r="B128" s="1145"/>
      <c r="C128" s="1145"/>
      <c r="D128" s="523" t="s">
        <v>141</v>
      </c>
      <c r="E128" s="654">
        <f>'10'!F128</f>
        <v>8971</v>
      </c>
      <c r="F128" s="654">
        <v>8971</v>
      </c>
      <c r="G128" s="655">
        <f t="shared" si="14"/>
        <v>0</v>
      </c>
      <c r="H128" s="708">
        <f>G128+'10'!H128</f>
        <v>1.2999999999992724</v>
      </c>
      <c r="I128" s="1076"/>
      <c r="J128" s="710">
        <f>H128/DAY(B2)</f>
        <v>0.11818181818175204</v>
      </c>
      <c r="K128" s="380"/>
      <c r="L128" s="377"/>
      <c r="N128" s="721"/>
      <c r="P128" s="382"/>
    </row>
    <row r="129" spans="1:16" s="281" customFormat="1" ht="27.75">
      <c r="A129" s="609" t="s">
        <v>236</v>
      </c>
      <c r="B129" s="1145"/>
      <c r="C129" s="1145"/>
      <c r="D129" s="523"/>
      <c r="E129" s="654"/>
      <c r="F129" s="654"/>
      <c r="G129" s="655">
        <f>G15-SUM(G124:G128)</f>
        <v>69.889999999955762</v>
      </c>
      <c r="H129" s="708"/>
      <c r="I129" s="1076"/>
      <c r="J129" s="710"/>
      <c r="K129" s="364"/>
      <c r="L129" s="292"/>
      <c r="N129" s="721"/>
      <c r="P129" s="382"/>
    </row>
    <row r="130" spans="1:16">
      <c r="A130" s="610" t="s">
        <v>237</v>
      </c>
      <c r="B130" s="458"/>
      <c r="C130" s="458"/>
      <c r="D130" s="471"/>
      <c r="E130" s="1403"/>
      <c r="F130" s="1403"/>
      <c r="G130" s="1451"/>
      <c r="H130" s="1451"/>
      <c r="I130" s="1451"/>
      <c r="J130" s="1452"/>
      <c r="N130" s="721"/>
      <c r="P130" s="382"/>
    </row>
    <row r="131" spans="1:16" ht="27.75">
      <c r="A131" s="1144" t="s">
        <v>238</v>
      </c>
      <c r="B131" s="1145"/>
      <c r="C131" s="1145"/>
      <c r="D131" s="523" t="s">
        <v>239</v>
      </c>
      <c r="E131" s="541">
        <f>'10'!F131</f>
        <v>0</v>
      </c>
      <c r="F131" s="654">
        <v>0</v>
      </c>
      <c r="G131" s="655">
        <f t="shared" ref="G131:G141" si="15">F131-E131</f>
        <v>0</v>
      </c>
      <c r="H131" s="708">
        <f>G131+'10'!H131</f>
        <v>0</v>
      </c>
      <c r="I131" s="1076"/>
      <c r="J131" s="710">
        <f>H131/DAY(B2)</f>
        <v>0</v>
      </c>
      <c r="N131" s="721"/>
      <c r="P131" s="382"/>
    </row>
    <row r="132" spans="1:16" ht="27.75">
      <c r="A132" s="1144" t="s">
        <v>240</v>
      </c>
      <c r="B132" s="1145"/>
      <c r="C132" s="1145"/>
      <c r="D132" s="523" t="s">
        <v>239</v>
      </c>
      <c r="E132" s="541">
        <f>'10'!F132</f>
        <v>0</v>
      </c>
      <c r="F132" s="654">
        <v>0</v>
      </c>
      <c r="G132" s="655">
        <f t="shared" si="15"/>
        <v>0</v>
      </c>
      <c r="H132" s="708">
        <f>G132+'10'!H132</f>
        <v>0</v>
      </c>
      <c r="I132" s="1076"/>
      <c r="J132" s="710">
        <f>H132/DAY(B2)</f>
        <v>0</v>
      </c>
      <c r="N132" s="721"/>
      <c r="P132" s="382"/>
    </row>
    <row r="133" spans="1:16" ht="27.75">
      <c r="A133" s="1144" t="s">
        <v>241</v>
      </c>
      <c r="B133" s="1145"/>
      <c r="C133" s="1145"/>
      <c r="D133" s="523" t="s">
        <v>239</v>
      </c>
      <c r="E133" s="541">
        <f>'10'!F133</f>
        <v>39984.36</v>
      </c>
      <c r="F133" s="654">
        <v>40008.400000000001</v>
      </c>
      <c r="G133" s="655">
        <f t="shared" si="15"/>
        <v>24.040000000000873</v>
      </c>
      <c r="H133" s="708">
        <f>G133+'10'!H133</f>
        <v>261.91999999999825</v>
      </c>
      <c r="I133" s="1076"/>
      <c r="J133" s="710">
        <f>H133/DAY(B2)</f>
        <v>23.810909090908932</v>
      </c>
      <c r="N133" s="721"/>
      <c r="P133" s="382"/>
    </row>
    <row r="134" spans="1:16" ht="27.75">
      <c r="A134" s="1144" t="s">
        <v>242</v>
      </c>
      <c r="B134" s="1145"/>
      <c r="C134" s="1145"/>
      <c r="D134" s="523" t="s">
        <v>239</v>
      </c>
      <c r="E134" s="541">
        <f>'10'!F134</f>
        <v>300</v>
      </c>
      <c r="F134" s="654">
        <v>300</v>
      </c>
      <c r="G134" s="655">
        <f t="shared" si="15"/>
        <v>0</v>
      </c>
      <c r="H134" s="708">
        <f>G134+'10'!H134</f>
        <v>0</v>
      </c>
      <c r="I134" s="1076">
        <f>G131+G132+G133+G134</f>
        <v>24.040000000000873</v>
      </c>
      <c r="J134" s="710">
        <f>H134/DAY(B2)</f>
        <v>0</v>
      </c>
      <c r="N134" s="721"/>
      <c r="P134" s="382"/>
    </row>
    <row r="135" spans="1:16" ht="27.75">
      <c r="A135" s="1144" t="s">
        <v>243</v>
      </c>
      <c r="B135" s="1145"/>
      <c r="C135" s="1145"/>
      <c r="D135" s="523" t="s">
        <v>239</v>
      </c>
      <c r="E135" s="541">
        <f>'10'!F135</f>
        <v>41393.33</v>
      </c>
      <c r="F135" s="654">
        <v>41393</v>
      </c>
      <c r="G135" s="655">
        <f t="shared" si="15"/>
        <v>-0.33000000000174623</v>
      </c>
      <c r="H135" s="708">
        <f>G135+'10'!H135</f>
        <v>8</v>
      </c>
      <c r="I135" s="1076"/>
      <c r="J135" s="710">
        <f>H135/DAY(B2)</f>
        <v>0.72727272727272729</v>
      </c>
      <c r="N135" s="721"/>
      <c r="P135" s="382"/>
    </row>
    <row r="136" spans="1:16" ht="27.75">
      <c r="A136" s="1144" t="s">
        <v>244</v>
      </c>
      <c r="B136" s="1145"/>
      <c r="C136" s="1145"/>
      <c r="D136" s="523" t="s">
        <v>239</v>
      </c>
      <c r="E136" s="541">
        <f>'10'!F136</f>
        <v>32582.560000000001</v>
      </c>
      <c r="F136" s="654">
        <v>32582.560000000001</v>
      </c>
      <c r="G136" s="655">
        <f t="shared" si="15"/>
        <v>0</v>
      </c>
      <c r="H136" s="708">
        <f>G136+'10'!H136</f>
        <v>-0.43999999999869033</v>
      </c>
      <c r="I136" s="1076"/>
      <c r="J136" s="710">
        <f>H136/DAY(B2)</f>
        <v>-3.9999999999880936E-2</v>
      </c>
      <c r="N136" s="721"/>
      <c r="P136" s="382"/>
    </row>
    <row r="137" spans="1:16" ht="27.75">
      <c r="A137" s="1144" t="s">
        <v>245</v>
      </c>
      <c r="B137" s="1145"/>
      <c r="C137" s="1145"/>
      <c r="D137" s="523" t="s">
        <v>239</v>
      </c>
      <c r="E137" s="541">
        <f>'10'!F137</f>
        <v>22759</v>
      </c>
      <c r="F137" s="654">
        <v>22759</v>
      </c>
      <c r="G137" s="655">
        <f t="shared" si="15"/>
        <v>0</v>
      </c>
      <c r="H137" s="708">
        <f>G137+'10'!H137</f>
        <v>19.409999999999854</v>
      </c>
      <c r="I137" s="1076">
        <f>G135+G136+G137</f>
        <v>-0.33000000000174623</v>
      </c>
      <c r="J137" s="710">
        <f>H137/DAY(B2)</f>
        <v>1.7645454545454413</v>
      </c>
      <c r="N137" s="721"/>
      <c r="P137" s="382"/>
    </row>
    <row r="138" spans="1:16" ht="27.75">
      <c r="A138" s="1144" t="s">
        <v>246</v>
      </c>
      <c r="B138" s="1145"/>
      <c r="C138" s="1145"/>
      <c r="D138" s="523" t="s">
        <v>239</v>
      </c>
      <c r="E138" s="541">
        <f>'10'!F138</f>
        <v>25051.26</v>
      </c>
      <c r="F138" s="654">
        <v>25051.723000000002</v>
      </c>
      <c r="G138" s="655">
        <f t="shared" si="15"/>
        <v>0.46300000000337604</v>
      </c>
      <c r="H138" s="708">
        <f>G138+'10'!H138</f>
        <v>0.13300000000162981</v>
      </c>
      <c r="I138" s="1076"/>
      <c r="J138" s="710">
        <f>H138/DAY(B2)</f>
        <v>1.2090909091057256E-2</v>
      </c>
      <c r="N138" s="721"/>
      <c r="P138" s="382"/>
    </row>
    <row r="139" spans="1:16" ht="27.75">
      <c r="A139" s="1144" t="s">
        <v>247</v>
      </c>
      <c r="B139" s="1145"/>
      <c r="C139" s="1145"/>
      <c r="D139" s="523" t="s">
        <v>239</v>
      </c>
      <c r="E139" s="541">
        <f>'10'!F139</f>
        <v>70341.89</v>
      </c>
      <c r="F139" s="654">
        <v>70341.89</v>
      </c>
      <c r="G139" s="655">
        <f t="shared" si="15"/>
        <v>0</v>
      </c>
      <c r="H139" s="708">
        <f>G139+'10'!H139</f>
        <v>26.080000000001746</v>
      </c>
      <c r="I139" s="1076">
        <f>G138+G139</f>
        <v>0.46300000000337604</v>
      </c>
      <c r="J139" s="710">
        <f>H139/DAY(B2)</f>
        <v>2.3709090909092496</v>
      </c>
      <c r="N139" s="721"/>
      <c r="P139" s="382"/>
    </row>
    <row r="140" spans="1:16" ht="27.75">
      <c r="A140" s="1144" t="s">
        <v>248</v>
      </c>
      <c r="B140" s="1145"/>
      <c r="C140" s="1145"/>
      <c r="D140" s="523" t="s">
        <v>239</v>
      </c>
      <c r="E140" s="541">
        <f>'10'!F140</f>
        <v>1693.56</v>
      </c>
      <c r="F140" s="654">
        <v>1701.23</v>
      </c>
      <c r="G140" s="655">
        <f t="shared" si="15"/>
        <v>7.6700000000000728</v>
      </c>
      <c r="H140" s="708">
        <f>G140+'10'!H140</f>
        <v>84.370000000000118</v>
      </c>
      <c r="I140" s="535"/>
      <c r="J140" s="710">
        <f>H140/DAY(B2)</f>
        <v>7.6700000000000106</v>
      </c>
      <c r="N140" s="721"/>
      <c r="P140" s="382"/>
    </row>
    <row r="141" spans="1:16" ht="27.75">
      <c r="A141" s="1144" t="s">
        <v>249</v>
      </c>
      <c r="B141" s="1145"/>
      <c r="C141" s="1145"/>
      <c r="D141" s="523" t="s">
        <v>239</v>
      </c>
      <c r="E141" s="541">
        <f>'10'!F141</f>
        <v>4636.88</v>
      </c>
      <c r="F141" s="654">
        <v>4636.88</v>
      </c>
      <c r="G141" s="655">
        <f t="shared" si="15"/>
        <v>0</v>
      </c>
      <c r="H141" s="708">
        <f>G141+'10'!H141</f>
        <v>-0.11999999999989086</v>
      </c>
      <c r="I141" s="535"/>
      <c r="J141" s="710">
        <f>H141/DAY(B2)</f>
        <v>-1.0909090909080987E-2</v>
      </c>
      <c r="N141" s="721"/>
      <c r="P141" s="382"/>
    </row>
    <row r="142" spans="1:16">
      <c r="A142" s="1531" t="s">
        <v>250</v>
      </c>
      <c r="B142" s="1532"/>
      <c r="C142" s="1150"/>
      <c r="D142" s="472"/>
      <c r="E142" s="627"/>
      <c r="F142" s="627"/>
      <c r="G142" s="650"/>
      <c r="H142" s="650"/>
      <c r="I142" s="650"/>
      <c r="J142" s="1450"/>
      <c r="K142" s="380"/>
      <c r="L142" s="377"/>
      <c r="N142" s="721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627"/>
      <c r="F143" s="627"/>
      <c r="G143" s="708">
        <f>G35+G43+G49+G57</f>
        <v>3962.4199999999255</v>
      </c>
      <c r="H143" s="708">
        <f>G143+'10'!H143</f>
        <v>47620.419999999925</v>
      </c>
      <c r="I143" s="1076"/>
      <c r="J143" s="710">
        <f>H143/DAY(B2)</f>
        <v>4329.129090909084</v>
      </c>
      <c r="K143" s="380"/>
      <c r="L143" s="377"/>
      <c r="N143" s="721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1403"/>
      <c r="F144" s="1403"/>
      <c r="G144" s="1453">
        <f>G143/G7</f>
        <v>0.27359885213901142</v>
      </c>
      <c r="H144" s="708">
        <f>G144+'10'!H144</f>
        <v>3.0025936142710536</v>
      </c>
      <c r="I144" s="544"/>
      <c r="J144" s="710">
        <f>H144/DAY(B2)</f>
        <v>0.27296305584282304</v>
      </c>
      <c r="K144" s="380"/>
      <c r="L144" s="377"/>
      <c r="N144" s="721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709"/>
      <c r="F145" s="709"/>
      <c r="G145" s="708">
        <f>G41+G42+G55+G56</f>
        <v>4824.339999999982</v>
      </c>
      <c r="H145" s="708">
        <f>G145+'10'!H145</f>
        <v>53407.87000000001</v>
      </c>
      <c r="I145" s="1076"/>
      <c r="J145" s="710">
        <f>H145/DAY(B2)</f>
        <v>4855.26090909091</v>
      </c>
      <c r="K145" s="380"/>
      <c r="L145" s="377"/>
      <c r="N145" s="721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709"/>
      <c r="F146" s="709"/>
      <c r="G146" s="1453">
        <f>G145/G7</f>
        <v>0.33311306886406244</v>
      </c>
      <c r="H146" s="708">
        <f>G146+'10'!H146</f>
        <v>3.376419250828175</v>
      </c>
      <c r="I146" s="544"/>
      <c r="J146" s="710">
        <f>H146/DAY(B2)</f>
        <v>0.30694720462074315</v>
      </c>
      <c r="K146" s="380"/>
      <c r="L146" s="377"/>
      <c r="N146" s="721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709"/>
      <c r="F147" s="709"/>
      <c r="G147" s="708">
        <f>G39+G53</f>
        <v>2053.3999999999651</v>
      </c>
      <c r="H147" s="708">
        <f>G147+'10'!H147</f>
        <v>25120.399999999965</v>
      </c>
      <c r="I147" s="1454"/>
      <c r="J147" s="710">
        <f>H147/DAY(B2)</f>
        <v>2283.6727272727239</v>
      </c>
      <c r="K147" s="380"/>
      <c r="L147" s="377"/>
      <c r="N147" s="721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709"/>
      <c r="F148" s="709"/>
      <c r="G148" s="1453">
        <f>G147/G7</f>
        <v>0.14178403172360504</v>
      </c>
      <c r="H148" s="708">
        <f>G148+'10'!H148</f>
        <v>1.5844732535653339</v>
      </c>
      <c r="I148" s="1454"/>
      <c r="J148" s="710">
        <f>H148/DAY(B2)</f>
        <v>0.14404302305139399</v>
      </c>
      <c r="N148" s="721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709"/>
      <c r="F149" s="709"/>
      <c r="G149" s="708">
        <f>G38+G52</f>
        <v>998.36999999999534</v>
      </c>
      <c r="H149" s="708">
        <f>G149+'10'!H149</f>
        <v>13267.439999999944</v>
      </c>
      <c r="I149" s="1076"/>
      <c r="J149" s="710">
        <f>H149/DAY(B2)</f>
        <v>1206.130909090904</v>
      </c>
      <c r="K149" s="381"/>
      <c r="N149" s="721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709"/>
      <c r="F150" s="709" t="s">
        <v>215</v>
      </c>
      <c r="G150" s="1453">
        <f>G149/G7</f>
        <v>6.8935874039104561E-2</v>
      </c>
      <c r="H150" s="708">
        <f>G150+'10'!H150</f>
        <v>0.83704576896838656</v>
      </c>
      <c r="I150" s="1454"/>
      <c r="J150" s="710">
        <f>H150/DAY(B2)</f>
        <v>7.6095069906216964E-2</v>
      </c>
      <c r="N150" s="721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709"/>
      <c r="F151" s="709"/>
      <c r="G151" s="708">
        <f>G36+G50</f>
        <v>771.95000000001164</v>
      </c>
      <c r="H151" s="708">
        <f>G151+'10'!H151</f>
        <v>13028.950000000012</v>
      </c>
      <c r="I151" s="1454"/>
      <c r="J151" s="710">
        <f>H151/DAY(B2)</f>
        <v>1184.450000000001</v>
      </c>
      <c r="N151" s="721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709"/>
      <c r="F152" s="709"/>
      <c r="G152" s="1453">
        <f>G151/G7</f>
        <v>5.3301930110568045E-2</v>
      </c>
      <c r="H152" s="708">
        <f>G152+'10'!H152</f>
        <v>0.81739154727610963</v>
      </c>
      <c r="I152" s="1076"/>
      <c r="J152" s="710">
        <f>H152/DAY(B2)</f>
        <v>7.4308322479646333E-2</v>
      </c>
      <c r="N152" s="721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709"/>
      <c r="F153" s="709"/>
      <c r="G153" s="708">
        <f>G37+G51</f>
        <v>1191.5</v>
      </c>
      <c r="H153" s="708">
        <f>G153+'10'!H153</f>
        <v>13496.369999999995</v>
      </c>
      <c r="I153" s="1076"/>
      <c r="J153" s="710"/>
      <c r="N153" s="721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1455"/>
      <c r="F154" s="1455"/>
      <c r="G154" s="1456">
        <f>G153/G7</f>
        <v>8.2271195967019706E-2</v>
      </c>
      <c r="H154" s="708">
        <f>G154+'10'!H154</f>
        <v>0.85182679558335894</v>
      </c>
      <c r="I154" s="1457"/>
      <c r="J154" s="1458">
        <f>H154/DAY(B2)</f>
        <v>7.7438799598487179E-2</v>
      </c>
      <c r="N154" s="721"/>
      <c r="P154" s="382"/>
    </row>
    <row r="155" spans="1:16">
      <c r="A155" s="466"/>
      <c r="B155" s="456"/>
      <c r="C155" s="456"/>
      <c r="D155" s="546"/>
      <c r="E155" s="1459"/>
      <c r="F155" s="1460"/>
      <c r="G155" s="1459"/>
      <c r="H155" s="1461"/>
      <c r="I155" s="1459"/>
      <c r="J155" s="1462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8" t="s">
        <v>263</v>
      </c>
      <c r="B161" s="789"/>
      <c r="C161" s="789"/>
      <c r="D161" s="511" t="s">
        <v>187</v>
      </c>
      <c r="E161" s="654">
        <f>'10'!F161</f>
        <v>36748</v>
      </c>
      <c r="F161" s="662">
        <v>36828.32</v>
      </c>
      <c r="G161" s="655">
        <f t="shared" ref="G161:G164" si="16">F161-E161</f>
        <v>80.319999999999709</v>
      </c>
      <c r="N161" s="721"/>
    </row>
    <row r="162" spans="1:14">
      <c r="A162" s="788" t="s">
        <v>264</v>
      </c>
      <c r="B162" s="789"/>
      <c r="C162" s="789"/>
      <c r="D162" s="511" t="s">
        <v>187</v>
      </c>
      <c r="E162" s="654">
        <f>'10'!F162</f>
        <v>86560</v>
      </c>
      <c r="F162" s="662">
        <v>86993.279999999999</v>
      </c>
      <c r="G162" s="655">
        <f t="shared" si="16"/>
        <v>433.27999999999884</v>
      </c>
      <c r="N162" s="721"/>
    </row>
    <row r="163" spans="1:14">
      <c r="A163" s="788" t="s">
        <v>265</v>
      </c>
      <c r="B163" s="789"/>
      <c r="C163" s="789"/>
      <c r="D163" s="511" t="s">
        <v>187</v>
      </c>
      <c r="E163" s="654">
        <f>'10'!F163</f>
        <v>40455</v>
      </c>
      <c r="F163" s="662">
        <v>40676</v>
      </c>
      <c r="G163" s="655">
        <f t="shared" si="16"/>
        <v>221</v>
      </c>
      <c r="N163" s="721"/>
    </row>
    <row r="164" spans="1:14">
      <c r="A164" s="788" t="s">
        <v>266</v>
      </c>
      <c r="B164" s="789"/>
      <c r="C164" s="789"/>
      <c r="D164" s="511" t="s">
        <v>187</v>
      </c>
      <c r="E164" s="654">
        <f>'10'!F164</f>
        <v>6329</v>
      </c>
      <c r="F164" s="662">
        <v>6341.48</v>
      </c>
      <c r="G164" s="655">
        <f t="shared" si="16"/>
        <v>12.479999999999563</v>
      </c>
      <c r="N164" s="721"/>
    </row>
    <row r="165" spans="1:14" ht="37.5" customHeight="1">
      <c r="A165" s="790" t="s">
        <v>98</v>
      </c>
      <c r="B165" s="604"/>
      <c r="C165" s="604"/>
      <c r="D165" s="511" t="s">
        <v>187</v>
      </c>
      <c r="E165" s="654">
        <f>'12'!F165</f>
        <v>20419</v>
      </c>
      <c r="F165" s="1112">
        <f>F62</f>
        <v>20419</v>
      </c>
      <c r="G165" s="655">
        <f t="shared" ref="G165:G172" si="17">F165-E165</f>
        <v>0</v>
      </c>
      <c r="N165" s="721"/>
    </row>
    <row r="166" spans="1:14">
      <c r="A166" s="790" t="s">
        <v>188</v>
      </c>
      <c r="B166" s="604"/>
      <c r="C166" s="604"/>
      <c r="D166" s="511" t="s">
        <v>187</v>
      </c>
      <c r="E166" s="748">
        <f>E63</f>
        <v>2397</v>
      </c>
      <c r="F166" s="1112">
        <f>F63</f>
        <v>2400.8000000000002</v>
      </c>
      <c r="G166" s="655">
        <f t="shared" si="17"/>
        <v>3.8000000000001819</v>
      </c>
      <c r="N166" s="721"/>
    </row>
    <row r="167" spans="1:14" ht="35.25" customHeight="1">
      <c r="A167" s="1500" t="s">
        <v>99</v>
      </c>
      <c r="B167" s="1500"/>
      <c r="C167" s="1500"/>
      <c r="D167" s="523" t="s">
        <v>187</v>
      </c>
      <c r="E167" s="748">
        <f t="shared" ref="E167:E172" si="18">E64</f>
        <v>155359</v>
      </c>
      <c r="F167" s="1112">
        <f t="shared" ref="F167:F172" si="19">F64</f>
        <v>155566.76999999999</v>
      </c>
      <c r="G167" s="655">
        <f t="shared" si="17"/>
        <v>207.76999999998952</v>
      </c>
      <c r="N167" s="721"/>
    </row>
    <row r="168" spans="1:14" ht="33" customHeight="1">
      <c r="A168" s="1500" t="s">
        <v>100</v>
      </c>
      <c r="B168" s="1500"/>
      <c r="C168" s="1500"/>
      <c r="D168" s="523" t="s">
        <v>187</v>
      </c>
      <c r="E168" s="748">
        <f t="shared" si="18"/>
        <v>156480</v>
      </c>
      <c r="F168" s="1112">
        <f t="shared" si="19"/>
        <v>156609.13</v>
      </c>
      <c r="G168" s="655">
        <f t="shared" si="17"/>
        <v>129.13000000000466</v>
      </c>
      <c r="N168" s="721"/>
    </row>
    <row r="169" spans="1:14" ht="40.5" customHeight="1">
      <c r="A169" s="1500" t="s">
        <v>101</v>
      </c>
      <c r="B169" s="1500"/>
      <c r="C169" s="1500"/>
      <c r="D169" s="523" t="s">
        <v>187</v>
      </c>
      <c r="E169" s="748">
        <f t="shared" si="18"/>
        <v>51186</v>
      </c>
      <c r="F169" s="1112">
        <f t="shared" si="19"/>
        <v>51430.79</v>
      </c>
      <c r="G169" s="655">
        <f t="shared" si="17"/>
        <v>244.79000000000087</v>
      </c>
      <c r="N169" s="721"/>
    </row>
    <row r="170" spans="1:14" ht="30.75" customHeight="1">
      <c r="A170" s="1500" t="s">
        <v>102</v>
      </c>
      <c r="B170" s="1500"/>
      <c r="C170" s="1500"/>
      <c r="D170" s="523" t="s">
        <v>187</v>
      </c>
      <c r="E170" s="748">
        <f t="shared" si="18"/>
        <v>244826</v>
      </c>
      <c r="F170" s="1112">
        <f t="shared" si="19"/>
        <v>244943.95</v>
      </c>
      <c r="G170" s="655">
        <f t="shared" si="17"/>
        <v>117.95000000001164</v>
      </c>
      <c r="N170" s="721"/>
    </row>
    <row r="171" spans="1:14" ht="30.75" customHeight="1">
      <c r="A171" s="1500" t="s">
        <v>103</v>
      </c>
      <c r="B171" s="1500"/>
      <c r="C171" s="1500"/>
      <c r="D171" s="523" t="s">
        <v>187</v>
      </c>
      <c r="E171" s="748">
        <f t="shared" si="18"/>
        <v>85321</v>
      </c>
      <c r="F171" s="1112">
        <f t="shared" si="19"/>
        <v>85321</v>
      </c>
      <c r="G171" s="655">
        <f t="shared" si="17"/>
        <v>0</v>
      </c>
      <c r="N171" s="721"/>
    </row>
    <row r="172" spans="1:14" ht="28.5" customHeight="1">
      <c r="A172" s="1500" t="s">
        <v>104</v>
      </c>
      <c r="B172" s="1500"/>
      <c r="C172" s="1500"/>
      <c r="D172" s="523" t="s">
        <v>187</v>
      </c>
      <c r="E172" s="748">
        <f t="shared" si="18"/>
        <v>79831</v>
      </c>
      <c r="F172" s="1112">
        <f t="shared" si="19"/>
        <v>79870.61</v>
      </c>
      <c r="G172" s="655">
        <f t="shared" si="17"/>
        <v>39.610000000000582</v>
      </c>
      <c r="N172" s="721"/>
    </row>
    <row r="173" spans="1:14">
      <c r="G173" s="1466">
        <f>SUM(G161:G172)</f>
        <v>1490.1300000000056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44.2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21.75" customHeight="1">
      <c r="N193" s="721"/>
    </row>
    <row r="194" spans="14:14" ht="36.75" customHeight="1">
      <c r="N194" s="721"/>
    </row>
    <row r="195" spans="14:14">
      <c r="N195" s="721"/>
    </row>
    <row r="196" spans="14:14">
      <c r="N196" s="721"/>
    </row>
    <row r="197" spans="14:14">
      <c r="N197" s="721"/>
    </row>
    <row r="198" spans="14:14">
      <c r="N198" s="721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67" zoomScale="55" zoomScaleNormal="75" zoomScaleSheetLayoutView="55" workbookViewId="0">
      <selection activeCell="F28" activeCellId="1" sqref="F28 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5"/>
    <col min="16" max="17" width="22.33203125" style="441"/>
    <col min="18" max="16384" width="22.33203125" style="376"/>
  </cols>
  <sheetData>
    <row r="1" spans="1:17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7" s="281" customFormat="1" ht="27">
      <c r="A2" s="575" t="s">
        <v>370</v>
      </c>
      <c r="B2" s="1036">
        <v>44328</v>
      </c>
      <c r="C2" s="1146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6"/>
      <c r="P2" s="713"/>
      <c r="Q2" s="713"/>
    </row>
    <row r="3" spans="1:17" s="281" customFormat="1" ht="27">
      <c r="A3" s="570"/>
      <c r="B3" s="614"/>
      <c r="C3" s="1146" t="s">
        <v>120</v>
      </c>
      <c r="D3" s="612">
        <v>30</v>
      </c>
      <c r="E3" s="1542" t="s">
        <v>121</v>
      </c>
      <c r="F3" s="154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6"/>
      <c r="P3" s="713"/>
      <c r="Q3" s="713"/>
    </row>
    <row r="4" spans="1:17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1186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19788.59</v>
      </c>
      <c r="F7" s="455">
        <v>34957.870000000003</v>
      </c>
      <c r="G7" s="681">
        <f>F7-E7</f>
        <v>15169.280000000002</v>
      </c>
      <c r="H7" s="682">
        <f>G7+'11'!H7</f>
        <v>189980.87</v>
      </c>
      <c r="I7" s="683">
        <f>'1'!I7</f>
        <v>12000</v>
      </c>
      <c r="J7" s="684">
        <f>H7/DAY(B2)</f>
        <v>15831.739166666666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19957.82</v>
      </c>
      <c r="F8" s="475">
        <v>35217.71</v>
      </c>
      <c r="G8" s="692">
        <f>F8-E8</f>
        <v>15259.89</v>
      </c>
      <c r="H8" s="682">
        <f>G8+'11'!H8</f>
        <v>190976.71000000002</v>
      </c>
      <c r="I8" s="689">
        <f>'1'!I8</f>
        <v>12000</v>
      </c>
      <c r="J8" s="684">
        <f>H8/DAY(B2)</f>
        <v>15914.725833333336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1159720.3</v>
      </c>
      <c r="F9" s="478">
        <v>1174391</v>
      </c>
      <c r="G9" s="705">
        <f t="shared" ref="G9:G12" si="0">F9-E9</f>
        <v>14670.699999999953</v>
      </c>
      <c r="H9" s="682">
        <f>G9+'11'!H9</f>
        <v>183677</v>
      </c>
      <c r="I9" s="693">
        <f>I7-J7</f>
        <v>-3831.7391666666663</v>
      </c>
      <c r="J9" s="684">
        <f>H9/DAY(B2)</f>
        <v>15306.416666666666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14670.699999999953</v>
      </c>
      <c r="H13" s="682">
        <f>G13+'11'!H13</f>
        <v>169156</v>
      </c>
      <c r="I13" s="698">
        <f>G7-G13</f>
        <v>498.58000000004904</v>
      </c>
      <c r="J13" s="684">
        <f>H13/DAY(B2)</f>
        <v>14096.333333333334</v>
      </c>
      <c r="K13" s="428"/>
      <c r="L13" s="377"/>
      <c r="N13" s="721"/>
      <c r="O13" s="730"/>
      <c r="P13" s="716"/>
    </row>
    <row r="14" spans="1:17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1675283.69</v>
      </c>
      <c r="F15" s="485">
        <v>1675720.12</v>
      </c>
      <c r="G15" s="667">
        <f>(F15-E15)</f>
        <v>436.43000000016764</v>
      </c>
      <c r="H15" s="486">
        <f>G15+'11'!H15</f>
        <v>5063.1200000001118</v>
      </c>
      <c r="I15" s="474">
        <v>800</v>
      </c>
      <c r="J15" s="553">
        <f>H15/DAY(B2)</f>
        <v>421.926666666676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378.073333333324</v>
      </c>
      <c r="J16" s="553"/>
      <c r="K16" s="428"/>
      <c r="L16" s="377"/>
      <c r="N16" s="721"/>
      <c r="O16" s="730"/>
      <c r="P16" s="716"/>
    </row>
    <row r="17" spans="1:17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65" t="s">
        <v>143</v>
      </c>
      <c r="B18" s="1566"/>
      <c r="C18" s="1567"/>
      <c r="D18" s="638" t="s">
        <v>144</v>
      </c>
      <c r="E18" s="635">
        <f>'11'!F18</f>
        <v>2</v>
      </c>
      <c r="F18" s="478">
        <v>0</v>
      </c>
      <c r="G18" s="697">
        <f>F18*10</f>
        <v>0</v>
      </c>
      <c r="H18" s="682">
        <f>G18+'11'!H18</f>
        <v>460</v>
      </c>
      <c r="I18" s="683">
        <f>'1'!I18</f>
        <v>65</v>
      </c>
      <c r="J18" s="684">
        <f>H18/DAY(B2)</f>
        <v>38.333333333333336</v>
      </c>
      <c r="K18" s="428"/>
      <c r="L18" s="377"/>
      <c r="N18" s="721"/>
      <c r="O18" s="730"/>
      <c r="P18" s="716"/>
    </row>
    <row r="19" spans="1:17" ht="27.75">
      <c r="A19" s="1565" t="s">
        <v>71</v>
      </c>
      <c r="B19" s="1566"/>
      <c r="C19" s="1567"/>
      <c r="D19" s="638" t="s">
        <v>144</v>
      </c>
      <c r="E19" s="635">
        <f>'11'!F19</f>
        <v>138409</v>
      </c>
      <c r="F19" s="478">
        <v>138461</v>
      </c>
      <c r="G19" s="692">
        <f t="shared" ref="G19" si="1">F19-E19</f>
        <v>52</v>
      </c>
      <c r="H19" s="682">
        <f>G19+'11'!H19</f>
        <v>649</v>
      </c>
      <c r="I19" s="699"/>
      <c r="J19" s="684">
        <f>H19/DAY(B2)</f>
        <v>54.083333333333336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52</v>
      </c>
      <c r="H20" s="682">
        <f>G20+'11'!H20</f>
        <v>1109</v>
      </c>
      <c r="I20" s="701">
        <f>I18-J20</f>
        <v>-27.416666666666671</v>
      </c>
      <c r="J20" s="684">
        <f>H20/DAY(B2)</f>
        <v>92.416666666666671</v>
      </c>
      <c r="K20" s="428"/>
      <c r="L20" s="377"/>
      <c r="N20" s="721"/>
      <c r="O20" s="730"/>
      <c r="P20" s="716"/>
    </row>
    <row r="21" spans="1:17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4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1"/>
      <c r="O22" s="730"/>
      <c r="P22" s="716"/>
    </row>
    <row r="23" spans="1:17">
      <c r="A23" s="1144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15259.89</v>
      </c>
      <c r="F27" s="501">
        <v>9</v>
      </c>
      <c r="G27" s="502">
        <f>E27*F27</f>
        <v>137339.01</v>
      </c>
      <c r="H27" s="460">
        <f>G27+'11'!H27</f>
        <v>1718790.39</v>
      </c>
      <c r="I27" s="503"/>
      <c r="J27" s="552">
        <f>H27/DAY(B2)</f>
        <v>143232.5325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436.43000000016764</v>
      </c>
      <c r="F28" s="501">
        <v>49</v>
      </c>
      <c r="G28" s="502">
        <f>E28*F28</f>
        <v>21385.070000008214</v>
      </c>
      <c r="H28" s="460">
        <f>G28+'11'!H28</f>
        <v>250878.53000000547</v>
      </c>
      <c r="I28" s="505"/>
      <c r="J28" s="552">
        <f>H28/DAY(B2)</f>
        <v>20906.544166667121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G30+'11'!H30</f>
        <v>86966</v>
      </c>
      <c r="I30" s="505"/>
      <c r="J30" s="552">
        <f>H30/DAY(B2)</f>
        <v>7247.166666666667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G31+'11'!H31</f>
        <v>36800</v>
      </c>
      <c r="I31" s="505"/>
      <c r="J31" s="552">
        <f>H31/DAY(B2)</f>
        <v>3066.6666666666665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165692.08000000822</v>
      </c>
      <c r="H32" s="460">
        <f>G32+'11'!H32</f>
        <v>2093434.9200000057</v>
      </c>
      <c r="I32" s="509"/>
      <c r="J32" s="552">
        <f>H32/DAY(B2)</f>
        <v>174452.91000000047</v>
      </c>
      <c r="K32" s="373"/>
      <c r="L32" s="443"/>
      <c r="N32" s="721"/>
      <c r="O32" s="730"/>
      <c r="P32" s="716"/>
      <c r="Q32" s="445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30"/>
      <c r="P33" s="716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909592.23</v>
      </c>
      <c r="F35" s="510">
        <v>911455.67</v>
      </c>
      <c r="G35" s="473">
        <f t="shared" ref="G35:G46" si="3">F35-E35</f>
        <v>1863.4400000000605</v>
      </c>
      <c r="H35" s="460">
        <f>G35+'11'!H35</f>
        <v>24996.670000000042</v>
      </c>
      <c r="I35" s="455"/>
      <c r="J35" s="552">
        <f>H35/DAY(B2)</f>
        <v>2083.055833333337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347065</v>
      </c>
      <c r="F36" s="510">
        <v>347065</v>
      </c>
      <c r="G36" s="473">
        <f t="shared" si="3"/>
        <v>0</v>
      </c>
      <c r="H36" s="460">
        <f>G36+'11'!H36</f>
        <v>2457</v>
      </c>
      <c r="I36" s="455"/>
      <c r="J36" s="552">
        <f>H36/DAY(B2)</f>
        <v>204.75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108721.5</v>
      </c>
      <c r="F37" s="510">
        <v>109905.86</v>
      </c>
      <c r="G37" s="473">
        <f t="shared" si="3"/>
        <v>1184.3600000000006</v>
      </c>
      <c r="H37" s="460">
        <f>G37+'11'!H37</f>
        <v>14680.86</v>
      </c>
      <c r="I37" s="455"/>
      <c r="J37" s="552">
        <f>H37/DAY(B2)</f>
        <v>1223.405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132863.37</v>
      </c>
      <c r="F38" s="469">
        <v>134083.64000000001</v>
      </c>
      <c r="G38" s="473">
        <f t="shared" si="3"/>
        <v>1220.2700000000186</v>
      </c>
      <c r="H38" s="460">
        <f>G38+'11'!H38</f>
        <v>14487.640000000014</v>
      </c>
      <c r="I38" s="455"/>
      <c r="J38" s="552">
        <f>H38/DAY(B2)</f>
        <v>1207.3033333333344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265908.17</v>
      </c>
      <c r="F39" s="510">
        <v>267578.40999999997</v>
      </c>
      <c r="G39" s="473">
        <f t="shared" si="3"/>
        <v>1670.2399999999907</v>
      </c>
      <c r="H39" s="460">
        <f>G39+'11'!H39</f>
        <v>20925.409999999974</v>
      </c>
      <c r="I39" s="455"/>
      <c r="J39" s="552">
        <f>H39/DAY(B2)</f>
        <v>1743.7841666666645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86.47</v>
      </c>
      <c r="F40" s="510">
        <v>150.74</v>
      </c>
      <c r="G40" s="473">
        <f t="shared" si="3"/>
        <v>64.27000000000001</v>
      </c>
      <c r="H40" s="460">
        <f>G40+'11'!H40</f>
        <v>150.51</v>
      </c>
      <c r="I40" s="455"/>
      <c r="J40" s="552">
        <f>H40/DAY(B2)</f>
        <v>12.542499999999999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234819.03</v>
      </c>
      <c r="F41" s="510">
        <v>239196.55</v>
      </c>
      <c r="G41" s="473">
        <f>F41-E41</f>
        <v>4377.5199999999895</v>
      </c>
      <c r="H41" s="460">
        <f>G41+'11'!H41</f>
        <v>57668.549999999988</v>
      </c>
      <c r="I41" s="455"/>
      <c r="J41" s="552">
        <f>H41/DAY(B2)</f>
        <v>4805.7124999999987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59200.08</v>
      </c>
      <c r="F42" s="510">
        <v>59200.08</v>
      </c>
      <c r="G42" s="473">
        <f t="shared" si="3"/>
        <v>0</v>
      </c>
      <c r="H42" s="460">
        <f>G42+'11'!H42</f>
        <v>8.000000000174623E-2</v>
      </c>
      <c r="I42" s="455"/>
      <c r="J42" s="552">
        <f>H42/DAY(B2)</f>
        <v>6.6666666668121861E-3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998445.19</v>
      </c>
      <c r="F43" s="510">
        <v>1000539.3</v>
      </c>
      <c r="G43" s="473">
        <f t="shared" si="3"/>
        <v>2094.1100000001024</v>
      </c>
      <c r="H43" s="460">
        <f>G43+'11'!H43</f>
        <v>26581.300000000047</v>
      </c>
      <c r="I43" s="455"/>
      <c r="J43" s="552">
        <f>H43/DAY(B2)</f>
        <v>2215.1083333333372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12474.210000000163</v>
      </c>
      <c r="H47" s="460">
        <f>G47+'11'!H47</f>
        <v>161948.51000000007</v>
      </c>
      <c r="I47" s="455"/>
      <c r="J47" s="552">
        <f>H47/DAY(B2)</f>
        <v>13495.709166666673</v>
      </c>
      <c r="K47" s="428"/>
      <c r="L47" s="377"/>
      <c r="N47" s="721"/>
      <c r="O47" s="730"/>
      <c r="P47" s="716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485107.95</v>
      </c>
      <c r="F50" s="510">
        <v>485922.35</v>
      </c>
      <c r="G50" s="473">
        <f t="shared" si="4"/>
        <v>814.39999999996508</v>
      </c>
      <c r="H50" s="460">
        <f>G50+'11'!H50</f>
        <v>10447.349999999977</v>
      </c>
      <c r="I50" s="455"/>
      <c r="J50" s="552">
        <f>H50/DAY(B2)</f>
        <v>870.61249999999802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422176.23</v>
      </c>
      <c r="F53" s="510">
        <v>422682.71</v>
      </c>
      <c r="G53" s="473">
        <f t="shared" si="4"/>
        <v>506.48000000003958</v>
      </c>
      <c r="H53" s="460">
        <f>G53+'11'!H53</f>
        <v>5848.710000000021</v>
      </c>
      <c r="I53" s="455"/>
      <c r="J53" s="552">
        <f>H53/DAY(B2)</f>
        <v>487.39250000000175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12177.65</v>
      </c>
      <c r="F54" s="510">
        <v>12251.05</v>
      </c>
      <c r="G54" s="473">
        <f t="shared" si="4"/>
        <v>73.399999999999636</v>
      </c>
      <c r="H54" s="460">
        <f>G54+'11'!H54</f>
        <v>4489.0499999999993</v>
      </c>
      <c r="I54" s="455"/>
      <c r="J54" s="552">
        <f>H54/DAY(B2)</f>
        <v>374.08749999999992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v>0</v>
      </c>
      <c r="F55" s="656">
        <v>615.96</v>
      </c>
      <c r="G55" s="655">
        <f t="shared" si="4"/>
        <v>615.96</v>
      </c>
      <c r="H55" s="708">
        <f>G55+'11'!H55</f>
        <v>615.96</v>
      </c>
      <c r="I55" s="709"/>
      <c r="J55" s="710">
        <f>H55/DAY(B2)</f>
        <v>51.330000000000005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589405.23</v>
      </c>
      <c r="F56" s="656">
        <v>589414.75</v>
      </c>
      <c r="G56" s="473">
        <f t="shared" si="4"/>
        <v>9.5200000000186265</v>
      </c>
      <c r="H56" s="460">
        <f>G56+'11'!H56</f>
        <v>126.39000000001397</v>
      </c>
      <c r="I56" s="455"/>
      <c r="J56" s="552">
        <f>H56/DAY(B2)</f>
        <v>10.532500000001164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47522.25</v>
      </c>
      <c r="F58" s="656">
        <v>47619.96</v>
      </c>
      <c r="G58" s="473">
        <f t="shared" si="4"/>
        <v>97.709999999999127</v>
      </c>
      <c r="H58" s="460">
        <f>G58+'11'!H58</f>
        <v>902.95999999999913</v>
      </c>
      <c r="I58" s="455"/>
      <c r="J58" s="552">
        <f>H58/DAY(B2)</f>
        <v>75.246666666666599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2117.4700000000221</v>
      </c>
      <c r="H59" s="460">
        <f>G59+'11'!H59</f>
        <v>22430.359999999957</v>
      </c>
      <c r="I59" s="455">
        <f>G7-G60</f>
        <v>577.59999999981665</v>
      </c>
      <c r="J59" s="552">
        <f>H59/DAY(B2)</f>
        <v>1869.1966666666631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14591.680000000186</v>
      </c>
      <c r="H60" s="460">
        <f>G60+'11'!H60</f>
        <v>185962.76000000004</v>
      </c>
      <c r="I60" s="455">
        <f>G13-G60</f>
        <v>79.019999999767606</v>
      </c>
      <c r="J60" s="552">
        <f>H60/DAY(B2)</f>
        <v>15496.896666666669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2400.8000000000002</v>
      </c>
      <c r="F63" s="514">
        <v>2404.58</v>
      </c>
      <c r="G63" s="473">
        <f t="shared" si="5"/>
        <v>3.7799999999997453</v>
      </c>
      <c r="H63" s="460">
        <f>G63+'11'!H63</f>
        <v>45.579999999999927</v>
      </c>
      <c r="I63" s="515"/>
      <c r="J63" s="552">
        <f>H63/DAY(B2)</f>
        <v>3.7983333333333271</v>
      </c>
      <c r="K63" s="428"/>
      <c r="L63" s="377"/>
      <c r="N63" s="721"/>
      <c r="O63" s="730"/>
      <c r="P63" s="716"/>
    </row>
    <row r="64" spans="1:16" ht="27.75">
      <c r="A64" s="1504" t="s">
        <v>99</v>
      </c>
      <c r="B64" s="1505"/>
      <c r="C64" s="1506"/>
      <c r="D64" s="523" t="s">
        <v>187</v>
      </c>
      <c r="E64" s="514">
        <f>'11'!F64</f>
        <v>155566.76999999999</v>
      </c>
      <c r="F64" s="478">
        <v>155788.35</v>
      </c>
      <c r="G64" s="473">
        <f t="shared" si="5"/>
        <v>221.5800000000163</v>
      </c>
      <c r="H64" s="460">
        <f>G64+'11'!H64</f>
        <v>2489.3500000000058</v>
      </c>
      <c r="I64" s="480"/>
      <c r="J64" s="552">
        <f>H64/DAY(B2)</f>
        <v>207.44583333333381</v>
      </c>
      <c r="K64" s="428"/>
      <c r="L64" s="377"/>
      <c r="N64" s="721"/>
      <c r="O64" s="730"/>
      <c r="P64" s="716"/>
    </row>
    <row r="65" spans="1:16" ht="27.75">
      <c r="A65" s="1504" t="s">
        <v>100</v>
      </c>
      <c r="B65" s="1505"/>
      <c r="C65" s="1506"/>
      <c r="D65" s="523" t="s">
        <v>187</v>
      </c>
      <c r="E65" s="514">
        <f>'11'!F65</f>
        <v>156609.13</v>
      </c>
      <c r="F65" s="654">
        <v>156785.48000000001</v>
      </c>
      <c r="G65" s="473">
        <f t="shared" si="5"/>
        <v>176.35000000000582</v>
      </c>
      <c r="H65" s="460">
        <f>G65+'11'!H65</f>
        <v>2186.4800000000105</v>
      </c>
      <c r="I65" s="489"/>
      <c r="J65" s="552">
        <f>H65/DAY(B2)</f>
        <v>182.20666666666753</v>
      </c>
      <c r="K65" s="428"/>
      <c r="L65" s="377"/>
      <c r="N65" s="721"/>
      <c r="O65" s="730"/>
      <c r="P65" s="716"/>
    </row>
    <row r="66" spans="1:16" ht="27.75">
      <c r="A66" s="1504" t="s">
        <v>101</v>
      </c>
      <c r="B66" s="1505"/>
      <c r="C66" s="1506"/>
      <c r="D66" s="523" t="s">
        <v>187</v>
      </c>
      <c r="E66" s="514">
        <f>'11'!F66</f>
        <v>51430.79</v>
      </c>
      <c r="F66" s="478">
        <v>51678.48</v>
      </c>
      <c r="G66" s="473">
        <f t="shared" si="5"/>
        <v>247.69000000000233</v>
      </c>
      <c r="H66" s="460">
        <f>G66+'11'!H66</f>
        <v>3107.4800000000032</v>
      </c>
      <c r="I66" s="480"/>
      <c r="J66" s="552">
        <f>H66/DAY(B2)</f>
        <v>258.95666666666693</v>
      </c>
      <c r="K66" s="428"/>
      <c r="L66" s="377"/>
      <c r="N66" s="721"/>
      <c r="O66" s="730"/>
      <c r="P66" s="716"/>
    </row>
    <row r="67" spans="1:16" ht="27.75">
      <c r="A67" s="1504" t="s">
        <v>102</v>
      </c>
      <c r="B67" s="1505"/>
      <c r="C67" s="1506"/>
      <c r="D67" s="523" t="s">
        <v>187</v>
      </c>
      <c r="E67" s="514">
        <f>'11'!F67</f>
        <v>244943.95</v>
      </c>
      <c r="F67" s="478">
        <v>245062.55</v>
      </c>
      <c r="G67" s="473">
        <f t="shared" si="5"/>
        <v>118.59999999997672</v>
      </c>
      <c r="H67" s="460">
        <f>G67+'11'!H67</f>
        <v>1888.5499999999884</v>
      </c>
      <c r="I67" s="489"/>
      <c r="J67" s="552">
        <f>H67/DAY(B2)</f>
        <v>157.3791666666657</v>
      </c>
      <c r="K67" s="429"/>
      <c r="L67" s="377"/>
      <c r="N67" s="721"/>
      <c r="O67" s="730"/>
      <c r="P67" s="716"/>
    </row>
    <row r="68" spans="1:16" ht="27.75">
      <c r="A68" s="1504" t="s">
        <v>103</v>
      </c>
      <c r="B68" s="1505"/>
      <c r="C68" s="1506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21"/>
      <c r="O68" s="730"/>
      <c r="P68" s="716"/>
    </row>
    <row r="69" spans="1:16" ht="27.75">
      <c r="A69" s="1504" t="s">
        <v>104</v>
      </c>
      <c r="B69" s="1505"/>
      <c r="C69" s="1506"/>
      <c r="D69" s="523" t="s">
        <v>187</v>
      </c>
      <c r="E69" s="514">
        <f>'11'!F69</f>
        <v>79870.61</v>
      </c>
      <c r="F69" s="478">
        <v>79913.820000000007</v>
      </c>
      <c r="G69" s="473">
        <f t="shared" si="5"/>
        <v>43.210000000006403</v>
      </c>
      <c r="H69" s="460">
        <f>G69+'11'!H69</f>
        <v>919.82000000000698</v>
      </c>
      <c r="I69" s="516"/>
      <c r="J69" s="552">
        <f>H69/DAY(B2)</f>
        <v>76.651666666667253</v>
      </c>
      <c r="K69" s="431"/>
      <c r="L69" s="377"/>
      <c r="N69" s="721"/>
      <c r="O69" s="730"/>
      <c r="P69" s="716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30"/>
      <c r="P71" s="716"/>
    </row>
    <row r="72" spans="1:16" ht="27.75">
      <c r="A72" s="1504" t="s">
        <v>191</v>
      </c>
      <c r="B72" s="1505"/>
      <c r="C72" s="1506"/>
      <c r="D72" s="523" t="s">
        <v>187</v>
      </c>
      <c r="E72" s="519">
        <f>'11'!F72</f>
        <v>855635</v>
      </c>
      <c r="F72" s="657">
        <v>855644</v>
      </c>
      <c r="G72" s="473">
        <f t="shared" ref="G72:G84" si="6">F72-E72</f>
        <v>9</v>
      </c>
      <c r="H72" s="460">
        <f>G72+'11'!H72</f>
        <v>183</v>
      </c>
      <c r="I72" s="480"/>
      <c r="J72" s="552">
        <f>H72/DAY(B2)</f>
        <v>15.25</v>
      </c>
      <c r="K72" s="431"/>
      <c r="L72" s="377"/>
      <c r="N72" s="721"/>
      <c r="O72" s="730"/>
      <c r="P72" s="716"/>
    </row>
    <row r="73" spans="1:16" ht="27.75">
      <c r="A73" s="1504" t="s">
        <v>192</v>
      </c>
      <c r="B73" s="1505"/>
      <c r="C73" s="1506"/>
      <c r="D73" s="523" t="s">
        <v>187</v>
      </c>
      <c r="E73" s="519">
        <f>'11'!F73</f>
        <v>885888</v>
      </c>
      <c r="F73" s="658">
        <v>885889</v>
      </c>
      <c r="G73" s="655">
        <f t="shared" si="6"/>
        <v>1</v>
      </c>
      <c r="H73" s="460">
        <f>G73+'11'!H73</f>
        <v>13</v>
      </c>
      <c r="I73" s="480"/>
      <c r="J73" s="552">
        <f>H73/DAY(B2)</f>
        <v>1.0833333333333333</v>
      </c>
      <c r="K73" s="430"/>
      <c r="L73" s="377"/>
      <c r="N73" s="721"/>
      <c r="O73" s="730"/>
      <c r="P73" s="716"/>
    </row>
    <row r="74" spans="1:16" ht="27.75">
      <c r="A74" s="1504" t="s">
        <v>193</v>
      </c>
      <c r="B74" s="1505"/>
      <c r="C74" s="1506"/>
      <c r="D74" s="523" t="s">
        <v>187</v>
      </c>
      <c r="E74" s="519">
        <f>'11'!F74</f>
        <v>2445.75</v>
      </c>
      <c r="F74" s="658">
        <v>2455.73</v>
      </c>
      <c r="G74" s="473">
        <f t="shared" si="6"/>
        <v>9.9800000000000182</v>
      </c>
      <c r="H74" s="460">
        <f>G74+'11'!H74</f>
        <v>176.73000000000002</v>
      </c>
      <c r="I74" s="480"/>
      <c r="J74" s="552">
        <f>H74/DAY(B2)</f>
        <v>14.727500000000001</v>
      </c>
      <c r="K74" s="431"/>
      <c r="L74" s="377"/>
      <c r="N74" s="721"/>
      <c r="O74" s="730"/>
      <c r="P74" s="716"/>
    </row>
    <row r="75" spans="1:16" ht="27.75">
      <c r="A75" s="1501" t="s">
        <v>194</v>
      </c>
      <c r="B75" s="1502"/>
      <c r="C75" s="1503"/>
      <c r="D75" s="523" t="s">
        <v>187</v>
      </c>
      <c r="E75" s="519">
        <f>'11'!F75</f>
        <v>11561.74</v>
      </c>
      <c r="F75" s="658">
        <v>11612.47</v>
      </c>
      <c r="G75" s="473">
        <f t="shared" si="6"/>
        <v>50.729999999999563</v>
      </c>
      <c r="H75" s="460">
        <f>G75+'11'!H75</f>
        <v>642.46999999999935</v>
      </c>
      <c r="I75" s="480"/>
      <c r="J75" s="552">
        <f>H75/DAY(B2)</f>
        <v>53.53916666666661</v>
      </c>
      <c r="K75" s="430"/>
      <c r="L75" s="377"/>
      <c r="N75" s="721"/>
      <c r="O75" s="730"/>
      <c r="P75" s="716"/>
    </row>
    <row r="76" spans="1:16" ht="27.75">
      <c r="A76" s="1501" t="s">
        <v>195</v>
      </c>
      <c r="B76" s="1502"/>
      <c r="C76" s="1503"/>
      <c r="D76" s="523" t="s">
        <v>187</v>
      </c>
      <c r="E76" s="519">
        <f>'11'!F76</f>
        <v>6308.05</v>
      </c>
      <c r="F76" s="658">
        <v>6359.46</v>
      </c>
      <c r="G76" s="473">
        <f t="shared" si="6"/>
        <v>51.409999999999854</v>
      </c>
      <c r="H76" s="460">
        <f>G76+'11'!H76</f>
        <v>650.46</v>
      </c>
      <c r="I76" s="505"/>
      <c r="J76" s="552">
        <f>H76/DAY(B2)</f>
        <v>54.205000000000005</v>
      </c>
      <c r="K76" s="430"/>
      <c r="L76" s="377"/>
      <c r="N76" s="721"/>
      <c r="O76" s="730"/>
      <c r="P76" s="716"/>
    </row>
    <row r="77" spans="1:16" ht="27.75">
      <c r="A77" s="1504" t="s">
        <v>196</v>
      </c>
      <c r="B77" s="1505"/>
      <c r="C77" s="1506"/>
      <c r="D77" s="523" t="s">
        <v>187</v>
      </c>
      <c r="E77" s="519">
        <f>'11'!F77</f>
        <v>702101</v>
      </c>
      <c r="F77" s="658">
        <v>702150</v>
      </c>
      <c r="G77" s="655">
        <f t="shared" si="6"/>
        <v>49</v>
      </c>
      <c r="H77" s="460">
        <f>G77+'11'!H77</f>
        <v>588</v>
      </c>
      <c r="I77" s="505"/>
      <c r="J77" s="552">
        <f>H77/DAY(B2)</f>
        <v>49</v>
      </c>
      <c r="K77" s="430"/>
      <c r="L77" s="377"/>
      <c r="N77" s="721"/>
      <c r="O77" s="730"/>
      <c r="P77" s="716"/>
    </row>
    <row r="78" spans="1:16" ht="27.75">
      <c r="A78" s="1147" t="s">
        <v>197</v>
      </c>
      <c r="B78" s="1120"/>
      <c r="C78" s="1120"/>
      <c r="D78" s="523" t="s">
        <v>187</v>
      </c>
      <c r="E78" s="519">
        <f>'11'!F78</f>
        <v>670836</v>
      </c>
      <c r="F78" s="659">
        <v>670901</v>
      </c>
      <c r="G78" s="473">
        <f t="shared" si="6"/>
        <v>65</v>
      </c>
      <c r="H78" s="460">
        <f>G78+'11'!H78</f>
        <v>876</v>
      </c>
      <c r="I78" s="505"/>
      <c r="J78" s="552">
        <f>H78/DAY(B2)</f>
        <v>73</v>
      </c>
      <c r="K78" s="430"/>
      <c r="L78" s="377"/>
      <c r="N78" s="721"/>
      <c r="O78" s="730"/>
      <c r="P78" s="716"/>
    </row>
    <row r="79" spans="1:16" ht="27.75">
      <c r="A79" s="1501" t="s">
        <v>92</v>
      </c>
      <c r="B79" s="1502"/>
      <c r="C79" s="1503"/>
      <c r="D79" s="524" t="s">
        <v>187</v>
      </c>
      <c r="E79" s="519">
        <f>'11'!F79</f>
        <v>828451</v>
      </c>
      <c r="F79" s="659">
        <v>828563</v>
      </c>
      <c r="G79" s="473">
        <f t="shared" si="6"/>
        <v>112</v>
      </c>
      <c r="H79" s="460">
        <f>G79+'11'!H79</f>
        <v>1779</v>
      </c>
      <c r="I79" s="505"/>
      <c r="J79" s="552">
        <f>H79/DAY(B2)</f>
        <v>148.25</v>
      </c>
      <c r="K79" s="430"/>
      <c r="L79" s="377"/>
      <c r="N79" s="721"/>
      <c r="O79" s="730"/>
      <c r="P79" s="716"/>
    </row>
    <row r="80" spans="1:16" ht="27.75">
      <c r="A80" s="1501" t="s">
        <v>198</v>
      </c>
      <c r="B80" s="1502"/>
      <c r="C80" s="1503"/>
      <c r="D80" s="524" t="s">
        <v>187</v>
      </c>
      <c r="E80" s="519">
        <f>'11'!F80</f>
        <v>520724.92</v>
      </c>
      <c r="F80" s="658">
        <v>521040.04</v>
      </c>
      <c r="G80" s="473">
        <f t="shared" si="6"/>
        <v>315.11999999999534</v>
      </c>
      <c r="H80" s="460">
        <f>G80+'11'!H80</f>
        <v>4302.039999999979</v>
      </c>
      <c r="I80" s="505"/>
      <c r="J80" s="552">
        <f>H80/DAY(B2)</f>
        <v>358.50333333333157</v>
      </c>
      <c r="K80" s="430"/>
      <c r="L80" s="377"/>
      <c r="N80" s="721"/>
      <c r="O80" s="730"/>
      <c r="P80" s="716"/>
    </row>
    <row r="81" spans="1:17" ht="27.75">
      <c r="A81" s="1501" t="s">
        <v>199</v>
      </c>
      <c r="B81" s="1502"/>
      <c r="C81" s="1503"/>
      <c r="D81" s="524" t="s">
        <v>187</v>
      </c>
      <c r="E81" s="519">
        <f>'11'!F81</f>
        <v>637293</v>
      </c>
      <c r="F81" s="658">
        <v>637367.96</v>
      </c>
      <c r="G81" s="473">
        <f t="shared" si="6"/>
        <v>74.959999999962747</v>
      </c>
      <c r="H81" s="460">
        <f>G81+'11'!H81</f>
        <v>889.95999999996275</v>
      </c>
      <c r="I81" s="505"/>
      <c r="J81" s="552">
        <f>H81/DAY(B2)</f>
        <v>74.163333333330229</v>
      </c>
      <c r="K81" s="430"/>
      <c r="L81" s="377"/>
      <c r="N81" s="721"/>
      <c r="O81" s="730"/>
      <c r="P81" s="716"/>
    </row>
    <row r="82" spans="1:17" ht="27.75">
      <c r="A82" s="1501" t="s">
        <v>93</v>
      </c>
      <c r="B82" s="1502"/>
      <c r="C82" s="1503"/>
      <c r="D82" s="485" t="s">
        <v>132</v>
      </c>
      <c r="E82" s="519">
        <f>'11'!F82</f>
        <v>107811</v>
      </c>
      <c r="F82" s="654">
        <v>107848.52</v>
      </c>
      <c r="G82" s="473">
        <f t="shared" si="6"/>
        <v>37.520000000004075</v>
      </c>
      <c r="H82" s="460">
        <f>G82+'11'!H82</f>
        <v>236.52000000000407</v>
      </c>
      <c r="I82" s="486"/>
      <c r="J82" s="552">
        <f>H82/DAY(B2)</f>
        <v>19.710000000000338</v>
      </c>
      <c r="K82" s="430"/>
      <c r="L82" s="377"/>
      <c r="N82" s="721"/>
      <c r="O82" s="730"/>
      <c r="P82" s="716"/>
    </row>
    <row r="83" spans="1:17" ht="27.75">
      <c r="A83" s="1501" t="s">
        <v>200</v>
      </c>
      <c r="B83" s="1502"/>
      <c r="C83" s="1503"/>
      <c r="D83" s="620" t="s">
        <v>132</v>
      </c>
      <c r="E83" s="519">
        <f>'11'!F83</f>
        <v>16969</v>
      </c>
      <c r="F83" s="511">
        <v>17191</v>
      </c>
      <c r="G83" s="473">
        <f t="shared" si="6"/>
        <v>222</v>
      </c>
      <c r="H83" s="460">
        <f>G83+'11'!H83</f>
        <v>2420</v>
      </c>
      <c r="I83" s="481"/>
      <c r="J83" s="552">
        <f>H83/DAY(B2)</f>
        <v>201.66666666666666</v>
      </c>
      <c r="K83" s="429"/>
      <c r="L83" s="377"/>
      <c r="N83" s="721"/>
      <c r="O83" s="730"/>
      <c r="P83" s="716"/>
    </row>
    <row r="84" spans="1:17">
      <c r="A84" s="1148" t="s">
        <v>201</v>
      </c>
      <c r="B84" s="571"/>
      <c r="C84" s="571"/>
      <c r="D84" s="478" t="s">
        <v>132</v>
      </c>
      <c r="E84" s="519">
        <f>'11'!F84</f>
        <v>488432</v>
      </c>
      <c r="F84" s="627">
        <v>488984</v>
      </c>
      <c r="G84" s="473">
        <f t="shared" si="6"/>
        <v>552</v>
      </c>
      <c r="H84" s="460">
        <f>G84+'11'!H84</f>
        <v>8851</v>
      </c>
      <c r="I84" s="481"/>
      <c r="J84" s="552">
        <f>H84/DAY(B2)</f>
        <v>737.58333333333337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1549.7199999999616</v>
      </c>
      <c r="H85" s="460">
        <f>G85+'11'!H85</f>
        <v>21608.179999999946</v>
      </c>
      <c r="I85" s="481"/>
      <c r="J85" s="552">
        <f>H85/DAY(B2)</f>
        <v>1800.6816666666621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460208</v>
      </c>
      <c r="F86" s="650">
        <v>460238.84</v>
      </c>
      <c r="G86" s="708">
        <f t="shared" ref="G86:G91" si="7">F86-E86</f>
        <v>30.840000000025611</v>
      </c>
      <c r="H86" s="708">
        <f t="shared" ref="H86:H88" si="8">G86</f>
        <v>30.840000000025611</v>
      </c>
      <c r="I86" s="655"/>
      <c r="J86" s="710">
        <f>H86/DAY(B2)</f>
        <v>2.5700000000021341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81069</v>
      </c>
      <c r="F87" s="650">
        <v>81080</v>
      </c>
      <c r="G87" s="708">
        <f t="shared" si="7"/>
        <v>11</v>
      </c>
      <c r="H87" s="708">
        <f t="shared" si="8"/>
        <v>11</v>
      </c>
      <c r="I87" s="655"/>
      <c r="J87" s="710">
        <f>H87/DAY(B2)</f>
        <v>0.91666666666666663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152287</v>
      </c>
      <c r="F88" s="650">
        <v>152368.91</v>
      </c>
      <c r="G88" s="708">
        <f t="shared" si="7"/>
        <v>81.910000000003492</v>
      </c>
      <c r="H88" s="708">
        <f t="shared" si="8"/>
        <v>81.910000000003492</v>
      </c>
      <c r="I88" s="655"/>
      <c r="J88" s="710">
        <f>H88/DAY(B2)</f>
        <v>6.8258333333336241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64905.2</v>
      </c>
      <c r="F89" s="650">
        <v>64911.6</v>
      </c>
      <c r="G89" s="708">
        <f t="shared" si="7"/>
        <v>6.4000000000014552</v>
      </c>
      <c r="H89" s="708">
        <f>G89</f>
        <v>6.4000000000014552</v>
      </c>
      <c r="I89" s="655"/>
      <c r="J89" s="710">
        <f>H89/DAY(B2)</f>
        <v>0.53333333333345456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3272</v>
      </c>
      <c r="F90" s="650">
        <v>3272.5</v>
      </c>
      <c r="G90" s="708">
        <f t="shared" si="7"/>
        <v>0.5</v>
      </c>
      <c r="H90" s="708">
        <f>G90</f>
        <v>0.5</v>
      </c>
      <c r="I90" s="655"/>
      <c r="J90" s="710">
        <f>H90/DAY(B2)</f>
        <v>4.1666666666666664E-2</v>
      </c>
      <c r="K90" s="736"/>
      <c r="L90" s="737"/>
      <c r="N90" s="781"/>
      <c r="O90" s="716"/>
    </row>
    <row r="91" spans="1:17" s="738" customFormat="1">
      <c r="A91" s="733" t="s">
        <v>365</v>
      </c>
      <c r="B91" s="734"/>
      <c r="C91" s="734"/>
      <c r="D91" s="735"/>
      <c r="E91" s="627">
        <f>'11'!F91</f>
        <v>27935.5</v>
      </c>
      <c r="F91" s="650">
        <v>27938.45</v>
      </c>
      <c r="G91" s="708">
        <f t="shared" si="7"/>
        <v>2.9500000000007276</v>
      </c>
      <c r="H91" s="708">
        <f>G91</f>
        <v>2.9500000000007276</v>
      </c>
      <c r="I91" s="655"/>
      <c r="J91" s="710"/>
      <c r="K91" s="736"/>
      <c r="L91" s="737"/>
      <c r="N91" s="781"/>
      <c r="O91" s="382"/>
    </row>
    <row r="92" spans="1:17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30"/>
      <c r="P92" s="716"/>
      <c r="Q92" s="738"/>
    </row>
    <row r="93" spans="1:17" ht="27.75">
      <c r="A93" s="1525" t="s">
        <v>206</v>
      </c>
      <c r="B93" s="1526"/>
      <c r="C93" s="1527"/>
      <c r="D93" s="523" t="s">
        <v>144</v>
      </c>
      <c r="E93" s="484">
        <f>'11'!F93</f>
        <v>244814</v>
      </c>
      <c r="F93" s="478">
        <v>244834</v>
      </c>
      <c r="G93" s="473">
        <f t="shared" ref="G93:G94" si="9">F93-E93</f>
        <v>20</v>
      </c>
      <c r="H93" s="460">
        <f>G93+'11'!H93</f>
        <v>310</v>
      </c>
      <c r="I93" s="480"/>
      <c r="J93" s="552">
        <f>H93/DAY(B2)</f>
        <v>25.833333333333332</v>
      </c>
      <c r="K93" s="429"/>
      <c r="L93" s="377"/>
      <c r="N93" s="721"/>
      <c r="O93" s="730"/>
      <c r="P93" s="716"/>
    </row>
    <row r="94" spans="1:17" ht="27.75">
      <c r="A94" s="1525" t="s">
        <v>207</v>
      </c>
      <c r="B94" s="1526"/>
      <c r="C94" s="1527"/>
      <c r="D94" s="523" t="s">
        <v>144</v>
      </c>
      <c r="E94" s="484">
        <f>'11'!F94</f>
        <v>184393</v>
      </c>
      <c r="F94" s="478">
        <v>184512</v>
      </c>
      <c r="G94" s="473">
        <f t="shared" si="9"/>
        <v>119</v>
      </c>
      <c r="H94" s="460">
        <f>G94+'11'!H94</f>
        <v>981</v>
      </c>
      <c r="I94" s="480"/>
      <c r="J94" s="552">
        <f>H94/DAY(B2)</f>
        <v>81.75</v>
      </c>
      <c r="K94" s="380"/>
      <c r="L94" s="377"/>
      <c r="N94" s="721"/>
      <c r="O94" s="730"/>
      <c r="P94" s="716"/>
    </row>
    <row r="95" spans="1:17">
      <c r="A95" s="1553" t="s">
        <v>208</v>
      </c>
      <c r="B95" s="1554"/>
      <c r="C95" s="1555"/>
      <c r="D95" s="523"/>
      <c r="E95" s="484">
        <f>'11'!F95</f>
        <v>0</v>
      </c>
      <c r="F95" s="478"/>
      <c r="G95" s="473">
        <f>G93+G94</f>
        <v>139</v>
      </c>
      <c r="H95" s="460">
        <f>G95+'11'!H95</f>
        <v>1144</v>
      </c>
      <c r="I95" s="480"/>
      <c r="J95" s="552">
        <f>H95/DAY(B2)</f>
        <v>95.333333333333329</v>
      </c>
      <c r="K95" s="380"/>
      <c r="L95" s="377"/>
      <c r="N95" s="721"/>
      <c r="O95" s="730"/>
      <c r="P95" s="716"/>
    </row>
    <row r="96" spans="1:17" ht="27.75">
      <c r="A96" s="1525" t="s">
        <v>209</v>
      </c>
      <c r="B96" s="1526"/>
      <c r="C96" s="1527"/>
      <c r="D96" s="523" t="s">
        <v>144</v>
      </c>
      <c r="E96" s="484">
        <f>'11'!F96</f>
        <v>413392</v>
      </c>
      <c r="F96" s="478">
        <v>413427</v>
      </c>
      <c r="G96" s="473">
        <f t="shared" ref="G96:G101" si="10">F96-E96</f>
        <v>35</v>
      </c>
      <c r="H96" s="460">
        <f>G96+'11'!H96</f>
        <v>541</v>
      </c>
      <c r="I96" s="480"/>
      <c r="J96" s="552">
        <f>H96/DAY(B2)</f>
        <v>45.083333333333336</v>
      </c>
      <c r="K96" s="380"/>
      <c r="L96" s="377"/>
      <c r="N96" s="721"/>
      <c r="O96" s="730"/>
      <c r="P96" s="716"/>
    </row>
    <row r="97" spans="1:17" ht="27.75">
      <c r="A97" s="1144" t="s">
        <v>210</v>
      </c>
      <c r="B97" s="1145"/>
      <c r="C97" s="1145"/>
      <c r="D97" s="523" t="s">
        <v>144</v>
      </c>
      <c r="E97" s="484">
        <f>'11'!F97</f>
        <v>102451</v>
      </c>
      <c r="F97" s="478">
        <v>102457</v>
      </c>
      <c r="G97" s="473">
        <f t="shared" si="10"/>
        <v>6</v>
      </c>
      <c r="H97" s="460">
        <f>G97+'11'!H97</f>
        <v>114</v>
      </c>
      <c r="I97" s="480"/>
      <c r="J97" s="552">
        <f>H97/DAY(B2)</f>
        <v>9.5</v>
      </c>
      <c r="K97" s="427"/>
      <c r="L97" s="377"/>
      <c r="N97" s="721"/>
      <c r="O97" s="730"/>
      <c r="P97" s="716"/>
    </row>
    <row r="98" spans="1:17" ht="27.75">
      <c r="A98" s="1144" t="s">
        <v>211</v>
      </c>
      <c r="B98" s="1145"/>
      <c r="C98" s="1145"/>
      <c r="D98" s="523" t="s">
        <v>144</v>
      </c>
      <c r="E98" s="484">
        <f>'11'!F98</f>
        <v>97572</v>
      </c>
      <c r="F98" s="478">
        <v>97581</v>
      </c>
      <c r="G98" s="473">
        <f t="shared" si="10"/>
        <v>9</v>
      </c>
      <c r="H98" s="460">
        <f>G98+'11'!H98</f>
        <v>154</v>
      </c>
      <c r="I98" s="480"/>
      <c r="J98" s="552">
        <f>H98/DAY(B2)</f>
        <v>12.833333333333334</v>
      </c>
      <c r="K98" s="432"/>
      <c r="L98" s="377"/>
      <c r="N98" s="721"/>
      <c r="O98" s="730"/>
      <c r="P98" s="716"/>
    </row>
    <row r="99" spans="1:17" ht="27.75">
      <c r="A99" s="1144" t="s">
        <v>212</v>
      </c>
      <c r="B99" s="1145"/>
      <c r="C99" s="1145"/>
      <c r="D99" s="523" t="s">
        <v>144</v>
      </c>
      <c r="E99" s="484">
        <f>'11'!F99</f>
        <v>149615</v>
      </c>
      <c r="F99" s="478">
        <v>149642</v>
      </c>
      <c r="G99" s="473">
        <f t="shared" si="10"/>
        <v>27</v>
      </c>
      <c r="H99" s="460">
        <f>G99+'11'!H99</f>
        <v>109</v>
      </c>
      <c r="I99" s="480"/>
      <c r="J99" s="552">
        <f>H99/DAY(B2)</f>
        <v>9.0833333333333339</v>
      </c>
      <c r="K99" s="380"/>
      <c r="L99" s="377"/>
      <c r="N99" s="723"/>
      <c r="O99" s="730"/>
      <c r="P99" s="716"/>
    </row>
    <row r="100" spans="1:17" ht="27.75">
      <c r="A100" s="1144" t="s">
        <v>213</v>
      </c>
      <c r="B100" s="1145"/>
      <c r="C100" s="1145"/>
      <c r="D100" s="523" t="s">
        <v>144</v>
      </c>
      <c r="E100" s="484">
        <f>'11'!F100</f>
        <v>7226</v>
      </c>
      <c r="F100" s="478">
        <v>7227</v>
      </c>
      <c r="G100" s="473">
        <f t="shared" si="10"/>
        <v>1</v>
      </c>
      <c r="H100" s="460">
        <f>G100+'11'!H100</f>
        <v>42</v>
      </c>
      <c r="I100" s="480"/>
      <c r="J100" s="552">
        <f>H100/DAY(B2)</f>
        <v>3.5</v>
      </c>
      <c r="K100" s="380"/>
      <c r="L100" s="377"/>
      <c r="N100" s="721"/>
      <c r="O100" s="730"/>
      <c r="P100" s="716"/>
    </row>
    <row r="101" spans="1:17" ht="27.75">
      <c r="A101" s="1144" t="s">
        <v>214</v>
      </c>
      <c r="B101" s="1145"/>
      <c r="C101" s="1145"/>
      <c r="D101" s="523" t="s">
        <v>144</v>
      </c>
      <c r="E101" s="484">
        <f>'11'!F101</f>
        <v>5221</v>
      </c>
      <c r="F101" s="478">
        <v>5224</v>
      </c>
      <c r="G101" s="473">
        <f t="shared" si="10"/>
        <v>3</v>
      </c>
      <c r="H101" s="460">
        <f>G101+'11'!H101</f>
        <v>86</v>
      </c>
      <c r="I101" s="480"/>
      <c r="J101" s="552">
        <f>H101/DAY(B2)</f>
        <v>7.166666666666667</v>
      </c>
      <c r="K101" s="380"/>
      <c r="L101" s="377"/>
      <c r="N101" s="721"/>
      <c r="O101" s="730"/>
      <c r="P101" s="716"/>
    </row>
    <row r="102" spans="1:17">
      <c r="A102" s="1553" t="s">
        <v>216</v>
      </c>
      <c r="B102" s="1554"/>
      <c r="C102" s="1555"/>
      <c r="D102" s="524"/>
      <c r="E102" s="484"/>
      <c r="F102" s="524"/>
      <c r="G102" s="525">
        <f>SUM(G96:G101)</f>
        <v>81</v>
      </c>
      <c r="H102" s="460">
        <f>G102+'11'!H102</f>
        <v>1046</v>
      </c>
      <c r="I102" s="526"/>
      <c r="J102" s="552">
        <f>H102/DAY(B2)</f>
        <v>87.166666666666671</v>
      </c>
      <c r="K102" s="380"/>
      <c r="L102" s="377"/>
      <c r="N102" s="721"/>
      <c r="O102" s="730"/>
      <c r="P102" s="716"/>
    </row>
    <row r="103" spans="1:17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30"/>
      <c r="P103" s="716"/>
      <c r="Q103" s="445"/>
    </row>
    <row r="104" spans="1:17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30"/>
      <c r="P104" s="716"/>
      <c r="Q104" s="445"/>
    </row>
    <row r="105" spans="1:17" s="442" customFormat="1" ht="27.75">
      <c r="A105" s="1517" t="s">
        <v>219</v>
      </c>
      <c r="B105" s="1518"/>
      <c r="C105" s="1143"/>
      <c r="D105" s="622" t="s">
        <v>144</v>
      </c>
      <c r="E105" s="484">
        <f>'11'!F105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21"/>
      <c r="O105" s="730"/>
      <c r="P105" s="716"/>
      <c r="Q105" s="445"/>
    </row>
    <row r="106" spans="1:17" s="442" customFormat="1" ht="27.75">
      <c r="A106" s="1517" t="s">
        <v>77</v>
      </c>
      <c r="B106" s="1518"/>
      <c r="C106" s="1143"/>
      <c r="D106" s="622" t="s">
        <v>144</v>
      </c>
      <c r="E106" s="484">
        <f>'11'!F106</f>
        <v>35860</v>
      </c>
      <c r="F106" s="662">
        <v>35860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4.166666666666667</v>
      </c>
      <c r="N106" s="721"/>
      <c r="O106" s="730"/>
      <c r="P106" s="716"/>
      <c r="Q106" s="445"/>
    </row>
    <row r="107" spans="1:17" s="442" customFormat="1" ht="27.75">
      <c r="A107" s="1517" t="s">
        <v>78</v>
      </c>
      <c r="B107" s="1558"/>
      <c r="C107" s="1518"/>
      <c r="D107" s="622" t="s">
        <v>144</v>
      </c>
      <c r="E107" s="484">
        <f>'11'!F107</f>
        <v>19650</v>
      </c>
      <c r="F107" s="662">
        <v>19655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10.75</v>
      </c>
      <c r="N107" s="721"/>
      <c r="O107" s="730"/>
      <c r="P107" s="716"/>
      <c r="Q107" s="445"/>
    </row>
    <row r="108" spans="1:17" s="442" customFormat="1" ht="27.75">
      <c r="A108" s="1519" t="s">
        <v>202</v>
      </c>
      <c r="B108" s="1520"/>
      <c r="C108" s="1143"/>
      <c r="D108" s="622"/>
      <c r="E108" s="484"/>
      <c r="F108" s="662"/>
      <c r="G108" s="532">
        <f>SUM(G105:G107)</f>
        <v>5</v>
      </c>
      <c r="H108" s="533">
        <f>SUM(G108+'1'!G79)</f>
        <v>194</v>
      </c>
      <c r="I108" s="532"/>
      <c r="J108" s="558">
        <f>H108/DAY(B2)</f>
        <v>16.166666666666668</v>
      </c>
      <c r="N108" s="721"/>
      <c r="O108" s="730"/>
      <c r="P108" s="716"/>
      <c r="Q108" s="445"/>
    </row>
    <row r="109" spans="1:17" s="442" customFormat="1" ht="27.75">
      <c r="A109" s="1523" t="s">
        <v>79</v>
      </c>
      <c r="B109" s="1524"/>
      <c r="C109" s="1143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30"/>
      <c r="P109" s="716"/>
      <c r="Q109" s="445"/>
    </row>
    <row r="110" spans="1:17" s="442" customFormat="1" ht="27.75">
      <c r="A110" s="1517" t="s">
        <v>220</v>
      </c>
      <c r="B110" s="1518"/>
      <c r="C110" s="1143"/>
      <c r="D110" s="622" t="s">
        <v>144</v>
      </c>
      <c r="E110" s="484">
        <f>'11'!F110</f>
        <v>61722</v>
      </c>
      <c r="F110" s="662">
        <v>61770</v>
      </c>
      <c r="G110" s="532">
        <f>F110-E110</f>
        <v>48</v>
      </c>
      <c r="H110" s="533">
        <f>SUM(G110+'1'!G81)</f>
        <v>129</v>
      </c>
      <c r="I110" s="532"/>
      <c r="J110" s="558">
        <f>H110/DAY(B2)</f>
        <v>10.75</v>
      </c>
      <c r="N110" s="721"/>
      <c r="O110" s="730"/>
      <c r="P110" s="716"/>
      <c r="Q110" s="445"/>
    </row>
    <row r="111" spans="1:17" s="442" customFormat="1" ht="27.75">
      <c r="A111" s="1517" t="s">
        <v>221</v>
      </c>
      <c r="B111" s="1518"/>
      <c r="C111" s="1143"/>
      <c r="D111" s="622" t="s">
        <v>144</v>
      </c>
      <c r="E111" s="484">
        <f>'11'!F111</f>
        <v>32299</v>
      </c>
      <c r="F111" s="662">
        <v>32324</v>
      </c>
      <c r="G111" s="532">
        <f t="shared" ref="G111:G112" si="12">F111-E111</f>
        <v>25</v>
      </c>
      <c r="H111" s="533">
        <f>SUM(G111+'1'!G82)</f>
        <v>37</v>
      </c>
      <c r="I111" s="532"/>
      <c r="J111" s="558">
        <f>H111/DAY(B2)</f>
        <v>3.0833333333333335</v>
      </c>
      <c r="N111" s="721"/>
      <c r="O111" s="730"/>
      <c r="P111" s="716"/>
      <c r="Q111" s="445"/>
    </row>
    <row r="112" spans="1:17" s="442" customFormat="1" ht="27.75">
      <c r="A112" s="1517" t="s">
        <v>222</v>
      </c>
      <c r="B112" s="1518"/>
      <c r="C112" s="1143"/>
      <c r="D112" s="622" t="s">
        <v>144</v>
      </c>
      <c r="E112" s="484">
        <f>'11'!F112</f>
        <v>4478</v>
      </c>
      <c r="F112" s="662">
        <v>4478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21.25</v>
      </c>
      <c r="N112" s="721"/>
      <c r="O112" s="730"/>
      <c r="P112" s="716"/>
      <c r="Q112" s="445"/>
    </row>
    <row r="113" spans="1:17" s="442" customFormat="1" ht="27.75">
      <c r="A113" s="1519" t="s">
        <v>110</v>
      </c>
      <c r="B113" s="1520"/>
      <c r="C113" s="1143"/>
      <c r="D113" s="622"/>
      <c r="E113" s="484"/>
      <c r="F113" s="662"/>
      <c r="G113" s="532">
        <f>SUM(G110:G112)</f>
        <v>73</v>
      </c>
      <c r="H113" s="533">
        <f>SUM(G113+'1'!G84)</f>
        <v>788</v>
      </c>
      <c r="I113" s="532"/>
      <c r="J113" s="558">
        <f>H113/DAY(B2)</f>
        <v>65.666666666666671</v>
      </c>
      <c r="N113" s="721"/>
      <c r="O113" s="730"/>
      <c r="P113" s="716"/>
      <c r="Q113" s="445"/>
    </row>
    <row r="114" spans="1:17" s="442" customFormat="1" ht="27.75">
      <c r="A114" s="1523" t="s">
        <v>223</v>
      </c>
      <c r="B114" s="1524"/>
      <c r="C114" s="1143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30"/>
      <c r="P114" s="716"/>
      <c r="Q114" s="445"/>
    </row>
    <row r="115" spans="1:17" s="442" customFormat="1" ht="27.75">
      <c r="A115" s="1517" t="s">
        <v>224</v>
      </c>
      <c r="B115" s="1518"/>
      <c r="C115" s="574"/>
      <c r="D115" s="622" t="s">
        <v>144</v>
      </c>
      <c r="E115" s="484">
        <f>'11'!F115</f>
        <v>11312</v>
      </c>
      <c r="F115" s="662">
        <v>11318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0.5</v>
      </c>
      <c r="N115" s="721"/>
      <c r="O115" s="730"/>
      <c r="P115" s="716"/>
      <c r="Q115" s="445"/>
    </row>
    <row r="116" spans="1:17" s="442" customFormat="1" ht="27.75">
      <c r="A116" s="1517" t="s">
        <v>225</v>
      </c>
      <c r="B116" s="1518"/>
      <c r="C116" s="574"/>
      <c r="D116" s="622" t="s">
        <v>144</v>
      </c>
      <c r="E116" s="484">
        <f>'11'!F116</f>
        <v>8186</v>
      </c>
      <c r="F116" s="662">
        <v>8190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4.666666666666667</v>
      </c>
      <c r="N116" s="721"/>
      <c r="O116" s="730"/>
      <c r="P116" s="716"/>
      <c r="Q116" s="445"/>
    </row>
    <row r="117" spans="1:17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7.916666666666667</v>
      </c>
      <c r="N117" s="721"/>
      <c r="O117" s="730"/>
      <c r="P117" s="716"/>
      <c r="Q117" s="445"/>
    </row>
    <row r="118" spans="1:17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6.833333333333333</v>
      </c>
      <c r="N118" s="721"/>
      <c r="O118" s="730"/>
      <c r="P118" s="716"/>
    </row>
    <row r="119" spans="1:17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72</v>
      </c>
      <c r="G119" s="536">
        <f>SUM(G19+G93)</f>
        <v>72</v>
      </c>
      <c r="H119" s="533">
        <f>SUM(G119+'1'!G97)</f>
        <v>84</v>
      </c>
      <c r="I119" s="535"/>
      <c r="J119" s="559">
        <f>H119/DAY(B2)</f>
        <v>7</v>
      </c>
      <c r="N119" s="721"/>
      <c r="O119" s="730"/>
      <c r="P119" s="716"/>
    </row>
    <row r="120" spans="1:17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54</v>
      </c>
      <c r="G120" s="536">
        <f>SUM(G96,G97,G98,G100,G101)</f>
        <v>54</v>
      </c>
      <c r="H120" s="533">
        <f>SUM(G120+'1'!G99)</f>
        <v>59</v>
      </c>
      <c r="I120" s="535"/>
      <c r="J120" s="559">
        <f>H120/DAY(B2)</f>
        <v>4.916666666666667</v>
      </c>
      <c r="N120" s="721"/>
      <c r="O120" s="730"/>
      <c r="P120" s="716"/>
    </row>
    <row r="121" spans="1:17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73</v>
      </c>
      <c r="G121" s="534">
        <f>SUM(G113)</f>
        <v>73</v>
      </c>
      <c r="H121" s="533">
        <f>SUM(G121+'1'!G101)</f>
        <v>79</v>
      </c>
      <c r="I121" s="535"/>
      <c r="J121" s="559">
        <f>H121/DAY(B2)</f>
        <v>6.583333333333333</v>
      </c>
      <c r="N121" s="721"/>
      <c r="O121" s="730"/>
      <c r="P121" s="716"/>
    </row>
    <row r="122" spans="1:17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30"/>
      <c r="P122" s="716"/>
      <c r="Q122" s="445"/>
    </row>
    <row r="123" spans="1:17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30"/>
      <c r="P123" s="716"/>
    </row>
    <row r="124" spans="1:17" ht="27.75">
      <c r="A124" s="1144" t="s">
        <v>231</v>
      </c>
      <c r="B124" s="1145"/>
      <c r="C124" s="1145"/>
      <c r="D124" s="523" t="s">
        <v>141</v>
      </c>
      <c r="E124" s="478">
        <f>'11'!F124</f>
        <v>828321</v>
      </c>
      <c r="F124" s="478">
        <v>828521.9</v>
      </c>
      <c r="G124" s="473">
        <f t="shared" ref="G124:G128" si="14">F124-E124</f>
        <v>200.90000000002328</v>
      </c>
      <c r="H124" s="460">
        <f>G124+'11'!H124</f>
        <v>2433.4400000000605</v>
      </c>
      <c r="I124" s="526"/>
      <c r="J124" s="552">
        <f>H124/DAY(B2)</f>
        <v>202.78666666667172</v>
      </c>
      <c r="K124" s="380"/>
      <c r="L124" s="377"/>
      <c r="N124" s="721"/>
      <c r="O124" s="730"/>
      <c r="P124" s="716"/>
    </row>
    <row r="125" spans="1:17" ht="27.75">
      <c r="A125" s="1144" t="s">
        <v>232</v>
      </c>
      <c r="B125" s="1145"/>
      <c r="C125" s="1145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21"/>
      <c r="O125" s="730"/>
      <c r="P125" s="716"/>
    </row>
    <row r="126" spans="1:17" ht="27.75">
      <c r="A126" s="1504" t="s">
        <v>233</v>
      </c>
      <c r="B126" s="1505"/>
      <c r="C126" s="1506"/>
      <c r="D126" s="523" t="s">
        <v>141</v>
      </c>
      <c r="E126" s="478">
        <f>'11'!F126</f>
        <v>145337.79999999999</v>
      </c>
      <c r="F126" s="478">
        <v>145389.46</v>
      </c>
      <c r="G126" s="473">
        <f t="shared" si="14"/>
        <v>51.660000000003492</v>
      </c>
      <c r="H126" s="460">
        <f>G126+'11'!H126</f>
        <v>702.01999999998952</v>
      </c>
      <c r="I126" s="526"/>
      <c r="J126" s="552">
        <f>H126/DAY(B2)</f>
        <v>58.501666666665791</v>
      </c>
      <c r="K126" s="380"/>
      <c r="L126" s="377"/>
      <c r="N126" s="721"/>
      <c r="O126" s="730"/>
      <c r="P126" s="716"/>
    </row>
    <row r="127" spans="1:17" ht="27.75">
      <c r="A127" s="609" t="s">
        <v>234</v>
      </c>
      <c r="B127" s="1145"/>
      <c r="C127" s="1145"/>
      <c r="D127" s="523" t="s">
        <v>141</v>
      </c>
      <c r="E127" s="626">
        <f>'11'!F127</f>
        <v>31404.2</v>
      </c>
      <c r="F127" s="626">
        <v>31404.2</v>
      </c>
      <c r="G127" s="473">
        <f t="shared" si="14"/>
        <v>0</v>
      </c>
      <c r="H127" s="460">
        <f>G127+'11'!H127</f>
        <v>0.2000000000007276</v>
      </c>
      <c r="I127" s="526"/>
      <c r="J127" s="552">
        <f>H127/DAY(B2)</f>
        <v>1.6666666666727298E-2</v>
      </c>
      <c r="K127" s="380"/>
      <c r="L127" s="377"/>
      <c r="N127" s="721"/>
      <c r="O127" s="730"/>
      <c r="P127" s="716"/>
    </row>
    <row r="128" spans="1:17" ht="27.75">
      <c r="A128" s="609" t="s">
        <v>235</v>
      </c>
      <c r="B128" s="1145"/>
      <c r="C128" s="1145"/>
      <c r="D128" s="523" t="s">
        <v>141</v>
      </c>
      <c r="E128" s="626">
        <f>'11'!F128</f>
        <v>8971</v>
      </c>
      <c r="F128" s="626">
        <v>8971</v>
      </c>
      <c r="G128" s="473">
        <f t="shared" si="14"/>
        <v>0</v>
      </c>
      <c r="H128" s="460">
        <f>G128+'11'!H128</f>
        <v>1.2999999999992724</v>
      </c>
      <c r="I128" s="480"/>
      <c r="J128" s="552">
        <f>H128/DAY(B2)</f>
        <v>0.1083333333332727</v>
      </c>
      <c r="K128" s="380"/>
      <c r="L128" s="377"/>
      <c r="N128" s="721"/>
      <c r="O128" s="730"/>
      <c r="P128" s="716"/>
    </row>
    <row r="129" spans="1:17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184.27000000013504</v>
      </c>
      <c r="H129" s="460">
        <f>H15-SUM(H124:H128)</f>
        <v>1926.5600000000559</v>
      </c>
      <c r="I129" s="480"/>
      <c r="J129" s="552"/>
      <c r="K129" s="364"/>
      <c r="L129" s="292"/>
      <c r="N129" s="721"/>
      <c r="O129" s="730"/>
      <c r="P129" s="716"/>
      <c r="Q129" s="713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30"/>
      <c r="P130" s="716"/>
    </row>
    <row r="131" spans="1:17" ht="27.75">
      <c r="A131" s="1144" t="s">
        <v>238</v>
      </c>
      <c r="B131" s="1145"/>
      <c r="C131" s="1145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7" ht="27.75">
      <c r="A132" s="1144" t="s">
        <v>240</v>
      </c>
      <c r="B132" s="1145"/>
      <c r="C132" s="1145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21"/>
      <c r="O132" s="730"/>
      <c r="P132" s="716"/>
    </row>
    <row r="133" spans="1:17" ht="27.75">
      <c r="A133" s="1144" t="s">
        <v>241</v>
      </c>
      <c r="B133" s="1145"/>
      <c r="C133" s="1145"/>
      <c r="D133" s="523" t="s">
        <v>239</v>
      </c>
      <c r="E133" s="541">
        <f>'11'!F133</f>
        <v>40008.400000000001</v>
      </c>
      <c r="F133" s="654">
        <v>40029.35</v>
      </c>
      <c r="G133" s="473">
        <f t="shared" si="15"/>
        <v>20.94999999999709</v>
      </c>
      <c r="H133" s="460">
        <f>G133+'11'!H133</f>
        <v>282.86999999999534</v>
      </c>
      <c r="I133" s="480"/>
      <c r="J133" s="552">
        <f>H133/DAY(B2)</f>
        <v>23.572499999999611</v>
      </c>
      <c r="N133" s="721"/>
      <c r="O133" s="730"/>
      <c r="P133" s="716"/>
    </row>
    <row r="134" spans="1:17" ht="27.75">
      <c r="A134" s="1144" t="s">
        <v>242</v>
      </c>
      <c r="B134" s="1145"/>
      <c r="C134" s="1145"/>
      <c r="D134" s="523" t="s">
        <v>239</v>
      </c>
      <c r="E134" s="704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20.94999999999709</v>
      </c>
      <c r="J134" s="552">
        <f>H134/DAY(B2)</f>
        <v>0</v>
      </c>
      <c r="N134" s="721"/>
      <c r="O134" s="730"/>
      <c r="P134" s="716"/>
    </row>
    <row r="135" spans="1:17" ht="27.75">
      <c r="A135" s="1144" t="s">
        <v>243</v>
      </c>
      <c r="B135" s="1145"/>
      <c r="C135" s="1145"/>
      <c r="D135" s="523" t="s">
        <v>239</v>
      </c>
      <c r="E135" s="704">
        <f>'11'!F135</f>
        <v>41393</v>
      </c>
      <c r="F135" s="626">
        <v>41396.43</v>
      </c>
      <c r="G135" s="473">
        <f t="shared" si="15"/>
        <v>3.430000000000291</v>
      </c>
      <c r="H135" s="460">
        <f>G135+'11'!H135</f>
        <v>11.430000000000291</v>
      </c>
      <c r="I135" s="480"/>
      <c r="J135" s="552">
        <f>H135/DAY(B2)</f>
        <v>0.95250000000002422</v>
      </c>
      <c r="N135" s="721"/>
      <c r="O135" s="730"/>
      <c r="P135" s="716"/>
    </row>
    <row r="136" spans="1:17" ht="27.75">
      <c r="A136" s="1144" t="s">
        <v>244</v>
      </c>
      <c r="B136" s="1145"/>
      <c r="C136" s="1145"/>
      <c r="D136" s="523" t="s">
        <v>239</v>
      </c>
      <c r="E136" s="522">
        <f>'11'!F136</f>
        <v>32582.560000000001</v>
      </c>
      <c r="F136" s="654">
        <v>32582.560000000001</v>
      </c>
      <c r="G136" s="473">
        <f t="shared" si="15"/>
        <v>0</v>
      </c>
      <c r="H136" s="460">
        <f>G136+'11'!H136</f>
        <v>-0.43999999999869033</v>
      </c>
      <c r="I136" s="480"/>
      <c r="J136" s="552">
        <f>H136/DAY(B2)</f>
        <v>-3.6666666666557525E-2</v>
      </c>
      <c r="N136" s="721"/>
      <c r="O136" s="730"/>
      <c r="P136" s="716"/>
    </row>
    <row r="137" spans="1:17" ht="27.75">
      <c r="A137" s="1144" t="s">
        <v>245</v>
      </c>
      <c r="B137" s="1145"/>
      <c r="C137" s="1145"/>
      <c r="D137" s="523" t="s">
        <v>239</v>
      </c>
      <c r="E137" s="541">
        <f>'11'!F137</f>
        <v>22759</v>
      </c>
      <c r="F137" s="654">
        <v>22759</v>
      </c>
      <c r="G137" s="473">
        <f t="shared" si="15"/>
        <v>0</v>
      </c>
      <c r="H137" s="460">
        <f>G137+'11'!H137</f>
        <v>19.409999999999854</v>
      </c>
      <c r="I137" s="480">
        <f>G135+G136+G137</f>
        <v>3.430000000000291</v>
      </c>
      <c r="J137" s="552">
        <f>H137/DAY(B2)</f>
        <v>1.6174999999999879</v>
      </c>
      <c r="N137" s="721"/>
      <c r="O137" s="730"/>
      <c r="P137" s="716"/>
    </row>
    <row r="138" spans="1:17" ht="27.75">
      <c r="A138" s="1144" t="s">
        <v>246</v>
      </c>
      <c r="B138" s="1145"/>
      <c r="C138" s="1145"/>
      <c r="D138" s="523" t="s">
        <v>239</v>
      </c>
      <c r="E138" s="541">
        <f>'11'!F138</f>
        <v>25051.723000000002</v>
      </c>
      <c r="F138" s="654">
        <v>25051.72</v>
      </c>
      <c r="G138" s="473">
        <f t="shared" si="15"/>
        <v>-3.0000000006111804E-3</v>
      </c>
      <c r="H138" s="460">
        <f>G138+'11'!H138</f>
        <v>0.13000000000101863</v>
      </c>
      <c r="I138" s="480"/>
      <c r="J138" s="552">
        <f>H138/DAY(B2)</f>
        <v>1.0833333333418219E-2</v>
      </c>
      <c r="N138" s="721"/>
      <c r="O138" s="730"/>
      <c r="P138" s="716"/>
    </row>
    <row r="139" spans="1:17" ht="27.75">
      <c r="A139" s="1144" t="s">
        <v>247</v>
      </c>
      <c r="B139" s="1145"/>
      <c r="C139" s="1145"/>
      <c r="D139" s="523" t="s">
        <v>239</v>
      </c>
      <c r="E139" s="541">
        <f>'11'!F139</f>
        <v>70341.89</v>
      </c>
      <c r="F139" s="654">
        <v>70351.94</v>
      </c>
      <c r="G139" s="473">
        <f t="shared" si="15"/>
        <v>10.05000000000291</v>
      </c>
      <c r="H139" s="460">
        <f>G139+'11'!H139</f>
        <v>36.130000000004657</v>
      </c>
      <c r="I139" s="480">
        <f>G138+G139</f>
        <v>10.047000000002299</v>
      </c>
      <c r="J139" s="552">
        <f>H139/DAY(B2)</f>
        <v>3.0108333333337214</v>
      </c>
      <c r="N139" s="721"/>
      <c r="O139" s="730"/>
      <c r="P139" s="716"/>
    </row>
    <row r="140" spans="1:17" ht="27.75">
      <c r="A140" s="1144" t="s">
        <v>248</v>
      </c>
      <c r="B140" s="1145"/>
      <c r="C140" s="1145"/>
      <c r="D140" s="523" t="s">
        <v>239</v>
      </c>
      <c r="E140" s="704">
        <f>'11'!F140</f>
        <v>1701.23</v>
      </c>
      <c r="F140" s="626">
        <v>1708.75</v>
      </c>
      <c r="G140" s="473">
        <f t="shared" si="15"/>
        <v>7.5199999999999818</v>
      </c>
      <c r="H140" s="460">
        <f>G140+'11'!H140</f>
        <v>91.8900000000001</v>
      </c>
      <c r="I140" s="542"/>
      <c r="J140" s="552">
        <f>H140/DAY(B2)</f>
        <v>7.6575000000000086</v>
      </c>
      <c r="N140" s="721"/>
      <c r="O140" s="730"/>
      <c r="P140" s="716"/>
    </row>
    <row r="141" spans="1:17" ht="27.75">
      <c r="A141" s="1144" t="s">
        <v>249</v>
      </c>
      <c r="B141" s="1145"/>
      <c r="C141" s="1145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21"/>
      <c r="O141" s="730"/>
      <c r="P141" s="716"/>
    </row>
    <row r="142" spans="1:17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30"/>
      <c r="P142" s="716"/>
    </row>
    <row r="143" spans="1:17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3957.550000000163</v>
      </c>
      <c r="H143" s="460">
        <f>G143+'11'!H143</f>
        <v>51577.970000000088</v>
      </c>
      <c r="I143" s="480"/>
      <c r="J143" s="552">
        <f>H143/DAY(B2)</f>
        <v>4298.1641666666737</v>
      </c>
      <c r="K143" s="380"/>
      <c r="L143" s="377"/>
      <c r="N143" s="721"/>
      <c r="O143" s="730"/>
      <c r="P143" s="716"/>
    </row>
    <row r="144" spans="1:17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0.2608924088684606</v>
      </c>
      <c r="H144" s="460">
        <f>G144+'11'!H144</f>
        <v>3.2634860231395142</v>
      </c>
      <c r="I144" s="544"/>
      <c r="J144" s="552">
        <f>H144/DAY(B2)</f>
        <v>0.2719571685949595</v>
      </c>
      <c r="K144" s="380"/>
      <c r="L144" s="377"/>
      <c r="N144" s="721"/>
      <c r="O144" s="730"/>
      <c r="P144" s="716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5003.0000000000082</v>
      </c>
      <c r="H145" s="460">
        <f>G145+'11'!H145</f>
        <v>58410.870000000017</v>
      </c>
      <c r="I145" s="480"/>
      <c r="J145" s="552">
        <f>H145/DAY(B2)</f>
        <v>4867.5725000000011</v>
      </c>
      <c r="K145" s="380"/>
      <c r="L145" s="377"/>
      <c r="N145" s="721"/>
      <c r="O145" s="730"/>
      <c r="P145" s="716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0.32981130284364235</v>
      </c>
      <c r="H146" s="460">
        <f>G146+'11'!H146</f>
        <v>3.7062305536718174</v>
      </c>
      <c r="I146" s="544"/>
      <c r="J146" s="552">
        <f>H146/DAY(B2)</f>
        <v>0.30885254613931812</v>
      </c>
      <c r="K146" s="380"/>
      <c r="L146" s="377"/>
      <c r="N146" s="721"/>
      <c r="O146" s="730"/>
      <c r="P146" s="716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2176.7200000000303</v>
      </c>
      <c r="H147" s="460">
        <f>G147+'11'!H147</f>
        <v>27297.119999999995</v>
      </c>
      <c r="I147" s="545"/>
      <c r="J147" s="552">
        <f>H147/DAY(B2)</f>
        <v>2274.7599999999998</v>
      </c>
      <c r="K147" s="380"/>
      <c r="L147" s="377"/>
      <c r="N147" s="721"/>
      <c r="O147" s="730"/>
      <c r="P147" s="716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0.14349527466036818</v>
      </c>
      <c r="H148" s="460">
        <f>G148+'11'!H148</f>
        <v>1.727968528225702</v>
      </c>
      <c r="I148" s="545"/>
      <c r="J148" s="552">
        <f>H148/DAY(B2)</f>
        <v>0.14399737735214183</v>
      </c>
      <c r="N148" s="721"/>
      <c r="O148" s="730"/>
      <c r="P148" s="716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1220.2700000000186</v>
      </c>
      <c r="H149" s="460">
        <f>G149+'11'!H149</f>
        <v>14487.709999999963</v>
      </c>
      <c r="I149" s="480"/>
      <c r="J149" s="552">
        <f>H149/DAY(B2)</f>
        <v>1207.3091666666635</v>
      </c>
      <c r="K149" s="381"/>
      <c r="N149" s="721"/>
      <c r="O149" s="730"/>
      <c r="P149" s="716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8.0443501603241443E-2</v>
      </c>
      <c r="H150" s="460">
        <f>G150+'11'!H150</f>
        <v>0.91748927057162799</v>
      </c>
      <c r="I150" s="545"/>
      <c r="J150" s="552">
        <f>H150/DAY(B2)</f>
        <v>7.6457439214302328E-2</v>
      </c>
      <c r="N150" s="721"/>
      <c r="O150" s="730"/>
      <c r="P150" s="716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814.39999999996508</v>
      </c>
      <c r="H151" s="460">
        <f>G151+'11'!H151</f>
        <v>13843.349999999977</v>
      </c>
      <c r="I151" s="545"/>
      <c r="J151" s="552">
        <f>H151/DAY(B2)</f>
        <v>1153.6124999999981</v>
      </c>
      <c r="N151" s="721"/>
      <c r="O151" s="730"/>
      <c r="P151" s="716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5.3687452535648689E-2</v>
      </c>
      <c r="H152" s="460">
        <f>G152+'11'!H152</f>
        <v>0.87107899981175829</v>
      </c>
      <c r="I152" s="480"/>
      <c r="J152" s="552">
        <f>H152/DAY(B2)</f>
        <v>7.2589916650979858E-2</v>
      </c>
      <c r="N152" s="721"/>
      <c r="O152" s="730"/>
      <c r="P152" s="716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1184.3600000000006</v>
      </c>
      <c r="H153" s="460">
        <f>G153+'11'!H153</f>
        <v>14680.729999999996</v>
      </c>
      <c r="I153" s="480"/>
      <c r="J153" s="552">
        <f>H153/DAY(B2)</f>
        <v>1223.3941666666663</v>
      </c>
      <c r="N153" s="721"/>
      <c r="O153" s="730"/>
      <c r="P153" s="716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7.8076217196861045E-2</v>
      </c>
      <c r="H154" s="460">
        <f>G154+'11'!H154</f>
        <v>0.92990301278022003</v>
      </c>
      <c r="I154" s="568"/>
      <c r="J154" s="569">
        <f>H154/DAY(B2)</f>
        <v>7.7491917731684998E-2</v>
      </c>
      <c r="N154" s="721"/>
      <c r="O154" s="730"/>
      <c r="P154" s="716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8" t="s">
        <v>263</v>
      </c>
      <c r="B161" s="789"/>
      <c r="C161" s="789"/>
      <c r="D161" s="511" t="s">
        <v>187</v>
      </c>
      <c r="E161" s="541">
        <f>'11'!F161</f>
        <v>36828.32</v>
      </c>
      <c r="F161" s="661">
        <v>36910.019999999997</v>
      </c>
      <c r="G161" s="473">
        <f t="shared" ref="G161:G164" si="16">F161-E161</f>
        <v>81.69999999999709</v>
      </c>
      <c r="N161" s="721"/>
    </row>
    <row r="162" spans="1:14">
      <c r="A162" s="788" t="s">
        <v>264</v>
      </c>
      <c r="B162" s="789"/>
      <c r="C162" s="789"/>
      <c r="D162" s="511" t="s">
        <v>187</v>
      </c>
      <c r="E162" s="541">
        <f>'11'!F162</f>
        <v>86993.279999999999</v>
      </c>
      <c r="F162" s="661">
        <v>87413</v>
      </c>
      <c r="G162" s="473">
        <f t="shared" si="16"/>
        <v>419.72000000000116</v>
      </c>
      <c r="N162" s="721"/>
    </row>
    <row r="163" spans="1:14">
      <c r="A163" s="788" t="s">
        <v>265</v>
      </c>
      <c r="B163" s="789"/>
      <c r="C163" s="789"/>
      <c r="D163" s="511" t="s">
        <v>187</v>
      </c>
      <c r="E163" s="541">
        <f>'11'!F163</f>
        <v>40676</v>
      </c>
      <c r="F163" s="661">
        <v>40921.15</v>
      </c>
      <c r="G163" s="473">
        <f t="shared" si="16"/>
        <v>245.15000000000146</v>
      </c>
      <c r="N163" s="721"/>
    </row>
    <row r="164" spans="1:14">
      <c r="A164" s="788" t="s">
        <v>266</v>
      </c>
      <c r="B164" s="789"/>
      <c r="C164" s="789"/>
      <c r="D164" s="511" t="s">
        <v>187</v>
      </c>
      <c r="E164" s="541">
        <f>'11'!F164</f>
        <v>6341.48</v>
      </c>
      <c r="F164" s="661">
        <v>6355.48</v>
      </c>
      <c r="G164" s="473">
        <f t="shared" si="16"/>
        <v>14</v>
      </c>
      <c r="N164" s="721"/>
    </row>
    <row r="165" spans="1:14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  <c r="N165" s="721"/>
    </row>
    <row r="166" spans="1:14">
      <c r="A166" s="790" t="s">
        <v>188</v>
      </c>
      <c r="B166" s="604"/>
      <c r="C166" s="604"/>
      <c r="D166" s="511" t="s">
        <v>187</v>
      </c>
      <c r="E166" s="514">
        <f t="shared" ref="E166:E172" si="18">E63</f>
        <v>2400.8000000000002</v>
      </c>
      <c r="F166" s="514">
        <f t="shared" ref="F166:F172" si="19">F63</f>
        <v>2404.58</v>
      </c>
      <c r="G166" s="473">
        <f t="shared" si="17"/>
        <v>3.7799999999997453</v>
      </c>
      <c r="N166" s="721"/>
    </row>
    <row r="167" spans="1:14" ht="33" customHeight="1">
      <c r="A167" s="1500" t="s">
        <v>99</v>
      </c>
      <c r="B167" s="1500"/>
      <c r="C167" s="1500"/>
      <c r="D167" s="523" t="s">
        <v>187</v>
      </c>
      <c r="E167" s="514">
        <f t="shared" si="18"/>
        <v>155566.76999999999</v>
      </c>
      <c r="F167" s="514">
        <f t="shared" si="19"/>
        <v>155788.35</v>
      </c>
      <c r="G167" s="473">
        <f t="shared" si="17"/>
        <v>221.5800000000163</v>
      </c>
      <c r="N167" s="721"/>
    </row>
    <row r="168" spans="1:14" ht="33" customHeight="1">
      <c r="A168" s="1500" t="s">
        <v>100</v>
      </c>
      <c r="B168" s="1500"/>
      <c r="C168" s="1500"/>
      <c r="D168" s="523" t="s">
        <v>187</v>
      </c>
      <c r="E168" s="514">
        <f t="shared" si="18"/>
        <v>156609.13</v>
      </c>
      <c r="F168" s="514">
        <f t="shared" si="19"/>
        <v>156785.48000000001</v>
      </c>
      <c r="G168" s="473">
        <f t="shared" si="17"/>
        <v>176.35000000000582</v>
      </c>
      <c r="N168" s="721"/>
    </row>
    <row r="169" spans="1:14" ht="41.25" customHeight="1">
      <c r="A169" s="1500" t="s">
        <v>101</v>
      </c>
      <c r="B169" s="1500"/>
      <c r="C169" s="1500"/>
      <c r="D169" s="523" t="s">
        <v>187</v>
      </c>
      <c r="E169" s="514">
        <f t="shared" si="18"/>
        <v>51430.79</v>
      </c>
      <c r="F169" s="514">
        <f t="shared" si="19"/>
        <v>51678.48</v>
      </c>
      <c r="G169" s="473">
        <f t="shared" si="17"/>
        <v>247.69000000000233</v>
      </c>
      <c r="N169" s="721"/>
    </row>
    <row r="170" spans="1:14" ht="26.25" customHeight="1">
      <c r="A170" s="1500" t="s">
        <v>102</v>
      </c>
      <c r="B170" s="1500"/>
      <c r="C170" s="1500"/>
      <c r="D170" s="523" t="s">
        <v>187</v>
      </c>
      <c r="E170" s="514">
        <f t="shared" si="18"/>
        <v>244943.95</v>
      </c>
      <c r="F170" s="514">
        <f t="shared" si="19"/>
        <v>245062.55</v>
      </c>
      <c r="G170" s="473">
        <f t="shared" si="17"/>
        <v>118.59999999997672</v>
      </c>
      <c r="N170" s="721"/>
    </row>
    <row r="171" spans="1:14" ht="24" customHeight="1">
      <c r="A171" s="1500" t="s">
        <v>103</v>
      </c>
      <c r="B171" s="1500"/>
      <c r="C171" s="1500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00" t="s">
        <v>104</v>
      </c>
      <c r="B172" s="1500"/>
      <c r="C172" s="1500"/>
      <c r="D172" s="523" t="s">
        <v>187</v>
      </c>
      <c r="E172" s="514">
        <f t="shared" si="18"/>
        <v>79870.61</v>
      </c>
      <c r="F172" s="514">
        <f t="shared" si="19"/>
        <v>79913.820000000007</v>
      </c>
      <c r="G172" s="473">
        <f t="shared" si="17"/>
        <v>43.210000000006403</v>
      </c>
      <c r="N172" s="721"/>
    </row>
    <row r="173" spans="1:14">
      <c r="G173" s="539">
        <f>SUM(G161:G172)</f>
        <v>1571.780000000007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F28" activeCellId="1" sqref="F28 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371</v>
      </c>
      <c r="B2" s="1036">
        <v>44329</v>
      </c>
      <c r="C2" s="1146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6" t="s">
        <v>120</v>
      </c>
      <c r="D3" s="612">
        <v>29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34957.870000000003</v>
      </c>
      <c r="F7" s="455">
        <v>49523.83</v>
      </c>
      <c r="G7" s="681">
        <f>F7-E7</f>
        <v>14565.96</v>
      </c>
      <c r="H7" s="682">
        <f>G7+'12'!H7</f>
        <v>204546.83</v>
      </c>
      <c r="I7" s="683">
        <f>'1'!I7</f>
        <v>12000</v>
      </c>
      <c r="J7" s="684">
        <f>H7/DAY(B2)</f>
        <v>15734.371538461537</v>
      </c>
      <c r="K7" s="549"/>
      <c r="L7" s="377"/>
      <c r="N7" s="732">
        <f>G7/G8</f>
        <v>0.99283894371352466</v>
      </c>
      <c r="O7" s="728">
        <f>F7+200</f>
        <v>49723.83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35217.71</v>
      </c>
      <c r="F8" s="475">
        <v>49888.73</v>
      </c>
      <c r="G8" s="692">
        <f>F8-E8</f>
        <v>14671.020000000004</v>
      </c>
      <c r="H8" s="682">
        <f>G8+'12'!H8</f>
        <v>205647.73000000004</v>
      </c>
      <c r="I8" s="689">
        <f>'1'!I8</f>
        <v>12000</v>
      </c>
      <c r="J8" s="684">
        <f>H8/DAY(B2)</f>
        <v>15819.056153846157</v>
      </c>
      <c r="K8" s="549"/>
      <c r="L8" s="425"/>
      <c r="M8" s="440"/>
      <c r="N8" s="721"/>
      <c r="O8" s="728">
        <f>F8+200</f>
        <v>50088.73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1174391</v>
      </c>
      <c r="F9" s="478">
        <v>1188471.3</v>
      </c>
      <c r="G9" s="705">
        <f t="shared" ref="G9:G12" si="0">F9-E9</f>
        <v>14080.300000000047</v>
      </c>
      <c r="H9" s="682">
        <f>G9+'12'!H9</f>
        <v>197757.30000000005</v>
      </c>
      <c r="I9" s="693">
        <f>I7-J7</f>
        <v>-3734.3715384615371</v>
      </c>
      <c r="J9" s="684">
        <f>H9/DAY(B2)</f>
        <v>15212.100000000004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14080.300000000047</v>
      </c>
      <c r="H13" s="682">
        <f>G13+'12'!H13</f>
        <v>183236.30000000005</v>
      </c>
      <c r="I13" s="698">
        <f>G7-G13</f>
        <v>485.65999999995256</v>
      </c>
      <c r="J13" s="684">
        <f>H13/DAY(B2)</f>
        <v>14095.100000000004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1675720.12</v>
      </c>
      <c r="F15" s="485">
        <v>1676371</v>
      </c>
      <c r="G15" s="667">
        <f>(F15-E15)</f>
        <v>650.87999999988824</v>
      </c>
      <c r="H15" s="486">
        <f>G15+'12'!H15</f>
        <v>5714</v>
      </c>
      <c r="I15" s="474">
        <v>800</v>
      </c>
      <c r="J15" s="553">
        <f>H15/DAY(B2)</f>
        <v>439.53846153846155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360.46153846153845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'12'!F18</f>
        <v>0</v>
      </c>
      <c r="F18" s="478">
        <v>2</v>
      </c>
      <c r="G18" s="697">
        <f>F18*10</f>
        <v>20</v>
      </c>
      <c r="H18" s="682">
        <f>G18+'12'!H18</f>
        <v>480</v>
      </c>
      <c r="I18" s="683">
        <f>'1'!I18</f>
        <v>65</v>
      </c>
      <c r="J18" s="684">
        <f>H18/DAY(B2)</f>
        <v>36.92307692307692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'12'!F19</f>
        <v>138461</v>
      </c>
      <c r="F19" s="478">
        <v>138518</v>
      </c>
      <c r="G19" s="692">
        <f t="shared" ref="G19" si="1">F19-E19</f>
        <v>57</v>
      </c>
      <c r="H19" s="682">
        <f>G19+'12'!H19</f>
        <v>706</v>
      </c>
      <c r="I19" s="699"/>
      <c r="J19" s="684">
        <f>H19/DAY(B2)</f>
        <v>54.307692307692307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G20+'12'!H20</f>
        <v>1186</v>
      </c>
      <c r="I20" s="701">
        <f>I18-J20</f>
        <v>-26.230769230769226</v>
      </c>
      <c r="J20" s="684">
        <f>H20/DAY(B2)</f>
        <v>91.230769230769226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4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4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14671.020000000004</v>
      </c>
      <c r="F27" s="501">
        <v>9</v>
      </c>
      <c r="G27" s="502">
        <f>E27*F27</f>
        <v>132039.18000000005</v>
      </c>
      <c r="H27" s="460">
        <f>G27+'12'!H27</f>
        <v>1850829.5699999998</v>
      </c>
      <c r="I27" s="503"/>
      <c r="J27" s="552">
        <f>H27/DAY(B2)</f>
        <v>142371.50538461536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650.87999999988824</v>
      </c>
      <c r="F28" s="501">
        <v>49</v>
      </c>
      <c r="G28" s="502">
        <f>E28*F28</f>
        <v>31893.119999994524</v>
      </c>
      <c r="H28" s="460">
        <f>G28+'12'!H28</f>
        <v>282771.65000000002</v>
      </c>
      <c r="I28" s="505"/>
      <c r="J28" s="552">
        <f>H28/DAY(B2)</f>
        <v>21751.665384615386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G30+'12'!H30</f>
        <v>94604</v>
      </c>
      <c r="I30" s="505"/>
      <c r="J30" s="552">
        <f>H30/DAY(B2)</f>
        <v>7277.2307692307695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G31+'12'!H31</f>
        <v>38400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173170.29999999458</v>
      </c>
      <c r="H32" s="460">
        <f>G32+'12'!H32</f>
        <v>2266605.2200000002</v>
      </c>
      <c r="I32" s="509"/>
      <c r="J32" s="552">
        <f>H32/DAY(B2)</f>
        <v>174354.24769230772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911455.67</v>
      </c>
      <c r="F35" s="510">
        <v>913250.23</v>
      </c>
      <c r="G35" s="473">
        <f t="shared" ref="G35:G46" si="3">F35-E35</f>
        <v>1794.5599999999395</v>
      </c>
      <c r="H35" s="460">
        <f>G35+'12'!H35</f>
        <v>26791.229999999981</v>
      </c>
      <c r="I35" s="455"/>
      <c r="J35" s="552">
        <f>H35/DAY(B2)</f>
        <v>2060.8638461538449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347065</v>
      </c>
      <c r="F36" s="510">
        <v>347065</v>
      </c>
      <c r="G36" s="473">
        <f t="shared" si="3"/>
        <v>0</v>
      </c>
      <c r="H36" s="460">
        <f>G36+'12'!H36</f>
        <v>2457</v>
      </c>
      <c r="I36" s="455"/>
      <c r="J36" s="552">
        <f>H36/DAY(B2)</f>
        <v>189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109905.86</v>
      </c>
      <c r="F37" s="510">
        <v>111072</v>
      </c>
      <c r="G37" s="473">
        <f t="shared" si="3"/>
        <v>1166.1399999999994</v>
      </c>
      <c r="H37" s="460">
        <f>G37+'12'!H37</f>
        <v>15847</v>
      </c>
      <c r="I37" s="455"/>
      <c r="J37" s="552">
        <f>H37/DAY(B2)</f>
        <v>1219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134083.64000000001</v>
      </c>
      <c r="F38" s="469">
        <v>135231.85999999999</v>
      </c>
      <c r="G38" s="473">
        <f t="shared" si="3"/>
        <v>1148.2199999999721</v>
      </c>
      <c r="H38" s="460">
        <f>G38+'12'!H38</f>
        <v>15635.859999999986</v>
      </c>
      <c r="I38" s="455"/>
      <c r="J38" s="552">
        <f>H38/DAY(B2)</f>
        <v>1202.7584615384606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267578.40999999997</v>
      </c>
      <c r="F39" s="510">
        <v>269227.59000000003</v>
      </c>
      <c r="G39" s="473">
        <f t="shared" si="3"/>
        <v>1649.1800000000512</v>
      </c>
      <c r="H39" s="460">
        <f>G39+'12'!H39</f>
        <v>22574.590000000026</v>
      </c>
      <c r="I39" s="455"/>
      <c r="J39" s="552">
        <f>H39/DAY(B2)</f>
        <v>1736.506923076925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150.74</v>
      </c>
      <c r="F40" s="510">
        <v>210.03</v>
      </c>
      <c r="G40" s="473">
        <f t="shared" si="3"/>
        <v>59.289999999999992</v>
      </c>
      <c r="H40" s="460">
        <f>G40+'12'!H40</f>
        <v>209.79999999999998</v>
      </c>
      <c r="I40" s="455"/>
      <c r="J40" s="552">
        <f>H40/DAY(B2)</f>
        <v>16.138461538461538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239196.55</v>
      </c>
      <c r="F41" s="510">
        <v>239196.55</v>
      </c>
      <c r="G41" s="473">
        <f t="shared" si="3"/>
        <v>0</v>
      </c>
      <c r="H41" s="460">
        <f>G41+'12'!H41</f>
        <v>57668.549999999988</v>
      </c>
      <c r="I41" s="455"/>
      <c r="J41" s="552">
        <f>H41/DAY(B2)</f>
        <v>4436.0423076923071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59200.08</v>
      </c>
      <c r="F42" s="510">
        <v>59200.08</v>
      </c>
      <c r="G42" s="473">
        <f t="shared" si="3"/>
        <v>0</v>
      </c>
      <c r="H42" s="460">
        <f>G42+'12'!H42</f>
        <v>8.000000000174623E-2</v>
      </c>
      <c r="I42" s="455"/>
      <c r="J42" s="552">
        <f>H42/DAY(B2)</f>
        <v>6.1538461539804796E-3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1000539.3</v>
      </c>
      <c r="F43" s="510">
        <v>1002550.3</v>
      </c>
      <c r="G43" s="473">
        <f t="shared" si="3"/>
        <v>2011</v>
      </c>
      <c r="H43" s="460">
        <f>G43+'12'!H43</f>
        <v>28592.300000000047</v>
      </c>
      <c r="I43" s="455"/>
      <c r="J43" s="552">
        <f>H43/DAY(B2)</f>
        <v>2199.4076923076959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7828.3899999999621</v>
      </c>
      <c r="H47" s="460">
        <f>G47+'12'!H47</f>
        <v>169776.90000000002</v>
      </c>
      <c r="I47" s="455"/>
      <c r="J47" s="552">
        <f>H47/DAY(B2)</f>
        <v>13059.76153846154</v>
      </c>
      <c r="K47" s="428"/>
      <c r="L47" s="377"/>
      <c r="N47" s="721"/>
      <c r="O47" s="728"/>
      <c r="P47" s="382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485922.35</v>
      </c>
      <c r="F50" s="510">
        <v>486743.15</v>
      </c>
      <c r="G50" s="473">
        <f t="shared" si="4"/>
        <v>820.80000000004657</v>
      </c>
      <c r="H50" s="460">
        <f>G50+'12'!H50</f>
        <v>11268.150000000023</v>
      </c>
      <c r="I50" s="455"/>
      <c r="J50" s="552">
        <f>H50/DAY(B2)</f>
        <v>866.78076923077106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422682.71</v>
      </c>
      <c r="F53" s="510">
        <v>423100.15</v>
      </c>
      <c r="G53" s="473">
        <f t="shared" si="4"/>
        <v>417.44000000000233</v>
      </c>
      <c r="H53" s="460">
        <f>G53+'12'!H53</f>
        <v>6266.1500000000233</v>
      </c>
      <c r="I53" s="455"/>
      <c r="J53" s="552">
        <f>H53/DAY(B2)</f>
        <v>482.01153846154023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12251.05</v>
      </c>
      <c r="F54" s="510">
        <v>12326.21</v>
      </c>
      <c r="G54" s="473">
        <f t="shared" si="4"/>
        <v>75.159999999999854</v>
      </c>
      <c r="H54" s="460">
        <f>G54+'12'!H54</f>
        <v>4564.2099999999991</v>
      </c>
      <c r="I54" s="455"/>
      <c r="J54" s="552">
        <f>H54/DAY(B2)</f>
        <v>351.09307692307686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615.96</v>
      </c>
      <c r="F55" s="656">
        <v>5227.1000000000004</v>
      </c>
      <c r="G55" s="655">
        <f t="shared" si="4"/>
        <v>4611.1400000000003</v>
      </c>
      <c r="H55" s="708">
        <f>G55+'12'!H55</f>
        <v>5227.1000000000004</v>
      </c>
      <c r="I55" s="709"/>
      <c r="J55" s="710">
        <f>H55/DAY(B2)</f>
        <v>402.0846153846154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589414.75</v>
      </c>
      <c r="F56" s="656">
        <v>589424.71</v>
      </c>
      <c r="G56" s="473">
        <f t="shared" si="4"/>
        <v>9.9599999999627471</v>
      </c>
      <c r="H56" s="460">
        <f>G56+'12'!H56</f>
        <v>136.34999999997672</v>
      </c>
      <c r="I56" s="455"/>
      <c r="J56" s="552">
        <f>H56/DAY(B2)</f>
        <v>10.488461538459747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47619.96</v>
      </c>
      <c r="F58" s="656">
        <v>47868.12</v>
      </c>
      <c r="G58" s="473">
        <f t="shared" si="4"/>
        <v>248.16000000000349</v>
      </c>
      <c r="H58" s="460">
        <f>G58+'12'!H58</f>
        <v>1151.1200000000026</v>
      </c>
      <c r="I58" s="455"/>
      <c r="J58" s="552">
        <f>H58/DAY(B2)</f>
        <v>88.547692307692515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6182.9900000000152</v>
      </c>
      <c r="H59" s="460">
        <f>G59+'12'!H59</f>
        <v>28613.349999999973</v>
      </c>
      <c r="I59" s="455">
        <f>G7-G60</f>
        <v>554.58000000002176</v>
      </c>
      <c r="J59" s="552">
        <f>H59/DAY(B2)</f>
        <v>2201.0269230769209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14011.379999999977</v>
      </c>
      <c r="H60" s="460">
        <f>G60+'12'!H60</f>
        <v>199974.14</v>
      </c>
      <c r="I60" s="455">
        <f>G13-G60</f>
        <v>68.920000000069194</v>
      </c>
      <c r="J60" s="552">
        <f>H60/DAY(B2)</f>
        <v>15382.626153846155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2404.58</v>
      </c>
      <c r="F63" s="514">
        <v>2408.36</v>
      </c>
      <c r="G63" s="473">
        <f t="shared" si="5"/>
        <v>3.7800000000002001</v>
      </c>
      <c r="H63" s="460">
        <f>G63+'12'!H63</f>
        <v>49.360000000000127</v>
      </c>
      <c r="I63" s="515"/>
      <c r="J63" s="552">
        <f>H63/DAY(B2)</f>
        <v>3.7969230769230866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514">
        <f>'12'!F64</f>
        <v>155788.35</v>
      </c>
      <c r="F64" s="478">
        <v>155994.29</v>
      </c>
      <c r="G64" s="473">
        <f t="shared" si="5"/>
        <v>205.94000000000233</v>
      </c>
      <c r="H64" s="460">
        <f>G64+'12'!H64</f>
        <v>2695.2900000000081</v>
      </c>
      <c r="I64" s="480"/>
      <c r="J64" s="552">
        <f>H64/DAY(B2)</f>
        <v>207.33000000000064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'12'!F65</f>
        <v>156785.48000000001</v>
      </c>
      <c r="F65" s="654">
        <v>156935.51999999999</v>
      </c>
      <c r="G65" s="473">
        <f t="shared" si="5"/>
        <v>150.03999999997905</v>
      </c>
      <c r="H65" s="460">
        <f>G65+'12'!H65</f>
        <v>2336.5199999999895</v>
      </c>
      <c r="I65" s="489"/>
      <c r="J65" s="552">
        <f>H65/DAY(B2)</f>
        <v>179.73230769230688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'12'!F66</f>
        <v>51678.48</v>
      </c>
      <c r="F66" s="478">
        <v>51922.93</v>
      </c>
      <c r="G66" s="473">
        <f t="shared" si="5"/>
        <v>244.44999999999709</v>
      </c>
      <c r="H66" s="460">
        <f>G66+'12'!H66</f>
        <v>3351.9300000000003</v>
      </c>
      <c r="I66" s="480"/>
      <c r="J66" s="552">
        <f>H66/DAY(B2)</f>
        <v>257.84076923076924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'12'!F67</f>
        <v>245062.55</v>
      </c>
      <c r="F67" s="478">
        <v>245187.61</v>
      </c>
      <c r="G67" s="473">
        <f t="shared" si="5"/>
        <v>125.05999999999767</v>
      </c>
      <c r="H67" s="460">
        <f>G67+'12'!H67</f>
        <v>2013.609999999986</v>
      </c>
      <c r="I67" s="489"/>
      <c r="J67" s="552">
        <f>H67/DAY(B2)</f>
        <v>154.89307692307585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'12'!F69</f>
        <v>79913.820000000007</v>
      </c>
      <c r="F69" s="478">
        <v>79957.27</v>
      </c>
      <c r="G69" s="473">
        <f t="shared" si="5"/>
        <v>43.44999999999709</v>
      </c>
      <c r="H69" s="460">
        <f>G69+'12'!H69</f>
        <v>963.27000000000407</v>
      </c>
      <c r="I69" s="516"/>
      <c r="J69" s="552">
        <f>H69/DAY(B2)</f>
        <v>74.097692307692625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'12'!F72</f>
        <v>855644</v>
      </c>
      <c r="F72" s="657">
        <v>855655</v>
      </c>
      <c r="G72" s="473">
        <f t="shared" ref="G72:G84" si="6">F72-E72</f>
        <v>11</v>
      </c>
      <c r="H72" s="460">
        <f>G72+'12'!H72</f>
        <v>194</v>
      </c>
      <c r="I72" s="480"/>
      <c r="J72" s="552">
        <f>H72/DAY(B2)</f>
        <v>14.923076923076923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'12'!F73</f>
        <v>885889</v>
      </c>
      <c r="F73" s="658">
        <v>885890</v>
      </c>
      <c r="G73" s="655">
        <f t="shared" si="6"/>
        <v>1</v>
      </c>
      <c r="H73" s="460">
        <f>G73+'12'!H73</f>
        <v>14</v>
      </c>
      <c r="I73" s="480"/>
      <c r="J73" s="552">
        <f>H73/DAY(B2)</f>
        <v>1.0769230769230769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'12'!F74</f>
        <v>2455.73</v>
      </c>
      <c r="F74" s="658">
        <v>2464.54</v>
      </c>
      <c r="G74" s="473">
        <f t="shared" si="6"/>
        <v>8.8099999999999454</v>
      </c>
      <c r="H74" s="460">
        <f>G74+'12'!H74</f>
        <v>185.53999999999996</v>
      </c>
      <c r="I74" s="480"/>
      <c r="J74" s="552">
        <f>H74/DAY(B2)</f>
        <v>14.27230769230769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'12'!F75</f>
        <v>11612.47</v>
      </c>
      <c r="F75" s="658">
        <v>11663.63</v>
      </c>
      <c r="G75" s="473">
        <f t="shared" si="6"/>
        <v>51.159999999999854</v>
      </c>
      <c r="H75" s="460">
        <f>G75+'12'!H75</f>
        <v>693.6299999999992</v>
      </c>
      <c r="I75" s="480"/>
      <c r="J75" s="552">
        <f>H75/DAY(B2)</f>
        <v>53.356153846153788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'12'!F76</f>
        <v>6359.46</v>
      </c>
      <c r="F76" s="658">
        <v>6410.58</v>
      </c>
      <c r="G76" s="473">
        <f t="shared" si="6"/>
        <v>51.119999999999891</v>
      </c>
      <c r="H76" s="460">
        <f>G76+'12'!H76</f>
        <v>701.57999999999993</v>
      </c>
      <c r="I76" s="505"/>
      <c r="J76" s="552">
        <f>H76/DAY(B2)</f>
        <v>53.967692307692303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'12'!F77</f>
        <v>702150</v>
      </c>
      <c r="F77" s="658">
        <v>702188</v>
      </c>
      <c r="G77" s="655">
        <f t="shared" si="6"/>
        <v>38</v>
      </c>
      <c r="H77" s="460">
        <f>G77+'12'!H77</f>
        <v>626</v>
      </c>
      <c r="I77" s="505"/>
      <c r="J77" s="552">
        <f>H77/DAY(B2)</f>
        <v>48.153846153846153</v>
      </c>
      <c r="K77" s="430"/>
      <c r="L77" s="377"/>
      <c r="N77" s="721"/>
      <c r="O77" s="728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19">
        <f>'12'!F78</f>
        <v>670901</v>
      </c>
      <c r="F78" s="659">
        <v>670977</v>
      </c>
      <c r="G78" s="473">
        <f t="shared" si="6"/>
        <v>76</v>
      </c>
      <c r="H78" s="460">
        <f>G78+'12'!H78</f>
        <v>952</v>
      </c>
      <c r="I78" s="505"/>
      <c r="J78" s="552">
        <f>H78/DAY(B2)</f>
        <v>73.230769230769226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'12'!F79</f>
        <v>828563</v>
      </c>
      <c r="F79" s="659">
        <v>828683</v>
      </c>
      <c r="G79" s="473">
        <f t="shared" si="6"/>
        <v>120</v>
      </c>
      <c r="H79" s="460">
        <f>G79+'12'!H79</f>
        <v>1899</v>
      </c>
      <c r="I79" s="505"/>
      <c r="J79" s="552">
        <f>H79/DAY(B2)</f>
        <v>146.07692307692307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'12'!F80</f>
        <v>521040.04</v>
      </c>
      <c r="F80" s="658">
        <v>521360</v>
      </c>
      <c r="G80" s="473">
        <f t="shared" si="6"/>
        <v>319.96000000002095</v>
      </c>
      <c r="H80" s="460">
        <f>G80+'12'!H80</f>
        <v>4622</v>
      </c>
      <c r="I80" s="505"/>
      <c r="J80" s="552">
        <f>H80/DAY(B2)</f>
        <v>355.53846153846155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'12'!F81</f>
        <v>637367.96</v>
      </c>
      <c r="F81" s="658">
        <v>637438</v>
      </c>
      <c r="G81" s="473">
        <f t="shared" si="6"/>
        <v>70.040000000037253</v>
      </c>
      <c r="H81" s="460">
        <f>G81+'12'!H81</f>
        <v>960</v>
      </c>
      <c r="I81" s="505"/>
      <c r="J81" s="552">
        <f>H81/DAY(B2)</f>
        <v>73.84615384615384</v>
      </c>
      <c r="K81" s="430"/>
      <c r="L81" s="377"/>
      <c r="N81" s="721"/>
      <c r="O81" s="728"/>
      <c r="P81" s="382"/>
    </row>
    <row r="82" spans="1:16" ht="27.75">
      <c r="A82" s="1501" t="s">
        <v>93</v>
      </c>
      <c r="B82" s="1502"/>
      <c r="C82" s="1503"/>
      <c r="D82" s="485" t="s">
        <v>132</v>
      </c>
      <c r="E82" s="519">
        <f>'12'!F82</f>
        <v>107848.52</v>
      </c>
      <c r="F82" s="654">
        <v>107859</v>
      </c>
      <c r="G82" s="473">
        <f t="shared" si="6"/>
        <v>10.479999999995925</v>
      </c>
      <c r="H82" s="460">
        <f>G82+'12'!H82</f>
        <v>247</v>
      </c>
      <c r="I82" s="486"/>
      <c r="J82" s="552">
        <f>H82/DAY(B2)</f>
        <v>19</v>
      </c>
      <c r="K82" s="430"/>
      <c r="L82" s="377"/>
      <c r="N82" s="721"/>
      <c r="O82" s="728"/>
      <c r="P82" s="382"/>
    </row>
    <row r="83" spans="1:16" ht="27.75">
      <c r="A83" s="1501" t="s">
        <v>200</v>
      </c>
      <c r="B83" s="1502"/>
      <c r="C83" s="1503"/>
      <c r="D83" s="620" t="s">
        <v>132</v>
      </c>
      <c r="E83" s="519">
        <f>'12'!F83</f>
        <v>17191</v>
      </c>
      <c r="F83" s="511">
        <v>17360</v>
      </c>
      <c r="G83" s="473">
        <f t="shared" si="6"/>
        <v>169</v>
      </c>
      <c r="H83" s="460">
        <f>G83+'12'!H83</f>
        <v>2589</v>
      </c>
      <c r="I83" s="481"/>
      <c r="J83" s="552">
        <f>H83/DAY(B2)</f>
        <v>199.15384615384616</v>
      </c>
      <c r="K83" s="429"/>
      <c r="L83" s="377"/>
      <c r="N83" s="721"/>
      <c r="O83" s="728"/>
      <c r="P83" s="382"/>
    </row>
    <row r="84" spans="1:16">
      <c r="A84" s="1148" t="s">
        <v>201</v>
      </c>
      <c r="B84" s="571"/>
      <c r="C84" s="571"/>
      <c r="D84" s="478" t="s">
        <v>132</v>
      </c>
      <c r="E84" s="519">
        <f>'12'!F84</f>
        <v>488984</v>
      </c>
      <c r="F84" s="627">
        <v>489535</v>
      </c>
      <c r="G84" s="473">
        <f t="shared" si="6"/>
        <v>551</v>
      </c>
      <c r="H84" s="460">
        <f>G84+'12'!H84</f>
        <v>9402</v>
      </c>
      <c r="I84" s="481"/>
      <c r="J84" s="552">
        <f>H84/DAY(B2)</f>
        <v>723.23076923076928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1477.5700000000538</v>
      </c>
      <c r="H85" s="460">
        <f>G85+'12'!H85</f>
        <v>23085.75</v>
      </c>
      <c r="I85" s="481"/>
      <c r="J85" s="552">
        <f>H85/DAY(B2)</f>
        <v>1775.8269230769231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460238.84</v>
      </c>
      <c r="F86" s="650">
        <v>460310</v>
      </c>
      <c r="G86" s="708">
        <f t="shared" ref="G86:G91" si="7">F86-E86</f>
        <v>71.159999999974389</v>
      </c>
      <c r="H86" s="708">
        <f t="shared" ref="H86:H88" si="8">G86</f>
        <v>71.159999999974389</v>
      </c>
      <c r="I86" s="655"/>
      <c r="J86" s="710">
        <f>H86/DAY(B2)</f>
        <v>5.4738461538441836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81080</v>
      </c>
      <c r="F87" s="650">
        <v>81090</v>
      </c>
      <c r="G87" s="708">
        <f t="shared" si="7"/>
        <v>10</v>
      </c>
      <c r="H87" s="708">
        <f t="shared" si="8"/>
        <v>10</v>
      </c>
      <c r="I87" s="655"/>
      <c r="J87" s="710">
        <f>H87/DAY(B2)</f>
        <v>0.76923076923076927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152368.91</v>
      </c>
      <c r="F88" s="650">
        <v>152389.63</v>
      </c>
      <c r="G88" s="708">
        <f t="shared" si="7"/>
        <v>20.720000000001164</v>
      </c>
      <c r="H88" s="708">
        <f t="shared" si="8"/>
        <v>20.720000000001164</v>
      </c>
      <c r="I88" s="655"/>
      <c r="J88" s="710">
        <f>H88/DAY(B2)</f>
        <v>1.5938461538462434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64911.6</v>
      </c>
      <c r="F89" s="650">
        <v>64917.8</v>
      </c>
      <c r="G89" s="708">
        <f t="shared" si="7"/>
        <v>6.2000000000043656</v>
      </c>
      <c r="H89" s="708">
        <f>G89</f>
        <v>6.2000000000043656</v>
      </c>
      <c r="I89" s="655"/>
      <c r="J89" s="710">
        <f>H89/DAY(B2)</f>
        <v>0.47692307692341274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'12'!F91</f>
        <v>27938.45</v>
      </c>
      <c r="F91" s="650">
        <v>27942.83</v>
      </c>
      <c r="G91" s="708">
        <f t="shared" si="7"/>
        <v>4.3800000000010186</v>
      </c>
      <c r="H91" s="708">
        <f>G91</f>
        <v>4.3800000000010186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'12'!F93</f>
        <v>244834</v>
      </c>
      <c r="F93" s="478">
        <v>244864</v>
      </c>
      <c r="G93" s="473">
        <f t="shared" ref="G93:G94" si="9">F93-E93</f>
        <v>30</v>
      </c>
      <c r="H93" s="460">
        <f>G93+'12'!H93</f>
        <v>340</v>
      </c>
      <c r="I93" s="480"/>
      <c r="J93" s="552">
        <f>H93/DAY(B2)</f>
        <v>26.153846153846153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'12'!F94</f>
        <v>184512</v>
      </c>
      <c r="F94" s="478">
        <v>184579</v>
      </c>
      <c r="G94" s="473">
        <f t="shared" si="9"/>
        <v>67</v>
      </c>
      <c r="H94" s="460">
        <f>G94+'12'!H94</f>
        <v>1048</v>
      </c>
      <c r="I94" s="480"/>
      <c r="J94" s="552">
        <f>H94/DAY(B2)</f>
        <v>80.615384615384613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>
        <f>'12'!F95</f>
        <v>0</v>
      </c>
      <c r="F95" s="478"/>
      <c r="G95" s="473">
        <f>G93+G94</f>
        <v>97</v>
      </c>
      <c r="H95" s="460">
        <f>G95+'12'!H95</f>
        <v>1241</v>
      </c>
      <c r="I95" s="480"/>
      <c r="J95" s="552">
        <f>H95/DAY(B2)</f>
        <v>95.461538461538467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'12'!F96</f>
        <v>413427</v>
      </c>
      <c r="F96" s="478">
        <v>413479</v>
      </c>
      <c r="G96" s="473">
        <f t="shared" ref="G96:G101" si="10">F96-E96</f>
        <v>52</v>
      </c>
      <c r="H96" s="460">
        <f>G96+'12'!H96</f>
        <v>593</v>
      </c>
      <c r="I96" s="480"/>
      <c r="J96" s="552">
        <f>H96/DAY(B2)</f>
        <v>45.615384615384613</v>
      </c>
      <c r="K96" s="380"/>
      <c r="L96" s="377"/>
      <c r="N96" s="721"/>
      <c r="O96" s="728"/>
      <c r="P96" s="382"/>
    </row>
    <row r="97" spans="1:16" ht="27.75">
      <c r="A97" s="1144" t="s">
        <v>210</v>
      </c>
      <c r="B97" s="1145"/>
      <c r="C97" s="1145"/>
      <c r="D97" s="523" t="s">
        <v>144</v>
      </c>
      <c r="E97" s="484">
        <f>'12'!F97</f>
        <v>102457</v>
      </c>
      <c r="F97" s="478">
        <v>102463</v>
      </c>
      <c r="G97" s="473">
        <f t="shared" si="10"/>
        <v>6</v>
      </c>
      <c r="H97" s="460">
        <f>G97+'12'!H97</f>
        <v>120</v>
      </c>
      <c r="I97" s="480"/>
      <c r="J97" s="552">
        <f>H97/DAY(B2)</f>
        <v>9.2307692307692299</v>
      </c>
      <c r="K97" s="427"/>
      <c r="L97" s="377"/>
      <c r="N97" s="721"/>
      <c r="O97" s="728"/>
      <c r="P97" s="382"/>
    </row>
    <row r="98" spans="1:16" ht="27.75">
      <c r="A98" s="1144" t="s">
        <v>211</v>
      </c>
      <c r="B98" s="1145"/>
      <c r="C98" s="1145"/>
      <c r="D98" s="523" t="s">
        <v>144</v>
      </c>
      <c r="E98" s="484">
        <f>'12'!F98</f>
        <v>97581</v>
      </c>
      <c r="F98" s="478">
        <v>97593</v>
      </c>
      <c r="G98" s="473">
        <f t="shared" si="10"/>
        <v>12</v>
      </c>
      <c r="H98" s="460">
        <f>G98+'12'!H98</f>
        <v>166</v>
      </c>
      <c r="I98" s="480"/>
      <c r="J98" s="552">
        <f>H98/DAY(B2)</f>
        <v>12.76923076923077</v>
      </c>
      <c r="K98" s="432"/>
      <c r="L98" s="377"/>
      <c r="N98" s="721"/>
      <c r="O98" s="728"/>
      <c r="P98" s="382"/>
    </row>
    <row r="99" spans="1:16" ht="27.75">
      <c r="A99" s="1144" t="s">
        <v>212</v>
      </c>
      <c r="B99" s="1145"/>
      <c r="C99" s="1145"/>
      <c r="D99" s="523" t="s">
        <v>144</v>
      </c>
      <c r="E99" s="484">
        <f>'12'!F99</f>
        <v>149642</v>
      </c>
      <c r="F99" s="478">
        <v>149669</v>
      </c>
      <c r="G99" s="473">
        <f t="shared" si="10"/>
        <v>27</v>
      </c>
      <c r="H99" s="460">
        <f>G99+'12'!H99</f>
        <v>136</v>
      </c>
      <c r="I99" s="480"/>
      <c r="J99" s="552">
        <f>H99/DAY(B2)</f>
        <v>10.461538461538462</v>
      </c>
      <c r="K99" s="380"/>
      <c r="L99" s="377"/>
      <c r="N99" s="723"/>
      <c r="O99" s="728"/>
      <c r="P99" s="382"/>
    </row>
    <row r="100" spans="1:16" ht="27.75">
      <c r="A100" s="1144" t="s">
        <v>213</v>
      </c>
      <c r="B100" s="1145"/>
      <c r="C100" s="1145"/>
      <c r="D100" s="523" t="s">
        <v>144</v>
      </c>
      <c r="E100" s="484">
        <f>'12'!F100</f>
        <v>7227</v>
      </c>
      <c r="F100" s="478">
        <v>7233</v>
      </c>
      <c r="G100" s="473">
        <f t="shared" si="10"/>
        <v>6</v>
      </c>
      <c r="H100" s="460">
        <f>G100+'12'!H100</f>
        <v>48</v>
      </c>
      <c r="I100" s="480"/>
      <c r="J100" s="552">
        <f>H100/DAY(B2)</f>
        <v>3.6923076923076925</v>
      </c>
      <c r="K100" s="380"/>
      <c r="L100" s="377"/>
      <c r="N100" s="721"/>
      <c r="O100" s="728"/>
      <c r="P100" s="382"/>
    </row>
    <row r="101" spans="1:16" ht="27.75">
      <c r="A101" s="1144" t="s">
        <v>214</v>
      </c>
      <c r="B101" s="1145"/>
      <c r="C101" s="1145"/>
      <c r="D101" s="523" t="s">
        <v>144</v>
      </c>
      <c r="E101" s="484">
        <f>'12'!F101</f>
        <v>5224</v>
      </c>
      <c r="F101" s="626">
        <v>5228</v>
      </c>
      <c r="G101" s="473">
        <f t="shared" si="10"/>
        <v>4</v>
      </c>
      <c r="H101" s="460">
        <f>G101+'12'!H101</f>
        <v>90</v>
      </c>
      <c r="I101" s="480"/>
      <c r="J101" s="552">
        <f>H101/DAY(B2)</f>
        <v>6.9230769230769234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107</v>
      </c>
      <c r="H102" s="460">
        <f>G102+'12'!H102</f>
        <v>1153</v>
      </c>
      <c r="I102" s="526"/>
      <c r="J102" s="552">
        <f>H102/DAY(B2)</f>
        <v>88.692307692307693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143"/>
      <c r="D105" s="622" t="s">
        <v>144</v>
      </c>
      <c r="E105" s="484">
        <f>'12'!F105</f>
        <v>7473</v>
      </c>
      <c r="F105" s="662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143"/>
      <c r="D106" s="622" t="s">
        <v>144</v>
      </c>
      <c r="E106" s="484">
        <f>'12'!F106</f>
        <v>35860</v>
      </c>
      <c r="F106" s="662">
        <v>35875</v>
      </c>
      <c r="G106" s="532">
        <f t="shared" ref="G106:G107" si="11">F106-E106</f>
        <v>15</v>
      </c>
      <c r="H106" s="533">
        <f>SUM(G106+'1'!G77)</f>
        <v>65</v>
      </c>
      <c r="I106" s="532"/>
      <c r="J106" s="558">
        <f>H106/DAY(B2)</f>
        <v>5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'12'!F107</f>
        <v>19655</v>
      </c>
      <c r="F107" s="662">
        <v>19660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9.9230769230769234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143"/>
      <c r="D108" s="622"/>
      <c r="E108" s="484"/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16.076923076923077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143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143"/>
      <c r="D110" s="622" t="s">
        <v>144</v>
      </c>
      <c r="E110" s="484">
        <f>'12'!F110</f>
        <v>61770</v>
      </c>
      <c r="F110" s="662">
        <v>61830</v>
      </c>
      <c r="G110" s="532">
        <f>F110-E110</f>
        <v>60</v>
      </c>
      <c r="H110" s="533">
        <f>SUM(G110+'1'!G81)</f>
        <v>141</v>
      </c>
      <c r="I110" s="532"/>
      <c r="J110" s="558">
        <f>H110/DAY(B2)</f>
        <v>10.846153846153847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143"/>
      <c r="D111" s="622" t="s">
        <v>144</v>
      </c>
      <c r="E111" s="484">
        <f>'12'!F111</f>
        <v>32324</v>
      </c>
      <c r="F111" s="662">
        <v>32354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3.2307692307692308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143"/>
      <c r="D112" s="622" t="s">
        <v>144</v>
      </c>
      <c r="E112" s="484">
        <f>'12'!F112</f>
        <v>4478</v>
      </c>
      <c r="F112" s="662">
        <v>4492</v>
      </c>
      <c r="G112" s="532">
        <f t="shared" si="12"/>
        <v>14</v>
      </c>
      <c r="H112" s="533">
        <f>SUM(G112+'1'!G83)</f>
        <v>269</v>
      </c>
      <c r="I112" s="532"/>
      <c r="J112" s="558">
        <f>H112/DAY(B2)</f>
        <v>20.692307692307693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143"/>
      <c r="D113" s="622"/>
      <c r="E113" s="484"/>
      <c r="F113" s="662"/>
      <c r="G113" s="532">
        <f>SUM(G110:G112)</f>
        <v>104</v>
      </c>
      <c r="H113" s="533">
        <f>SUM(G113+'1'!G84)</f>
        <v>819</v>
      </c>
      <c r="I113" s="532"/>
      <c r="J113" s="558">
        <f>H113/DAY(B2)</f>
        <v>63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143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'12'!F115</f>
        <v>11318</v>
      </c>
      <c r="F115" s="662">
        <v>11326</v>
      </c>
      <c r="G115" s="534">
        <f>F115-E115</f>
        <v>8</v>
      </c>
      <c r="H115" s="533">
        <f>SUM(G115+'1'!G92)</f>
        <v>8</v>
      </c>
      <c r="I115" s="532"/>
      <c r="J115" s="558">
        <f>H115/DAY(B2)</f>
        <v>0.61538461538461542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'12'!F116</f>
        <v>8190</v>
      </c>
      <c r="F116" s="662">
        <v>8194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4.3076923076923075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7.3076923076923075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12</v>
      </c>
      <c r="H118" s="533">
        <f>SUM(G118+'1'!G96)</f>
        <v>84</v>
      </c>
      <c r="I118" s="534"/>
      <c r="J118" s="558">
        <f>H118/DAY(B2)</f>
        <v>6.4615384615384617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141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533">
        <f>SUM(G119+'1'!G97)</f>
        <v>99</v>
      </c>
      <c r="I119" s="535"/>
      <c r="J119" s="559">
        <f>H119/DAY(B2)</f>
        <v>7.615384615384615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141"/>
      <c r="D120" s="624" t="s">
        <v>144</v>
      </c>
      <c r="E120" s="536"/>
      <c r="F120" s="663">
        <f>SUM(G96,G97,G98,G100,G101)</f>
        <v>80</v>
      </c>
      <c r="G120" s="536">
        <f>SUM(G96,G97,G98,G100,G101)</f>
        <v>80</v>
      </c>
      <c r="H120" s="533">
        <f>SUM(G120+'1'!G99)</f>
        <v>85</v>
      </c>
      <c r="I120" s="535"/>
      <c r="J120" s="559">
        <f>H120/DAY(B2)</f>
        <v>6.5384615384615383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141"/>
      <c r="D121" s="624" t="s">
        <v>144</v>
      </c>
      <c r="E121" s="534"/>
      <c r="F121" s="662">
        <f>SUM(G113)</f>
        <v>104</v>
      </c>
      <c r="G121" s="534">
        <f>SUM(G113)</f>
        <v>104</v>
      </c>
      <c r="H121" s="533">
        <f>SUM(G121+'1'!G101)</f>
        <v>110</v>
      </c>
      <c r="I121" s="535"/>
      <c r="J121" s="559">
        <f>H121/DAY(B2)</f>
        <v>8.4615384615384617</v>
      </c>
      <c r="N121" s="721"/>
      <c r="O121" s="728"/>
      <c r="P121" s="382"/>
    </row>
    <row r="122" spans="1:16" s="442" customFormat="1" ht="27.75">
      <c r="A122" s="1515"/>
      <c r="B122" s="1516"/>
      <c r="C122" s="1142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44" t="s">
        <v>231</v>
      </c>
      <c r="B124" s="1145"/>
      <c r="C124" s="1145"/>
      <c r="D124" s="523" t="s">
        <v>141</v>
      </c>
      <c r="E124" s="478">
        <f>'12'!F124</f>
        <v>828521.9</v>
      </c>
      <c r="F124" s="478">
        <v>828726.78</v>
      </c>
      <c r="G124" s="473">
        <f t="shared" ref="G124:G128" si="14">F124-E124</f>
        <v>204.88000000000466</v>
      </c>
      <c r="H124" s="460">
        <f>G124+'12'!H124</f>
        <v>2638.3200000000652</v>
      </c>
      <c r="I124" s="526"/>
      <c r="J124" s="552">
        <f>H124/DAY(B2)</f>
        <v>202.94769230769731</v>
      </c>
      <c r="K124" s="380"/>
      <c r="L124" s="377"/>
      <c r="N124" s="721"/>
      <c r="O124" s="728"/>
      <c r="P124" s="382"/>
    </row>
    <row r="125" spans="1:16" ht="27.75">
      <c r="A125" s="1144" t="s">
        <v>232</v>
      </c>
      <c r="B125" s="1145"/>
      <c r="C125" s="1145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'12'!F126</f>
        <v>145389.46</v>
      </c>
      <c r="F126" s="478">
        <v>145442.09</v>
      </c>
      <c r="G126" s="473">
        <f t="shared" si="14"/>
        <v>52.630000000004657</v>
      </c>
      <c r="H126" s="460">
        <f>G126+'12'!H126</f>
        <v>754.64999999999418</v>
      </c>
      <c r="I126" s="526"/>
      <c r="J126" s="552">
        <f>H126/DAY(B2)</f>
        <v>58.04999999999955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45"/>
      <c r="C127" s="1145"/>
      <c r="D127" s="523" t="s">
        <v>141</v>
      </c>
      <c r="E127" s="626">
        <f>'12'!F127</f>
        <v>31404.2</v>
      </c>
      <c r="F127" s="626">
        <v>31404</v>
      </c>
      <c r="G127" s="473">
        <f t="shared" si="14"/>
        <v>-0.2000000000007276</v>
      </c>
      <c r="H127" s="460">
        <f>G127+'12'!H127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45"/>
      <c r="C128" s="1145"/>
      <c r="D128" s="523" t="s">
        <v>141</v>
      </c>
      <c r="E128" s="626">
        <f>'12'!F128</f>
        <v>8971</v>
      </c>
      <c r="F128" s="626">
        <v>8971</v>
      </c>
      <c r="G128" s="473">
        <f t="shared" si="14"/>
        <v>0</v>
      </c>
      <c r="H128" s="460">
        <f>G128+'12'!H128</f>
        <v>1.2999999999992724</v>
      </c>
      <c r="I128" s="480"/>
      <c r="J128" s="552">
        <f>H128/DAY(B2)</f>
        <v>9.9999999999944036E-2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393.56999999987966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44" t="s">
        <v>238</v>
      </c>
      <c r="B131" s="1145"/>
      <c r="C131" s="1145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4" t="s">
        <v>240</v>
      </c>
      <c r="B132" s="1145"/>
      <c r="C132" s="1145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44" t="s">
        <v>241</v>
      </c>
      <c r="B133" s="1145"/>
      <c r="C133" s="1145"/>
      <c r="D133" s="523" t="s">
        <v>239</v>
      </c>
      <c r="E133" s="541">
        <f>'12'!F133</f>
        <v>40029.35</v>
      </c>
      <c r="F133" s="654">
        <v>40029.35</v>
      </c>
      <c r="G133" s="473">
        <f t="shared" si="15"/>
        <v>0</v>
      </c>
      <c r="H133" s="460">
        <f>G133+'12'!H133</f>
        <v>282.86999999999534</v>
      </c>
      <c r="I133" s="480"/>
      <c r="J133" s="552">
        <f>H133/DAY(B2)</f>
        <v>21.75923076923041</v>
      </c>
      <c r="N133" s="721"/>
      <c r="O133" s="728"/>
      <c r="P133" s="382"/>
    </row>
    <row r="134" spans="1:16" ht="27.75">
      <c r="A134" s="1144" t="s">
        <v>242</v>
      </c>
      <c r="B134" s="1145"/>
      <c r="C134" s="1145"/>
      <c r="D134" s="523" t="s">
        <v>239</v>
      </c>
      <c r="E134" s="704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44" t="s">
        <v>243</v>
      </c>
      <c r="B135" s="1145"/>
      <c r="C135" s="1145"/>
      <c r="D135" s="523" t="s">
        <v>239</v>
      </c>
      <c r="E135" s="704">
        <f>'12'!F135</f>
        <v>41396.43</v>
      </c>
      <c r="F135" s="626">
        <v>41420.9</v>
      </c>
      <c r="G135" s="473">
        <f t="shared" si="15"/>
        <v>24.470000000001164</v>
      </c>
      <c r="H135" s="460">
        <f>G135+'12'!H135</f>
        <v>35.900000000001455</v>
      </c>
      <c r="I135" s="480"/>
      <c r="J135" s="552">
        <f>H135/DAY(B2)</f>
        <v>2.7615384615385734</v>
      </c>
      <c r="N135" s="721"/>
      <c r="O135" s="728"/>
      <c r="P135" s="382"/>
    </row>
    <row r="136" spans="1:16" ht="27.75">
      <c r="A136" s="1144" t="s">
        <v>244</v>
      </c>
      <c r="B136" s="1145"/>
      <c r="C136" s="1145"/>
      <c r="D136" s="523" t="s">
        <v>239</v>
      </c>
      <c r="E136" s="541">
        <f>'12'!F136</f>
        <v>32582.560000000001</v>
      </c>
      <c r="F136" s="654">
        <v>32582.560000000001</v>
      </c>
      <c r="G136" s="473">
        <f t="shared" si="15"/>
        <v>0</v>
      </c>
      <c r="H136" s="460">
        <f>G136+'12'!H136</f>
        <v>-0.43999999999869033</v>
      </c>
      <c r="I136" s="480"/>
      <c r="J136" s="552">
        <f>H136/DAY(B2)</f>
        <v>-3.3846153846053099E-2</v>
      </c>
      <c r="N136" s="721"/>
      <c r="O136" s="728"/>
      <c r="P136" s="382"/>
    </row>
    <row r="137" spans="1:16" ht="27.75">
      <c r="A137" s="1144" t="s">
        <v>245</v>
      </c>
      <c r="B137" s="1145"/>
      <c r="C137" s="1145"/>
      <c r="D137" s="523" t="s">
        <v>239</v>
      </c>
      <c r="E137" s="541">
        <f>'12'!F137</f>
        <v>22759</v>
      </c>
      <c r="F137" s="654">
        <v>22766.92</v>
      </c>
      <c r="G137" s="473">
        <f t="shared" si="15"/>
        <v>7.9199999999982538</v>
      </c>
      <c r="H137" s="460">
        <f>G137+'12'!H137</f>
        <v>27.329999999998108</v>
      </c>
      <c r="I137" s="480">
        <f>G135+G136+G137</f>
        <v>32.389999999999418</v>
      </c>
      <c r="J137" s="552">
        <f>H137/DAY(B2)</f>
        <v>2.102307692307547</v>
      </c>
      <c r="N137" s="721"/>
      <c r="O137" s="728"/>
      <c r="P137" s="382"/>
    </row>
    <row r="138" spans="1:16" ht="27.75">
      <c r="A138" s="1144" t="s">
        <v>246</v>
      </c>
      <c r="B138" s="1145"/>
      <c r="C138" s="1145"/>
      <c r="D138" s="523" t="s">
        <v>239</v>
      </c>
      <c r="E138" s="541">
        <f>'12'!F138</f>
        <v>25051.72</v>
      </c>
      <c r="F138" s="654">
        <v>25051.72</v>
      </c>
      <c r="G138" s="473">
        <f t="shared" si="15"/>
        <v>0</v>
      </c>
      <c r="H138" s="460">
        <f>G138+'12'!H138</f>
        <v>0.13000000000101863</v>
      </c>
      <c r="I138" s="480"/>
      <c r="J138" s="552">
        <f>H138/DAY(B2)</f>
        <v>1.0000000000078356E-2</v>
      </c>
      <c r="N138" s="721"/>
      <c r="O138" s="728"/>
      <c r="P138" s="382"/>
    </row>
    <row r="139" spans="1:16" ht="27.75">
      <c r="A139" s="1144" t="s">
        <v>247</v>
      </c>
      <c r="B139" s="1145"/>
      <c r="C139" s="1145"/>
      <c r="D139" s="523" t="s">
        <v>239</v>
      </c>
      <c r="E139" s="541">
        <f>'12'!F139</f>
        <v>70351.94</v>
      </c>
      <c r="F139" s="654">
        <v>70351.94</v>
      </c>
      <c r="G139" s="473">
        <f t="shared" si="15"/>
        <v>0</v>
      </c>
      <c r="H139" s="460">
        <f>G139+'12'!H139</f>
        <v>36.130000000004657</v>
      </c>
      <c r="I139" s="480">
        <f>G138+G139</f>
        <v>0</v>
      </c>
      <c r="J139" s="552">
        <f>H139/DAY(B2)</f>
        <v>2.7792307692311273</v>
      </c>
      <c r="N139" s="721"/>
      <c r="O139" s="728"/>
      <c r="P139" s="382"/>
    </row>
    <row r="140" spans="1:16" ht="27.75">
      <c r="A140" s="1144" t="s">
        <v>248</v>
      </c>
      <c r="B140" s="1145"/>
      <c r="C140" s="1145"/>
      <c r="D140" s="523" t="s">
        <v>239</v>
      </c>
      <c r="E140" s="704">
        <f>'12'!F140</f>
        <v>1708.75</v>
      </c>
      <c r="F140" s="626">
        <v>1716.31</v>
      </c>
      <c r="G140" s="473">
        <f t="shared" si="15"/>
        <v>7.5599999999999454</v>
      </c>
      <c r="H140" s="460">
        <f>G140+'12'!H140</f>
        <v>99.450000000000045</v>
      </c>
      <c r="I140" s="542"/>
      <c r="J140" s="552">
        <f>H140/DAY(B2)</f>
        <v>7.6500000000000039</v>
      </c>
      <c r="N140" s="721"/>
      <c r="O140" s="728"/>
      <c r="P140" s="382"/>
    </row>
    <row r="141" spans="1:16" ht="27.75">
      <c r="A141" s="1144" t="s">
        <v>249</v>
      </c>
      <c r="B141" s="1145"/>
      <c r="C141" s="1145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21"/>
      <c r="O141" s="728"/>
      <c r="P141" s="382"/>
    </row>
    <row r="142" spans="1:16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3805.8899999999394</v>
      </c>
      <c r="H143" s="460">
        <f>G143+'12'!H143</f>
        <v>55383.86000000003</v>
      </c>
      <c r="I143" s="480"/>
      <c r="J143" s="552">
        <f>H143/DAY(B2)</f>
        <v>4260.2969230769249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0.2612865887315316</v>
      </c>
      <c r="H144" s="460">
        <f>G144+'12'!H144</f>
        <v>3.5247726118710458</v>
      </c>
      <c r="I144" s="544"/>
      <c r="J144" s="552">
        <f>H144/DAY(B2)</f>
        <v>0.27113635475931119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4621.0999999999631</v>
      </c>
      <c r="H145" s="460">
        <f>G145+'12'!H145</f>
        <v>63031.969999999979</v>
      </c>
      <c r="I145" s="480"/>
      <c r="J145" s="552">
        <f>H145/DAY(B2)</f>
        <v>4848.6130769230749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0.31725337705169887</v>
      </c>
      <c r="H146" s="460">
        <f>G146+'12'!H146</f>
        <v>4.0234839307235166</v>
      </c>
      <c r="I146" s="544"/>
      <c r="J146" s="552">
        <f>H146/DAY(B2)</f>
        <v>0.30949876390180897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2066.6200000000536</v>
      </c>
      <c r="H147" s="460">
        <f>G147+'12'!H147</f>
        <v>29363.740000000049</v>
      </c>
      <c r="I147" s="545"/>
      <c r="J147" s="552">
        <f>H147/DAY(B2)</f>
        <v>2258.7492307692346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0.14188010951561406</v>
      </c>
      <c r="H148" s="460">
        <f>G148+'12'!H148</f>
        <v>1.8698486377413162</v>
      </c>
      <c r="I148" s="545"/>
      <c r="J148" s="552">
        <f>H148/DAY(B2)</f>
        <v>0.14383451059548585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1148.2199999999721</v>
      </c>
      <c r="H149" s="460">
        <f>G149+'12'!H149</f>
        <v>15635.929999999935</v>
      </c>
      <c r="I149" s="480"/>
      <c r="J149" s="552">
        <f>H149/DAY(B2)</f>
        <v>1202.7638461538411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7.8828995823136419E-2</v>
      </c>
      <c r="H150" s="460">
        <f>G150+'12'!H150</f>
        <v>0.9963182663947644</v>
      </c>
      <c r="I150" s="545"/>
      <c r="J150" s="552">
        <f>H150/DAY(B2)</f>
        <v>7.6639866645751106E-2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820.80000000004657</v>
      </c>
      <c r="H151" s="460">
        <f>G151+'12'!H151</f>
        <v>14664.150000000023</v>
      </c>
      <c r="I151" s="545"/>
      <c r="J151" s="552">
        <f>H151/DAY(B2)</f>
        <v>1128.0115384615403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5.635055979832751E-2</v>
      </c>
      <c r="H152" s="460">
        <f>G152+'12'!H152</f>
        <v>0.92742955961008577</v>
      </c>
      <c r="I152" s="480"/>
      <c r="J152" s="552">
        <f>H152/DAY(B2)</f>
        <v>7.1340735354621987E-2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1166.1399999999994</v>
      </c>
      <c r="H153" s="460">
        <f>G153+'12'!H153</f>
        <v>15846.869999999995</v>
      </c>
      <c r="I153" s="480"/>
      <c r="J153" s="552">
        <f>H153/DAY(B2)</f>
        <v>1218.9899999999996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8.0059261456162142E-2</v>
      </c>
      <c r="H154" s="460">
        <f>G154+'12'!H154</f>
        <v>1.0099622742363821</v>
      </c>
      <c r="I154" s="568"/>
      <c r="J154" s="569">
        <f>H154/DAY(B2)</f>
        <v>7.7689405710490933E-2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'12'!F161</f>
        <v>36910.019999999997</v>
      </c>
      <c r="F161" s="807">
        <v>36991.79</v>
      </c>
      <c r="G161" s="473">
        <f t="shared" ref="G161:G164" si="16">F161-E161</f>
        <v>81.770000000004075</v>
      </c>
      <c r="N161" s="721"/>
    </row>
    <row r="162" spans="1:14">
      <c r="A162" s="798" t="s">
        <v>264</v>
      </c>
      <c r="B162" s="799"/>
      <c r="C162" s="799"/>
      <c r="D162" s="620" t="s">
        <v>187</v>
      </c>
      <c r="E162" s="522">
        <f>'12'!F162</f>
        <v>87413</v>
      </c>
      <c r="F162" s="807">
        <v>87811.65</v>
      </c>
      <c r="G162" s="473">
        <f t="shared" si="16"/>
        <v>398.64999999999418</v>
      </c>
      <c r="N162" s="721"/>
    </row>
    <row r="163" spans="1:14">
      <c r="A163" s="798" t="s">
        <v>265</v>
      </c>
      <c r="B163" s="799"/>
      <c r="C163" s="799"/>
      <c r="D163" s="620" t="s">
        <v>187</v>
      </c>
      <c r="E163" s="522">
        <f>'12'!F163</f>
        <v>40921.15</v>
      </c>
      <c r="F163" s="807">
        <v>41174.32</v>
      </c>
      <c r="G163" s="473">
        <f t="shared" si="16"/>
        <v>253.16999999999825</v>
      </c>
      <c r="N163" s="721"/>
    </row>
    <row r="164" spans="1:14">
      <c r="A164" s="798" t="s">
        <v>266</v>
      </c>
      <c r="B164" s="799"/>
      <c r="C164" s="799"/>
      <c r="D164" s="620" t="s">
        <v>187</v>
      </c>
      <c r="E164" s="522">
        <f>'12'!F164</f>
        <v>6355.48</v>
      </c>
      <c r="F164" s="807">
        <v>6367.18</v>
      </c>
      <c r="G164" s="473">
        <f t="shared" si="16"/>
        <v>11.700000000000728</v>
      </c>
      <c r="N164" s="721"/>
    </row>
    <row r="165" spans="1:14">
      <c r="A165" s="800" t="s">
        <v>98</v>
      </c>
      <c r="B165" s="801"/>
      <c r="C165" s="801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>
      <c r="A166" s="800" t="s">
        <v>188</v>
      </c>
      <c r="B166" s="801"/>
      <c r="C166" s="801"/>
      <c r="D166" s="620" t="s">
        <v>187</v>
      </c>
      <c r="E166" s="514">
        <f t="shared" ref="E166:E172" si="18">E63</f>
        <v>2404.58</v>
      </c>
      <c r="F166" s="514">
        <f t="shared" ref="F166:F172" si="19">F63</f>
        <v>2408.36</v>
      </c>
      <c r="G166" s="473">
        <f t="shared" si="17"/>
        <v>3.7800000000002001</v>
      </c>
      <c r="N166" s="721"/>
    </row>
    <row r="167" spans="1:14" ht="21.75" customHeight="1">
      <c r="A167" s="1570" t="s">
        <v>99</v>
      </c>
      <c r="B167" s="1570"/>
      <c r="C167" s="1570"/>
      <c r="D167" s="524" t="s">
        <v>187</v>
      </c>
      <c r="E167" s="514">
        <f t="shared" si="18"/>
        <v>155788.35</v>
      </c>
      <c r="F167" s="514">
        <f t="shared" si="19"/>
        <v>155994.29</v>
      </c>
      <c r="G167" s="473">
        <f t="shared" si="17"/>
        <v>205.94000000000233</v>
      </c>
      <c r="N167" s="721"/>
    </row>
    <row r="168" spans="1:14" ht="21.75" customHeight="1">
      <c r="A168" s="1570" t="s">
        <v>100</v>
      </c>
      <c r="B168" s="1570"/>
      <c r="C168" s="1570"/>
      <c r="D168" s="524" t="s">
        <v>187</v>
      </c>
      <c r="E168" s="514">
        <f t="shared" si="18"/>
        <v>156785.48000000001</v>
      </c>
      <c r="F168" s="514">
        <f t="shared" si="19"/>
        <v>156935.51999999999</v>
      </c>
      <c r="G168" s="473">
        <f t="shared" si="17"/>
        <v>150.03999999997905</v>
      </c>
      <c r="N168" s="721"/>
    </row>
    <row r="169" spans="1:14" ht="21.75" customHeight="1">
      <c r="A169" s="1570" t="s">
        <v>101</v>
      </c>
      <c r="B169" s="1570"/>
      <c r="C169" s="1570"/>
      <c r="D169" s="524" t="s">
        <v>187</v>
      </c>
      <c r="E169" s="514">
        <f t="shared" si="18"/>
        <v>51678.48</v>
      </c>
      <c r="F169" s="514">
        <f t="shared" si="19"/>
        <v>51922.93</v>
      </c>
      <c r="G169" s="473">
        <f t="shared" si="17"/>
        <v>244.44999999999709</v>
      </c>
      <c r="N169" s="721"/>
    </row>
    <row r="170" spans="1:14" ht="26.25" customHeight="1">
      <c r="A170" s="1570" t="s">
        <v>102</v>
      </c>
      <c r="B170" s="1570"/>
      <c r="C170" s="1570"/>
      <c r="D170" s="524" t="s">
        <v>187</v>
      </c>
      <c r="E170" s="514">
        <f t="shared" si="18"/>
        <v>245062.55</v>
      </c>
      <c r="F170" s="514">
        <f t="shared" si="19"/>
        <v>245187.61</v>
      </c>
      <c r="G170" s="473">
        <f t="shared" si="17"/>
        <v>125.05999999999767</v>
      </c>
      <c r="N170" s="721"/>
    </row>
    <row r="171" spans="1:14" ht="24" customHeight="1">
      <c r="A171" s="1570" t="s">
        <v>103</v>
      </c>
      <c r="B171" s="1570"/>
      <c r="C171" s="1570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14">
        <f t="shared" si="18"/>
        <v>79913.820000000007</v>
      </c>
      <c r="F172" s="514">
        <f t="shared" si="19"/>
        <v>79957.27</v>
      </c>
      <c r="G172" s="473">
        <f t="shared" si="17"/>
        <v>43.44999999999709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1518.189999999971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F28" activeCellId="1" sqref="F28 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270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362</v>
      </c>
      <c r="B2" s="1036">
        <v>44330</v>
      </c>
      <c r="C2" s="1195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5" t="s">
        <v>120</v>
      </c>
      <c r="D3" s="612">
        <v>30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5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49523.83</v>
      </c>
      <c r="F7" s="455">
        <v>63827.51</v>
      </c>
      <c r="G7" s="681">
        <f>F7-E7</f>
        <v>14303.68</v>
      </c>
      <c r="H7" s="682">
        <f>G7+'13'!H7</f>
        <v>218850.50999999998</v>
      </c>
      <c r="I7" s="683">
        <f>'1'!I7</f>
        <v>12000</v>
      </c>
      <c r="J7" s="684">
        <f>H7/DAY(B2)</f>
        <v>15632.179285714285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49888.73</v>
      </c>
      <c r="F8" s="475">
        <v>64319.28</v>
      </c>
      <c r="G8" s="692">
        <f>F8-E8</f>
        <v>14430.549999999996</v>
      </c>
      <c r="H8" s="682">
        <f>G8+'13'!H8</f>
        <v>220078.28000000003</v>
      </c>
      <c r="I8" s="689">
        <f>'1'!I8</f>
        <v>12000</v>
      </c>
      <c r="J8" s="684">
        <f>H8/DAY(B2)</f>
        <v>15719.877142857145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1188471.3</v>
      </c>
      <c r="F9" s="478">
        <v>1202298.2</v>
      </c>
      <c r="G9" s="705">
        <f t="shared" ref="G9:G12" si="0">F9-E9</f>
        <v>13826.899999999907</v>
      </c>
      <c r="H9" s="682">
        <f>G9+'13'!H9</f>
        <v>211584.19999999995</v>
      </c>
      <c r="I9" s="693">
        <f>I7-J7</f>
        <v>-3632.1792857142846</v>
      </c>
      <c r="J9" s="684">
        <f>H9/DAY(B2)</f>
        <v>15113.157142857139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13826.899999999907</v>
      </c>
      <c r="H13" s="682">
        <f>G13+'13'!H13</f>
        <v>197063.19999999995</v>
      </c>
      <c r="I13" s="698">
        <f>G7-G13</f>
        <v>476.78000000009342</v>
      </c>
      <c r="J13" s="684">
        <f>H13/DAY(B2)</f>
        <v>14075.942857142854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1676371</v>
      </c>
      <c r="F15" s="485">
        <v>1676663.58</v>
      </c>
      <c r="G15" s="667">
        <f>(F15-E15)</f>
        <v>292.58000000007451</v>
      </c>
      <c r="H15" s="486">
        <f>G15+'13'!H15</f>
        <v>6006.5800000000745</v>
      </c>
      <c r="I15" s="474">
        <v>800</v>
      </c>
      <c r="J15" s="553">
        <f>H15/DAY(B2)</f>
        <v>429.04142857143387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370.95857142856613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'13'!F18</f>
        <v>2</v>
      </c>
      <c r="F18" s="478">
        <v>2</v>
      </c>
      <c r="G18" s="697">
        <f>F18*10</f>
        <v>20</v>
      </c>
      <c r="H18" s="682">
        <f>G18+'13'!H18</f>
        <v>500</v>
      </c>
      <c r="I18" s="683">
        <f>'1'!I18</f>
        <v>65</v>
      </c>
      <c r="J18" s="684">
        <f>H18/DAY(B2)</f>
        <v>35.714285714285715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'13'!F19</f>
        <v>138518</v>
      </c>
      <c r="F19" s="478">
        <v>138575</v>
      </c>
      <c r="G19" s="692">
        <f t="shared" ref="G19" si="1">F19-E19</f>
        <v>57</v>
      </c>
      <c r="H19" s="682">
        <f>G19+'13'!H19</f>
        <v>763</v>
      </c>
      <c r="I19" s="699"/>
      <c r="J19" s="684">
        <f>H19/DAY(B2)</f>
        <v>54.5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G20+'13'!H20</f>
        <v>1263</v>
      </c>
      <c r="I20" s="701">
        <f>I18-J20</f>
        <v>-25.214285714285708</v>
      </c>
      <c r="J20" s="684">
        <f>H20/DAY(B2)</f>
        <v>90.214285714285708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8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8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14430.549999999996</v>
      </c>
      <c r="F27" s="501">
        <v>9</v>
      </c>
      <c r="G27" s="502">
        <f>E27*F27</f>
        <v>129874.94999999995</v>
      </c>
      <c r="H27" s="460">
        <f>G27+'13'!H27</f>
        <v>1980704.5199999998</v>
      </c>
      <c r="I27" s="503"/>
      <c r="J27" s="552">
        <f>H27/DAY(B2)</f>
        <v>141478.89428571428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292.58000000007451</v>
      </c>
      <c r="F28" s="501">
        <v>49</v>
      </c>
      <c r="G28" s="502">
        <f>E28*F28</f>
        <v>14336.420000003651</v>
      </c>
      <c r="H28" s="460">
        <f>G28+'13'!H28</f>
        <v>297108.07000000367</v>
      </c>
      <c r="I28" s="505"/>
      <c r="J28" s="552">
        <f>H28/DAY(B2)</f>
        <v>21222.005000000263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G30+'13'!H30</f>
        <v>102242</v>
      </c>
      <c r="I30" s="505"/>
      <c r="J30" s="552">
        <f>H30/DAY(B2)</f>
        <v>7303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G31+'13'!H31</f>
        <v>40000</v>
      </c>
      <c r="I31" s="505"/>
      <c r="J31" s="552">
        <f>H31/DAY(B2)</f>
        <v>2857.1428571428573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153449.3700000036</v>
      </c>
      <c r="H32" s="460">
        <f>G32+'13'!H32</f>
        <v>2420054.5900000036</v>
      </c>
      <c r="I32" s="509"/>
      <c r="J32" s="552">
        <f>H32/DAY(B2)</f>
        <v>172861.04214285739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190"/>
      <c r="C34" s="119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913250.23</v>
      </c>
      <c r="F35" s="510">
        <v>915038.95</v>
      </c>
      <c r="G35" s="473">
        <f t="shared" ref="G35:G46" si="3">F35-E35</f>
        <v>1788.7199999999721</v>
      </c>
      <c r="H35" s="460">
        <f>G35+'13'!H35</f>
        <v>28579.949999999953</v>
      </c>
      <c r="I35" s="455"/>
      <c r="J35" s="552">
        <f>H35/DAY(B2)</f>
        <v>2041.4249999999968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347065</v>
      </c>
      <c r="F36" s="510">
        <v>347065</v>
      </c>
      <c r="G36" s="473">
        <f t="shared" si="3"/>
        <v>0</v>
      </c>
      <c r="H36" s="460">
        <f>G36+'13'!H36</f>
        <v>2457</v>
      </c>
      <c r="I36" s="455"/>
      <c r="J36" s="552">
        <f>H36/DAY(B2)</f>
        <v>175.5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111072</v>
      </c>
      <c r="F37" s="510">
        <v>112266.91</v>
      </c>
      <c r="G37" s="473">
        <f t="shared" si="3"/>
        <v>1194.9100000000035</v>
      </c>
      <c r="H37" s="460">
        <f>G37+'13'!H37</f>
        <v>17041.910000000003</v>
      </c>
      <c r="I37" s="455"/>
      <c r="J37" s="552">
        <f>H37/DAY(B2)</f>
        <v>1217.2792857142861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135231.85999999999</v>
      </c>
      <c r="F38" s="469">
        <v>136320.97</v>
      </c>
      <c r="G38" s="473">
        <f t="shared" si="3"/>
        <v>1089.1100000000151</v>
      </c>
      <c r="H38" s="460">
        <f>G38+'13'!H38</f>
        <v>16724.97</v>
      </c>
      <c r="I38" s="455"/>
      <c r="J38" s="552">
        <f>H38/DAY(B2)</f>
        <v>1194.6407142857145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269227.59000000003</v>
      </c>
      <c r="F39" s="510">
        <v>271010.89</v>
      </c>
      <c r="G39" s="473">
        <f t="shared" si="3"/>
        <v>1783.2999999999884</v>
      </c>
      <c r="H39" s="460">
        <f>G39+'13'!H39</f>
        <v>24357.890000000014</v>
      </c>
      <c r="I39" s="455"/>
      <c r="J39" s="552">
        <f>H39/DAY(B2)</f>
        <v>1739.8492857142867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210.03</v>
      </c>
      <c r="F40" s="510">
        <v>263.02999999999997</v>
      </c>
      <c r="G40" s="473">
        <f t="shared" si="3"/>
        <v>52.999999999999972</v>
      </c>
      <c r="H40" s="460">
        <f>G40+'13'!H40</f>
        <v>262.79999999999995</v>
      </c>
      <c r="I40" s="455"/>
      <c r="J40" s="552">
        <f>H40/DAY(B2)</f>
        <v>18.771428571428569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239196.55</v>
      </c>
      <c r="F41" s="510">
        <v>239196.55</v>
      </c>
      <c r="G41" s="473">
        <f t="shared" si="3"/>
        <v>0</v>
      </c>
      <c r="H41" s="460">
        <f>G41+'13'!H41</f>
        <v>57668.549999999988</v>
      </c>
      <c r="I41" s="455"/>
      <c r="J41" s="552">
        <f>H41/DAY(B2)</f>
        <v>4119.182142857142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59200.08</v>
      </c>
      <c r="F42" s="510">
        <v>59200.08</v>
      </c>
      <c r="G42" s="473">
        <f t="shared" si="3"/>
        <v>0</v>
      </c>
      <c r="H42" s="460">
        <f>G42+'13'!H42</f>
        <v>8.000000000174623E-2</v>
      </c>
      <c r="I42" s="455"/>
      <c r="J42" s="552">
        <f>H42/DAY(B2)</f>
        <v>5.7142857144104452E-3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1002550.3</v>
      </c>
      <c r="F43" s="510">
        <v>1004558.2</v>
      </c>
      <c r="G43" s="473">
        <f t="shared" si="3"/>
        <v>2007.8999999999069</v>
      </c>
      <c r="H43" s="460">
        <f>G43+'13'!H43</f>
        <v>30600.199999999953</v>
      </c>
      <c r="I43" s="455"/>
      <c r="J43" s="552">
        <f>H43/DAY(B2)</f>
        <v>2185.7285714285681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7916.9399999998859</v>
      </c>
      <c r="H47" s="460">
        <f>G47+'13'!H47</f>
        <v>177693.83999999991</v>
      </c>
      <c r="I47" s="455"/>
      <c r="J47" s="552">
        <f>H47/DAY(B2)</f>
        <v>12692.417142857137</v>
      </c>
      <c r="K47" s="428"/>
      <c r="L47" s="377"/>
      <c r="N47" s="721"/>
      <c r="O47" s="728"/>
      <c r="P47" s="382"/>
    </row>
    <row r="48" spans="1:16">
      <c r="A48" s="598" t="s">
        <v>177</v>
      </c>
      <c r="B48" s="1190"/>
      <c r="C48" s="119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260732.13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486743.15</v>
      </c>
      <c r="F50" s="510">
        <v>487528.99</v>
      </c>
      <c r="G50" s="473">
        <f t="shared" si="4"/>
        <v>785.8399999999674</v>
      </c>
      <c r="H50" s="460">
        <f>G50+'13'!H50</f>
        <v>12053.989999999991</v>
      </c>
      <c r="I50" s="455"/>
      <c r="J50" s="552">
        <f>H50/DAY(B2)</f>
        <v>860.99928571428507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423100.15</v>
      </c>
      <c r="F53" s="510">
        <v>423524.29</v>
      </c>
      <c r="G53" s="473">
        <f t="shared" si="4"/>
        <v>424.13999999995576</v>
      </c>
      <c r="H53" s="460">
        <f>G53+'13'!H53</f>
        <v>6690.289999999979</v>
      </c>
      <c r="I53" s="455"/>
      <c r="J53" s="552">
        <f>H53/DAY(B2)</f>
        <v>477.87785714285565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12326.21</v>
      </c>
      <c r="F54" s="510">
        <v>12398.01</v>
      </c>
      <c r="G54" s="473">
        <f t="shared" si="4"/>
        <v>71.800000000001091</v>
      </c>
      <c r="H54" s="460">
        <f>G54+'13'!H54</f>
        <v>4636.01</v>
      </c>
      <c r="I54" s="455"/>
      <c r="J54" s="552">
        <f>H54/DAY(B2)</f>
        <v>331.14357142857142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5227.1000000000004</v>
      </c>
      <c r="F55" s="656">
        <v>9724.99</v>
      </c>
      <c r="G55" s="655">
        <f t="shared" si="4"/>
        <v>4497.8899999999994</v>
      </c>
      <c r="H55" s="708">
        <f>G55+'13'!H55</f>
        <v>9724.99</v>
      </c>
      <c r="I55" s="709"/>
      <c r="J55" s="710">
        <f>H55/DAY(B2)</f>
        <v>694.64214285714286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589424.71</v>
      </c>
      <c r="F56" s="656">
        <v>589424.71</v>
      </c>
      <c r="G56" s="473">
        <f t="shared" si="4"/>
        <v>0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47868.12</v>
      </c>
      <c r="F58" s="656">
        <v>47868.27</v>
      </c>
      <c r="G58" s="473">
        <f t="shared" si="4"/>
        <v>0.14999999999417923</v>
      </c>
      <c r="H58" s="460">
        <f>G58+'13'!H58</f>
        <v>1151.2699999999968</v>
      </c>
      <c r="I58" s="455"/>
      <c r="J58" s="552">
        <f>H58/DAY(B2)</f>
        <v>82.233571428571196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5779.8199999999179</v>
      </c>
      <c r="H59" s="460">
        <f>G59+'13'!H59</f>
        <v>34393.169999999889</v>
      </c>
      <c r="I59" s="455">
        <f>G7-G60</f>
        <v>606.92000000019652</v>
      </c>
      <c r="J59" s="552">
        <f>H59/DAY(B2)</f>
        <v>2456.654999999992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13696.759999999804</v>
      </c>
      <c r="H60" s="460">
        <f>G60+'13'!H60</f>
        <v>213670.89999999982</v>
      </c>
      <c r="I60" s="455">
        <f>G13-G60</f>
        <v>130.1400000001031</v>
      </c>
      <c r="J60" s="552">
        <f>H60/DAY(B2)</f>
        <v>15262.207142857131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2408.36</v>
      </c>
      <c r="F63" s="514">
        <v>2412.15</v>
      </c>
      <c r="G63" s="473">
        <f t="shared" si="5"/>
        <v>3.7899999999999636</v>
      </c>
      <c r="H63" s="460">
        <f>G63+'13'!H63</f>
        <v>53.150000000000091</v>
      </c>
      <c r="I63" s="515"/>
      <c r="J63" s="552">
        <f>H63/DAY(B2)</f>
        <v>3.7964285714285779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514">
        <f>'13'!F64</f>
        <v>155994.29</v>
      </c>
      <c r="F64" s="478">
        <v>156201.04999999999</v>
      </c>
      <c r="G64" s="473">
        <f t="shared" si="5"/>
        <v>206.75999999998021</v>
      </c>
      <c r="H64" s="460">
        <f>G64+'13'!H64</f>
        <v>2902.0499999999884</v>
      </c>
      <c r="I64" s="480"/>
      <c r="J64" s="552">
        <f>H64/DAY(B2)</f>
        <v>207.28928571428489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'13'!F65</f>
        <v>156935.51999999999</v>
      </c>
      <c r="F65" s="654">
        <v>157101.17000000001</v>
      </c>
      <c r="G65" s="473">
        <f t="shared" si="5"/>
        <v>165.65000000002328</v>
      </c>
      <c r="H65" s="460">
        <f>G65+'13'!H65</f>
        <v>2502.1700000000128</v>
      </c>
      <c r="I65" s="489"/>
      <c r="J65" s="552">
        <f>H65/DAY(B2)</f>
        <v>178.72642857142949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'13'!F66</f>
        <v>51922.93</v>
      </c>
      <c r="F66" s="478">
        <v>52175.54</v>
      </c>
      <c r="G66" s="473">
        <f t="shared" si="5"/>
        <v>252.61000000000058</v>
      </c>
      <c r="H66" s="460">
        <f>G66+'13'!H66</f>
        <v>3604.5400000000009</v>
      </c>
      <c r="I66" s="480"/>
      <c r="J66" s="552">
        <f>H66/DAY(B2)</f>
        <v>257.4671428571429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'13'!F67</f>
        <v>245187.61</v>
      </c>
      <c r="F67" s="478">
        <v>245401.59</v>
      </c>
      <c r="G67" s="473">
        <f t="shared" si="5"/>
        <v>213.98000000001048</v>
      </c>
      <c r="H67" s="460">
        <f>G67+'13'!H67</f>
        <v>2227.5899999999965</v>
      </c>
      <c r="I67" s="489"/>
      <c r="J67" s="552">
        <f>H67/DAY(B2)</f>
        <v>159.11357142857119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'13'!F69</f>
        <v>79957.27</v>
      </c>
      <c r="F69" s="478">
        <v>80000.070000000007</v>
      </c>
      <c r="G69" s="473">
        <f t="shared" si="5"/>
        <v>42.80000000000291</v>
      </c>
      <c r="H69" s="460">
        <f>G69+'13'!H69</f>
        <v>1006.070000000007</v>
      </c>
      <c r="I69" s="516"/>
      <c r="J69" s="552">
        <f>H69/DAY(B2)</f>
        <v>71.862142857143354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'13'!F72</f>
        <v>855655</v>
      </c>
      <c r="F72" s="657">
        <v>855665</v>
      </c>
      <c r="G72" s="473">
        <f t="shared" ref="G72" si="6">F72-E72</f>
        <v>10</v>
      </c>
      <c r="H72" s="460">
        <f>G72+'12'!H72</f>
        <v>193</v>
      </c>
      <c r="I72" s="480"/>
      <c r="J72" s="552">
        <f>H72/DAY(B2)</f>
        <v>13.785714285714286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'13'!F73</f>
        <v>885890</v>
      </c>
      <c r="F73" s="658">
        <v>885891</v>
      </c>
      <c r="G73" s="655">
        <f t="shared" ref="G73:G84" si="7">F73-E73</f>
        <v>1</v>
      </c>
      <c r="H73" s="460">
        <f>G73+'13'!H72</f>
        <v>195</v>
      </c>
      <c r="I73" s="480"/>
      <c r="J73" s="552">
        <f>H73/DAY(B2)</f>
        <v>13.928571428571429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'13'!F74</f>
        <v>2464.54</v>
      </c>
      <c r="F74" s="658">
        <v>2473.16</v>
      </c>
      <c r="G74" s="473">
        <f t="shared" si="7"/>
        <v>8.6199999999998909</v>
      </c>
      <c r="H74" s="460">
        <f>G74+'13'!H74</f>
        <v>194.15999999999985</v>
      </c>
      <c r="I74" s="480"/>
      <c r="J74" s="552">
        <f>H74/DAY(B2)</f>
        <v>13.868571428571418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'13'!F75</f>
        <v>11663.63</v>
      </c>
      <c r="F75" s="658">
        <v>11714.59</v>
      </c>
      <c r="G75" s="473">
        <f t="shared" si="7"/>
        <v>50.960000000000946</v>
      </c>
      <c r="H75" s="460">
        <f>G75+'13'!H75</f>
        <v>744.59000000000015</v>
      </c>
      <c r="I75" s="480"/>
      <c r="J75" s="552">
        <f>H75/DAY(B2)</f>
        <v>53.185000000000009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'13'!F76</f>
        <v>6410.58</v>
      </c>
      <c r="F76" s="658">
        <v>6464.57</v>
      </c>
      <c r="G76" s="473">
        <f t="shared" si="7"/>
        <v>53.989999999999782</v>
      </c>
      <c r="H76" s="460">
        <f>G76+'13'!H75</f>
        <v>747.61999999999898</v>
      </c>
      <c r="I76" s="505"/>
      <c r="J76" s="552">
        <f>H76/DAY(B2)</f>
        <v>53.401428571428497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'13'!F77</f>
        <v>702188</v>
      </c>
      <c r="F77" s="658">
        <v>702211</v>
      </c>
      <c r="G77" s="655">
        <f t="shared" si="7"/>
        <v>23</v>
      </c>
      <c r="H77" s="460">
        <f>G77+'13'!H77</f>
        <v>649</v>
      </c>
      <c r="I77" s="505"/>
      <c r="J77" s="552">
        <f>H77/DAY(B2)</f>
        <v>46.357142857142854</v>
      </c>
      <c r="K77" s="430"/>
      <c r="L77" s="377"/>
      <c r="N77" s="721"/>
      <c r="O77" s="728"/>
      <c r="P77" s="382"/>
    </row>
    <row r="78" spans="1:16" ht="27.75">
      <c r="A78" s="1191" t="s">
        <v>197</v>
      </c>
      <c r="B78" s="1187"/>
      <c r="C78" s="1187"/>
      <c r="D78" s="523" t="s">
        <v>187</v>
      </c>
      <c r="E78" s="519">
        <f>'13'!F78</f>
        <v>670977</v>
      </c>
      <c r="F78" s="659">
        <v>671123</v>
      </c>
      <c r="G78" s="473">
        <f t="shared" si="7"/>
        <v>146</v>
      </c>
      <c r="H78" s="460">
        <f>G78+'13'!H78</f>
        <v>1098</v>
      </c>
      <c r="I78" s="505"/>
      <c r="J78" s="552">
        <f>H78/DAY(B2)</f>
        <v>78.428571428571431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'13'!F79</f>
        <v>828683</v>
      </c>
      <c r="F79" s="659">
        <v>828805</v>
      </c>
      <c r="G79" s="473">
        <f t="shared" si="7"/>
        <v>122</v>
      </c>
      <c r="H79" s="460">
        <f>G79+'13'!H78</f>
        <v>1074</v>
      </c>
      <c r="I79" s="505"/>
      <c r="J79" s="552">
        <f>H79/DAY(B2)</f>
        <v>76.714285714285708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'13'!F80</f>
        <v>521360</v>
      </c>
      <c r="F80" s="658">
        <v>521713.32</v>
      </c>
      <c r="G80" s="473">
        <f t="shared" si="7"/>
        <v>353.32000000000698</v>
      </c>
      <c r="H80" s="460">
        <f>G80+'13'!H79</f>
        <v>2252.320000000007</v>
      </c>
      <c r="I80" s="505"/>
      <c r="J80" s="552">
        <f>H80/DAY(B2)</f>
        <v>160.88000000000051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'13'!F81</f>
        <v>637438</v>
      </c>
      <c r="F81" s="658">
        <v>637518.84</v>
      </c>
      <c r="G81" s="473">
        <f t="shared" si="7"/>
        <v>80.839999999967404</v>
      </c>
      <c r="H81" s="460">
        <f>G81+'13'!H81</f>
        <v>1040.8399999999674</v>
      </c>
      <c r="I81" s="505"/>
      <c r="J81" s="552">
        <f>H81/DAY(B2)</f>
        <v>74.345714285711963</v>
      </c>
      <c r="K81" s="430"/>
      <c r="L81" s="377"/>
      <c r="N81" s="721"/>
      <c r="O81" s="728"/>
      <c r="P81" s="382"/>
    </row>
    <row r="82" spans="1:16" ht="27.75">
      <c r="A82" s="1501" t="s">
        <v>93</v>
      </c>
      <c r="B82" s="1502"/>
      <c r="C82" s="1503"/>
      <c r="D82" s="485" t="s">
        <v>132</v>
      </c>
      <c r="E82" s="519">
        <f>'13'!F82</f>
        <v>107859</v>
      </c>
      <c r="F82" s="654">
        <v>107871.05</v>
      </c>
      <c r="G82" s="473">
        <f t="shared" si="7"/>
        <v>12.05000000000291</v>
      </c>
      <c r="H82" s="460">
        <f>G82+'13'!H82</f>
        <v>259.05000000000291</v>
      </c>
      <c r="I82" s="486"/>
      <c r="J82" s="552">
        <f>H82/DAY(B2)</f>
        <v>18.503571428571636</v>
      </c>
      <c r="K82" s="430"/>
      <c r="L82" s="377"/>
      <c r="N82" s="721"/>
      <c r="O82" s="728"/>
      <c r="P82" s="382"/>
    </row>
    <row r="83" spans="1:16" ht="27.75">
      <c r="A83" s="1501" t="s">
        <v>200</v>
      </c>
      <c r="B83" s="1502"/>
      <c r="C83" s="1503"/>
      <c r="D83" s="620" t="s">
        <v>132</v>
      </c>
      <c r="E83" s="519">
        <f>'13'!F83</f>
        <v>17360</v>
      </c>
      <c r="F83" s="511">
        <v>17536</v>
      </c>
      <c r="G83" s="473">
        <f t="shared" si="7"/>
        <v>176</v>
      </c>
      <c r="H83" s="460">
        <f>G83+'13'!H83</f>
        <v>2765</v>
      </c>
      <c r="I83" s="481"/>
      <c r="J83" s="552">
        <f>H83/DAY(B2)</f>
        <v>197.5</v>
      </c>
      <c r="K83" s="429"/>
      <c r="L83" s="377"/>
      <c r="N83" s="721"/>
      <c r="O83" s="728"/>
      <c r="P83" s="382"/>
    </row>
    <row r="84" spans="1:16">
      <c r="A84" s="1194" t="s">
        <v>201</v>
      </c>
      <c r="B84" s="571"/>
      <c r="C84" s="571"/>
      <c r="D84" s="478" t="s">
        <v>132</v>
      </c>
      <c r="E84" s="519">
        <f>'13'!F84</f>
        <v>489535</v>
      </c>
      <c r="F84" s="627">
        <v>490097</v>
      </c>
      <c r="G84" s="473">
        <f t="shared" si="7"/>
        <v>562</v>
      </c>
      <c r="H84" s="460">
        <f>G84+'13'!H84</f>
        <v>9964</v>
      </c>
      <c r="I84" s="481"/>
      <c r="J84" s="552">
        <f>H84/DAY(B2)</f>
        <v>711.71428571428567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1599.7799999999779</v>
      </c>
      <c r="H85" s="460">
        <f>G85+'13'!H85</f>
        <v>24685.529999999977</v>
      </c>
      <c r="I85" s="481"/>
      <c r="J85" s="552">
        <f>H85/DAY(B2)</f>
        <v>1763.2521428571413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460310</v>
      </c>
      <c r="F86" s="650">
        <v>460333.4</v>
      </c>
      <c r="G86" s="708">
        <f t="shared" ref="G86:G91" si="8">F86-E86</f>
        <v>23.400000000023283</v>
      </c>
      <c r="H86" s="708">
        <f t="shared" ref="H86:H88" si="9">G86</f>
        <v>23.400000000023283</v>
      </c>
      <c r="I86" s="655"/>
      <c r="J86" s="710">
        <f>H86/DAY(B2)</f>
        <v>1.6714285714302346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81090</v>
      </c>
      <c r="F87" s="650">
        <v>81097.8</v>
      </c>
      <c r="G87" s="708">
        <f t="shared" si="8"/>
        <v>7.8000000000029104</v>
      </c>
      <c r="H87" s="708">
        <f t="shared" si="9"/>
        <v>7.8000000000029104</v>
      </c>
      <c r="I87" s="655"/>
      <c r="J87" s="710">
        <f>H87/DAY(B2)</f>
        <v>0.557142857143065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152389.63</v>
      </c>
      <c r="F88" s="650">
        <v>152441</v>
      </c>
      <c r="G88" s="708">
        <f t="shared" si="8"/>
        <v>51.369999999995343</v>
      </c>
      <c r="H88" s="708">
        <f t="shared" si="9"/>
        <v>51.369999999995343</v>
      </c>
      <c r="I88" s="655"/>
      <c r="J88" s="710">
        <f>H88/DAY(B2)</f>
        <v>3.6692857142853819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64917.8</v>
      </c>
      <c r="F89" s="650">
        <v>64924.5</v>
      </c>
      <c r="G89" s="708">
        <f t="shared" si="8"/>
        <v>6.6999999999970896</v>
      </c>
      <c r="H89" s="708">
        <f>G89</f>
        <v>6.6999999999970896</v>
      </c>
      <c r="I89" s="655"/>
      <c r="J89" s="710">
        <f>H89/DAY(B2)</f>
        <v>0.4785714285712207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3272.5</v>
      </c>
      <c r="F90" s="650">
        <v>3272.5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'13'!F91</f>
        <v>27942.83</v>
      </c>
      <c r="F91" s="650">
        <v>27949.93</v>
      </c>
      <c r="G91" s="708">
        <f t="shared" si="8"/>
        <v>7.0999999999985448</v>
      </c>
      <c r="H91" s="708">
        <f>G91</f>
        <v>7.0999999999985448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192"/>
      <c r="C92" s="1192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'13'!F93</f>
        <v>244864</v>
      </c>
      <c r="F93" s="478">
        <v>244879</v>
      </c>
      <c r="G93" s="473">
        <f t="shared" ref="G93:G94" si="10">F93-E93</f>
        <v>15</v>
      </c>
      <c r="H93" s="460">
        <f>G93+'13'!H93</f>
        <v>355</v>
      </c>
      <c r="I93" s="480"/>
      <c r="J93" s="552">
        <f>H93/DAY(B2)</f>
        <v>25.357142857142858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'13'!F94</f>
        <v>184579</v>
      </c>
      <c r="F94" s="654">
        <v>184662</v>
      </c>
      <c r="G94" s="473">
        <f t="shared" si="10"/>
        <v>83</v>
      </c>
      <c r="H94" s="460">
        <f>G94+'13'!H94</f>
        <v>1131</v>
      </c>
      <c r="I94" s="480"/>
      <c r="J94" s="552">
        <f>H94/DAY(B2)</f>
        <v>80.785714285714292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>
        <f>'13'!F95</f>
        <v>0</v>
      </c>
      <c r="F95" s="478"/>
      <c r="G95" s="473">
        <f>G93+G94</f>
        <v>98</v>
      </c>
      <c r="H95" s="460">
        <f>G95+'13'!H95</f>
        <v>1339</v>
      </c>
      <c r="I95" s="480"/>
      <c r="J95" s="552">
        <f>H95/DAY(B2)</f>
        <v>95.642857142857139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'13'!F96</f>
        <v>413479</v>
      </c>
      <c r="F96" s="478">
        <v>413525</v>
      </c>
      <c r="G96" s="473">
        <f t="shared" ref="G96:G101" si="11">F96-E96</f>
        <v>46</v>
      </c>
      <c r="H96" s="460">
        <f>G96+'13'!H96</f>
        <v>639</v>
      </c>
      <c r="I96" s="480"/>
      <c r="J96" s="552">
        <f>H96/DAY(B2)</f>
        <v>45.642857142857146</v>
      </c>
      <c r="K96" s="380"/>
      <c r="L96" s="377"/>
      <c r="N96" s="721"/>
      <c r="O96" s="728"/>
      <c r="P96" s="382"/>
    </row>
    <row r="97" spans="1:16" ht="27.75">
      <c r="A97" s="1188" t="s">
        <v>210</v>
      </c>
      <c r="B97" s="1189"/>
      <c r="C97" s="1189"/>
      <c r="D97" s="523" t="s">
        <v>144</v>
      </c>
      <c r="E97" s="484">
        <f>'13'!F97</f>
        <v>102463</v>
      </c>
      <c r="F97" s="478">
        <v>102473</v>
      </c>
      <c r="G97" s="473">
        <f t="shared" si="11"/>
        <v>10</v>
      </c>
      <c r="H97" s="460">
        <f>G97+'13'!H97</f>
        <v>130</v>
      </c>
      <c r="I97" s="480"/>
      <c r="J97" s="552">
        <f>H97/DAY(B2)</f>
        <v>9.2857142857142865</v>
      </c>
      <c r="K97" s="427"/>
      <c r="L97" s="377"/>
      <c r="N97" s="721"/>
      <c r="O97" s="728"/>
      <c r="P97" s="382"/>
    </row>
    <row r="98" spans="1:16" ht="27.75">
      <c r="A98" s="1188" t="s">
        <v>211</v>
      </c>
      <c r="B98" s="1189"/>
      <c r="C98" s="1189"/>
      <c r="D98" s="523" t="s">
        <v>144</v>
      </c>
      <c r="E98" s="484">
        <f>'13'!F98</f>
        <v>97593</v>
      </c>
      <c r="F98" s="478">
        <v>97610</v>
      </c>
      <c r="G98" s="473">
        <f t="shared" si="11"/>
        <v>17</v>
      </c>
      <c r="H98" s="460">
        <f>G98+'13'!H98</f>
        <v>183</v>
      </c>
      <c r="I98" s="480"/>
      <c r="J98" s="552">
        <f>H98/DAY(B2)</f>
        <v>13.071428571428571</v>
      </c>
      <c r="K98" s="432"/>
      <c r="L98" s="377"/>
      <c r="N98" s="721"/>
      <c r="O98" s="728"/>
      <c r="P98" s="382"/>
    </row>
    <row r="99" spans="1:16" ht="27.75">
      <c r="A99" s="1188" t="s">
        <v>212</v>
      </c>
      <c r="B99" s="1189"/>
      <c r="C99" s="1189"/>
      <c r="D99" s="523" t="s">
        <v>144</v>
      </c>
      <c r="E99" s="484">
        <f>'13'!F99</f>
        <v>149669</v>
      </c>
      <c r="F99" s="478">
        <v>149695</v>
      </c>
      <c r="G99" s="473">
        <f t="shared" si="11"/>
        <v>26</v>
      </c>
      <c r="H99" s="460">
        <f>G99+'13'!H99</f>
        <v>162</v>
      </c>
      <c r="I99" s="480"/>
      <c r="J99" s="552">
        <f>H99/DAY(B2)</f>
        <v>11.571428571428571</v>
      </c>
      <c r="K99" s="380"/>
      <c r="L99" s="377"/>
      <c r="N99" s="723"/>
      <c r="O99" s="728"/>
      <c r="P99" s="382"/>
    </row>
    <row r="100" spans="1:16" ht="27.75">
      <c r="A100" s="1188" t="s">
        <v>213</v>
      </c>
      <c r="B100" s="1189"/>
      <c r="C100" s="1189"/>
      <c r="D100" s="523" t="s">
        <v>144</v>
      </c>
      <c r="E100" s="484">
        <f>'13'!F100</f>
        <v>7233</v>
      </c>
      <c r="F100" s="478">
        <v>7238</v>
      </c>
      <c r="G100" s="473">
        <f t="shared" si="11"/>
        <v>5</v>
      </c>
      <c r="H100" s="460">
        <f>G100+'13'!H100</f>
        <v>53</v>
      </c>
      <c r="I100" s="480"/>
      <c r="J100" s="552">
        <f>H100/DAY(B2)</f>
        <v>3.7857142857142856</v>
      </c>
      <c r="K100" s="380"/>
      <c r="L100" s="377"/>
      <c r="N100" s="721"/>
      <c r="O100" s="728"/>
      <c r="P100" s="382"/>
    </row>
    <row r="101" spans="1:16" ht="27.75">
      <c r="A101" s="1188" t="s">
        <v>214</v>
      </c>
      <c r="B101" s="1189"/>
      <c r="C101" s="1189"/>
      <c r="D101" s="523" t="s">
        <v>144</v>
      </c>
      <c r="E101" s="484">
        <f>'13'!F101</f>
        <v>5228</v>
      </c>
      <c r="F101" s="478">
        <v>5232</v>
      </c>
      <c r="G101" s="473">
        <f t="shared" si="11"/>
        <v>4</v>
      </c>
      <c r="H101" s="460">
        <f>G101+'13'!H101</f>
        <v>94</v>
      </c>
      <c r="I101" s="480"/>
      <c r="J101" s="552">
        <f>H101/DAY(B2)</f>
        <v>6.7142857142857144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108</v>
      </c>
      <c r="H102" s="460">
        <f>G102+'13'!H102</f>
        <v>1261</v>
      </c>
      <c r="I102" s="526"/>
      <c r="J102" s="552">
        <f>H102/DAY(B2)</f>
        <v>90.071428571428569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193"/>
      <c r="D105" s="622" t="s">
        <v>144</v>
      </c>
      <c r="E105" s="484">
        <f>'13'!F105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193"/>
      <c r="D106" s="622" t="s">
        <v>144</v>
      </c>
      <c r="E106" s="484">
        <f>'13'!F106</f>
        <v>35875</v>
      </c>
      <c r="F106" s="662">
        <v>35875</v>
      </c>
      <c r="G106" s="532">
        <f t="shared" ref="G106:G107" si="12">F106-E106</f>
        <v>0</v>
      </c>
      <c r="H106" s="533">
        <f>SUM(G106+'1'!G77)</f>
        <v>50</v>
      </c>
      <c r="I106" s="532"/>
      <c r="J106" s="558">
        <f>H106/DAY(B2)</f>
        <v>3.5714285714285716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'13'!F107</f>
        <v>19660</v>
      </c>
      <c r="F107" s="662">
        <v>19660</v>
      </c>
      <c r="G107" s="532">
        <f t="shared" si="12"/>
        <v>0</v>
      </c>
      <c r="H107" s="533">
        <f>SUM(G107+'1'!G78)</f>
        <v>124</v>
      </c>
      <c r="I107" s="532"/>
      <c r="J107" s="558">
        <f>H107/DAY(B2)</f>
        <v>8.8571428571428577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193"/>
      <c r="D108" s="622"/>
      <c r="E108" s="484">
        <f>'13'!F108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13.5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193"/>
      <c r="D109" s="622" t="s">
        <v>144</v>
      </c>
      <c r="E109" s="484">
        <f>'13'!F109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193"/>
      <c r="D110" s="622" t="s">
        <v>144</v>
      </c>
      <c r="E110" s="484">
        <f>'13'!F110</f>
        <v>61830</v>
      </c>
      <c r="F110" s="662">
        <v>61870</v>
      </c>
      <c r="G110" s="532">
        <f>F110-E110</f>
        <v>40</v>
      </c>
      <c r="H110" s="533">
        <f>SUM(G110+'1'!G81)</f>
        <v>121</v>
      </c>
      <c r="I110" s="532"/>
      <c r="J110" s="558">
        <f>H110/DAY(B2)</f>
        <v>8.6428571428571423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193"/>
      <c r="D111" s="622" t="s">
        <v>144</v>
      </c>
      <c r="E111" s="484">
        <f>'13'!F111</f>
        <v>32354</v>
      </c>
      <c r="F111" s="662">
        <v>32371</v>
      </c>
      <c r="G111" s="532">
        <f t="shared" ref="G111:G112" si="13">F111-E111</f>
        <v>17</v>
      </c>
      <c r="H111" s="533">
        <f>SUM(G111+'1'!G82)</f>
        <v>29</v>
      </c>
      <c r="I111" s="532"/>
      <c r="J111" s="558">
        <f>H111/DAY(B2)</f>
        <v>2.0714285714285716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193"/>
      <c r="D112" s="622" t="s">
        <v>144</v>
      </c>
      <c r="E112" s="484">
        <f>'13'!F112</f>
        <v>4492</v>
      </c>
      <c r="F112" s="662">
        <v>4492</v>
      </c>
      <c r="G112" s="532">
        <f t="shared" si="13"/>
        <v>0</v>
      </c>
      <c r="H112" s="533">
        <f>SUM(G112+'1'!G83)</f>
        <v>255</v>
      </c>
      <c r="I112" s="532"/>
      <c r="J112" s="558">
        <f>H112/DAY(B2)</f>
        <v>18.214285714285715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193"/>
      <c r="D113" s="622"/>
      <c r="E113" s="484">
        <f>'13'!F113</f>
        <v>0</v>
      </c>
      <c r="F113" s="662"/>
      <c r="G113" s="532">
        <f>SUM(G110:G112)</f>
        <v>57</v>
      </c>
      <c r="H113" s="533">
        <f>SUM(G113+'1'!G84)</f>
        <v>772</v>
      </c>
      <c r="I113" s="532"/>
      <c r="J113" s="558">
        <f>H113/DAY(B2)</f>
        <v>55.142857142857146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193"/>
      <c r="D114" s="622"/>
      <c r="E114" s="484">
        <f>'13'!F114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'13'!F115</f>
        <v>11326</v>
      </c>
      <c r="F115" s="662">
        <v>11332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0.42857142857142855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'13'!F116</f>
        <v>8194</v>
      </c>
      <c r="F116" s="662">
        <v>8198</v>
      </c>
      <c r="G116" s="534">
        <f t="shared" ref="G116:G117" si="14">F116-E116</f>
        <v>4</v>
      </c>
      <c r="H116" s="533">
        <f>SUM(G116+'1'!G93)</f>
        <v>56</v>
      </c>
      <c r="I116" s="532"/>
      <c r="J116" s="558">
        <f>H116/DAY(B2)</f>
        <v>4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4"/>
        <v>0</v>
      </c>
      <c r="H117" s="533">
        <f>SUM(G117+'1'!G94)</f>
        <v>95</v>
      </c>
      <c r="I117" s="532"/>
      <c r="J117" s="558">
        <f>H117/DAY(B2)</f>
        <v>6.7857142857142856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5.8571428571428568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196"/>
      <c r="D119" s="624" t="s">
        <v>144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6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196"/>
      <c r="D120" s="624" t="s">
        <v>144</v>
      </c>
      <c r="E120" s="536"/>
      <c r="F120" s="663">
        <f>SUM(G96,G97,G98,G100,G101)</f>
        <v>82</v>
      </c>
      <c r="G120" s="536">
        <f>SUM(G96,G97,G98,G100,G101)</f>
        <v>82</v>
      </c>
      <c r="H120" s="533">
        <f>SUM(G120+'1'!G99)</f>
        <v>87</v>
      </c>
      <c r="I120" s="535"/>
      <c r="J120" s="559">
        <f>H120/DAY(B2)</f>
        <v>6.2142857142857144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196"/>
      <c r="D121" s="624" t="s">
        <v>144</v>
      </c>
      <c r="E121" s="534"/>
      <c r="F121" s="662">
        <f>SUM(G113)</f>
        <v>57</v>
      </c>
      <c r="G121" s="534">
        <f>SUM(G113)</f>
        <v>57</v>
      </c>
      <c r="H121" s="533">
        <f>SUM(G121+'1'!G101)</f>
        <v>63</v>
      </c>
      <c r="I121" s="535"/>
      <c r="J121" s="559">
        <f>H121/DAY(B2)</f>
        <v>4.5</v>
      </c>
      <c r="N121" s="721"/>
      <c r="O121" s="728"/>
      <c r="P121" s="382"/>
    </row>
    <row r="122" spans="1:16" s="442" customFormat="1" ht="27.75">
      <c r="A122" s="1515"/>
      <c r="B122" s="1516"/>
      <c r="C122" s="1197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88" t="s">
        <v>231</v>
      </c>
      <c r="B124" s="1189"/>
      <c r="C124" s="1189"/>
      <c r="D124" s="523" t="s">
        <v>141</v>
      </c>
      <c r="E124" s="478">
        <f>'13'!F124</f>
        <v>828726.78</v>
      </c>
      <c r="F124" s="478">
        <v>828928.09</v>
      </c>
      <c r="G124" s="473">
        <f t="shared" ref="G124:G128" si="15">F124-E124</f>
        <v>201.30999999993946</v>
      </c>
      <c r="H124" s="460">
        <f>G124+'13'!H124</f>
        <v>2839.6300000000047</v>
      </c>
      <c r="I124" s="526"/>
      <c r="J124" s="552">
        <f>H124/DAY(B2)</f>
        <v>202.83071428571461</v>
      </c>
      <c r="K124" s="380"/>
      <c r="L124" s="377"/>
      <c r="N124" s="721"/>
      <c r="O124" s="728"/>
      <c r="P124" s="382"/>
    </row>
    <row r="125" spans="1:16" ht="27.75">
      <c r="A125" s="1188" t="s">
        <v>232</v>
      </c>
      <c r="B125" s="1189"/>
      <c r="C125" s="1189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'13'!F126</f>
        <v>145442.09</v>
      </c>
      <c r="F126" s="478">
        <v>145491</v>
      </c>
      <c r="G126" s="473">
        <f t="shared" si="15"/>
        <v>48.910000000003492</v>
      </c>
      <c r="H126" s="460">
        <f>G126+'13'!H126</f>
        <v>803.55999999999767</v>
      </c>
      <c r="I126" s="526"/>
      <c r="J126" s="552">
        <f>H126/DAY(B2)</f>
        <v>57.39714285714269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89"/>
      <c r="C127" s="1189"/>
      <c r="D127" s="523" t="s">
        <v>141</v>
      </c>
      <c r="E127" s="626">
        <f>'13'!F127</f>
        <v>31404</v>
      </c>
      <c r="F127" s="626">
        <v>31404</v>
      </c>
      <c r="G127" s="473">
        <f t="shared" si="15"/>
        <v>0</v>
      </c>
      <c r="H127" s="460">
        <f>G127+'13'!H127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89"/>
      <c r="C128" s="1189"/>
      <c r="D128" s="523" t="s">
        <v>141</v>
      </c>
      <c r="E128" s="626">
        <f>'13'!F128</f>
        <v>8971</v>
      </c>
      <c r="F128" s="626">
        <v>8971</v>
      </c>
      <c r="G128" s="473">
        <f t="shared" si="15"/>
        <v>0</v>
      </c>
      <c r="H128" s="460">
        <f>G128+'13'!H128</f>
        <v>1.2999999999992724</v>
      </c>
      <c r="I128" s="480"/>
      <c r="J128" s="552">
        <f>H128/DAY(B2)</f>
        <v>9.2857142857090888E-2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89"/>
      <c r="C129" s="1189"/>
      <c r="D129" s="523"/>
      <c r="E129" s="478"/>
      <c r="F129" s="478"/>
      <c r="G129" s="473">
        <f>G15-SUM(G124:G128)</f>
        <v>42.360000000131549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88" t="s">
        <v>238</v>
      </c>
      <c r="B131" s="1189"/>
      <c r="C131" s="1189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8" t="s">
        <v>240</v>
      </c>
      <c r="B132" s="1189"/>
      <c r="C132" s="1189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88" t="s">
        <v>241</v>
      </c>
      <c r="B133" s="1189"/>
      <c r="C133" s="1189"/>
      <c r="D133" s="523" t="s">
        <v>239</v>
      </c>
      <c r="E133" s="541">
        <f>'13'!F133</f>
        <v>40029.35</v>
      </c>
      <c r="F133" s="654">
        <v>40029.35</v>
      </c>
      <c r="G133" s="473">
        <f t="shared" si="16"/>
        <v>0</v>
      </c>
      <c r="H133" s="460">
        <f>G133+'13'!H133</f>
        <v>282.86999999999534</v>
      </c>
      <c r="I133" s="480"/>
      <c r="J133" s="552">
        <f>H133/DAY(B2)</f>
        <v>20.204999999999668</v>
      </c>
      <c r="N133" s="721"/>
      <c r="O133" s="728"/>
      <c r="P133" s="382"/>
    </row>
    <row r="134" spans="1:16" ht="27.75">
      <c r="A134" s="1188" t="s">
        <v>242</v>
      </c>
      <c r="B134" s="1189"/>
      <c r="C134" s="1189"/>
      <c r="D134" s="523" t="s">
        <v>239</v>
      </c>
      <c r="E134" s="704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88" t="s">
        <v>243</v>
      </c>
      <c r="B135" s="1189"/>
      <c r="C135" s="1189"/>
      <c r="D135" s="523" t="s">
        <v>239</v>
      </c>
      <c r="E135" s="704">
        <f>'13'!F135</f>
        <v>41420.9</v>
      </c>
      <c r="F135" s="626">
        <v>41445.129999999997</v>
      </c>
      <c r="G135" s="473">
        <f t="shared" si="16"/>
        <v>24.229999999995925</v>
      </c>
      <c r="H135" s="460">
        <f>G135+'13'!H135</f>
        <v>60.129999999997381</v>
      </c>
      <c r="I135" s="480"/>
      <c r="J135" s="552">
        <f>H135/DAY(B2)</f>
        <v>4.2949999999998125</v>
      </c>
      <c r="N135" s="721"/>
      <c r="O135" s="728"/>
      <c r="P135" s="382"/>
    </row>
    <row r="136" spans="1:16" ht="27.75">
      <c r="A136" s="1188" t="s">
        <v>244</v>
      </c>
      <c r="B136" s="1189"/>
      <c r="C136" s="1189"/>
      <c r="D136" s="523" t="s">
        <v>239</v>
      </c>
      <c r="E136" s="541">
        <f>'13'!F136</f>
        <v>32582.560000000001</v>
      </c>
      <c r="F136" s="654">
        <v>32582.98</v>
      </c>
      <c r="G136" s="473">
        <f t="shared" si="16"/>
        <v>0.41999999999825377</v>
      </c>
      <c r="H136" s="460">
        <f>G136+'13'!H136</f>
        <v>-2.0000000000436557E-2</v>
      </c>
      <c r="I136" s="480"/>
      <c r="J136" s="552">
        <f>H136/DAY(B2)</f>
        <v>-1.4285714286026113E-3</v>
      </c>
      <c r="N136" s="721"/>
      <c r="O136" s="728"/>
      <c r="P136" s="382"/>
    </row>
    <row r="137" spans="1:16" ht="27.75">
      <c r="A137" s="1188" t="s">
        <v>245</v>
      </c>
      <c r="B137" s="1189"/>
      <c r="C137" s="1189"/>
      <c r="D137" s="523" t="s">
        <v>239</v>
      </c>
      <c r="E137" s="541">
        <f>'13'!F137</f>
        <v>22766.92</v>
      </c>
      <c r="F137" s="654">
        <v>22766.92</v>
      </c>
      <c r="G137" s="473">
        <f t="shared" si="16"/>
        <v>0</v>
      </c>
      <c r="H137" s="460">
        <f>G137+'13'!H137</f>
        <v>27.329999999998108</v>
      </c>
      <c r="I137" s="480">
        <f>G135+G136+G137</f>
        <v>24.649999999994179</v>
      </c>
      <c r="J137" s="552">
        <f>H137/DAY(B2)</f>
        <v>1.952142857142722</v>
      </c>
      <c r="N137" s="721"/>
      <c r="O137" s="728"/>
      <c r="P137" s="382"/>
    </row>
    <row r="138" spans="1:16" ht="27.75">
      <c r="A138" s="1188" t="s">
        <v>246</v>
      </c>
      <c r="B138" s="1189"/>
      <c r="C138" s="1189"/>
      <c r="D138" s="523" t="s">
        <v>239</v>
      </c>
      <c r="E138" s="541">
        <f>'13'!F138</f>
        <v>25051.72</v>
      </c>
      <c r="F138" s="654">
        <v>25051.72</v>
      </c>
      <c r="G138" s="473">
        <f t="shared" si="16"/>
        <v>0</v>
      </c>
      <c r="H138" s="460">
        <f>G138+'13'!H138</f>
        <v>0.13000000000101863</v>
      </c>
      <c r="I138" s="480"/>
      <c r="J138" s="552">
        <f>H138/DAY(B2)</f>
        <v>9.2857142857870455E-3</v>
      </c>
      <c r="N138" s="721"/>
      <c r="O138" s="728"/>
      <c r="P138" s="382"/>
    </row>
    <row r="139" spans="1:16" ht="27.75">
      <c r="A139" s="1188" t="s">
        <v>247</v>
      </c>
      <c r="B139" s="1189"/>
      <c r="C139" s="1189"/>
      <c r="D139" s="523" t="s">
        <v>239</v>
      </c>
      <c r="E139" s="541">
        <f>'13'!F139</f>
        <v>70351.94</v>
      </c>
      <c r="F139" s="654">
        <v>70351.94</v>
      </c>
      <c r="G139" s="473">
        <f t="shared" si="16"/>
        <v>0</v>
      </c>
      <c r="H139" s="460">
        <f>G139+'13'!H139</f>
        <v>36.130000000004657</v>
      </c>
      <c r="I139" s="480">
        <f>G138+G139</f>
        <v>0</v>
      </c>
      <c r="J139" s="552">
        <f>H139/DAY(B2)</f>
        <v>2.5807142857146181</v>
      </c>
      <c r="N139" s="721"/>
      <c r="O139" s="728"/>
      <c r="P139" s="382"/>
    </row>
    <row r="140" spans="1:16" ht="27.75">
      <c r="A140" s="1188" t="s">
        <v>248</v>
      </c>
      <c r="B140" s="1189"/>
      <c r="C140" s="1189"/>
      <c r="D140" s="523" t="s">
        <v>239</v>
      </c>
      <c r="E140" s="704">
        <f>'13'!F140</f>
        <v>1716.31</v>
      </c>
      <c r="F140" s="626">
        <v>1723.89</v>
      </c>
      <c r="G140" s="473">
        <f t="shared" si="16"/>
        <v>7.5800000000001546</v>
      </c>
      <c r="H140" s="460">
        <f>G140+'13'!H140</f>
        <v>107.0300000000002</v>
      </c>
      <c r="I140" s="542"/>
      <c r="J140" s="552">
        <f>H140/DAY(B2)</f>
        <v>7.6450000000000147</v>
      </c>
      <c r="N140" s="721"/>
      <c r="O140" s="728"/>
      <c r="P140" s="382"/>
    </row>
    <row r="141" spans="1:16" ht="27.75">
      <c r="A141" s="1188" t="s">
        <v>249</v>
      </c>
      <c r="B141" s="1189"/>
      <c r="C141" s="1189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21"/>
      <c r="O141" s="728"/>
      <c r="P141" s="382"/>
    </row>
    <row r="142" spans="1:16">
      <c r="A142" s="1531" t="s">
        <v>250</v>
      </c>
      <c r="B142" s="1532"/>
      <c r="C142" s="1192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3796.6199999998789</v>
      </c>
      <c r="H143" s="460">
        <f>G143+'13'!H143</f>
        <v>59180.479999999909</v>
      </c>
      <c r="I143" s="480"/>
      <c r="J143" s="552">
        <f>H143/DAY(B2)</f>
        <v>4227.1771428571365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0.26542959574038838</v>
      </c>
      <c r="H144" s="460">
        <f>G144+'13'!H144</f>
        <v>3.7902022076114341</v>
      </c>
      <c r="I144" s="544"/>
      <c r="J144" s="552">
        <f>H144/DAY(B2)</f>
        <v>0.27072872911510243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4497.8899999999994</v>
      </c>
      <c r="H145" s="460">
        <f>G145+'13'!H145</f>
        <v>67529.859999999986</v>
      </c>
      <c r="I145" s="480"/>
      <c r="J145" s="552">
        <f>H145/DAY(B2)</f>
        <v>4823.5614285714273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0.31445683907917399</v>
      </c>
      <c r="H146" s="460">
        <f>G146+'13'!H146</f>
        <v>4.3379407698026906</v>
      </c>
      <c r="I146" s="544"/>
      <c r="J146" s="552">
        <f>H146/DAY(B2)</f>
        <v>0.30985291212876359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2207.4399999999441</v>
      </c>
      <c r="H147" s="460">
        <f>G147+'13'!H147</f>
        <v>31571.179999999993</v>
      </c>
      <c r="I147" s="545"/>
      <c r="J147" s="552">
        <f>H147/DAY(B2)</f>
        <v>2255.0842857142852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0.15432671871853565</v>
      </c>
      <c r="H148" s="460">
        <f>G148+'13'!H148</f>
        <v>2.0241753564598519</v>
      </c>
      <c r="I148" s="545"/>
      <c r="J148" s="552">
        <f>H148/DAY(B2)</f>
        <v>0.14458395403284657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1089.1100000000151</v>
      </c>
      <c r="H149" s="460">
        <f>G149+'13'!H149</f>
        <v>16725.03999999995</v>
      </c>
      <c r="I149" s="480"/>
      <c r="J149" s="552">
        <f>H149/DAY(B2)</f>
        <v>1194.6457142857107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7.6141943891363278E-2</v>
      </c>
      <c r="H150" s="460">
        <f>G150+'13'!H150</f>
        <v>1.0724602102861276</v>
      </c>
      <c r="I150" s="545"/>
      <c r="J150" s="552">
        <f>H150/DAY(B2)</f>
        <v>7.6604300734723393E-2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785.8399999999674</v>
      </c>
      <c r="H151" s="460">
        <f>G151+'13'!H151</f>
        <v>15449.989999999991</v>
      </c>
      <c r="I151" s="545"/>
      <c r="J151" s="552">
        <f>H151/DAY(B2)</f>
        <v>1103.5707142857136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5.493970782343896E-2</v>
      </c>
      <c r="H152" s="460">
        <f>G152+'13'!H152</f>
        <v>0.98236926743352471</v>
      </c>
      <c r="I152" s="480"/>
      <c r="J152" s="552">
        <f>H152/DAY(B2)</f>
        <v>7.0169233388108904E-2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1194.9100000000035</v>
      </c>
      <c r="H153" s="460">
        <f>G153+'13'!H153</f>
        <v>17041.78</v>
      </c>
      <c r="I153" s="480"/>
      <c r="J153" s="552">
        <f>H153/DAY(B2)</f>
        <v>1217.27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8.3538641804067448E-2</v>
      </c>
      <c r="H154" s="460">
        <f>G154+'13'!H154</f>
        <v>1.0935009160404494</v>
      </c>
      <c r="I154" s="568"/>
      <c r="J154" s="569">
        <f>H154/DAY(B2)</f>
        <v>7.8107208288603527E-2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'13'!F161</f>
        <v>36991.79</v>
      </c>
      <c r="F161" s="807">
        <v>37071.870000000003</v>
      </c>
      <c r="G161" s="473">
        <f t="shared" ref="G161:G164" si="17">F161-E161</f>
        <v>80.080000000001746</v>
      </c>
      <c r="N161" s="721"/>
    </row>
    <row r="162" spans="1:14" ht="21.75" customHeight="1">
      <c r="A162" s="798" t="s">
        <v>264</v>
      </c>
      <c r="B162" s="799"/>
      <c r="C162" s="799"/>
      <c r="D162" s="620" t="s">
        <v>187</v>
      </c>
      <c r="E162" s="522">
        <f>'13'!F162</f>
        <v>87811.65</v>
      </c>
      <c r="F162" s="807">
        <v>88224.68</v>
      </c>
      <c r="G162" s="473">
        <f t="shared" si="17"/>
        <v>413.02999999999884</v>
      </c>
      <c r="N162" s="721"/>
    </row>
    <row r="163" spans="1:14" ht="21.75" customHeight="1">
      <c r="A163" s="798" t="s">
        <v>265</v>
      </c>
      <c r="B163" s="799"/>
      <c r="C163" s="799"/>
      <c r="D163" s="620" t="s">
        <v>187</v>
      </c>
      <c r="E163" s="522">
        <f>'13'!F163</f>
        <v>41174.32</v>
      </c>
      <c r="F163" s="807">
        <v>41418.35</v>
      </c>
      <c r="G163" s="473">
        <f t="shared" si="17"/>
        <v>244.02999999999884</v>
      </c>
      <c r="N163" s="721"/>
    </row>
    <row r="164" spans="1:14" ht="21.75" customHeight="1">
      <c r="A164" s="798" t="s">
        <v>266</v>
      </c>
      <c r="B164" s="799"/>
      <c r="C164" s="799"/>
      <c r="D164" s="620" t="s">
        <v>187</v>
      </c>
      <c r="E164" s="522">
        <f>'13'!F164</f>
        <v>6367.18</v>
      </c>
      <c r="F164" s="807">
        <v>6378.14</v>
      </c>
      <c r="G164" s="473">
        <f t="shared" si="17"/>
        <v>10.960000000000036</v>
      </c>
      <c r="N164" s="721"/>
    </row>
    <row r="165" spans="1:14" ht="21.75" customHeight="1">
      <c r="A165" s="800" t="s">
        <v>98</v>
      </c>
      <c r="B165" s="801"/>
      <c r="C165" s="801"/>
      <c r="D165" s="620" t="s">
        <v>187</v>
      </c>
      <c r="E165" s="514">
        <f>E62</f>
        <v>0</v>
      </c>
      <c r="F165" s="514">
        <f>F62</f>
        <v>0</v>
      </c>
      <c r="G165" s="473">
        <f t="shared" ref="G165:G172" si="18">F165-E165</f>
        <v>0</v>
      </c>
      <c r="N165" s="721"/>
    </row>
    <row r="166" spans="1:14" ht="21.75" customHeight="1">
      <c r="A166" s="800" t="s">
        <v>188</v>
      </c>
      <c r="B166" s="801"/>
      <c r="C166" s="801"/>
      <c r="D166" s="620" t="s">
        <v>187</v>
      </c>
      <c r="E166" s="514">
        <f t="shared" ref="E166:E172" si="19">E63</f>
        <v>2408.36</v>
      </c>
      <c r="F166" s="514">
        <f t="shared" ref="F166:F172" si="20">F63</f>
        <v>2412.15</v>
      </c>
      <c r="G166" s="473">
        <f t="shared" si="18"/>
        <v>3.7899999999999636</v>
      </c>
      <c r="N166" s="721"/>
    </row>
    <row r="167" spans="1:14" ht="21.75" customHeight="1">
      <c r="A167" s="1570" t="s">
        <v>99</v>
      </c>
      <c r="B167" s="1570"/>
      <c r="C167" s="1570"/>
      <c r="D167" s="524" t="s">
        <v>187</v>
      </c>
      <c r="E167" s="514">
        <f t="shared" si="19"/>
        <v>155994.29</v>
      </c>
      <c r="F167" s="514">
        <f t="shared" si="20"/>
        <v>156201.04999999999</v>
      </c>
      <c r="G167" s="473">
        <f t="shared" si="18"/>
        <v>206.75999999998021</v>
      </c>
      <c r="N167" s="721"/>
    </row>
    <row r="168" spans="1:14" ht="21.75" customHeight="1">
      <c r="A168" s="1570" t="s">
        <v>100</v>
      </c>
      <c r="B168" s="1570"/>
      <c r="C168" s="1570"/>
      <c r="D168" s="524" t="s">
        <v>187</v>
      </c>
      <c r="E168" s="514">
        <f t="shared" si="19"/>
        <v>156935.51999999999</v>
      </c>
      <c r="F168" s="514">
        <f t="shared" si="20"/>
        <v>157101.17000000001</v>
      </c>
      <c r="G168" s="473">
        <f t="shared" si="18"/>
        <v>165.65000000002328</v>
      </c>
      <c r="N168" s="721"/>
    </row>
    <row r="169" spans="1:14" ht="21.75" customHeight="1">
      <c r="A169" s="1570" t="s">
        <v>101</v>
      </c>
      <c r="B169" s="1570"/>
      <c r="C169" s="1570"/>
      <c r="D169" s="524" t="s">
        <v>187</v>
      </c>
      <c r="E169" s="514">
        <f t="shared" si="19"/>
        <v>51922.93</v>
      </c>
      <c r="F169" s="514">
        <f t="shared" si="20"/>
        <v>52175.54</v>
      </c>
      <c r="G169" s="473">
        <f t="shared" si="18"/>
        <v>252.61000000000058</v>
      </c>
      <c r="N169" s="721"/>
    </row>
    <row r="170" spans="1:14" ht="21.75" customHeight="1">
      <c r="A170" s="1570" t="s">
        <v>102</v>
      </c>
      <c r="B170" s="1570"/>
      <c r="C170" s="1570"/>
      <c r="D170" s="524" t="s">
        <v>187</v>
      </c>
      <c r="E170" s="514">
        <f t="shared" si="19"/>
        <v>245187.61</v>
      </c>
      <c r="F170" s="514">
        <f t="shared" si="20"/>
        <v>245401.59</v>
      </c>
      <c r="G170" s="473">
        <f t="shared" si="18"/>
        <v>213.98000000001048</v>
      </c>
      <c r="N170" s="721"/>
    </row>
    <row r="171" spans="1:14" ht="24" customHeight="1">
      <c r="A171" s="1570" t="s">
        <v>103</v>
      </c>
      <c r="B171" s="1570"/>
      <c r="C171" s="1570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14">
        <f t="shared" si="19"/>
        <v>79957.27</v>
      </c>
      <c r="F172" s="514">
        <f t="shared" si="20"/>
        <v>80000.070000000007</v>
      </c>
      <c r="G172" s="473">
        <f t="shared" si="18"/>
        <v>42.80000000000291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1633.6900000000169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>
      <c r="N198" s="721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Normal="80" zoomScaleSheetLayoutView="55" workbookViewId="0">
      <selection activeCell="F28" activeCellId="1" sqref="F28 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354</v>
      </c>
      <c r="B2" s="1036">
        <v>44331</v>
      </c>
      <c r="C2" s="1204" t="s">
        <v>69</v>
      </c>
      <c r="D2" s="611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4" t="s">
        <v>120</v>
      </c>
      <c r="D3" s="612">
        <v>31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63827.51</v>
      </c>
      <c r="F7" s="455">
        <v>80860</v>
      </c>
      <c r="G7" s="681">
        <f t="shared" ref="G7:G12" si="0">F7-E7</f>
        <v>17032.489999999998</v>
      </c>
      <c r="H7" s="682">
        <f>G7+'14'!H7</f>
        <v>235882.99999999997</v>
      </c>
      <c r="I7" s="683">
        <f>'1'!I7</f>
        <v>12000</v>
      </c>
      <c r="J7" s="684">
        <f>H7/DAY(B2)</f>
        <v>15725.533333333331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64319.28</v>
      </c>
      <c r="F8" s="475">
        <v>81436</v>
      </c>
      <c r="G8" s="692">
        <f t="shared" si="0"/>
        <v>17116.72</v>
      </c>
      <c r="H8" s="682">
        <f>G8+'14'!H8</f>
        <v>237195.00000000003</v>
      </c>
      <c r="I8" s="689">
        <f>'1'!I8</f>
        <v>12000</v>
      </c>
      <c r="J8" s="684">
        <f>H8/DAY(B2)</f>
        <v>15813.000000000002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1202298.2</v>
      </c>
      <c r="F9" s="478">
        <v>1218784</v>
      </c>
      <c r="G9" s="705">
        <f t="shared" si="0"/>
        <v>16485.800000000047</v>
      </c>
      <c r="H9" s="682">
        <f>G9+'14'!H9</f>
        <v>228070</v>
      </c>
      <c r="I9" s="693">
        <f>I7-J7</f>
        <v>-3725.533333333331</v>
      </c>
      <c r="J9" s="684">
        <f>H9/DAY(B2)</f>
        <v>15204.666666666666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16485.800000000047</v>
      </c>
      <c r="H13" s="682">
        <f>G13+'14'!H13</f>
        <v>213549</v>
      </c>
      <c r="I13" s="698">
        <f>G7-G13</f>
        <v>546.6899999999514</v>
      </c>
      <c r="J13" s="684">
        <f>H13/DAY(B2)</f>
        <v>14236.6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1676663.58</v>
      </c>
      <c r="F15" s="626">
        <v>1677101</v>
      </c>
      <c r="G15" s="667">
        <f>(F15-E15)</f>
        <v>437.41999999992549</v>
      </c>
      <c r="H15" s="486">
        <f>G15+'14'!H15</f>
        <v>6444</v>
      </c>
      <c r="I15" s="474">
        <v>800</v>
      </c>
      <c r="J15" s="553">
        <f>H15/DAY(B2)</f>
        <v>429.6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370.4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'14'!F18</f>
        <v>2</v>
      </c>
      <c r="F18" s="478">
        <v>6</v>
      </c>
      <c r="G18" s="697">
        <f>F18*10</f>
        <v>60</v>
      </c>
      <c r="H18" s="682">
        <f>G18+'14'!H18</f>
        <v>560</v>
      </c>
      <c r="I18" s="683">
        <f>'1'!I18</f>
        <v>65</v>
      </c>
      <c r="J18" s="684">
        <f>H18/DAY(B2)</f>
        <v>37.333333333333336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'14'!F19</f>
        <v>138575</v>
      </c>
      <c r="F19" s="478">
        <v>138631</v>
      </c>
      <c r="G19" s="692">
        <f t="shared" ref="G19" si="1">F19-E19</f>
        <v>56</v>
      </c>
      <c r="H19" s="682">
        <f>G19+'14'!H19</f>
        <v>819</v>
      </c>
      <c r="I19" s="699"/>
      <c r="J19" s="684">
        <f>H19/DAY(B2)</f>
        <v>54.6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116</v>
      </c>
      <c r="H20" s="682">
        <f>G20+'14'!H20</f>
        <v>1379</v>
      </c>
      <c r="I20" s="701">
        <f>I18-J20</f>
        <v>-26.933333333333337</v>
      </c>
      <c r="J20" s="684">
        <f>H20/DAY(B2)</f>
        <v>91.933333333333337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2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2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17116.72</v>
      </c>
      <c r="F27" s="501">
        <v>9</v>
      </c>
      <c r="G27" s="502">
        <f>E27*F27</f>
        <v>154050.48000000001</v>
      </c>
      <c r="H27" s="460">
        <f>G27+'14'!H27</f>
        <v>2134755</v>
      </c>
      <c r="I27" s="503"/>
      <c r="J27" s="552">
        <f>H27/DAY(B2)</f>
        <v>142317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437.41999999992549</v>
      </c>
      <c r="F28" s="501">
        <v>49</v>
      </c>
      <c r="G28" s="502">
        <f>E28*F28</f>
        <v>21433.579999996349</v>
      </c>
      <c r="H28" s="460">
        <f>G28+'14'!H28</f>
        <v>318541.65000000002</v>
      </c>
      <c r="I28" s="505"/>
      <c r="J28" s="552">
        <f>H28/DAY(B2)</f>
        <v>21236.11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G30+'14'!H30</f>
        <v>109746</v>
      </c>
      <c r="I30" s="505"/>
      <c r="J30" s="552">
        <f>H30/DAY(B2)</f>
        <v>7316.4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G31+'14'!H31</f>
        <v>44800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187788.05999999636</v>
      </c>
      <c r="H32" s="460">
        <f>G32+'14'!H32</f>
        <v>2607842.65</v>
      </c>
      <c r="I32" s="509"/>
      <c r="J32" s="552">
        <f>H32/DAY(B2)</f>
        <v>173856.17666666667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915038.95</v>
      </c>
      <c r="F35" s="510">
        <v>917046</v>
      </c>
      <c r="G35" s="473">
        <f t="shared" ref="G35:G46" si="3">F35-E35</f>
        <v>2007.0500000000466</v>
      </c>
      <c r="H35" s="460">
        <f>G35+'14'!H35</f>
        <v>30587</v>
      </c>
      <c r="I35" s="455"/>
      <c r="J35" s="552">
        <f>H35/DAY(B2)</f>
        <v>2039.1333333333334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347065</v>
      </c>
      <c r="F36" s="510">
        <v>347065</v>
      </c>
      <c r="G36" s="473">
        <f t="shared" si="3"/>
        <v>0</v>
      </c>
      <c r="H36" s="460">
        <f>G36+'14'!H36</f>
        <v>2457</v>
      </c>
      <c r="I36" s="455"/>
      <c r="J36" s="552">
        <f>H36/DAY(B2)</f>
        <v>163.80000000000001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112266.91</v>
      </c>
      <c r="F37" s="510">
        <v>113564</v>
      </c>
      <c r="G37" s="473">
        <f t="shared" si="3"/>
        <v>1297.0899999999965</v>
      </c>
      <c r="H37" s="460">
        <f>G37+'14'!H37</f>
        <v>18339</v>
      </c>
      <c r="I37" s="455"/>
      <c r="J37" s="552">
        <f>H37/DAY(B2)</f>
        <v>1222.5999999999999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136320.97</v>
      </c>
      <c r="F38" s="469">
        <v>137637</v>
      </c>
      <c r="G38" s="473">
        <f t="shared" si="3"/>
        <v>1316.0299999999988</v>
      </c>
      <c r="H38" s="460">
        <f>G38+'14'!H38</f>
        <v>18041</v>
      </c>
      <c r="I38" s="455"/>
      <c r="J38" s="552">
        <f>H38/DAY(B2)</f>
        <v>1202.7333333333333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271010.89</v>
      </c>
      <c r="F39" s="510">
        <v>273184</v>
      </c>
      <c r="G39" s="473">
        <f t="shared" si="3"/>
        <v>2173.109999999986</v>
      </c>
      <c r="H39" s="460">
        <f>G39+'14'!H39</f>
        <v>26531</v>
      </c>
      <c r="I39" s="455"/>
      <c r="J39" s="552">
        <f>H39/DAY(B2)</f>
        <v>1768.7333333333333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263.02999999999997</v>
      </c>
      <c r="F40" s="510">
        <v>298</v>
      </c>
      <c r="G40" s="473">
        <f t="shared" si="3"/>
        <v>34.970000000000027</v>
      </c>
      <c r="H40" s="460">
        <f>G40+'14'!H40</f>
        <v>297.77</v>
      </c>
      <c r="I40" s="455"/>
      <c r="J40" s="552">
        <f>H40/DAY(B2)</f>
        <v>19.851333333333333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239196.55</v>
      </c>
      <c r="F41" s="510">
        <v>239668</v>
      </c>
      <c r="G41" s="473">
        <f t="shared" si="3"/>
        <v>471.45000000001164</v>
      </c>
      <c r="H41" s="460">
        <f>G41+'14'!H41</f>
        <v>58140</v>
      </c>
      <c r="I41" s="455"/>
      <c r="J41" s="552">
        <f>H41/DAY(B2)</f>
        <v>3876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59200.08</v>
      </c>
      <c r="F42" s="510">
        <v>59200</v>
      </c>
      <c r="G42" s="473">
        <f t="shared" si="3"/>
        <v>-8.000000000174623E-2</v>
      </c>
      <c r="H42" s="460">
        <f>G42+'14'!H42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1004558.2</v>
      </c>
      <c r="F43" s="510">
        <v>1006633</v>
      </c>
      <c r="G43" s="473">
        <f t="shared" si="3"/>
        <v>2074.8000000000466</v>
      </c>
      <c r="H43" s="460">
        <f>G43+'14'!H43</f>
        <v>32675</v>
      </c>
      <c r="I43" s="455"/>
      <c r="J43" s="552">
        <f>H43/DAY(B2)</f>
        <v>2178.3333333333335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9374.4200000000856</v>
      </c>
      <c r="H47" s="460">
        <f>G47+'14'!H47</f>
        <v>187068.26</v>
      </c>
      <c r="I47" s="455"/>
      <c r="J47" s="552">
        <f>H47/DAY(B2)</f>
        <v>12471.217333333334</v>
      </c>
      <c r="K47" s="428"/>
      <c r="L47" s="377"/>
      <c r="N47" s="721"/>
      <c r="O47" s="728"/>
      <c r="P47" s="382"/>
    </row>
    <row r="48" spans="1:16">
      <c r="A48" s="598" t="s">
        <v>177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260732.13</v>
      </c>
      <c r="F49" s="510">
        <v>260732</v>
      </c>
      <c r="G49" s="473">
        <f t="shared" ref="G49:G58" si="4">F49-E49</f>
        <v>-0.13000000000465661</v>
      </c>
      <c r="H49" s="460">
        <f>G49+'14'!H49</f>
        <v>-0.13000000000465661</v>
      </c>
      <c r="I49" s="455"/>
      <c r="J49" s="552">
        <f>H49/DAY(B2)</f>
        <v>-8.6666666669771072E-3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487528.99</v>
      </c>
      <c r="F50" s="510">
        <v>488424</v>
      </c>
      <c r="G50" s="473">
        <f t="shared" si="4"/>
        <v>895.01000000000931</v>
      </c>
      <c r="H50" s="460">
        <f>G50+'14'!H50</f>
        <v>12949</v>
      </c>
      <c r="I50" s="455"/>
      <c r="J50" s="552">
        <f>H50/DAY(B2)</f>
        <v>863.26666666666665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423524.29</v>
      </c>
      <c r="F53" s="510">
        <v>423999</v>
      </c>
      <c r="G53" s="473">
        <f t="shared" si="4"/>
        <v>474.71000000002095</v>
      </c>
      <c r="H53" s="460">
        <f>G53+'14'!H53</f>
        <v>7165</v>
      </c>
      <c r="I53" s="455"/>
      <c r="J53" s="552">
        <f>H53/DAY(B2)</f>
        <v>477.66666666666669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12398.01</v>
      </c>
      <c r="F54" s="510">
        <v>12469</v>
      </c>
      <c r="G54" s="473">
        <f t="shared" si="4"/>
        <v>70.989999999999782</v>
      </c>
      <c r="H54" s="460">
        <f>G54+'14'!H54</f>
        <v>4707</v>
      </c>
      <c r="I54" s="455"/>
      <c r="J54" s="552">
        <f>H54/DAY(B2)</f>
        <v>313.8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9724.99</v>
      </c>
      <c r="F55" s="656">
        <v>15098</v>
      </c>
      <c r="G55" s="655">
        <f t="shared" si="4"/>
        <v>5373.01</v>
      </c>
      <c r="H55" s="708">
        <f>G55+'14'!H55</f>
        <v>15098</v>
      </c>
      <c r="I55" s="709"/>
      <c r="J55" s="710">
        <f>H55/DAY(B2)</f>
        <v>1006.5333333333333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589424.71</v>
      </c>
      <c r="F56" s="656">
        <v>589435.47</v>
      </c>
      <c r="G56" s="473">
        <f t="shared" si="4"/>
        <v>10.760000000009313</v>
      </c>
      <c r="H56" s="460">
        <f>G56+'14'!H56</f>
        <v>147.10999999998603</v>
      </c>
      <c r="I56" s="455"/>
      <c r="J56" s="552">
        <f>H56/DAY(B2)</f>
        <v>9.8073333333324015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47868.27</v>
      </c>
      <c r="F58" s="656">
        <v>47905</v>
      </c>
      <c r="G58" s="473">
        <f t="shared" si="4"/>
        <v>36.730000000003201</v>
      </c>
      <c r="H58" s="460">
        <f>G58+'14'!H58</f>
        <v>1188</v>
      </c>
      <c r="I58" s="455"/>
      <c r="J58" s="552">
        <f>H58/DAY(B2)</f>
        <v>79.2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6861.0100000000893</v>
      </c>
      <c r="H59" s="460">
        <f>G59+'14'!H59</f>
        <v>41254.179999999978</v>
      </c>
      <c r="I59" s="455">
        <f>G7-G60</f>
        <v>797.05999999982305</v>
      </c>
      <c r="J59" s="552">
        <f>H59/DAY(B2)</f>
        <v>2750.2786666666652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16235.430000000175</v>
      </c>
      <c r="H60" s="460">
        <f>G60+'14'!H60</f>
        <v>229906.33</v>
      </c>
      <c r="I60" s="455">
        <f>G13-G60</f>
        <v>250.36999999987165</v>
      </c>
      <c r="J60" s="552">
        <f>H60/DAY(B2)</f>
        <v>15327.088666666667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2412.15</v>
      </c>
      <c r="F63" s="514">
        <v>2415</v>
      </c>
      <c r="G63" s="473">
        <f t="shared" si="5"/>
        <v>2.8499999999999091</v>
      </c>
      <c r="H63" s="460">
        <f>G63+'14'!H63</f>
        <v>56</v>
      </c>
      <c r="I63" s="515"/>
      <c r="J63" s="552">
        <f>H63/DAY(B2)</f>
        <v>3.7333333333333334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514">
        <f>'14'!F64</f>
        <v>156201.04999999999</v>
      </c>
      <c r="F64" s="478">
        <v>156403</v>
      </c>
      <c r="G64" s="473">
        <f t="shared" si="5"/>
        <v>201.95000000001164</v>
      </c>
      <c r="H64" s="460">
        <f>G64+'14'!H64</f>
        <v>3104</v>
      </c>
      <c r="I64" s="480"/>
      <c r="J64" s="552">
        <f>H64/DAY(B2)</f>
        <v>206.93333333333334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'14'!F65</f>
        <v>157101.17000000001</v>
      </c>
      <c r="F65" s="654">
        <v>157372</v>
      </c>
      <c r="G65" s="473">
        <f t="shared" si="5"/>
        <v>270.82999999998719</v>
      </c>
      <c r="H65" s="460">
        <f>G65+'14'!H65</f>
        <v>2773</v>
      </c>
      <c r="I65" s="489"/>
      <c r="J65" s="552">
        <f>H65/DAY(B2)</f>
        <v>184.86666666666667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'14'!F66</f>
        <v>52175.54</v>
      </c>
      <c r="F66" s="478">
        <v>52447</v>
      </c>
      <c r="G66" s="473">
        <f t="shared" si="5"/>
        <v>271.45999999999913</v>
      </c>
      <c r="H66" s="460">
        <f>G66+'14'!H66</f>
        <v>3876</v>
      </c>
      <c r="I66" s="480"/>
      <c r="J66" s="552">
        <f>H66/DAY(B2)</f>
        <v>258.39999999999998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'14'!F67</f>
        <v>245401.59</v>
      </c>
      <c r="F67" s="478">
        <v>245741</v>
      </c>
      <c r="G67" s="473">
        <f t="shared" si="5"/>
        <v>339.41000000000349</v>
      </c>
      <c r="H67" s="460">
        <f>G67+'14'!H67</f>
        <v>2567</v>
      </c>
      <c r="I67" s="489"/>
      <c r="J67" s="552">
        <f>H67/DAY(B2)</f>
        <v>171.13333333333333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'14'!F69</f>
        <v>80000.070000000007</v>
      </c>
      <c r="F69" s="478">
        <v>80090</v>
      </c>
      <c r="G69" s="473">
        <f t="shared" si="5"/>
        <v>89.929999999993015</v>
      </c>
      <c r="H69" s="460">
        <f>G69+'14'!H69</f>
        <v>1096</v>
      </c>
      <c r="I69" s="516"/>
      <c r="J69" s="552">
        <f>H69/DAY(B2)</f>
        <v>73.066666666666663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'14'!F72</f>
        <v>855665</v>
      </c>
      <c r="F72" s="657">
        <v>855675</v>
      </c>
      <c r="G72" s="473">
        <f t="shared" ref="G72:G84" si="6">F72-E72</f>
        <v>10</v>
      </c>
      <c r="H72" s="460">
        <f>G72+'14'!H72</f>
        <v>203</v>
      </c>
      <c r="I72" s="480"/>
      <c r="J72" s="552">
        <f>H72/DAY(B2)</f>
        <v>13.533333333333333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'14'!F73</f>
        <v>885891</v>
      </c>
      <c r="F73" s="658">
        <v>885892</v>
      </c>
      <c r="G73" s="655">
        <f t="shared" si="6"/>
        <v>1</v>
      </c>
      <c r="H73" s="460">
        <f>G73+'14'!H73</f>
        <v>196</v>
      </c>
      <c r="I73" s="480"/>
      <c r="J73" s="552">
        <f>H73/DAY(B2)</f>
        <v>13.066666666666666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'14'!F74</f>
        <v>2473.16</v>
      </c>
      <c r="F74" s="658">
        <v>2480</v>
      </c>
      <c r="G74" s="473">
        <f t="shared" si="6"/>
        <v>6.8400000000001455</v>
      </c>
      <c r="H74" s="460">
        <f>G74+'14'!H74</f>
        <v>201</v>
      </c>
      <c r="I74" s="480"/>
      <c r="J74" s="552">
        <f>H74/DAY(B2)</f>
        <v>13.4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'14'!F75</f>
        <v>11714.59</v>
      </c>
      <c r="F75" s="658">
        <v>11767</v>
      </c>
      <c r="G75" s="473">
        <f t="shared" si="6"/>
        <v>52.409999999999854</v>
      </c>
      <c r="H75" s="460">
        <f>G75+'14'!H75</f>
        <v>797</v>
      </c>
      <c r="I75" s="480"/>
      <c r="J75" s="552">
        <f>H75/DAY(B2)</f>
        <v>53.133333333333333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'14'!F76</f>
        <v>6464.57</v>
      </c>
      <c r="F76" s="658">
        <v>6522</v>
      </c>
      <c r="G76" s="473">
        <f t="shared" si="6"/>
        <v>57.430000000000291</v>
      </c>
      <c r="H76" s="460">
        <f>G76+'14'!H76</f>
        <v>805.04999999999927</v>
      </c>
      <c r="I76" s="505"/>
      <c r="J76" s="552">
        <f>H76/DAY(B2)</f>
        <v>53.669999999999952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'14'!F77</f>
        <v>702211</v>
      </c>
      <c r="F77" s="658">
        <v>702236</v>
      </c>
      <c r="G77" s="655">
        <f t="shared" si="6"/>
        <v>25</v>
      </c>
      <c r="H77" s="460">
        <f>G77+'14'!H77</f>
        <v>674</v>
      </c>
      <c r="I77" s="505"/>
      <c r="J77" s="552">
        <f>H77/DAY(B2)</f>
        <v>44.93333333333333</v>
      </c>
      <c r="K77" s="430"/>
      <c r="L77" s="377"/>
      <c r="N77" s="721"/>
      <c r="O77" s="728"/>
      <c r="P77" s="382"/>
    </row>
    <row r="78" spans="1:16" ht="27.75">
      <c r="A78" s="1205" t="s">
        <v>197</v>
      </c>
      <c r="B78" s="1198"/>
      <c r="C78" s="1198"/>
      <c r="D78" s="523" t="s">
        <v>187</v>
      </c>
      <c r="E78" s="519">
        <f>'14'!F78</f>
        <v>671123</v>
      </c>
      <c r="F78" s="659">
        <v>671267</v>
      </c>
      <c r="G78" s="473">
        <f t="shared" si="6"/>
        <v>144</v>
      </c>
      <c r="H78" s="460">
        <f>G78+'14'!H78</f>
        <v>1242</v>
      </c>
      <c r="I78" s="505"/>
      <c r="J78" s="552">
        <f>H78/DAY(B2)</f>
        <v>82.8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'14'!F79</f>
        <v>828805</v>
      </c>
      <c r="F79" s="659">
        <v>828930</v>
      </c>
      <c r="G79" s="473">
        <f t="shared" si="6"/>
        <v>125</v>
      </c>
      <c r="H79" s="460">
        <f>G79+'14'!H79</f>
        <v>1199</v>
      </c>
      <c r="I79" s="505"/>
      <c r="J79" s="552">
        <f>H79/DAY(B2)</f>
        <v>79.933333333333337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'14'!F80</f>
        <v>521713.32</v>
      </c>
      <c r="F80" s="658">
        <v>522087</v>
      </c>
      <c r="G80" s="473">
        <f t="shared" si="6"/>
        <v>373.67999999999302</v>
      </c>
      <c r="H80" s="460">
        <f>G80+'14'!H80</f>
        <v>2626</v>
      </c>
      <c r="I80" s="505"/>
      <c r="J80" s="552">
        <f>H80/DAY(B2)</f>
        <v>175.06666666666666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'14'!F81</f>
        <v>637518.84</v>
      </c>
      <c r="F81" s="658">
        <v>637594</v>
      </c>
      <c r="G81" s="473">
        <f t="shared" si="6"/>
        <v>75.160000000032596</v>
      </c>
      <c r="H81" s="460">
        <f>G81+'14'!H81</f>
        <v>1116</v>
      </c>
      <c r="I81" s="505"/>
      <c r="J81" s="552">
        <f>H81/DAY(B2)</f>
        <v>74.400000000000006</v>
      </c>
      <c r="K81" s="430"/>
      <c r="L81" s="377"/>
      <c r="N81" s="721"/>
      <c r="O81" s="728"/>
      <c r="P81" s="382"/>
    </row>
    <row r="82" spans="1:16" s="779" customFormat="1" ht="27.75">
      <c r="A82" s="1571" t="s">
        <v>93</v>
      </c>
      <c r="B82" s="1572"/>
      <c r="C82" s="1573"/>
      <c r="D82" s="485" t="s">
        <v>132</v>
      </c>
      <c r="E82" s="519">
        <f>'14'!F82</f>
        <v>107871.05</v>
      </c>
      <c r="F82" s="485">
        <v>107909</v>
      </c>
      <c r="G82" s="473">
        <f t="shared" si="6"/>
        <v>37.94999999999709</v>
      </c>
      <c r="H82" s="486">
        <f>G82+'14'!H82</f>
        <v>297</v>
      </c>
      <c r="I82" s="486"/>
      <c r="J82" s="553">
        <f>H82/DAY(B2)</f>
        <v>19.8</v>
      </c>
      <c r="K82" s="1220"/>
      <c r="L82" s="1221"/>
      <c r="N82" s="725"/>
      <c r="O82" s="729"/>
      <c r="P82" s="724"/>
    </row>
    <row r="83" spans="1:16" s="779" customFormat="1" ht="27.75">
      <c r="A83" s="1574" t="s">
        <v>200</v>
      </c>
      <c r="B83" s="1575"/>
      <c r="C83" s="1576"/>
      <c r="D83" s="1319" t="s">
        <v>132</v>
      </c>
      <c r="E83" s="786">
        <f>'14'!F83</f>
        <v>17536</v>
      </c>
      <c r="F83" s="1319">
        <v>17788</v>
      </c>
      <c r="G83" s="777">
        <f t="shared" si="6"/>
        <v>252</v>
      </c>
      <c r="H83" s="479">
        <f>G83+'14'!H83</f>
        <v>3017</v>
      </c>
      <c r="I83" s="777"/>
      <c r="J83" s="778">
        <f>H83/DAY(B2)</f>
        <v>201.13333333333333</v>
      </c>
      <c r="K83" s="1320"/>
      <c r="L83" s="1221"/>
      <c r="N83" s="725"/>
      <c r="O83" s="729"/>
      <c r="P83" s="724"/>
    </row>
    <row r="84" spans="1:16">
      <c r="A84" s="1206" t="s">
        <v>201</v>
      </c>
      <c r="B84" s="571"/>
      <c r="C84" s="571"/>
      <c r="D84" s="478" t="s">
        <v>132</v>
      </c>
      <c r="E84" s="519">
        <f>'14'!F84</f>
        <v>490097</v>
      </c>
      <c r="F84" s="627">
        <v>490696</v>
      </c>
      <c r="G84" s="473">
        <f t="shared" si="6"/>
        <v>599</v>
      </c>
      <c r="H84" s="460">
        <f>G84+'14'!H84</f>
        <v>10563</v>
      </c>
      <c r="I84" s="481"/>
      <c r="J84" s="552">
        <f>H84/DAY(B2)</f>
        <v>704.2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1759.470000000023</v>
      </c>
      <c r="H85" s="460">
        <f>G85+'14'!H85</f>
        <v>26445</v>
      </c>
      <c r="I85" s="481"/>
      <c r="J85" s="552">
        <f>H85/DAY(B2)</f>
        <v>1763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460333.4</v>
      </c>
      <c r="F86" s="650">
        <v>460414</v>
      </c>
      <c r="G86" s="708">
        <f t="shared" ref="G86:G91" si="7">F86-E86</f>
        <v>80.599999999976717</v>
      </c>
      <c r="H86" s="708">
        <f t="shared" ref="H86:H88" si="8">G86</f>
        <v>80.599999999976717</v>
      </c>
      <c r="I86" s="655"/>
      <c r="J86" s="710">
        <f>H86/DAY(B2)</f>
        <v>5.3733333333317814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81097.8</v>
      </c>
      <c r="F87" s="650">
        <v>81105</v>
      </c>
      <c r="G87" s="708">
        <f t="shared" si="7"/>
        <v>7.1999999999970896</v>
      </c>
      <c r="H87" s="708">
        <f t="shared" si="8"/>
        <v>7.1999999999970896</v>
      </c>
      <c r="I87" s="655"/>
      <c r="J87" s="710">
        <f>H87/DAY(B2)</f>
        <v>0.47999999999980597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152441</v>
      </c>
      <c r="F88" s="1480">
        <v>152445</v>
      </c>
      <c r="G88" s="708">
        <f t="shared" si="7"/>
        <v>4</v>
      </c>
      <c r="H88" s="708">
        <f t="shared" si="8"/>
        <v>4</v>
      </c>
      <c r="I88" s="655"/>
      <c r="J88" s="710">
        <f>H88/DAY(B2)</f>
        <v>0.26666666666666666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64924.5</v>
      </c>
      <c r="F89" s="650">
        <v>64930</v>
      </c>
      <c r="G89" s="708">
        <f t="shared" si="7"/>
        <v>5.5</v>
      </c>
      <c r="H89" s="708">
        <f>G89</f>
        <v>5.5</v>
      </c>
      <c r="I89" s="655"/>
      <c r="J89" s="710">
        <f>H89/DAY(B2)</f>
        <v>0.36666666666666664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'14'!F91</f>
        <v>27949.93</v>
      </c>
      <c r="F91" s="650">
        <v>27954</v>
      </c>
      <c r="G91" s="708">
        <f t="shared" si="7"/>
        <v>4.069999999999709</v>
      </c>
      <c r="H91" s="708">
        <f>G91</f>
        <v>4.069999999999709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208"/>
      <c r="C92" s="1208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'14'!F93</f>
        <v>244879</v>
      </c>
      <c r="F93" s="478">
        <v>245032</v>
      </c>
      <c r="G93" s="473">
        <f t="shared" ref="G93:G94" si="9">F93-E93</f>
        <v>153</v>
      </c>
      <c r="H93" s="460">
        <f>G93+'14'!H93</f>
        <v>508</v>
      </c>
      <c r="I93" s="480"/>
      <c r="J93" s="552">
        <f>H93/DAY(B2)</f>
        <v>33.866666666666667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'14'!F94</f>
        <v>184662</v>
      </c>
      <c r="F94" s="478">
        <v>184793</v>
      </c>
      <c r="G94" s="473">
        <f t="shared" si="9"/>
        <v>131</v>
      </c>
      <c r="H94" s="460">
        <f>G94+'14'!H94</f>
        <v>1262</v>
      </c>
      <c r="I94" s="480"/>
      <c r="J94" s="552">
        <f>H94/DAY(B2)</f>
        <v>84.13333333333334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/>
      <c r="F95" s="478"/>
      <c r="G95" s="473">
        <f>G93+G94</f>
        <v>284</v>
      </c>
      <c r="H95" s="460">
        <f>G95+'14'!H95</f>
        <v>1623</v>
      </c>
      <c r="I95" s="480"/>
      <c r="J95" s="552">
        <f>H95/DAY(B2)</f>
        <v>108.2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'14'!F96</f>
        <v>413525</v>
      </c>
      <c r="F96" s="478">
        <v>413567</v>
      </c>
      <c r="G96" s="473">
        <f t="shared" ref="G96:G101" si="10">F96-E96</f>
        <v>42</v>
      </c>
      <c r="H96" s="460">
        <f>G96+'14'!H96</f>
        <v>681</v>
      </c>
      <c r="I96" s="480"/>
      <c r="J96" s="552">
        <f>H96/DAY(B2)</f>
        <v>45.4</v>
      </c>
      <c r="K96" s="380"/>
      <c r="L96" s="377"/>
      <c r="N96" s="721"/>
      <c r="O96" s="728"/>
      <c r="P96" s="382"/>
    </row>
    <row r="97" spans="1:16" ht="27.75">
      <c r="A97" s="1202" t="s">
        <v>210</v>
      </c>
      <c r="B97" s="1203"/>
      <c r="C97" s="1203"/>
      <c r="D97" s="523" t="s">
        <v>144</v>
      </c>
      <c r="E97" s="484">
        <f>'14'!F97</f>
        <v>102473</v>
      </c>
      <c r="F97" s="478">
        <v>102483</v>
      </c>
      <c r="G97" s="473">
        <f t="shared" si="10"/>
        <v>10</v>
      </c>
      <c r="H97" s="460">
        <f>G97+'14'!H97</f>
        <v>140</v>
      </c>
      <c r="I97" s="480"/>
      <c r="J97" s="552">
        <f>H97/DAY(B2)</f>
        <v>9.3333333333333339</v>
      </c>
      <c r="K97" s="427"/>
      <c r="L97" s="377"/>
      <c r="N97" s="721"/>
      <c r="O97" s="728"/>
      <c r="P97" s="382"/>
    </row>
    <row r="98" spans="1:16" ht="27.75">
      <c r="A98" s="1202" t="s">
        <v>211</v>
      </c>
      <c r="B98" s="1203"/>
      <c r="C98" s="1203"/>
      <c r="D98" s="523" t="s">
        <v>144</v>
      </c>
      <c r="E98" s="484">
        <f>'14'!F98</f>
        <v>97610</v>
      </c>
      <c r="F98" s="478">
        <v>97643</v>
      </c>
      <c r="G98" s="473">
        <f t="shared" si="10"/>
        <v>33</v>
      </c>
      <c r="H98" s="460">
        <f>G98+'14'!H98</f>
        <v>216</v>
      </c>
      <c r="I98" s="480"/>
      <c r="J98" s="552">
        <f>H98/DAY(B2)</f>
        <v>14.4</v>
      </c>
      <c r="K98" s="432"/>
      <c r="L98" s="377"/>
      <c r="N98" s="721"/>
      <c r="O98" s="728"/>
      <c r="P98" s="382"/>
    </row>
    <row r="99" spans="1:16" ht="27.75">
      <c r="A99" s="1202" t="s">
        <v>212</v>
      </c>
      <c r="B99" s="1203"/>
      <c r="C99" s="1203"/>
      <c r="D99" s="523" t="s">
        <v>144</v>
      </c>
      <c r="E99" s="484">
        <f>'14'!F99</f>
        <v>149695</v>
      </c>
      <c r="F99" s="478">
        <v>149718</v>
      </c>
      <c r="G99" s="473">
        <f t="shared" si="10"/>
        <v>23</v>
      </c>
      <c r="H99" s="460">
        <f>G99+'14'!H99</f>
        <v>185</v>
      </c>
      <c r="I99" s="480"/>
      <c r="J99" s="552">
        <f>H99/DAY(B2)</f>
        <v>12.333333333333334</v>
      </c>
      <c r="K99" s="380"/>
      <c r="L99" s="377"/>
      <c r="N99" s="723"/>
      <c r="O99" s="728"/>
      <c r="P99" s="382"/>
    </row>
    <row r="100" spans="1:16" ht="27.75">
      <c r="A100" s="1202" t="s">
        <v>213</v>
      </c>
      <c r="B100" s="1203"/>
      <c r="C100" s="1203"/>
      <c r="D100" s="523" t="s">
        <v>144</v>
      </c>
      <c r="E100" s="484">
        <f>'14'!F100</f>
        <v>7238</v>
      </c>
      <c r="F100" s="478">
        <v>7243</v>
      </c>
      <c r="G100" s="473">
        <f t="shared" si="10"/>
        <v>5</v>
      </c>
      <c r="H100" s="460">
        <f>G100+'14'!H100</f>
        <v>58</v>
      </c>
      <c r="I100" s="480"/>
      <c r="J100" s="552">
        <f>H100/DAY(B2)</f>
        <v>3.8666666666666667</v>
      </c>
      <c r="K100" s="380"/>
      <c r="L100" s="377"/>
      <c r="N100" s="721"/>
      <c r="O100" s="728"/>
      <c r="P100" s="382"/>
    </row>
    <row r="101" spans="1:16" ht="27.75">
      <c r="A101" s="1202" t="s">
        <v>214</v>
      </c>
      <c r="B101" s="1203"/>
      <c r="C101" s="1203"/>
      <c r="D101" s="523" t="s">
        <v>144</v>
      </c>
      <c r="E101" s="484">
        <f>'14'!F101</f>
        <v>5232</v>
      </c>
      <c r="F101" s="478">
        <v>5237</v>
      </c>
      <c r="G101" s="473">
        <f t="shared" si="10"/>
        <v>5</v>
      </c>
      <c r="H101" s="460">
        <f>G101+'14'!H101</f>
        <v>99</v>
      </c>
      <c r="I101" s="480"/>
      <c r="J101" s="552">
        <f>H101/DAY(B2)</f>
        <v>6.6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118</v>
      </c>
      <c r="H102" s="460">
        <f>G102+'14'!H102</f>
        <v>1379</v>
      </c>
      <c r="I102" s="526"/>
      <c r="J102" s="552">
        <f>H102/DAY(B2)</f>
        <v>91.933333333333337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>
        <v>3</v>
      </c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201"/>
      <c r="D105" s="622" t="s">
        <v>144</v>
      </c>
      <c r="E105" s="484">
        <f>'14'!F105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201"/>
      <c r="D106" s="622" t="s">
        <v>144</v>
      </c>
      <c r="E106" s="484">
        <f>'14'!F106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3.3333333333333335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'14'!F107</f>
        <v>19660</v>
      </c>
      <c r="F107" s="662">
        <v>19663</v>
      </c>
      <c r="G107" s="532">
        <f t="shared" si="11"/>
        <v>3</v>
      </c>
      <c r="H107" s="533">
        <f>SUM(G107+'1'!G78)</f>
        <v>127</v>
      </c>
      <c r="I107" s="532"/>
      <c r="J107" s="558">
        <f>H107/DAY(B2)</f>
        <v>8.4666666666666668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201"/>
      <c r="D108" s="622"/>
      <c r="E108" s="484">
        <f>'14'!F108</f>
        <v>0</v>
      </c>
      <c r="F108" s="662"/>
      <c r="G108" s="532">
        <f>SUM(G105:G107)</f>
        <v>3</v>
      </c>
      <c r="H108" s="533">
        <f>SUM(G108+'1'!G79)</f>
        <v>192</v>
      </c>
      <c r="I108" s="532"/>
      <c r="J108" s="558">
        <f>H108/DAY(B2)</f>
        <v>12.8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201"/>
      <c r="D109" s="622" t="s">
        <v>144</v>
      </c>
      <c r="E109" s="484">
        <f>'14'!F109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201"/>
      <c r="D110" s="622" t="s">
        <v>144</v>
      </c>
      <c r="E110" s="484">
        <f>'14'!F110</f>
        <v>61870</v>
      </c>
      <c r="F110" s="662">
        <v>61912</v>
      </c>
      <c r="G110" s="532">
        <f>F110-E110</f>
        <v>42</v>
      </c>
      <c r="H110" s="533">
        <f>SUM(G110+'1'!G81)</f>
        <v>123</v>
      </c>
      <c r="I110" s="532"/>
      <c r="J110" s="558">
        <f>H110/DAY(B2)</f>
        <v>8.1999999999999993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201"/>
      <c r="D111" s="622" t="s">
        <v>144</v>
      </c>
      <c r="E111" s="484">
        <f>'14'!F111</f>
        <v>32371</v>
      </c>
      <c r="F111" s="662">
        <v>32401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2.8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201"/>
      <c r="D112" s="622" t="s">
        <v>144</v>
      </c>
      <c r="E112" s="484">
        <f>'14'!F112</f>
        <v>4492</v>
      </c>
      <c r="F112" s="662">
        <v>4509</v>
      </c>
      <c r="G112" s="532">
        <f t="shared" si="12"/>
        <v>17</v>
      </c>
      <c r="H112" s="533">
        <f>SUM(G112+'1'!G83)</f>
        <v>272</v>
      </c>
      <c r="I112" s="532"/>
      <c r="J112" s="558">
        <f>H112/DAY(B2)</f>
        <v>18.133333333333333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201"/>
      <c r="D113" s="622"/>
      <c r="E113" s="484">
        <f>'14'!F113</f>
        <v>0</v>
      </c>
      <c r="F113" s="662"/>
      <c r="G113" s="532">
        <f>SUM(G110:G112)</f>
        <v>89</v>
      </c>
      <c r="H113" s="533">
        <f>SUM(G113+'1'!G84)</f>
        <v>804</v>
      </c>
      <c r="I113" s="532"/>
      <c r="J113" s="558">
        <f>H113/DAY(B2)</f>
        <v>53.6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201"/>
      <c r="D114" s="622"/>
      <c r="E114" s="484">
        <f>'14'!F114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'14'!F115</f>
        <v>11332</v>
      </c>
      <c r="F115" s="662">
        <v>11339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0.46666666666666667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'14'!F116</f>
        <v>8198</v>
      </c>
      <c r="F116" s="662">
        <v>8199</v>
      </c>
      <c r="G116" s="534">
        <f t="shared" ref="G116:G117" si="13">F116-E116</f>
        <v>1</v>
      </c>
      <c r="H116" s="533">
        <f>SUM(G116+'1'!G93)</f>
        <v>53</v>
      </c>
      <c r="I116" s="532"/>
      <c r="J116" s="558">
        <f>H116/DAY(B2)</f>
        <v>3.5333333333333332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>
        <f>'14'!F117</f>
        <v>0</v>
      </c>
      <c r="F117" s="662">
        <v>0</v>
      </c>
      <c r="G117" s="534">
        <f t="shared" si="13"/>
        <v>0</v>
      </c>
      <c r="H117" s="533">
        <f>SUM(G117+'1'!G94)</f>
        <v>95</v>
      </c>
      <c r="I117" s="532"/>
      <c r="J117" s="558">
        <f>H117/DAY(B2)</f>
        <v>6.333333333333333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8</v>
      </c>
      <c r="H118" s="533">
        <f>SUM(G118+'1'!G96)</f>
        <v>80</v>
      </c>
      <c r="I118" s="534"/>
      <c r="J118" s="558">
        <f>H118/DAY(B2)</f>
        <v>5.333333333333333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199"/>
      <c r="D119" s="624" t="s">
        <v>144</v>
      </c>
      <c r="E119" s="536"/>
      <c r="F119" s="663">
        <f>SUM(G19+G93)</f>
        <v>209</v>
      </c>
      <c r="G119" s="536">
        <f>SUM(G19+G93)</f>
        <v>209</v>
      </c>
      <c r="H119" s="533">
        <f>SUM(G119+'1'!G97)</f>
        <v>221</v>
      </c>
      <c r="I119" s="535"/>
      <c r="J119" s="559">
        <f>H119/DAY(B2)</f>
        <v>14.733333333333333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199"/>
      <c r="D120" s="624" t="s">
        <v>144</v>
      </c>
      <c r="E120" s="536"/>
      <c r="F120" s="663">
        <f>SUM(G96,G97,G98,G100,G101)</f>
        <v>95</v>
      </c>
      <c r="G120" s="536">
        <f>SUM(G96,G97,G98,G100,G101)</f>
        <v>95</v>
      </c>
      <c r="H120" s="533">
        <f>SUM(G120+'1'!G99)</f>
        <v>100</v>
      </c>
      <c r="I120" s="535"/>
      <c r="J120" s="559">
        <f>H120/DAY(B2)</f>
        <v>6.666666666666667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199"/>
      <c r="D121" s="624" t="s">
        <v>144</v>
      </c>
      <c r="E121" s="534"/>
      <c r="F121" s="662">
        <f>SUM(G113)</f>
        <v>89</v>
      </c>
      <c r="G121" s="534">
        <f>SUM(G113)</f>
        <v>89</v>
      </c>
      <c r="H121" s="533">
        <f>SUM(G121+'1'!G101)</f>
        <v>95</v>
      </c>
      <c r="I121" s="535"/>
      <c r="J121" s="559">
        <f>H121/DAY(B2)</f>
        <v>6.333333333333333</v>
      </c>
      <c r="N121" s="721"/>
      <c r="O121" s="728"/>
      <c r="P121" s="382"/>
    </row>
    <row r="122" spans="1:16" s="442" customFormat="1" ht="27.75">
      <c r="A122" s="1515"/>
      <c r="B122" s="1516"/>
      <c r="C122" s="1200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2" t="s">
        <v>231</v>
      </c>
      <c r="B124" s="1203"/>
      <c r="C124" s="1203"/>
      <c r="D124" s="523" t="s">
        <v>141</v>
      </c>
      <c r="E124" s="478">
        <f>'14'!F124</f>
        <v>828928.09</v>
      </c>
      <c r="F124" s="478">
        <v>829129</v>
      </c>
      <c r="G124" s="473">
        <f>F124-E124</f>
        <v>200.9100000000326</v>
      </c>
      <c r="H124" s="460">
        <f>G124+'14'!H124</f>
        <v>3040.5400000000373</v>
      </c>
      <c r="I124" s="526"/>
      <c r="J124" s="552">
        <f>H124/DAY(B2)</f>
        <v>202.70266666666916</v>
      </c>
      <c r="K124" s="380"/>
      <c r="L124" s="377"/>
      <c r="N124" s="721"/>
      <c r="O124" s="728"/>
      <c r="P124" s="382"/>
    </row>
    <row r="125" spans="1:16" ht="27.75">
      <c r="A125" s="1202" t="s">
        <v>232</v>
      </c>
      <c r="B125" s="1203"/>
      <c r="C125" s="1203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'14'!F126</f>
        <v>145491</v>
      </c>
      <c r="F126" s="478">
        <v>145536</v>
      </c>
      <c r="G126" s="473">
        <f t="shared" si="14"/>
        <v>45</v>
      </c>
      <c r="H126" s="460">
        <f>G126+'14'!H126</f>
        <v>848.55999999999767</v>
      </c>
      <c r="I126" s="526"/>
      <c r="J126" s="552">
        <f>H126/DAY(B2)</f>
        <v>56.570666666666511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03"/>
      <c r="C127" s="1203"/>
      <c r="D127" s="523" t="s">
        <v>141</v>
      </c>
      <c r="E127" s="626">
        <f>'14'!F127</f>
        <v>31404</v>
      </c>
      <c r="F127" s="626">
        <v>31404</v>
      </c>
      <c r="G127" s="473">
        <f t="shared" si="14"/>
        <v>0</v>
      </c>
      <c r="H127" s="460">
        <f>G127+'14'!H127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03"/>
      <c r="C128" s="1203"/>
      <c r="D128" s="523" t="s">
        <v>141</v>
      </c>
      <c r="E128" s="626">
        <f>'14'!F128</f>
        <v>8971</v>
      </c>
      <c r="F128" s="626">
        <v>8971</v>
      </c>
      <c r="G128" s="473">
        <f t="shared" si="14"/>
        <v>0</v>
      </c>
      <c r="H128" s="460">
        <f>G128+'14'!H128</f>
        <v>1.2999999999992724</v>
      </c>
      <c r="I128" s="480"/>
      <c r="J128" s="552">
        <f>H128/DAY(B2)</f>
        <v>8.6666666666618167E-2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03"/>
      <c r="C129" s="1203"/>
      <c r="D129" s="523"/>
      <c r="E129" s="478"/>
      <c r="F129" s="478"/>
      <c r="G129" s="473">
        <f>G15-SUM(G124:G128)</f>
        <v>191.10999999989872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2" t="s">
        <v>238</v>
      </c>
      <c r="B131" s="1203"/>
      <c r="C131" s="1203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2" t="s">
        <v>240</v>
      </c>
      <c r="B132" s="1203"/>
      <c r="C132" s="1203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2" t="s">
        <v>241</v>
      </c>
      <c r="B133" s="1203"/>
      <c r="C133" s="1203"/>
      <c r="D133" s="523" t="s">
        <v>239</v>
      </c>
      <c r="E133" s="484">
        <f>'14'!F133</f>
        <v>40029.35</v>
      </c>
      <c r="F133" s="654">
        <v>40031.519999999997</v>
      </c>
      <c r="G133" s="473">
        <f t="shared" si="15"/>
        <v>2.1699999999982538</v>
      </c>
      <c r="H133" s="460">
        <f>G133+'14'!H133</f>
        <v>285.0399999999936</v>
      </c>
      <c r="I133" s="480"/>
      <c r="J133" s="552">
        <f>H133/DAY(B2)</f>
        <v>19.00266666666624</v>
      </c>
      <c r="N133" s="721"/>
      <c r="O133" s="728"/>
      <c r="P133" s="382"/>
    </row>
    <row r="134" spans="1:16" ht="27.75">
      <c r="A134" s="1202" t="s">
        <v>242</v>
      </c>
      <c r="B134" s="1203"/>
      <c r="C134" s="1203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2.1699999999982538</v>
      </c>
      <c r="J134" s="552">
        <f>H134/DAY(B2)</f>
        <v>0</v>
      </c>
      <c r="N134" s="721"/>
      <c r="O134" s="728"/>
      <c r="P134" s="382"/>
    </row>
    <row r="135" spans="1:16" ht="27.75">
      <c r="A135" s="1202" t="s">
        <v>243</v>
      </c>
      <c r="B135" s="1203"/>
      <c r="C135" s="1203"/>
      <c r="D135" s="523" t="s">
        <v>239</v>
      </c>
      <c r="E135" s="484">
        <f>'14'!F135</f>
        <v>41445.129999999997</v>
      </c>
      <c r="F135" s="626">
        <v>41469.06</v>
      </c>
      <c r="G135" s="473">
        <f t="shared" si="15"/>
        <v>23.930000000000291</v>
      </c>
      <c r="H135" s="460">
        <f>G135+'14'!H135</f>
        <v>84.059999999997672</v>
      </c>
      <c r="I135" s="480"/>
      <c r="J135" s="552">
        <f>H135/DAY(B2)</f>
        <v>5.6039999999998447</v>
      </c>
      <c r="N135" s="721"/>
      <c r="O135" s="728"/>
      <c r="P135" s="382"/>
    </row>
    <row r="136" spans="1:16" ht="27.75">
      <c r="A136" s="1202" t="s">
        <v>244</v>
      </c>
      <c r="B136" s="1203"/>
      <c r="C136" s="1203"/>
      <c r="D136" s="523" t="s">
        <v>239</v>
      </c>
      <c r="E136" s="484">
        <f>'14'!F136</f>
        <v>32582.98</v>
      </c>
      <c r="F136" s="654">
        <v>32582.98</v>
      </c>
      <c r="G136" s="473">
        <f t="shared" si="15"/>
        <v>0</v>
      </c>
      <c r="H136" s="460">
        <f>G136+'14'!H136</f>
        <v>-2.0000000000436557E-2</v>
      </c>
      <c r="I136" s="480"/>
      <c r="J136" s="552">
        <f>H136/DAY(B2)</f>
        <v>-1.3333333333624372E-3</v>
      </c>
      <c r="N136" s="721"/>
      <c r="O136" s="728"/>
      <c r="P136" s="382"/>
    </row>
    <row r="137" spans="1:16" ht="27.75">
      <c r="A137" s="1202" t="s">
        <v>245</v>
      </c>
      <c r="B137" s="1203"/>
      <c r="C137" s="1203"/>
      <c r="D137" s="523" t="s">
        <v>239</v>
      </c>
      <c r="E137" s="484">
        <f>'14'!F137</f>
        <v>22766.92</v>
      </c>
      <c r="F137" s="654">
        <v>22766.92</v>
      </c>
      <c r="G137" s="473">
        <f t="shared" si="15"/>
        <v>0</v>
      </c>
      <c r="H137" s="460">
        <f>G137+'14'!H137</f>
        <v>27.329999999998108</v>
      </c>
      <c r="I137" s="480">
        <f>G135+G136+G137</f>
        <v>23.930000000000291</v>
      </c>
      <c r="J137" s="552">
        <f>H137/DAY(B2)</f>
        <v>1.8219999999998739</v>
      </c>
      <c r="N137" s="721"/>
      <c r="O137" s="728"/>
      <c r="P137" s="382"/>
    </row>
    <row r="138" spans="1:16" ht="27.75">
      <c r="A138" s="1202" t="s">
        <v>246</v>
      </c>
      <c r="B138" s="1203"/>
      <c r="C138" s="1203"/>
      <c r="D138" s="523" t="s">
        <v>239</v>
      </c>
      <c r="E138" s="484">
        <f>'14'!F138</f>
        <v>25051.72</v>
      </c>
      <c r="F138" s="654">
        <v>25051.72</v>
      </c>
      <c r="G138" s="473">
        <f t="shared" si="15"/>
        <v>0</v>
      </c>
      <c r="H138" s="460">
        <f>G138+'14'!H138</f>
        <v>0.13000000000101863</v>
      </c>
      <c r="I138" s="480"/>
      <c r="J138" s="552">
        <f>H138/DAY(B2)</f>
        <v>8.6666666667345755E-3</v>
      </c>
      <c r="N138" s="721"/>
      <c r="O138" s="728"/>
      <c r="P138" s="382"/>
    </row>
    <row r="139" spans="1:16" ht="27.75">
      <c r="A139" s="1202" t="s">
        <v>247</v>
      </c>
      <c r="B139" s="1203"/>
      <c r="C139" s="1203"/>
      <c r="D139" s="523" t="s">
        <v>239</v>
      </c>
      <c r="E139" s="484">
        <f>'14'!F139</f>
        <v>70351.94</v>
      </c>
      <c r="F139" s="654">
        <v>70361.47</v>
      </c>
      <c r="G139" s="473">
        <f t="shared" si="15"/>
        <v>9.5299999999988358</v>
      </c>
      <c r="H139" s="460">
        <f>G139+'14'!H139</f>
        <v>45.660000000003492</v>
      </c>
      <c r="I139" s="480">
        <f>G138+G139</f>
        <v>9.5299999999988358</v>
      </c>
      <c r="J139" s="552">
        <f>H139/DAY(B2)</f>
        <v>3.0440000000002327</v>
      </c>
      <c r="N139" s="721"/>
      <c r="O139" s="728"/>
      <c r="P139" s="382"/>
    </row>
    <row r="140" spans="1:16" ht="27.75">
      <c r="A140" s="1202" t="s">
        <v>248</v>
      </c>
      <c r="B140" s="1203"/>
      <c r="C140" s="1203"/>
      <c r="D140" s="523" t="s">
        <v>239</v>
      </c>
      <c r="E140" s="484">
        <f>'14'!F140</f>
        <v>1723.89</v>
      </c>
      <c r="F140" s="626">
        <v>1731.51</v>
      </c>
      <c r="G140" s="473">
        <f t="shared" si="15"/>
        <v>7.6199999999998909</v>
      </c>
      <c r="H140" s="460">
        <f>G140+'14'!H140</f>
        <v>114.65000000000009</v>
      </c>
      <c r="I140" s="542"/>
      <c r="J140" s="552">
        <f>H140/DAY(B2)</f>
        <v>7.6433333333333398</v>
      </c>
      <c r="N140" s="721"/>
      <c r="O140" s="728"/>
      <c r="P140" s="382"/>
    </row>
    <row r="141" spans="1:16" ht="27.75">
      <c r="A141" s="1202" t="s">
        <v>249</v>
      </c>
      <c r="B141" s="1203"/>
      <c r="C141" s="1203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21"/>
      <c r="O141" s="728"/>
      <c r="P141" s="382"/>
    </row>
    <row r="142" spans="1:16">
      <c r="A142" s="1531" t="s">
        <v>250</v>
      </c>
      <c r="B142" s="1532"/>
      <c r="C142" s="1208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4081.7200000000885</v>
      </c>
      <c r="H143" s="460">
        <f>G143+'14'!H143</f>
        <v>63262.2</v>
      </c>
      <c r="I143" s="480"/>
      <c r="J143" s="552">
        <f>H143/DAY(B2)</f>
        <v>4217.4799999999996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0.23964317607114927</v>
      </c>
      <c r="H144" s="460">
        <f>G144+'14'!H144</f>
        <v>4.0298453836825834</v>
      </c>
      <c r="I144" s="544"/>
      <c r="J144" s="552">
        <f>H144/DAY(B2)</f>
        <v>0.26865635891217221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5855.1400000000194</v>
      </c>
      <c r="H145" s="460">
        <f>G145+'14'!H145</f>
        <v>73385</v>
      </c>
      <c r="I145" s="480"/>
      <c r="J145" s="552">
        <f>H145/DAY(B2)</f>
        <v>4892.333333333333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0.34376300822721867</v>
      </c>
      <c r="H146" s="460">
        <f>G146+'14'!H146</f>
        <v>4.6817037780299096</v>
      </c>
      <c r="I146" s="544"/>
      <c r="J146" s="552">
        <f>H146/DAY(B2)</f>
        <v>0.31211358520199395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2647.820000000007</v>
      </c>
      <c r="H147" s="460">
        <f>G147+'14'!H147</f>
        <v>34219</v>
      </c>
      <c r="I147" s="545"/>
      <c r="J147" s="552">
        <f>H147/DAY(B2)</f>
        <v>2281.2666666666669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0.15545701186379721</v>
      </c>
      <c r="H148" s="460">
        <f>G148+'14'!H148</f>
        <v>2.1796323683236491</v>
      </c>
      <c r="I148" s="545"/>
      <c r="J148" s="552">
        <f>H148/DAY(B2)</f>
        <v>0.14530882455490995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1315.9600000000501</v>
      </c>
      <c r="H149" s="460">
        <f>G149+'14'!H149</f>
        <v>18041</v>
      </c>
      <c r="I149" s="480"/>
      <c r="J149" s="552">
        <f>H149/DAY(B2)</f>
        <v>1202.7333333333333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7.7261750924265932E-2</v>
      </c>
      <c r="H150" s="460">
        <f>G150+'14'!H150</f>
        <v>1.1497219612103935</v>
      </c>
      <c r="I150" s="545"/>
      <c r="J150" s="552">
        <f>H150/DAY(B2)</f>
        <v>7.6648130747359572E-2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895.01000000000931</v>
      </c>
      <c r="H151" s="460">
        <f>G151+'14'!H151</f>
        <v>16345</v>
      </c>
      <c r="I151" s="545"/>
      <c r="J151" s="552">
        <f>H151/DAY(B2)</f>
        <v>1089.6666666666667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5.2547220048273002E-2</v>
      </c>
      <c r="H152" s="460">
        <f>G152+'14'!H152</f>
        <v>1.0349164874817978</v>
      </c>
      <c r="I152" s="480"/>
      <c r="J152" s="552">
        <f>H152/DAY(B2)</f>
        <v>6.899443249878652E-2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1297.0899999999965</v>
      </c>
      <c r="H153" s="460">
        <f>G153+'14'!H153</f>
        <v>18338.869999999995</v>
      </c>
      <c r="I153" s="480"/>
      <c r="J153" s="552">
        <f>H153/DAY(B2)</f>
        <v>1222.5913333333331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7.6153868283497989E-2</v>
      </c>
      <c r="H154" s="460">
        <f>G154+'14'!H154</f>
        <v>1.1696547843239473</v>
      </c>
      <c r="I154" s="568"/>
      <c r="J154" s="569">
        <f>H154/DAY(B2)</f>
        <v>7.7976985621596481E-2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'14'!F161</f>
        <v>37071.870000000003</v>
      </c>
      <c r="F161" s="807">
        <v>37152.94</v>
      </c>
      <c r="G161" s="473">
        <f t="shared" ref="G161:G164" si="16">F161-E161</f>
        <v>81.069999999999709</v>
      </c>
      <c r="N161" s="721"/>
    </row>
    <row r="162" spans="1:14" ht="21.75" customHeight="1">
      <c r="A162" s="798" t="s">
        <v>264</v>
      </c>
      <c r="B162" s="799"/>
      <c r="C162" s="799"/>
      <c r="D162" s="620" t="s">
        <v>187</v>
      </c>
      <c r="E162" s="522">
        <f>'14'!F162</f>
        <v>88224.68</v>
      </c>
      <c r="F162" s="807">
        <v>88619</v>
      </c>
      <c r="G162" s="473">
        <f t="shared" si="16"/>
        <v>394.32000000000698</v>
      </c>
      <c r="N162" s="721"/>
    </row>
    <row r="163" spans="1:14" ht="21.75" customHeight="1">
      <c r="A163" s="798" t="s">
        <v>265</v>
      </c>
      <c r="B163" s="799"/>
      <c r="C163" s="799"/>
      <c r="D163" s="620" t="s">
        <v>187</v>
      </c>
      <c r="E163" s="522">
        <f>'14'!F163</f>
        <v>41418.35</v>
      </c>
      <c r="F163" s="807">
        <v>41655</v>
      </c>
      <c r="G163" s="473">
        <f t="shared" si="16"/>
        <v>236.65000000000146</v>
      </c>
      <c r="N163" s="721"/>
    </row>
    <row r="164" spans="1:14" ht="21.75" customHeight="1">
      <c r="A164" s="798" t="s">
        <v>266</v>
      </c>
      <c r="B164" s="799"/>
      <c r="C164" s="799"/>
      <c r="D164" s="620" t="s">
        <v>187</v>
      </c>
      <c r="E164" s="522">
        <f>'14'!F164</f>
        <v>6378.14</v>
      </c>
      <c r="F164" s="807">
        <v>6389</v>
      </c>
      <c r="G164" s="473">
        <f t="shared" si="16"/>
        <v>10.859999999999673</v>
      </c>
      <c r="N164" s="721"/>
    </row>
    <row r="165" spans="1:14" ht="21.75" customHeight="1">
      <c r="A165" s="800" t="s">
        <v>98</v>
      </c>
      <c r="B165" s="801"/>
      <c r="C165" s="801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 ht="21.75" customHeight="1">
      <c r="A166" s="800" t="s">
        <v>188</v>
      </c>
      <c r="B166" s="801"/>
      <c r="C166" s="801"/>
      <c r="D166" s="620" t="s">
        <v>187</v>
      </c>
      <c r="E166" s="514">
        <f t="shared" ref="E166:E172" si="18">E63</f>
        <v>2412.15</v>
      </c>
      <c r="F166" s="514">
        <v>2415</v>
      </c>
      <c r="G166" s="473">
        <f t="shared" si="17"/>
        <v>2.8499999999999091</v>
      </c>
      <c r="N166" s="721"/>
    </row>
    <row r="167" spans="1:14" ht="21.75" customHeight="1">
      <c r="A167" s="1570" t="s">
        <v>99</v>
      </c>
      <c r="B167" s="1570"/>
      <c r="C167" s="1570"/>
      <c r="D167" s="524" t="s">
        <v>187</v>
      </c>
      <c r="E167" s="514">
        <f t="shared" si="18"/>
        <v>156201.04999999999</v>
      </c>
      <c r="F167" s="514">
        <f t="shared" ref="F167:F172" si="19">F64</f>
        <v>156403</v>
      </c>
      <c r="G167" s="473">
        <f t="shared" si="17"/>
        <v>201.95000000001164</v>
      </c>
      <c r="N167" s="721"/>
    </row>
    <row r="168" spans="1:14" ht="21.75" customHeight="1">
      <c r="A168" s="1570" t="s">
        <v>100</v>
      </c>
      <c r="B168" s="1570"/>
      <c r="C168" s="1570"/>
      <c r="D168" s="524" t="s">
        <v>187</v>
      </c>
      <c r="E168" s="514">
        <f t="shared" si="18"/>
        <v>157101.17000000001</v>
      </c>
      <c r="F168" s="514">
        <f t="shared" si="19"/>
        <v>157372</v>
      </c>
      <c r="G168" s="473">
        <f t="shared" si="17"/>
        <v>270.82999999998719</v>
      </c>
      <c r="N168" s="721"/>
    </row>
    <row r="169" spans="1:14" ht="21.75" customHeight="1">
      <c r="A169" s="1570" t="s">
        <v>101</v>
      </c>
      <c r="B169" s="1570"/>
      <c r="C169" s="1570"/>
      <c r="D169" s="524" t="s">
        <v>187</v>
      </c>
      <c r="E169" s="514">
        <f t="shared" si="18"/>
        <v>52175.54</v>
      </c>
      <c r="F169" s="514">
        <f t="shared" si="19"/>
        <v>52447</v>
      </c>
      <c r="G169" s="473">
        <f t="shared" si="17"/>
        <v>271.45999999999913</v>
      </c>
      <c r="N169" s="721"/>
    </row>
    <row r="170" spans="1:14" ht="23.25" customHeight="1">
      <c r="A170" s="1570" t="s">
        <v>102</v>
      </c>
      <c r="B170" s="1570"/>
      <c r="C170" s="1570"/>
      <c r="D170" s="524" t="s">
        <v>187</v>
      </c>
      <c r="E170" s="514">
        <f t="shared" si="18"/>
        <v>245401.59</v>
      </c>
      <c r="F170" s="514">
        <f t="shared" si="19"/>
        <v>245741</v>
      </c>
      <c r="G170" s="473">
        <f t="shared" si="17"/>
        <v>339.41000000000349</v>
      </c>
      <c r="N170" s="721"/>
    </row>
    <row r="171" spans="1:14" ht="24" customHeight="1">
      <c r="A171" s="1570" t="s">
        <v>103</v>
      </c>
      <c r="B171" s="1570"/>
      <c r="C171" s="1570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14">
        <f t="shared" si="18"/>
        <v>80000.070000000007</v>
      </c>
      <c r="F172" s="514">
        <f t="shared" si="19"/>
        <v>80090</v>
      </c>
      <c r="G172" s="473">
        <f t="shared" si="17"/>
        <v>89.929999999993015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1899.5100000000025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>
      <c r="N198" s="721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Normal="90" zoomScaleSheetLayoutView="55" workbookViewId="0">
      <selection activeCell="F28" activeCellId="1" sqref="F28 F28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355</v>
      </c>
      <c r="B2" s="1036">
        <v>44332</v>
      </c>
      <c r="C2" s="1217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7" t="s">
        <v>120</v>
      </c>
      <c r="D3" s="612">
        <v>30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80860</v>
      </c>
      <c r="F7" s="455">
        <v>95882</v>
      </c>
      <c r="G7" s="681">
        <f>F7-E7</f>
        <v>15022</v>
      </c>
      <c r="H7" s="682">
        <f>G7+'15'!H7</f>
        <v>250904.99999999997</v>
      </c>
      <c r="I7" s="683">
        <f>'1'!I7</f>
        <v>12000</v>
      </c>
      <c r="J7" s="684">
        <f>H7/DAY(B2)</f>
        <v>15681.562499999998</v>
      </c>
      <c r="K7" s="549">
        <f>'1'!E7-'16'!F7</f>
        <v>5631551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81436</v>
      </c>
      <c r="F8" s="475">
        <v>96591</v>
      </c>
      <c r="G8" s="692">
        <f>F8-E8</f>
        <v>15155</v>
      </c>
      <c r="H8" s="682">
        <f>G8+'15'!H8</f>
        <v>252350.00000000003</v>
      </c>
      <c r="I8" s="689">
        <f>'1'!I8</f>
        <v>12000</v>
      </c>
      <c r="J8" s="684">
        <f>H8/DAY(B2)</f>
        <v>15771.875000000002</v>
      </c>
      <c r="K8" s="549">
        <f>'1'!E8-'16'!F8</f>
        <v>5664653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1218784</v>
      </c>
      <c r="F9" s="478">
        <v>1233310</v>
      </c>
      <c r="G9" s="705">
        <f t="shared" ref="G9:G12" si="0">F9-E9</f>
        <v>14526</v>
      </c>
      <c r="H9" s="682">
        <f>G9+'15'!H9</f>
        <v>242596</v>
      </c>
      <c r="I9" s="693">
        <f>I7-J7</f>
        <v>-3681.5624999999982</v>
      </c>
      <c r="J9" s="684">
        <f>H9/DAY(B2)</f>
        <v>15162.25</v>
      </c>
      <c r="K9" s="428">
        <f>'1'!E9-'16'!F9</f>
        <v>-242596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15155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14526</v>
      </c>
      <c r="H13" s="682">
        <f>G13+'15'!H13</f>
        <v>228075</v>
      </c>
      <c r="I13" s="698">
        <f>G7-G13</f>
        <v>496</v>
      </c>
      <c r="J13" s="684">
        <f>H13/DAY(B2)</f>
        <v>14254.6875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1677101</v>
      </c>
      <c r="F15" s="485">
        <v>1677418</v>
      </c>
      <c r="G15" s="667">
        <f>(F15-E15)</f>
        <v>317</v>
      </c>
      <c r="H15" s="486">
        <f>G15+'15'!H15</f>
        <v>6761</v>
      </c>
      <c r="I15" s="474">
        <f>'1'!I15</f>
        <v>800</v>
      </c>
      <c r="J15" s="553">
        <f>H15/DAY(B2)</f>
        <v>422.5625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377.4375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'15'!F18</f>
        <v>6</v>
      </c>
      <c r="F18" s="478">
        <v>6</v>
      </c>
      <c r="G18" s="697">
        <f>F18*10</f>
        <v>60</v>
      </c>
      <c r="H18" s="682">
        <f>G18+'15'!H18</f>
        <v>620</v>
      </c>
      <c r="I18" s="683">
        <f>'1'!I18</f>
        <v>65</v>
      </c>
      <c r="J18" s="684">
        <f>H18/DAY(B2)</f>
        <v>38.75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'15'!F19</f>
        <v>138631</v>
      </c>
      <c r="F19" s="478">
        <v>138688</v>
      </c>
      <c r="G19" s="692">
        <f t="shared" ref="G19" si="1">F19-E19</f>
        <v>57</v>
      </c>
      <c r="H19" s="682">
        <f>G19+'15'!H19</f>
        <v>876</v>
      </c>
      <c r="I19" s="699"/>
      <c r="J19" s="684">
        <f>H19/DAY(B2)</f>
        <v>54.75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117</v>
      </c>
      <c r="H20" s="682">
        <f>G20+'15'!H20</f>
        <v>1496</v>
      </c>
      <c r="I20" s="701">
        <f>I18-J20</f>
        <v>-28.5</v>
      </c>
      <c r="J20" s="684">
        <f>H20/DAY(B2)</f>
        <v>93.5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0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0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15155</v>
      </c>
      <c r="F27" s="501">
        <v>9</v>
      </c>
      <c r="G27" s="502">
        <f>E27*F27</f>
        <v>136395</v>
      </c>
      <c r="H27" s="460">
        <f>G27+'15'!H27</f>
        <v>2271150</v>
      </c>
      <c r="I27" s="503"/>
      <c r="J27" s="552">
        <f>H27/DAY(B2)</f>
        <v>141946.875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317</v>
      </c>
      <c r="F28" s="501">
        <v>49</v>
      </c>
      <c r="G28" s="502">
        <f>E28*F28</f>
        <v>15533</v>
      </c>
      <c r="H28" s="460">
        <f>G28+'15'!H28</f>
        <v>334074.65000000002</v>
      </c>
      <c r="I28" s="505"/>
      <c r="J28" s="552">
        <f>H28/DAY(B2)</f>
        <v>20879.665625000001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G30+'15'!H30</f>
        <v>117384</v>
      </c>
      <c r="I30" s="505"/>
      <c r="J30" s="552">
        <f>H30/DAY(B2)</f>
        <v>7336.5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G31+'15'!H31</f>
        <v>49600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164366</v>
      </c>
      <c r="H32" s="460">
        <f>G32+'15'!H32</f>
        <v>2772208.65</v>
      </c>
      <c r="I32" s="509"/>
      <c r="J32" s="552">
        <f>H32/DAY(B2)</f>
        <v>173263.04062499999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212"/>
      <c r="C34" s="121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917046</v>
      </c>
      <c r="F35" s="510">
        <v>918972</v>
      </c>
      <c r="G35" s="473">
        <f t="shared" ref="G35:G46" si="3">F35-E35</f>
        <v>1926</v>
      </c>
      <c r="H35" s="460">
        <f>G35+'15'!H35</f>
        <v>32513</v>
      </c>
      <c r="I35" s="455"/>
      <c r="J35" s="552">
        <f>H35/DAY(B2)</f>
        <v>2032.0625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347065</v>
      </c>
      <c r="F36" s="510">
        <v>347065</v>
      </c>
      <c r="G36" s="473">
        <f t="shared" si="3"/>
        <v>0</v>
      </c>
      <c r="H36" s="460">
        <f>G36+'15'!H36</f>
        <v>2457</v>
      </c>
      <c r="I36" s="455"/>
      <c r="J36" s="552">
        <f>H36/DAY(B2)</f>
        <v>153.5625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113564</v>
      </c>
      <c r="F37" s="510">
        <v>114803</v>
      </c>
      <c r="G37" s="473">
        <f t="shared" si="3"/>
        <v>1239</v>
      </c>
      <c r="H37" s="460">
        <f>G37+'15'!H37</f>
        <v>19578</v>
      </c>
      <c r="I37" s="455"/>
      <c r="J37" s="552">
        <f>H37/DAY(B2)</f>
        <v>1223.625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137637</v>
      </c>
      <c r="F38" s="469">
        <v>138734</v>
      </c>
      <c r="G38" s="473">
        <f t="shared" si="3"/>
        <v>1097</v>
      </c>
      <c r="H38" s="460">
        <f>G38+'15'!H38</f>
        <v>19138</v>
      </c>
      <c r="I38" s="455"/>
      <c r="J38" s="552">
        <f>H38/DAY(B2)</f>
        <v>1196.125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273184</v>
      </c>
      <c r="F39" s="510">
        <v>275338</v>
      </c>
      <c r="G39" s="473">
        <f t="shared" si="3"/>
        <v>2154</v>
      </c>
      <c r="H39" s="460">
        <f>G39+'15'!H39</f>
        <v>28685</v>
      </c>
      <c r="I39" s="455"/>
      <c r="J39" s="552">
        <f>H39/DAY(B2)</f>
        <v>1792.8125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298</v>
      </c>
      <c r="F40" s="510">
        <v>350</v>
      </c>
      <c r="G40" s="473">
        <f t="shared" si="3"/>
        <v>52</v>
      </c>
      <c r="H40" s="460">
        <f>G40+'15'!H40</f>
        <v>349.77</v>
      </c>
      <c r="I40" s="455"/>
      <c r="J40" s="552">
        <f>H40/DAY(B2)</f>
        <v>21.860624999999999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239668</v>
      </c>
      <c r="F41" s="510">
        <v>239668</v>
      </c>
      <c r="G41" s="473">
        <f t="shared" si="3"/>
        <v>0</v>
      </c>
      <c r="H41" s="460">
        <f>G41+'15'!H41</f>
        <v>58140</v>
      </c>
      <c r="I41" s="455"/>
      <c r="J41" s="552">
        <f>H41/DAY(B2)</f>
        <v>3633.75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59200</v>
      </c>
      <c r="F42" s="510">
        <v>59200</v>
      </c>
      <c r="G42" s="473">
        <f>F42-E42</f>
        <v>0</v>
      </c>
      <c r="H42" s="460">
        <f>G42+'15'!H42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1006633</v>
      </c>
      <c r="F43" s="510">
        <v>1008759</v>
      </c>
      <c r="G43" s="473">
        <f t="shared" si="3"/>
        <v>2126</v>
      </c>
      <c r="H43" s="460">
        <f>G43+'15'!H43</f>
        <v>34801</v>
      </c>
      <c r="I43" s="455"/>
      <c r="J43" s="552">
        <f>H43/DAY(B2)</f>
        <v>2175.0625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8594</v>
      </c>
      <c r="H47" s="460">
        <f>G47+'15'!H47</f>
        <v>195662.26</v>
      </c>
      <c r="I47" s="455"/>
      <c r="J47" s="552">
        <f>H47/DAY(B2)</f>
        <v>12228.891250000001</v>
      </c>
      <c r="K47" s="428"/>
      <c r="L47" s="377"/>
      <c r="N47" s="721"/>
      <c r="O47" s="728"/>
      <c r="P47" s="382"/>
    </row>
    <row r="48" spans="1:16">
      <c r="A48" s="598" t="s">
        <v>177</v>
      </c>
      <c r="B48" s="1212"/>
      <c r="C48" s="121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</v>
      </c>
      <c r="I49" s="455"/>
      <c r="J49" s="552">
        <f>H49/DAY(B2)</f>
        <v>0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488424</v>
      </c>
      <c r="F50" s="510">
        <v>489245</v>
      </c>
      <c r="G50" s="473">
        <f t="shared" si="4"/>
        <v>821</v>
      </c>
      <c r="H50" s="460">
        <f>G50+'15'!H50</f>
        <v>13770</v>
      </c>
      <c r="I50" s="455"/>
      <c r="J50" s="552">
        <f>H50/DAY(B2)</f>
        <v>860.625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-6.9999999948777258E-2</v>
      </c>
      <c r="I52" s="455"/>
      <c r="J52" s="552">
        <f>H52/DAY(B2)</f>
        <v>-4.3749999967985786E-3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423999</v>
      </c>
      <c r="F53" s="510">
        <v>424453</v>
      </c>
      <c r="G53" s="473">
        <f t="shared" si="4"/>
        <v>454</v>
      </c>
      <c r="H53" s="460">
        <f>G53+'15'!H53</f>
        <v>7619</v>
      </c>
      <c r="I53" s="455"/>
      <c r="J53" s="552">
        <f>H53/DAY(B2)</f>
        <v>476.1875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12469</v>
      </c>
      <c r="F54" s="510">
        <v>12542</v>
      </c>
      <c r="G54" s="473">
        <f t="shared" si="4"/>
        <v>73</v>
      </c>
      <c r="H54" s="460">
        <f>G54+'15'!H54</f>
        <v>4780</v>
      </c>
      <c r="I54" s="455"/>
      <c r="J54" s="552">
        <f>H54/DAY(B2)</f>
        <v>298.75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15098</v>
      </c>
      <c r="F55" s="656">
        <v>19546</v>
      </c>
      <c r="G55" s="655">
        <f t="shared" si="4"/>
        <v>4448</v>
      </c>
      <c r="H55" s="708">
        <f>G55+'15'!H55</f>
        <v>19546</v>
      </c>
      <c r="I55" s="709"/>
      <c r="J55" s="710">
        <f>H55/DAY(B2)</f>
        <v>1221.625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589435.47</v>
      </c>
      <c r="F56" s="656">
        <v>589435.47</v>
      </c>
      <c r="G56" s="473">
        <f t="shared" si="4"/>
        <v>0</v>
      </c>
      <c r="H56" s="460">
        <f>G56+'15'!H56</f>
        <v>147.10999999998603</v>
      </c>
      <c r="I56" s="455"/>
      <c r="J56" s="552">
        <f>H56/DAY(B2)</f>
        <v>9.1943749999991269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47905</v>
      </c>
      <c r="F58" s="656">
        <v>47905</v>
      </c>
      <c r="G58" s="473">
        <f t="shared" si="4"/>
        <v>0</v>
      </c>
      <c r="H58" s="460">
        <f>G58+'15'!H58</f>
        <v>1188</v>
      </c>
      <c r="I58" s="455"/>
      <c r="J58" s="552">
        <f>H58/DAY(B2)</f>
        <v>74.25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5796.1300000000047</v>
      </c>
      <c r="H59" s="460">
        <f>G59+'15'!H59</f>
        <v>47050.309999999983</v>
      </c>
      <c r="I59" s="455">
        <f>G7-G60</f>
        <v>631.86999999999534</v>
      </c>
      <c r="J59" s="552">
        <f>H59/DAY(B2)</f>
        <v>2940.6443749999989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14390.130000000005</v>
      </c>
      <c r="H60" s="460">
        <f>G60+'15'!H60</f>
        <v>244296.46</v>
      </c>
      <c r="I60" s="455">
        <f>G13-G60</f>
        <v>135.86999999999534</v>
      </c>
      <c r="J60" s="552">
        <f>H60/DAY(B2)</f>
        <v>15268.528749999999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2415</v>
      </c>
      <c r="F63" s="514">
        <v>2419</v>
      </c>
      <c r="G63" s="473">
        <f t="shared" si="5"/>
        <v>4</v>
      </c>
      <c r="H63" s="460">
        <f>G63+'15'!H63</f>
        <v>60</v>
      </c>
      <c r="I63" s="515"/>
      <c r="J63" s="552">
        <f>H63/DAY(B2)</f>
        <v>3.75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1234">
        <f>'15'!F64</f>
        <v>156403</v>
      </c>
      <c r="F64" s="626">
        <v>156604</v>
      </c>
      <c r="G64" s="777">
        <f t="shared" si="5"/>
        <v>201</v>
      </c>
      <c r="H64" s="460">
        <f>G64+'15'!H64</f>
        <v>3305</v>
      </c>
      <c r="I64" s="480"/>
      <c r="J64" s="552">
        <f>H64/DAY(B2)</f>
        <v>206.5625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'15'!F65</f>
        <v>157372</v>
      </c>
      <c r="F65" s="654">
        <v>157667</v>
      </c>
      <c r="G65" s="473">
        <f t="shared" si="5"/>
        <v>295</v>
      </c>
      <c r="H65" s="460">
        <f>G65+'15'!H65</f>
        <v>3068</v>
      </c>
      <c r="I65" s="489"/>
      <c r="J65" s="552">
        <f>H65/DAY(B2)</f>
        <v>191.75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'15'!F66</f>
        <v>52447</v>
      </c>
      <c r="F66" s="478">
        <v>52707</v>
      </c>
      <c r="G66" s="473">
        <f t="shared" si="5"/>
        <v>260</v>
      </c>
      <c r="H66" s="460">
        <f>G66+'15'!H66</f>
        <v>4136</v>
      </c>
      <c r="I66" s="480"/>
      <c r="J66" s="552">
        <f>H66/DAY(B2)</f>
        <v>258.5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'15'!F67</f>
        <v>245741</v>
      </c>
      <c r="F67" s="478">
        <v>246073</v>
      </c>
      <c r="G67" s="473">
        <f t="shared" si="5"/>
        <v>332</v>
      </c>
      <c r="H67" s="460">
        <f>G67+'15'!H67</f>
        <v>2899</v>
      </c>
      <c r="I67" s="489"/>
      <c r="J67" s="552">
        <f>H67/DAY(B2)</f>
        <v>181.1875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'15'!F69</f>
        <v>80090</v>
      </c>
      <c r="F69" s="478">
        <v>80185</v>
      </c>
      <c r="G69" s="473">
        <f t="shared" si="5"/>
        <v>95</v>
      </c>
      <c r="H69" s="460">
        <f>G69+'15'!H69</f>
        <v>1191</v>
      </c>
      <c r="I69" s="516"/>
      <c r="J69" s="552">
        <f>H69/DAY(B2)</f>
        <v>74.4375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07"/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'15'!F72</f>
        <v>855675</v>
      </c>
      <c r="F72" s="657">
        <v>855682</v>
      </c>
      <c r="G72" s="473">
        <f t="shared" ref="G72:G84" si="6">F72-E72</f>
        <v>7</v>
      </c>
      <c r="H72" s="460">
        <f>G72+'15'!H72</f>
        <v>210</v>
      </c>
      <c r="I72" s="480"/>
      <c r="J72" s="552">
        <f>H72/DAY(B2)</f>
        <v>13.125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'15'!F73</f>
        <v>885892</v>
      </c>
      <c r="F73" s="658">
        <v>885892</v>
      </c>
      <c r="G73" s="655">
        <f t="shared" si="6"/>
        <v>0</v>
      </c>
      <c r="H73" s="460">
        <f>G73+'15'!H73</f>
        <v>196</v>
      </c>
      <c r="I73" s="480"/>
      <c r="J73" s="552">
        <f>H73/DAY(B2)</f>
        <v>12.25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'15'!F74</f>
        <v>2480</v>
      </c>
      <c r="F74" s="658">
        <v>2489</v>
      </c>
      <c r="G74" s="473">
        <f t="shared" si="6"/>
        <v>9</v>
      </c>
      <c r="H74" s="460">
        <f>G74+'15'!H74</f>
        <v>210</v>
      </c>
      <c r="I74" s="480"/>
      <c r="J74" s="552">
        <f>H74/DAY(B2)</f>
        <v>13.125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'15'!F75</f>
        <v>11767</v>
      </c>
      <c r="F75" s="658">
        <v>11821</v>
      </c>
      <c r="G75" s="473">
        <f t="shared" si="6"/>
        <v>54</v>
      </c>
      <c r="H75" s="460">
        <f>G75+'15'!H75</f>
        <v>851</v>
      </c>
      <c r="I75" s="480"/>
      <c r="J75" s="552">
        <f>H75/DAY(B2)</f>
        <v>53.1875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'15'!F76</f>
        <v>6522</v>
      </c>
      <c r="F76" s="658">
        <v>6578</v>
      </c>
      <c r="G76" s="473">
        <f t="shared" si="6"/>
        <v>56</v>
      </c>
      <c r="H76" s="460">
        <f>G76+'15'!H76</f>
        <v>861.04999999999927</v>
      </c>
      <c r="I76" s="505"/>
      <c r="J76" s="552">
        <f>H76/DAY(B2)</f>
        <v>53.815624999999955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'15'!F77</f>
        <v>702236</v>
      </c>
      <c r="F77" s="658">
        <v>702265</v>
      </c>
      <c r="G77" s="655">
        <f t="shared" si="6"/>
        <v>29</v>
      </c>
      <c r="H77" s="460">
        <f>G77+'15'!H77</f>
        <v>703</v>
      </c>
      <c r="I77" s="505"/>
      <c r="J77" s="552">
        <f>H77/DAY(B2)</f>
        <v>43.9375</v>
      </c>
      <c r="K77" s="430"/>
      <c r="L77" s="377"/>
      <c r="N77" s="721"/>
      <c r="O77" s="728"/>
      <c r="P77" s="382"/>
    </row>
    <row r="78" spans="1:16" ht="27.75">
      <c r="A78" s="1213" t="s">
        <v>197</v>
      </c>
      <c r="B78" s="1209"/>
      <c r="C78" s="1209"/>
      <c r="D78" s="523" t="s">
        <v>187</v>
      </c>
      <c r="E78" s="519">
        <f>'15'!F78</f>
        <v>671267</v>
      </c>
      <c r="F78" s="659">
        <v>671385</v>
      </c>
      <c r="G78" s="473">
        <f t="shared" si="6"/>
        <v>118</v>
      </c>
      <c r="H78" s="460">
        <f>G78+'15'!H78</f>
        <v>1360</v>
      </c>
      <c r="I78" s="505"/>
      <c r="J78" s="552">
        <f>H78/DAY(B2)</f>
        <v>85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'15'!F79</f>
        <v>828930</v>
      </c>
      <c r="F79" s="659">
        <v>829050</v>
      </c>
      <c r="G79" s="473">
        <f t="shared" si="6"/>
        <v>120</v>
      </c>
      <c r="H79" s="460">
        <f>G79+'15'!H79</f>
        <v>1319</v>
      </c>
      <c r="I79" s="505"/>
      <c r="J79" s="552">
        <f>H79/DAY(B2)</f>
        <v>82.4375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'15'!F80</f>
        <v>522087</v>
      </c>
      <c r="F80" s="658">
        <v>522420</v>
      </c>
      <c r="G80" s="473">
        <f t="shared" si="6"/>
        <v>333</v>
      </c>
      <c r="H80" s="460">
        <f>G80+'15'!H80</f>
        <v>2959</v>
      </c>
      <c r="I80" s="505"/>
      <c r="J80" s="552">
        <f>H80/DAY(B2)</f>
        <v>184.9375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'15'!F81</f>
        <v>637594</v>
      </c>
      <c r="F81" s="658">
        <v>637676</v>
      </c>
      <c r="G81" s="473">
        <f t="shared" si="6"/>
        <v>82</v>
      </c>
      <c r="H81" s="460">
        <f>G81+'15'!H81</f>
        <v>1198</v>
      </c>
      <c r="I81" s="505"/>
      <c r="J81" s="552">
        <f>H81/DAY(B2)</f>
        <v>74.875</v>
      </c>
      <c r="K81" s="430"/>
      <c r="L81" s="377"/>
      <c r="N81" s="721"/>
      <c r="O81" s="728"/>
      <c r="P81" s="382"/>
    </row>
    <row r="82" spans="1:16" s="441" customFormat="1" ht="27.75">
      <c r="A82" s="1577" t="s">
        <v>93</v>
      </c>
      <c r="B82" s="1578"/>
      <c r="C82" s="1579"/>
      <c r="D82" s="654" t="s">
        <v>132</v>
      </c>
      <c r="E82" s="520">
        <f>'15'!F82</f>
        <v>107909</v>
      </c>
      <c r="F82" s="654">
        <v>107919</v>
      </c>
      <c r="G82" s="655">
        <f t="shared" si="6"/>
        <v>10</v>
      </c>
      <c r="H82" s="708">
        <f>G82+'15'!H82</f>
        <v>307</v>
      </c>
      <c r="I82" s="708"/>
      <c r="J82" s="710">
        <f>H82/DAY(B2)</f>
        <v>19.1875</v>
      </c>
      <c r="K82" s="1322"/>
      <c r="L82" s="1110"/>
      <c r="N82" s="721"/>
      <c r="O82" s="730"/>
      <c r="P82" s="716"/>
    </row>
    <row r="83" spans="1:16" ht="27.75">
      <c r="A83" s="1501" t="s">
        <v>200</v>
      </c>
      <c r="B83" s="1502"/>
      <c r="C83" s="1503"/>
      <c r="D83" s="620" t="s">
        <v>132</v>
      </c>
      <c r="E83" s="519">
        <f>'15'!F83</f>
        <v>17788</v>
      </c>
      <c r="F83" s="511">
        <v>17904</v>
      </c>
      <c r="G83" s="473">
        <f t="shared" si="6"/>
        <v>116</v>
      </c>
      <c r="H83" s="460">
        <f>G83+'15'!H83</f>
        <v>3133</v>
      </c>
      <c r="I83" s="481"/>
      <c r="J83" s="552">
        <f>H83/DAY(B2)</f>
        <v>195.8125</v>
      </c>
      <c r="K83" s="429"/>
      <c r="L83" s="377"/>
      <c r="N83" s="721"/>
      <c r="O83" s="728"/>
      <c r="P83" s="382"/>
    </row>
    <row r="84" spans="1:16">
      <c r="A84" s="1216" t="s">
        <v>201</v>
      </c>
      <c r="B84" s="571"/>
      <c r="C84" s="571"/>
      <c r="D84" s="478" t="s">
        <v>132</v>
      </c>
      <c r="E84" s="519">
        <f>'15'!F84</f>
        <v>490696</v>
      </c>
      <c r="F84" s="627">
        <v>491207</v>
      </c>
      <c r="G84" s="473">
        <f t="shared" si="6"/>
        <v>511</v>
      </c>
      <c r="H84" s="460">
        <f>G84+'15'!H84</f>
        <v>11074</v>
      </c>
      <c r="I84" s="481"/>
      <c r="J84" s="552">
        <f>H84/DAY(B2)</f>
        <v>692.125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1445</v>
      </c>
      <c r="H85" s="460">
        <f>G85+'15'!H85</f>
        <v>27890</v>
      </c>
      <c r="I85" s="481"/>
      <c r="J85" s="552">
        <f>H85/DAY(B2)</f>
        <v>1743.125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460414</v>
      </c>
      <c r="F86" s="650">
        <v>460442</v>
      </c>
      <c r="G86" s="708">
        <f t="shared" ref="G86:G91" si="7">F86-E86</f>
        <v>28</v>
      </c>
      <c r="H86" s="708">
        <f t="shared" ref="H86:H88" si="8">G86</f>
        <v>28</v>
      </c>
      <c r="I86" s="655"/>
      <c r="J86" s="710">
        <f>H86/DAY(B2)</f>
        <v>1.75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81105</v>
      </c>
      <c r="F87" s="650">
        <v>81109</v>
      </c>
      <c r="G87" s="708">
        <f t="shared" si="7"/>
        <v>4</v>
      </c>
      <c r="H87" s="708">
        <f t="shared" si="8"/>
        <v>4</v>
      </c>
      <c r="I87" s="655"/>
      <c r="J87" s="710">
        <f>H87/DAY(B2)</f>
        <v>0.25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152445</v>
      </c>
      <c r="F88" s="1480">
        <v>152454</v>
      </c>
      <c r="G88" s="708">
        <f t="shared" si="7"/>
        <v>9</v>
      </c>
      <c r="H88" s="708">
        <f t="shared" si="8"/>
        <v>9</v>
      </c>
      <c r="I88" s="655"/>
      <c r="J88" s="710">
        <f>H88/DAY(B2)</f>
        <v>0.5625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64930</v>
      </c>
      <c r="F89" s="650">
        <v>64937</v>
      </c>
      <c r="G89" s="708">
        <f t="shared" si="7"/>
        <v>7</v>
      </c>
      <c r="H89" s="708">
        <f>G89</f>
        <v>7</v>
      </c>
      <c r="I89" s="655"/>
      <c r="J89" s="710">
        <f>H89/DAY(B2)</f>
        <v>0.4375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'15'!F91</f>
        <v>27954</v>
      </c>
      <c r="F91" s="650">
        <v>27954</v>
      </c>
      <c r="G91" s="708">
        <f t="shared" si="7"/>
        <v>0</v>
      </c>
      <c r="H91" s="708">
        <f>G91</f>
        <v>0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214"/>
      <c r="C92" s="1214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'15'!F93</f>
        <v>245032</v>
      </c>
      <c r="F93" s="478">
        <v>245077</v>
      </c>
      <c r="G93" s="473">
        <f t="shared" ref="G93:G94" si="9">F93-E93</f>
        <v>45</v>
      </c>
      <c r="H93" s="460">
        <f>G93+'15'!H93</f>
        <v>553</v>
      </c>
      <c r="I93" s="480"/>
      <c r="J93" s="552">
        <f>H93/DAY(B2)</f>
        <v>34.5625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'15'!F94</f>
        <v>184793</v>
      </c>
      <c r="F94" s="478">
        <v>184822</v>
      </c>
      <c r="G94" s="473">
        <f t="shared" si="9"/>
        <v>29</v>
      </c>
      <c r="H94" s="460">
        <f>G94+'15'!H94</f>
        <v>1291</v>
      </c>
      <c r="I94" s="480"/>
      <c r="J94" s="552">
        <f>H94/DAY(B2)</f>
        <v>80.6875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>
        <f>'15'!F95</f>
        <v>0</v>
      </c>
      <c r="F95" s="478">
        <v>0</v>
      </c>
      <c r="G95" s="473">
        <f>G93+G94</f>
        <v>74</v>
      </c>
      <c r="H95" s="460">
        <f>G95+'15'!H95</f>
        <v>1697</v>
      </c>
      <c r="I95" s="480"/>
      <c r="J95" s="552">
        <f>H95/DAY(B2)</f>
        <v>106.0625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'15'!F96</f>
        <v>413567</v>
      </c>
      <c r="F96" s="478">
        <v>413594</v>
      </c>
      <c r="G96" s="473">
        <f t="shared" ref="G96:G101" si="10">F96-E96</f>
        <v>27</v>
      </c>
      <c r="H96" s="460">
        <f>G96+'15'!H96</f>
        <v>708</v>
      </c>
      <c r="I96" s="480"/>
      <c r="J96" s="552">
        <f>H96/DAY(B2)</f>
        <v>44.25</v>
      </c>
      <c r="K96" s="380"/>
      <c r="L96" s="377"/>
      <c r="N96" s="721"/>
      <c r="O96" s="728"/>
      <c r="P96" s="382"/>
    </row>
    <row r="97" spans="1:16" ht="27.75">
      <c r="A97" s="1210" t="s">
        <v>210</v>
      </c>
      <c r="B97" s="1211"/>
      <c r="C97" s="1211"/>
      <c r="D97" s="523" t="s">
        <v>144</v>
      </c>
      <c r="E97" s="484">
        <f>'15'!F97</f>
        <v>102483</v>
      </c>
      <c r="F97" s="478">
        <v>102497</v>
      </c>
      <c r="G97" s="473">
        <f t="shared" si="10"/>
        <v>14</v>
      </c>
      <c r="H97" s="460">
        <f>G97+'15'!H97</f>
        <v>154</v>
      </c>
      <c r="I97" s="480"/>
      <c r="J97" s="552">
        <f>H97/DAY(B2)</f>
        <v>9.625</v>
      </c>
      <c r="K97" s="427"/>
      <c r="L97" s="377"/>
      <c r="N97" s="721"/>
      <c r="O97" s="728"/>
      <c r="P97" s="382"/>
    </row>
    <row r="98" spans="1:16" ht="27.75">
      <c r="A98" s="1210" t="s">
        <v>211</v>
      </c>
      <c r="B98" s="1211"/>
      <c r="C98" s="1211"/>
      <c r="D98" s="523" t="s">
        <v>144</v>
      </c>
      <c r="E98" s="484">
        <f>'15'!F98</f>
        <v>97643</v>
      </c>
      <c r="F98" s="478">
        <v>97662</v>
      </c>
      <c r="G98" s="473">
        <f t="shared" si="10"/>
        <v>19</v>
      </c>
      <c r="H98" s="460">
        <f>G98+'15'!H98</f>
        <v>235</v>
      </c>
      <c r="I98" s="480"/>
      <c r="J98" s="552">
        <f>H98/DAY(B2)</f>
        <v>14.6875</v>
      </c>
      <c r="K98" s="432"/>
      <c r="L98" s="377"/>
      <c r="N98" s="721">
        <v>96617</v>
      </c>
      <c r="O98" s="728"/>
      <c r="P98" s="382"/>
    </row>
    <row r="99" spans="1:16" ht="27.75">
      <c r="A99" s="1210" t="s">
        <v>212</v>
      </c>
      <c r="B99" s="1211"/>
      <c r="C99" s="1211"/>
      <c r="D99" s="523" t="s">
        <v>144</v>
      </c>
      <c r="E99" s="484">
        <f>'15'!F99</f>
        <v>149718</v>
      </c>
      <c r="F99" s="478">
        <v>149723</v>
      </c>
      <c r="G99" s="473">
        <f t="shared" si="10"/>
        <v>5</v>
      </c>
      <c r="H99" s="460">
        <f>G99+'15'!H99</f>
        <v>190</v>
      </c>
      <c r="I99" s="480"/>
      <c r="J99" s="552">
        <f>H99/DAY(B2)</f>
        <v>11.875</v>
      </c>
      <c r="K99" s="380"/>
      <c r="L99" s="377"/>
      <c r="N99" s="723"/>
      <c r="O99" s="728"/>
      <c r="P99" s="382"/>
    </row>
    <row r="100" spans="1:16" ht="27.75">
      <c r="A100" s="1210" t="s">
        <v>213</v>
      </c>
      <c r="B100" s="1211"/>
      <c r="C100" s="1211"/>
      <c r="D100" s="523" t="s">
        <v>144</v>
      </c>
      <c r="E100" s="484">
        <f>'15'!F100</f>
        <v>7243</v>
      </c>
      <c r="F100" s="478">
        <v>7267</v>
      </c>
      <c r="G100" s="473">
        <f t="shared" si="10"/>
        <v>24</v>
      </c>
      <c r="H100" s="460">
        <f>G100+'15'!H100</f>
        <v>82</v>
      </c>
      <c r="I100" s="480"/>
      <c r="J100" s="552">
        <f>H100/DAY(B2)</f>
        <v>5.125</v>
      </c>
      <c r="K100" s="380"/>
      <c r="L100" s="377"/>
      <c r="N100" s="721"/>
      <c r="O100" s="728"/>
      <c r="P100" s="382"/>
    </row>
    <row r="101" spans="1:16" ht="27.75">
      <c r="A101" s="1210" t="s">
        <v>214</v>
      </c>
      <c r="B101" s="1211"/>
      <c r="C101" s="1211"/>
      <c r="D101" s="523" t="s">
        <v>144</v>
      </c>
      <c r="E101" s="484">
        <f>'15'!F101</f>
        <v>5237</v>
      </c>
      <c r="F101" s="478">
        <v>5247</v>
      </c>
      <c r="G101" s="473">
        <f t="shared" si="10"/>
        <v>10</v>
      </c>
      <c r="H101" s="460">
        <f>G101+'15'!H101</f>
        <v>109</v>
      </c>
      <c r="I101" s="480"/>
      <c r="J101" s="552">
        <f>H101/DAY(B2)</f>
        <v>6.8125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99</v>
      </c>
      <c r="H102" s="460">
        <f>G102+'15'!H102</f>
        <v>1478</v>
      </c>
      <c r="I102" s="526"/>
      <c r="J102" s="552">
        <f>H102/DAY(B2)</f>
        <v>92.375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215"/>
      <c r="D105" s="622" t="s">
        <v>144</v>
      </c>
      <c r="E105" s="484">
        <f>'15'!F105</f>
        <v>7473</v>
      </c>
      <c r="F105" s="132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215"/>
      <c r="D106" s="622" t="s">
        <v>144</v>
      </c>
      <c r="E106" s="484">
        <f>'15'!F106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3.125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'15'!F107</f>
        <v>19663</v>
      </c>
      <c r="F107" s="662">
        <v>19663</v>
      </c>
      <c r="G107" s="532">
        <f t="shared" si="11"/>
        <v>0</v>
      </c>
      <c r="H107" s="533">
        <f>SUM(G107+'1'!G78)</f>
        <v>124</v>
      </c>
      <c r="I107" s="532"/>
      <c r="J107" s="558">
        <f>H107/DAY(B2)</f>
        <v>7.75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215"/>
      <c r="D108" s="622"/>
      <c r="E108" s="484">
        <f>'15'!F108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11.8125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215"/>
      <c r="D109" s="622" t="s">
        <v>144</v>
      </c>
      <c r="E109" s="484">
        <f>'15'!F109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215"/>
      <c r="D110" s="622" t="s">
        <v>144</v>
      </c>
      <c r="E110" s="484">
        <f>'15'!F110</f>
        <v>61912</v>
      </c>
      <c r="F110" s="662">
        <v>62019</v>
      </c>
      <c r="G110" s="532">
        <f>F110-E110</f>
        <v>107</v>
      </c>
      <c r="H110" s="533">
        <f>SUM(G110+'1'!G81)</f>
        <v>188</v>
      </c>
      <c r="I110" s="532"/>
      <c r="J110" s="558">
        <f>H110/DAY(B2)</f>
        <v>11.75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215"/>
      <c r="D111" s="622" t="s">
        <v>144</v>
      </c>
      <c r="E111" s="484">
        <f>'15'!F111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0.75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215"/>
      <c r="D112" s="622" t="s">
        <v>144</v>
      </c>
      <c r="E112" s="484">
        <f>'15'!F112</f>
        <v>4509</v>
      </c>
      <c r="F112" s="662">
        <v>4509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15.9375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215"/>
      <c r="D113" s="622"/>
      <c r="E113" s="484">
        <f>'15'!F113</f>
        <v>0</v>
      </c>
      <c r="F113" s="662"/>
      <c r="G113" s="532">
        <f>SUM(G110:G112)</f>
        <v>107</v>
      </c>
      <c r="H113" s="533">
        <f>SUM(G113+'1'!G84)</f>
        <v>822</v>
      </c>
      <c r="I113" s="532"/>
      <c r="J113" s="558">
        <f>H113/DAY(B2)</f>
        <v>51.375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215"/>
      <c r="D114" s="622"/>
      <c r="E114" s="484">
        <f>'15'!F114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'15'!F115</f>
        <v>11339</v>
      </c>
      <c r="F115" s="662">
        <v>11367</v>
      </c>
      <c r="G115" s="534">
        <f>F115-E115</f>
        <v>28</v>
      </c>
      <c r="H115" s="533">
        <f>SUM(G115+'1'!G92)</f>
        <v>28</v>
      </c>
      <c r="I115" s="532"/>
      <c r="J115" s="558">
        <f>H115/DAY(B2)</f>
        <v>1.75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'15'!F116</f>
        <v>8199</v>
      </c>
      <c r="F116" s="662">
        <v>8206</v>
      </c>
      <c r="G116" s="534">
        <f t="shared" ref="G116:G117" si="13">F116-E116</f>
        <v>7</v>
      </c>
      <c r="H116" s="533">
        <f>SUM(G116+'1'!G93)</f>
        <v>59</v>
      </c>
      <c r="I116" s="532"/>
      <c r="J116" s="558">
        <f>H116/DAY(B2)</f>
        <v>3.6875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5.9375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35</v>
      </c>
      <c r="H118" s="533">
        <f>SUM(G118+'1'!G96)</f>
        <v>107</v>
      </c>
      <c r="I118" s="534"/>
      <c r="J118" s="558">
        <f>H118/DAY(B2)</f>
        <v>6.6875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218"/>
      <c r="D119" s="624" t="s">
        <v>144</v>
      </c>
      <c r="E119" s="536"/>
      <c r="F119" s="663">
        <f>SUM(G19+G93)</f>
        <v>102</v>
      </c>
      <c r="G119" s="536">
        <f>SUM(G19+G93)</f>
        <v>102</v>
      </c>
      <c r="H119" s="533">
        <f>SUM(G119+'1'!G97)</f>
        <v>114</v>
      </c>
      <c r="I119" s="535"/>
      <c r="J119" s="559">
        <f>H119/DAY(B2)</f>
        <v>7.125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218"/>
      <c r="D120" s="624" t="s">
        <v>144</v>
      </c>
      <c r="E120" s="536"/>
      <c r="F120" s="663">
        <f>SUM(G96,G97,G98,G100,G101)</f>
        <v>94</v>
      </c>
      <c r="G120" s="536">
        <f>SUM(G96,G97,G98,G100,G101)</f>
        <v>94</v>
      </c>
      <c r="H120" s="533">
        <f>SUM(G120+'1'!G99)</f>
        <v>99</v>
      </c>
      <c r="I120" s="535"/>
      <c r="J120" s="559">
        <f>H120/DAY(B2)</f>
        <v>6.1875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218"/>
      <c r="D121" s="624" t="s">
        <v>144</v>
      </c>
      <c r="E121" s="534"/>
      <c r="F121" s="662">
        <f>SUM(G113)</f>
        <v>107</v>
      </c>
      <c r="G121" s="534">
        <f>SUM(G113)</f>
        <v>107</v>
      </c>
      <c r="H121" s="533">
        <f>SUM(G121+'1'!G101)</f>
        <v>113</v>
      </c>
      <c r="I121" s="535"/>
      <c r="J121" s="559">
        <f>H121/DAY(B2)</f>
        <v>7.0625</v>
      </c>
      <c r="N121" s="721"/>
      <c r="O121" s="728"/>
      <c r="P121" s="382"/>
    </row>
    <row r="122" spans="1:16" s="442" customFormat="1" ht="27.75">
      <c r="A122" s="1515"/>
      <c r="B122" s="1516"/>
      <c r="C122" s="1219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10" t="s">
        <v>231</v>
      </c>
      <c r="B124" s="1211"/>
      <c r="C124" s="1211"/>
      <c r="D124" s="523" t="s">
        <v>141</v>
      </c>
      <c r="E124" s="478">
        <f>'15'!F124</f>
        <v>829129</v>
      </c>
      <c r="F124" s="478">
        <v>829338</v>
      </c>
      <c r="G124" s="473">
        <f t="shared" ref="G124:G128" si="14">F124-E124</f>
        <v>209</v>
      </c>
      <c r="H124" s="460">
        <f>G124+'15'!H124</f>
        <v>3249.5400000000373</v>
      </c>
      <c r="I124" s="526"/>
      <c r="J124" s="552">
        <f>H124/DAY(B2)</f>
        <v>203.09625000000233</v>
      </c>
      <c r="K124" s="380"/>
      <c r="L124" s="377"/>
      <c r="N124" s="721"/>
      <c r="O124" s="728"/>
      <c r="P124" s="382"/>
    </row>
    <row r="125" spans="1:16" ht="27.75">
      <c r="A125" s="1210" t="s">
        <v>232</v>
      </c>
      <c r="B125" s="1211"/>
      <c r="C125" s="1211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'15'!F126</f>
        <v>145536</v>
      </c>
      <c r="F126" s="478">
        <v>145593</v>
      </c>
      <c r="G126" s="473">
        <f t="shared" si="14"/>
        <v>57</v>
      </c>
      <c r="H126" s="460">
        <f>G126+'15'!H126</f>
        <v>905.55999999999767</v>
      </c>
      <c r="I126" s="526"/>
      <c r="J126" s="552">
        <f>H126/DAY(B2)</f>
        <v>56.597499999999854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11"/>
      <c r="C127" s="1211"/>
      <c r="D127" s="523" t="s">
        <v>141</v>
      </c>
      <c r="E127" s="626">
        <f>'15'!F127</f>
        <v>31404</v>
      </c>
      <c r="F127" s="626">
        <v>31404</v>
      </c>
      <c r="G127" s="473">
        <f t="shared" si="14"/>
        <v>0</v>
      </c>
      <c r="H127" s="460">
        <f>G127+'15'!H127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11"/>
      <c r="C128" s="1211"/>
      <c r="D128" s="523" t="s">
        <v>141</v>
      </c>
      <c r="E128" s="626">
        <f>'15'!F128</f>
        <v>8971</v>
      </c>
      <c r="F128" s="626">
        <v>8971</v>
      </c>
      <c r="G128" s="473">
        <f t="shared" si="14"/>
        <v>0</v>
      </c>
      <c r="H128" s="460">
        <f>G128+'15'!H128</f>
        <v>1.2999999999992724</v>
      </c>
      <c r="I128" s="480"/>
      <c r="J128" s="552">
        <f>H128/DAY(B2)</f>
        <v>8.1249999999954525E-2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11"/>
      <c r="C129" s="1211"/>
      <c r="D129" s="523"/>
      <c r="E129" s="478"/>
      <c r="F129" s="478"/>
      <c r="G129" s="473">
        <f>G15-SUM(G124:G128)</f>
        <v>51</v>
      </c>
      <c r="H129" s="460">
        <f>G129+'15'!H129</f>
        <v>51</v>
      </c>
      <c r="I129" s="480"/>
      <c r="J129" s="552">
        <f>H129/DAY(B2)</f>
        <v>3.1875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10" t="s">
        <v>238</v>
      </c>
      <c r="B131" s="1211"/>
      <c r="C131" s="1211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0" t="s">
        <v>240</v>
      </c>
      <c r="B132" s="1211"/>
      <c r="C132" s="1211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10" t="s">
        <v>241</v>
      </c>
      <c r="B133" s="1211"/>
      <c r="C133" s="1211"/>
      <c r="D133" s="523" t="s">
        <v>239</v>
      </c>
      <c r="E133" s="541">
        <f>'15'!F133</f>
        <v>40031.519999999997</v>
      </c>
      <c r="F133" s="654">
        <v>40031.519999999997</v>
      </c>
      <c r="G133" s="473">
        <f t="shared" si="15"/>
        <v>0</v>
      </c>
      <c r="H133" s="460">
        <f>G133+'15'!H133</f>
        <v>285.0399999999936</v>
      </c>
      <c r="I133" s="480"/>
      <c r="J133" s="552">
        <f>H133/DAY(B2)</f>
        <v>17.8149999999996</v>
      </c>
      <c r="N133" s="721"/>
      <c r="O133" s="728"/>
      <c r="P133" s="382"/>
    </row>
    <row r="134" spans="1:16" ht="27.75">
      <c r="A134" s="1210" t="s">
        <v>242</v>
      </c>
      <c r="B134" s="1211"/>
      <c r="C134" s="1211"/>
      <c r="D134" s="523" t="s">
        <v>239</v>
      </c>
      <c r="E134" s="704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10" t="s">
        <v>243</v>
      </c>
      <c r="B135" s="1211"/>
      <c r="C135" s="1211"/>
      <c r="D135" s="523" t="s">
        <v>239</v>
      </c>
      <c r="E135" s="704">
        <f>'15'!F135</f>
        <v>41469.06</v>
      </c>
      <c r="F135" s="626">
        <v>41492.65</v>
      </c>
      <c r="G135" s="473">
        <f t="shared" si="15"/>
        <v>23.590000000003783</v>
      </c>
      <c r="H135" s="460">
        <f>G135+'15'!H135</f>
        <v>107.65000000000146</v>
      </c>
      <c r="I135" s="480"/>
      <c r="J135" s="552">
        <f>H135/DAY(B2)</f>
        <v>6.7281250000000909</v>
      </c>
      <c r="N135" s="721"/>
      <c r="O135" s="728"/>
      <c r="P135" s="382"/>
    </row>
    <row r="136" spans="1:16" ht="27.75">
      <c r="A136" s="1210" t="s">
        <v>244</v>
      </c>
      <c r="B136" s="1211"/>
      <c r="C136" s="1211"/>
      <c r="D136" s="523" t="s">
        <v>239</v>
      </c>
      <c r="E136" s="541">
        <f>'15'!F136</f>
        <v>32582.98</v>
      </c>
      <c r="F136" s="654">
        <v>32582.98</v>
      </c>
      <c r="G136" s="473">
        <f t="shared" si="15"/>
        <v>0</v>
      </c>
      <c r="H136" s="460">
        <f>G136+'15'!H136</f>
        <v>-2.0000000000436557E-2</v>
      </c>
      <c r="I136" s="480"/>
      <c r="J136" s="552">
        <f>H136/DAY(B2)</f>
        <v>-1.2500000000272848E-3</v>
      </c>
      <c r="N136" s="721"/>
      <c r="O136" s="728"/>
      <c r="P136" s="382"/>
    </row>
    <row r="137" spans="1:16" ht="27.75">
      <c r="A137" s="1210" t="s">
        <v>245</v>
      </c>
      <c r="B137" s="1211"/>
      <c r="C137" s="1211"/>
      <c r="D137" s="523" t="s">
        <v>239</v>
      </c>
      <c r="E137" s="541">
        <f>'15'!F137</f>
        <v>22766.92</v>
      </c>
      <c r="F137" s="654">
        <v>22766.92</v>
      </c>
      <c r="G137" s="473">
        <f t="shared" si="15"/>
        <v>0</v>
      </c>
      <c r="H137" s="460">
        <f>G137+'15'!H137</f>
        <v>27.329999999998108</v>
      </c>
      <c r="I137" s="480">
        <f>G135+G136+G137</f>
        <v>23.590000000003783</v>
      </c>
      <c r="J137" s="552">
        <f>H137/DAY(B2)</f>
        <v>1.7081249999998818</v>
      </c>
      <c r="N137" s="721"/>
      <c r="O137" s="728"/>
      <c r="P137" s="382"/>
    </row>
    <row r="138" spans="1:16" ht="27.75">
      <c r="A138" s="1210" t="s">
        <v>246</v>
      </c>
      <c r="B138" s="1211"/>
      <c r="C138" s="1211"/>
      <c r="D138" s="523" t="s">
        <v>239</v>
      </c>
      <c r="E138" s="541">
        <f>'15'!F138</f>
        <v>25051.72</v>
      </c>
      <c r="F138" s="654">
        <v>25051.72</v>
      </c>
      <c r="G138" s="473">
        <f t="shared" si="15"/>
        <v>0</v>
      </c>
      <c r="H138" s="460">
        <f>G138+'15'!H138</f>
        <v>0.13000000000101863</v>
      </c>
      <c r="I138" s="480"/>
      <c r="J138" s="552">
        <f>H138/DAY(B2)</f>
        <v>8.1250000000636646E-3</v>
      </c>
      <c r="N138" s="721"/>
      <c r="O138" s="728"/>
      <c r="P138" s="382"/>
    </row>
    <row r="139" spans="1:16" ht="27.75">
      <c r="A139" s="1210" t="s">
        <v>247</v>
      </c>
      <c r="B139" s="1211"/>
      <c r="C139" s="1211"/>
      <c r="D139" s="523" t="s">
        <v>239</v>
      </c>
      <c r="E139" s="541">
        <f>'15'!F139</f>
        <v>70361.47</v>
      </c>
      <c r="F139" s="654">
        <v>70361.47</v>
      </c>
      <c r="G139" s="473">
        <f t="shared" si="15"/>
        <v>0</v>
      </c>
      <c r="H139" s="460">
        <f>G139+'15'!H139</f>
        <v>45.660000000003492</v>
      </c>
      <c r="I139" s="480">
        <f>G138+G139</f>
        <v>0</v>
      </c>
      <c r="J139" s="552">
        <f>H139/DAY(B2)</f>
        <v>2.8537500000002183</v>
      </c>
      <c r="N139" s="721"/>
      <c r="O139" s="728"/>
      <c r="P139" s="382"/>
    </row>
    <row r="140" spans="1:16" ht="27.75">
      <c r="A140" s="1210" t="s">
        <v>248</v>
      </c>
      <c r="B140" s="1211"/>
      <c r="C140" s="1211"/>
      <c r="D140" s="523" t="s">
        <v>239</v>
      </c>
      <c r="E140" s="704">
        <f>'15'!F140</f>
        <v>1731.51</v>
      </c>
      <c r="F140" s="626">
        <v>1739.48</v>
      </c>
      <c r="G140" s="473">
        <f t="shared" si="15"/>
        <v>7.9700000000000273</v>
      </c>
      <c r="H140" s="460">
        <f>G140+'15'!H140</f>
        <v>122.62000000000012</v>
      </c>
      <c r="I140" s="542"/>
      <c r="J140" s="552">
        <f>H140/DAY(B2)</f>
        <v>7.6637500000000074</v>
      </c>
      <c r="N140" s="721"/>
      <c r="O140" s="728"/>
      <c r="P140" s="382"/>
    </row>
    <row r="141" spans="1:16" ht="27.75">
      <c r="A141" s="1210" t="s">
        <v>249</v>
      </c>
      <c r="B141" s="1211"/>
      <c r="C141" s="1211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21"/>
      <c r="O141" s="728"/>
      <c r="P141" s="382"/>
    </row>
    <row r="142" spans="1:16">
      <c r="A142" s="1531" t="s">
        <v>309</v>
      </c>
      <c r="B142" s="1532"/>
      <c r="C142" s="1214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4052.1300000000047</v>
      </c>
      <c r="H143" s="460">
        <f>G143+'15'!H143</f>
        <v>67314.33</v>
      </c>
      <c r="I143" s="480"/>
      <c r="J143" s="552">
        <f>H143/DAY(B2)</f>
        <v>4207.1456250000001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0.26974637198775159</v>
      </c>
      <c r="H144" s="460">
        <f>G144+'15'!H144</f>
        <v>4.2995917556703347</v>
      </c>
      <c r="I144" s="544"/>
      <c r="J144" s="552">
        <f>H144/DAY(B2)</f>
        <v>0.26872448472939592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4448</v>
      </c>
      <c r="H145" s="460">
        <f>G145+'15'!H145</f>
        <v>77833</v>
      </c>
      <c r="I145" s="480"/>
      <c r="J145" s="552">
        <f>H145/DAY(B2)</f>
        <v>4864.5625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0.29609905471974435</v>
      </c>
      <c r="H146" s="460">
        <f>G146+'15'!H146</f>
        <v>4.9778028327496537</v>
      </c>
      <c r="I146" s="544"/>
      <c r="J146" s="552">
        <f>H146/DAY(B2)</f>
        <v>0.31111267704685336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2608</v>
      </c>
      <c r="H147" s="460">
        <f>G147+'15'!H147</f>
        <v>36827</v>
      </c>
      <c r="I147" s="545"/>
      <c r="J147" s="552">
        <f>H147/DAY(B2)</f>
        <v>2301.6875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0.1736120356810012</v>
      </c>
      <c r="H148" s="460">
        <f>G148+'15'!H148</f>
        <v>2.3532444040046503</v>
      </c>
      <c r="I148" s="545"/>
      <c r="J148" s="552">
        <f>H148/DAY(B2)</f>
        <v>0.14707777525029064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1097</v>
      </c>
      <c r="H149" s="460">
        <f>G149+'15'!H149</f>
        <v>19138</v>
      </c>
      <c r="I149" s="480"/>
      <c r="J149" s="552">
        <f>H149/DAY(B2)</f>
        <v>1196.125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7.302622819864199E-2</v>
      </c>
      <c r="H150" s="460">
        <f>G150+'15'!H150</f>
        <v>1.2227481894090355</v>
      </c>
      <c r="I150" s="545"/>
      <c r="J150" s="552">
        <f>H150/DAY(B2)</f>
        <v>7.642176183806472E-2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821</v>
      </c>
      <c r="H151" s="460">
        <f>G151+'15'!H151</f>
        <v>17166</v>
      </c>
      <c r="I151" s="545"/>
      <c r="J151" s="552">
        <f>H151/DAY(B2)</f>
        <v>1072.875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5.4653175342830512E-2</v>
      </c>
      <c r="H152" s="460">
        <f>G152+'15'!H152</f>
        <v>1.0895696628246283</v>
      </c>
      <c r="I152" s="480"/>
      <c r="J152" s="552">
        <f>H152/DAY(B2)</f>
        <v>6.8098103926539269E-2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1239</v>
      </c>
      <c r="H153" s="460">
        <f>G153+'15'!H153</f>
        <v>19577.869999999995</v>
      </c>
      <c r="I153" s="480"/>
      <c r="J153" s="552">
        <f>H153/DAY(B2)</f>
        <v>1223.6168749999997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8.2479030754892824E-2</v>
      </c>
      <c r="H154" s="460">
        <f>G154+'15'!H154</f>
        <v>1.2521338150788401</v>
      </c>
      <c r="I154" s="568"/>
      <c r="J154" s="569">
        <f>H154/DAY(B2)</f>
        <v>7.8258363442427509E-2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'15'!F161</f>
        <v>37152.94</v>
      </c>
      <c r="F161" s="807">
        <v>37232</v>
      </c>
      <c r="G161" s="473">
        <f t="shared" ref="G161:G164" si="16">F161-E161</f>
        <v>79.059999999997672</v>
      </c>
      <c r="N161" s="721"/>
    </row>
    <row r="162" spans="1:14">
      <c r="A162" s="798" t="s">
        <v>264</v>
      </c>
      <c r="B162" s="799"/>
      <c r="C162" s="799"/>
      <c r="D162" s="620" t="s">
        <v>187</v>
      </c>
      <c r="E162" s="522">
        <f>'15'!F162</f>
        <v>88619</v>
      </c>
      <c r="F162" s="807">
        <v>89007</v>
      </c>
      <c r="G162" s="473">
        <f t="shared" si="16"/>
        <v>388</v>
      </c>
      <c r="N162" s="721"/>
    </row>
    <row r="163" spans="1:14">
      <c r="A163" s="798" t="s">
        <v>265</v>
      </c>
      <c r="B163" s="799"/>
      <c r="C163" s="799"/>
      <c r="D163" s="620" t="s">
        <v>187</v>
      </c>
      <c r="E163" s="522">
        <f>'15'!F163</f>
        <v>41655</v>
      </c>
      <c r="F163" s="787">
        <v>41864</v>
      </c>
      <c r="G163" s="473">
        <f t="shared" si="16"/>
        <v>209</v>
      </c>
      <c r="N163" s="721"/>
    </row>
    <row r="164" spans="1:14">
      <c r="A164" s="798" t="s">
        <v>266</v>
      </c>
      <c r="B164" s="799"/>
      <c r="C164" s="799"/>
      <c r="D164" s="620" t="s">
        <v>187</v>
      </c>
      <c r="E164" s="522">
        <f>'15'!F164</f>
        <v>6389</v>
      </c>
      <c r="F164" s="807">
        <v>6402</v>
      </c>
      <c r="G164" s="473">
        <f t="shared" si="16"/>
        <v>13</v>
      </c>
      <c r="N164" s="721"/>
    </row>
    <row r="165" spans="1:14">
      <c r="A165" s="800" t="s">
        <v>98</v>
      </c>
      <c r="B165" s="801"/>
      <c r="C165" s="801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21"/>
    </row>
    <row r="166" spans="1:14">
      <c r="A166" s="800" t="s">
        <v>188</v>
      </c>
      <c r="B166" s="801"/>
      <c r="C166" s="801"/>
      <c r="D166" s="620" t="s">
        <v>187</v>
      </c>
      <c r="E166" s="522">
        <f>'15'!F166</f>
        <v>2415</v>
      </c>
      <c r="F166" s="514">
        <f t="shared" ref="F166:F172" si="18">F63</f>
        <v>2419</v>
      </c>
      <c r="G166" s="473">
        <f t="shared" si="17"/>
        <v>4</v>
      </c>
      <c r="N166" s="721"/>
    </row>
    <row r="167" spans="1:14" ht="27.75">
      <c r="A167" s="1570" t="s">
        <v>99</v>
      </c>
      <c r="B167" s="1570"/>
      <c r="C167" s="1570"/>
      <c r="D167" s="524" t="s">
        <v>187</v>
      </c>
      <c r="E167" s="522">
        <f>'15'!F167</f>
        <v>156403</v>
      </c>
      <c r="F167" s="514">
        <f t="shared" si="18"/>
        <v>156604</v>
      </c>
      <c r="G167" s="473">
        <f t="shared" si="17"/>
        <v>201</v>
      </c>
      <c r="N167" s="721"/>
    </row>
    <row r="168" spans="1:14" ht="27.75">
      <c r="A168" s="1570" t="s">
        <v>100</v>
      </c>
      <c r="B168" s="1570"/>
      <c r="C168" s="1570"/>
      <c r="D168" s="524" t="s">
        <v>187</v>
      </c>
      <c r="E168" s="522">
        <f>'15'!F168</f>
        <v>157372</v>
      </c>
      <c r="F168" s="514">
        <f t="shared" si="18"/>
        <v>157667</v>
      </c>
      <c r="G168" s="473">
        <f t="shared" si="17"/>
        <v>295</v>
      </c>
      <c r="N168" s="721"/>
    </row>
    <row r="169" spans="1:14" ht="27.75">
      <c r="A169" s="1570" t="s">
        <v>101</v>
      </c>
      <c r="B169" s="1570"/>
      <c r="C169" s="1570"/>
      <c r="D169" s="524" t="s">
        <v>187</v>
      </c>
      <c r="E169" s="522">
        <f>'15'!F169</f>
        <v>52447</v>
      </c>
      <c r="F169" s="514">
        <f t="shared" si="18"/>
        <v>52707</v>
      </c>
      <c r="G169" s="473">
        <f t="shared" si="17"/>
        <v>260</v>
      </c>
      <c r="N169" s="721"/>
    </row>
    <row r="170" spans="1:14" ht="27.75">
      <c r="A170" s="1570" t="s">
        <v>102</v>
      </c>
      <c r="B170" s="1570"/>
      <c r="C170" s="1570"/>
      <c r="D170" s="524" t="s">
        <v>187</v>
      </c>
      <c r="E170" s="522">
        <f>'15'!F170</f>
        <v>245741</v>
      </c>
      <c r="F170" s="514">
        <f t="shared" si="18"/>
        <v>246073</v>
      </c>
      <c r="G170" s="473">
        <f t="shared" si="17"/>
        <v>332</v>
      </c>
      <c r="N170" s="721"/>
    </row>
    <row r="171" spans="1:14" ht="27.75">
      <c r="A171" s="1570" t="s">
        <v>103</v>
      </c>
      <c r="B171" s="1570"/>
      <c r="C171" s="1570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22">
        <f>'15'!F172</f>
        <v>80090</v>
      </c>
      <c r="F172" s="514">
        <f t="shared" si="18"/>
        <v>80185</v>
      </c>
      <c r="G172" s="473">
        <f t="shared" si="17"/>
        <v>95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1876.0599999999977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7" zoomScale="55" zoomScaleSheetLayoutView="55" zoomScalePageLayoutView="60" workbookViewId="0">
      <selection activeCell="F28" activeCellId="1" sqref="F28 F2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354</v>
      </c>
      <c r="B2" s="1036">
        <v>44333</v>
      </c>
      <c r="C2" s="1229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29" t="s">
        <v>120</v>
      </c>
      <c r="D3" s="612">
        <v>29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9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95882</v>
      </c>
      <c r="F7" s="455">
        <v>110754</v>
      </c>
      <c r="G7" s="681">
        <f>F7-E7</f>
        <v>14872</v>
      </c>
      <c r="H7" s="682">
        <f>G7+'16'!H7</f>
        <v>265777</v>
      </c>
      <c r="I7" s="683">
        <f>'1'!I7</f>
        <v>12000</v>
      </c>
      <c r="J7" s="684">
        <f>H7/DAY(B2)</f>
        <v>15633.941176470587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96591</v>
      </c>
      <c r="F8" s="475">
        <v>111639</v>
      </c>
      <c r="G8" s="692">
        <f>F8-E8</f>
        <v>15048</v>
      </c>
      <c r="H8" s="682">
        <f>G8+'16'!H8</f>
        <v>267398</v>
      </c>
      <c r="I8" s="689">
        <f>'1'!I8</f>
        <v>12000</v>
      </c>
      <c r="J8" s="684">
        <f>H8/DAY(B2)</f>
        <v>15729.294117647059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1233310</v>
      </c>
      <c r="F9" s="478">
        <v>1247690</v>
      </c>
      <c r="G9" s="705">
        <f t="shared" ref="G9:G12" si="0">F9-E9</f>
        <v>14380</v>
      </c>
      <c r="H9" s="682">
        <f>G9+'16'!H9</f>
        <v>256976</v>
      </c>
      <c r="I9" s="693">
        <f>I7-J7</f>
        <v>-3633.9411764705874</v>
      </c>
      <c r="J9" s="684">
        <f>H9/DAY(B2)</f>
        <v>15116.235294117647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14182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14380</v>
      </c>
      <c r="H13" s="682">
        <f>G13+'16'!H13</f>
        <v>242455</v>
      </c>
      <c r="I13" s="698">
        <f>G7-G13</f>
        <v>492</v>
      </c>
      <c r="J13" s="684">
        <f>H13/DAY(B2)</f>
        <v>14262.058823529413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1677418</v>
      </c>
      <c r="F15" s="485">
        <v>1677980</v>
      </c>
      <c r="G15" s="667">
        <f>(F15-E15)</f>
        <v>562</v>
      </c>
      <c r="H15" s="486">
        <f>G15+'16'!H15</f>
        <v>7323</v>
      </c>
      <c r="I15" s="474">
        <f>'1'!I15</f>
        <v>800</v>
      </c>
      <c r="J15" s="553">
        <f>H15/DAY(B2)</f>
        <v>430.76470588235293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369.23529411764707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'16'!F18</f>
        <v>6</v>
      </c>
      <c r="F18" s="478">
        <v>2</v>
      </c>
      <c r="G18" s="697">
        <f>F18*10</f>
        <v>20</v>
      </c>
      <c r="H18" s="682">
        <f>G18+'16'!H18</f>
        <v>640</v>
      </c>
      <c r="I18" s="683">
        <f>'1'!I18</f>
        <v>65</v>
      </c>
      <c r="J18" s="684">
        <f>H18/DAY(B2)</f>
        <v>37.647058823529413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'16'!F19</f>
        <v>138688</v>
      </c>
      <c r="F19" s="478">
        <v>138744</v>
      </c>
      <c r="G19" s="692">
        <f>F19-E19</f>
        <v>56</v>
      </c>
      <c r="H19" s="682">
        <f>G19+'16'!H19</f>
        <v>932</v>
      </c>
      <c r="I19" s="699"/>
      <c r="J19" s="684">
        <f>H19/DAY(B2)</f>
        <v>54.823529411764703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76</v>
      </c>
      <c r="H20" s="682">
        <f>G20+'16'!H20</f>
        <v>1572</v>
      </c>
      <c r="I20" s="701">
        <f>I18-J20</f>
        <v>-27.470588235294116</v>
      </c>
      <c r="J20" s="684">
        <f>H20/DAY(B2)</f>
        <v>92.470588235294116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7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7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15048</v>
      </c>
      <c r="F27" s="501">
        <v>9</v>
      </c>
      <c r="G27" s="502">
        <f>E27*F27</f>
        <v>135432</v>
      </c>
      <c r="H27" s="460">
        <f>G27+'16'!H27</f>
        <v>2406582</v>
      </c>
      <c r="I27" s="503"/>
      <c r="J27" s="552">
        <f>H27/DAY(B2)</f>
        <v>141563.64705882352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562</v>
      </c>
      <c r="F28" s="501">
        <v>49</v>
      </c>
      <c r="G28" s="502">
        <f>E28*F28</f>
        <v>27538</v>
      </c>
      <c r="H28" s="460">
        <f>G28+'16'!H28</f>
        <v>361612.65</v>
      </c>
      <c r="I28" s="505"/>
      <c r="J28" s="552">
        <f>H28/DAY(B2)</f>
        <v>21271.332352941179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G30+'16'!H30</f>
        <v>124888</v>
      </c>
      <c r="I30" s="505"/>
      <c r="J30" s="552">
        <f>H30/DAY(B2)</f>
        <v>7346.3529411764703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G31+'16'!H31</f>
        <v>51200</v>
      </c>
      <c r="I31" s="505"/>
      <c r="J31" s="552"/>
      <c r="K31" s="373">
        <f>E31*80%</f>
        <v>16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172074</v>
      </c>
      <c r="H32" s="460">
        <f>G32+'16'!H32</f>
        <v>2944282.65</v>
      </c>
      <c r="I32" s="509"/>
      <c r="J32" s="552">
        <f>H32/DAY(B2)</f>
        <v>173193.09705882354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232"/>
      <c r="C34" s="12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918972</v>
      </c>
      <c r="F35" s="510">
        <v>920574</v>
      </c>
      <c r="G35" s="473">
        <f t="shared" ref="G35:G46" si="1">F35-E35</f>
        <v>1602</v>
      </c>
      <c r="H35" s="460">
        <f>G35+'16'!H35</f>
        <v>34115</v>
      </c>
      <c r="I35" s="455"/>
      <c r="J35" s="552">
        <f>H35/DAY(B2)</f>
        <v>2006.7647058823529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347065</v>
      </c>
      <c r="F36" s="510">
        <v>347065</v>
      </c>
      <c r="G36" s="473">
        <f t="shared" si="1"/>
        <v>0</v>
      </c>
      <c r="H36" s="460">
        <f>G36+'16'!H36</f>
        <v>2457</v>
      </c>
      <c r="I36" s="455"/>
      <c r="J36" s="552">
        <f>H36/DAY(B2)</f>
        <v>144.52941176470588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114803</v>
      </c>
      <c r="F37" s="510">
        <v>116141</v>
      </c>
      <c r="G37" s="473">
        <f t="shared" si="1"/>
        <v>1338</v>
      </c>
      <c r="H37" s="460">
        <f>G37+'16'!H37</f>
        <v>20916</v>
      </c>
      <c r="I37" s="455"/>
      <c r="J37" s="552">
        <f>H37/DAY(B2)</f>
        <v>1230.3529411764705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138734</v>
      </c>
      <c r="F38" s="469">
        <v>139784</v>
      </c>
      <c r="G38" s="473">
        <f t="shared" si="1"/>
        <v>1050</v>
      </c>
      <c r="H38" s="460">
        <f>G38+'16'!H38</f>
        <v>20188</v>
      </c>
      <c r="I38" s="455"/>
      <c r="J38" s="552">
        <f>H38/DAY(B2)</f>
        <v>1187.5294117647059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275338</v>
      </c>
      <c r="F39" s="510">
        <v>277493</v>
      </c>
      <c r="G39" s="473">
        <f>F39-E39</f>
        <v>2155</v>
      </c>
      <c r="H39" s="460">
        <f>G39+'16'!H39</f>
        <v>30840</v>
      </c>
      <c r="I39" s="455"/>
      <c r="J39" s="552">
        <f>H39/DAY(B2)</f>
        <v>1814.1176470588234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350</v>
      </c>
      <c r="F40" s="510">
        <v>430</v>
      </c>
      <c r="G40" s="473">
        <f t="shared" si="1"/>
        <v>80</v>
      </c>
      <c r="H40" s="460">
        <f>G40+'16'!H40</f>
        <v>429.77</v>
      </c>
      <c r="I40" s="455"/>
      <c r="J40" s="552">
        <f>H40/DAY(B2)</f>
        <v>25.280588235294118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239668</v>
      </c>
      <c r="F41" s="510">
        <v>239668</v>
      </c>
      <c r="G41" s="473">
        <f t="shared" si="1"/>
        <v>0</v>
      </c>
      <c r="H41" s="460">
        <f>G41+'16'!H41</f>
        <v>58140</v>
      </c>
      <c r="I41" s="455"/>
      <c r="J41" s="552">
        <f>H41/DAY(B2)</f>
        <v>3420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59200</v>
      </c>
      <c r="F42" s="510">
        <v>59200</v>
      </c>
      <c r="G42" s="473">
        <f>F42-E42</f>
        <v>0</v>
      </c>
      <c r="H42" s="460">
        <f>G42+'16'!H42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1008759</v>
      </c>
      <c r="F43" s="510">
        <v>1010795</v>
      </c>
      <c r="G43" s="473">
        <f t="shared" si="1"/>
        <v>2036</v>
      </c>
      <c r="H43" s="460">
        <f>G43+'16'!H43</f>
        <v>36837</v>
      </c>
      <c r="I43" s="455"/>
      <c r="J43" s="552">
        <f>H43/DAY(B2)</f>
        <v>2166.8823529411766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8261</v>
      </c>
      <c r="H47" s="460">
        <f>G47+'16'!H47</f>
        <v>203923.26</v>
      </c>
      <c r="I47" s="455"/>
      <c r="J47" s="552">
        <f>H47/DAY(B2)</f>
        <v>11995.485882352941</v>
      </c>
      <c r="K47" s="428"/>
      <c r="L47" s="377"/>
      <c r="N47" s="721"/>
      <c r="O47" s="728"/>
      <c r="P47" s="382"/>
    </row>
    <row r="48" spans="1:16">
      <c r="A48" s="598" t="s">
        <v>177</v>
      </c>
      <c r="B48" s="1232"/>
      <c r="C48" s="12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489245</v>
      </c>
      <c r="F50" s="510">
        <v>490007</v>
      </c>
      <c r="G50" s="473">
        <f t="shared" si="2"/>
        <v>762</v>
      </c>
      <c r="H50" s="460">
        <f>G50+'16'!H50</f>
        <v>14532</v>
      </c>
      <c r="I50" s="455"/>
      <c r="J50" s="552">
        <f>H50/DAY(B2)</f>
        <v>854.82352941176475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424453</v>
      </c>
      <c r="F53" s="510">
        <v>424944</v>
      </c>
      <c r="G53" s="473">
        <f t="shared" si="2"/>
        <v>491</v>
      </c>
      <c r="H53" s="460">
        <f>G53+'16'!H53</f>
        <v>8110</v>
      </c>
      <c r="I53" s="455"/>
      <c r="J53" s="552">
        <f>H53/DAY(B2)</f>
        <v>477.05882352941177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12542</v>
      </c>
      <c r="F54" s="510">
        <v>12622</v>
      </c>
      <c r="G54" s="473">
        <f t="shared" si="2"/>
        <v>80</v>
      </c>
      <c r="H54" s="460">
        <f>G54+'16'!H54</f>
        <v>4860</v>
      </c>
      <c r="I54" s="455"/>
      <c r="J54" s="552">
        <f>H54/DAY(B2)</f>
        <v>285.88235294117646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19546</v>
      </c>
      <c r="F55" s="656">
        <v>24040</v>
      </c>
      <c r="G55" s="655">
        <f t="shared" si="2"/>
        <v>4494</v>
      </c>
      <c r="H55" s="708">
        <f>G55+'16'!H55</f>
        <v>24040</v>
      </c>
      <c r="I55" s="709"/>
      <c r="J55" s="710">
        <f>H55/DAY(B2)</f>
        <v>1414.1176470588234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589435.47</v>
      </c>
      <c r="F56" s="656">
        <v>589435.47</v>
      </c>
      <c r="G56" s="473">
        <f>F56-E56</f>
        <v>0</v>
      </c>
      <c r="H56" s="460">
        <f>G56+'16'!H56</f>
        <v>147.10999999998603</v>
      </c>
      <c r="I56" s="455"/>
      <c r="J56" s="552">
        <f>H56/DAY(B2)</f>
        <v>8.6535294117638841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47905</v>
      </c>
      <c r="F58" s="656">
        <v>48104</v>
      </c>
      <c r="G58" s="473">
        <f t="shared" si="2"/>
        <v>199</v>
      </c>
      <c r="H58" s="460">
        <f>G58+'16'!H58</f>
        <v>1387</v>
      </c>
      <c r="I58" s="455"/>
      <c r="J58" s="552">
        <f>H58/DAY(B2)</f>
        <v>81.588235294117652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6026.1300000000047</v>
      </c>
      <c r="H59" s="460">
        <f>G59+'16'!H59</f>
        <v>53076.439999999988</v>
      </c>
      <c r="I59" s="455">
        <f>G7-G60</f>
        <v>584.86999999999534</v>
      </c>
      <c r="J59" s="552">
        <f>H59/DAY(B2)</f>
        <v>3122.1435294117641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14287.130000000005</v>
      </c>
      <c r="H60" s="460">
        <f>G60+'16'!H60</f>
        <v>258583.59</v>
      </c>
      <c r="I60" s="455">
        <f>G13-G60</f>
        <v>92.869999999995343</v>
      </c>
      <c r="J60" s="552">
        <f>H60/DAY(B2)</f>
        <v>15210.799411764705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2419</v>
      </c>
      <c r="F63" s="514">
        <v>2423</v>
      </c>
      <c r="G63" s="473">
        <f t="shared" si="3"/>
        <v>4</v>
      </c>
      <c r="H63" s="460">
        <f>G63+'16'!H63</f>
        <v>64</v>
      </c>
      <c r="I63" s="515"/>
      <c r="J63" s="552">
        <f>H63/DAY(B2)</f>
        <v>3.7647058823529411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1234">
        <f>'16'!F64</f>
        <v>156604</v>
      </c>
      <c r="F64" s="626">
        <v>156870</v>
      </c>
      <c r="G64" s="777">
        <f t="shared" si="3"/>
        <v>266</v>
      </c>
      <c r="H64" s="460">
        <f>G64+'16'!H64</f>
        <v>3571</v>
      </c>
      <c r="I64" s="480"/>
      <c r="J64" s="552">
        <f>H64/DAY(B2)</f>
        <v>210.05882352941177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'16'!F65</f>
        <v>157667</v>
      </c>
      <c r="F65" s="654">
        <v>157951</v>
      </c>
      <c r="G65" s="473">
        <f t="shared" si="3"/>
        <v>284</v>
      </c>
      <c r="H65" s="460">
        <f>G65+'16'!H65</f>
        <v>3352</v>
      </c>
      <c r="I65" s="489"/>
      <c r="J65" s="552">
        <f>H65/DAY(B2)</f>
        <v>197.1764705882353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'16'!F66</f>
        <v>52707</v>
      </c>
      <c r="F66" s="478">
        <v>52979</v>
      </c>
      <c r="G66" s="473">
        <f t="shared" si="3"/>
        <v>272</v>
      </c>
      <c r="H66" s="460">
        <f>G66+'16'!H66</f>
        <v>4408</v>
      </c>
      <c r="I66" s="480"/>
      <c r="J66" s="552">
        <f>H66/DAY(B2)</f>
        <v>259.29411764705884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'16'!F67</f>
        <v>246073</v>
      </c>
      <c r="F67" s="478">
        <v>246395</v>
      </c>
      <c r="G67" s="473">
        <f t="shared" si="3"/>
        <v>322</v>
      </c>
      <c r="H67" s="460">
        <f>G67+'16'!H67</f>
        <v>3221</v>
      </c>
      <c r="I67" s="489"/>
      <c r="J67" s="552">
        <f>H67/DAY(B2)</f>
        <v>189.47058823529412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'16'!F69</f>
        <v>80185</v>
      </c>
      <c r="F69" s="478">
        <v>80272</v>
      </c>
      <c r="G69" s="473">
        <f t="shared" si="3"/>
        <v>87</v>
      </c>
      <c r="H69" s="460">
        <f>G69+'16'!H69</f>
        <v>1278</v>
      </c>
      <c r="I69" s="516"/>
      <c r="J69" s="552">
        <f>H69/DAY(B2)</f>
        <v>75.17647058823529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7">
        <v>855695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'16'!F72</f>
        <v>855682</v>
      </c>
      <c r="F72" s="657">
        <v>855696</v>
      </c>
      <c r="G72" s="473">
        <f t="shared" ref="G72:G84" si="4">F72-E72</f>
        <v>14</v>
      </c>
      <c r="H72" s="460">
        <f>G72+'16'!H72</f>
        <v>224</v>
      </c>
      <c r="I72" s="480"/>
      <c r="J72" s="552">
        <f>H72/DAY(B2)</f>
        <v>13.176470588235293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'16'!F73</f>
        <v>885892</v>
      </c>
      <c r="F73" s="658">
        <v>885893</v>
      </c>
      <c r="G73" s="655">
        <f t="shared" si="4"/>
        <v>1</v>
      </c>
      <c r="H73" s="460">
        <f>G73+'16'!H73</f>
        <v>197</v>
      </c>
      <c r="I73" s="480"/>
      <c r="J73" s="552">
        <f>H73/DAY(B2)</f>
        <v>11.588235294117647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'16'!F74</f>
        <v>2489</v>
      </c>
      <c r="F74" s="658">
        <v>2495</v>
      </c>
      <c r="G74" s="473">
        <f t="shared" si="4"/>
        <v>6</v>
      </c>
      <c r="H74" s="460">
        <f>G74+'16'!H74</f>
        <v>216</v>
      </c>
      <c r="I74" s="480"/>
      <c r="J74" s="552">
        <f>H74/DAY(B2)</f>
        <v>12.705882352941176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'16'!F75</f>
        <v>11821</v>
      </c>
      <c r="F75" s="658">
        <v>11880</v>
      </c>
      <c r="G75" s="473">
        <f t="shared" si="4"/>
        <v>59</v>
      </c>
      <c r="H75" s="460">
        <f>G75+'16'!H75</f>
        <v>910</v>
      </c>
      <c r="I75" s="480"/>
      <c r="J75" s="552">
        <f>H75/DAY(B2)</f>
        <v>53.529411764705884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'16'!F76</f>
        <v>6578</v>
      </c>
      <c r="F76" s="658">
        <v>6635</v>
      </c>
      <c r="G76" s="473">
        <f t="shared" si="4"/>
        <v>57</v>
      </c>
      <c r="H76" s="460">
        <f>G76+'16'!H76</f>
        <v>918.04999999999927</v>
      </c>
      <c r="I76" s="505"/>
      <c r="J76" s="552">
        <f>H76/DAY(B2)</f>
        <v>54.002941176470543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'16'!F77</f>
        <v>702265</v>
      </c>
      <c r="F77" s="658">
        <v>702294</v>
      </c>
      <c r="G77" s="655">
        <f t="shared" si="4"/>
        <v>29</v>
      </c>
      <c r="H77" s="460">
        <f>G77+'16'!H77</f>
        <v>732</v>
      </c>
      <c r="I77" s="505"/>
      <c r="J77" s="552">
        <f>H77/DAY(B2)</f>
        <v>43.058823529411768</v>
      </c>
      <c r="K77" s="430"/>
      <c r="L77" s="377"/>
      <c r="N77" s="721"/>
      <c r="O77" s="728"/>
      <c r="P77" s="382"/>
    </row>
    <row r="78" spans="1:16" ht="27.75">
      <c r="A78" s="1230" t="s">
        <v>197</v>
      </c>
      <c r="B78" s="1223"/>
      <c r="C78" s="1223"/>
      <c r="D78" s="523" t="s">
        <v>187</v>
      </c>
      <c r="E78" s="519">
        <f>'16'!F78</f>
        <v>671385</v>
      </c>
      <c r="F78" s="659">
        <v>671474</v>
      </c>
      <c r="G78" s="473">
        <f t="shared" si="4"/>
        <v>89</v>
      </c>
      <c r="H78" s="460">
        <f>G78+'16'!H78</f>
        <v>1449</v>
      </c>
      <c r="I78" s="505"/>
      <c r="J78" s="552">
        <f>H78/DAY(B2)</f>
        <v>85.235294117647058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'16'!F79</f>
        <v>829050</v>
      </c>
      <c r="F79" s="659">
        <v>829167</v>
      </c>
      <c r="G79" s="473">
        <f t="shared" si="4"/>
        <v>117</v>
      </c>
      <c r="H79" s="460">
        <f>G79+'16'!H79</f>
        <v>1436</v>
      </c>
      <c r="I79" s="505"/>
      <c r="J79" s="552">
        <f>H79/DAY(B2)</f>
        <v>84.470588235294116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'16'!F80</f>
        <v>522420</v>
      </c>
      <c r="F80" s="658">
        <v>522731</v>
      </c>
      <c r="G80" s="473">
        <f t="shared" si="4"/>
        <v>311</v>
      </c>
      <c r="H80" s="460">
        <f>G80+'16'!H80</f>
        <v>3270</v>
      </c>
      <c r="I80" s="505"/>
      <c r="J80" s="552">
        <f>H80/DAY(B2)</f>
        <v>192.35294117647058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'16'!F81</f>
        <v>637676</v>
      </c>
      <c r="F81" s="658">
        <v>637752</v>
      </c>
      <c r="G81" s="473">
        <f t="shared" si="4"/>
        <v>76</v>
      </c>
      <c r="H81" s="460">
        <f>G81+'16'!H81</f>
        <v>1274</v>
      </c>
      <c r="I81" s="505"/>
      <c r="J81" s="552">
        <f>H81/DAY(B2)</f>
        <v>74.941176470588232</v>
      </c>
      <c r="K81" s="430"/>
      <c r="L81" s="377"/>
      <c r="N81" s="721"/>
      <c r="O81" s="728"/>
      <c r="P81" s="382"/>
    </row>
    <row r="82" spans="1:16" s="779" customFormat="1" ht="27.75">
      <c r="A82" s="1574" t="s">
        <v>93</v>
      </c>
      <c r="B82" s="1575"/>
      <c r="C82" s="1576"/>
      <c r="D82" s="626" t="s">
        <v>132</v>
      </c>
      <c r="E82" s="519">
        <f>'16'!F82</f>
        <v>107919</v>
      </c>
      <c r="F82" s="626">
        <v>107930</v>
      </c>
      <c r="G82" s="777">
        <f t="shared" si="4"/>
        <v>11</v>
      </c>
      <c r="H82" s="479">
        <f>G82+'16'!H82</f>
        <v>318</v>
      </c>
      <c r="I82" s="479"/>
      <c r="J82" s="778">
        <f>H82/DAY(B2)</f>
        <v>18.705882352941178</v>
      </c>
      <c r="K82" s="1220"/>
      <c r="L82" s="1221"/>
      <c r="N82" s="725"/>
      <c r="O82" s="729"/>
      <c r="P82" s="724"/>
    </row>
    <row r="83" spans="1:16" ht="27.75">
      <c r="A83" s="1501" t="s">
        <v>200</v>
      </c>
      <c r="B83" s="1502"/>
      <c r="C83" s="1503"/>
      <c r="D83" s="620" t="s">
        <v>132</v>
      </c>
      <c r="E83" s="519">
        <f>'16'!F83</f>
        <v>17904</v>
      </c>
      <c r="F83" s="511">
        <v>18079</v>
      </c>
      <c r="G83" s="473">
        <f t="shared" si="4"/>
        <v>175</v>
      </c>
      <c r="H83" s="460">
        <f>G83+'16'!H83</f>
        <v>3308</v>
      </c>
      <c r="I83" s="481"/>
      <c r="J83" s="552">
        <f>H83/DAY(B2)</f>
        <v>194.58823529411765</v>
      </c>
      <c r="K83" s="429"/>
      <c r="L83" s="377"/>
      <c r="N83" s="721"/>
      <c r="O83" s="728"/>
      <c r="P83" s="382"/>
    </row>
    <row r="84" spans="1:16">
      <c r="A84" s="1231" t="s">
        <v>201</v>
      </c>
      <c r="B84" s="571"/>
      <c r="C84" s="571"/>
      <c r="D84" s="478" t="s">
        <v>132</v>
      </c>
      <c r="E84" s="519">
        <f>'16'!F84</f>
        <v>491207</v>
      </c>
      <c r="F84" s="627">
        <v>491626</v>
      </c>
      <c r="G84" s="473">
        <f t="shared" si="4"/>
        <v>419</v>
      </c>
      <c r="H84" s="460">
        <f>G84+'16'!H84</f>
        <v>11493</v>
      </c>
      <c r="I84" s="481"/>
      <c r="J84" s="552">
        <f>H84/DAY(B2)</f>
        <v>676.05882352941171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1364</v>
      </c>
      <c r="H85" s="460">
        <f>G85+'16'!H85</f>
        <v>29254</v>
      </c>
      <c r="I85" s="481"/>
      <c r="J85" s="552">
        <f>H85/DAY(B2)</f>
        <v>1720.8235294117646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460442</v>
      </c>
      <c r="F86" s="1480">
        <v>460478</v>
      </c>
      <c r="G86" s="708">
        <f t="shared" ref="G86:G91" si="5">F86-E86</f>
        <v>36</v>
      </c>
      <c r="H86" s="708">
        <f t="shared" ref="H86:H88" si="6">G86</f>
        <v>36</v>
      </c>
      <c r="I86" s="655"/>
      <c r="J86" s="710">
        <f>H86/DAY(B2)</f>
        <v>2.1176470588235294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81109</v>
      </c>
      <c r="F87" s="650">
        <v>81116</v>
      </c>
      <c r="G87" s="708">
        <f t="shared" si="5"/>
        <v>7</v>
      </c>
      <c r="H87" s="708">
        <f t="shared" si="6"/>
        <v>7</v>
      </c>
      <c r="I87" s="655"/>
      <c r="J87" s="710">
        <f>H87/DAY(B2)</f>
        <v>0.41176470588235292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152454</v>
      </c>
      <c r="F88" s="650">
        <v>152520</v>
      </c>
      <c r="G88" s="708">
        <f t="shared" si="5"/>
        <v>66</v>
      </c>
      <c r="H88" s="708">
        <f t="shared" si="6"/>
        <v>66</v>
      </c>
      <c r="I88" s="655"/>
      <c r="J88" s="710">
        <f>H88/DAY(B2)</f>
        <v>3.8823529411764706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64937</v>
      </c>
      <c r="F89" s="650">
        <v>64943</v>
      </c>
      <c r="G89" s="708">
        <f t="shared" si="5"/>
        <v>6</v>
      </c>
      <c r="H89" s="708">
        <f>G89</f>
        <v>6</v>
      </c>
      <c r="I89" s="655"/>
      <c r="J89" s="710">
        <f>H89/DAY(B2)</f>
        <v>0.35294117647058826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3272.5</v>
      </c>
      <c r="F90" s="650">
        <v>3272.5</v>
      </c>
      <c r="G90" s="708">
        <f t="shared" si="5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/>
      <c r="E91" s="627">
        <f>'16'!F91</f>
        <v>27954</v>
      </c>
      <c r="F91" s="650">
        <v>27957</v>
      </c>
      <c r="G91" s="708">
        <f t="shared" si="5"/>
        <v>3</v>
      </c>
      <c r="H91" s="708">
        <f>G91</f>
        <v>3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233"/>
      <c r="C92" s="1233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'16'!F93</f>
        <v>245077</v>
      </c>
      <c r="F93" s="478">
        <v>245077</v>
      </c>
      <c r="G93" s="473">
        <f t="shared" ref="G93:G94" si="7">F93-E93</f>
        <v>0</v>
      </c>
      <c r="H93" s="460">
        <f>G93+'16'!H93</f>
        <v>553</v>
      </c>
      <c r="I93" s="480"/>
      <c r="J93" s="552">
        <f>H93/DAY(B2)</f>
        <v>32.529411764705884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'16'!F94</f>
        <v>184822</v>
      </c>
      <c r="F94" s="478">
        <v>184915</v>
      </c>
      <c r="G94" s="473">
        <f t="shared" si="7"/>
        <v>93</v>
      </c>
      <c r="H94" s="460">
        <f>G94+'16'!H94</f>
        <v>1384</v>
      </c>
      <c r="I94" s="480"/>
      <c r="J94" s="552">
        <f>H94/DAY(B2)</f>
        <v>81.411764705882348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>
        <f>'16'!F95</f>
        <v>0</v>
      </c>
      <c r="F95" s="478"/>
      <c r="G95" s="473">
        <f>G93+G94</f>
        <v>93</v>
      </c>
      <c r="H95" s="460">
        <f>G95+'16'!H95</f>
        <v>1790</v>
      </c>
      <c r="I95" s="480"/>
      <c r="J95" s="552">
        <f>H95/DAY(B2)</f>
        <v>105.29411764705883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'16'!F96</f>
        <v>413594</v>
      </c>
      <c r="F96" s="478">
        <v>413639</v>
      </c>
      <c r="G96" s="473">
        <f t="shared" ref="G96:G101" si="8">F96-E96</f>
        <v>45</v>
      </c>
      <c r="H96" s="460">
        <f>G96+'16'!H96</f>
        <v>753</v>
      </c>
      <c r="I96" s="480"/>
      <c r="J96" s="552">
        <f>H96/DAY(B2)</f>
        <v>44.294117647058826</v>
      </c>
      <c r="K96" s="380"/>
      <c r="L96" s="377"/>
      <c r="N96" s="721"/>
      <c r="O96" s="728"/>
      <c r="P96" s="382"/>
    </row>
    <row r="97" spans="1:16" ht="27.75">
      <c r="A97" s="1227" t="s">
        <v>210</v>
      </c>
      <c r="B97" s="1228"/>
      <c r="C97" s="1228"/>
      <c r="D97" s="523" t="s">
        <v>144</v>
      </c>
      <c r="E97" s="484">
        <f>'16'!F97</f>
        <v>102497</v>
      </c>
      <c r="F97" s="478">
        <v>102504</v>
      </c>
      <c r="G97" s="473">
        <f t="shared" si="8"/>
        <v>7</v>
      </c>
      <c r="H97" s="460">
        <f>G97+'16'!H97</f>
        <v>161</v>
      </c>
      <c r="I97" s="480"/>
      <c r="J97" s="552">
        <f>H97/DAY(B2)</f>
        <v>9.4705882352941178</v>
      </c>
      <c r="K97" s="427"/>
      <c r="L97" s="377"/>
      <c r="N97" s="721"/>
      <c r="O97" s="728"/>
      <c r="P97" s="382"/>
    </row>
    <row r="98" spans="1:16" ht="27.75">
      <c r="A98" s="1227" t="s">
        <v>211</v>
      </c>
      <c r="B98" s="1228"/>
      <c r="C98" s="1228"/>
      <c r="D98" s="523" t="s">
        <v>144</v>
      </c>
      <c r="E98" s="484">
        <f>'16'!F98</f>
        <v>97662</v>
      </c>
      <c r="F98" s="478">
        <v>97668</v>
      </c>
      <c r="G98" s="473">
        <f t="shared" si="8"/>
        <v>6</v>
      </c>
      <c r="H98" s="460">
        <f>G98+'16'!H98</f>
        <v>241</v>
      </c>
      <c r="I98" s="480"/>
      <c r="J98" s="552">
        <f>H98/DAY(B2)</f>
        <v>14.176470588235293</v>
      </c>
      <c r="K98" s="432"/>
      <c r="L98" s="377"/>
      <c r="N98" s="721"/>
      <c r="O98" s="728"/>
      <c r="P98" s="382"/>
    </row>
    <row r="99" spans="1:16" ht="27.75">
      <c r="A99" s="1227" t="s">
        <v>212</v>
      </c>
      <c r="B99" s="1228"/>
      <c r="C99" s="1228"/>
      <c r="D99" s="523" t="s">
        <v>144</v>
      </c>
      <c r="E99" s="484">
        <f>'16'!F99</f>
        <v>149723</v>
      </c>
      <c r="F99" s="478">
        <v>149725</v>
      </c>
      <c r="G99" s="473">
        <f t="shared" si="8"/>
        <v>2</v>
      </c>
      <c r="H99" s="460">
        <f>G99+'16'!H99</f>
        <v>192</v>
      </c>
      <c r="I99" s="480"/>
      <c r="J99" s="552">
        <f>H99/DAY(B2)</f>
        <v>11.294117647058824</v>
      </c>
      <c r="K99" s="380"/>
      <c r="L99" s="377"/>
      <c r="N99" s="723"/>
      <c r="O99" s="728"/>
      <c r="P99" s="382"/>
    </row>
    <row r="100" spans="1:16" ht="27.75">
      <c r="A100" s="1227" t="s">
        <v>213</v>
      </c>
      <c r="B100" s="1228"/>
      <c r="C100" s="1228"/>
      <c r="D100" s="523" t="s">
        <v>144</v>
      </c>
      <c r="E100" s="484">
        <f>'16'!F100</f>
        <v>7267</v>
      </c>
      <c r="F100" s="478">
        <v>7287</v>
      </c>
      <c r="G100" s="473">
        <f t="shared" si="8"/>
        <v>20</v>
      </c>
      <c r="H100" s="460">
        <f>G100+'16'!H100</f>
        <v>102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227" t="s">
        <v>214</v>
      </c>
      <c r="B101" s="1228"/>
      <c r="C101" s="1228"/>
      <c r="D101" s="523" t="s">
        <v>144</v>
      </c>
      <c r="E101" s="484">
        <f>'16'!F101</f>
        <v>5247</v>
      </c>
      <c r="F101" s="478">
        <v>5250</v>
      </c>
      <c r="G101" s="473">
        <f t="shared" si="8"/>
        <v>3</v>
      </c>
      <c r="H101" s="460">
        <f>G101+'16'!H101</f>
        <v>112</v>
      </c>
      <c r="I101" s="480"/>
      <c r="J101" s="552">
        <f>H101/DAY(B2)</f>
        <v>6.5882352941176467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83</v>
      </c>
      <c r="H102" s="460">
        <f>G102+'16'!H102</f>
        <v>1561</v>
      </c>
      <c r="I102" s="526"/>
      <c r="J102" s="552">
        <f>H102/DAY(B2)</f>
        <v>91.82352941176471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226"/>
      <c r="D105" s="622" t="s">
        <v>144</v>
      </c>
      <c r="E105" s="484">
        <f>'16'!F105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226"/>
      <c r="D106" s="622" t="s">
        <v>144</v>
      </c>
      <c r="E106" s="484">
        <f>'16'!F106</f>
        <v>35875</v>
      </c>
      <c r="F106" s="662">
        <v>35889</v>
      </c>
      <c r="G106" s="532">
        <f t="shared" ref="G106:G107" si="9">F106-E106</f>
        <v>14</v>
      </c>
      <c r="H106" s="533">
        <f>SUM(G106+'1'!G77)</f>
        <v>64</v>
      </c>
      <c r="I106" s="532"/>
      <c r="J106" s="558">
        <f>H106/DAY(B2)</f>
        <v>3.7647058823529411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'16'!F107</f>
        <v>19663</v>
      </c>
      <c r="F107" s="662">
        <v>19669</v>
      </c>
      <c r="G107" s="532">
        <f t="shared" si="9"/>
        <v>6</v>
      </c>
      <c r="H107" s="533">
        <f>SUM(G107+'1'!G78)</f>
        <v>130</v>
      </c>
      <c r="I107" s="532"/>
      <c r="J107" s="558">
        <f>H107/DAY(B2)</f>
        <v>7.6470588235294121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226"/>
      <c r="D108" s="622"/>
      <c r="E108" s="484">
        <f>'16'!F108</f>
        <v>0</v>
      </c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12.294117647058824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226"/>
      <c r="D109" s="622" t="s">
        <v>144</v>
      </c>
      <c r="E109" s="484">
        <f>'16'!F109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226"/>
      <c r="D110" s="622" t="s">
        <v>144</v>
      </c>
      <c r="E110" s="484">
        <f>'16'!F110</f>
        <v>62019</v>
      </c>
      <c r="F110" s="662">
        <v>62039</v>
      </c>
      <c r="G110" s="532">
        <f>F110-E110</f>
        <v>20</v>
      </c>
      <c r="H110" s="533">
        <f>SUM(G110+'1'!G81)</f>
        <v>101</v>
      </c>
      <c r="I110" s="532"/>
      <c r="J110" s="558">
        <f>H110/DAY(B2)</f>
        <v>5.9411764705882355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226"/>
      <c r="D111" s="622" t="s">
        <v>144</v>
      </c>
      <c r="E111" s="484">
        <f>'16'!F111</f>
        <v>32401</v>
      </c>
      <c r="F111" s="662">
        <v>32401</v>
      </c>
      <c r="G111" s="532">
        <f t="shared" ref="G111:G112" si="10">F111-E111</f>
        <v>0</v>
      </c>
      <c r="H111" s="533">
        <f>SUM(G111+'1'!G82)</f>
        <v>12</v>
      </c>
      <c r="I111" s="532"/>
      <c r="J111" s="558">
        <f>H111/DAY(B2)</f>
        <v>0.70588235294117652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226"/>
      <c r="D112" s="622" t="s">
        <v>144</v>
      </c>
      <c r="E112" s="484">
        <f>'16'!F112</f>
        <v>4509</v>
      </c>
      <c r="F112" s="662">
        <v>4509</v>
      </c>
      <c r="G112" s="532">
        <f t="shared" si="10"/>
        <v>0</v>
      </c>
      <c r="H112" s="533">
        <f>SUM(G112+'1'!G83)</f>
        <v>255</v>
      </c>
      <c r="I112" s="532"/>
      <c r="J112" s="558">
        <f>H112/DAY(B2)</f>
        <v>15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226"/>
      <c r="D113" s="622"/>
      <c r="E113" s="484">
        <f>'16'!F113</f>
        <v>0</v>
      </c>
      <c r="F113" s="662"/>
      <c r="G113" s="532">
        <f>SUM(G110:G112)</f>
        <v>20</v>
      </c>
      <c r="H113" s="533">
        <f>SUM(G113+'1'!G84)</f>
        <v>735</v>
      </c>
      <c r="I113" s="532"/>
      <c r="J113" s="558">
        <f>H113/DAY(B2)</f>
        <v>43.235294117647058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226"/>
      <c r="D114" s="622"/>
      <c r="E114" s="484">
        <f>'16'!F114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'16'!F115</f>
        <v>11367</v>
      </c>
      <c r="F115" s="662">
        <v>11389</v>
      </c>
      <c r="G115" s="534">
        <f>F115-E115</f>
        <v>22</v>
      </c>
      <c r="H115" s="533">
        <f>SUM(G115+'1'!G92)</f>
        <v>22</v>
      </c>
      <c r="I115" s="532"/>
      <c r="J115" s="558">
        <f>H115/DAY(B2)</f>
        <v>1.2941176470588236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'16'!F116</f>
        <v>8206</v>
      </c>
      <c r="F116" s="662">
        <v>8214</v>
      </c>
      <c r="G116" s="534">
        <f t="shared" ref="G116:G117" si="11">F116-E116</f>
        <v>8</v>
      </c>
      <c r="H116" s="533">
        <f>SUM(G116+'1'!G93)</f>
        <v>60</v>
      </c>
      <c r="I116" s="532"/>
      <c r="J116" s="558">
        <f>H116/DAY(B2)</f>
        <v>3.5294117647058822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1"/>
        <v>0</v>
      </c>
      <c r="H117" s="533">
        <f>SUM(G117+'1'!G94)</f>
        <v>95</v>
      </c>
      <c r="I117" s="532"/>
      <c r="J117" s="558">
        <f>H117/DAY(B2)</f>
        <v>5.5882352941176467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30</v>
      </c>
      <c r="H118" s="533">
        <f>SUM(G118+'1'!G96)</f>
        <v>102</v>
      </c>
      <c r="I118" s="534"/>
      <c r="J118" s="558">
        <f>H118/DAY(B2)</f>
        <v>6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224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533">
        <f>SUM(G119+'1'!G97)</f>
        <v>68</v>
      </c>
      <c r="I119" s="535"/>
      <c r="J119" s="559">
        <f>H119/DAY(B2)</f>
        <v>4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224"/>
      <c r="D120" s="624" t="s">
        <v>144</v>
      </c>
      <c r="E120" s="536"/>
      <c r="F120" s="663">
        <f>SUM(G96,G97,G98,G100,G101)</f>
        <v>81</v>
      </c>
      <c r="G120" s="536">
        <f>SUM(G96,G97,G98,G100,G101)</f>
        <v>81</v>
      </c>
      <c r="H120" s="533">
        <f>SUM(G120+'1'!G99)</f>
        <v>86</v>
      </c>
      <c r="I120" s="535"/>
      <c r="J120" s="559">
        <f>H120/DAY(B2)</f>
        <v>5.0588235294117645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224"/>
      <c r="D121" s="624" t="s">
        <v>144</v>
      </c>
      <c r="E121" s="534"/>
      <c r="F121" s="662">
        <f>SUM(G113)</f>
        <v>20</v>
      </c>
      <c r="G121" s="534">
        <f>SUM(G113)</f>
        <v>20</v>
      </c>
      <c r="H121" s="533">
        <f>SUM(G121+'1'!G101)</f>
        <v>26</v>
      </c>
      <c r="I121" s="535"/>
      <c r="J121" s="559">
        <f>H121/DAY(B2)</f>
        <v>1.5294117647058822</v>
      </c>
      <c r="N121" s="721"/>
      <c r="O121" s="728"/>
      <c r="P121" s="382"/>
    </row>
    <row r="122" spans="1:16" s="442" customFormat="1" ht="27.75">
      <c r="A122" s="1515"/>
      <c r="B122" s="1516"/>
      <c r="C122" s="1225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27" t="s">
        <v>231</v>
      </c>
      <c r="B124" s="1228"/>
      <c r="C124" s="1228"/>
      <c r="D124" s="523" t="s">
        <v>141</v>
      </c>
      <c r="E124" s="478">
        <f>'16'!F124</f>
        <v>829338</v>
      </c>
      <c r="F124" s="478">
        <v>829552</v>
      </c>
      <c r="G124" s="473">
        <f t="shared" ref="G124:G128" si="12">F124-E124</f>
        <v>214</v>
      </c>
      <c r="H124" s="460">
        <f>G124+'16'!H124</f>
        <v>3463.5400000000373</v>
      </c>
      <c r="I124" s="526"/>
      <c r="J124" s="552">
        <f>H124/DAY(B2)</f>
        <v>203.73764705882573</v>
      </c>
      <c r="K124" s="380"/>
      <c r="L124" s="377"/>
      <c r="N124" s="721"/>
      <c r="O124" s="728"/>
      <c r="P124" s="382"/>
    </row>
    <row r="125" spans="1:16" ht="27.75">
      <c r="A125" s="1227" t="s">
        <v>232</v>
      </c>
      <c r="B125" s="1228"/>
      <c r="C125" s="1228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'16'!F126</f>
        <v>145593</v>
      </c>
      <c r="F126" s="478">
        <v>145639</v>
      </c>
      <c r="G126" s="473">
        <f t="shared" si="12"/>
        <v>46</v>
      </c>
      <c r="H126" s="460">
        <f>G126+'16'!H126</f>
        <v>951.55999999999767</v>
      </c>
      <c r="I126" s="526"/>
      <c r="J126" s="552">
        <f>H126/DAY(B2)</f>
        <v>55.974117647058684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28"/>
      <c r="C127" s="1228"/>
      <c r="D127" s="523" t="s">
        <v>141</v>
      </c>
      <c r="E127" s="626">
        <f>'16'!F127</f>
        <v>31404</v>
      </c>
      <c r="F127" s="626">
        <v>31404</v>
      </c>
      <c r="G127" s="473">
        <f t="shared" si="12"/>
        <v>0</v>
      </c>
      <c r="H127" s="460">
        <f>G127+'16'!H127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28"/>
      <c r="C128" s="1228"/>
      <c r="D128" s="523" t="s">
        <v>141</v>
      </c>
      <c r="E128" s="626">
        <f>'16'!F128</f>
        <v>8971</v>
      </c>
      <c r="F128" s="626">
        <v>8971</v>
      </c>
      <c r="G128" s="473">
        <f t="shared" si="12"/>
        <v>0</v>
      </c>
      <c r="H128" s="460">
        <f>G128+'16'!H128</f>
        <v>1.2999999999992724</v>
      </c>
      <c r="I128" s="480"/>
      <c r="J128" s="552">
        <f>H128/DAY(B2)</f>
        <v>7.6470588235251324E-2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28"/>
      <c r="C129" s="1228"/>
      <c r="D129" s="523"/>
      <c r="E129" s="478"/>
      <c r="F129" s="478"/>
      <c r="G129" s="473">
        <f>G15-SUM(G124:G128)</f>
        <v>302</v>
      </c>
      <c r="H129" s="460">
        <f>G129+'16'!H129</f>
        <v>353</v>
      </c>
      <c r="I129" s="480"/>
      <c r="J129" s="552">
        <f>H129/DAY(B2)</f>
        <v>20.764705882352942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27" t="s">
        <v>238</v>
      </c>
      <c r="B131" s="1228"/>
      <c r="C131" s="1228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7" t="s">
        <v>240</v>
      </c>
      <c r="B132" s="1228"/>
      <c r="C132" s="1228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27" t="s">
        <v>241</v>
      </c>
      <c r="B133" s="1228"/>
      <c r="C133" s="1228"/>
      <c r="D133" s="523" t="s">
        <v>239</v>
      </c>
      <c r="E133" s="541">
        <f>'16'!F133</f>
        <v>40031.519999999997</v>
      </c>
      <c r="F133" s="654">
        <v>40031.519999999997</v>
      </c>
      <c r="G133" s="473">
        <f t="shared" si="13"/>
        <v>0</v>
      </c>
      <c r="H133" s="460">
        <f>G133+'16'!H133</f>
        <v>285.0399999999936</v>
      </c>
      <c r="I133" s="480"/>
      <c r="J133" s="552">
        <f>H133/DAY(B2)</f>
        <v>16.767058823529034</v>
      </c>
      <c r="N133" s="721"/>
      <c r="O133" s="728"/>
      <c r="P133" s="382"/>
    </row>
    <row r="134" spans="1:16" ht="27.75">
      <c r="A134" s="1227" t="s">
        <v>242</v>
      </c>
      <c r="B134" s="1228"/>
      <c r="C134" s="1228"/>
      <c r="D134" s="523" t="s">
        <v>239</v>
      </c>
      <c r="E134" s="704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27" t="s">
        <v>243</v>
      </c>
      <c r="B135" s="1228"/>
      <c r="C135" s="1228"/>
      <c r="D135" s="523" t="s">
        <v>239</v>
      </c>
      <c r="E135" s="704">
        <f>'16'!F135</f>
        <v>41492.65</v>
      </c>
      <c r="F135" s="626">
        <v>41517.1</v>
      </c>
      <c r="G135" s="473">
        <f t="shared" si="13"/>
        <v>24.44999999999709</v>
      </c>
      <c r="H135" s="460">
        <f>G135+'16'!H135</f>
        <v>132.09999999999854</v>
      </c>
      <c r="I135" s="480"/>
      <c r="J135" s="552">
        <f>H135/DAY(B2)</f>
        <v>7.7705882352940323</v>
      </c>
      <c r="N135" s="721"/>
      <c r="O135" s="728"/>
      <c r="P135" s="382"/>
    </row>
    <row r="136" spans="1:16" ht="27.75">
      <c r="A136" s="1227" t="s">
        <v>244</v>
      </c>
      <c r="B136" s="1228"/>
      <c r="C136" s="1228"/>
      <c r="D136" s="523" t="s">
        <v>239</v>
      </c>
      <c r="E136" s="541">
        <f>'16'!F136</f>
        <v>32582.98</v>
      </c>
      <c r="F136" s="654">
        <v>32582.98</v>
      </c>
      <c r="G136" s="473">
        <f t="shared" si="13"/>
        <v>0</v>
      </c>
      <c r="H136" s="460">
        <f>G136+'16'!H136</f>
        <v>-2.0000000000436557E-2</v>
      </c>
      <c r="I136" s="480"/>
      <c r="J136" s="552">
        <f>H136/DAY(B2)</f>
        <v>-1.176470588260974E-3</v>
      </c>
      <c r="N136" s="721"/>
      <c r="O136" s="728"/>
      <c r="P136" s="382"/>
    </row>
    <row r="137" spans="1:16" ht="27.75">
      <c r="A137" s="1227" t="s">
        <v>245</v>
      </c>
      <c r="B137" s="1228"/>
      <c r="C137" s="1228"/>
      <c r="D137" s="523" t="s">
        <v>239</v>
      </c>
      <c r="E137" s="541">
        <f>'16'!F137</f>
        <v>22766.92</v>
      </c>
      <c r="F137" s="654">
        <v>22773.200000000001</v>
      </c>
      <c r="G137" s="473">
        <f t="shared" si="13"/>
        <v>6.2800000000024738</v>
      </c>
      <c r="H137" s="460">
        <f>G137+'16'!H137</f>
        <v>33.610000000000582</v>
      </c>
      <c r="I137" s="480">
        <f>G135+G136+G137</f>
        <v>30.729999999999563</v>
      </c>
      <c r="J137" s="552">
        <f>H137/DAY(B2)</f>
        <v>1.977058823529446</v>
      </c>
      <c r="N137" s="721"/>
      <c r="O137" s="728"/>
      <c r="P137" s="382"/>
    </row>
    <row r="138" spans="1:16" ht="27.75">
      <c r="A138" s="1227" t="s">
        <v>246</v>
      </c>
      <c r="B138" s="1228"/>
      <c r="C138" s="1228"/>
      <c r="D138" s="523" t="s">
        <v>239</v>
      </c>
      <c r="E138" s="541">
        <f>'16'!F138</f>
        <v>25051.72</v>
      </c>
      <c r="F138" s="654">
        <v>25051.72</v>
      </c>
      <c r="G138" s="473">
        <f t="shared" si="13"/>
        <v>0</v>
      </c>
      <c r="H138" s="460">
        <f>G138+'16'!H138</f>
        <v>0.13000000000101863</v>
      </c>
      <c r="I138" s="480"/>
      <c r="J138" s="552">
        <f>H138/DAY(B2)</f>
        <v>7.6470588235893313E-3</v>
      </c>
      <c r="N138" s="721"/>
      <c r="O138" s="728"/>
      <c r="P138" s="382"/>
    </row>
    <row r="139" spans="1:16" ht="27.75">
      <c r="A139" s="1227" t="s">
        <v>247</v>
      </c>
      <c r="B139" s="1228"/>
      <c r="C139" s="1228"/>
      <c r="D139" s="523" t="s">
        <v>239</v>
      </c>
      <c r="E139" s="541">
        <f>'16'!F139</f>
        <v>70361.47</v>
      </c>
      <c r="F139" s="654">
        <v>70361.47</v>
      </c>
      <c r="G139" s="473">
        <f t="shared" si="13"/>
        <v>0</v>
      </c>
      <c r="H139" s="460">
        <f>G139+'16'!H139</f>
        <v>45.660000000003492</v>
      </c>
      <c r="I139" s="480">
        <f>G138+G139</f>
        <v>0</v>
      </c>
      <c r="J139" s="552">
        <f>H139/DAY(B2)</f>
        <v>2.6858823529413818</v>
      </c>
      <c r="N139" s="721"/>
      <c r="O139" s="728"/>
      <c r="P139" s="382"/>
    </row>
    <row r="140" spans="1:16" ht="27.75">
      <c r="A140" s="1227" t="s">
        <v>248</v>
      </c>
      <c r="B140" s="1228"/>
      <c r="C140" s="1228"/>
      <c r="D140" s="523" t="s">
        <v>239</v>
      </c>
      <c r="E140" s="704">
        <f>'16'!F140</f>
        <v>1739.48</v>
      </c>
      <c r="F140" s="626">
        <v>1747.53</v>
      </c>
      <c r="G140" s="473">
        <f t="shared" si="13"/>
        <v>8.0499999999999545</v>
      </c>
      <c r="H140" s="460">
        <f>G140+'16'!H140</f>
        <v>130.67000000000007</v>
      </c>
      <c r="I140" s="542"/>
      <c r="J140" s="552">
        <f>H140/DAY(B2)</f>
        <v>7.6864705882352986</v>
      </c>
      <c r="N140" s="721"/>
      <c r="O140" s="728"/>
      <c r="P140" s="382"/>
    </row>
    <row r="141" spans="1:16" ht="27.75">
      <c r="A141" s="1227" t="s">
        <v>249</v>
      </c>
      <c r="B141" s="1228"/>
      <c r="C141" s="1228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21"/>
      <c r="O141" s="728"/>
      <c r="P141" s="382"/>
    </row>
    <row r="142" spans="1:16">
      <c r="A142" s="1531" t="s">
        <v>250</v>
      </c>
      <c r="B142" s="1532"/>
      <c r="C142" s="123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v>3349</v>
      </c>
      <c r="H143" s="460">
        <f>G143+'16'!H143</f>
        <v>70663.33</v>
      </c>
      <c r="I143" s="480"/>
      <c r="J143" s="552">
        <f>H143/DAY(B2)</f>
        <v>4156.6664705882358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0.22518827326519633</v>
      </c>
      <c r="H144" s="460">
        <f>G144+'16'!H144</f>
        <v>4.5247800289355311</v>
      </c>
      <c r="I144" s="544"/>
      <c r="J144" s="552">
        <f>H144/DAY(B2)</f>
        <v>0.26616353111385477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4494</v>
      </c>
      <c r="H145" s="460">
        <f>G145+'16'!H145</f>
        <v>82327</v>
      </c>
      <c r="I145" s="480"/>
      <c r="J145" s="552">
        <f>H145/DAY(B2)</f>
        <v>4842.7647058823532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0.30217859064012909</v>
      </c>
      <c r="H146" s="460">
        <f>G146+'16'!H146</f>
        <v>5.279981423389783</v>
      </c>
      <c r="I146" s="544"/>
      <c r="J146" s="552">
        <f>H146/DAY(B2)</f>
        <v>0.31058714255234016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2646</v>
      </c>
      <c r="H147" s="460">
        <f>G147+'16'!H147</f>
        <v>39473</v>
      </c>
      <c r="I147" s="545"/>
      <c r="J147" s="552">
        <f>H147/DAY(B2)</f>
        <v>2321.9411764705883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0.17791823561054329</v>
      </c>
      <c r="H148" s="460">
        <f>G148+'16'!H148</f>
        <v>2.5311626396151934</v>
      </c>
      <c r="I148" s="545"/>
      <c r="J148" s="552">
        <f>H148/DAY(B2)</f>
        <v>0.14889191997736431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1050</v>
      </c>
      <c r="H149" s="460">
        <f>G149+'16'!H149</f>
        <v>20188</v>
      </c>
      <c r="I149" s="480"/>
      <c r="J149" s="552">
        <f>H149/DAY(B2)</f>
        <v>1187.5294117647059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7.06024744486283E-2</v>
      </c>
      <c r="H150" s="460">
        <f>G150+'16'!H150</f>
        <v>1.2933506638576637</v>
      </c>
      <c r="I150" s="545"/>
      <c r="J150" s="552">
        <f>H150/DAY(B2)</f>
        <v>7.6079450815156685E-2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762</v>
      </c>
      <c r="H151" s="460">
        <f>G151+'16'!H151</f>
        <v>17928</v>
      </c>
      <c r="I151" s="545"/>
      <c r="J151" s="552">
        <f>H151/DAY(B2)</f>
        <v>1054.5882352941176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5.1237224314147393E-2</v>
      </c>
      <c r="H152" s="460">
        <f>G152+'16'!H152</f>
        <v>1.1408068871387758</v>
      </c>
      <c r="I152" s="480"/>
      <c r="J152" s="552">
        <f>H152/DAY(B2)</f>
        <v>6.7106287478751511E-2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1338.1300000000047</v>
      </c>
      <c r="H153" s="460">
        <f>G153+'16'!H153</f>
        <v>20916</v>
      </c>
      <c r="I153" s="480"/>
      <c r="J153" s="552">
        <f>H153/DAY(B2)</f>
        <v>1230.3529411764705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8.9976465841850775E-2</v>
      </c>
      <c r="H154" s="460">
        <f>G154+'16'!H154</f>
        <v>1.3421102809206908</v>
      </c>
      <c r="I154" s="568"/>
      <c r="J154" s="569">
        <f>H154/DAY(B2)</f>
        <v>7.8947663583570055E-2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'16'!F161</f>
        <v>37232</v>
      </c>
      <c r="F161" s="807">
        <v>37311</v>
      </c>
      <c r="G161" s="473">
        <f t="shared" ref="G161:G164" si="14">F161-E161</f>
        <v>79</v>
      </c>
      <c r="N161" s="721"/>
    </row>
    <row r="162" spans="1:14">
      <c r="A162" s="798" t="s">
        <v>264</v>
      </c>
      <c r="B162" s="799"/>
      <c r="C162" s="799"/>
      <c r="D162" s="620" t="s">
        <v>187</v>
      </c>
      <c r="E162" s="522">
        <f>'16'!F162</f>
        <v>89007</v>
      </c>
      <c r="F162" s="807">
        <v>89400</v>
      </c>
      <c r="G162" s="473">
        <f t="shared" si="14"/>
        <v>393</v>
      </c>
      <c r="N162" s="721"/>
    </row>
    <row r="163" spans="1:14">
      <c r="A163" s="798" t="s">
        <v>265</v>
      </c>
      <c r="B163" s="799"/>
      <c r="C163" s="799"/>
      <c r="D163" s="620" t="s">
        <v>187</v>
      </c>
      <c r="E163" s="522">
        <f>'16'!F163</f>
        <v>41864</v>
      </c>
      <c r="F163" s="787">
        <v>42078</v>
      </c>
      <c r="G163" s="473">
        <f t="shared" si="14"/>
        <v>214</v>
      </c>
      <c r="N163" s="721"/>
    </row>
    <row r="164" spans="1:14">
      <c r="A164" s="798" t="s">
        <v>266</v>
      </c>
      <c r="B164" s="799"/>
      <c r="C164" s="799"/>
      <c r="D164" s="620" t="s">
        <v>187</v>
      </c>
      <c r="E164" s="522">
        <f>'16'!F164</f>
        <v>6402</v>
      </c>
      <c r="F164" s="807">
        <v>6420</v>
      </c>
      <c r="G164" s="473">
        <f t="shared" si="14"/>
        <v>18</v>
      </c>
      <c r="N164" s="721"/>
    </row>
    <row r="165" spans="1:14">
      <c r="A165" s="800" t="s">
        <v>98</v>
      </c>
      <c r="B165" s="801"/>
      <c r="C165" s="801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21"/>
    </row>
    <row r="166" spans="1:14">
      <c r="A166" s="800" t="s">
        <v>188</v>
      </c>
      <c r="B166" s="801"/>
      <c r="C166" s="801"/>
      <c r="D166" s="620" t="s">
        <v>187</v>
      </c>
      <c r="E166" s="522">
        <f t="shared" ref="E166:E172" si="16">E63</f>
        <v>2419</v>
      </c>
      <c r="F166" s="514">
        <f t="shared" ref="F166:F172" si="17">F63</f>
        <v>2423</v>
      </c>
      <c r="G166" s="473">
        <f t="shared" si="15"/>
        <v>4</v>
      </c>
      <c r="N166" s="721"/>
    </row>
    <row r="167" spans="1:14" ht="27.75">
      <c r="A167" s="1570" t="s">
        <v>99</v>
      </c>
      <c r="B167" s="1570"/>
      <c r="C167" s="1570"/>
      <c r="D167" s="524" t="s">
        <v>187</v>
      </c>
      <c r="E167" s="522">
        <f t="shared" si="16"/>
        <v>156604</v>
      </c>
      <c r="F167" s="514">
        <f t="shared" si="17"/>
        <v>156870</v>
      </c>
      <c r="G167" s="473">
        <f t="shared" si="15"/>
        <v>266</v>
      </c>
      <c r="N167" s="721"/>
    </row>
    <row r="168" spans="1:14" ht="27.75">
      <c r="A168" s="1570" t="s">
        <v>100</v>
      </c>
      <c r="B168" s="1570"/>
      <c r="C168" s="1570"/>
      <c r="D168" s="524" t="s">
        <v>187</v>
      </c>
      <c r="E168" s="522">
        <f t="shared" si="16"/>
        <v>157667</v>
      </c>
      <c r="F168" s="514">
        <v>157951</v>
      </c>
      <c r="G168" s="473">
        <f t="shared" si="15"/>
        <v>284</v>
      </c>
      <c r="N168" s="721"/>
    </row>
    <row r="169" spans="1:14" ht="27.75">
      <c r="A169" s="1570" t="s">
        <v>101</v>
      </c>
      <c r="B169" s="1570"/>
      <c r="C169" s="1570"/>
      <c r="D169" s="524" t="s">
        <v>187</v>
      </c>
      <c r="E169" s="522">
        <f t="shared" si="16"/>
        <v>52707</v>
      </c>
      <c r="F169" s="514">
        <f t="shared" si="17"/>
        <v>52979</v>
      </c>
      <c r="G169" s="473">
        <f t="shared" si="15"/>
        <v>272</v>
      </c>
      <c r="N169" s="721"/>
    </row>
    <row r="170" spans="1:14" ht="27.75">
      <c r="A170" s="1570" t="s">
        <v>102</v>
      </c>
      <c r="B170" s="1570"/>
      <c r="C170" s="1570"/>
      <c r="D170" s="524" t="s">
        <v>187</v>
      </c>
      <c r="E170" s="522">
        <f t="shared" si="16"/>
        <v>246073</v>
      </c>
      <c r="F170" s="514">
        <f t="shared" si="17"/>
        <v>246395</v>
      </c>
      <c r="G170" s="473">
        <f t="shared" si="15"/>
        <v>322</v>
      </c>
      <c r="N170" s="721"/>
    </row>
    <row r="171" spans="1:14" ht="27.75">
      <c r="A171" s="1570" t="s">
        <v>103</v>
      </c>
      <c r="B171" s="1570"/>
      <c r="C171" s="1570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22">
        <f t="shared" si="16"/>
        <v>80185</v>
      </c>
      <c r="F172" s="514">
        <f t="shared" si="17"/>
        <v>80272</v>
      </c>
      <c r="G172" s="473">
        <f t="shared" si="15"/>
        <v>87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1938.8199999999997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7.25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7.25" customHeight="1">
      <c r="N182" s="721"/>
    </row>
    <row r="183" spans="14:14" ht="18.75" customHeight="1">
      <c r="N183" s="721"/>
    </row>
    <row r="184" spans="14:14" ht="18.7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7.2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6" zoomScale="55" zoomScaleNormal="68" zoomScaleSheetLayoutView="55" workbookViewId="0">
      <selection activeCell="F28" activeCellId="1" sqref="F28 F2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6" s="281" customFormat="1" ht="27">
      <c r="A2" s="575" t="s">
        <v>353</v>
      </c>
      <c r="B2" s="1036">
        <v>44334</v>
      </c>
      <c r="C2" s="1330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0" t="s">
        <v>120</v>
      </c>
      <c r="D3" s="612">
        <v>29</v>
      </c>
      <c r="E3" s="1542" t="s">
        <v>121</v>
      </c>
      <c r="F3" s="154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0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110754</v>
      </c>
      <c r="F7" s="455">
        <v>126096</v>
      </c>
      <c r="G7" s="681">
        <f>F7-E7</f>
        <v>15342</v>
      </c>
      <c r="H7" s="682">
        <f>G7+'17'!H7</f>
        <v>281119</v>
      </c>
      <c r="I7" s="683">
        <f>'1'!I7</f>
        <v>12000</v>
      </c>
      <c r="J7" s="684">
        <f>H7/DAY(B2)</f>
        <v>15617.722222222223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111639</v>
      </c>
      <c r="F8" s="475">
        <v>127135</v>
      </c>
      <c r="G8" s="692">
        <f>F8-E8</f>
        <v>15496</v>
      </c>
      <c r="H8" s="682">
        <f>G8+'17'!H8</f>
        <v>282894</v>
      </c>
      <c r="I8" s="689">
        <f>'1'!I8</f>
        <v>12000</v>
      </c>
      <c r="J8" s="684">
        <f>H8/DAY(B2)</f>
        <v>15716.333333333334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1247690</v>
      </c>
      <c r="F9" s="478">
        <v>1262526</v>
      </c>
      <c r="G9" s="705">
        <f t="shared" ref="G9:G12" si="0">F9-E9</f>
        <v>14836</v>
      </c>
      <c r="H9" s="682">
        <f>G9+'17'!H9</f>
        <v>271812</v>
      </c>
      <c r="I9" s="693">
        <f>I7-J7</f>
        <v>-3617.7222222222226</v>
      </c>
      <c r="J9" s="684">
        <f>H9/DAY(B2)</f>
        <v>15100.666666666666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'17'!F11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14630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'17'!F12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14836</v>
      </c>
      <c r="H13" s="682">
        <f>G13+'17'!H13</f>
        <v>257291</v>
      </c>
      <c r="I13" s="698">
        <f>G7-G13</f>
        <v>506</v>
      </c>
      <c r="J13" s="684">
        <f>H13/DAY(B2)</f>
        <v>14293.944444444445</v>
      </c>
      <c r="K13" s="428"/>
      <c r="L13" s="377"/>
      <c r="N13" s="721"/>
      <c r="O13" s="728"/>
      <c r="P13" s="382"/>
    </row>
    <row r="14" spans="1:16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1677980</v>
      </c>
      <c r="F15" s="485">
        <v>1678380</v>
      </c>
      <c r="G15" s="667">
        <f>(F15-E15)</f>
        <v>400</v>
      </c>
      <c r="H15" s="486">
        <f>G15+'17'!H15</f>
        <v>7723</v>
      </c>
      <c r="I15" s="474">
        <f>'1'!I15</f>
        <v>800</v>
      </c>
      <c r="J15" s="553">
        <f>H15/DAY(B2)</f>
        <v>429.05555555555554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370.94444444444446</v>
      </c>
      <c r="J16" s="553"/>
      <c r="K16" s="428"/>
      <c r="L16" s="377"/>
      <c r="N16" s="721"/>
      <c r="O16" s="728"/>
      <c r="P16" s="382"/>
    </row>
    <row r="17" spans="1:16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65" t="s">
        <v>143</v>
      </c>
      <c r="B18" s="1566"/>
      <c r="C18" s="1567"/>
      <c r="D18" s="638" t="s">
        <v>144</v>
      </c>
      <c r="E18" s="635">
        <f>'17'!F18</f>
        <v>2</v>
      </c>
      <c r="F18" s="478">
        <v>0</v>
      </c>
      <c r="G18" s="697">
        <f>F18*10</f>
        <v>0</v>
      </c>
      <c r="H18" s="682">
        <f>G18+'17'!H18</f>
        <v>640</v>
      </c>
      <c r="I18" s="683">
        <f>'1'!I18</f>
        <v>65</v>
      </c>
      <c r="J18" s="684">
        <f>H18/DAY(B2)</f>
        <v>35.555555555555557</v>
      </c>
      <c r="K18" s="428"/>
      <c r="L18" s="377"/>
      <c r="N18" s="721"/>
      <c r="O18" s="728"/>
      <c r="P18" s="382"/>
    </row>
    <row r="19" spans="1:16" ht="27.75">
      <c r="A19" s="1565" t="s">
        <v>71</v>
      </c>
      <c r="B19" s="1566"/>
      <c r="C19" s="1567"/>
      <c r="D19" s="638" t="s">
        <v>144</v>
      </c>
      <c r="E19" s="635">
        <f>'17'!F19</f>
        <v>138744</v>
      </c>
      <c r="F19" s="478">
        <v>138849</v>
      </c>
      <c r="G19" s="692">
        <f t="shared" ref="G19" si="1">F19-E19</f>
        <v>105</v>
      </c>
      <c r="H19" s="682">
        <f>G19+'17'!H19</f>
        <v>1037</v>
      </c>
      <c r="I19" s="699"/>
      <c r="J19" s="684">
        <f>H19/DAY(B2)</f>
        <v>57.611111111111114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105</v>
      </c>
      <c r="H20" s="682">
        <f>G20+'17'!H20</f>
        <v>1677</v>
      </c>
      <c r="I20" s="701">
        <f>I18-J20</f>
        <v>-28.166666666666671</v>
      </c>
      <c r="J20" s="684">
        <f>H20/DAY(B2)</f>
        <v>93.166666666666671</v>
      </c>
      <c r="K20" s="428"/>
      <c r="L20" s="377"/>
      <c r="N20" s="721"/>
      <c r="O20" s="728"/>
      <c r="P20" s="382"/>
    </row>
    <row r="21" spans="1:16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8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8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15496</v>
      </c>
      <c r="F27" s="501">
        <v>9</v>
      </c>
      <c r="G27" s="502">
        <f>E27*F27</f>
        <v>139464</v>
      </c>
      <c r="H27" s="460">
        <f>G27+'17'!H27</f>
        <v>2546046</v>
      </c>
      <c r="I27" s="503"/>
      <c r="J27" s="552">
        <f>H27/DAY(B2)</f>
        <v>141447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400</v>
      </c>
      <c r="F28" s="501">
        <v>49</v>
      </c>
      <c r="G28" s="502">
        <f>E28*F28</f>
        <v>19600</v>
      </c>
      <c r="H28" s="460">
        <f>G28+'17'!H28</f>
        <v>381212.65</v>
      </c>
      <c r="I28" s="505"/>
      <c r="J28" s="552">
        <f>H28/DAY(B2)</f>
        <v>21178.480555555558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105</v>
      </c>
      <c r="F30" s="501">
        <v>134</v>
      </c>
      <c r="G30" s="502">
        <f>E30*F30</f>
        <v>14070</v>
      </c>
      <c r="H30" s="460">
        <f>G30+'17'!H30</f>
        <v>138958</v>
      </c>
      <c r="I30" s="505"/>
      <c r="J30" s="552">
        <f>H30/DAY(B2)</f>
        <v>7719.8888888888887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G31+'17'!H31</f>
        <v>51200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173134</v>
      </c>
      <c r="H32" s="460">
        <f>G32+'17'!H32</f>
        <v>3117416.65</v>
      </c>
      <c r="I32" s="509"/>
      <c r="J32" s="552">
        <f>H32/DAY(B2)</f>
        <v>173189.81388888889</v>
      </c>
      <c r="K32" s="373"/>
      <c r="L32" s="443"/>
      <c r="N32" s="721"/>
      <c r="O32" s="728"/>
      <c r="P32" s="382"/>
    </row>
    <row r="33" spans="1:16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721"/>
      <c r="O33" s="728"/>
      <c r="P33" s="382"/>
    </row>
    <row r="34" spans="1:16">
      <c r="A34" s="598" t="s">
        <v>163</v>
      </c>
      <c r="B34" s="1333"/>
      <c r="C34" s="13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35645</v>
      </c>
      <c r="I35" s="455"/>
      <c r="J35" s="552">
        <f>H35/DAY(B2)</f>
        <v>1980.2777777777778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2457</v>
      </c>
      <c r="I36" s="455"/>
      <c r="J36" s="552">
        <f>H36/DAY(B2)</f>
        <v>136.5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22170</v>
      </c>
      <c r="I37" s="455"/>
      <c r="J37" s="552">
        <f>H37/DAY(B2)</f>
        <v>1231.6666666666667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21269</v>
      </c>
      <c r="I38" s="455"/>
      <c r="J38" s="552">
        <f>H38/DAY(B2)</f>
        <v>1181.6111111111111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32941</v>
      </c>
      <c r="I39" s="455"/>
      <c r="J39" s="552">
        <f>H39/DAY(B2)</f>
        <v>1830.0555555555557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518.77</v>
      </c>
      <c r="I40" s="455"/>
      <c r="J40" s="552">
        <f>H40/DAY(B2)</f>
        <v>28.820555555555554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58140</v>
      </c>
      <c r="I41" s="455"/>
      <c r="J41" s="552">
        <f>H41/DAY(B2)</f>
        <v>3230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38952</v>
      </c>
      <c r="I43" s="455"/>
      <c r="J43" s="552">
        <f>H43/DAY(B2)</f>
        <v>2164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212093.21000000002</v>
      </c>
      <c r="I47" s="455"/>
      <c r="J47" s="552">
        <f>H47/DAY(B2)</f>
        <v>11782.956111111112</v>
      </c>
      <c r="K47" s="428"/>
      <c r="L47" s="377"/>
      <c r="N47" s="721"/>
      <c r="O47" s="728"/>
      <c r="P47" s="382"/>
    </row>
    <row r="48" spans="1:16">
      <c r="A48" s="598" t="s">
        <v>177</v>
      </c>
      <c r="B48" s="1333"/>
      <c r="C48" s="13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15334</v>
      </c>
      <c r="I50" s="455"/>
      <c r="J50" s="552">
        <f>H50/DAY(B2)</f>
        <v>851.88888888888891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8634</v>
      </c>
      <c r="I53" s="455"/>
      <c r="J53" s="552">
        <f>H53/DAY(B2)</f>
        <v>479.66666666666669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4938</v>
      </c>
      <c r="I54" s="455"/>
      <c r="J54" s="552">
        <f>H54/DAY(B2)</f>
        <v>274.33333333333331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24040</v>
      </c>
      <c r="F55" s="656">
        <v>29124.54</v>
      </c>
      <c r="G55" s="655">
        <f t="shared" si="4"/>
        <v>5084.5400000000009</v>
      </c>
      <c r="H55" s="708">
        <f>G55+'17'!H55</f>
        <v>29124.54</v>
      </c>
      <c r="I55" s="709"/>
      <c r="J55" s="710">
        <f>H55/DAY(B2)</f>
        <v>1618.03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589435.47</v>
      </c>
      <c r="F56" s="656">
        <v>589435.47</v>
      </c>
      <c r="G56" s="473">
        <f t="shared" si="4"/>
        <v>0</v>
      </c>
      <c r="H56" s="460">
        <f>G56+'17'!H56</f>
        <v>147.10999999998603</v>
      </c>
      <c r="I56" s="455"/>
      <c r="J56" s="552">
        <f>H56/DAY(B2)</f>
        <v>8.1727777777770019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48104</v>
      </c>
      <c r="F58" s="656">
        <v>48167</v>
      </c>
      <c r="G58" s="473">
        <f t="shared" si="4"/>
        <v>63</v>
      </c>
      <c r="H58" s="460">
        <f>G58+'17'!H58</f>
        <v>1450</v>
      </c>
      <c r="I58" s="455"/>
      <c r="J58" s="552">
        <f>H58/DAY(B2)</f>
        <v>80.555555555555557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59627.979999999989</v>
      </c>
      <c r="I59" s="455">
        <f>G7-G60</f>
        <v>620.5099999999984</v>
      </c>
      <c r="J59" s="552">
        <f>H59/DAY(B2)</f>
        <v>3312.6655555555549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14721.490000000002</v>
      </c>
      <c r="H60" s="460">
        <f>G60+'17'!H60</f>
        <v>273305.08</v>
      </c>
      <c r="I60" s="455">
        <f>G13-G60</f>
        <v>114.5099999999984</v>
      </c>
      <c r="J60" s="552">
        <f>H60/DAY(B2)</f>
        <v>15183.615555555556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68</v>
      </c>
      <c r="I63" s="515"/>
      <c r="J63" s="552">
        <f>H63/DAY(B2)</f>
        <v>3.7777777777777777</v>
      </c>
      <c r="K63" s="428"/>
      <c r="L63" s="377"/>
      <c r="N63" s="721"/>
      <c r="O63" s="728"/>
      <c r="P63" s="382"/>
    </row>
    <row r="64" spans="1:16" ht="27.75">
      <c r="A64" s="1504" t="s">
        <v>99</v>
      </c>
      <c r="B64" s="1505"/>
      <c r="C64" s="1506"/>
      <c r="D64" s="523" t="s">
        <v>187</v>
      </c>
      <c r="E64" s="514">
        <f>'17'!F64</f>
        <v>156870</v>
      </c>
      <c r="F64" s="626">
        <v>157207</v>
      </c>
      <c r="G64" s="777">
        <f t="shared" si="5"/>
        <v>337</v>
      </c>
      <c r="H64" s="460">
        <f>G64+'17'!H64</f>
        <v>3908</v>
      </c>
      <c r="I64" s="480"/>
      <c r="J64" s="552">
        <f>H64/DAY(B2)</f>
        <v>217.11111111111111</v>
      </c>
      <c r="K64" s="428"/>
      <c r="L64" s="377"/>
      <c r="N64" s="721"/>
      <c r="O64" s="728"/>
      <c r="P64" s="382"/>
    </row>
    <row r="65" spans="1:16" ht="27.75">
      <c r="A65" s="1504" t="s">
        <v>100</v>
      </c>
      <c r="B65" s="1505"/>
      <c r="C65" s="1506"/>
      <c r="D65" s="523" t="s">
        <v>187</v>
      </c>
      <c r="E65" s="514">
        <f>'17'!F65</f>
        <v>157951</v>
      </c>
      <c r="F65" s="654">
        <v>158219</v>
      </c>
      <c r="G65" s="473">
        <f t="shared" si="5"/>
        <v>268</v>
      </c>
      <c r="H65" s="460">
        <f>G65+'17'!H65</f>
        <v>3620</v>
      </c>
      <c r="I65" s="489"/>
      <c r="J65" s="552">
        <f>H65/DAY(B2)</f>
        <v>201.11111111111111</v>
      </c>
      <c r="K65" s="428"/>
      <c r="L65" s="377"/>
      <c r="N65" s="721"/>
      <c r="O65" s="729"/>
      <c r="P65" s="382"/>
    </row>
    <row r="66" spans="1:16" ht="27.75">
      <c r="A66" s="1504" t="s">
        <v>101</v>
      </c>
      <c r="B66" s="1505"/>
      <c r="C66" s="1506"/>
      <c r="D66" s="523" t="s">
        <v>187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4678</v>
      </c>
      <c r="I66" s="480"/>
      <c r="J66" s="552">
        <f>H66/DAY(B2)</f>
        <v>259.88888888888891</v>
      </c>
      <c r="K66" s="428"/>
      <c r="L66" s="377"/>
      <c r="N66" s="721"/>
      <c r="O66" s="728"/>
      <c r="P66" s="382"/>
    </row>
    <row r="67" spans="1:16" ht="27.75">
      <c r="A67" s="1504" t="s">
        <v>102</v>
      </c>
      <c r="B67" s="1505"/>
      <c r="C67" s="1506"/>
      <c r="D67" s="523" t="s">
        <v>187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3521</v>
      </c>
      <c r="I67" s="489"/>
      <c r="J67" s="552">
        <f>H67/DAY(B2)</f>
        <v>195.61111111111111</v>
      </c>
      <c r="K67" s="429"/>
      <c r="L67" s="377"/>
      <c r="N67" s="721"/>
      <c r="O67" s="728"/>
      <c r="P67" s="382"/>
    </row>
    <row r="68" spans="1:16" ht="27.75">
      <c r="A68" s="1504" t="s">
        <v>103</v>
      </c>
      <c r="B68" s="1505"/>
      <c r="C68" s="1506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04" t="s">
        <v>104</v>
      </c>
      <c r="B69" s="1505"/>
      <c r="C69" s="1506"/>
      <c r="D69" s="523" t="s">
        <v>187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1356</v>
      </c>
      <c r="I69" s="516"/>
      <c r="J69" s="552">
        <f>H69/DAY(B2)</f>
        <v>75.333333333333329</v>
      </c>
      <c r="K69" s="431"/>
      <c r="L69" s="377"/>
      <c r="N69" s="721"/>
      <c r="O69" s="728"/>
      <c r="P69" s="382"/>
    </row>
    <row r="70" spans="1:16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721"/>
      <c r="O71" s="728"/>
      <c r="P71" s="382"/>
    </row>
    <row r="72" spans="1:16" ht="27.75">
      <c r="A72" s="1504" t="s">
        <v>191</v>
      </c>
      <c r="B72" s="1505"/>
      <c r="C72" s="1506"/>
      <c r="D72" s="523" t="s">
        <v>187</v>
      </c>
      <c r="E72" s="519">
        <f>'17'!F72</f>
        <v>855696</v>
      </c>
      <c r="F72" s="657">
        <v>855702</v>
      </c>
      <c r="G72" s="473">
        <f t="shared" ref="G72:G84" si="6">F72-E72</f>
        <v>6</v>
      </c>
      <c r="H72" s="460">
        <f>G72+'17'!H72</f>
        <v>230</v>
      </c>
      <c r="I72" s="480"/>
      <c r="J72" s="552">
        <f>H72/DAY(B2)</f>
        <v>12.777777777777779</v>
      </c>
      <c r="K72" s="431"/>
      <c r="L72" s="377"/>
      <c r="N72" s="721"/>
      <c r="O72" s="728"/>
      <c r="P72" s="382"/>
    </row>
    <row r="73" spans="1:16" ht="27.75">
      <c r="A73" s="1504" t="s">
        <v>192</v>
      </c>
      <c r="B73" s="1505"/>
      <c r="C73" s="1506"/>
      <c r="D73" s="523" t="s">
        <v>187</v>
      </c>
      <c r="E73" s="519">
        <f>'17'!F73</f>
        <v>885893</v>
      </c>
      <c r="F73" s="658">
        <v>885895</v>
      </c>
      <c r="G73" s="655">
        <f t="shared" si="6"/>
        <v>2</v>
      </c>
      <c r="H73" s="460">
        <f>G73+'17'!H73</f>
        <v>199</v>
      </c>
      <c r="I73" s="480"/>
      <c r="J73" s="552">
        <f>H73/DAY(B2)</f>
        <v>11.055555555555555</v>
      </c>
      <c r="K73" s="430"/>
      <c r="L73" s="377"/>
      <c r="N73" s="721"/>
      <c r="O73" s="728"/>
      <c r="P73" s="382"/>
    </row>
    <row r="74" spans="1:16" ht="27.75">
      <c r="A74" s="1504" t="s">
        <v>193</v>
      </c>
      <c r="B74" s="1505"/>
      <c r="C74" s="1506"/>
      <c r="D74" s="523" t="s">
        <v>187</v>
      </c>
      <c r="E74" s="519">
        <f>'17'!F74</f>
        <v>2495</v>
      </c>
      <c r="F74" s="658">
        <v>2499</v>
      </c>
      <c r="G74" s="473">
        <f t="shared" si="6"/>
        <v>4</v>
      </c>
      <c r="H74" s="460">
        <f>G74+'17'!H74</f>
        <v>220</v>
      </c>
      <c r="I74" s="480"/>
      <c r="J74" s="552">
        <f>H74/DAY(B2)</f>
        <v>12.222222222222221</v>
      </c>
      <c r="K74" s="431"/>
      <c r="L74" s="377"/>
      <c r="N74" s="721"/>
      <c r="O74" s="728"/>
      <c r="P74" s="382"/>
    </row>
    <row r="75" spans="1:16" ht="27.75">
      <c r="A75" s="1501" t="s">
        <v>194</v>
      </c>
      <c r="B75" s="1502"/>
      <c r="C75" s="1503"/>
      <c r="D75" s="523" t="s">
        <v>187</v>
      </c>
      <c r="E75" s="519">
        <f>'17'!F75</f>
        <v>11880</v>
      </c>
      <c r="F75" s="658">
        <v>11933</v>
      </c>
      <c r="G75" s="473">
        <f t="shared" si="6"/>
        <v>53</v>
      </c>
      <c r="H75" s="460">
        <f>G75+'17'!H75</f>
        <v>963</v>
      </c>
      <c r="I75" s="480"/>
      <c r="J75" s="552">
        <f>H75/DAY(B2)</f>
        <v>53.5</v>
      </c>
      <c r="K75" s="430"/>
      <c r="L75" s="377"/>
      <c r="N75" s="721"/>
      <c r="O75" s="728"/>
      <c r="P75" s="382"/>
    </row>
    <row r="76" spans="1:16" ht="27.75">
      <c r="A76" s="1501" t="s">
        <v>195</v>
      </c>
      <c r="B76" s="1502"/>
      <c r="C76" s="1503"/>
      <c r="D76" s="523" t="s">
        <v>187</v>
      </c>
      <c r="E76" s="519">
        <f>'17'!F76</f>
        <v>6635</v>
      </c>
      <c r="F76" s="658">
        <v>6691</v>
      </c>
      <c r="G76" s="473">
        <f t="shared" si="6"/>
        <v>56</v>
      </c>
      <c r="H76" s="460">
        <f>G76+'17'!H76</f>
        <v>974.04999999999927</v>
      </c>
      <c r="I76" s="505"/>
      <c r="J76" s="552">
        <f>H76/DAY(B2)</f>
        <v>54.113888888888852</v>
      </c>
      <c r="K76" s="430"/>
      <c r="L76" s="377"/>
      <c r="N76" s="721"/>
      <c r="O76" s="728"/>
      <c r="P76" s="382"/>
    </row>
    <row r="77" spans="1:16" ht="27.75">
      <c r="A77" s="1504" t="s">
        <v>196</v>
      </c>
      <c r="B77" s="1505"/>
      <c r="C77" s="1506"/>
      <c r="D77" s="523" t="s">
        <v>187</v>
      </c>
      <c r="E77" s="519">
        <f>'17'!F77</f>
        <v>702294</v>
      </c>
      <c r="F77" s="658">
        <v>702324</v>
      </c>
      <c r="G77" s="655">
        <f t="shared" si="6"/>
        <v>30</v>
      </c>
      <c r="H77" s="460">
        <f>G77+'17'!H77</f>
        <v>762</v>
      </c>
      <c r="I77" s="505"/>
      <c r="J77" s="552">
        <f>H77/DAY(B2)</f>
        <v>42.333333333333336</v>
      </c>
      <c r="K77" s="430"/>
      <c r="L77" s="377"/>
      <c r="N77" s="721"/>
      <c r="O77" s="728"/>
      <c r="P77" s="382"/>
    </row>
    <row r="78" spans="1:16" ht="27.75">
      <c r="A78" s="1331" t="s">
        <v>197</v>
      </c>
      <c r="B78" s="1324"/>
      <c r="C78" s="1324"/>
      <c r="D78" s="523" t="s">
        <v>187</v>
      </c>
      <c r="E78" s="519">
        <f>'17'!F78</f>
        <v>671474</v>
      </c>
      <c r="F78" s="659">
        <v>671549</v>
      </c>
      <c r="G78" s="473">
        <f t="shared" si="6"/>
        <v>75</v>
      </c>
      <c r="H78" s="460">
        <f>G78+'17'!H78</f>
        <v>1524</v>
      </c>
      <c r="I78" s="505"/>
      <c r="J78" s="552">
        <f>H78/DAY(B2)</f>
        <v>84.666666666666671</v>
      </c>
      <c r="K78" s="430"/>
      <c r="L78" s="377"/>
      <c r="N78" s="721"/>
      <c r="O78" s="728"/>
      <c r="P78" s="382"/>
    </row>
    <row r="79" spans="1:16" ht="27.75">
      <c r="A79" s="1501" t="s">
        <v>92</v>
      </c>
      <c r="B79" s="1502"/>
      <c r="C79" s="1503"/>
      <c r="D79" s="524" t="s">
        <v>187</v>
      </c>
      <c r="E79" s="519">
        <f>'17'!F79</f>
        <v>829167</v>
      </c>
      <c r="F79" s="659">
        <v>829295</v>
      </c>
      <c r="G79" s="473">
        <f t="shared" si="6"/>
        <v>128</v>
      </c>
      <c r="H79" s="460">
        <f>G79+'17'!H79</f>
        <v>1564</v>
      </c>
      <c r="I79" s="505"/>
      <c r="J79" s="552">
        <f>H79/DAY(B2)</f>
        <v>86.888888888888886</v>
      </c>
      <c r="K79" s="430"/>
      <c r="L79" s="377"/>
      <c r="N79" s="721"/>
      <c r="O79" s="728"/>
      <c r="P79" s="382"/>
    </row>
    <row r="80" spans="1:16" ht="27.75">
      <c r="A80" s="1501" t="s">
        <v>198</v>
      </c>
      <c r="B80" s="1502"/>
      <c r="C80" s="1503"/>
      <c r="D80" s="524" t="s">
        <v>187</v>
      </c>
      <c r="E80" s="519">
        <f>'17'!F80</f>
        <v>522731</v>
      </c>
      <c r="F80" s="658">
        <v>523031</v>
      </c>
      <c r="G80" s="473">
        <f t="shared" si="6"/>
        <v>300</v>
      </c>
      <c r="H80" s="460">
        <f>G80+'17'!H80</f>
        <v>3570</v>
      </c>
      <c r="I80" s="505"/>
      <c r="J80" s="552">
        <f>H80/DAY(B2)</f>
        <v>198.33333333333334</v>
      </c>
      <c r="K80" s="430"/>
      <c r="L80" s="377"/>
      <c r="N80" s="721"/>
      <c r="O80" s="728"/>
      <c r="P80" s="382"/>
    </row>
    <row r="81" spans="1:16" ht="27.75">
      <c r="A81" s="1501" t="s">
        <v>199</v>
      </c>
      <c r="B81" s="1502"/>
      <c r="C81" s="1503"/>
      <c r="D81" s="524" t="s">
        <v>187</v>
      </c>
      <c r="E81" s="519">
        <f>'17'!F81</f>
        <v>637752</v>
      </c>
      <c r="F81" s="658">
        <v>637832</v>
      </c>
      <c r="G81" s="473">
        <f t="shared" si="6"/>
        <v>80</v>
      </c>
      <c r="H81" s="460">
        <f>G81+'17'!H81</f>
        <v>1354</v>
      </c>
      <c r="I81" s="505"/>
      <c r="J81" s="552">
        <f>H81/DAY(B2)</f>
        <v>75.222222222222229</v>
      </c>
      <c r="K81" s="430"/>
      <c r="L81" s="377"/>
      <c r="N81" s="721"/>
      <c r="O81" s="728"/>
      <c r="P81" s="382"/>
    </row>
    <row r="82" spans="1:16" s="779" customFormat="1" ht="27.75">
      <c r="A82" s="1574" t="s">
        <v>93</v>
      </c>
      <c r="B82" s="1575"/>
      <c r="C82" s="1576"/>
      <c r="D82" s="626" t="s">
        <v>132</v>
      </c>
      <c r="E82" s="519">
        <f>'17'!F82</f>
        <v>107930</v>
      </c>
      <c r="F82" s="626">
        <v>107956</v>
      </c>
      <c r="G82" s="777">
        <f t="shared" si="6"/>
        <v>26</v>
      </c>
      <c r="H82" s="479">
        <f>G82+'17'!H82</f>
        <v>344</v>
      </c>
      <c r="I82" s="479"/>
      <c r="J82" s="778">
        <f>H82/DAY(B2)</f>
        <v>19.111111111111111</v>
      </c>
      <c r="K82" s="1220"/>
      <c r="L82" s="1221"/>
      <c r="N82" s="725"/>
      <c r="O82" s="729"/>
      <c r="P82" s="724"/>
    </row>
    <row r="83" spans="1:16" ht="27.75">
      <c r="A83" s="1501" t="s">
        <v>200</v>
      </c>
      <c r="B83" s="1502"/>
      <c r="C83" s="1503"/>
      <c r="D83" s="620" t="s">
        <v>132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3548</v>
      </c>
      <c r="I83" s="481"/>
      <c r="J83" s="552">
        <f>H83/DAY(B2)</f>
        <v>197.11111111111111</v>
      </c>
      <c r="K83" s="429"/>
      <c r="L83" s="377"/>
      <c r="N83" s="721"/>
      <c r="O83" s="728"/>
      <c r="P83" s="382"/>
    </row>
    <row r="84" spans="1:16">
      <c r="A84" s="1332" t="s">
        <v>201</v>
      </c>
      <c r="B84" s="571"/>
      <c r="C84" s="571"/>
      <c r="D84" s="478" t="s">
        <v>132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11846</v>
      </c>
      <c r="I84" s="481"/>
      <c r="J84" s="552">
        <f>H84/DAY(B2)</f>
        <v>658.11111111111109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30607</v>
      </c>
      <c r="I85" s="481"/>
      <c r="J85" s="552">
        <f>H85/DAY(B2)</f>
        <v>1700.3888888888889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460478</v>
      </c>
      <c r="F86" s="650">
        <v>460509</v>
      </c>
      <c r="G86" s="708">
        <f t="shared" ref="G86:G91" si="7">F86-E86</f>
        <v>31</v>
      </c>
      <c r="H86" s="708">
        <f t="shared" ref="H86:H88" si="8">G86</f>
        <v>31</v>
      </c>
      <c r="I86" s="655"/>
      <c r="J86" s="710">
        <f>H86/DAY(B2)</f>
        <v>1.7222222222222223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81116</v>
      </c>
      <c r="F87" s="650">
        <v>81130</v>
      </c>
      <c r="G87" s="708">
        <f t="shared" si="7"/>
        <v>14</v>
      </c>
      <c r="H87" s="708">
        <f t="shared" si="8"/>
        <v>14</v>
      </c>
      <c r="I87" s="655"/>
      <c r="J87" s="710">
        <f>H87/DAY(B2)</f>
        <v>0.77777777777777779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152520</v>
      </c>
      <c r="F88" s="650">
        <v>152588</v>
      </c>
      <c r="G88" s="708">
        <f t="shared" si="7"/>
        <v>68</v>
      </c>
      <c r="H88" s="708">
        <f t="shared" si="8"/>
        <v>68</v>
      </c>
      <c r="I88" s="655"/>
      <c r="J88" s="710">
        <f>H88/DAY(B2)</f>
        <v>3.7777777777777777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64943</v>
      </c>
      <c r="F89" s="650">
        <v>64950</v>
      </c>
      <c r="G89" s="708">
        <f t="shared" si="7"/>
        <v>7</v>
      </c>
      <c r="H89" s="708">
        <f>G89</f>
        <v>7</v>
      </c>
      <c r="I89" s="655"/>
      <c r="J89" s="710">
        <f>H89/DAY(B2)</f>
        <v>0.3888888888888889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3272.5</v>
      </c>
      <c r="F90" s="650">
        <v>3272.7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1.1111111111101005E-2</v>
      </c>
      <c r="K90" s="736"/>
      <c r="L90" s="737"/>
      <c r="N90" s="781"/>
      <c r="O90" s="382"/>
    </row>
    <row r="91" spans="1:16" s="738" customFormat="1">
      <c r="A91" s="733" t="s">
        <v>365</v>
      </c>
      <c r="B91" s="734"/>
      <c r="C91" s="734"/>
      <c r="D91" s="735" t="s">
        <v>132</v>
      </c>
      <c r="E91" s="627">
        <f>'17'!F91</f>
        <v>27957</v>
      </c>
      <c r="F91" s="650">
        <v>27959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1"/>
      <c r="O91" s="382"/>
    </row>
    <row r="92" spans="1:16" s="379" customFormat="1">
      <c r="A92" s="606" t="s">
        <v>205</v>
      </c>
      <c r="B92" s="1334"/>
      <c r="C92" s="1334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25" t="s">
        <v>206</v>
      </c>
      <c r="B93" s="1526"/>
      <c r="C93" s="1527"/>
      <c r="D93" s="523" t="s">
        <v>144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553</v>
      </c>
      <c r="I93" s="480"/>
      <c r="J93" s="552">
        <f>H93/DAY(B2)</f>
        <v>30.722222222222221</v>
      </c>
      <c r="K93" s="429"/>
      <c r="L93" s="377"/>
      <c r="N93" s="721"/>
      <c r="O93" s="728"/>
      <c r="P93" s="382"/>
    </row>
    <row r="94" spans="1:16" ht="27.75">
      <c r="A94" s="1525" t="s">
        <v>207</v>
      </c>
      <c r="B94" s="1526"/>
      <c r="C94" s="1527"/>
      <c r="D94" s="523" t="s">
        <v>144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1530</v>
      </c>
      <c r="I94" s="480"/>
      <c r="J94" s="552">
        <f>H94/DAY(B2)</f>
        <v>85</v>
      </c>
      <c r="K94" s="380"/>
      <c r="L94" s="377"/>
      <c r="N94" s="721"/>
      <c r="O94" s="728"/>
      <c r="P94" s="382"/>
    </row>
    <row r="95" spans="1:16">
      <c r="A95" s="1553" t="s">
        <v>208</v>
      </c>
      <c r="B95" s="1554"/>
      <c r="C95" s="1555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1936</v>
      </c>
      <c r="I95" s="480"/>
      <c r="J95" s="552">
        <f>H95/DAY(B2)</f>
        <v>107.55555555555556</v>
      </c>
      <c r="K95" s="380"/>
      <c r="L95" s="377"/>
      <c r="N95" s="721"/>
      <c r="O95" s="728"/>
      <c r="P95" s="382"/>
    </row>
    <row r="96" spans="1:16" ht="27.75">
      <c r="A96" s="1525" t="s">
        <v>209</v>
      </c>
      <c r="B96" s="1526"/>
      <c r="C96" s="1527"/>
      <c r="D96" s="523" t="s">
        <v>144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782</v>
      </c>
      <c r="I96" s="480"/>
      <c r="J96" s="552">
        <f>H96/DAY(B2)</f>
        <v>43.444444444444443</v>
      </c>
      <c r="K96" s="380"/>
      <c r="L96" s="377"/>
      <c r="N96" s="721"/>
      <c r="O96" s="728"/>
      <c r="P96" s="382"/>
    </row>
    <row r="97" spans="1:16" ht="27.75">
      <c r="A97" s="1328" t="s">
        <v>210</v>
      </c>
      <c r="B97" s="1329"/>
      <c r="C97" s="1329"/>
      <c r="D97" s="523" t="s">
        <v>144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173</v>
      </c>
      <c r="I97" s="480"/>
      <c r="J97" s="552">
        <f>H97/DAY(B2)</f>
        <v>9.6111111111111107</v>
      </c>
      <c r="K97" s="427"/>
      <c r="L97" s="377"/>
      <c r="N97" s="721"/>
      <c r="O97" s="728"/>
      <c r="P97" s="382"/>
    </row>
    <row r="98" spans="1:16" ht="27.75">
      <c r="A98" s="1328" t="s">
        <v>211</v>
      </c>
      <c r="B98" s="1329"/>
      <c r="C98" s="1329"/>
      <c r="D98" s="523" t="s">
        <v>144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249</v>
      </c>
      <c r="I98" s="480"/>
      <c r="J98" s="552">
        <f>H98/DAY(B2)</f>
        <v>13.833333333333334</v>
      </c>
      <c r="K98" s="432"/>
      <c r="L98" s="377"/>
      <c r="N98" s="721"/>
      <c r="O98" s="728"/>
      <c r="P98" s="382"/>
    </row>
    <row r="99" spans="1:16" ht="27.75">
      <c r="A99" s="1328" t="s">
        <v>212</v>
      </c>
      <c r="B99" s="1329"/>
      <c r="C99" s="1329"/>
      <c r="D99" s="523" t="s">
        <v>144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196</v>
      </c>
      <c r="I99" s="480"/>
      <c r="J99" s="552">
        <f>H99/DAY(B2)</f>
        <v>10.888888888888889</v>
      </c>
      <c r="K99" s="380"/>
      <c r="L99" s="377"/>
      <c r="N99" s="723"/>
      <c r="O99" s="728"/>
      <c r="P99" s="382"/>
    </row>
    <row r="100" spans="1:16" ht="27.75">
      <c r="A100" s="1328" t="s">
        <v>213</v>
      </c>
      <c r="B100" s="1329"/>
      <c r="C100" s="1329"/>
      <c r="D100" s="523" t="s">
        <v>144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108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328" t="s">
        <v>214</v>
      </c>
      <c r="B101" s="1329"/>
      <c r="C101" s="1329"/>
      <c r="D101" s="523" t="s">
        <v>144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116</v>
      </c>
      <c r="I101" s="480"/>
      <c r="J101" s="552">
        <f>H101/DAY(B2)</f>
        <v>6.4444444444444446</v>
      </c>
      <c r="K101" s="380"/>
      <c r="L101" s="377"/>
      <c r="N101" s="721"/>
      <c r="O101" s="728"/>
      <c r="P101" s="382"/>
    </row>
    <row r="102" spans="1:16">
      <c r="A102" s="1553" t="s">
        <v>216</v>
      </c>
      <c r="B102" s="1554"/>
      <c r="C102" s="1555"/>
      <c r="D102" s="524"/>
      <c r="E102" s="484"/>
      <c r="F102" s="524"/>
      <c r="G102" s="525">
        <f>SUM(G96:G101)</f>
        <v>63</v>
      </c>
      <c r="H102" s="460">
        <f>G102+'17'!H102</f>
        <v>1624</v>
      </c>
      <c r="I102" s="526"/>
      <c r="J102" s="552">
        <f>H102/DAY(B2)</f>
        <v>90.222222222222229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56" t="s">
        <v>218</v>
      </c>
      <c r="B104" s="155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17" t="s">
        <v>219</v>
      </c>
      <c r="B105" s="1518"/>
      <c r="C105" s="1327"/>
      <c r="D105" s="622" t="s">
        <v>144</v>
      </c>
      <c r="E105" s="484">
        <f>'17'!F105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17" t="s">
        <v>77</v>
      </c>
      <c r="B106" s="1518"/>
      <c r="C106" s="1327"/>
      <c r="D106" s="622" t="s">
        <v>144</v>
      </c>
      <c r="E106" s="484">
        <f>'17'!F106</f>
        <v>35889</v>
      </c>
      <c r="F106" s="662">
        <v>35889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2.7777777777777777</v>
      </c>
      <c r="N106" s="721"/>
      <c r="O106" s="728"/>
      <c r="P106" s="382"/>
    </row>
    <row r="107" spans="1:16" s="442" customFormat="1" ht="27.75">
      <c r="A107" s="1517" t="s">
        <v>78</v>
      </c>
      <c r="B107" s="1558"/>
      <c r="C107" s="1518"/>
      <c r="D107" s="622" t="s">
        <v>144</v>
      </c>
      <c r="E107" s="484">
        <f>'17'!F107</f>
        <v>19669</v>
      </c>
      <c r="F107" s="662">
        <v>19671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7</v>
      </c>
      <c r="N107" s="721"/>
      <c r="O107" s="728"/>
      <c r="P107" s="382"/>
    </row>
    <row r="108" spans="1:16" s="442" customFormat="1" ht="27.75">
      <c r="A108" s="1519" t="s">
        <v>202</v>
      </c>
      <c r="B108" s="1520"/>
      <c r="C108" s="1327"/>
      <c r="D108" s="622"/>
      <c r="E108" s="484">
        <f>'17'!F108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10.611111111111111</v>
      </c>
      <c r="N108" s="721"/>
      <c r="O108" s="728"/>
      <c r="P108" s="382"/>
    </row>
    <row r="109" spans="1:16" s="442" customFormat="1" ht="27.75">
      <c r="A109" s="1523" t="s">
        <v>79</v>
      </c>
      <c r="B109" s="1524"/>
      <c r="C109" s="1327"/>
      <c r="D109" s="622" t="s">
        <v>144</v>
      </c>
      <c r="E109" s="484">
        <f>'17'!F109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17" t="s">
        <v>220</v>
      </c>
      <c r="B110" s="1518"/>
      <c r="C110" s="1327"/>
      <c r="D110" s="622" t="s">
        <v>144</v>
      </c>
      <c r="E110" s="484">
        <f>'17'!F110</f>
        <v>62039</v>
      </c>
      <c r="F110" s="662">
        <v>62112</v>
      </c>
      <c r="G110" s="532">
        <f>F110-E110</f>
        <v>73</v>
      </c>
      <c r="H110" s="533">
        <f>SUM(G110+'1'!G81)</f>
        <v>154</v>
      </c>
      <c r="I110" s="532"/>
      <c r="J110" s="558">
        <f>H110/DAY(B2)</f>
        <v>8.5555555555555554</v>
      </c>
      <c r="N110" s="721"/>
      <c r="O110" s="728"/>
      <c r="P110" s="382"/>
    </row>
    <row r="111" spans="1:16" s="442" customFormat="1" ht="27.75">
      <c r="A111" s="1517" t="s">
        <v>221</v>
      </c>
      <c r="B111" s="1518"/>
      <c r="C111" s="1327"/>
      <c r="D111" s="622" t="s">
        <v>144</v>
      </c>
      <c r="E111" s="484">
        <f>'17'!F111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0.66666666666666663</v>
      </c>
      <c r="N111" s="721"/>
      <c r="O111" s="728"/>
      <c r="P111" s="382"/>
    </row>
    <row r="112" spans="1:16" s="442" customFormat="1" ht="27.75">
      <c r="A112" s="1517" t="s">
        <v>222</v>
      </c>
      <c r="B112" s="1518"/>
      <c r="C112" s="1327"/>
      <c r="D112" s="622" t="s">
        <v>144</v>
      </c>
      <c r="E112" s="484">
        <f>'17'!F112</f>
        <v>4509</v>
      </c>
      <c r="F112" s="662">
        <v>4513</v>
      </c>
      <c r="G112" s="532">
        <f t="shared" si="12"/>
        <v>4</v>
      </c>
      <c r="H112" s="533">
        <f>SUM(G112+'1'!G83)</f>
        <v>259</v>
      </c>
      <c r="I112" s="532"/>
      <c r="J112" s="558">
        <f>H112/DAY(B2)</f>
        <v>14.388888888888889</v>
      </c>
      <c r="N112" s="721"/>
      <c r="O112" s="728"/>
      <c r="P112" s="382"/>
    </row>
    <row r="113" spans="1:16" s="442" customFormat="1" ht="27.75">
      <c r="A113" s="1519" t="s">
        <v>110</v>
      </c>
      <c r="B113" s="1520"/>
      <c r="C113" s="1327"/>
      <c r="D113" s="622"/>
      <c r="E113" s="484">
        <f>'17'!F113</f>
        <v>0</v>
      </c>
      <c r="F113" s="662"/>
      <c r="G113" s="532">
        <f>SUM(G110:G112)</f>
        <v>77</v>
      </c>
      <c r="H113" s="533">
        <f>SUM(G113+'1'!G84)</f>
        <v>792</v>
      </c>
      <c r="I113" s="532"/>
      <c r="J113" s="558">
        <f>H113/DAY(B2)</f>
        <v>44</v>
      </c>
      <c r="N113" s="721"/>
      <c r="O113" s="728"/>
      <c r="P113" s="382"/>
    </row>
    <row r="114" spans="1:16" s="442" customFormat="1" ht="27.75">
      <c r="A114" s="1523" t="s">
        <v>223</v>
      </c>
      <c r="B114" s="1524"/>
      <c r="C114" s="1327"/>
      <c r="D114" s="622"/>
      <c r="E114" s="484">
        <f>'17'!F114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17" t="s">
        <v>224</v>
      </c>
      <c r="B115" s="1518"/>
      <c r="C115" s="574"/>
      <c r="D115" s="622" t="s">
        <v>144</v>
      </c>
      <c r="E115" s="484">
        <f>'17'!F115</f>
        <v>11389</v>
      </c>
      <c r="F115" s="662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21"/>
      <c r="O115" s="728"/>
      <c r="P115" s="382"/>
    </row>
    <row r="116" spans="1:16" s="442" customFormat="1" ht="27.75">
      <c r="A116" s="1517" t="s">
        <v>225</v>
      </c>
      <c r="B116" s="1518"/>
      <c r="C116" s="574"/>
      <c r="D116" s="622" t="s">
        <v>144</v>
      </c>
      <c r="E116" s="484">
        <f>'17'!F116</f>
        <v>8214</v>
      </c>
      <c r="F116" s="662">
        <v>8214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2.8888888888888888</v>
      </c>
      <c r="N116" s="721"/>
      <c r="O116" s="728"/>
      <c r="P116" s="382"/>
    </row>
    <row r="117" spans="1:16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5.2777777777777777</v>
      </c>
      <c r="N117" s="721"/>
      <c r="O117" s="728"/>
      <c r="P117" s="382"/>
    </row>
    <row r="118" spans="1:16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4.5555555555555554</v>
      </c>
      <c r="N118" s="721"/>
      <c r="O118" s="728"/>
      <c r="P118" s="382"/>
    </row>
    <row r="119" spans="1:16" s="446" customFormat="1" ht="27.75">
      <c r="A119" s="1513" t="s">
        <v>227</v>
      </c>
      <c r="B119" s="1514"/>
      <c r="C119" s="1325"/>
      <c r="D119" s="624" t="s">
        <v>144</v>
      </c>
      <c r="E119" s="536"/>
      <c r="F119" s="663">
        <f>SUM(G19+G93)</f>
        <v>105</v>
      </c>
      <c r="G119" s="536">
        <f>SUM(G19+G93)</f>
        <v>105</v>
      </c>
      <c r="H119" s="533">
        <f>SUM(G119+'1'!G97)</f>
        <v>117</v>
      </c>
      <c r="I119" s="535"/>
      <c r="J119" s="559">
        <f>H119/DAY(B2)</f>
        <v>6.5</v>
      </c>
      <c r="N119" s="721"/>
      <c r="O119" s="728"/>
      <c r="P119" s="382"/>
    </row>
    <row r="120" spans="1:16" s="446" customFormat="1" ht="27.75">
      <c r="A120" s="1513" t="s">
        <v>228</v>
      </c>
      <c r="B120" s="1514"/>
      <c r="C120" s="1325"/>
      <c r="D120" s="624" t="s">
        <v>144</v>
      </c>
      <c r="E120" s="536"/>
      <c r="F120" s="663">
        <f>SUM(G96,G97,G98,G100,G101)</f>
        <v>59</v>
      </c>
      <c r="G120" s="536">
        <f>SUM(G96,G97,G98,G100,G101)</f>
        <v>59</v>
      </c>
      <c r="H120" s="533">
        <f>SUM(G120+'1'!G99)</f>
        <v>64</v>
      </c>
      <c r="I120" s="535"/>
      <c r="J120" s="559">
        <f>H120/DAY(B2)</f>
        <v>3.5555555555555554</v>
      </c>
      <c r="N120" s="721"/>
      <c r="O120" s="728"/>
      <c r="P120" s="382"/>
    </row>
    <row r="121" spans="1:16" s="446" customFormat="1" ht="27.75">
      <c r="A121" s="1513" t="s">
        <v>229</v>
      </c>
      <c r="B121" s="1514"/>
      <c r="C121" s="1325"/>
      <c r="D121" s="624" t="s">
        <v>144</v>
      </c>
      <c r="E121" s="534"/>
      <c r="F121" s="662">
        <f>SUM(G113)</f>
        <v>77</v>
      </c>
      <c r="G121" s="534">
        <f>SUM(G113)</f>
        <v>77</v>
      </c>
      <c r="H121" s="533">
        <f>SUM(G121+'1'!G101)</f>
        <v>83</v>
      </c>
      <c r="I121" s="535"/>
      <c r="J121" s="559">
        <f>H121/DAY(B2)</f>
        <v>4.6111111111111107</v>
      </c>
      <c r="N121" s="721"/>
      <c r="O121" s="728"/>
      <c r="P121" s="382"/>
    </row>
    <row r="122" spans="1:16" s="442" customFormat="1" ht="27.75">
      <c r="A122" s="1515"/>
      <c r="B122" s="1516"/>
      <c r="C122" s="1326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328" t="s">
        <v>231</v>
      </c>
      <c r="B124" s="1329"/>
      <c r="C124" s="1329"/>
      <c r="D124" s="523" t="s">
        <v>141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3658.5400000000373</v>
      </c>
      <c r="I124" s="526"/>
      <c r="J124" s="552">
        <f>H124/DAY(B2)</f>
        <v>203.2522222222243</v>
      </c>
      <c r="K124" s="380"/>
      <c r="L124" s="377"/>
      <c r="N124" s="721"/>
      <c r="O124" s="728"/>
      <c r="P124" s="382"/>
    </row>
    <row r="125" spans="1:16" ht="27.75">
      <c r="A125" s="1328" t="s">
        <v>232</v>
      </c>
      <c r="B125" s="1329"/>
      <c r="C125" s="1329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04" t="s">
        <v>233</v>
      </c>
      <c r="B126" s="1505"/>
      <c r="C126" s="1506"/>
      <c r="D126" s="523" t="s">
        <v>141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996.55999999999767</v>
      </c>
      <c r="I126" s="526"/>
      <c r="J126" s="552">
        <f>H126/DAY(B2)</f>
        <v>55.364444444444317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329"/>
      <c r="C127" s="1329"/>
      <c r="D127" s="523" t="s">
        <v>141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329"/>
      <c r="C128" s="1329"/>
      <c r="D128" s="523" t="s">
        <v>141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1.2999999999992724</v>
      </c>
      <c r="I128" s="480"/>
      <c r="J128" s="552">
        <f>H128/DAY(B2)</f>
        <v>7.2222222222181803E-2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329"/>
      <c r="C129" s="1329"/>
      <c r="D129" s="523"/>
      <c r="E129" s="478"/>
      <c r="F129" s="478"/>
      <c r="G129" s="473">
        <f>G15-SUM(G124:G128)</f>
        <v>160</v>
      </c>
      <c r="H129" s="460">
        <f>G129+'17'!H129</f>
        <v>513</v>
      </c>
      <c r="I129" s="480"/>
      <c r="J129" s="552">
        <f>H129/DAY(B2)</f>
        <v>28.5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328" t="s">
        <v>238</v>
      </c>
      <c r="B131" s="1329"/>
      <c r="C131" s="1329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8" t="s">
        <v>240</v>
      </c>
      <c r="B132" s="1329"/>
      <c r="C132" s="1329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328" t="s">
        <v>241</v>
      </c>
      <c r="B133" s="1329"/>
      <c r="C133" s="1329"/>
      <c r="D133" s="523" t="s">
        <v>239</v>
      </c>
      <c r="E133" s="484">
        <f>'17'!F133</f>
        <v>40031.519999999997</v>
      </c>
      <c r="F133" s="654">
        <v>40031.519999999997</v>
      </c>
      <c r="G133" s="473">
        <v>0</v>
      </c>
      <c r="H133" s="460">
        <f>G133+'17'!H133</f>
        <v>285.0399999999936</v>
      </c>
      <c r="I133" s="480"/>
      <c r="J133" s="552">
        <f>H133/DAY(B2)</f>
        <v>15.835555555555199</v>
      </c>
      <c r="N133" s="721"/>
      <c r="O133" s="728"/>
      <c r="P133" s="382"/>
    </row>
    <row r="134" spans="1:16" ht="27.75">
      <c r="A134" s="1328" t="s">
        <v>242</v>
      </c>
      <c r="B134" s="1329"/>
      <c r="C134" s="1329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328" t="s">
        <v>243</v>
      </c>
      <c r="B135" s="1329"/>
      <c r="C135" s="1329"/>
      <c r="D135" s="523" t="s">
        <v>239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156</v>
      </c>
      <c r="I135" s="480"/>
      <c r="J135" s="552">
        <f>H135/DAY(B2)</f>
        <v>8.6666666666666661</v>
      </c>
      <c r="N135" s="721"/>
      <c r="O135" s="728"/>
      <c r="P135" s="382"/>
    </row>
    <row r="136" spans="1:16" ht="27.75">
      <c r="A136" s="1328" t="s">
        <v>244</v>
      </c>
      <c r="B136" s="1329"/>
      <c r="C136" s="1329"/>
      <c r="D136" s="523" t="s">
        <v>239</v>
      </c>
      <c r="E136" s="484">
        <f>'17'!F136</f>
        <v>32582.98</v>
      </c>
      <c r="F136" s="654">
        <v>32582.98</v>
      </c>
      <c r="G136" s="473">
        <f t="shared" si="15"/>
        <v>0</v>
      </c>
      <c r="H136" s="460">
        <f>G136+'17'!H136</f>
        <v>-2.0000000000436557E-2</v>
      </c>
      <c r="I136" s="480"/>
      <c r="J136" s="552">
        <f>H136/DAY(B2)</f>
        <v>-1.1111111111353643E-3</v>
      </c>
      <c r="N136" s="721"/>
      <c r="O136" s="728"/>
      <c r="P136" s="382"/>
    </row>
    <row r="137" spans="1:16" ht="27.75">
      <c r="A137" s="1328" t="s">
        <v>245</v>
      </c>
      <c r="B137" s="1329"/>
      <c r="C137" s="1329"/>
      <c r="D137" s="523" t="s">
        <v>239</v>
      </c>
      <c r="E137" s="484">
        <f>'17'!F137</f>
        <v>22773.200000000001</v>
      </c>
      <c r="F137" s="654">
        <v>22773.200000000001</v>
      </c>
      <c r="G137" s="473">
        <f t="shared" si="15"/>
        <v>0</v>
      </c>
      <c r="H137" s="460">
        <f>G137+'17'!H137</f>
        <v>33.610000000000582</v>
      </c>
      <c r="I137" s="480">
        <f>G135+G136+G137</f>
        <v>23.900000000001455</v>
      </c>
      <c r="J137" s="552">
        <f>H137/DAY(B2)</f>
        <v>1.8672222222222545</v>
      </c>
      <c r="N137" s="721"/>
      <c r="O137" s="728"/>
      <c r="P137" s="382"/>
    </row>
    <row r="138" spans="1:16" ht="27.75">
      <c r="A138" s="1328" t="s">
        <v>246</v>
      </c>
      <c r="B138" s="1329"/>
      <c r="C138" s="1329"/>
      <c r="D138" s="523" t="s">
        <v>239</v>
      </c>
      <c r="E138" s="484">
        <f>'17'!F138</f>
        <v>25051.72</v>
      </c>
      <c r="F138" s="654">
        <v>25051.72</v>
      </c>
      <c r="G138" s="473">
        <f t="shared" si="15"/>
        <v>0</v>
      </c>
      <c r="H138" s="460">
        <f>G138+'17'!H138</f>
        <v>0.13000000000101863</v>
      </c>
      <c r="I138" s="480"/>
      <c r="J138" s="552">
        <f>H138/DAY(B2)</f>
        <v>7.2222222222788129E-3</v>
      </c>
      <c r="N138" s="721"/>
      <c r="O138" s="728"/>
      <c r="P138" s="382"/>
    </row>
    <row r="139" spans="1:16" ht="27.75">
      <c r="A139" s="1328" t="s">
        <v>247</v>
      </c>
      <c r="B139" s="1329"/>
      <c r="C139" s="1329"/>
      <c r="D139" s="523" t="s">
        <v>239</v>
      </c>
      <c r="E139" s="484">
        <f>'17'!F139</f>
        <v>70361.47</v>
      </c>
      <c r="F139" s="654">
        <v>70370</v>
      </c>
      <c r="G139" s="473">
        <f t="shared" si="15"/>
        <v>8.5299999999988358</v>
      </c>
      <c r="H139" s="460">
        <f>G139+'17'!H139</f>
        <v>54.190000000002328</v>
      </c>
      <c r="I139" s="480">
        <f>G138+G139</f>
        <v>8.5299999999988358</v>
      </c>
      <c r="J139" s="552">
        <f>H139/DAY(B2)</f>
        <v>3.0105555555556851</v>
      </c>
      <c r="N139" s="721"/>
      <c r="O139" s="728"/>
      <c r="P139" s="382"/>
    </row>
    <row r="140" spans="1:16" ht="27.75">
      <c r="A140" s="1328" t="s">
        <v>248</v>
      </c>
      <c r="B140" s="1329"/>
      <c r="C140" s="1329"/>
      <c r="D140" s="523" t="s">
        <v>239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138.41000000000008</v>
      </c>
      <c r="I140" s="542"/>
      <c r="J140" s="552">
        <f>H140/DAY(B2)</f>
        <v>7.6894444444444492</v>
      </c>
      <c r="N140" s="721"/>
      <c r="O140" s="728"/>
      <c r="P140" s="382"/>
    </row>
    <row r="141" spans="1:16" ht="27.75">
      <c r="A141" s="1328" t="s">
        <v>249</v>
      </c>
      <c r="B141" s="1329"/>
      <c r="C141" s="1329"/>
      <c r="D141" s="523" t="s">
        <v>239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21"/>
      <c r="O141" s="728"/>
      <c r="P141" s="382"/>
    </row>
    <row r="142" spans="1:16">
      <c r="A142" s="1531" t="s">
        <v>250</v>
      </c>
      <c r="B142" s="1532"/>
      <c r="C142" s="1334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3645</v>
      </c>
      <c r="H143" s="460">
        <f>G143+'17'!H143</f>
        <v>74308.33</v>
      </c>
      <c r="I143" s="480"/>
      <c r="J143" s="552">
        <f>H143/DAY(B2)</f>
        <v>4128.2405555555561</v>
      </c>
      <c r="K143" s="380"/>
      <c r="L143" s="377"/>
      <c r="N143" s="721"/>
      <c r="O143" s="728"/>
      <c r="P143" s="382"/>
    </row>
    <row r="144" spans="1:16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0.23758310520140791</v>
      </c>
      <c r="H144" s="460">
        <f>G144+'17'!H144</f>
        <v>4.7623631341369386</v>
      </c>
      <c r="I144" s="544"/>
      <c r="J144" s="552">
        <f>H144/DAY(B2)</f>
        <v>0.26457572967427434</v>
      </c>
      <c r="K144" s="380"/>
      <c r="L144" s="377"/>
      <c r="N144" s="721"/>
      <c r="O144" s="728"/>
      <c r="P144" s="382"/>
    </row>
    <row r="145" spans="1:16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5084.5400000000009</v>
      </c>
      <c r="H145" s="460">
        <f>G145+'17'!H145</f>
        <v>87411.540000000008</v>
      </c>
      <c r="I145" s="480"/>
      <c r="J145" s="552">
        <f>H145/DAY(B2)</f>
        <v>4856.1966666666667</v>
      </c>
      <c r="K145" s="380"/>
      <c r="L145" s="377"/>
      <c r="N145" s="721"/>
      <c r="O145" s="728"/>
      <c r="P145" s="382"/>
    </row>
    <row r="146" spans="1:16" ht="27.75">
      <c r="A146" s="1525" t="s">
        <v>254</v>
      </c>
      <c r="B146" s="1526"/>
      <c r="C146" s="1527"/>
      <c r="D146" s="523" t="s">
        <v>24</v>
      </c>
      <c r="E146" s="455"/>
      <c r="F146" s="455" t="s">
        <v>273</v>
      </c>
      <c r="G146" s="543">
        <f>G145/G7</f>
        <v>0.33141311432668497</v>
      </c>
      <c r="H146" s="460">
        <f>G146+'17'!H146</f>
        <v>5.6113945377164676</v>
      </c>
      <c r="I146" s="544"/>
      <c r="J146" s="552">
        <f>H146/DAY(B2)</f>
        <v>0.31174414098424819</v>
      </c>
      <c r="K146" s="380"/>
      <c r="L146" s="377"/>
      <c r="N146" s="721"/>
      <c r="O146" s="728"/>
      <c r="P146" s="382"/>
    </row>
    <row r="147" spans="1:16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2625</v>
      </c>
      <c r="H147" s="460">
        <f>G147+'17'!H147</f>
        <v>42098</v>
      </c>
      <c r="I147" s="545"/>
      <c r="J147" s="552">
        <f>H147/DAY(B2)</f>
        <v>2338.7777777777778</v>
      </c>
      <c r="K147" s="380"/>
      <c r="L147" s="377"/>
      <c r="N147" s="721"/>
      <c r="O147" s="728"/>
      <c r="P147" s="382"/>
    </row>
    <row r="148" spans="1:16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0.17109894407508799</v>
      </c>
      <c r="H148" s="460">
        <f>G148+'17'!H148</f>
        <v>2.7022615836902815</v>
      </c>
      <c r="I148" s="545"/>
      <c r="J148" s="552">
        <f>H148/DAY(B2)</f>
        <v>0.15012564353834898</v>
      </c>
      <c r="N148" s="721"/>
      <c r="O148" s="728"/>
      <c r="P148" s="382"/>
    </row>
    <row r="149" spans="1:16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1081</v>
      </c>
      <c r="H149" s="460">
        <f>G149+'17'!H149</f>
        <v>21269</v>
      </c>
      <c r="I149" s="480"/>
      <c r="J149" s="552">
        <f>H149/DAY(B2)</f>
        <v>1181.6111111111111</v>
      </c>
      <c r="K149" s="381"/>
      <c r="N149" s="721"/>
      <c r="O149" s="728"/>
      <c r="P149" s="382"/>
    </row>
    <row r="150" spans="1:16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7.0460174683874333E-2</v>
      </c>
      <c r="H150" s="460">
        <f>G150+'17'!H150</f>
        <v>1.363810838541538</v>
      </c>
      <c r="I150" s="545"/>
      <c r="J150" s="552">
        <f>H150/DAY(B2)</f>
        <v>7.5767268807863219E-2</v>
      </c>
      <c r="N150" s="721"/>
      <c r="O150" s="728"/>
      <c r="P150" s="382"/>
    </row>
    <row r="151" spans="1:16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802</v>
      </c>
      <c r="H151" s="460">
        <f>G151+'17'!H151</f>
        <v>18730</v>
      </c>
      <c r="I151" s="545"/>
      <c r="J151" s="552">
        <f>H151/DAY(B2)</f>
        <v>1040.5555555555557</v>
      </c>
      <c r="N151" s="721"/>
      <c r="O151" s="728"/>
      <c r="P151" s="382"/>
    </row>
    <row r="152" spans="1:16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5.2274801199322124E-2</v>
      </c>
      <c r="H152" s="460">
        <f>G152+'17'!H152</f>
        <v>1.1930816883380979</v>
      </c>
      <c r="I152" s="480"/>
      <c r="J152" s="552">
        <f>H152/DAY(B2)</f>
        <v>6.6282316018783219E-2</v>
      </c>
      <c r="N152" s="721"/>
      <c r="O152" s="728"/>
      <c r="P152" s="382"/>
    </row>
    <row r="153" spans="1:16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1254</v>
      </c>
      <c r="H153" s="460">
        <f>G153+'17'!H153</f>
        <v>22170</v>
      </c>
      <c r="I153" s="480"/>
      <c r="J153" s="552">
        <f>H153/DAY(B2)</f>
        <v>1231.6666666666667</v>
      </c>
      <c r="N153" s="721"/>
      <c r="O153" s="728"/>
      <c r="P153" s="382"/>
    </row>
    <row r="154" spans="1:16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8.1736409855299175E-2</v>
      </c>
      <c r="H154" s="460">
        <f>G154+'17'!H154</f>
        <v>1.4238466907759899</v>
      </c>
      <c r="I154" s="568"/>
      <c r="J154" s="569">
        <f>H154/DAY(B2)</f>
        <v>7.9102593931999435E-2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8" t="s">
        <v>263</v>
      </c>
      <c r="B161" s="799"/>
      <c r="C161" s="799"/>
      <c r="D161" s="620" t="s">
        <v>187</v>
      </c>
      <c r="E161" s="522">
        <f>'17'!F161</f>
        <v>37311</v>
      </c>
      <c r="F161" s="807">
        <v>37386</v>
      </c>
      <c r="G161" s="473">
        <f t="shared" ref="G161:G166" si="16">F161-E161</f>
        <v>75</v>
      </c>
      <c r="N161" s="721"/>
    </row>
    <row r="162" spans="1:14">
      <c r="A162" s="798" t="s">
        <v>264</v>
      </c>
      <c r="B162" s="799"/>
      <c r="C162" s="799"/>
      <c r="D162" s="620" t="s">
        <v>187</v>
      </c>
      <c r="E162" s="522">
        <f>'17'!F162</f>
        <v>89400</v>
      </c>
      <c r="F162" s="807">
        <v>89789</v>
      </c>
      <c r="G162" s="473">
        <f t="shared" si="16"/>
        <v>389</v>
      </c>
      <c r="N162" s="721"/>
    </row>
    <row r="163" spans="1:14">
      <c r="A163" s="798" t="s">
        <v>265</v>
      </c>
      <c r="B163" s="799"/>
      <c r="C163" s="799"/>
      <c r="D163" s="620" t="s">
        <v>187</v>
      </c>
      <c r="E163" s="522">
        <f>'17'!F163</f>
        <v>42078</v>
      </c>
      <c r="F163" s="787">
        <v>42288</v>
      </c>
      <c r="G163" s="473">
        <f t="shared" si="16"/>
        <v>210</v>
      </c>
      <c r="N163" s="721"/>
    </row>
    <row r="164" spans="1:14">
      <c r="A164" s="798" t="s">
        <v>266</v>
      </c>
      <c r="B164" s="799"/>
      <c r="C164" s="799"/>
      <c r="D164" s="620" t="s">
        <v>187</v>
      </c>
      <c r="E164" s="522">
        <f>'17'!F164</f>
        <v>6420</v>
      </c>
      <c r="F164" s="807">
        <v>6441</v>
      </c>
      <c r="G164" s="473">
        <f t="shared" si="16"/>
        <v>21</v>
      </c>
      <c r="N164" s="721"/>
    </row>
    <row r="165" spans="1:14">
      <c r="A165" s="800" t="s">
        <v>98</v>
      </c>
      <c r="B165" s="801"/>
      <c r="C165" s="801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21"/>
    </row>
    <row r="166" spans="1:14">
      <c r="A166" s="800" t="s">
        <v>188</v>
      </c>
      <c r="B166" s="801"/>
      <c r="C166" s="801"/>
      <c r="D166" s="620" t="s">
        <v>187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21"/>
    </row>
    <row r="167" spans="1:14" ht="27.75">
      <c r="A167" s="1570" t="s">
        <v>99</v>
      </c>
      <c r="B167" s="1570"/>
      <c r="C167" s="1570"/>
      <c r="D167" s="524" t="s">
        <v>187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21"/>
    </row>
    <row r="168" spans="1:14" ht="27.75">
      <c r="A168" s="1570" t="s">
        <v>100</v>
      </c>
      <c r="B168" s="1570"/>
      <c r="C168" s="1570"/>
      <c r="D168" s="524" t="s">
        <v>187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21"/>
    </row>
    <row r="169" spans="1:14" ht="27.75">
      <c r="A169" s="1570" t="s">
        <v>101</v>
      </c>
      <c r="B169" s="1570"/>
      <c r="C169" s="1570"/>
      <c r="D169" s="524" t="s">
        <v>187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21"/>
    </row>
    <row r="170" spans="1:14" ht="27.75">
      <c r="A170" s="1570" t="s">
        <v>102</v>
      </c>
      <c r="B170" s="1570"/>
      <c r="C170" s="1570"/>
      <c r="D170" s="524" t="s">
        <v>187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21"/>
    </row>
    <row r="171" spans="1:14" ht="27.75">
      <c r="A171" s="1570" t="s">
        <v>103</v>
      </c>
      <c r="B171" s="1570"/>
      <c r="C171" s="1570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21"/>
    </row>
    <row r="172" spans="1:14" ht="27.75">
      <c r="A172" s="1570" t="s">
        <v>104</v>
      </c>
      <c r="B172" s="1570"/>
      <c r="C172" s="1570"/>
      <c r="D172" s="524" t="s">
        <v>187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21"/>
    </row>
    <row r="173" spans="1:14">
      <c r="A173" s="802"/>
      <c r="B173" s="803"/>
      <c r="C173" s="803"/>
      <c r="D173" s="804"/>
      <c r="E173" s="804"/>
      <c r="F173" s="805"/>
      <c r="G173" s="806">
        <f>SUM(G161:G172)</f>
        <v>1952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>
      <c r="N177" s="721"/>
    </row>
    <row r="178" spans="14:14" ht="18.7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9" zoomScale="55" zoomScaleNormal="40" zoomScaleSheetLayoutView="55" zoomScalePageLayoutView="60" workbookViewId="0">
      <selection activeCell="F28" activeCellId="1" sqref="F28 F28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356</v>
      </c>
      <c r="B2" s="1036">
        <v>44305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126096</v>
      </c>
      <c r="F7" s="455">
        <v>5514511</v>
      </c>
      <c r="G7" s="473">
        <f>F7-E7</f>
        <v>5388415</v>
      </c>
      <c r="H7" s="460">
        <f>G7+'18'!H7</f>
        <v>5669534</v>
      </c>
      <c r="I7" s="474">
        <f>'1'!I7</f>
        <v>12000</v>
      </c>
      <c r="J7" s="552">
        <f>H7/DAY(B2)</f>
        <v>298396.5263157895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127135</v>
      </c>
      <c r="F8" s="475">
        <v>5547543</v>
      </c>
      <c r="G8" s="476">
        <f>F8-E8</f>
        <v>5420408</v>
      </c>
      <c r="H8" s="460">
        <f>G8+'18'!H8</f>
        <v>5703302</v>
      </c>
      <c r="I8" s="477">
        <f>'1'!I8</f>
        <v>12000</v>
      </c>
      <c r="J8" s="552">
        <f>H8/DAY(B2)</f>
        <v>300173.78947368421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1262526</v>
      </c>
      <c r="F9" s="478">
        <v>784346</v>
      </c>
      <c r="G9" s="473">
        <f t="shared" ref="G9:G12" si="0">F9-E9</f>
        <v>-478180</v>
      </c>
      <c r="H9" s="460">
        <f>G9+'18'!H9</f>
        <v>-206368</v>
      </c>
      <c r="I9" s="479">
        <f>I8-J8</f>
        <v>-288173.78947368421</v>
      </c>
      <c r="J9" s="552">
        <f>H9/DAY(B2)</f>
        <v>-10861.473684210527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-478180</v>
      </c>
      <c r="H13" s="460">
        <f>G13+'18'!H13</f>
        <v>-220889</v>
      </c>
      <c r="I13" s="482">
        <f>G7-G13</f>
        <v>5866595</v>
      </c>
      <c r="J13" s="552">
        <f>H13/DAY(B2)</f>
        <v>-11625.736842105263</v>
      </c>
      <c r="K13" s="428"/>
      <c r="L13" s="377"/>
      <c r="N13" s="382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'18'!F15</f>
        <v>1678380</v>
      </c>
      <c r="F15" s="484">
        <v>1663180</v>
      </c>
      <c r="G15" s="783">
        <f>(F15-E15)</f>
        <v>-15200</v>
      </c>
      <c r="H15" s="460">
        <f>G15+'18'!H15</f>
        <v>-7477</v>
      </c>
      <c r="I15" s="474">
        <v>800</v>
      </c>
      <c r="J15" s="552">
        <f>H15/DAY(B2)</f>
        <v>-393.5263157894737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1193.5263157894738</v>
      </c>
      <c r="J16" s="553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f>'18'!F18</f>
        <v>0</v>
      </c>
      <c r="F18" s="484">
        <v>8</v>
      </c>
      <c r="G18" s="481">
        <f>F18*10</f>
        <v>80</v>
      </c>
      <c r="H18" s="460">
        <f>G18+'18'!H18</f>
        <v>720</v>
      </c>
      <c r="I18" s="474">
        <f>'1'!I18</f>
        <v>65</v>
      </c>
      <c r="J18" s="552">
        <f>H18/DAY(B2)</f>
        <v>37.89473684210526</v>
      </c>
      <c r="K18" s="428"/>
      <c r="L18" s="377"/>
      <c r="N18" s="382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84">
        <f>'18'!F19</f>
        <v>138849</v>
      </c>
      <c r="F19" s="484">
        <v>137189</v>
      </c>
      <c r="G19" s="473">
        <f t="shared" ref="G19" si="1">F19-E19</f>
        <v>-1660</v>
      </c>
      <c r="H19" s="460">
        <f>G19+'18'!H19</f>
        <v>-623</v>
      </c>
      <c r="I19" s="489"/>
      <c r="J19" s="552">
        <f>H19/DAY(B2)</f>
        <v>-32.789473684210527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-1580</v>
      </c>
      <c r="H20" s="460">
        <f>G20+'18'!H20</f>
        <v>97</v>
      </c>
      <c r="I20" s="492">
        <f>I18-J20</f>
        <v>59.89473684210526</v>
      </c>
      <c r="J20" s="552">
        <f>H20/DAY(B2)</f>
        <v>5.1052631578947372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5420408</v>
      </c>
      <c r="F27" s="501">
        <v>9</v>
      </c>
      <c r="G27" s="502">
        <f>E27*F27</f>
        <v>48783672</v>
      </c>
      <c r="H27" s="460">
        <f>G27+'18'!H27</f>
        <v>51329718</v>
      </c>
      <c r="I27" s="503"/>
      <c r="J27" s="552">
        <f>H27/DAY(B2)</f>
        <v>2701564.1052631577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-15200</v>
      </c>
      <c r="F28" s="501">
        <v>49</v>
      </c>
      <c r="G28" s="502">
        <f>E28*F28</f>
        <v>-744800</v>
      </c>
      <c r="H28" s="460">
        <f>G28+'18'!H28</f>
        <v>-363587.35</v>
      </c>
      <c r="I28" s="505"/>
      <c r="J28" s="552">
        <f>H28/DAY(B2)</f>
        <v>-19136.176315789471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-1660</v>
      </c>
      <c r="F30" s="501">
        <v>134</v>
      </c>
      <c r="G30" s="502">
        <f>E30*F30</f>
        <v>-222440</v>
      </c>
      <c r="H30" s="460">
        <f>G30+'18'!H30</f>
        <v>-83482</v>
      </c>
      <c r="I30" s="505"/>
      <c r="J30" s="552">
        <f>H30/DAY(B2)</f>
        <v>-4393.7894736842109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502">
        <f>E31*F31</f>
        <v>6400</v>
      </c>
      <c r="H31" s="460">
        <f>G31+'18'!H31</f>
        <v>57600</v>
      </c>
      <c r="I31" s="505"/>
      <c r="J31" s="552">
        <f>H31/DAY(B2)</f>
        <v>3031.5789473684213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47822832</v>
      </c>
      <c r="H32" s="460">
        <f>G32+'18'!H32</f>
        <v>50940248.649999999</v>
      </c>
      <c r="I32" s="509"/>
      <c r="J32" s="552">
        <f>H32/DAY(B2)</f>
        <v>2681065.7184210527</v>
      </c>
      <c r="K32" s="373"/>
      <c r="L32" s="443"/>
      <c r="N32" s="444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922104</v>
      </c>
      <c r="F35" s="510">
        <v>856962</v>
      </c>
      <c r="G35" s="473">
        <f t="shared" ref="G35:G46" si="3">F35-E35</f>
        <v>-65142</v>
      </c>
      <c r="H35" s="460">
        <f>G35+'18'!H35</f>
        <v>-29497</v>
      </c>
      <c r="I35" s="455"/>
      <c r="J35" s="552">
        <f>H35/DAY(B2)</f>
        <v>-1552.4736842105262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347065</v>
      </c>
      <c r="F36" s="510">
        <v>335688</v>
      </c>
      <c r="G36" s="473">
        <f t="shared" si="3"/>
        <v>-11377</v>
      </c>
      <c r="H36" s="460">
        <f>G36+'18'!H36</f>
        <v>-8920</v>
      </c>
      <c r="I36" s="455"/>
      <c r="J36" s="552">
        <f>H36/DAY(B2)</f>
        <v>-469.4736842105263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117395</v>
      </c>
      <c r="F37" s="510">
        <v>80828</v>
      </c>
      <c r="G37" s="473">
        <f t="shared" si="3"/>
        <v>-36567</v>
      </c>
      <c r="H37" s="460">
        <f>G37+'18'!H37</f>
        <v>-14397</v>
      </c>
      <c r="I37" s="455"/>
      <c r="J37" s="552">
        <f>H37/DAY(B2)</f>
        <v>-757.73684210526312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140865</v>
      </c>
      <c r="F38" s="469">
        <v>104032</v>
      </c>
      <c r="G38" s="473">
        <f t="shared" si="3"/>
        <v>-36833</v>
      </c>
      <c r="H38" s="460">
        <f>G38+'18'!H38</f>
        <v>-15564</v>
      </c>
      <c r="I38" s="455"/>
      <c r="J38" s="552">
        <f>H38/DAY(B2)</f>
        <v>-819.15789473684208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279594</v>
      </c>
      <c r="F39" s="510">
        <v>216531</v>
      </c>
      <c r="G39" s="473">
        <f t="shared" si="3"/>
        <v>-63063</v>
      </c>
      <c r="H39" s="460">
        <f>G39+'18'!H39</f>
        <v>-30122</v>
      </c>
      <c r="I39" s="455"/>
      <c r="J39" s="552">
        <f>H39/DAY(B2)</f>
        <v>-1585.3684210526317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519</v>
      </c>
      <c r="F40" s="510">
        <v>0</v>
      </c>
      <c r="G40" s="473">
        <f t="shared" si="3"/>
        <v>-519</v>
      </c>
      <c r="H40" s="460">
        <f>G40+'18'!H40</f>
        <v>-0.23000000000001819</v>
      </c>
      <c r="I40" s="455"/>
      <c r="J40" s="552">
        <f>H40/DAY(B2)</f>
        <v>-1.2105263157895695E-2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239668</v>
      </c>
      <c r="F41" s="510">
        <v>161910</v>
      </c>
      <c r="G41" s="473">
        <f t="shared" si="3"/>
        <v>-77758</v>
      </c>
      <c r="H41" s="460">
        <f>G41+'18'!H41</f>
        <v>-19618</v>
      </c>
      <c r="I41" s="455"/>
      <c r="J41" s="552">
        <f>H41/DAY(B2)</f>
        <v>-1032.5263157894738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59200</v>
      </c>
      <c r="F42" s="510">
        <v>59128</v>
      </c>
      <c r="G42" s="473">
        <f>F42-E42</f>
        <v>-72</v>
      </c>
      <c r="H42" s="460">
        <f>G42+'18'!H42</f>
        <v>-72</v>
      </c>
      <c r="I42" s="455"/>
      <c r="J42" s="552">
        <f>H42/DAY(B2)</f>
        <v>-3.7894736842105261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1012910</v>
      </c>
      <c r="F43" s="510">
        <v>947907</v>
      </c>
      <c r="G43" s="473">
        <f t="shared" si="3"/>
        <v>-65003</v>
      </c>
      <c r="H43" s="460">
        <f>G43+'18'!H43</f>
        <v>-26051</v>
      </c>
      <c r="I43" s="455"/>
      <c r="J43" s="552">
        <f>H43/DAY(B2)</f>
        <v>-1371.1052631578948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-356334</v>
      </c>
      <c r="H47" s="460">
        <f>G47+'18'!H47</f>
        <v>-144240.78999999998</v>
      </c>
      <c r="I47" s="455"/>
      <c r="J47" s="552">
        <f>H47/DAY(B2)</f>
        <v>-7591.6205263157881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-0.13000000000465661</v>
      </c>
      <c r="I49" s="455"/>
      <c r="J49" s="552">
        <f>H49/DAY(B2)</f>
        <v>-6.8421052634029794E-3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490809</v>
      </c>
      <c r="F50" s="510">
        <v>462537</v>
      </c>
      <c r="G50" s="473">
        <f t="shared" si="4"/>
        <v>-28272</v>
      </c>
      <c r="H50" s="460">
        <f>G50+'18'!H50</f>
        <v>-12938</v>
      </c>
      <c r="I50" s="455"/>
      <c r="J50" s="552">
        <f>H50/DAY(B2)</f>
        <v>-680.9473684210526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409523</v>
      </c>
      <c r="F53" s="510">
        <v>410057</v>
      </c>
      <c r="G53" s="473">
        <f t="shared" si="4"/>
        <v>534</v>
      </c>
      <c r="H53" s="460">
        <f>G53+'18'!H53</f>
        <v>9168</v>
      </c>
      <c r="I53" s="455"/>
      <c r="J53" s="552">
        <f>H53/DAY(B2)</f>
        <v>482.5263157894737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12700</v>
      </c>
      <c r="F54" s="510">
        <v>10559</v>
      </c>
      <c r="G54" s="473">
        <f t="shared" si="4"/>
        <v>-2141</v>
      </c>
      <c r="H54" s="460">
        <f>G54+'18'!H54</f>
        <v>2797</v>
      </c>
      <c r="I54" s="455"/>
      <c r="J54" s="552">
        <f>H54/DAY(B2)</f>
        <v>147.21052631578948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29124.54</v>
      </c>
      <c r="F55" s="510">
        <v>302609</v>
      </c>
      <c r="G55" s="473">
        <f t="shared" si="4"/>
        <v>273484.46000000002</v>
      </c>
      <c r="H55" s="460">
        <f>G55+'18'!H55</f>
        <v>302609</v>
      </c>
      <c r="I55" s="455"/>
      <c r="J55" s="552">
        <f>H55/DAY(B2)</f>
        <v>15926.78947368421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589435.47</v>
      </c>
      <c r="F56" s="510">
        <v>589150</v>
      </c>
      <c r="G56" s="473">
        <f t="shared" si="4"/>
        <v>-285.46999999997206</v>
      </c>
      <c r="H56" s="460">
        <f>G56+'18'!H56</f>
        <v>-138.35999999998603</v>
      </c>
      <c r="I56" s="455"/>
      <c r="J56" s="552">
        <f>H56/DAY(B2)</f>
        <v>-7.2821052631571597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48167</v>
      </c>
      <c r="F58" s="510">
        <v>45042</v>
      </c>
      <c r="G58" s="473">
        <f t="shared" si="4"/>
        <v>-3125</v>
      </c>
      <c r="H58" s="460">
        <f>G58+'18'!H58</f>
        <v>-1675</v>
      </c>
      <c r="I58" s="455"/>
      <c r="J58" s="552">
        <f>H58/DAY(B2)</f>
        <v>-88.15789473684211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240194.53000000006</v>
      </c>
      <c r="H59" s="460">
        <f>G59+'18'!H59</f>
        <v>299822.51000000007</v>
      </c>
      <c r="I59" s="455">
        <f>G7-G60</f>
        <v>5504554.4699999997</v>
      </c>
      <c r="J59" s="552">
        <f>H59/DAY(B2)</f>
        <v>15780.132105263161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-116139.46999999994</v>
      </c>
      <c r="H60" s="460">
        <f>G60+'18'!H60</f>
        <v>157165.61000000007</v>
      </c>
      <c r="I60" s="455">
        <f>G13-G60</f>
        <v>-362040.53</v>
      </c>
      <c r="J60" s="552">
        <f>H60/DAY(B2)</f>
        <v>8271.8742105263191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2427</v>
      </c>
      <c r="F63" s="514">
        <v>2302</v>
      </c>
      <c r="G63" s="473">
        <f t="shared" si="5"/>
        <v>-125</v>
      </c>
      <c r="H63" s="460">
        <f>G63+'18'!H63</f>
        <v>-57</v>
      </c>
      <c r="I63" s="515"/>
      <c r="J63" s="552">
        <f>H63/DAY(B2)</f>
        <v>-3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f>'18'!F64</f>
        <v>157207</v>
      </c>
      <c r="F64" s="484">
        <v>148284</v>
      </c>
      <c r="G64" s="473">
        <f t="shared" si="5"/>
        <v>-8923</v>
      </c>
      <c r="H64" s="460">
        <f>G64+'18'!H64</f>
        <v>-5015</v>
      </c>
      <c r="I64" s="480"/>
      <c r="J64" s="552">
        <f>H64/DAY(B2)</f>
        <v>-263.94736842105266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f>'18'!F65</f>
        <v>158219</v>
      </c>
      <c r="F65" s="484">
        <v>151060</v>
      </c>
      <c r="G65" s="473">
        <f t="shared" si="5"/>
        <v>-7159</v>
      </c>
      <c r="H65" s="460">
        <f>G65+'18'!H65</f>
        <v>-3539</v>
      </c>
      <c r="I65" s="489"/>
      <c r="J65" s="552">
        <f>H65/DAY(B2)</f>
        <v>-186.26315789473685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f>'18'!F66</f>
        <v>53249</v>
      </c>
      <c r="F66" s="484">
        <v>44599</v>
      </c>
      <c r="G66" s="473">
        <f t="shared" si="5"/>
        <v>-8650</v>
      </c>
      <c r="H66" s="460">
        <f>G66+'18'!H66</f>
        <v>-3972</v>
      </c>
      <c r="I66" s="480"/>
      <c r="J66" s="552">
        <f>H66/DAY(B2)</f>
        <v>-209.05263157894737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f>'18'!F67</f>
        <v>246695</v>
      </c>
      <c r="F67" s="484">
        <v>239138</v>
      </c>
      <c r="G67" s="473">
        <f t="shared" si="5"/>
        <v>-7557</v>
      </c>
      <c r="H67" s="460">
        <f>G67+'18'!H67</f>
        <v>-4036</v>
      </c>
      <c r="I67" s="489"/>
      <c r="J67" s="552">
        <f>H67/DAY(B2)</f>
        <v>-212.42105263157896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f>'18'!F69</f>
        <v>80350</v>
      </c>
      <c r="F69" s="484">
        <v>78244</v>
      </c>
      <c r="G69" s="473">
        <f t="shared" si="5"/>
        <v>-2106</v>
      </c>
      <c r="H69" s="460">
        <f>G69+'18'!H69</f>
        <v>-750</v>
      </c>
      <c r="I69" s="516"/>
      <c r="J69" s="552">
        <f>H69/DAY(B2)</f>
        <v>-39.473684210526315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f>'18'!F72</f>
        <v>855702</v>
      </c>
      <c r="F72" s="519">
        <v>854846</v>
      </c>
      <c r="G72" s="473">
        <f t="shared" ref="G72:G84" si="6">F72-E72</f>
        <v>-856</v>
      </c>
      <c r="H72" s="460">
        <f>G72+'18'!H72</f>
        <v>-626</v>
      </c>
      <c r="I72" s="480"/>
      <c r="J72" s="552">
        <f>H72/DAY(B2)</f>
        <v>-32.94736842105263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20">
        <f>'18'!F73</f>
        <v>885895</v>
      </c>
      <c r="F73" s="520">
        <v>885829</v>
      </c>
      <c r="G73" s="473">
        <f t="shared" si="6"/>
        <v>-66</v>
      </c>
      <c r="H73" s="460">
        <f>G73+'18'!H73</f>
        <v>133</v>
      </c>
      <c r="I73" s="480"/>
      <c r="J73" s="552">
        <f>H73/DAY(B2)</f>
        <v>7</v>
      </c>
      <c r="K73" s="430"/>
      <c r="L73" s="377"/>
      <c r="N73" s="382"/>
      <c r="O73" s="382"/>
    </row>
    <row r="74" spans="1:15" ht="27.75">
      <c r="A74" s="1580" t="s">
        <v>193</v>
      </c>
      <c r="B74" s="1581"/>
      <c r="C74" s="1582"/>
      <c r="D74" s="523" t="s">
        <v>187</v>
      </c>
      <c r="E74" s="521">
        <f>'18'!F74</f>
        <v>2499</v>
      </c>
      <c r="F74" s="521">
        <v>1932</v>
      </c>
      <c r="G74" s="473">
        <f t="shared" si="6"/>
        <v>-567</v>
      </c>
      <c r="H74" s="460">
        <f>G74+'18'!H74</f>
        <v>-347</v>
      </c>
      <c r="I74" s="480"/>
      <c r="J74" s="552">
        <f>H74/DAY(B2)</f>
        <v>-18.263157894736842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21">
        <f>'18'!F75</f>
        <v>11933</v>
      </c>
      <c r="F75" s="521">
        <v>10309</v>
      </c>
      <c r="G75" s="473">
        <f t="shared" si="6"/>
        <v>-1624</v>
      </c>
      <c r="H75" s="460">
        <f>G75+'18'!H75</f>
        <v>-661</v>
      </c>
      <c r="I75" s="480"/>
      <c r="J75" s="552">
        <f>H75/DAY(B2)</f>
        <v>-34.789473684210527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20">
        <f>'18'!F76</f>
        <v>6691</v>
      </c>
      <c r="F76" s="520">
        <v>5230</v>
      </c>
      <c r="G76" s="473">
        <f t="shared" si="6"/>
        <v>-1461</v>
      </c>
      <c r="H76" s="460">
        <f>G76+'18'!H76</f>
        <v>-486.95000000000073</v>
      </c>
      <c r="I76" s="505"/>
      <c r="J76" s="552">
        <f>H76/DAY(B2)</f>
        <v>-25.628947368421091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21">
        <f>'18'!F77</f>
        <v>702324</v>
      </c>
      <c r="F77" s="521">
        <v>701085</v>
      </c>
      <c r="G77" s="473">
        <f t="shared" si="6"/>
        <v>-1239</v>
      </c>
      <c r="H77" s="460">
        <f>G77+'18'!H77</f>
        <v>-477</v>
      </c>
      <c r="I77" s="505"/>
      <c r="J77" s="552">
        <f>H77/DAY(B2)</f>
        <v>-25.105263157894736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'18'!F78</f>
        <v>671549</v>
      </c>
      <c r="F78" s="521">
        <v>669229</v>
      </c>
      <c r="G78" s="473">
        <f t="shared" si="6"/>
        <v>-2320</v>
      </c>
      <c r="H78" s="460">
        <f>G78+'18'!H78</f>
        <v>-796</v>
      </c>
      <c r="I78" s="505"/>
      <c r="J78" s="552">
        <f>H78/DAY(B2)</f>
        <v>-41.89473684210526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f>'18'!F79</f>
        <v>829295</v>
      </c>
      <c r="F79" s="521">
        <v>824746</v>
      </c>
      <c r="G79" s="473">
        <f t="shared" si="6"/>
        <v>-4549</v>
      </c>
      <c r="H79" s="460">
        <f>G79+'18'!H79</f>
        <v>-2985</v>
      </c>
      <c r="I79" s="505"/>
      <c r="J79" s="552">
        <f>H79/DAY(B2)</f>
        <v>-157.10526315789474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f>'18'!F80</f>
        <v>523031</v>
      </c>
      <c r="F80" s="520">
        <v>512636</v>
      </c>
      <c r="G80" s="473">
        <f t="shared" si="6"/>
        <v>-10395</v>
      </c>
      <c r="H80" s="460">
        <f>G80+'18'!H80</f>
        <v>-6825</v>
      </c>
      <c r="I80" s="505"/>
      <c r="J80" s="552">
        <f>H80/DAY(B2)</f>
        <v>-359.21052631578948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'18'!F81</f>
        <v>637832</v>
      </c>
      <c r="F81" s="520">
        <v>634896</v>
      </c>
      <c r="G81" s="473">
        <f t="shared" si="6"/>
        <v>-2936</v>
      </c>
      <c r="H81" s="460">
        <f>G81+'18'!H81</f>
        <v>-1582</v>
      </c>
      <c r="I81" s="505"/>
      <c r="J81" s="552">
        <f>H81/DAY(B2)</f>
        <v>-83.263157894736835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'18'!F82</f>
        <v>107956</v>
      </c>
      <c r="F82" s="522">
        <v>107357</v>
      </c>
      <c r="G82" s="473">
        <f t="shared" si="6"/>
        <v>-599</v>
      </c>
      <c r="H82" s="460">
        <f>G82+'18'!H82</f>
        <v>-255</v>
      </c>
      <c r="I82" s="486"/>
      <c r="J82" s="552">
        <f>H82/DAY(B2)</f>
        <v>-13.421052631578947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'18'!F83</f>
        <v>18319</v>
      </c>
      <c r="F83" s="511">
        <v>12256</v>
      </c>
      <c r="G83" s="473">
        <f t="shared" si="6"/>
        <v>-6063</v>
      </c>
      <c r="H83" s="460">
        <f>G83+'18'!H83</f>
        <v>-2515</v>
      </c>
      <c r="I83" s="481"/>
      <c r="J83" s="552">
        <f>H83/DAY(B2)</f>
        <v>-132.36842105263159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'18'!F84</f>
        <v>491979</v>
      </c>
      <c r="F84" s="627">
        <v>471468</v>
      </c>
      <c r="G84" s="473">
        <f t="shared" si="6"/>
        <v>-20511</v>
      </c>
      <c r="H84" s="460">
        <f>G84+'18'!H84</f>
        <v>-8665</v>
      </c>
      <c r="I84" s="481"/>
      <c r="J84" s="552">
        <f>H84/DAY(B2)</f>
        <v>-456.05263157894734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-53186</v>
      </c>
      <c r="H85" s="460">
        <f>G85+'18'!H85</f>
        <v>-22579</v>
      </c>
      <c r="I85" s="481"/>
      <c r="J85" s="552">
        <f>H85/DAY(B2)</f>
        <v>-1188.3684210526317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460509</v>
      </c>
      <c r="F86" s="650">
        <v>458007</v>
      </c>
      <c r="G86" s="708">
        <f t="shared" ref="G86:G90" si="7">F86-E86</f>
        <v>-2502</v>
      </c>
      <c r="H86" s="460">
        <f>G86+'18'!H86</f>
        <v>-2471</v>
      </c>
      <c r="I86" s="655"/>
      <c r="J86" s="710">
        <f>H86/DAY(B2)</f>
        <v>-130.05263157894737</v>
      </c>
      <c r="K86" s="736">
        <v>424609</v>
      </c>
      <c r="L86" s="737">
        <f>K86-F86</f>
        <v>-33398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81130</v>
      </c>
      <c r="F87" s="650">
        <v>80772</v>
      </c>
      <c r="G87" s="708">
        <f t="shared" si="7"/>
        <v>-358</v>
      </c>
      <c r="H87" s="460">
        <f>G87+'18'!H87</f>
        <v>-344</v>
      </c>
      <c r="I87" s="655"/>
      <c r="J87" s="710">
        <f>H87/DAY(B2)</f>
        <v>-18.105263157894736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152588</v>
      </c>
      <c r="F88" s="650">
        <v>151450</v>
      </c>
      <c r="G88" s="708">
        <f t="shared" si="7"/>
        <v>-1138</v>
      </c>
      <c r="H88" s="460">
        <f>G88+'18'!H88</f>
        <v>-1070</v>
      </c>
      <c r="I88" s="655"/>
      <c r="J88" s="710">
        <f>H88/DAY(B2)</f>
        <v>-56.315789473684212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64950</v>
      </c>
      <c r="F89" s="650">
        <v>64374</v>
      </c>
      <c r="G89" s="708">
        <f t="shared" si="7"/>
        <v>-576</v>
      </c>
      <c r="H89" s="460">
        <f>G89+'18'!H89</f>
        <v>-569</v>
      </c>
      <c r="I89" s="655"/>
      <c r="J89" s="710">
        <f>H89/DAY(B2)</f>
        <v>-29.94736842105263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3272.7</v>
      </c>
      <c r="F90" s="650">
        <v>3272</v>
      </c>
      <c r="G90" s="708">
        <f t="shared" si="7"/>
        <v>-0.6999999999998181</v>
      </c>
      <c r="H90" s="708">
        <f>G90</f>
        <v>-0.6999999999998181</v>
      </c>
      <c r="I90" s="655"/>
      <c r="J90" s="710">
        <f>H90/DAY(B2)</f>
        <v>-3.6842105263148323E-2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50">
        <f>'18'!F91</f>
        <v>27959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780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'18'!F93</f>
        <v>245077</v>
      </c>
      <c r="F93" s="484">
        <v>243943</v>
      </c>
      <c r="G93" s="473">
        <f t="shared" ref="G93:G94" si="8">F93-E93</f>
        <v>-1134</v>
      </c>
      <c r="H93" s="460">
        <f>G93+'18'!H93</f>
        <v>-581</v>
      </c>
      <c r="I93" s="480"/>
      <c r="J93" s="552">
        <f>H93/DAY(B2)</f>
        <v>-30.578947368421051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'18'!F94</f>
        <v>185061</v>
      </c>
      <c r="F94" s="484">
        <v>182420</v>
      </c>
      <c r="G94" s="473">
        <f t="shared" si="8"/>
        <v>-2641</v>
      </c>
      <c r="H94" s="460">
        <f>G94+'18'!H94</f>
        <v>-1111</v>
      </c>
      <c r="I94" s="480"/>
      <c r="J94" s="552">
        <f>H94/DAY(B2)</f>
        <v>-58.473684210526315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>
        <f>'18'!F95</f>
        <v>0</v>
      </c>
      <c r="F95" s="484"/>
      <c r="G95" s="473">
        <f>G93+G94</f>
        <v>-3775</v>
      </c>
      <c r="H95" s="460">
        <f>G95+'18'!H95</f>
        <v>-1839</v>
      </c>
      <c r="I95" s="480"/>
      <c r="J95" s="552">
        <f>H95/DAY(B2)</f>
        <v>-96.78947368421052</v>
      </c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'18'!F96</f>
        <v>413668</v>
      </c>
      <c r="F96" s="484">
        <v>412137</v>
      </c>
      <c r="G96" s="473">
        <f t="shared" ref="G96:G101" si="9">F96-E96</f>
        <v>-1531</v>
      </c>
      <c r="H96" s="460">
        <f>G96+'18'!H96</f>
        <v>-749</v>
      </c>
      <c r="I96" s="480"/>
      <c r="J96" s="552">
        <f>H96/DAY(B2)</f>
        <v>-39.421052631578945</v>
      </c>
      <c r="K96" s="380"/>
      <c r="L96" s="377"/>
      <c r="N96" s="382"/>
      <c r="O96" s="382"/>
    </row>
    <row r="97" spans="1:15" ht="27.75">
      <c r="A97" s="1144" t="s">
        <v>210</v>
      </c>
      <c r="B97" s="1145"/>
      <c r="C97" s="1145"/>
      <c r="D97" s="523" t="s">
        <v>144</v>
      </c>
      <c r="E97" s="484">
        <f>'18'!F97</f>
        <v>102516</v>
      </c>
      <c r="F97" s="484">
        <v>102160</v>
      </c>
      <c r="G97" s="473">
        <f t="shared" si="9"/>
        <v>-356</v>
      </c>
      <c r="H97" s="460">
        <f>G97+'18'!H97</f>
        <v>-183</v>
      </c>
      <c r="I97" s="480"/>
      <c r="J97" s="552">
        <f>H97/DAY(B2)</f>
        <v>-9.6315789473684212</v>
      </c>
      <c r="K97" s="427"/>
      <c r="L97" s="377"/>
      <c r="N97" s="382"/>
      <c r="O97" s="382"/>
    </row>
    <row r="98" spans="1:15" ht="27.75">
      <c r="A98" s="1144" t="s">
        <v>211</v>
      </c>
      <c r="B98" s="1145"/>
      <c r="C98" s="1145"/>
      <c r="D98" s="523" t="s">
        <v>144</v>
      </c>
      <c r="E98" s="484">
        <f>'18'!F98</f>
        <v>97676</v>
      </c>
      <c r="F98" s="484">
        <v>97258</v>
      </c>
      <c r="G98" s="473">
        <f t="shared" si="9"/>
        <v>-418</v>
      </c>
      <c r="H98" s="460">
        <f>G98+'18'!H98</f>
        <v>-169</v>
      </c>
      <c r="I98" s="480"/>
      <c r="J98" s="552">
        <f>H98/DAY(B2)</f>
        <v>-8.8947368421052637</v>
      </c>
      <c r="K98" s="432"/>
      <c r="L98" s="377"/>
      <c r="N98" s="382"/>
      <c r="O98" s="382"/>
    </row>
    <row r="99" spans="1:15" ht="27.75">
      <c r="A99" s="1144" t="s">
        <v>212</v>
      </c>
      <c r="B99" s="1145"/>
      <c r="C99" s="1145"/>
      <c r="D99" s="523" t="s">
        <v>144</v>
      </c>
      <c r="E99" s="484">
        <f>'18'!F99</f>
        <v>149729</v>
      </c>
      <c r="F99" s="484">
        <v>149450</v>
      </c>
      <c r="G99" s="473">
        <f t="shared" si="9"/>
        <v>-279</v>
      </c>
      <c r="H99" s="460">
        <f>G99+'18'!H99</f>
        <v>-83</v>
      </c>
      <c r="I99" s="480"/>
      <c r="J99" s="552">
        <f>H99/DAY(B2)</f>
        <v>-4.3684210526315788</v>
      </c>
      <c r="K99" s="380"/>
      <c r="L99" s="377"/>
      <c r="N99" s="382"/>
      <c r="O99" s="382"/>
    </row>
    <row r="100" spans="1:15" ht="27.75">
      <c r="A100" s="1144" t="s">
        <v>213</v>
      </c>
      <c r="B100" s="1145"/>
      <c r="C100" s="1145"/>
      <c r="D100" s="523" t="s">
        <v>144</v>
      </c>
      <c r="E100" s="484">
        <f>'18'!F100</f>
        <v>7293</v>
      </c>
      <c r="F100" s="484">
        <v>7099</v>
      </c>
      <c r="G100" s="473">
        <f t="shared" si="9"/>
        <v>-194</v>
      </c>
      <c r="H100" s="460">
        <f>G100+'18'!H100</f>
        <v>-86</v>
      </c>
      <c r="I100" s="480"/>
      <c r="J100" s="552">
        <f>H100/DAY(B2)</f>
        <v>-4.5263157894736841</v>
      </c>
      <c r="K100" s="380"/>
      <c r="L100" s="377"/>
      <c r="N100" s="382"/>
      <c r="O100" s="382"/>
    </row>
    <row r="101" spans="1:15" ht="27.75">
      <c r="A101" s="1144" t="s">
        <v>214</v>
      </c>
      <c r="B101" s="1145"/>
      <c r="C101" s="1145"/>
      <c r="D101" s="523" t="s">
        <v>144</v>
      </c>
      <c r="E101" s="484">
        <f>'18'!F101</f>
        <v>5254</v>
      </c>
      <c r="F101" s="484">
        <v>5075</v>
      </c>
      <c r="G101" s="473">
        <f t="shared" si="9"/>
        <v>-179</v>
      </c>
      <c r="H101" s="460">
        <f>G101+'18'!H101</f>
        <v>-63</v>
      </c>
      <c r="I101" s="480"/>
      <c r="J101" s="552">
        <f>H101/DAY(B2)</f>
        <v>-3.3157894736842106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525">
        <f>SUM(G96:G101)</f>
        <v>-2957</v>
      </c>
      <c r="H102" s="460">
        <f>G102+'18'!H102</f>
        <v>-1333</v>
      </c>
      <c r="I102" s="526"/>
      <c r="J102" s="552">
        <f>H102/DAY(B2)</f>
        <v>-70.15789473684211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17" t="s">
        <v>219</v>
      </c>
      <c r="B105" s="1518"/>
      <c r="C105" s="1142"/>
      <c r="D105" s="622" t="s">
        <v>144</v>
      </c>
      <c r="E105" s="532">
        <f>'18'!F105</f>
        <v>7473</v>
      </c>
      <c r="F105" s="532">
        <v>7391</v>
      </c>
      <c r="G105" s="532">
        <f>F105-E105</f>
        <v>-82</v>
      </c>
      <c r="H105" s="460">
        <f>G105+'18'!H105</f>
        <v>-25</v>
      </c>
      <c r="I105" s="532"/>
      <c r="J105" s="558">
        <f>H105/DAY(B2)</f>
        <v>-1.3157894736842106</v>
      </c>
      <c r="N105" s="444"/>
      <c r="O105" s="382"/>
    </row>
    <row r="106" spans="1:15" s="442" customFormat="1" ht="27.75">
      <c r="A106" s="1517" t="s">
        <v>77</v>
      </c>
      <c r="B106" s="1518"/>
      <c r="C106" s="1142"/>
      <c r="D106" s="622" t="s">
        <v>144</v>
      </c>
      <c r="E106" s="534">
        <f>'18'!F106</f>
        <v>35889</v>
      </c>
      <c r="F106" s="534">
        <v>35764</v>
      </c>
      <c r="G106" s="532">
        <f t="shared" ref="G106" si="10">F106-E106</f>
        <v>-125</v>
      </c>
      <c r="H106" s="460">
        <f>G106+'18'!H106</f>
        <v>-75</v>
      </c>
      <c r="I106" s="532"/>
      <c r="J106" s="558">
        <f>H106/DAY(B2)</f>
        <v>-3.9473684210526314</v>
      </c>
      <c r="N106" s="444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f>'18'!F107</f>
        <v>19671</v>
      </c>
      <c r="F107" s="532">
        <v>19547</v>
      </c>
      <c r="G107" s="532">
        <f>F107-E107</f>
        <v>-124</v>
      </c>
      <c r="H107" s="460">
        <f>G107+'18'!H107</f>
        <v>2</v>
      </c>
      <c r="I107" s="532"/>
      <c r="J107" s="558">
        <f>H107/DAY(B2)</f>
        <v>0.10526315789473684</v>
      </c>
      <c r="N107" s="444"/>
      <c r="O107" s="382"/>
    </row>
    <row r="108" spans="1:15" s="442" customFormat="1" ht="27.75">
      <c r="A108" s="1519" t="s">
        <v>202</v>
      </c>
      <c r="B108" s="1520"/>
      <c r="C108" s="1142"/>
      <c r="D108" s="622"/>
      <c r="E108" s="532">
        <f>'18'!F108</f>
        <v>0</v>
      </c>
      <c r="F108" s="532"/>
      <c r="G108" s="532">
        <f>SUM(G105:G107)</f>
        <v>-331</v>
      </c>
      <c r="H108" s="460">
        <f>G108+'18'!H108</f>
        <v>-140</v>
      </c>
      <c r="I108" s="532"/>
      <c r="J108" s="558">
        <f>H108/DAY(B2)</f>
        <v>-7.3684210526315788</v>
      </c>
      <c r="N108" s="444"/>
      <c r="O108" s="382"/>
    </row>
    <row r="109" spans="1:15" s="442" customFormat="1" ht="27.75">
      <c r="A109" s="1523" t="s">
        <v>79</v>
      </c>
      <c r="B109" s="1524"/>
      <c r="C109" s="1142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17" t="s">
        <v>220</v>
      </c>
      <c r="B110" s="1518"/>
      <c r="C110" s="1142"/>
      <c r="D110" s="622" t="s">
        <v>144</v>
      </c>
      <c r="E110" s="532">
        <f>'18'!F110</f>
        <v>62112</v>
      </c>
      <c r="F110" s="532">
        <v>60314</v>
      </c>
      <c r="G110" s="532">
        <f>F110-E110</f>
        <v>-1798</v>
      </c>
      <c r="H110" s="460">
        <f>G110+'18'!H110</f>
        <v>-1644</v>
      </c>
      <c r="I110" s="532"/>
      <c r="J110" s="558">
        <f>H110/DAY(B2)</f>
        <v>-86.526315789473685</v>
      </c>
      <c r="N110" s="444"/>
      <c r="O110" s="382"/>
    </row>
    <row r="111" spans="1:15" s="442" customFormat="1" ht="27.75">
      <c r="A111" s="1517" t="s">
        <v>221</v>
      </c>
      <c r="B111" s="1518"/>
      <c r="C111" s="1142"/>
      <c r="D111" s="622" t="s">
        <v>144</v>
      </c>
      <c r="E111" s="532">
        <f>'18'!F111</f>
        <v>32401</v>
      </c>
      <c r="F111" s="532">
        <v>32110</v>
      </c>
      <c r="G111" s="532">
        <f t="shared" ref="G111:G112" si="11">F111-E111</f>
        <v>-291</v>
      </c>
      <c r="H111" s="460">
        <f>G111+'18'!H111</f>
        <v>-279</v>
      </c>
      <c r="I111" s="532"/>
      <c r="J111" s="558">
        <f>H111/DAY(B2)</f>
        <v>-14.684210526315789</v>
      </c>
      <c r="N111" s="444"/>
      <c r="O111" s="382"/>
    </row>
    <row r="112" spans="1:15" s="442" customFormat="1" ht="27.75">
      <c r="A112" s="1517" t="s">
        <v>222</v>
      </c>
      <c r="B112" s="1518"/>
      <c r="C112" s="1142"/>
      <c r="D112" s="622" t="s">
        <v>144</v>
      </c>
      <c r="E112" s="532">
        <f>'18'!F112</f>
        <v>4513</v>
      </c>
      <c r="F112" s="532">
        <v>4309</v>
      </c>
      <c r="G112" s="532">
        <f t="shared" si="11"/>
        <v>-204</v>
      </c>
      <c r="H112" s="460">
        <f>G112+'18'!H112</f>
        <v>55</v>
      </c>
      <c r="I112" s="532"/>
      <c r="J112" s="558">
        <f>H112/DAY(B2)</f>
        <v>2.8947368421052633</v>
      </c>
      <c r="N112" s="444"/>
      <c r="O112" s="382"/>
    </row>
    <row r="113" spans="1:15" s="442" customFormat="1" ht="27.75">
      <c r="A113" s="1521" t="s">
        <v>110</v>
      </c>
      <c r="B113" s="1522"/>
      <c r="C113" s="1142"/>
      <c r="D113" s="622"/>
      <c r="E113" s="532">
        <f>'18'!F113</f>
        <v>0</v>
      </c>
      <c r="F113" s="532"/>
      <c r="G113" s="532">
        <f>SUM(G110:G112)</f>
        <v>-2293</v>
      </c>
      <c r="H113" s="460">
        <f>G113+'18'!H113</f>
        <v>-1501</v>
      </c>
      <c r="I113" s="532"/>
      <c r="J113" s="558">
        <f>H113/DAY(B2)</f>
        <v>-79</v>
      </c>
      <c r="N113" s="444"/>
      <c r="O113" s="382"/>
    </row>
    <row r="114" spans="1:15" s="442" customFormat="1" ht="27.75">
      <c r="A114" s="1523" t="s">
        <v>223</v>
      </c>
      <c r="B114" s="1524"/>
      <c r="C114" s="1142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4">
        <f>'18'!F115</f>
        <v>11399</v>
      </c>
      <c r="F115" s="534">
        <v>11151</v>
      </c>
      <c r="G115" s="534">
        <f>F115-E115</f>
        <v>-248</v>
      </c>
      <c r="H115" s="460">
        <f>G115+'18'!H115</f>
        <v>-238</v>
      </c>
      <c r="I115" s="532"/>
      <c r="J115" s="558">
        <f>H115/DAY(B2)</f>
        <v>-12.526315789473685</v>
      </c>
      <c r="N115" s="444"/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4">
        <f>'18'!F116</f>
        <v>8214</v>
      </c>
      <c r="F116" s="534">
        <v>8079</v>
      </c>
      <c r="G116" s="534">
        <f t="shared" ref="G116:G117" si="12">F116-E116</f>
        <v>-135</v>
      </c>
      <c r="H116" s="460">
        <f>G116+'18'!H116</f>
        <v>-83</v>
      </c>
      <c r="I116" s="532"/>
      <c r="J116" s="558">
        <f>H116/DAY(B2)</f>
        <v>-4.3684210526315788</v>
      </c>
      <c r="N116" s="444"/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G117+'18'!H117</f>
        <v>95</v>
      </c>
      <c r="I117" s="532"/>
      <c r="J117" s="558">
        <f>H117/DAY(B2)</f>
        <v>5</v>
      </c>
      <c r="N117" s="444"/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534">
        <f>SUM(G115:G117)</f>
        <v>-383</v>
      </c>
      <c r="H118" s="460">
        <f>G118+'18'!H118</f>
        <v>-301</v>
      </c>
      <c r="I118" s="534"/>
      <c r="J118" s="558">
        <f>H118/DAY(B2)</f>
        <v>-15.842105263157896</v>
      </c>
      <c r="N118" s="447"/>
      <c r="O118" s="382"/>
    </row>
    <row r="119" spans="1:15" s="446" customFormat="1" ht="27.75">
      <c r="A119" s="1513" t="s">
        <v>227</v>
      </c>
      <c r="B119" s="1514"/>
      <c r="C119" s="1141"/>
      <c r="D119" s="624" t="s">
        <v>144</v>
      </c>
      <c r="E119" s="536"/>
      <c r="F119" s="536">
        <f>SUM(G19+G93)</f>
        <v>-2794</v>
      </c>
      <c r="G119" s="536">
        <f>SUM(G19+G93)</f>
        <v>-2794</v>
      </c>
      <c r="H119" s="460">
        <f>G119+'18'!H119</f>
        <v>-2677</v>
      </c>
      <c r="I119" s="535"/>
      <c r="J119" s="559">
        <f>H119/DAY(B2)</f>
        <v>-140.89473684210526</v>
      </c>
      <c r="N119" s="782"/>
      <c r="O119" s="382"/>
    </row>
    <row r="120" spans="1:15" s="446" customFormat="1" ht="27.75">
      <c r="A120" s="1513" t="s">
        <v>228</v>
      </c>
      <c r="B120" s="1514"/>
      <c r="C120" s="1141"/>
      <c r="D120" s="624" t="s">
        <v>144</v>
      </c>
      <c r="E120" s="536"/>
      <c r="F120" s="536">
        <f>SUM(G96,G97,G98,G100,G101)</f>
        <v>-2678</v>
      </c>
      <c r="G120" s="536">
        <f>SUM(G96,G97,G98,G100,G101)</f>
        <v>-2678</v>
      </c>
      <c r="H120" s="460">
        <f>G120+'18'!H120</f>
        <v>-2614</v>
      </c>
      <c r="I120" s="535"/>
      <c r="J120" s="559">
        <f>H120/DAY(B2)</f>
        <v>-137.57894736842104</v>
      </c>
      <c r="N120" s="782"/>
      <c r="O120" s="382"/>
    </row>
    <row r="121" spans="1:15" s="446" customFormat="1" ht="27.75">
      <c r="A121" s="1513" t="s">
        <v>229</v>
      </c>
      <c r="B121" s="1514"/>
      <c r="C121" s="1141"/>
      <c r="D121" s="624" t="s">
        <v>144</v>
      </c>
      <c r="E121" s="534"/>
      <c r="F121" s="534">
        <f>SUM(G113)</f>
        <v>-2293</v>
      </c>
      <c r="G121" s="534">
        <f>SUM(G113)</f>
        <v>-2293</v>
      </c>
      <c r="H121" s="460">
        <f>G121+'18'!H121</f>
        <v>-2210</v>
      </c>
      <c r="I121" s="535"/>
      <c r="J121" s="559">
        <f>H121/DAY(B2)</f>
        <v>-116.31578947368421</v>
      </c>
      <c r="N121" s="782"/>
      <c r="O121" s="382"/>
    </row>
    <row r="122" spans="1:15" s="442" customFormat="1" ht="27.75">
      <c r="A122" s="1515"/>
      <c r="B122" s="1516"/>
      <c r="C122" s="1142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4" t="s">
        <v>231</v>
      </c>
      <c r="B124" s="1145"/>
      <c r="C124" s="1145"/>
      <c r="D124" s="523" t="s">
        <v>141</v>
      </c>
      <c r="E124" s="478">
        <f>'18'!F124</f>
        <v>829747</v>
      </c>
      <c r="F124" s="478">
        <v>823557</v>
      </c>
      <c r="G124" s="473">
        <f t="shared" ref="G124:G128" si="13">F124-E124</f>
        <v>-6190</v>
      </c>
      <c r="H124" s="460">
        <f>G124+'18'!H124</f>
        <v>-2531.4599999999627</v>
      </c>
      <c r="I124" s="526"/>
      <c r="J124" s="552">
        <f>H124/DAY(B2)</f>
        <v>-133.2347368421033</v>
      </c>
      <c r="K124" s="380"/>
      <c r="L124" s="377"/>
      <c r="N124" s="382"/>
      <c r="O124" s="382"/>
    </row>
    <row r="125" spans="1:15" ht="27.75">
      <c r="A125" s="1144" t="s">
        <v>232</v>
      </c>
      <c r="B125" s="1145"/>
      <c r="C125" s="1145"/>
      <c r="D125" s="523" t="s">
        <v>141</v>
      </c>
      <c r="E125" s="626">
        <f>'18'!F125</f>
        <v>73583.399999999994</v>
      </c>
      <c r="F125" s="626">
        <v>73583</v>
      </c>
      <c r="G125" s="473">
        <f t="shared" si="13"/>
        <v>-0.39999999999417923</v>
      </c>
      <c r="H125" s="460">
        <f>G125+'18'!H125</f>
        <v>-0.39999999999417923</v>
      </c>
      <c r="I125" s="526"/>
      <c r="J125" s="552">
        <f>H125/DAY(B2)</f>
        <v>-2.1052631578641012E-2</v>
      </c>
      <c r="K125" s="380"/>
      <c r="L125" s="377"/>
      <c r="N125" s="382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78">
        <f>'18'!F126</f>
        <v>145684</v>
      </c>
      <c r="F126" s="478">
        <v>143824</v>
      </c>
      <c r="G126" s="473">
        <f t="shared" si="13"/>
        <v>-1860</v>
      </c>
      <c r="H126" s="460">
        <f>G126+'18'!H126</f>
        <v>-863.44000000000233</v>
      </c>
      <c r="I126" s="526"/>
      <c r="J126" s="552">
        <f>H126/DAY(B2)</f>
        <v>-45.444210526315914</v>
      </c>
      <c r="K126" s="380"/>
      <c r="L126" s="377"/>
      <c r="N126" s="382"/>
      <c r="O126" s="382"/>
    </row>
    <row r="127" spans="1:15" ht="27.75">
      <c r="A127" s="609" t="s">
        <v>234</v>
      </c>
      <c r="B127" s="1145"/>
      <c r="C127" s="1145"/>
      <c r="D127" s="523" t="s">
        <v>141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5"/>
      <c r="C128" s="1145"/>
      <c r="D128" s="523" t="s">
        <v>141</v>
      </c>
      <c r="E128" s="626">
        <f>'18'!F128</f>
        <v>8971</v>
      </c>
      <c r="F128" s="626">
        <v>8968</v>
      </c>
      <c r="G128" s="473">
        <f t="shared" si="13"/>
        <v>-3</v>
      </c>
      <c r="H128" s="460">
        <f>G128+'18'!H128</f>
        <v>-1.7000000000007276</v>
      </c>
      <c r="I128" s="480"/>
      <c r="J128" s="552">
        <f>H128/DAY(B2)</f>
        <v>-8.9473684210564605E-2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-7146.6000000000058</v>
      </c>
      <c r="H129" s="460">
        <f>G129+'18'!H129</f>
        <v>-6633.6000000000058</v>
      </c>
      <c r="I129" s="480"/>
      <c r="J129" s="552">
        <f>H129/DAY(B2)</f>
        <v>-349.13684210526344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4" t="s">
        <v>238</v>
      </c>
      <c r="B131" s="1145"/>
      <c r="C131" s="1145"/>
      <c r="D131" s="523" t="s">
        <v>239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240</v>
      </c>
      <c r="B132" s="1145"/>
      <c r="C132" s="1145"/>
      <c r="D132" s="523" t="s">
        <v>239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4" t="s">
        <v>241</v>
      </c>
      <c r="B133" s="1145"/>
      <c r="C133" s="1145"/>
      <c r="D133" s="523" t="s">
        <v>239</v>
      </c>
      <c r="E133" s="541">
        <f>'18'!F133</f>
        <v>40031.519999999997</v>
      </c>
      <c r="F133" s="541">
        <v>39659.230000000003</v>
      </c>
      <c r="G133" s="473">
        <f t="shared" si="14"/>
        <v>-372.2899999999936</v>
      </c>
      <c r="H133" s="460">
        <f>G133+'18'!H133</f>
        <v>-87.25</v>
      </c>
      <c r="I133" s="480"/>
      <c r="J133" s="552">
        <f>H133/DAY(B2)</f>
        <v>-4.5921052631578947</v>
      </c>
      <c r="N133" s="382"/>
      <c r="O133" s="382"/>
    </row>
    <row r="134" spans="1:15" s="441" customFormat="1" ht="27.75">
      <c r="A134" s="1074" t="s">
        <v>242</v>
      </c>
      <c r="B134" s="1075"/>
      <c r="C134" s="1075"/>
      <c r="D134" s="627" t="s">
        <v>239</v>
      </c>
      <c r="E134" s="541">
        <f>'18'!F134</f>
        <v>300</v>
      </c>
      <c r="F134" s="541">
        <v>300</v>
      </c>
      <c r="G134" s="655">
        <f t="shared" si="14"/>
        <v>0</v>
      </c>
      <c r="H134" s="708">
        <f>G134+'18'!H134</f>
        <v>0</v>
      </c>
      <c r="I134" s="1076">
        <f>G131+G132+G133+G134</f>
        <v>-372.2899999999936</v>
      </c>
      <c r="J134" s="710">
        <f>H134/DAY(B2)</f>
        <v>0</v>
      </c>
      <c r="N134" s="716"/>
      <c r="O134" s="716"/>
    </row>
    <row r="135" spans="1:15" ht="27.75">
      <c r="A135" s="1144" t="s">
        <v>243</v>
      </c>
      <c r="B135" s="1145"/>
      <c r="C135" s="1145"/>
      <c r="D135" s="523" t="s">
        <v>239</v>
      </c>
      <c r="E135" s="541">
        <f>'18'!F135</f>
        <v>41541</v>
      </c>
      <c r="F135" s="541">
        <v>41199</v>
      </c>
      <c r="G135" s="473">
        <f t="shared" si="14"/>
        <v>-342</v>
      </c>
      <c r="H135" s="460">
        <f>G135+'18'!H135</f>
        <v>-186</v>
      </c>
      <c r="I135" s="480"/>
      <c r="J135" s="552">
        <f>H135/DAY(B2)</f>
        <v>-9.7894736842105257</v>
      </c>
      <c r="N135" s="382"/>
      <c r="O135" s="382"/>
    </row>
    <row r="136" spans="1:15" ht="27.75">
      <c r="A136" s="1144" t="s">
        <v>244</v>
      </c>
      <c r="B136" s="1145"/>
      <c r="C136" s="1145"/>
      <c r="D136" s="523" t="s">
        <v>239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-8.000000000174623E-2</v>
      </c>
      <c r="I136" s="480"/>
      <c r="J136" s="552">
        <f>H136/DAY(B2)</f>
        <v>-4.2105263158813801E-3</v>
      </c>
      <c r="N136" s="382"/>
      <c r="O136" s="382"/>
    </row>
    <row r="137" spans="1:15" ht="27.75">
      <c r="A137" s="1144" t="s">
        <v>245</v>
      </c>
      <c r="B137" s="1145"/>
      <c r="C137" s="1145"/>
      <c r="D137" s="523" t="s">
        <v>239</v>
      </c>
      <c r="E137" s="541">
        <f>'18'!F137</f>
        <v>22773.200000000001</v>
      </c>
      <c r="F137" s="541">
        <v>22672</v>
      </c>
      <c r="G137" s="473">
        <f t="shared" si="14"/>
        <v>-101.20000000000073</v>
      </c>
      <c r="H137" s="460">
        <f>G137+'18'!H137</f>
        <v>-67.590000000000146</v>
      </c>
      <c r="I137" s="480">
        <f>G135+G136+G137</f>
        <v>-443.26000000000204</v>
      </c>
      <c r="J137" s="552">
        <f>H137/DAY(B2)</f>
        <v>-3.5573684210526393</v>
      </c>
      <c r="N137" s="382"/>
      <c r="O137" s="382"/>
    </row>
    <row r="138" spans="1:15" ht="27.75">
      <c r="A138" s="1144" t="s">
        <v>246</v>
      </c>
      <c r="B138" s="1145"/>
      <c r="C138" s="1145"/>
      <c r="D138" s="523" t="s">
        <v>239</v>
      </c>
      <c r="E138" s="541">
        <f>'18'!F138</f>
        <v>25051.72</v>
      </c>
      <c r="F138" s="541">
        <v>25050</v>
      </c>
      <c r="G138" s="473">
        <f t="shared" si="14"/>
        <v>-1.7200000000011642</v>
      </c>
      <c r="H138" s="460">
        <f>G138+'18'!H138</f>
        <v>-1.5900000000001455</v>
      </c>
      <c r="I138" s="480"/>
      <c r="J138" s="552">
        <f>H138/DAY(B2)</f>
        <v>-8.3684210526323452E-2</v>
      </c>
      <c r="N138" s="382"/>
      <c r="O138" s="382"/>
    </row>
    <row r="139" spans="1:15" ht="27.75">
      <c r="A139" s="1144" t="s">
        <v>247</v>
      </c>
      <c r="B139" s="1145"/>
      <c r="C139" s="1145"/>
      <c r="D139" s="523" t="s">
        <v>239</v>
      </c>
      <c r="E139" s="541">
        <f>'18'!F139</f>
        <v>70370</v>
      </c>
      <c r="F139" s="541">
        <v>70286.720000000001</v>
      </c>
      <c r="G139" s="473">
        <f t="shared" si="14"/>
        <v>-83.279999999998836</v>
      </c>
      <c r="H139" s="460">
        <f>G139+'18'!H139</f>
        <v>-29.089999999996508</v>
      </c>
      <c r="I139" s="480">
        <f>G138+G139</f>
        <v>-85</v>
      </c>
      <c r="J139" s="552">
        <f>H139/DAY(B2)</f>
        <v>-1.5310526315787636</v>
      </c>
      <c r="N139" s="382"/>
      <c r="O139" s="382"/>
    </row>
    <row r="140" spans="1:15" ht="27.75">
      <c r="A140" s="1144" t="s">
        <v>248</v>
      </c>
      <c r="B140" s="1145"/>
      <c r="C140" s="1145"/>
      <c r="D140" s="523" t="s">
        <v>239</v>
      </c>
      <c r="E140" s="484">
        <f>'18'!F140</f>
        <v>1755.27</v>
      </c>
      <c r="F140" s="484">
        <v>1536.52</v>
      </c>
      <c r="G140" s="473">
        <f t="shared" si="14"/>
        <v>-218.75</v>
      </c>
      <c r="H140" s="460">
        <f>G140+'18'!H140</f>
        <v>-80.339999999999918</v>
      </c>
      <c r="I140" s="542"/>
      <c r="J140" s="552">
        <f>H140/DAY(B2)</f>
        <v>-4.2284210526315746</v>
      </c>
      <c r="N140" s="382"/>
      <c r="O140" s="382"/>
    </row>
    <row r="141" spans="1:15" ht="27.75">
      <c r="A141" s="1144" t="s">
        <v>249</v>
      </c>
      <c r="B141" s="1145"/>
      <c r="C141" s="1145"/>
      <c r="D141" s="523" t="s">
        <v>239</v>
      </c>
      <c r="E141" s="484">
        <f>'18'!F141</f>
        <v>4636.88</v>
      </c>
      <c r="F141" s="484">
        <v>4624.26</v>
      </c>
      <c r="G141" s="473">
        <f t="shared" si="14"/>
        <v>-12.619999999999891</v>
      </c>
      <c r="H141" s="460">
        <f>G141+'18'!H141</f>
        <v>-12.739999999999782</v>
      </c>
      <c r="I141" s="542"/>
      <c r="J141" s="552">
        <f>H141/DAY(B2)</f>
        <v>-0.6705263157894622</v>
      </c>
      <c r="N141" s="382"/>
      <c r="O141" s="382"/>
    </row>
    <row r="142" spans="1:15">
      <c r="A142" s="1531" t="s">
        <v>250</v>
      </c>
      <c r="B142" s="1532"/>
      <c r="C142" s="1150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-130145.46</v>
      </c>
      <c r="H143" s="460">
        <f>G143+'18'!H143</f>
        <v>-55837.130000000005</v>
      </c>
      <c r="I143" s="480"/>
      <c r="J143" s="552">
        <f>H143/DAY(B2)</f>
        <v>-2938.7963157894737</v>
      </c>
      <c r="K143" s="380"/>
      <c r="L143" s="377"/>
      <c r="N143" s="382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-2.415282787238919E-2</v>
      </c>
      <c r="H144" s="460">
        <f>G144+'18'!H144</f>
        <v>4.7382103062645493</v>
      </c>
      <c r="I144" s="544"/>
      <c r="J144" s="552">
        <f>H144/DAY(B2)</f>
        <v>0.24937948980339733</v>
      </c>
      <c r="K144" s="380"/>
      <c r="L144" s="377"/>
      <c r="N144" s="382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195368.99000000005</v>
      </c>
      <c r="H145" s="460">
        <f>G145+'18'!H145</f>
        <v>282780.53000000003</v>
      </c>
      <c r="I145" s="480"/>
      <c r="J145" s="552">
        <f>H145/DAY(B2)</f>
        <v>14883.185789473686</v>
      </c>
      <c r="K145" s="380"/>
      <c r="L145" s="377"/>
      <c r="N145" s="382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3.6257227774772367E-2</v>
      </c>
      <c r="H146" s="460">
        <f>G146+'18'!H146</f>
        <v>5.6476517654912399</v>
      </c>
      <c r="I146" s="544"/>
      <c r="J146" s="552">
        <f>H146/DAY(B2)</f>
        <v>0.29724482976269684</v>
      </c>
      <c r="K146" s="380"/>
      <c r="L146" s="377"/>
      <c r="N146" s="382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-62529</v>
      </c>
      <c r="H147" s="460">
        <f>G147+'18'!H147</f>
        <v>-20431</v>
      </c>
      <c r="I147" s="545"/>
      <c r="J147" s="552">
        <f>H147/DAY(B2)</f>
        <v>-1075.3157894736842</v>
      </c>
      <c r="K147" s="380"/>
      <c r="L147" s="377"/>
      <c r="N147" s="382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-1.160434005175919E-2</v>
      </c>
      <c r="H148" s="460">
        <f>G148+'18'!H148</f>
        <v>2.6906572436385221</v>
      </c>
      <c r="I148" s="545"/>
      <c r="J148" s="552">
        <f>H148/DAY(B2)</f>
        <v>0.14161353913886959</v>
      </c>
      <c r="N148" s="382"/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-36833</v>
      </c>
      <c r="H149" s="460">
        <f>G149+'18'!H149</f>
        <v>-15564</v>
      </c>
      <c r="I149" s="480"/>
      <c r="J149" s="552">
        <f>H149/DAY(B2)</f>
        <v>-819.15789473684208</v>
      </c>
      <c r="K149" s="381"/>
      <c r="N149" s="382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-6.8355907998919902E-3</v>
      </c>
      <c r="H150" s="460">
        <f>G150+'18'!H150</f>
        <v>1.3569752477416459</v>
      </c>
      <c r="I150" s="545"/>
      <c r="J150" s="552">
        <f>H150/DAY(B2)</f>
        <v>7.1419749881139263E-2</v>
      </c>
      <c r="N150" s="382"/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-39649</v>
      </c>
      <c r="H151" s="460">
        <f>G151+'18'!H151</f>
        <v>-20919</v>
      </c>
      <c r="I151" s="545"/>
      <c r="J151" s="552">
        <f>H151/DAY(B2)</f>
        <v>-1101</v>
      </c>
      <c r="N151" s="382"/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-7.3581934576308619E-3</v>
      </c>
      <c r="H152" s="460">
        <f>G152+'18'!H152</f>
        <v>1.1857234948804671</v>
      </c>
      <c r="I152" s="480"/>
      <c r="J152" s="552">
        <f>H152/DAY(B2)</f>
        <v>6.2406499730550902E-2</v>
      </c>
      <c r="N152" s="382"/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-36567</v>
      </c>
      <c r="H153" s="460">
        <f>G153+'18'!H153</f>
        <v>-14397</v>
      </c>
      <c r="I153" s="480"/>
      <c r="J153" s="552">
        <f>H153/DAY(B2)</f>
        <v>-757.73684210526312</v>
      </c>
      <c r="N153" s="382"/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-6.7862256340686456E-3</v>
      </c>
      <c r="H154" s="460">
        <f>G154+'18'!H154</f>
        <v>1.4170604651419212</v>
      </c>
      <c r="I154" s="568"/>
      <c r="J154" s="569">
        <f>H154/DAY(B2)</f>
        <v>7.4582129744311637E-2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8" t="s">
        <v>263</v>
      </c>
      <c r="B161" s="789"/>
      <c r="C161" s="789"/>
      <c r="D161" s="511" t="s">
        <v>187</v>
      </c>
      <c r="E161" s="661">
        <f>'18'!F161</f>
        <v>37386</v>
      </c>
      <c r="F161" s="661">
        <v>35023</v>
      </c>
      <c r="G161" s="473">
        <f t="shared" ref="G161:G164" si="15">F161-E161</f>
        <v>-2363</v>
      </c>
    </row>
    <row r="162" spans="1:7">
      <c r="A162" s="788" t="s">
        <v>264</v>
      </c>
      <c r="B162" s="789"/>
      <c r="C162" s="789"/>
      <c r="D162" s="511" t="s">
        <v>187</v>
      </c>
      <c r="E162" s="661">
        <f>'18'!F162</f>
        <v>89789</v>
      </c>
      <c r="F162" s="661">
        <v>77322</v>
      </c>
      <c r="G162" s="473">
        <f t="shared" si="15"/>
        <v>-12467</v>
      </c>
    </row>
    <row r="163" spans="1:7">
      <c r="A163" s="788" t="s">
        <v>265</v>
      </c>
      <c r="B163" s="789"/>
      <c r="C163" s="789"/>
      <c r="D163" s="511" t="s">
        <v>187</v>
      </c>
      <c r="E163" s="661">
        <f>'18'!F163</f>
        <v>42288</v>
      </c>
      <c r="F163" s="661">
        <v>34583</v>
      </c>
      <c r="G163" s="473">
        <f t="shared" si="15"/>
        <v>-7705</v>
      </c>
    </row>
    <row r="164" spans="1:7">
      <c r="A164" s="788" t="s">
        <v>266</v>
      </c>
      <c r="B164" s="789"/>
      <c r="C164" s="789"/>
      <c r="D164" s="511" t="s">
        <v>187</v>
      </c>
      <c r="E164" s="661">
        <f>'18'!F164</f>
        <v>6441</v>
      </c>
      <c r="F164" s="661">
        <v>6027</v>
      </c>
      <c r="G164" s="473">
        <f t="shared" si="15"/>
        <v>-414</v>
      </c>
    </row>
    <row r="165" spans="1:7">
      <c r="A165" s="790" t="s">
        <v>98</v>
      </c>
      <c r="B165" s="604"/>
      <c r="C165" s="604"/>
      <c r="D165" s="511" t="s">
        <v>187</v>
      </c>
      <c r="E165" s="661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90" t="s">
        <v>188</v>
      </c>
      <c r="B166" s="604"/>
      <c r="C166" s="604"/>
      <c r="D166" s="511" t="s">
        <v>187</v>
      </c>
      <c r="E166" s="661">
        <f>'18'!F166</f>
        <v>2427</v>
      </c>
      <c r="F166" s="514">
        <v>2302</v>
      </c>
      <c r="G166" s="473">
        <f t="shared" si="16"/>
        <v>-125</v>
      </c>
    </row>
    <row r="167" spans="1:7" ht="27.75">
      <c r="A167" s="1500" t="s">
        <v>99</v>
      </c>
      <c r="B167" s="1500"/>
      <c r="C167" s="1500"/>
      <c r="D167" s="523" t="s">
        <v>187</v>
      </c>
      <c r="E167" s="661">
        <f>'18'!F167</f>
        <v>157207</v>
      </c>
      <c r="F167" s="514">
        <v>106166</v>
      </c>
      <c r="G167" s="473">
        <f>F64-E64</f>
        <v>-8923</v>
      </c>
    </row>
    <row r="168" spans="1:7" ht="27.75">
      <c r="A168" s="1500" t="s">
        <v>100</v>
      </c>
      <c r="B168" s="1500"/>
      <c r="C168" s="1500"/>
      <c r="D168" s="523" t="s">
        <v>187</v>
      </c>
      <c r="E168" s="661">
        <f>'18'!F168</f>
        <v>158219</v>
      </c>
      <c r="F168" s="514">
        <v>116811.03</v>
      </c>
      <c r="G168" s="473">
        <f t="shared" ref="G168:G172" si="17">F65-E65</f>
        <v>-7159</v>
      </c>
    </row>
    <row r="169" spans="1:7" ht="27.75">
      <c r="A169" s="1500" t="s">
        <v>101</v>
      </c>
      <c r="B169" s="1500"/>
      <c r="C169" s="1500"/>
      <c r="D169" s="523" t="s">
        <v>187</v>
      </c>
      <c r="E169" s="661">
        <f>'18'!F169</f>
        <v>53249</v>
      </c>
      <c r="F169" s="514">
        <v>9380.09</v>
      </c>
      <c r="G169" s="473">
        <f t="shared" si="17"/>
        <v>-8650</v>
      </c>
    </row>
    <row r="170" spans="1:7" ht="27.75">
      <c r="A170" s="1500" t="s">
        <v>102</v>
      </c>
      <c r="B170" s="1500"/>
      <c r="C170" s="1500"/>
      <c r="D170" s="523" t="s">
        <v>187</v>
      </c>
      <c r="E170" s="661">
        <f>'18'!F170</f>
        <v>246695</v>
      </c>
      <c r="F170" s="514">
        <v>180787.83</v>
      </c>
      <c r="G170" s="473">
        <f t="shared" si="17"/>
        <v>-7557</v>
      </c>
    </row>
    <row r="171" spans="1:7" ht="27.75">
      <c r="A171" s="1500" t="s">
        <v>103</v>
      </c>
      <c r="B171" s="1500"/>
      <c r="C171" s="1500"/>
      <c r="D171" s="523" t="s">
        <v>187</v>
      </c>
      <c r="E171" s="661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661">
        <f>'18'!F172</f>
        <v>80350</v>
      </c>
      <c r="F172" s="514">
        <v>52064.98</v>
      </c>
      <c r="G172" s="473">
        <f t="shared" si="17"/>
        <v>-2106</v>
      </c>
    </row>
    <row r="173" spans="1:7">
      <c r="G173" s="537">
        <f>SUM(G161:G172)</f>
        <v>-57469</v>
      </c>
    </row>
    <row r="174" spans="1:7" ht="27.75">
      <c r="A174" s="1500" t="s">
        <v>357</v>
      </c>
      <c r="B174" s="1500"/>
      <c r="C174" s="1500"/>
      <c r="D174" s="523" t="s">
        <v>187</v>
      </c>
      <c r="E174" s="661">
        <v>27869</v>
      </c>
      <c r="F174" s="514">
        <v>27873</v>
      </c>
      <c r="G174" s="473">
        <f t="shared" ref="G174" si="18">F174-E174</f>
        <v>4</v>
      </c>
    </row>
    <row r="177" ht="18.7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46" zoomScale="55" zoomScaleSheetLayoutView="55" zoomScalePageLayoutView="78" workbookViewId="0">
      <selection activeCell="F28" activeCellId="1" sqref="F28 F2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358</v>
      </c>
      <c r="B2" s="1036">
        <v>44306</v>
      </c>
      <c r="C2" s="1146" t="s">
        <v>69</v>
      </c>
      <c r="D2" s="611">
        <v>0.77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42" t="s">
        <v>121</v>
      </c>
      <c r="F3" s="1543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5514511</v>
      </c>
      <c r="F7" s="455">
        <v>5534671</v>
      </c>
      <c r="G7" s="1340">
        <f>F7-E7</f>
        <v>20160</v>
      </c>
      <c r="H7" s="460">
        <f>G7+'19'!H7</f>
        <v>5689694</v>
      </c>
      <c r="I7" s="474">
        <f>'1'!I7</f>
        <v>12000</v>
      </c>
      <c r="J7" s="552">
        <f>H7/DAY(B2)</f>
        <v>284484.7</v>
      </c>
      <c r="K7" s="549">
        <v>11998</v>
      </c>
      <c r="L7" s="377">
        <f>G7-K7</f>
        <v>8162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5547543</v>
      </c>
      <c r="F8" s="475">
        <v>5567759</v>
      </c>
      <c r="G8" s="1341">
        <f>F8-E8</f>
        <v>20216</v>
      </c>
      <c r="H8" s="460">
        <f>G8+'19'!H8</f>
        <v>5723518</v>
      </c>
      <c r="I8" s="477">
        <f>'1'!I8</f>
        <v>12000</v>
      </c>
      <c r="J8" s="552">
        <f>H8/DAY(B2)</f>
        <v>286175.90000000002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784346</v>
      </c>
      <c r="F9" s="478">
        <v>803853</v>
      </c>
      <c r="G9" s="1340">
        <f t="shared" ref="G9:G12" si="0">F9-E9</f>
        <v>19507</v>
      </c>
      <c r="H9" s="460">
        <f>G9+'19'!H9</f>
        <v>-186861</v>
      </c>
      <c r="I9" s="479">
        <f>I8-J8</f>
        <v>-274175.90000000002</v>
      </c>
      <c r="J9" s="552">
        <f>H9/DAY(B2)</f>
        <v>-9343.0499999999993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40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19507</v>
      </c>
      <c r="H13" s="460">
        <f>G13+'19'!H13</f>
        <v>-201382</v>
      </c>
      <c r="I13" s="482">
        <f>G7-G13</f>
        <v>653</v>
      </c>
      <c r="J13" s="552">
        <f>H13/DAY(B2)</f>
        <v>-10069.1</v>
      </c>
      <c r="K13" s="428"/>
      <c r="L13" s="377"/>
      <c r="N13" s="382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'19'!F15</f>
        <v>1663180</v>
      </c>
      <c r="F15" s="484">
        <v>1663952</v>
      </c>
      <c r="G15" s="1344">
        <f>(F15-E15)</f>
        <v>772</v>
      </c>
      <c r="H15" s="460">
        <f>G15+'19'!H15</f>
        <v>-6705</v>
      </c>
      <c r="I15" s="474">
        <v>800</v>
      </c>
      <c r="J15" s="552">
        <f>H15/DAY(B2)</f>
        <v>-335.25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1135.25</v>
      </c>
      <c r="J16" s="553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f>'19'!F18</f>
        <v>8</v>
      </c>
      <c r="F18" s="484">
        <v>8</v>
      </c>
      <c r="G18" s="1342">
        <f>F18*10</f>
        <v>80</v>
      </c>
      <c r="H18" s="460">
        <f>G18+'19'!H18</f>
        <v>800</v>
      </c>
      <c r="I18" s="474">
        <f>'1'!I18</f>
        <v>65</v>
      </c>
      <c r="J18" s="552">
        <f>H18/DAY(B2)</f>
        <v>40</v>
      </c>
      <c r="K18" s="428"/>
      <c r="L18" s="377"/>
      <c r="N18" s="382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84">
        <f>'19'!F19</f>
        <v>137189</v>
      </c>
      <c r="F19" s="484">
        <v>137250</v>
      </c>
      <c r="G19" s="1340">
        <f t="shared" ref="G19" si="1">F19-E19</f>
        <v>61</v>
      </c>
      <c r="H19" s="460">
        <f>G19+'19'!H19</f>
        <v>-562</v>
      </c>
      <c r="I19" s="489"/>
      <c r="J19" s="552">
        <f>H19/DAY(B2)</f>
        <v>-28.1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141</v>
      </c>
      <c r="H20" s="460">
        <f>G20+'19'!H20</f>
        <v>238</v>
      </c>
      <c r="I20" s="492">
        <f>I18-J20</f>
        <v>53.1</v>
      </c>
      <c r="J20" s="552">
        <f>H20/DAY(B2)</f>
        <v>11.9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20216</v>
      </c>
      <c r="F27" s="501">
        <v>9</v>
      </c>
      <c r="G27" s="1348">
        <f>E27*F27</f>
        <v>181944</v>
      </c>
      <c r="H27" s="460">
        <f>G27+'19'!H27</f>
        <v>51511662</v>
      </c>
      <c r="I27" s="503"/>
      <c r="J27" s="552">
        <f>H27/DAY(B2)</f>
        <v>2575583.1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772</v>
      </c>
      <c r="F28" s="501">
        <v>49</v>
      </c>
      <c r="G28" s="1348">
        <f>E28*F28</f>
        <v>37828</v>
      </c>
      <c r="H28" s="460">
        <f>G28+'19'!H28</f>
        <v>-325759.34999999998</v>
      </c>
      <c r="I28" s="505"/>
      <c r="J28" s="552">
        <f>H28/DAY(B2)</f>
        <v>-16287.967499999999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134</v>
      </c>
      <c r="G30" s="1348">
        <f>E30*F30</f>
        <v>8174</v>
      </c>
      <c r="H30" s="460">
        <f>G30+'19'!H30</f>
        <v>-75308</v>
      </c>
      <c r="I30" s="505"/>
      <c r="J30" s="552">
        <f>H30/DAY(B2)</f>
        <v>-3765.4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1348">
        <f>E31*F31</f>
        <v>6400</v>
      </c>
      <c r="H31" s="460">
        <f>G31+'19'!H31</f>
        <v>64000</v>
      </c>
      <c r="I31" s="505"/>
      <c r="J31" s="552">
        <f>H31/DAY(B2)</f>
        <v>3200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234346</v>
      </c>
      <c r="H32" s="460">
        <f>G32+'19'!H32</f>
        <v>51174594.649999999</v>
      </c>
      <c r="I32" s="509"/>
      <c r="J32" s="552">
        <f>H32/DAY(B2)</f>
        <v>2558729.7324999999</v>
      </c>
      <c r="K32" s="373"/>
      <c r="L32" s="443"/>
      <c r="N32" s="444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856962</v>
      </c>
      <c r="F35" s="510">
        <v>859779</v>
      </c>
      <c r="G35" s="1340">
        <f t="shared" ref="G35:G46" si="2">F35-E35</f>
        <v>2817</v>
      </c>
      <c r="H35" s="460">
        <f>G35+'19'!H35</f>
        <v>-26680</v>
      </c>
      <c r="I35" s="455"/>
      <c r="J35" s="552">
        <f>H35/DAY(B2)</f>
        <v>-1334</v>
      </c>
      <c r="K35" s="428">
        <v>1457.2799999999697</v>
      </c>
      <c r="L35" s="377">
        <f>G35-K35</f>
        <v>1359.7200000000303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335688</v>
      </c>
      <c r="F36" s="510">
        <v>336756</v>
      </c>
      <c r="G36" s="1340">
        <f t="shared" si="2"/>
        <v>1068</v>
      </c>
      <c r="H36" s="460">
        <f>G36+'19'!H36</f>
        <v>-7852</v>
      </c>
      <c r="I36" s="455"/>
      <c r="J36" s="552">
        <f>H36/DAY(B2)</f>
        <v>-392.6</v>
      </c>
      <c r="K36" s="428">
        <v>483.92999999999302</v>
      </c>
      <c r="L36" s="377">
        <f t="shared" ref="L36:L60" si="3">G36-K36</f>
        <v>584.07000000000698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80828</v>
      </c>
      <c r="F37" s="510">
        <v>82196</v>
      </c>
      <c r="G37" s="1340">
        <f>F37-E37</f>
        <v>1368</v>
      </c>
      <c r="H37" s="460">
        <f>G37+'19'!H37</f>
        <v>-13029</v>
      </c>
      <c r="I37" s="455"/>
      <c r="J37" s="552">
        <f>H37/DAY(B2)</f>
        <v>-651.45000000000005</v>
      </c>
      <c r="K37" s="428">
        <v>1173.9200000000128</v>
      </c>
      <c r="L37" s="377">
        <f>G37-K37</f>
        <v>194.07999999998719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104032</v>
      </c>
      <c r="F38" s="469">
        <v>105520</v>
      </c>
      <c r="G38" s="1340">
        <f t="shared" si="2"/>
        <v>1488</v>
      </c>
      <c r="H38" s="460">
        <f>G38+'19'!H38</f>
        <v>-14076</v>
      </c>
      <c r="I38" s="455"/>
      <c r="J38" s="552">
        <f>H38/DAY(B2)</f>
        <v>-703.8</v>
      </c>
      <c r="K38" s="428">
        <v>0</v>
      </c>
      <c r="L38" s="377">
        <f t="shared" si="3"/>
        <v>1488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216531</v>
      </c>
      <c r="F39" s="510">
        <v>219378</v>
      </c>
      <c r="G39" s="1340">
        <f t="shared" si="2"/>
        <v>2847</v>
      </c>
      <c r="H39" s="460">
        <f>G39+'19'!H39</f>
        <v>-27275</v>
      </c>
      <c r="I39" s="455"/>
      <c r="J39" s="552">
        <f>H39/DAY(B2)</f>
        <v>-1363.75</v>
      </c>
      <c r="K39" s="428">
        <v>1987.0400000000373</v>
      </c>
      <c r="L39" s="377">
        <f t="shared" si="3"/>
        <v>859.95999999996275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</v>
      </c>
      <c r="F40" s="510">
        <v>0</v>
      </c>
      <c r="G40" s="1340">
        <f t="shared" si="2"/>
        <v>0</v>
      </c>
      <c r="H40" s="460">
        <f>G40+'19'!H40</f>
        <v>-0.23000000000001819</v>
      </c>
      <c r="I40" s="455"/>
      <c r="J40" s="552">
        <f>H40/DAY(B2)</f>
        <v>-1.1500000000000909E-2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161910</v>
      </c>
      <c r="F41" s="510">
        <v>161910</v>
      </c>
      <c r="G41" s="1340">
        <f t="shared" si="2"/>
        <v>0</v>
      </c>
      <c r="H41" s="460">
        <f>G41+'19'!H41</f>
        <v>-19618</v>
      </c>
      <c r="I41" s="455"/>
      <c r="J41" s="552">
        <f>H41/DAY(B2)</f>
        <v>-980.9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</v>
      </c>
      <c r="F42" s="510">
        <v>59128</v>
      </c>
      <c r="G42" s="1340">
        <f t="shared" si="2"/>
        <v>0</v>
      </c>
      <c r="H42" s="460">
        <f>G42+'19'!H42</f>
        <v>-72</v>
      </c>
      <c r="I42" s="455"/>
      <c r="J42" s="552">
        <f>H42/DAY(B2)</f>
        <v>-3.6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947907</v>
      </c>
      <c r="F43" s="510">
        <v>950184</v>
      </c>
      <c r="G43" s="1340">
        <f t="shared" si="2"/>
        <v>2277</v>
      </c>
      <c r="H43" s="460">
        <f>G43+'19'!H43</f>
        <v>-23774</v>
      </c>
      <c r="I43" s="455"/>
      <c r="J43" s="552">
        <f>H43/DAY(B2)</f>
        <v>-1188.7</v>
      </c>
      <c r="K43" s="428">
        <v>1559.2000000000116</v>
      </c>
      <c r="L43" s="377">
        <f t="shared" si="3"/>
        <v>717.79999999998836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4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40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11865</v>
      </c>
      <c r="H47" s="460">
        <f>G47+'19'!H47</f>
        <v>-132375.78999999998</v>
      </c>
      <c r="I47" s="455"/>
      <c r="J47" s="552">
        <f>H47/DAY(B2)</f>
        <v>-6618.789499999999</v>
      </c>
      <c r="K47" s="428">
        <v>9907.8200000000252</v>
      </c>
      <c r="L47" s="377">
        <f t="shared" si="3"/>
        <v>1957.1799999999748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260732.13</v>
      </c>
      <c r="G49" s="1340">
        <f t="shared" ref="G49:G58" si="4">F49-E49</f>
        <v>0.13000000000465661</v>
      </c>
      <c r="H49" s="460">
        <f>G49+'19'!H49</f>
        <v>0</v>
      </c>
      <c r="I49" s="455"/>
      <c r="J49" s="552">
        <f>H49/DAY(B2)</f>
        <v>0</v>
      </c>
      <c r="K49" s="428">
        <v>0</v>
      </c>
      <c r="L49" s="377">
        <f t="shared" si="3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462537</v>
      </c>
      <c r="F50" s="510">
        <v>463676</v>
      </c>
      <c r="G50" s="1340">
        <f t="shared" si="4"/>
        <v>1139</v>
      </c>
      <c r="H50" s="460">
        <f>G50+'19'!H50</f>
        <v>-11799</v>
      </c>
      <c r="I50" s="455"/>
      <c r="J50" s="552">
        <f>H50/DAY(B2)</f>
        <v>-589.95000000000005</v>
      </c>
      <c r="K50" s="428">
        <v>631.67000000001281</v>
      </c>
      <c r="L50" s="377">
        <f t="shared" si="3"/>
        <v>507.32999999998719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40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40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410057</v>
      </c>
      <c r="F53" s="510">
        <v>410620</v>
      </c>
      <c r="G53" s="1340">
        <f t="shared" si="4"/>
        <v>563</v>
      </c>
      <c r="H53" s="460">
        <f>G53+'19'!H53</f>
        <v>9731</v>
      </c>
      <c r="I53" s="455"/>
      <c r="J53" s="552">
        <f>H53/DAY(B2)</f>
        <v>486.55</v>
      </c>
      <c r="K53" s="428">
        <v>106.48999999999978</v>
      </c>
      <c r="L53" s="377">
        <f t="shared" si="3"/>
        <v>456.51000000000022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10559</v>
      </c>
      <c r="F54" s="510">
        <v>10635</v>
      </c>
      <c r="G54" s="1340">
        <f t="shared" si="4"/>
        <v>76</v>
      </c>
      <c r="H54" s="460">
        <f>G54+'19'!H54</f>
        <v>2873</v>
      </c>
      <c r="I54" s="455"/>
      <c r="J54" s="552">
        <f>H54/DAY(B2)</f>
        <v>143.65</v>
      </c>
      <c r="K54" s="428">
        <v>0</v>
      </c>
      <c r="L54" s="377">
        <f t="shared" si="3"/>
        <v>76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302609</v>
      </c>
      <c r="F55" s="510">
        <v>308591</v>
      </c>
      <c r="G55" s="1340">
        <f t="shared" si="4"/>
        <v>5982</v>
      </c>
      <c r="H55" s="460">
        <f>G55+'19'!H55</f>
        <v>308591</v>
      </c>
      <c r="I55" s="455"/>
      <c r="J55" s="552">
        <f>H55/DAY(B2)</f>
        <v>15429.55</v>
      </c>
      <c r="K55" s="428">
        <v>0</v>
      </c>
      <c r="L55" s="377">
        <f t="shared" si="3"/>
        <v>5982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589150</v>
      </c>
      <c r="F56" s="510">
        <v>589159</v>
      </c>
      <c r="G56" s="1340">
        <f t="shared" si="4"/>
        <v>9</v>
      </c>
      <c r="H56" s="460">
        <f>G56+'19'!H56</f>
        <v>-129.35999999998603</v>
      </c>
      <c r="I56" s="455"/>
      <c r="J56" s="552">
        <f>H56/DAY(B2)</f>
        <v>-6.4679999999993019</v>
      </c>
      <c r="K56" s="427">
        <v>0</v>
      </c>
      <c r="L56" s="377">
        <f t="shared" si="3"/>
        <v>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45042</v>
      </c>
      <c r="F58" s="510">
        <v>45219</v>
      </c>
      <c r="G58" s="1340">
        <f t="shared" si="4"/>
        <v>177</v>
      </c>
      <c r="H58" s="460">
        <f>G58+'19'!H58</f>
        <v>-1498</v>
      </c>
      <c r="I58" s="455"/>
      <c r="J58" s="552">
        <f>H58/DAY(B2)</f>
        <v>-74.900000000000006</v>
      </c>
      <c r="K58" s="428">
        <v>0</v>
      </c>
      <c r="L58" s="377">
        <f t="shared" si="3"/>
        <v>177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7946.1300000000047</v>
      </c>
      <c r="H59" s="460">
        <f>G59+'19'!H59</f>
        <v>307768.64000000007</v>
      </c>
      <c r="I59" s="455">
        <f>G7-G60</f>
        <v>348.86999999999534</v>
      </c>
      <c r="J59" s="552">
        <f>H59/DAY(B2)</f>
        <v>15388.432000000004</v>
      </c>
      <c r="K59" s="428">
        <v>1795.6800000000312</v>
      </c>
      <c r="L59" s="377">
        <f t="shared" si="3"/>
        <v>6150.4499999999734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19811.130000000005</v>
      </c>
      <c r="H60" s="460">
        <f>G60+'19'!H60</f>
        <v>176976.74000000008</v>
      </c>
      <c r="I60" s="455">
        <f>G13-G60</f>
        <v>-304.13000000000466</v>
      </c>
      <c r="J60" s="552">
        <f>H60/DAY(B2)</f>
        <v>8848.8370000000032</v>
      </c>
      <c r="K60" s="428">
        <v>11703.500000000056</v>
      </c>
      <c r="L60" s="377">
        <f t="shared" si="3"/>
        <v>8107.6299999999483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0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2302</v>
      </c>
      <c r="F63" s="514">
        <v>2308</v>
      </c>
      <c r="G63" s="1340">
        <f t="shared" si="5"/>
        <v>6</v>
      </c>
      <c r="H63" s="460">
        <f>G63+'19'!H63</f>
        <v>-51</v>
      </c>
      <c r="I63" s="515"/>
      <c r="J63" s="552">
        <f>H63/DAY(B2)</f>
        <v>-2.5499999999999998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f>'19'!F64</f>
        <v>148284</v>
      </c>
      <c r="F64" s="484">
        <v>148801</v>
      </c>
      <c r="G64" s="1340">
        <f t="shared" si="5"/>
        <v>517</v>
      </c>
      <c r="H64" s="460">
        <f>G64+'19'!H64</f>
        <v>-4498</v>
      </c>
      <c r="I64" s="480"/>
      <c r="J64" s="552">
        <f>H64/DAY(B2)</f>
        <v>-224.9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f>'19'!F65</f>
        <v>151060</v>
      </c>
      <c r="F65" s="484">
        <v>151419</v>
      </c>
      <c r="G65" s="1340">
        <f t="shared" si="5"/>
        <v>359</v>
      </c>
      <c r="H65" s="460">
        <f>G65+'19'!H65</f>
        <v>-3180</v>
      </c>
      <c r="I65" s="489"/>
      <c r="J65" s="552">
        <f>H65/DAY(B2)</f>
        <v>-159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f>'19'!F66</f>
        <v>44599</v>
      </c>
      <c r="F66" s="484">
        <v>44994</v>
      </c>
      <c r="G66" s="1340">
        <f t="shared" si="5"/>
        <v>395</v>
      </c>
      <c r="H66" s="460">
        <f>G66+'19'!H66</f>
        <v>-3577</v>
      </c>
      <c r="I66" s="480"/>
      <c r="J66" s="552">
        <f>H66/DAY(B2)</f>
        <v>-178.85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f>'19'!F67</f>
        <v>239138</v>
      </c>
      <c r="F67" s="484">
        <v>239527</v>
      </c>
      <c r="G67" s="1340">
        <f t="shared" si="5"/>
        <v>389</v>
      </c>
      <c r="H67" s="460">
        <f>G67+'19'!H67</f>
        <v>-3647</v>
      </c>
      <c r="I67" s="489"/>
      <c r="J67" s="552">
        <f>H67/DAY(B2)</f>
        <v>-182.35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f>'19'!F68</f>
        <v>85321</v>
      </c>
      <c r="F68" s="484">
        <v>85321</v>
      </c>
      <c r="G68" s="1340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f>'19'!F69</f>
        <v>78244</v>
      </c>
      <c r="F69" s="484">
        <v>78291</v>
      </c>
      <c r="G69" s="1340">
        <f t="shared" si="5"/>
        <v>47</v>
      </c>
      <c r="H69" s="460">
        <f>G69+'19'!H69</f>
        <v>-703</v>
      </c>
      <c r="I69" s="516"/>
      <c r="J69" s="552">
        <f>H69/DAY(B2)</f>
        <v>-35.15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135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f>'19'!F72</f>
        <v>854846</v>
      </c>
      <c r="F72" s="519">
        <v>854946</v>
      </c>
      <c r="G72" s="1340">
        <f t="shared" ref="G72:G84" si="6">F72-E72</f>
        <v>100</v>
      </c>
      <c r="H72" s="460">
        <f>G72+'19'!H72</f>
        <v>-526</v>
      </c>
      <c r="I72" s="480"/>
      <c r="J72" s="552">
        <f>H72/DAY(B2)</f>
        <v>-26.3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19">
        <f>'19'!F73</f>
        <v>885829</v>
      </c>
      <c r="F73" s="520">
        <v>885830</v>
      </c>
      <c r="G73" s="1340">
        <f t="shared" si="6"/>
        <v>1</v>
      </c>
      <c r="H73" s="460">
        <f>G73+'19'!H73</f>
        <v>134</v>
      </c>
      <c r="I73" s="480"/>
      <c r="J73" s="552">
        <f>H73/DAY(B2)</f>
        <v>6.7</v>
      </c>
      <c r="K73" s="430"/>
      <c r="L73" s="377"/>
      <c r="N73" s="382"/>
      <c r="O73" s="382"/>
    </row>
    <row r="74" spans="1:15" ht="27.75">
      <c r="A74" s="1580" t="s">
        <v>193</v>
      </c>
      <c r="B74" s="1581"/>
      <c r="C74" s="1582"/>
      <c r="D74" s="523" t="s">
        <v>187</v>
      </c>
      <c r="E74" s="519">
        <f>'19'!F74</f>
        <v>1932</v>
      </c>
      <c r="F74" s="521">
        <v>1962</v>
      </c>
      <c r="G74" s="1340">
        <f t="shared" si="6"/>
        <v>30</v>
      </c>
      <c r="H74" s="460">
        <f>G74+'19'!H74</f>
        <v>-317</v>
      </c>
      <c r="I74" s="480"/>
      <c r="J74" s="552">
        <f>H74/DAY(B2)</f>
        <v>-15.85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19">
        <f>'19'!F75</f>
        <v>10309</v>
      </c>
      <c r="F75" s="521">
        <v>10367</v>
      </c>
      <c r="G75" s="1340">
        <f t="shared" si="6"/>
        <v>58</v>
      </c>
      <c r="H75" s="460">
        <f>G75+'19'!H75</f>
        <v>-603</v>
      </c>
      <c r="I75" s="480"/>
      <c r="J75" s="552">
        <f>H75/DAY(B2)</f>
        <v>-30.15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19">
        <f>'19'!F76</f>
        <v>5230</v>
      </c>
      <c r="F76" s="657">
        <v>5280</v>
      </c>
      <c r="G76" s="1340">
        <f>F76-E76</f>
        <v>50</v>
      </c>
      <c r="H76" s="460">
        <f>G76+'19'!H76</f>
        <v>-436.95000000000073</v>
      </c>
      <c r="I76" s="505"/>
      <c r="J76" s="552">
        <f>H76/DAY(B2)</f>
        <v>-21.847500000000036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19">
        <f>'19'!F77</f>
        <v>701085</v>
      </c>
      <c r="F77" s="521">
        <v>701129</v>
      </c>
      <c r="G77" s="1340">
        <f t="shared" si="6"/>
        <v>44</v>
      </c>
      <c r="H77" s="460">
        <f>G77+'19'!H77</f>
        <v>-433</v>
      </c>
      <c r="I77" s="505"/>
      <c r="J77" s="552">
        <f>H77/DAY(B2)</f>
        <v>-21.65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'19'!F78</f>
        <v>669229</v>
      </c>
      <c r="F78" s="521">
        <v>669251</v>
      </c>
      <c r="G78" s="1340">
        <f t="shared" si="6"/>
        <v>22</v>
      </c>
      <c r="H78" s="460">
        <f>G78+'19'!H78</f>
        <v>-774</v>
      </c>
      <c r="I78" s="505"/>
      <c r="J78" s="552">
        <f>H78/DAY(B2)</f>
        <v>-38.700000000000003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f>'19'!F79</f>
        <v>824746</v>
      </c>
      <c r="F79" s="521">
        <v>824939</v>
      </c>
      <c r="G79" s="1340">
        <f t="shared" si="6"/>
        <v>193</v>
      </c>
      <c r="H79" s="460">
        <f>G79+'19'!H79</f>
        <v>-2792</v>
      </c>
      <c r="I79" s="505"/>
      <c r="J79" s="552">
        <f>H79/DAY(B2)</f>
        <v>-139.6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f>'19'!F80</f>
        <v>512636</v>
      </c>
      <c r="F80" s="520">
        <v>513032</v>
      </c>
      <c r="G80" s="1340">
        <f t="shared" si="6"/>
        <v>396</v>
      </c>
      <c r="H80" s="460">
        <f>G80+'19'!H80</f>
        <v>-6429</v>
      </c>
      <c r="I80" s="505"/>
      <c r="J80" s="552">
        <f>H80/DAY(B2)</f>
        <v>-321.45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'19'!F81</f>
        <v>634896</v>
      </c>
      <c r="F81" s="520">
        <v>635107</v>
      </c>
      <c r="G81" s="1340">
        <f t="shared" si="6"/>
        <v>211</v>
      </c>
      <c r="H81" s="460">
        <f>G81+'19'!H81</f>
        <v>-1371</v>
      </c>
      <c r="I81" s="505"/>
      <c r="J81" s="552">
        <f>H81/DAY(B2)</f>
        <v>-68.55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'19'!F82</f>
        <v>107357</v>
      </c>
      <c r="F82" s="522">
        <v>107379</v>
      </c>
      <c r="G82" s="1340">
        <f t="shared" si="6"/>
        <v>22</v>
      </c>
      <c r="H82" s="460">
        <f>G82+'19'!H82</f>
        <v>-233</v>
      </c>
      <c r="I82" s="486"/>
      <c r="J82" s="552">
        <f>H82/DAY(B2)</f>
        <v>-11.65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'19'!F83</f>
        <v>12256</v>
      </c>
      <c r="F83" s="511">
        <v>12547</v>
      </c>
      <c r="G83" s="1340">
        <f t="shared" si="6"/>
        <v>291</v>
      </c>
      <c r="H83" s="460">
        <f>G83+'19'!H83</f>
        <v>-2224</v>
      </c>
      <c r="I83" s="481"/>
      <c r="J83" s="552">
        <f>H83/DAY(B2)</f>
        <v>-111.2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'19'!F84</f>
        <v>471468</v>
      </c>
      <c r="F84" s="627">
        <v>472273</v>
      </c>
      <c r="G84" s="1340">
        <f t="shared" si="6"/>
        <v>805</v>
      </c>
      <c r="H84" s="460">
        <f>G84+'19'!H84</f>
        <v>-7860</v>
      </c>
      <c r="I84" s="481"/>
      <c r="J84" s="552">
        <f>H84/DAY(B2)</f>
        <v>-393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2223</v>
      </c>
      <c r="H85" s="460">
        <f>G85+'19'!H85</f>
        <v>-20356</v>
      </c>
      <c r="I85" s="481"/>
      <c r="J85" s="552">
        <f>H85/DAY(B2)</f>
        <v>-1017.8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458007</v>
      </c>
      <c r="F86" s="650">
        <v>458214</v>
      </c>
      <c r="G86" s="1354">
        <f>F86-E86</f>
        <v>207</v>
      </c>
      <c r="H86" s="460">
        <f>G86+'19'!H86</f>
        <v>-2264</v>
      </c>
      <c r="I86" s="655"/>
      <c r="J86" s="710">
        <f>H86/DAY(B2)</f>
        <v>-113.2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80772</v>
      </c>
      <c r="F87" s="650">
        <v>80789</v>
      </c>
      <c r="G87" s="1354">
        <f t="shared" ref="G87:G90" si="7">F87-E87</f>
        <v>17</v>
      </c>
      <c r="H87" s="460">
        <f>G87+'19'!H87</f>
        <v>-327</v>
      </c>
      <c r="I87" s="655"/>
      <c r="J87" s="710">
        <f>H87/DAY(B2)</f>
        <v>-16.350000000000001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151450</v>
      </c>
      <c r="F88" s="650">
        <v>151473</v>
      </c>
      <c r="G88" s="1354">
        <f t="shared" si="7"/>
        <v>23</v>
      </c>
      <c r="H88" s="460">
        <f>G88+'19'!H88</f>
        <v>-1047</v>
      </c>
      <c r="I88" s="655"/>
      <c r="J88" s="710">
        <f>H88/DAY(B2)</f>
        <v>-52.35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64374</v>
      </c>
      <c r="F89" s="650">
        <v>64418</v>
      </c>
      <c r="G89" s="1354">
        <f t="shared" si="7"/>
        <v>44</v>
      </c>
      <c r="H89" s="460">
        <f>G89+'19'!H89</f>
        <v>-525</v>
      </c>
      <c r="I89" s="655"/>
      <c r="J89" s="710">
        <f>H89/DAY(B2)</f>
        <v>-26.25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</v>
      </c>
      <c r="F90" s="650">
        <v>3272</v>
      </c>
      <c r="G90" s="1354">
        <f t="shared" si="7"/>
        <v>0</v>
      </c>
      <c r="H90" s="460">
        <f>G90+'19'!H90</f>
        <v>-0.6999999999998181</v>
      </c>
      <c r="I90" s="655"/>
      <c r="J90" s="710">
        <f>H90/DAY(B2)</f>
        <v>-3.4999999999990906E-2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50">
        <f>'19'!F91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1343"/>
      <c r="H92" s="472"/>
      <c r="I92" s="472"/>
      <c r="J92" s="551"/>
      <c r="K92" s="380"/>
      <c r="L92" s="378"/>
      <c r="N92" s="780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'19'!F93</f>
        <v>243943</v>
      </c>
      <c r="F93" s="484">
        <v>244004</v>
      </c>
      <c r="G93" s="1340">
        <f t="shared" ref="G93:G94" si="8">F93-E93</f>
        <v>61</v>
      </c>
      <c r="H93" s="460">
        <f>G93+'19'!H93</f>
        <v>-520</v>
      </c>
      <c r="I93" s="480"/>
      <c r="J93" s="552">
        <f>H93/DAY(B2)</f>
        <v>-26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'19'!F94</f>
        <v>182420</v>
      </c>
      <c r="F94" s="484">
        <v>182581</v>
      </c>
      <c r="G94" s="1340">
        <f t="shared" si="8"/>
        <v>161</v>
      </c>
      <c r="H94" s="460">
        <f>G94+'19'!H94</f>
        <v>-950</v>
      </c>
      <c r="I94" s="480"/>
      <c r="J94" s="552">
        <f>H94/DAY(B2)</f>
        <v>-47.5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>
        <f>'19'!F95</f>
        <v>0</v>
      </c>
      <c r="F95" s="484"/>
      <c r="G95" s="1340">
        <f>G93+G94</f>
        <v>222</v>
      </c>
      <c r="H95" s="460">
        <f>G95+'19'!H95</f>
        <v>-1617</v>
      </c>
      <c r="I95" s="480"/>
      <c r="J95" s="552">
        <f>H95/DAY(B2)</f>
        <v>-80.849999999999994</v>
      </c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'19'!F96</f>
        <v>412137</v>
      </c>
      <c r="F96" s="484">
        <v>412214</v>
      </c>
      <c r="G96" s="1340">
        <f t="shared" ref="G96:G101" si="9">F96-E96</f>
        <v>77</v>
      </c>
      <c r="H96" s="460">
        <f>G96+'19'!H96</f>
        <v>-672</v>
      </c>
      <c r="I96" s="480"/>
      <c r="J96" s="552">
        <f>H96/DAY(B2)</f>
        <v>-33.6</v>
      </c>
      <c r="K96" s="380"/>
      <c r="L96" s="377"/>
      <c r="N96" s="382"/>
      <c r="O96" s="382"/>
    </row>
    <row r="97" spans="1:15" ht="27.75">
      <c r="A97" s="1144" t="s">
        <v>210</v>
      </c>
      <c r="B97" s="1145"/>
      <c r="C97" s="1145"/>
      <c r="D97" s="523" t="s">
        <v>144</v>
      </c>
      <c r="E97" s="484">
        <f>'19'!F97</f>
        <v>102160</v>
      </c>
      <c r="F97" s="484">
        <v>102179</v>
      </c>
      <c r="G97" s="1340">
        <f t="shared" si="9"/>
        <v>19</v>
      </c>
      <c r="H97" s="460">
        <f>G97+'19'!H97</f>
        <v>-164</v>
      </c>
      <c r="I97" s="480"/>
      <c r="J97" s="552">
        <f>H97/DAY(B2)</f>
        <v>-8.1999999999999993</v>
      </c>
      <c r="K97" s="427"/>
      <c r="L97" s="377"/>
      <c r="N97" s="382"/>
      <c r="O97" s="382"/>
    </row>
    <row r="98" spans="1:15" ht="27.75">
      <c r="A98" s="1144" t="s">
        <v>211</v>
      </c>
      <c r="B98" s="1145"/>
      <c r="C98" s="1145"/>
      <c r="D98" s="523" t="s">
        <v>144</v>
      </c>
      <c r="E98" s="484">
        <f>'19'!F98</f>
        <v>97258</v>
      </c>
      <c r="F98" s="484">
        <v>97278</v>
      </c>
      <c r="G98" s="1340">
        <f t="shared" si="9"/>
        <v>20</v>
      </c>
      <c r="H98" s="460">
        <f>G98+'19'!H98</f>
        <v>-149</v>
      </c>
      <c r="I98" s="480"/>
      <c r="J98" s="552">
        <f>H98/DAY(B2)</f>
        <v>-7.45</v>
      </c>
      <c r="K98" s="432"/>
      <c r="L98" s="377"/>
      <c r="N98" s="382"/>
      <c r="O98" s="382"/>
    </row>
    <row r="99" spans="1:15" ht="27.75">
      <c r="A99" s="1144" t="s">
        <v>212</v>
      </c>
      <c r="B99" s="1145"/>
      <c r="C99" s="1145"/>
      <c r="D99" s="523" t="s">
        <v>144</v>
      </c>
      <c r="E99" s="484">
        <f>'19'!F99</f>
        <v>149450</v>
      </c>
      <c r="F99" s="484">
        <v>149464</v>
      </c>
      <c r="G99" s="1340">
        <f t="shared" si="9"/>
        <v>14</v>
      </c>
      <c r="H99" s="460">
        <f>G99+'19'!H99</f>
        <v>-69</v>
      </c>
      <c r="I99" s="480"/>
      <c r="J99" s="552">
        <f>H99/DAY(B2)</f>
        <v>-3.45</v>
      </c>
      <c r="K99" s="380"/>
      <c r="L99" s="377"/>
      <c r="N99" s="382"/>
      <c r="O99" s="382"/>
    </row>
    <row r="100" spans="1:15" ht="27.75">
      <c r="A100" s="1144" t="s">
        <v>213</v>
      </c>
      <c r="B100" s="1145"/>
      <c r="C100" s="1145"/>
      <c r="D100" s="523" t="s">
        <v>144</v>
      </c>
      <c r="E100" s="484">
        <f>'19'!F100</f>
        <v>7099</v>
      </c>
      <c r="F100" s="484">
        <v>7109</v>
      </c>
      <c r="G100" s="1340">
        <f t="shared" si="9"/>
        <v>10</v>
      </c>
      <c r="H100" s="460">
        <f>G100+'19'!H100</f>
        <v>-76</v>
      </c>
      <c r="I100" s="480"/>
      <c r="J100" s="552">
        <f>H100/DAY(B2)</f>
        <v>-3.8</v>
      </c>
      <c r="K100" s="380"/>
      <c r="L100" s="377"/>
      <c r="N100" s="382"/>
      <c r="O100" s="382"/>
    </row>
    <row r="101" spans="1:15" ht="27.75">
      <c r="A101" s="1144" t="s">
        <v>214</v>
      </c>
      <c r="B101" s="1145"/>
      <c r="C101" s="1145"/>
      <c r="D101" s="523" t="s">
        <v>144</v>
      </c>
      <c r="E101" s="484">
        <f>'19'!F101</f>
        <v>5075</v>
      </c>
      <c r="F101" s="484">
        <v>5083</v>
      </c>
      <c r="G101" s="1340">
        <f t="shared" si="9"/>
        <v>8</v>
      </c>
      <c r="H101" s="460">
        <f>G101+'19'!H101</f>
        <v>-55</v>
      </c>
      <c r="I101" s="480"/>
      <c r="J101" s="552">
        <f>H101/DAY(B2)</f>
        <v>-2.75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1355">
        <f>SUM(G96:G101)</f>
        <v>148</v>
      </c>
      <c r="H102" s="460">
        <f>G102+'19'!H102</f>
        <v>-1185</v>
      </c>
      <c r="I102" s="526"/>
      <c r="J102" s="552">
        <f>H102/DAY(B2)</f>
        <v>-59.25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6"/>
      <c r="H103" s="530"/>
      <c r="I103" s="531"/>
      <c r="J103" s="557"/>
      <c r="N103" s="444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1357"/>
      <c r="H104" s="533"/>
      <c r="I104" s="532"/>
      <c r="J104" s="558"/>
      <c r="N104" s="444"/>
      <c r="O104" s="382"/>
    </row>
    <row r="105" spans="1:15" s="442" customFormat="1" ht="27.75">
      <c r="A105" s="1517" t="s">
        <v>219</v>
      </c>
      <c r="B105" s="1518"/>
      <c r="C105" s="1142"/>
      <c r="D105" s="622" t="s">
        <v>144</v>
      </c>
      <c r="E105" s="532">
        <f>'19'!F105</f>
        <v>7391</v>
      </c>
      <c r="F105" s="532">
        <v>7391</v>
      </c>
      <c r="G105" s="1357">
        <f>F105-E105</f>
        <v>0</v>
      </c>
      <c r="H105" s="460">
        <f>G105+'19'!H105</f>
        <v>-25</v>
      </c>
      <c r="I105" s="532"/>
      <c r="J105" s="558">
        <f>H105/DAY(B2)</f>
        <v>-1.25</v>
      </c>
      <c r="N105" s="444"/>
      <c r="O105" s="382"/>
    </row>
    <row r="106" spans="1:15" s="442" customFormat="1" ht="27.75">
      <c r="A106" s="1517" t="s">
        <v>77</v>
      </c>
      <c r="B106" s="1518"/>
      <c r="C106" s="1142"/>
      <c r="D106" s="622" t="s">
        <v>144</v>
      </c>
      <c r="E106" s="534">
        <f>'19'!F106</f>
        <v>35764</v>
      </c>
      <c r="F106" s="534">
        <v>35770</v>
      </c>
      <c r="G106" s="1357">
        <f t="shared" ref="G106:G107" si="10">F106-E106</f>
        <v>6</v>
      </c>
      <c r="H106" s="460">
        <f>G106+'19'!H106</f>
        <v>-69</v>
      </c>
      <c r="I106" s="532"/>
      <c r="J106" s="558">
        <f>H106/DAY(B2)</f>
        <v>-3.45</v>
      </c>
      <c r="N106" s="444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f>'19'!F107</f>
        <v>19547</v>
      </c>
      <c r="F107" s="532">
        <v>19557</v>
      </c>
      <c r="G107" s="1357">
        <f t="shared" si="10"/>
        <v>10</v>
      </c>
      <c r="H107" s="460">
        <f>G107+'19'!H107</f>
        <v>12</v>
      </c>
      <c r="I107" s="532"/>
      <c r="J107" s="558">
        <f>H107/DAY(B2)</f>
        <v>0.6</v>
      </c>
      <c r="N107" s="444"/>
      <c r="O107" s="382"/>
    </row>
    <row r="108" spans="1:15" s="442" customFormat="1" ht="27.75">
      <c r="A108" s="1519" t="s">
        <v>202</v>
      </c>
      <c r="B108" s="1520"/>
      <c r="C108" s="1142"/>
      <c r="D108" s="622"/>
      <c r="E108" s="532">
        <f>'19'!F108</f>
        <v>0</v>
      </c>
      <c r="F108" s="532"/>
      <c r="G108" s="1357">
        <f>SUM(G105:G107)</f>
        <v>16</v>
      </c>
      <c r="H108" s="460">
        <f>G108+'19'!H108</f>
        <v>-124</v>
      </c>
      <c r="I108" s="532"/>
      <c r="J108" s="558">
        <f>H108/DAY(B2)</f>
        <v>-6.2</v>
      </c>
      <c r="N108" s="444"/>
      <c r="O108" s="382"/>
    </row>
    <row r="109" spans="1:15" s="442" customFormat="1" ht="27.75">
      <c r="A109" s="1523" t="s">
        <v>79</v>
      </c>
      <c r="B109" s="1524"/>
      <c r="C109" s="1142"/>
      <c r="D109" s="622" t="s">
        <v>144</v>
      </c>
      <c r="E109" s="532">
        <f>'19'!F109</f>
        <v>0</v>
      </c>
      <c r="F109" s="532"/>
      <c r="G109" s="1357"/>
      <c r="H109" s="460"/>
      <c r="I109" s="532"/>
      <c r="J109" s="558"/>
      <c r="N109" s="444"/>
      <c r="O109" s="382"/>
    </row>
    <row r="110" spans="1:15" s="442" customFormat="1" ht="27.75">
      <c r="A110" s="1517" t="s">
        <v>220</v>
      </c>
      <c r="B110" s="1518"/>
      <c r="C110" s="1142"/>
      <c r="D110" s="622" t="s">
        <v>144</v>
      </c>
      <c r="E110" s="532">
        <f>'19'!F110</f>
        <v>60314</v>
      </c>
      <c r="F110" s="532">
        <v>60376</v>
      </c>
      <c r="G110" s="1357">
        <f>F110-E110</f>
        <v>62</v>
      </c>
      <c r="H110" s="460">
        <f>G110+'19'!H110</f>
        <v>-1582</v>
      </c>
      <c r="I110" s="532"/>
      <c r="J110" s="558">
        <f>H110/DAY(B2)</f>
        <v>-79.099999999999994</v>
      </c>
      <c r="N110" s="444"/>
      <c r="O110" s="382"/>
    </row>
    <row r="111" spans="1:15" s="442" customFormat="1" ht="27.75">
      <c r="A111" s="1517" t="s">
        <v>221</v>
      </c>
      <c r="B111" s="1518"/>
      <c r="C111" s="1142"/>
      <c r="D111" s="622" t="s">
        <v>144</v>
      </c>
      <c r="E111" s="532">
        <f>'19'!F111</f>
        <v>32110</v>
      </c>
      <c r="F111" s="532">
        <v>32156</v>
      </c>
      <c r="G111" s="1357">
        <f t="shared" ref="G111:G112" si="11">F111-E111</f>
        <v>46</v>
      </c>
      <c r="H111" s="460">
        <f>G111+'19'!H111</f>
        <v>-233</v>
      </c>
      <c r="I111" s="532"/>
      <c r="J111" s="558">
        <f>H111/DAY(B2)</f>
        <v>-11.65</v>
      </c>
      <c r="N111" s="444"/>
      <c r="O111" s="382"/>
    </row>
    <row r="112" spans="1:15" s="442" customFormat="1" ht="27.75">
      <c r="A112" s="1517" t="s">
        <v>222</v>
      </c>
      <c r="B112" s="1518"/>
      <c r="C112" s="1142"/>
      <c r="D112" s="622" t="s">
        <v>144</v>
      </c>
      <c r="E112" s="532">
        <f>'19'!F112</f>
        <v>4309</v>
      </c>
      <c r="F112" s="532">
        <v>4309</v>
      </c>
      <c r="G112" s="1357">
        <f t="shared" si="11"/>
        <v>0</v>
      </c>
      <c r="H112" s="460">
        <f>G112+'19'!H112</f>
        <v>55</v>
      </c>
      <c r="I112" s="532"/>
      <c r="J112" s="558">
        <f>H112/DAY(B2)</f>
        <v>2.75</v>
      </c>
      <c r="N112" s="444"/>
      <c r="O112" s="382"/>
    </row>
    <row r="113" spans="1:15" s="442" customFormat="1" ht="27.75">
      <c r="A113" s="1521" t="s">
        <v>110</v>
      </c>
      <c r="B113" s="1522"/>
      <c r="C113" s="1142"/>
      <c r="D113" s="622"/>
      <c r="E113" s="532">
        <f>'19'!F113</f>
        <v>0</v>
      </c>
      <c r="F113" s="532"/>
      <c r="G113" s="1357">
        <f>SUM(G110:G112)</f>
        <v>108</v>
      </c>
      <c r="H113" s="460">
        <f>G113+'19'!H113</f>
        <v>-1393</v>
      </c>
      <c r="I113" s="532"/>
      <c r="J113" s="558">
        <f>H113/DAY(B2)</f>
        <v>-69.650000000000006</v>
      </c>
      <c r="N113" s="444"/>
      <c r="O113" s="382"/>
    </row>
    <row r="114" spans="1:15" s="442" customFormat="1" ht="27.75">
      <c r="A114" s="1523" t="s">
        <v>223</v>
      </c>
      <c r="B114" s="1524"/>
      <c r="C114" s="1142"/>
      <c r="D114" s="622"/>
      <c r="E114" s="532">
        <f>'19'!F114</f>
        <v>0</v>
      </c>
      <c r="F114" s="532"/>
      <c r="G114" s="135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4">
        <f>'19'!F115</f>
        <v>11151</v>
      </c>
      <c r="F115" s="534">
        <v>11165</v>
      </c>
      <c r="G115" s="1358">
        <f>F115-E115</f>
        <v>14</v>
      </c>
      <c r="H115" s="460">
        <f>G115+'19'!H115</f>
        <v>-224</v>
      </c>
      <c r="I115" s="532"/>
      <c r="J115" s="558">
        <f>H115/DAY(B2)</f>
        <v>-11.2</v>
      </c>
      <c r="N115" s="444"/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4">
        <f>'19'!F116</f>
        <v>8079</v>
      </c>
      <c r="F116" s="534">
        <v>8085</v>
      </c>
      <c r="G116" s="1358">
        <f t="shared" ref="G116:G117" si="12">F116-E116</f>
        <v>6</v>
      </c>
      <c r="H116" s="460">
        <f>G116+'19'!H116</f>
        <v>-77</v>
      </c>
      <c r="I116" s="532"/>
      <c r="J116" s="558">
        <f>H116/DAY(B2)</f>
        <v>-3.85</v>
      </c>
      <c r="N116" s="444"/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1358">
        <f t="shared" si="12"/>
        <v>0</v>
      </c>
      <c r="H117" s="460">
        <f>G117+'19'!H117</f>
        <v>95</v>
      </c>
      <c r="I117" s="532"/>
      <c r="J117" s="558">
        <f>H117/DAY(B2)</f>
        <v>4.75</v>
      </c>
      <c r="N117" s="444"/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1358">
        <f>SUM(G115:G117)</f>
        <v>20</v>
      </c>
      <c r="H118" s="460">
        <f>G118+'19'!H118</f>
        <v>-281</v>
      </c>
      <c r="I118" s="534"/>
      <c r="J118" s="558">
        <f>H118/DAY(B2)</f>
        <v>-14.05</v>
      </c>
      <c r="N118" s="447"/>
      <c r="O118" s="382"/>
    </row>
    <row r="119" spans="1:15" s="446" customFormat="1" ht="27.75">
      <c r="A119" s="1513" t="s">
        <v>227</v>
      </c>
      <c r="B119" s="1514"/>
      <c r="C119" s="1141"/>
      <c r="D119" s="624" t="s">
        <v>144</v>
      </c>
      <c r="E119" s="536"/>
      <c r="F119" s="536">
        <f>SUM(G19+G93)</f>
        <v>122</v>
      </c>
      <c r="G119" s="1358">
        <f>SUM(G19+G93)</f>
        <v>122</v>
      </c>
      <c r="H119" s="460">
        <f>G119+'19'!H119</f>
        <v>-2555</v>
      </c>
      <c r="I119" s="535"/>
      <c r="J119" s="559">
        <f>H119/DAY(B2)</f>
        <v>-127.75</v>
      </c>
      <c r="N119" s="782"/>
      <c r="O119" s="382"/>
    </row>
    <row r="120" spans="1:15" s="446" customFormat="1" ht="27.75">
      <c r="A120" s="1513" t="s">
        <v>228</v>
      </c>
      <c r="B120" s="1514"/>
      <c r="C120" s="1141"/>
      <c r="D120" s="624" t="s">
        <v>144</v>
      </c>
      <c r="E120" s="536"/>
      <c r="F120" s="536">
        <f>SUM(G96,G97,G98,G100,G101)</f>
        <v>134</v>
      </c>
      <c r="G120" s="1358">
        <f>SUM(G96,G97,G98,G100,G101)</f>
        <v>134</v>
      </c>
      <c r="H120" s="460">
        <f>G120+'19'!H120</f>
        <v>-2480</v>
      </c>
      <c r="I120" s="535"/>
      <c r="J120" s="559">
        <f>H120/DAY(B2)</f>
        <v>-124</v>
      </c>
      <c r="N120" s="782"/>
      <c r="O120" s="382"/>
    </row>
    <row r="121" spans="1:15" s="446" customFormat="1" ht="27.75">
      <c r="A121" s="1513" t="s">
        <v>229</v>
      </c>
      <c r="B121" s="1514"/>
      <c r="C121" s="1141"/>
      <c r="D121" s="624" t="s">
        <v>144</v>
      </c>
      <c r="E121" s="534"/>
      <c r="F121" s="534">
        <f>SUM(G113)</f>
        <v>108</v>
      </c>
      <c r="G121" s="1358">
        <f>SUM(G113)</f>
        <v>108</v>
      </c>
      <c r="H121" s="460">
        <f>G121+'19'!H121</f>
        <v>-2102</v>
      </c>
      <c r="I121" s="535"/>
      <c r="J121" s="559">
        <f>H121/DAY(B2)</f>
        <v>-105.1</v>
      </c>
      <c r="N121" s="782"/>
      <c r="O121" s="382"/>
    </row>
    <row r="122" spans="1:15" s="442" customFormat="1" ht="27.75">
      <c r="A122" s="1515"/>
      <c r="B122" s="1516"/>
      <c r="C122" s="1142"/>
      <c r="D122" s="560"/>
      <c r="E122" s="560"/>
      <c r="F122" s="560" t="s">
        <v>215</v>
      </c>
      <c r="G122" s="1359"/>
      <c r="H122" s="561"/>
      <c r="I122" s="560"/>
      <c r="J122" s="562"/>
      <c r="N122" s="444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1343"/>
      <c r="H123" s="483"/>
      <c r="I123" s="483"/>
      <c r="J123" s="563"/>
      <c r="K123" s="380"/>
      <c r="L123" s="377"/>
      <c r="N123" s="382"/>
      <c r="O123" s="382"/>
    </row>
    <row r="124" spans="1:15" ht="27.75">
      <c r="A124" s="1144" t="s">
        <v>231</v>
      </c>
      <c r="B124" s="1145"/>
      <c r="C124" s="1145"/>
      <c r="D124" s="523" t="s">
        <v>141</v>
      </c>
      <c r="E124" s="478">
        <f>'19'!F124</f>
        <v>823557</v>
      </c>
      <c r="F124" s="478">
        <v>823809</v>
      </c>
      <c r="G124" s="1340">
        <f t="shared" ref="G124:G128" si="13">F124-E124</f>
        <v>252</v>
      </c>
      <c r="H124" s="460">
        <f>G124+'19'!H124</f>
        <v>-2279.4599999999627</v>
      </c>
      <c r="I124" s="526"/>
      <c r="J124" s="552">
        <f>H124/DAY(B2)</f>
        <v>-113.97299999999814</v>
      </c>
      <c r="K124" s="380"/>
      <c r="L124" s="377"/>
      <c r="N124" s="382"/>
      <c r="O124" s="382"/>
    </row>
    <row r="125" spans="1:15" ht="27.75">
      <c r="A125" s="1144" t="s">
        <v>232</v>
      </c>
      <c r="B125" s="1145"/>
      <c r="C125" s="1145"/>
      <c r="D125" s="523" t="s">
        <v>141</v>
      </c>
      <c r="E125" s="626">
        <f>'19'!F125</f>
        <v>73583</v>
      </c>
      <c r="F125" s="626">
        <v>73583</v>
      </c>
      <c r="G125" s="1340">
        <f t="shared" si="13"/>
        <v>0</v>
      </c>
      <c r="H125" s="460">
        <f>G125+'19'!H125</f>
        <v>-0.39999999999417923</v>
      </c>
      <c r="I125" s="526"/>
      <c r="J125" s="552">
        <f>H125/DAY(B2)</f>
        <v>-1.9999999999708962E-2</v>
      </c>
      <c r="K125" s="380"/>
      <c r="L125" s="377"/>
      <c r="N125" s="382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78">
        <f>'19'!F126</f>
        <v>143824</v>
      </c>
      <c r="F126" s="478">
        <v>143902</v>
      </c>
      <c r="G126" s="1340">
        <f t="shared" si="13"/>
        <v>78</v>
      </c>
      <c r="H126" s="460">
        <f>G126+'19'!H126</f>
        <v>-785.44000000000233</v>
      </c>
      <c r="I126" s="526"/>
      <c r="J126" s="552">
        <f>H126/DAY(B2)</f>
        <v>-39.272000000000119</v>
      </c>
      <c r="K126" s="380"/>
      <c r="L126" s="377"/>
      <c r="N126" s="382"/>
      <c r="O126" s="382"/>
    </row>
    <row r="127" spans="1:15" ht="27.75">
      <c r="A127" s="609" t="s">
        <v>234</v>
      </c>
      <c r="B127" s="1145"/>
      <c r="C127" s="1145"/>
      <c r="D127" s="523" t="s">
        <v>141</v>
      </c>
      <c r="E127" s="626">
        <f>'19'!F127</f>
        <v>31404</v>
      </c>
      <c r="F127" s="626">
        <v>31404</v>
      </c>
      <c r="G127" s="1340">
        <f t="shared" si="13"/>
        <v>0</v>
      </c>
      <c r="H127" s="460">
        <f>G127+'19'!H127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5"/>
      <c r="C128" s="1145"/>
      <c r="D128" s="523" t="s">
        <v>141</v>
      </c>
      <c r="E128" s="626">
        <f>'19'!F128</f>
        <v>8968</v>
      </c>
      <c r="F128" s="626">
        <v>8938.4</v>
      </c>
      <c r="G128" s="1340">
        <f t="shared" si="13"/>
        <v>-29.600000000000364</v>
      </c>
      <c r="H128" s="460">
        <f>G128+'19'!H128</f>
        <v>-31.300000000001091</v>
      </c>
      <c r="I128" s="480"/>
      <c r="J128" s="552">
        <f>H128/DAY(B2)</f>
        <v>-1.5650000000000546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5"/>
      <c r="C129" s="1145"/>
      <c r="D129" s="523"/>
      <c r="E129" s="478"/>
      <c r="F129" s="478"/>
      <c r="G129" s="1340">
        <f>G15-SUM(G124:G128)</f>
        <v>471.60000000000036</v>
      </c>
      <c r="H129" s="460">
        <f>G129+'19'!H129</f>
        <v>-6162.0000000000055</v>
      </c>
      <c r="I129" s="480"/>
      <c r="J129" s="552">
        <f>H129/DAY(B2)</f>
        <v>-308.10000000000025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60"/>
      <c r="H130" s="540"/>
      <c r="I130" s="540"/>
      <c r="J130" s="564"/>
      <c r="N130" s="382"/>
      <c r="O130" s="382"/>
    </row>
    <row r="131" spans="1:15" ht="27.75">
      <c r="A131" s="1144" t="s">
        <v>238</v>
      </c>
      <c r="B131" s="1145"/>
      <c r="C131" s="1145"/>
      <c r="D131" s="523" t="s">
        <v>239</v>
      </c>
      <c r="E131" s="484">
        <f>'19'!F131</f>
        <v>0</v>
      </c>
      <c r="F131" s="484">
        <v>0</v>
      </c>
      <c r="G131" s="1340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240</v>
      </c>
      <c r="B132" s="1145"/>
      <c r="C132" s="1145"/>
      <c r="D132" s="523" t="s">
        <v>239</v>
      </c>
      <c r="E132" s="484">
        <f>'19'!F132</f>
        <v>0</v>
      </c>
      <c r="F132" s="484">
        <v>0</v>
      </c>
      <c r="G132" s="1340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4" t="s">
        <v>241</v>
      </c>
      <c r="B133" s="1145"/>
      <c r="C133" s="1145"/>
      <c r="D133" s="523" t="s">
        <v>239</v>
      </c>
      <c r="E133" s="484">
        <f>'19'!F133</f>
        <v>39659.230000000003</v>
      </c>
      <c r="F133" s="1335">
        <v>39659.230000000003</v>
      </c>
      <c r="G133" s="1361">
        <f t="shared" si="14"/>
        <v>0</v>
      </c>
      <c r="H133" s="460">
        <f>G133+'19'!H133</f>
        <v>-87.25</v>
      </c>
      <c r="I133" s="480"/>
      <c r="J133" s="552">
        <f>H133/DAY(B2)</f>
        <v>-4.3624999999999998</v>
      </c>
      <c r="N133" s="382">
        <f>G133-24</f>
        <v>-24</v>
      </c>
      <c r="O133" s="382"/>
    </row>
    <row r="134" spans="1:15" s="441" customFormat="1" ht="27.75">
      <c r="A134" s="1074" t="s">
        <v>242</v>
      </c>
      <c r="B134" s="1075"/>
      <c r="C134" s="1075"/>
      <c r="D134" s="627" t="s">
        <v>239</v>
      </c>
      <c r="E134" s="484">
        <f>'19'!F134</f>
        <v>300</v>
      </c>
      <c r="F134" s="541">
        <v>300</v>
      </c>
      <c r="G134" s="1362">
        <f t="shared" si="14"/>
        <v>0</v>
      </c>
      <c r="H134" s="708">
        <f>G134+'19'!H134</f>
        <v>0</v>
      </c>
      <c r="I134" s="1076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4" t="s">
        <v>243</v>
      </c>
      <c r="B135" s="1145"/>
      <c r="C135" s="1145"/>
      <c r="D135" s="523" t="s">
        <v>239</v>
      </c>
      <c r="E135" s="484">
        <f>'19'!F135</f>
        <v>41199</v>
      </c>
      <c r="F135" s="1335">
        <v>41223</v>
      </c>
      <c r="G135" s="1361">
        <f t="shared" si="14"/>
        <v>24</v>
      </c>
      <c r="H135" s="460">
        <f>G135+'19'!H135</f>
        <v>-162</v>
      </c>
      <c r="I135" s="480"/>
      <c r="J135" s="552">
        <f>H135/DAY(B2)</f>
        <v>-8.1</v>
      </c>
      <c r="N135" s="382"/>
      <c r="O135" s="382"/>
    </row>
    <row r="136" spans="1:15" ht="27.75">
      <c r="A136" s="1144" t="s">
        <v>244</v>
      </c>
      <c r="B136" s="1145"/>
      <c r="C136" s="1145"/>
      <c r="D136" s="523" t="s">
        <v>239</v>
      </c>
      <c r="E136" s="484">
        <f>'19'!F136</f>
        <v>32582.92</v>
      </c>
      <c r="F136" s="541">
        <v>32582.92</v>
      </c>
      <c r="G136" s="1340">
        <f t="shared" si="14"/>
        <v>0</v>
      </c>
      <c r="H136" s="460">
        <f>G136+'19'!H136</f>
        <v>-8.000000000174623E-2</v>
      </c>
      <c r="I136" s="480"/>
      <c r="J136" s="552">
        <f>H136/DAY(B2)</f>
        <v>-4.0000000000873113E-3</v>
      </c>
      <c r="N136" s="382"/>
      <c r="O136" s="382"/>
    </row>
    <row r="137" spans="1:15" ht="27.75">
      <c r="A137" s="1144" t="s">
        <v>245</v>
      </c>
      <c r="B137" s="1145"/>
      <c r="C137" s="1145"/>
      <c r="D137" s="523" t="s">
        <v>239</v>
      </c>
      <c r="E137" s="484">
        <f>'19'!F137</f>
        <v>22672</v>
      </c>
      <c r="F137" s="541">
        <v>22677.38</v>
      </c>
      <c r="G137" s="1340">
        <f t="shared" si="14"/>
        <v>5.3800000000010186</v>
      </c>
      <c r="H137" s="460">
        <f>G137+'19'!H137</f>
        <v>-62.209999999999127</v>
      </c>
      <c r="I137" s="480">
        <f>G135+G136+G137</f>
        <v>29.380000000001019</v>
      </c>
      <c r="J137" s="552">
        <f>H137/DAY(B2)</f>
        <v>-3.1104999999999565</v>
      </c>
      <c r="N137" s="382"/>
      <c r="O137" s="382"/>
    </row>
    <row r="138" spans="1:15" ht="27.75">
      <c r="A138" s="1144" t="s">
        <v>246</v>
      </c>
      <c r="B138" s="1145"/>
      <c r="C138" s="1145"/>
      <c r="D138" s="523" t="s">
        <v>239</v>
      </c>
      <c r="E138" s="484">
        <f>'19'!F138</f>
        <v>25050</v>
      </c>
      <c r="F138" s="541">
        <v>25050</v>
      </c>
      <c r="G138" s="1340">
        <f t="shared" si="14"/>
        <v>0</v>
      </c>
      <c r="H138" s="460">
        <f>G138+'19'!H138</f>
        <v>-1.5900000000001455</v>
      </c>
      <c r="I138" s="480"/>
      <c r="J138" s="552">
        <f>H138/DAY(B2)</f>
        <v>-7.9500000000007273E-2</v>
      </c>
      <c r="N138" s="382"/>
      <c r="O138" s="382"/>
    </row>
    <row r="139" spans="1:15" ht="27.75">
      <c r="A139" s="1144" t="s">
        <v>247</v>
      </c>
      <c r="B139" s="1145"/>
      <c r="C139" s="1145"/>
      <c r="D139" s="523" t="s">
        <v>239</v>
      </c>
      <c r="E139" s="484">
        <f>'19'!F139</f>
        <v>70286.720000000001</v>
      </c>
      <c r="F139" s="541">
        <v>70291.039999999994</v>
      </c>
      <c r="G139" s="1340">
        <f t="shared" si="14"/>
        <v>4.319999999992433</v>
      </c>
      <c r="H139" s="460">
        <f>G139+'19'!H139</f>
        <v>-24.770000000004075</v>
      </c>
      <c r="I139" s="480">
        <f>G138+G139</f>
        <v>4.319999999992433</v>
      </c>
      <c r="J139" s="552">
        <f>H139/DAY(B2)</f>
        <v>-1.2385000000002038</v>
      </c>
      <c r="N139" s="382"/>
      <c r="O139" s="382"/>
    </row>
    <row r="140" spans="1:15" ht="27.75">
      <c r="A140" s="1144" t="s">
        <v>248</v>
      </c>
      <c r="B140" s="1145"/>
      <c r="C140" s="1145"/>
      <c r="D140" s="523" t="s">
        <v>239</v>
      </c>
      <c r="E140" s="484">
        <f>'19'!F140</f>
        <v>1536.52</v>
      </c>
      <c r="F140" s="484">
        <v>1536.52</v>
      </c>
      <c r="G140" s="1340">
        <f t="shared" si="14"/>
        <v>0</v>
      </c>
      <c r="H140" s="460">
        <f>G140+'19'!H140</f>
        <v>-80.339999999999918</v>
      </c>
      <c r="I140" s="542"/>
      <c r="J140" s="552">
        <f>H140/DAY(B2)</f>
        <v>-4.0169999999999959</v>
      </c>
      <c r="N140" s="382"/>
      <c r="O140" s="382"/>
    </row>
    <row r="141" spans="1:15" ht="27.75">
      <c r="A141" s="1144" t="s">
        <v>249</v>
      </c>
      <c r="B141" s="1145"/>
      <c r="C141" s="1145"/>
      <c r="D141" s="523" t="s">
        <v>239</v>
      </c>
      <c r="E141" s="484">
        <f>'19'!F141</f>
        <v>4624.26</v>
      </c>
      <c r="F141" s="484">
        <v>4632.6000000000004</v>
      </c>
      <c r="G141" s="1340">
        <f t="shared" si="14"/>
        <v>8.3400000000001455</v>
      </c>
      <c r="H141" s="460">
        <f>G141+'19'!H141</f>
        <v>-4.3999999999996362</v>
      </c>
      <c r="I141" s="542"/>
      <c r="J141" s="552">
        <f>H141/DAY(B2)</f>
        <v>-0.21999999999998182</v>
      </c>
      <c r="N141" s="382"/>
      <c r="O141" s="382"/>
    </row>
    <row r="142" spans="1:15">
      <c r="A142" s="1531" t="s">
        <v>250</v>
      </c>
      <c r="B142" s="1532"/>
      <c r="C142" s="1150"/>
      <c r="D142" s="472"/>
      <c r="E142" s="472"/>
      <c r="F142" s="472"/>
      <c r="G142" s="1343"/>
      <c r="H142" s="483"/>
      <c r="I142" s="483"/>
      <c r="J142" s="563"/>
      <c r="K142" s="380"/>
      <c r="L142" s="377"/>
      <c r="N142" s="382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1353">
        <f>G35+G43+G49+G57</f>
        <v>5094.1300000000047</v>
      </c>
      <c r="H143" s="460">
        <f>G143+'19'!H143</f>
        <v>-50743</v>
      </c>
      <c r="I143" s="480"/>
      <c r="J143" s="552">
        <f>H143/DAY(B2)</f>
        <v>-2537.15</v>
      </c>
      <c r="K143" s="380"/>
      <c r="L143" s="377"/>
      <c r="N143" s="382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1363">
        <f>G143/G7</f>
        <v>0.25268501984127006</v>
      </c>
      <c r="H144" s="460">
        <f>G144+'19'!H144</f>
        <v>4.9908953261058198</v>
      </c>
      <c r="I144" s="544"/>
      <c r="J144" s="552">
        <f>H144/DAY(B2)</f>
        <v>0.24954476630529099</v>
      </c>
      <c r="K144" s="380"/>
      <c r="L144" s="377"/>
      <c r="N144" s="382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1353">
        <f>G41+G42+G55+G56</f>
        <v>5991</v>
      </c>
      <c r="H145" s="460">
        <f>G145+'19'!H145</f>
        <v>288771.53000000003</v>
      </c>
      <c r="I145" s="480"/>
      <c r="J145" s="552">
        <f>H145/DAY(B2)</f>
        <v>14438.576500000001</v>
      </c>
      <c r="K145" s="380"/>
      <c r="L145" s="377"/>
      <c r="N145" s="382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1363">
        <f>G145/G7</f>
        <v>0.29717261904761905</v>
      </c>
      <c r="H146" s="460">
        <f>G146+'19'!H146</f>
        <v>5.9448243845388591</v>
      </c>
      <c r="I146" s="544"/>
      <c r="J146" s="552">
        <f>H146/DAY(B2)</f>
        <v>0.29724121922694297</v>
      </c>
      <c r="K146" s="380"/>
      <c r="L146" s="377"/>
      <c r="N146" s="382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1353">
        <f>G39+G53</f>
        <v>3410</v>
      </c>
      <c r="H147" s="460">
        <f>G147+'19'!H147</f>
        <v>-17021</v>
      </c>
      <c r="I147" s="545"/>
      <c r="J147" s="552">
        <f>H147/DAY(B2)</f>
        <v>-851.05</v>
      </c>
      <c r="K147" s="380"/>
      <c r="L147" s="377"/>
      <c r="N147" s="382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1363">
        <f>G147/G7</f>
        <v>0.16914682539682541</v>
      </c>
      <c r="H148" s="460">
        <f>G148+'19'!H148</f>
        <v>2.8598040690353477</v>
      </c>
      <c r="I148" s="545"/>
      <c r="J148" s="552">
        <f>H148/DAY(B2)</f>
        <v>0.14299020345176738</v>
      </c>
      <c r="N148" s="382"/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1353">
        <f>G38+G52</f>
        <v>1488</v>
      </c>
      <c r="H149" s="460">
        <f>G149+'19'!H149</f>
        <v>-14076</v>
      </c>
      <c r="I149" s="480"/>
      <c r="J149" s="552">
        <f>H149/DAY(B2)</f>
        <v>-703.8</v>
      </c>
      <c r="K149" s="381"/>
      <c r="N149" s="382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1363">
        <f>G149/G7</f>
        <v>7.3809523809523811E-2</v>
      </c>
      <c r="H150" s="460">
        <f>G150+'19'!H150</f>
        <v>1.4307847715511697</v>
      </c>
      <c r="I150" s="545"/>
      <c r="J150" s="552">
        <f>H150/DAY(B2)</f>
        <v>7.1539238577558478E-2</v>
      </c>
      <c r="N150" s="382"/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1353">
        <f>G36+G50</f>
        <v>2207</v>
      </c>
      <c r="H151" s="460">
        <f>G151+'19'!H151</f>
        <v>-18712</v>
      </c>
      <c r="I151" s="545"/>
      <c r="J151" s="552">
        <f>H151/DAY(B2)</f>
        <v>-935.6</v>
      </c>
      <c r="N151" s="382"/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1363">
        <f>G151/G7</f>
        <v>0.10947420634920635</v>
      </c>
      <c r="H152" s="460">
        <f>G152+'19'!H152</f>
        <v>1.2951977012296734</v>
      </c>
      <c r="I152" s="480"/>
      <c r="J152" s="552">
        <f>H152/DAY(B2)</f>
        <v>6.4759885061483669E-2</v>
      </c>
      <c r="N152" s="382"/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1353">
        <f>G37+G51</f>
        <v>1368</v>
      </c>
      <c r="H153" s="460">
        <f>G153+'19'!H153</f>
        <v>-13029</v>
      </c>
      <c r="I153" s="480"/>
      <c r="J153" s="552">
        <f>H153/DAY(B2)</f>
        <v>-651.45000000000005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1364">
        <f>G153/G7</f>
        <v>6.7857142857142852E-2</v>
      </c>
      <c r="H154" s="460">
        <f>G154+'19'!H154</f>
        <v>1.484917607999064</v>
      </c>
      <c r="I154" s="568"/>
      <c r="J154" s="569">
        <f>H154/DAY(B2)</f>
        <v>7.4245880399953196E-2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5"/>
      <c r="H155" s="547"/>
      <c r="I155" s="546"/>
      <c r="J155" s="548"/>
      <c r="O155" s="382"/>
    </row>
    <row r="161" spans="1:12">
      <c r="A161" s="788" t="s">
        <v>263</v>
      </c>
      <c r="B161" s="789"/>
      <c r="C161" s="789"/>
      <c r="D161" s="511" t="s">
        <v>187</v>
      </c>
      <c r="E161" s="661">
        <f>'19'!F161</f>
        <v>35023</v>
      </c>
      <c r="F161" s="661">
        <v>35108</v>
      </c>
      <c r="G161" s="1340">
        <f t="shared" ref="G161:G164" si="15">F161-E161</f>
        <v>85</v>
      </c>
      <c r="K161" s="376">
        <v>70.399999999999636</v>
      </c>
      <c r="L161" s="376">
        <f t="shared" ref="L161:L172" si="16">G161-K161</f>
        <v>14.600000000000364</v>
      </c>
    </row>
    <row r="162" spans="1:12">
      <c r="A162" s="788" t="s">
        <v>264</v>
      </c>
      <c r="B162" s="789"/>
      <c r="C162" s="789"/>
      <c r="D162" s="511" t="s">
        <v>187</v>
      </c>
      <c r="E162" s="661">
        <f>'19'!F162</f>
        <v>77322</v>
      </c>
      <c r="F162" s="661">
        <v>77768</v>
      </c>
      <c r="G162" s="1340">
        <f t="shared" si="15"/>
        <v>446</v>
      </c>
      <c r="K162" s="376">
        <v>124.25999999999999</v>
      </c>
      <c r="L162" s="376">
        <f t="shared" si="16"/>
        <v>321.74</v>
      </c>
    </row>
    <row r="163" spans="1:12">
      <c r="A163" s="788" t="s">
        <v>265</v>
      </c>
      <c r="B163" s="789"/>
      <c r="C163" s="789"/>
      <c r="D163" s="511" t="s">
        <v>187</v>
      </c>
      <c r="E163" s="661">
        <f>'19'!F163</f>
        <v>34583</v>
      </c>
      <c r="F163" s="661">
        <v>34855</v>
      </c>
      <c r="G163" s="1340">
        <f t="shared" si="15"/>
        <v>272</v>
      </c>
      <c r="K163" s="376">
        <v>138.98000000000002</v>
      </c>
      <c r="L163" s="376">
        <f t="shared" si="16"/>
        <v>133.01999999999998</v>
      </c>
    </row>
    <row r="164" spans="1:12">
      <c r="A164" s="788" t="s">
        <v>266</v>
      </c>
      <c r="B164" s="789"/>
      <c r="C164" s="789"/>
      <c r="D164" s="511" t="s">
        <v>187</v>
      </c>
      <c r="E164" s="661">
        <f>'19'!F164</f>
        <v>6027</v>
      </c>
      <c r="F164" s="661">
        <v>6046</v>
      </c>
      <c r="G164" s="1340">
        <f t="shared" si="15"/>
        <v>19</v>
      </c>
      <c r="K164" s="376">
        <v>45.830000000000041</v>
      </c>
      <c r="L164" s="376">
        <f t="shared" si="16"/>
        <v>-26.830000000000041</v>
      </c>
    </row>
    <row r="165" spans="1:12">
      <c r="A165" s="790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40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90" t="s">
        <v>188</v>
      </c>
      <c r="B166" s="604"/>
      <c r="C166" s="604"/>
      <c r="D166" s="511" t="s">
        <v>187</v>
      </c>
      <c r="E166" s="514">
        <f t="shared" ref="E166:E172" si="18">E63</f>
        <v>2302</v>
      </c>
      <c r="F166" s="514">
        <f t="shared" ref="F166:F172" si="19">F63</f>
        <v>2308</v>
      </c>
      <c r="G166" s="1340">
        <f t="shared" si="17"/>
        <v>6</v>
      </c>
      <c r="K166" s="376">
        <v>0</v>
      </c>
      <c r="L166" s="376">
        <f t="shared" si="16"/>
        <v>6</v>
      </c>
    </row>
    <row r="167" spans="1:12" ht="27.75">
      <c r="A167" s="1500" t="s">
        <v>99</v>
      </c>
      <c r="B167" s="1500"/>
      <c r="C167" s="1500"/>
      <c r="D167" s="523" t="s">
        <v>187</v>
      </c>
      <c r="E167" s="514">
        <f t="shared" si="18"/>
        <v>148284</v>
      </c>
      <c r="F167" s="514">
        <f t="shared" si="19"/>
        <v>148801</v>
      </c>
      <c r="G167" s="1340">
        <f t="shared" si="17"/>
        <v>517</v>
      </c>
      <c r="K167" s="376">
        <v>193.55000000000291</v>
      </c>
      <c r="L167" s="376">
        <f t="shared" si="16"/>
        <v>323.44999999999709</v>
      </c>
    </row>
    <row r="168" spans="1:12" ht="27.75">
      <c r="A168" s="1500" t="s">
        <v>100</v>
      </c>
      <c r="B168" s="1500"/>
      <c r="C168" s="1500"/>
      <c r="D168" s="523" t="s">
        <v>187</v>
      </c>
      <c r="E168" s="514">
        <f t="shared" si="18"/>
        <v>151060</v>
      </c>
      <c r="F168" s="514">
        <f t="shared" si="19"/>
        <v>151419</v>
      </c>
      <c r="G168" s="1340">
        <f t="shared" si="17"/>
        <v>359</v>
      </c>
      <c r="K168" s="376">
        <v>168.39999999999418</v>
      </c>
      <c r="L168" s="376">
        <f t="shared" si="16"/>
        <v>190.60000000000582</v>
      </c>
    </row>
    <row r="169" spans="1:12" ht="27.75">
      <c r="A169" s="1500" t="s">
        <v>101</v>
      </c>
      <c r="B169" s="1500"/>
      <c r="C169" s="1500"/>
      <c r="D169" s="523" t="s">
        <v>187</v>
      </c>
      <c r="E169" s="514">
        <f t="shared" si="18"/>
        <v>44599</v>
      </c>
      <c r="F169" s="514">
        <f t="shared" si="19"/>
        <v>44994</v>
      </c>
      <c r="G169" s="1340">
        <f t="shared" si="17"/>
        <v>395</v>
      </c>
      <c r="K169" s="376">
        <v>221.18999999999505</v>
      </c>
      <c r="L169" s="376">
        <f t="shared" si="16"/>
        <v>173.81000000000495</v>
      </c>
    </row>
    <row r="170" spans="1:12" ht="27.75">
      <c r="A170" s="1500" t="s">
        <v>102</v>
      </c>
      <c r="B170" s="1500"/>
      <c r="C170" s="1500"/>
      <c r="D170" s="523" t="s">
        <v>187</v>
      </c>
      <c r="E170" s="514">
        <f t="shared" si="18"/>
        <v>239138</v>
      </c>
      <c r="F170" s="514">
        <f t="shared" si="19"/>
        <v>239527</v>
      </c>
      <c r="G170" s="1340">
        <f t="shared" si="17"/>
        <v>389</v>
      </c>
      <c r="K170" s="376">
        <v>337.19000000000233</v>
      </c>
      <c r="L170" s="376">
        <f t="shared" si="16"/>
        <v>51.809999999997672</v>
      </c>
    </row>
    <row r="171" spans="1:12" ht="27.75">
      <c r="A171" s="1500" t="s">
        <v>103</v>
      </c>
      <c r="B171" s="1500"/>
      <c r="C171" s="1500"/>
      <c r="D171" s="523" t="s">
        <v>187</v>
      </c>
      <c r="E171" s="514">
        <f t="shared" si="18"/>
        <v>85321</v>
      </c>
      <c r="F171" s="514">
        <f t="shared" si="19"/>
        <v>85321</v>
      </c>
      <c r="G171" s="1340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00" t="s">
        <v>104</v>
      </c>
      <c r="B172" s="1500"/>
      <c r="C172" s="1500"/>
      <c r="D172" s="523" t="s">
        <v>187</v>
      </c>
      <c r="E172" s="514">
        <f t="shared" si="18"/>
        <v>78244</v>
      </c>
      <c r="F172" s="514">
        <f t="shared" si="19"/>
        <v>78291</v>
      </c>
      <c r="G172" s="1340">
        <f t="shared" si="17"/>
        <v>47</v>
      </c>
      <c r="K172" s="376">
        <v>11.799999999999272</v>
      </c>
      <c r="L172" s="376">
        <f t="shared" si="16"/>
        <v>35.200000000000728</v>
      </c>
    </row>
    <row r="173" spans="1:12" ht="24.75" customHeight="1">
      <c r="G173" s="1366">
        <f>SUM(G161:G172)</f>
        <v>2535</v>
      </c>
      <c r="L173" s="376">
        <f>SUM(L161:L172)</f>
        <v>1108.4900000000066</v>
      </c>
    </row>
    <row r="174" spans="1:12" ht="24.75" customHeight="1">
      <c r="A174" s="1500" t="s">
        <v>357</v>
      </c>
      <c r="B174" s="1500"/>
      <c r="C174" s="1500"/>
      <c r="D174" s="523" t="s">
        <v>187</v>
      </c>
      <c r="E174" s="514">
        <v>27873</v>
      </c>
      <c r="F174" s="514">
        <v>27879</v>
      </c>
      <c r="G174" s="473">
        <f t="shared" ref="G174" si="20">F174-E174</f>
        <v>6</v>
      </c>
    </row>
    <row r="175" spans="1:12" ht="24.75" customHeight="1"/>
    <row r="176" spans="1:12" ht="24.75" customHeight="1"/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43" zoomScale="55" zoomScaleNormal="60" zoomScaleSheetLayoutView="55" zoomScalePageLayoutView="20" workbookViewId="0">
      <selection activeCell="F28" activeCellId="1" sqref="F28 F2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215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359</v>
      </c>
      <c r="B2" s="1036">
        <v>44307</v>
      </c>
      <c r="C2" s="1146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42" t="s">
        <v>121</v>
      </c>
      <c r="F3" s="1543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5534671</v>
      </c>
      <c r="F7" s="455">
        <v>5554276</v>
      </c>
      <c r="G7" s="1340">
        <f>F7-E7</f>
        <v>19605</v>
      </c>
      <c r="H7" s="460">
        <f>G7+'20'!H7</f>
        <v>5709299</v>
      </c>
      <c r="I7" s="474">
        <f>'1'!I7</f>
        <v>12000</v>
      </c>
      <c r="J7" s="552">
        <f>H7/DAY(B2)</f>
        <v>271871.38095238095</v>
      </c>
      <c r="K7" s="549">
        <v>12199</v>
      </c>
      <c r="L7" s="377">
        <f>G7-K7</f>
        <v>7406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5567759</v>
      </c>
      <c r="F8" s="475">
        <v>5587413</v>
      </c>
      <c r="G8" s="1341">
        <f>F8-E8</f>
        <v>19654</v>
      </c>
      <c r="H8" s="460">
        <f>G8+'20'!H8</f>
        <v>5743172</v>
      </c>
      <c r="I8" s="477">
        <f>'1'!I8</f>
        <v>12000</v>
      </c>
      <c r="J8" s="552">
        <f>H8/DAY(B2)</f>
        <v>273484.38095238095</v>
      </c>
      <c r="K8" s="549">
        <v>12262</v>
      </c>
      <c r="L8" s="425">
        <f>G8-K8</f>
        <v>7392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803853</v>
      </c>
      <c r="F9" s="478">
        <v>822870</v>
      </c>
      <c r="G9" s="1340">
        <f t="shared" ref="G9:G12" si="0">F9-E9</f>
        <v>19017</v>
      </c>
      <c r="H9" s="460">
        <f>G9+'20'!H9</f>
        <v>-167844</v>
      </c>
      <c r="I9" s="479">
        <f>I8-J8</f>
        <v>-261484.38095238095</v>
      </c>
      <c r="J9" s="552">
        <f>H9/DAY(B2)</f>
        <v>-7992.5714285714284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40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19017</v>
      </c>
      <c r="H13" s="460">
        <f>G13+'20'!H13</f>
        <v>-182365</v>
      </c>
      <c r="I13" s="482">
        <f>G7-G13</f>
        <v>588</v>
      </c>
      <c r="J13" s="552">
        <f>H13/DAY(B2)</f>
        <v>-8684.0476190476184</v>
      </c>
      <c r="K13" s="428"/>
      <c r="L13" s="377"/>
      <c r="N13" s="382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'20'!F15</f>
        <v>1663952</v>
      </c>
      <c r="F15" s="484">
        <v>1664652</v>
      </c>
      <c r="G15" s="1344">
        <f>(F15-E15)</f>
        <v>700</v>
      </c>
      <c r="H15" s="460">
        <f>G15+'20'!H15</f>
        <v>-6005</v>
      </c>
      <c r="I15" s="474">
        <v>800</v>
      </c>
      <c r="J15" s="552">
        <f>H15/DAY(B2)</f>
        <v>-285.95238095238096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1085.952380952381</v>
      </c>
      <c r="J16" s="553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f>'20'!F18</f>
        <v>8</v>
      </c>
      <c r="F18" s="484">
        <v>10</v>
      </c>
      <c r="G18" s="1342">
        <f>F18*10</f>
        <v>100</v>
      </c>
      <c r="H18" s="460">
        <f>G18+'20'!H18</f>
        <v>900</v>
      </c>
      <c r="I18" s="474">
        <f>'1'!I18</f>
        <v>65</v>
      </c>
      <c r="J18" s="552">
        <f>H18/DAY(B2)</f>
        <v>42.857142857142854</v>
      </c>
      <c r="K18" s="428"/>
      <c r="L18" s="377"/>
      <c r="N18" s="382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84">
        <f>'20'!F19</f>
        <v>137250</v>
      </c>
      <c r="F19" s="484">
        <v>137308</v>
      </c>
      <c r="G19" s="1340">
        <f t="shared" ref="G19" si="1">F19-E19</f>
        <v>58</v>
      </c>
      <c r="H19" s="460">
        <f>G19+'20'!H19</f>
        <v>-504</v>
      </c>
      <c r="I19" s="489"/>
      <c r="J19" s="552">
        <f>H19/DAY(B2)</f>
        <v>-24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158</v>
      </c>
      <c r="H20" s="460">
        <f>G20+'20'!H20</f>
        <v>396</v>
      </c>
      <c r="I20" s="492">
        <f>I18-J20</f>
        <v>46.142857142857139</v>
      </c>
      <c r="J20" s="552">
        <f>H20/DAY(B2)</f>
        <v>18.857142857142858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19654</v>
      </c>
      <c r="F27" s="501">
        <v>9</v>
      </c>
      <c r="G27" s="1348">
        <f>E27*F27</f>
        <v>176886</v>
      </c>
      <c r="H27" s="460">
        <f>G27+'20'!H27</f>
        <v>51688548</v>
      </c>
      <c r="I27" s="503"/>
      <c r="J27" s="552">
        <f>H27/DAY(B2)</f>
        <v>2461359.4285714286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700</v>
      </c>
      <c r="F28" s="501">
        <v>49</v>
      </c>
      <c r="G28" s="1348">
        <f t="shared" ref="G28:G30" si="3">E28*F28</f>
        <v>34300</v>
      </c>
      <c r="H28" s="460">
        <f>G28+'20'!H28</f>
        <v>-291459.34999999998</v>
      </c>
      <c r="I28" s="505"/>
      <c r="J28" s="552">
        <f>H28/DAY(B2)</f>
        <v>-13879.016666666666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58</v>
      </c>
      <c r="F30" s="501">
        <v>134</v>
      </c>
      <c r="G30" s="1348">
        <f t="shared" si="3"/>
        <v>7772</v>
      </c>
      <c r="H30" s="460">
        <f>G30+'20'!H30</f>
        <v>-67536</v>
      </c>
      <c r="I30" s="505"/>
      <c r="J30" s="552">
        <f>H30/DAY(B2)</f>
        <v>-3216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G31+'20'!H31</f>
        <v>72000</v>
      </c>
      <c r="I31" s="505"/>
      <c r="J31" s="552">
        <f>H31/DAY(B2)</f>
        <v>3428.5714285714284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226958</v>
      </c>
      <c r="H32" s="460">
        <f>G32+'20'!H32</f>
        <v>51401552.649999999</v>
      </c>
      <c r="I32" s="509"/>
      <c r="J32" s="552">
        <f>H32/DAY(B2)</f>
        <v>2447692.9833333334</v>
      </c>
      <c r="K32" s="373"/>
      <c r="L32" s="443"/>
      <c r="N32" s="444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859779</v>
      </c>
      <c r="F35" s="510">
        <v>862603</v>
      </c>
      <c r="G35" s="1340">
        <f t="shared" ref="G35:G46" si="4">F35-E35</f>
        <v>2824</v>
      </c>
      <c r="H35" s="460">
        <f>G35+'20'!H35</f>
        <v>-23856</v>
      </c>
      <c r="I35" s="455"/>
      <c r="J35" s="552">
        <f>H35/DAY(B2)</f>
        <v>-1136</v>
      </c>
      <c r="K35" s="428">
        <v>1520.2800000000279</v>
      </c>
      <c r="L35" s="377">
        <f t="shared" ref="L35:L60" si="5">G35-K35</f>
        <v>1303.7199999999721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336756</v>
      </c>
      <c r="F36" s="510">
        <v>337724</v>
      </c>
      <c r="G36" s="1340">
        <f t="shared" si="4"/>
        <v>968</v>
      </c>
      <c r="H36" s="460">
        <f>G36+'20'!H36</f>
        <v>-6884</v>
      </c>
      <c r="I36" s="455"/>
      <c r="J36" s="552">
        <f>H36/DAY(B2)</f>
        <v>-327.8095238095238</v>
      </c>
      <c r="K36" s="428">
        <v>485.22000000000116</v>
      </c>
      <c r="L36" s="377">
        <f t="shared" si="5"/>
        <v>482.77999999999884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82196</v>
      </c>
      <c r="F37" s="510">
        <v>83524</v>
      </c>
      <c r="G37" s="1340">
        <f t="shared" si="4"/>
        <v>1328</v>
      </c>
      <c r="H37" s="460">
        <f>G37+'20'!H37</f>
        <v>-11701</v>
      </c>
      <c r="I37" s="455"/>
      <c r="J37" s="552">
        <f>H37/DAY(B2)</f>
        <v>-557.19047619047615</v>
      </c>
      <c r="K37" s="428">
        <v>1194.8999999999942</v>
      </c>
      <c r="L37" s="377">
        <f t="shared" si="5"/>
        <v>133.10000000000582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105520</v>
      </c>
      <c r="F38" s="469">
        <v>106954</v>
      </c>
      <c r="G38" s="1340">
        <f t="shared" si="4"/>
        <v>1434</v>
      </c>
      <c r="H38" s="460">
        <f>G38+'20'!H38</f>
        <v>-12642</v>
      </c>
      <c r="I38" s="455"/>
      <c r="J38" s="552">
        <f>H38/DAY(B2)</f>
        <v>-602</v>
      </c>
      <c r="K38" s="428">
        <v>0</v>
      </c>
      <c r="L38" s="377">
        <f t="shared" si="5"/>
        <v>1434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219378</v>
      </c>
      <c r="F39" s="510">
        <v>222175</v>
      </c>
      <c r="G39" s="1340">
        <f t="shared" si="4"/>
        <v>2797</v>
      </c>
      <c r="H39" s="460">
        <f>G39+'20'!H39</f>
        <v>-24478</v>
      </c>
      <c r="I39" s="455"/>
      <c r="J39" s="552">
        <f>H39/DAY(B2)</f>
        <v>-1165.6190476190477</v>
      </c>
      <c r="K39" s="428">
        <v>2147.359999999986</v>
      </c>
      <c r="L39" s="377">
        <f t="shared" si="5"/>
        <v>649.64000000001397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</v>
      </c>
      <c r="F40" s="510">
        <v>0</v>
      </c>
      <c r="G40" s="1340">
        <f t="shared" si="4"/>
        <v>0</v>
      </c>
      <c r="H40" s="460">
        <f>G40+'20'!H40</f>
        <v>-0.23000000000001819</v>
      </c>
      <c r="I40" s="455"/>
      <c r="J40" s="552">
        <f>H40/DAY(B2)</f>
        <v>-1.0952380952381819E-2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161910</v>
      </c>
      <c r="F41" s="510">
        <v>161910</v>
      </c>
      <c r="G41" s="1340">
        <f t="shared" si="4"/>
        <v>0</v>
      </c>
      <c r="H41" s="460">
        <f>G41+'20'!H41</f>
        <v>-19618</v>
      </c>
      <c r="I41" s="455"/>
      <c r="J41" s="552">
        <f>H41/DAY(B2)</f>
        <v>-934.19047619047615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</v>
      </c>
      <c r="F42" s="510">
        <v>59128</v>
      </c>
      <c r="G42" s="1340">
        <f t="shared" si="4"/>
        <v>0</v>
      </c>
      <c r="H42" s="460">
        <f>G42+'20'!H42</f>
        <v>-72</v>
      </c>
      <c r="I42" s="455"/>
      <c r="J42" s="552">
        <f>H42/DAY(B2)</f>
        <v>-3.4285714285714284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950184</v>
      </c>
      <c r="F43" s="510">
        <v>952470</v>
      </c>
      <c r="G43" s="1340">
        <f t="shared" si="4"/>
        <v>2286</v>
      </c>
      <c r="H43" s="460">
        <f>G43+'20'!H43</f>
        <v>-21488</v>
      </c>
      <c r="I43" s="455"/>
      <c r="J43" s="552">
        <f>H43/DAY(B2)</f>
        <v>-1023.2380952380952</v>
      </c>
      <c r="K43" s="428">
        <v>1595.679999999993</v>
      </c>
      <c r="L43" s="377">
        <f t="shared" si="5"/>
        <v>690.32000000000698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4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40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11637</v>
      </c>
      <c r="H47" s="460">
        <f>G47+'20'!H47</f>
        <v>-120738.78999999998</v>
      </c>
      <c r="I47" s="455"/>
      <c r="J47" s="552">
        <f>H47/DAY(B2)</f>
        <v>-5749.4661904761897</v>
      </c>
      <c r="K47" s="428">
        <v>10172.060000000001</v>
      </c>
      <c r="L47" s="377">
        <f t="shared" si="5"/>
        <v>1464.9399999999987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0">
        <f t="shared" ref="G49:G58" si="6">F49-E49</f>
        <v>0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463676</v>
      </c>
      <c r="F50" s="510">
        <v>464698</v>
      </c>
      <c r="G50" s="1340">
        <f>F50-E50</f>
        <v>1022</v>
      </c>
      <c r="H50" s="460">
        <f>G50+'20'!H50</f>
        <v>-10777</v>
      </c>
      <c r="I50" s="455"/>
      <c r="J50" s="552">
        <f>H50/DAY(B2)</f>
        <v>-513.19047619047615</v>
      </c>
      <c r="K50" s="428">
        <v>700.86999999999534</v>
      </c>
      <c r="L50" s="377">
        <f t="shared" si="5"/>
        <v>321.13000000000466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40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40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410620</v>
      </c>
      <c r="F53" s="510">
        <v>411177</v>
      </c>
      <c r="G53" s="1340">
        <f t="shared" si="6"/>
        <v>557</v>
      </c>
      <c r="H53" s="460">
        <f>G53+'20'!H53</f>
        <v>10288</v>
      </c>
      <c r="I53" s="455"/>
      <c r="J53" s="552">
        <f>H53/DAY(B2)</f>
        <v>489.90476190476193</v>
      </c>
      <c r="K53" s="428">
        <v>107.60000000000036</v>
      </c>
      <c r="L53" s="377">
        <f t="shared" si="5"/>
        <v>449.39999999999964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10635</v>
      </c>
      <c r="F54" s="510">
        <v>10712</v>
      </c>
      <c r="G54" s="1340">
        <f t="shared" si="6"/>
        <v>77</v>
      </c>
      <c r="H54" s="460">
        <f>G54+'20'!H54</f>
        <v>2950</v>
      </c>
      <c r="I54" s="455"/>
      <c r="J54" s="552">
        <f>H54/DAY(B2)</f>
        <v>140.47619047619048</v>
      </c>
      <c r="K54" s="428">
        <v>0</v>
      </c>
      <c r="L54" s="377">
        <f t="shared" si="5"/>
        <v>77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308591</v>
      </c>
      <c r="F55" s="510">
        <v>314444</v>
      </c>
      <c r="G55" s="1340">
        <f t="shared" si="6"/>
        <v>5853</v>
      </c>
      <c r="H55" s="460">
        <f>G55+'20'!H55</f>
        <v>314444</v>
      </c>
      <c r="I55" s="455"/>
      <c r="J55" s="552">
        <f>H55/DAY(B2)</f>
        <v>14973.523809523809</v>
      </c>
      <c r="K55" s="428">
        <v>0</v>
      </c>
      <c r="L55" s="377">
        <f t="shared" si="5"/>
        <v>5853</v>
      </c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'20'!F56</f>
        <v>589159</v>
      </c>
      <c r="F56" s="656">
        <v>589168</v>
      </c>
      <c r="G56" s="1362">
        <f t="shared" si="6"/>
        <v>9</v>
      </c>
      <c r="H56" s="708">
        <f>G56+'20'!H56</f>
        <v>-120.35999999998603</v>
      </c>
      <c r="I56" s="709"/>
      <c r="J56" s="710">
        <f>H56/DAY(B2)</f>
        <v>-5.7314285714279061</v>
      </c>
      <c r="K56" s="1367">
        <v>0</v>
      </c>
      <c r="L56" s="1110">
        <f t="shared" si="5"/>
        <v>9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45219</v>
      </c>
      <c r="F58" s="510">
        <v>45378</v>
      </c>
      <c r="G58" s="1340">
        <f t="shared" si="6"/>
        <v>159</v>
      </c>
      <c r="H58" s="460">
        <f>G58+'20'!H58</f>
        <v>-1339</v>
      </c>
      <c r="I58" s="455"/>
      <c r="J58" s="552">
        <f>H58/DAY(B2)</f>
        <v>-63.761904761904759</v>
      </c>
      <c r="K58" s="428">
        <v>0</v>
      </c>
      <c r="L58" s="377">
        <f t="shared" si="5"/>
        <v>159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7677.0699999999488</v>
      </c>
      <c r="H59" s="460">
        <f>G59+'20'!H59</f>
        <v>315445.71000000002</v>
      </c>
      <c r="I59" s="455">
        <f>G7-G60</f>
        <v>290.93000000005122</v>
      </c>
      <c r="J59" s="552">
        <f>H59/DAY(B2)</f>
        <v>15021.224285714286</v>
      </c>
      <c r="K59" s="428">
        <v>1794.4499999999771</v>
      </c>
      <c r="L59" s="377">
        <f t="shared" si="5"/>
        <v>5882.6199999999717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19314.069999999949</v>
      </c>
      <c r="H60" s="460">
        <f>G60+'20'!H60</f>
        <v>196290.81000000003</v>
      </c>
      <c r="I60" s="455">
        <f>G13-G60</f>
        <v>-297.06999999994878</v>
      </c>
      <c r="J60" s="552">
        <f>H60/DAY(B2)</f>
        <v>9347.1814285714299</v>
      </c>
      <c r="K60" s="428">
        <v>11966.509999999978</v>
      </c>
      <c r="L60" s="377">
        <f t="shared" si="5"/>
        <v>7347.5599999999704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0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2308</v>
      </c>
      <c r="F63" s="514">
        <v>2313</v>
      </c>
      <c r="G63" s="1340">
        <f t="shared" si="7"/>
        <v>5</v>
      </c>
      <c r="H63" s="460">
        <f>G63+'20'!H63</f>
        <v>-46</v>
      </c>
      <c r="I63" s="515"/>
      <c r="J63" s="552">
        <f>H63/DAY(B2)</f>
        <v>-2.1904761904761907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f>'20'!F64</f>
        <v>148801</v>
      </c>
      <c r="F64" s="484">
        <v>149305</v>
      </c>
      <c r="G64" s="1340">
        <f t="shared" si="7"/>
        <v>504</v>
      </c>
      <c r="H64" s="460">
        <f>G64+'20'!H64</f>
        <v>-3994</v>
      </c>
      <c r="I64" s="480"/>
      <c r="J64" s="552">
        <f>H64/DAY(B2)</f>
        <v>-190.1904761904762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f>'20'!F65</f>
        <v>151419</v>
      </c>
      <c r="F65" s="484">
        <v>151765</v>
      </c>
      <c r="G65" s="1340">
        <f t="shared" si="7"/>
        <v>346</v>
      </c>
      <c r="H65" s="460">
        <f>G65+'20'!H65</f>
        <v>-2834</v>
      </c>
      <c r="I65" s="489"/>
      <c r="J65" s="552">
        <f>H65/DAY(B2)</f>
        <v>-134.95238095238096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f>'20'!F66</f>
        <v>44994</v>
      </c>
      <c r="F66" s="484">
        <v>45374</v>
      </c>
      <c r="G66" s="1340">
        <f t="shared" si="7"/>
        <v>380</v>
      </c>
      <c r="H66" s="460">
        <f>G66+'20'!H66</f>
        <v>-3197</v>
      </c>
      <c r="I66" s="480"/>
      <c r="J66" s="552">
        <f>H66/DAY(B2)</f>
        <v>-152.23809523809524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f>'20'!F67</f>
        <v>239527</v>
      </c>
      <c r="F67" s="484">
        <v>239914</v>
      </c>
      <c r="G67" s="1340">
        <f t="shared" si="7"/>
        <v>387</v>
      </c>
      <c r="H67" s="460">
        <f>G67+'20'!H67</f>
        <v>-3260</v>
      </c>
      <c r="I67" s="489"/>
      <c r="J67" s="552">
        <f>H67/DAY(B2)</f>
        <v>-155.23809523809524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f>'20'!F68</f>
        <v>85321</v>
      </c>
      <c r="F68" s="484">
        <v>85321</v>
      </c>
      <c r="G68" s="1340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f>'20'!F69</f>
        <v>78291</v>
      </c>
      <c r="F69" s="484">
        <v>78342</v>
      </c>
      <c r="G69" s="1340">
        <f t="shared" si="7"/>
        <v>51</v>
      </c>
      <c r="H69" s="460">
        <f>G69+'20'!H69</f>
        <v>-652</v>
      </c>
      <c r="I69" s="516"/>
      <c r="J69" s="552">
        <f>H69/DAY(B2)</f>
        <v>-31.047619047619047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135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f>'20'!F72</f>
        <v>854946</v>
      </c>
      <c r="F72" s="519">
        <v>855005</v>
      </c>
      <c r="G72" s="1340">
        <f t="shared" ref="G72:G84" si="8">F72-E72</f>
        <v>59</v>
      </c>
      <c r="H72" s="460">
        <f>G72+'20'!H72</f>
        <v>-467</v>
      </c>
      <c r="I72" s="480"/>
      <c r="J72" s="552">
        <f>H72/DAY(B2)</f>
        <v>-22.238095238095237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20">
        <f>'20'!F73</f>
        <v>885830</v>
      </c>
      <c r="F73" s="520">
        <v>885831</v>
      </c>
      <c r="G73" s="1340">
        <f t="shared" si="8"/>
        <v>1</v>
      </c>
      <c r="H73" s="460">
        <f>G73+'20'!H73</f>
        <v>135</v>
      </c>
      <c r="I73" s="480"/>
      <c r="J73" s="552">
        <f>H73/DAY(B2)</f>
        <v>6.4285714285714288</v>
      </c>
      <c r="K73" s="430"/>
      <c r="L73" s="377"/>
      <c r="N73" s="382"/>
      <c r="O73" s="382"/>
    </row>
    <row r="74" spans="1:15" ht="27.75">
      <c r="A74" s="1580" t="s">
        <v>193</v>
      </c>
      <c r="B74" s="1581"/>
      <c r="C74" s="1582"/>
      <c r="D74" s="523" t="s">
        <v>187</v>
      </c>
      <c r="E74" s="521">
        <f>'20'!F74</f>
        <v>1962</v>
      </c>
      <c r="F74" s="521">
        <v>1994</v>
      </c>
      <c r="G74" s="1340">
        <f t="shared" si="8"/>
        <v>32</v>
      </c>
      <c r="H74" s="460">
        <f>G74+'20'!H74</f>
        <v>-285</v>
      </c>
      <c r="I74" s="480"/>
      <c r="J74" s="552">
        <f>H74/DAY(B2)</f>
        <v>-13.571428571428571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21">
        <f>'20'!F75</f>
        <v>10367</v>
      </c>
      <c r="F75" s="521">
        <v>10427</v>
      </c>
      <c r="G75" s="1340">
        <f t="shared" si="8"/>
        <v>60</v>
      </c>
      <c r="H75" s="460">
        <f>G75+'20'!H75</f>
        <v>-543</v>
      </c>
      <c r="I75" s="480"/>
      <c r="J75" s="552">
        <f>H75/DAY(B2)</f>
        <v>-25.857142857142858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20">
        <f>'20'!F76</f>
        <v>5280</v>
      </c>
      <c r="F76" s="648">
        <v>5318</v>
      </c>
      <c r="G76" s="1340">
        <f t="shared" si="8"/>
        <v>38</v>
      </c>
      <c r="H76" s="460">
        <f>G76+'20'!H76</f>
        <v>-398.95000000000073</v>
      </c>
      <c r="I76" s="505"/>
      <c r="J76" s="552">
        <f>H76/DAY(B2)</f>
        <v>-18.997619047619082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21">
        <f>'20'!F77</f>
        <v>701129</v>
      </c>
      <c r="F77" s="521">
        <v>701168</v>
      </c>
      <c r="G77" s="1340">
        <f t="shared" si="8"/>
        <v>39</v>
      </c>
      <c r="H77" s="460">
        <f>G77+'20'!H77</f>
        <v>-394</v>
      </c>
      <c r="I77" s="505"/>
      <c r="J77" s="552">
        <f>H77/DAY(B2)</f>
        <v>-18.761904761904763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'20'!F78</f>
        <v>669251</v>
      </c>
      <c r="F78" s="521">
        <v>669299</v>
      </c>
      <c r="G78" s="1340">
        <f t="shared" si="8"/>
        <v>48</v>
      </c>
      <c r="H78" s="460">
        <f>G78+'20'!H78</f>
        <v>-726</v>
      </c>
      <c r="I78" s="505"/>
      <c r="J78" s="552">
        <f>H78/DAY(B2)</f>
        <v>-34.571428571428569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f>'20'!F79</f>
        <v>824939</v>
      </c>
      <c r="F79" s="521">
        <v>825121</v>
      </c>
      <c r="G79" s="1340">
        <f t="shared" si="8"/>
        <v>182</v>
      </c>
      <c r="H79" s="460">
        <f>G79+'20'!H79</f>
        <v>-2610</v>
      </c>
      <c r="I79" s="505"/>
      <c r="J79" s="552">
        <f>H79/DAY(B2)</f>
        <v>-124.28571428571429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f>'20'!F80</f>
        <v>513032</v>
      </c>
      <c r="F80" s="520">
        <v>513384</v>
      </c>
      <c r="G80" s="1340">
        <f t="shared" si="8"/>
        <v>352</v>
      </c>
      <c r="H80" s="460">
        <f>G80+'20'!H80</f>
        <v>-6077</v>
      </c>
      <c r="I80" s="505"/>
      <c r="J80" s="552">
        <f>H80/DAY(B2)</f>
        <v>-289.38095238095241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'20'!F81</f>
        <v>635107</v>
      </c>
      <c r="F81" s="520">
        <v>635287</v>
      </c>
      <c r="G81" s="1340">
        <f t="shared" si="8"/>
        <v>180</v>
      </c>
      <c r="H81" s="460">
        <f>G81+'20'!H81</f>
        <v>-1191</v>
      </c>
      <c r="I81" s="505"/>
      <c r="J81" s="552">
        <f>H81/DAY(B2)</f>
        <v>-56.714285714285715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'20'!F82</f>
        <v>107379</v>
      </c>
      <c r="F82" s="522">
        <v>107403</v>
      </c>
      <c r="G82" s="1340">
        <f t="shared" si="8"/>
        <v>24</v>
      </c>
      <c r="H82" s="460">
        <f>G82+'20'!H82</f>
        <v>-209</v>
      </c>
      <c r="I82" s="486"/>
      <c r="J82" s="552">
        <f>H82/DAY(B2)</f>
        <v>-9.9523809523809526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'20'!F83</f>
        <v>12547</v>
      </c>
      <c r="F83" s="511">
        <v>12762</v>
      </c>
      <c r="G83" s="1340">
        <f t="shared" si="8"/>
        <v>215</v>
      </c>
      <c r="H83" s="460">
        <f>G83+'20'!H83</f>
        <v>-2009</v>
      </c>
      <c r="I83" s="481"/>
      <c r="J83" s="552">
        <f>H83/DAY(B2)</f>
        <v>-95.666666666666671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'20'!F84</f>
        <v>472273</v>
      </c>
      <c r="F84" s="627">
        <v>473071</v>
      </c>
      <c r="G84" s="1340">
        <f t="shared" si="8"/>
        <v>798</v>
      </c>
      <c r="H84" s="460">
        <f>G84+'20'!H84</f>
        <v>-7062</v>
      </c>
      <c r="I84" s="481"/>
      <c r="J84" s="552">
        <f>H84/DAY(B2)</f>
        <v>-336.28571428571428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2028</v>
      </c>
      <c r="H85" s="460">
        <f>G85+'20'!H85</f>
        <v>-18328</v>
      </c>
      <c r="I85" s="481"/>
      <c r="J85" s="552">
        <f>H85/DAY(B2)</f>
        <v>-872.76190476190482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458214</v>
      </c>
      <c r="F86" s="650">
        <v>458301</v>
      </c>
      <c r="G86" s="1354">
        <f t="shared" ref="G86:G90" si="9">F86-E86</f>
        <v>87</v>
      </c>
      <c r="H86" s="460">
        <f>G86+'20'!H86</f>
        <v>-2177</v>
      </c>
      <c r="I86" s="655"/>
      <c r="J86" s="710">
        <f>H86/DAY(B2)</f>
        <v>-103.66666666666667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80789</v>
      </c>
      <c r="F87" s="650">
        <v>80802</v>
      </c>
      <c r="G87" s="1354">
        <f t="shared" si="9"/>
        <v>13</v>
      </c>
      <c r="H87" s="460">
        <f>G87+'20'!H87</f>
        <v>-314</v>
      </c>
      <c r="I87" s="655"/>
      <c r="J87" s="710">
        <f>H87/DAY(B2)</f>
        <v>-14.952380952380953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151473</v>
      </c>
      <c r="F88" s="650">
        <v>151496</v>
      </c>
      <c r="G88" s="1354">
        <f t="shared" si="9"/>
        <v>23</v>
      </c>
      <c r="H88" s="460">
        <f>G88+'20'!H88</f>
        <v>-1024</v>
      </c>
      <c r="I88" s="655"/>
      <c r="J88" s="710">
        <f>H88/DAY(B2)</f>
        <v>-48.761904761904759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64418</v>
      </c>
      <c r="F89" s="650">
        <v>64460</v>
      </c>
      <c r="G89" s="1354">
        <f t="shared" si="9"/>
        <v>42</v>
      </c>
      <c r="H89" s="460">
        <f>G89+'20'!H89</f>
        <v>-483</v>
      </c>
      <c r="I89" s="655"/>
      <c r="J89" s="710">
        <f>H89/DAY(B2)</f>
        <v>-23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</v>
      </c>
      <c r="F90" s="650">
        <v>3272</v>
      </c>
      <c r="G90" s="1354">
        <f t="shared" si="9"/>
        <v>0</v>
      </c>
      <c r="H90" s="460">
        <f>G90+'20'!H90</f>
        <v>-0.6999999999998181</v>
      </c>
      <c r="I90" s="655"/>
      <c r="J90" s="710">
        <f>H90/DAY(B2)</f>
        <v>-3.3333333333324673E-2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50">
        <f>'20'!F91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1343"/>
      <c r="H92" s="472"/>
      <c r="I92" s="472"/>
      <c r="J92" s="551"/>
      <c r="K92" s="380"/>
      <c r="L92" s="378"/>
      <c r="N92" s="780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'20'!F93</f>
        <v>244004</v>
      </c>
      <c r="F93" s="484">
        <v>244077</v>
      </c>
      <c r="G93" s="1340">
        <f t="shared" ref="G93:G94" si="10">F93-E93</f>
        <v>73</v>
      </c>
      <c r="H93" s="460">
        <f>G93+'20'!H93</f>
        <v>-447</v>
      </c>
      <c r="I93" s="480"/>
      <c r="J93" s="552">
        <f>H93/DAY(B2)</f>
        <v>-21.285714285714285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'20'!F94</f>
        <v>182581</v>
      </c>
      <c r="F94" s="484">
        <v>182715</v>
      </c>
      <c r="G94" s="1340">
        <f t="shared" si="10"/>
        <v>134</v>
      </c>
      <c r="H94" s="460">
        <f>G94+'20'!H94</f>
        <v>-816</v>
      </c>
      <c r="I94" s="480"/>
      <c r="J94" s="552">
        <f>H94/DAY(B2)</f>
        <v>-38.857142857142854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>
        <v>0</v>
      </c>
      <c r="F95" s="484">
        <v>0</v>
      </c>
      <c r="G95" s="1340">
        <f>G93+G94</f>
        <v>207</v>
      </c>
      <c r="H95" s="460">
        <f>G95+'20'!H95</f>
        <v>-1410</v>
      </c>
      <c r="I95" s="480"/>
      <c r="J95" s="552">
        <f>H95/DAY(B2)</f>
        <v>-67.142857142857139</v>
      </c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'20'!F96</f>
        <v>412214</v>
      </c>
      <c r="F96" s="484">
        <v>412293</v>
      </c>
      <c r="G96" s="1340">
        <f t="shared" ref="G96:G101" si="11">F96-E96</f>
        <v>79</v>
      </c>
      <c r="H96" s="460">
        <f>G96+'20'!H96</f>
        <v>-593</v>
      </c>
      <c r="I96" s="480"/>
      <c r="J96" s="552">
        <f>H96/DAY(B2)</f>
        <v>-28.238095238095237</v>
      </c>
      <c r="K96" s="380"/>
      <c r="L96" s="377"/>
      <c r="N96" s="382"/>
      <c r="O96" s="382"/>
    </row>
    <row r="97" spans="1:15" ht="27.75">
      <c r="A97" s="1144" t="s">
        <v>210</v>
      </c>
      <c r="B97" s="1145"/>
      <c r="C97" s="1145"/>
      <c r="D97" s="523" t="s">
        <v>144</v>
      </c>
      <c r="E97" s="484">
        <f>'20'!F97</f>
        <v>102179</v>
      </c>
      <c r="F97" s="484">
        <v>102198</v>
      </c>
      <c r="G97" s="1340">
        <f t="shared" si="11"/>
        <v>19</v>
      </c>
      <c r="H97" s="460">
        <f>G97+'20'!H97</f>
        <v>-145</v>
      </c>
      <c r="I97" s="480"/>
      <c r="J97" s="552">
        <f>H97/DAY(B2)</f>
        <v>-6.9047619047619051</v>
      </c>
      <c r="K97" s="427"/>
      <c r="L97" s="377"/>
      <c r="N97" s="382"/>
      <c r="O97" s="382"/>
    </row>
    <row r="98" spans="1:15" ht="27.75">
      <c r="A98" s="1144" t="s">
        <v>211</v>
      </c>
      <c r="B98" s="1145"/>
      <c r="C98" s="1145"/>
      <c r="D98" s="523" t="s">
        <v>144</v>
      </c>
      <c r="E98" s="484">
        <f>'20'!F98</f>
        <v>97278</v>
      </c>
      <c r="F98" s="484">
        <v>97293</v>
      </c>
      <c r="G98" s="1340">
        <f t="shared" si="11"/>
        <v>15</v>
      </c>
      <c r="H98" s="460">
        <f>G98+'20'!H98</f>
        <v>-134</v>
      </c>
      <c r="I98" s="480"/>
      <c r="J98" s="552">
        <f>H98/DAY(B2)</f>
        <v>-6.3809523809523814</v>
      </c>
      <c r="K98" s="432"/>
      <c r="L98" s="377"/>
      <c r="N98" s="382"/>
      <c r="O98" s="382"/>
    </row>
    <row r="99" spans="1:15" ht="27.75">
      <c r="A99" s="1144" t="s">
        <v>212</v>
      </c>
      <c r="B99" s="1145"/>
      <c r="C99" s="1145"/>
      <c r="D99" s="523" t="s">
        <v>144</v>
      </c>
      <c r="E99" s="484">
        <f>'20'!F99</f>
        <v>149464</v>
      </c>
      <c r="F99" s="484">
        <v>149472</v>
      </c>
      <c r="G99" s="1340">
        <f t="shared" si="11"/>
        <v>8</v>
      </c>
      <c r="H99" s="460">
        <f>G99+'20'!H99</f>
        <v>-61</v>
      </c>
      <c r="I99" s="480"/>
      <c r="J99" s="552">
        <f>H99/DAY(B2)</f>
        <v>-2.9047619047619047</v>
      </c>
      <c r="K99" s="380"/>
      <c r="L99" s="377"/>
      <c r="N99" s="382"/>
      <c r="O99" s="382"/>
    </row>
    <row r="100" spans="1:15" ht="27.75">
      <c r="A100" s="1144" t="s">
        <v>213</v>
      </c>
      <c r="B100" s="1145"/>
      <c r="C100" s="1145"/>
      <c r="D100" s="523" t="s">
        <v>144</v>
      </c>
      <c r="E100" s="484">
        <f>'20'!F100</f>
        <v>7109</v>
      </c>
      <c r="F100" s="484">
        <v>7123</v>
      </c>
      <c r="G100" s="1340">
        <f t="shared" si="11"/>
        <v>14</v>
      </c>
      <c r="H100" s="460">
        <f>G100+'20'!H100</f>
        <v>-62</v>
      </c>
      <c r="I100" s="480"/>
      <c r="J100" s="552">
        <f>H100/DAY(B2)</f>
        <v>-2.9523809523809526</v>
      </c>
      <c r="K100" s="380"/>
      <c r="L100" s="377"/>
      <c r="N100" s="382"/>
      <c r="O100" s="382"/>
    </row>
    <row r="101" spans="1:15" ht="27.75">
      <c r="A101" s="1144" t="s">
        <v>214</v>
      </c>
      <c r="B101" s="1145"/>
      <c r="C101" s="1145"/>
      <c r="D101" s="523" t="s">
        <v>144</v>
      </c>
      <c r="E101" s="484">
        <f>'20'!F101</f>
        <v>5083</v>
      </c>
      <c r="F101" s="484">
        <v>5088</v>
      </c>
      <c r="G101" s="1340">
        <f t="shared" si="11"/>
        <v>5</v>
      </c>
      <c r="H101" s="460">
        <f>G101+'20'!H101</f>
        <v>-50</v>
      </c>
      <c r="I101" s="480"/>
      <c r="J101" s="552">
        <f>H101/DAY(B2)</f>
        <v>-2.3809523809523809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1355">
        <f>SUM(G96:G101)</f>
        <v>140</v>
      </c>
      <c r="H102" s="460">
        <f>G102+'20'!H102</f>
        <v>-1045</v>
      </c>
      <c r="I102" s="526"/>
      <c r="J102" s="552">
        <f>H102/DAY(B2)</f>
        <v>-49.761904761904759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6"/>
      <c r="H103" s="530"/>
      <c r="I103" s="531"/>
      <c r="J103" s="557"/>
      <c r="N103" s="444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1357"/>
      <c r="H104" s="533"/>
      <c r="I104" s="532"/>
      <c r="J104" s="558"/>
      <c r="N104" s="444"/>
      <c r="O104" s="382"/>
    </row>
    <row r="105" spans="1:15" s="442" customFormat="1" ht="27.75">
      <c r="A105" s="1517" t="s">
        <v>219</v>
      </c>
      <c r="B105" s="1518"/>
      <c r="C105" s="1142"/>
      <c r="D105" s="622" t="s">
        <v>144</v>
      </c>
      <c r="E105" s="532">
        <f>'20'!F105</f>
        <v>7391</v>
      </c>
      <c r="F105" s="532">
        <v>7400</v>
      </c>
      <c r="G105" s="1357">
        <f>F105-E105</f>
        <v>9</v>
      </c>
      <c r="H105" s="460">
        <f>G105+'20'!H105</f>
        <v>-16</v>
      </c>
      <c r="I105" s="532"/>
      <c r="J105" s="558">
        <f>H105/DAY(B2)</f>
        <v>-0.76190476190476186</v>
      </c>
      <c r="N105" s="444"/>
      <c r="O105" s="382"/>
    </row>
    <row r="106" spans="1:15" s="442" customFormat="1" ht="27.75">
      <c r="A106" s="1517" t="s">
        <v>77</v>
      </c>
      <c r="B106" s="1518"/>
      <c r="C106" s="1142"/>
      <c r="D106" s="622" t="s">
        <v>144</v>
      </c>
      <c r="E106" s="534">
        <f>'20'!F106</f>
        <v>35770</v>
      </c>
      <c r="F106" s="534">
        <v>35774</v>
      </c>
      <c r="G106" s="1357">
        <f t="shared" ref="G106:G107" si="12">F106-E106</f>
        <v>4</v>
      </c>
      <c r="H106" s="460">
        <f>G106+'20'!H106</f>
        <v>-65</v>
      </c>
      <c r="I106" s="532"/>
      <c r="J106" s="558">
        <f>H106/DAY(B2)</f>
        <v>-3.0952380952380953</v>
      </c>
      <c r="N106" s="444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f>'20'!F107</f>
        <v>19557</v>
      </c>
      <c r="F107" s="532">
        <v>19564</v>
      </c>
      <c r="G107" s="1357">
        <f t="shared" si="12"/>
        <v>7</v>
      </c>
      <c r="H107" s="460">
        <f>G107+'20'!H107</f>
        <v>19</v>
      </c>
      <c r="I107" s="532"/>
      <c r="J107" s="558">
        <f>H107/DAY(B2)</f>
        <v>0.90476190476190477</v>
      </c>
      <c r="N107" s="444"/>
      <c r="O107" s="382"/>
    </row>
    <row r="108" spans="1:15" s="442" customFormat="1" ht="27.75">
      <c r="A108" s="1519" t="s">
        <v>202</v>
      </c>
      <c r="B108" s="1520"/>
      <c r="C108" s="1142"/>
      <c r="D108" s="622"/>
      <c r="E108" s="532">
        <f>'20'!F108</f>
        <v>0</v>
      </c>
      <c r="F108" s="532"/>
      <c r="G108" s="1357">
        <f>SUM(G105:G107)</f>
        <v>20</v>
      </c>
      <c r="H108" s="460">
        <f>G108+'20'!H108</f>
        <v>-104</v>
      </c>
      <c r="I108" s="532"/>
      <c r="J108" s="558">
        <f>H108/DAY(B2)</f>
        <v>-4.9523809523809526</v>
      </c>
      <c r="N108" s="444"/>
      <c r="O108" s="382"/>
    </row>
    <row r="109" spans="1:15" s="442" customFormat="1" ht="27.75">
      <c r="A109" s="1523" t="s">
        <v>79</v>
      </c>
      <c r="B109" s="1524"/>
      <c r="C109" s="1142"/>
      <c r="D109" s="622" t="s">
        <v>144</v>
      </c>
      <c r="E109" s="532">
        <f>'20'!F109</f>
        <v>0</v>
      </c>
      <c r="F109" s="532"/>
      <c r="G109" s="1357"/>
      <c r="H109" s="460"/>
      <c r="I109" s="532"/>
      <c r="J109" s="558"/>
      <c r="N109" s="444"/>
      <c r="O109" s="382"/>
    </row>
    <row r="110" spans="1:15" s="442" customFormat="1" ht="27.75">
      <c r="A110" s="1517" t="s">
        <v>220</v>
      </c>
      <c r="B110" s="1518"/>
      <c r="C110" s="1142"/>
      <c r="D110" s="622" t="s">
        <v>144</v>
      </c>
      <c r="E110" s="532">
        <f>'20'!F110</f>
        <v>60376</v>
      </c>
      <c r="F110" s="532">
        <v>60458</v>
      </c>
      <c r="G110" s="1357">
        <f>F110-E110</f>
        <v>82</v>
      </c>
      <c r="H110" s="460">
        <f>G110+'20'!H110</f>
        <v>-1500</v>
      </c>
      <c r="I110" s="532"/>
      <c r="J110" s="558">
        <f>H110/DAY(B2)</f>
        <v>-71.428571428571431</v>
      </c>
      <c r="N110" s="444"/>
      <c r="O110" s="382"/>
    </row>
    <row r="111" spans="1:15" s="442" customFormat="1" ht="27.75">
      <c r="A111" s="1517" t="s">
        <v>221</v>
      </c>
      <c r="B111" s="1518"/>
      <c r="C111" s="1142"/>
      <c r="D111" s="622" t="s">
        <v>144</v>
      </c>
      <c r="E111" s="532">
        <f>'20'!F111</f>
        <v>32156</v>
      </c>
      <c r="F111" s="532">
        <v>32156</v>
      </c>
      <c r="G111" s="1357">
        <f t="shared" ref="G111:G112" si="13">F111-E111</f>
        <v>0</v>
      </c>
      <c r="H111" s="460">
        <f>G111+'20'!H111</f>
        <v>-233</v>
      </c>
      <c r="I111" s="532"/>
      <c r="J111" s="558">
        <f>H111/DAY(B2)</f>
        <v>-11.095238095238095</v>
      </c>
      <c r="N111" s="444"/>
      <c r="O111" s="382"/>
    </row>
    <row r="112" spans="1:15" s="442" customFormat="1" ht="27.75">
      <c r="A112" s="1517" t="s">
        <v>222</v>
      </c>
      <c r="B112" s="1518"/>
      <c r="C112" s="1142"/>
      <c r="D112" s="622" t="s">
        <v>144</v>
      </c>
      <c r="E112" s="532">
        <f>'20'!F112</f>
        <v>4309</v>
      </c>
      <c r="F112" s="532">
        <v>4326</v>
      </c>
      <c r="G112" s="1357">
        <f t="shared" si="13"/>
        <v>17</v>
      </c>
      <c r="H112" s="460">
        <f>G112+'20'!H112</f>
        <v>72</v>
      </c>
      <c r="I112" s="532"/>
      <c r="J112" s="558">
        <f>H112/DAY(B2)</f>
        <v>3.4285714285714284</v>
      </c>
      <c r="N112" s="444"/>
      <c r="O112" s="382"/>
    </row>
    <row r="113" spans="1:15" s="442" customFormat="1" ht="27.75">
      <c r="A113" s="1521" t="s">
        <v>110</v>
      </c>
      <c r="B113" s="1522"/>
      <c r="C113" s="1142"/>
      <c r="D113" s="622"/>
      <c r="E113" s="532">
        <f>'20'!F113</f>
        <v>0</v>
      </c>
      <c r="F113" s="532"/>
      <c r="G113" s="1357">
        <f>SUM(G110:G112)</f>
        <v>99</v>
      </c>
      <c r="H113" s="460">
        <f>G113+'20'!H113</f>
        <v>-1294</v>
      </c>
      <c r="I113" s="532"/>
      <c r="J113" s="558">
        <f>H113/DAY(B2)</f>
        <v>-61.61904761904762</v>
      </c>
      <c r="N113" s="444"/>
      <c r="O113" s="382"/>
    </row>
    <row r="114" spans="1:15" s="442" customFormat="1" ht="27.75">
      <c r="A114" s="1523" t="s">
        <v>223</v>
      </c>
      <c r="B114" s="1524"/>
      <c r="C114" s="1142"/>
      <c r="D114" s="622"/>
      <c r="E114" s="532">
        <f>'20'!F114</f>
        <v>0</v>
      </c>
      <c r="F114" s="532"/>
      <c r="G114" s="135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4">
        <f>'20'!F115</f>
        <v>11165</v>
      </c>
      <c r="F115" s="534">
        <v>11181</v>
      </c>
      <c r="G115" s="1358">
        <f>F115-E115</f>
        <v>16</v>
      </c>
      <c r="H115" s="460">
        <f>G115+'20'!H115</f>
        <v>-208</v>
      </c>
      <c r="I115" s="532"/>
      <c r="J115" s="558">
        <f>H115/DAY(B2)</f>
        <v>-9.9047619047619051</v>
      </c>
      <c r="N115" s="444"/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4">
        <f>'20'!F116</f>
        <v>8085</v>
      </c>
      <c r="F116" s="534">
        <v>8090</v>
      </c>
      <c r="G116" s="1358">
        <f t="shared" ref="G116:G117" si="14">F116-E116</f>
        <v>5</v>
      </c>
      <c r="H116" s="460">
        <f>G116+'20'!H116</f>
        <v>-72</v>
      </c>
      <c r="I116" s="532"/>
      <c r="J116" s="558">
        <f>H116/DAY(B2)</f>
        <v>-3.4285714285714284</v>
      </c>
      <c r="N116" s="444"/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1358">
        <f t="shared" si="14"/>
        <v>0</v>
      </c>
      <c r="H117" s="460">
        <f>G117+'20'!H117</f>
        <v>95</v>
      </c>
      <c r="I117" s="532"/>
      <c r="J117" s="558">
        <f>H117/DAY(B2)</f>
        <v>4.5238095238095237</v>
      </c>
      <c r="N117" s="444"/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1358">
        <f>SUM(G115:G117)</f>
        <v>21</v>
      </c>
      <c r="H118" s="460">
        <f>G118+'20'!H118</f>
        <v>-260</v>
      </c>
      <c r="I118" s="534"/>
      <c r="J118" s="558">
        <f>H118/DAY(B2)</f>
        <v>-12.380952380952381</v>
      </c>
      <c r="N118" s="447"/>
      <c r="O118" s="382"/>
    </row>
    <row r="119" spans="1:15" s="446" customFormat="1" ht="27.75">
      <c r="A119" s="1513" t="s">
        <v>227</v>
      </c>
      <c r="B119" s="1514"/>
      <c r="C119" s="1141"/>
      <c r="D119" s="624" t="s">
        <v>144</v>
      </c>
      <c r="E119" s="536"/>
      <c r="F119" s="536">
        <f>SUM(G19+G93)</f>
        <v>131</v>
      </c>
      <c r="G119" s="1358">
        <f>SUM(G19+G93)</f>
        <v>131</v>
      </c>
      <c r="H119" s="460">
        <f>G119+'20'!H119</f>
        <v>-2424</v>
      </c>
      <c r="I119" s="535"/>
      <c r="J119" s="559">
        <f>H119/DAY(B2)</f>
        <v>-115.42857142857143</v>
      </c>
      <c r="N119" s="782"/>
      <c r="O119" s="382"/>
    </row>
    <row r="120" spans="1:15" s="446" customFormat="1" ht="27.75">
      <c r="A120" s="1513" t="s">
        <v>228</v>
      </c>
      <c r="B120" s="1514"/>
      <c r="C120" s="1141"/>
      <c r="D120" s="624" t="s">
        <v>144</v>
      </c>
      <c r="E120" s="536"/>
      <c r="F120" s="536">
        <f>SUM(G96,G97,G98,G100,G101)</f>
        <v>132</v>
      </c>
      <c r="G120" s="1358">
        <f>SUM(G96,G97,G98,G100,G101)</f>
        <v>132</v>
      </c>
      <c r="H120" s="460">
        <f>G120+'20'!H120</f>
        <v>-2348</v>
      </c>
      <c r="I120" s="535"/>
      <c r="J120" s="559">
        <f>H120/DAY(B2)</f>
        <v>-111.80952380952381</v>
      </c>
      <c r="N120" s="782"/>
      <c r="O120" s="382"/>
    </row>
    <row r="121" spans="1:15" s="446" customFormat="1" ht="27.75">
      <c r="A121" s="1513" t="s">
        <v>229</v>
      </c>
      <c r="B121" s="1514"/>
      <c r="C121" s="1141"/>
      <c r="D121" s="624" t="s">
        <v>144</v>
      </c>
      <c r="E121" s="534"/>
      <c r="F121" s="534">
        <f>SUM(G113)</f>
        <v>99</v>
      </c>
      <c r="G121" s="1358">
        <f>SUM(G113)</f>
        <v>99</v>
      </c>
      <c r="H121" s="460">
        <f>G121+'20'!H121</f>
        <v>-2003</v>
      </c>
      <c r="I121" s="535"/>
      <c r="J121" s="559">
        <f>H121/DAY(B2)</f>
        <v>-95.38095238095238</v>
      </c>
      <c r="N121" s="782"/>
      <c r="O121" s="382"/>
    </row>
    <row r="122" spans="1:15" s="442" customFormat="1" ht="27.75">
      <c r="A122" s="1515"/>
      <c r="B122" s="1516"/>
      <c r="C122" s="1142"/>
      <c r="D122" s="560"/>
      <c r="E122" s="560"/>
      <c r="F122" s="560" t="s">
        <v>215</v>
      </c>
      <c r="G122" s="1359"/>
      <c r="H122" s="561">
        <v>0</v>
      </c>
      <c r="I122" s="560"/>
      <c r="J122" s="562"/>
      <c r="N122" s="444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1343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4" t="s">
        <v>231</v>
      </c>
      <c r="B124" s="1145"/>
      <c r="C124" s="1145"/>
      <c r="D124" s="523" t="s">
        <v>141</v>
      </c>
      <c r="E124" s="478">
        <f>'20'!F124</f>
        <v>823809</v>
      </c>
      <c r="F124" s="478">
        <v>824055</v>
      </c>
      <c r="G124" s="1340">
        <f t="shared" ref="G124:G128" si="15">F124-E124</f>
        <v>246</v>
      </c>
      <c r="H124" s="460">
        <f>G124+'20'!H124</f>
        <v>-2033.4599999999627</v>
      </c>
      <c r="I124" s="526"/>
      <c r="J124" s="552">
        <f>H124/DAY(B2)</f>
        <v>-96.831428571426798</v>
      </c>
      <c r="K124" s="380"/>
      <c r="L124" s="377"/>
      <c r="N124" s="382"/>
      <c r="O124" s="382"/>
    </row>
    <row r="125" spans="1:15" ht="27.75">
      <c r="A125" s="1144" t="s">
        <v>232</v>
      </c>
      <c r="B125" s="1145"/>
      <c r="C125" s="1145"/>
      <c r="D125" s="523" t="s">
        <v>141</v>
      </c>
      <c r="E125" s="626">
        <f>'20'!F125</f>
        <v>73583</v>
      </c>
      <c r="F125" s="626">
        <v>73583</v>
      </c>
      <c r="G125" s="1340">
        <f t="shared" si="15"/>
        <v>0</v>
      </c>
      <c r="H125" s="460">
        <f>G125+'20'!H125</f>
        <v>-0.39999999999417923</v>
      </c>
      <c r="I125" s="526"/>
      <c r="J125" s="552">
        <f>H125/DAY(B2)</f>
        <v>-1.9047619047341868E-2</v>
      </c>
      <c r="K125" s="380"/>
      <c r="L125" s="377"/>
      <c r="N125" s="382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78">
        <f>'20'!F126</f>
        <v>143902</v>
      </c>
      <c r="F126" s="478">
        <v>143989</v>
      </c>
      <c r="G126" s="1340">
        <f t="shared" si="15"/>
        <v>87</v>
      </c>
      <c r="H126" s="460">
        <f>G126+'20'!H126</f>
        <v>-698.44000000000233</v>
      </c>
      <c r="I126" s="526"/>
      <c r="J126" s="552">
        <f>H126/DAY(B2)</f>
        <v>-33.259047619047728</v>
      </c>
      <c r="K126" s="380"/>
      <c r="L126" s="377"/>
      <c r="N126" s="382"/>
      <c r="O126" s="382"/>
    </row>
    <row r="127" spans="1:15" ht="27.75">
      <c r="A127" s="609" t="s">
        <v>234</v>
      </c>
      <c r="B127" s="1145"/>
      <c r="C127" s="1145"/>
      <c r="D127" s="523" t="s">
        <v>141</v>
      </c>
      <c r="E127" s="626">
        <f>'20'!F127</f>
        <v>31404</v>
      </c>
      <c r="F127" s="626">
        <v>31404</v>
      </c>
      <c r="G127" s="1340">
        <f t="shared" si="15"/>
        <v>0</v>
      </c>
      <c r="H127" s="460">
        <f>G127+'20'!H127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5"/>
      <c r="C128" s="1145"/>
      <c r="D128" s="523" t="s">
        <v>141</v>
      </c>
      <c r="E128" s="626">
        <f>'20'!F128</f>
        <v>8938.4</v>
      </c>
      <c r="F128" s="626">
        <v>8938.4</v>
      </c>
      <c r="G128" s="1340">
        <f t="shared" si="15"/>
        <v>0</v>
      </c>
      <c r="H128" s="460">
        <f>G128+'20'!H128</f>
        <v>-31.300000000001091</v>
      </c>
      <c r="I128" s="480"/>
      <c r="J128" s="552">
        <f>H128/DAY(B2)</f>
        <v>-1.4904761904762425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5"/>
      <c r="C129" s="1145"/>
      <c r="D129" s="523"/>
      <c r="E129" s="478"/>
      <c r="F129" s="478"/>
      <c r="G129" s="1340">
        <f>G15-SUM(G124:G128)</f>
        <v>367</v>
      </c>
      <c r="H129" s="460">
        <f>G129+'20'!H129</f>
        <v>-5795.0000000000055</v>
      </c>
      <c r="I129" s="480"/>
      <c r="J129" s="552">
        <f>H129/DAY(B2)</f>
        <v>-275.95238095238119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60"/>
      <c r="H130" s="540"/>
      <c r="I130" s="540"/>
      <c r="J130" s="564"/>
      <c r="N130" s="382"/>
      <c r="O130" s="382"/>
    </row>
    <row r="131" spans="1:15" ht="27.75">
      <c r="A131" s="1144" t="s">
        <v>238</v>
      </c>
      <c r="B131" s="1145"/>
      <c r="C131" s="1145"/>
      <c r="D131" s="523" t="s">
        <v>239</v>
      </c>
      <c r="E131" s="484">
        <f>'20'!F131</f>
        <v>0</v>
      </c>
      <c r="F131" s="484">
        <v>0</v>
      </c>
      <c r="G131" s="1340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240</v>
      </c>
      <c r="B132" s="1145"/>
      <c r="C132" s="1145"/>
      <c r="D132" s="523" t="s">
        <v>239</v>
      </c>
      <c r="E132" s="484">
        <f>'20'!F132</f>
        <v>0</v>
      </c>
      <c r="F132" s="484">
        <v>0</v>
      </c>
      <c r="G132" s="1340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4" t="s">
        <v>241</v>
      </c>
      <c r="B133" s="1145"/>
      <c r="C133" s="1145"/>
      <c r="D133" s="523" t="s">
        <v>239</v>
      </c>
      <c r="E133" s="541">
        <f>'20'!F133</f>
        <v>39659.230000000003</v>
      </c>
      <c r="F133" s="541">
        <v>39659.230000000003</v>
      </c>
      <c r="G133" s="1340">
        <f t="shared" si="16"/>
        <v>0</v>
      </c>
      <c r="H133" s="460">
        <f>G133+'20'!H133</f>
        <v>-87.25</v>
      </c>
      <c r="I133" s="480"/>
      <c r="J133" s="552">
        <f>H133/DAY(B2)</f>
        <v>-4.1547619047619051</v>
      </c>
      <c r="N133" s="382"/>
      <c r="O133" s="382"/>
    </row>
    <row r="134" spans="1:15" s="441" customFormat="1" ht="27.75">
      <c r="A134" s="1074" t="s">
        <v>242</v>
      </c>
      <c r="B134" s="1075"/>
      <c r="C134" s="1075"/>
      <c r="D134" s="627" t="s">
        <v>239</v>
      </c>
      <c r="E134" s="541">
        <f>'20'!F134</f>
        <v>300</v>
      </c>
      <c r="F134" s="541">
        <v>300</v>
      </c>
      <c r="G134" s="1362">
        <f t="shared" si="16"/>
        <v>0</v>
      </c>
      <c r="H134" s="708">
        <f>G134+'20'!H134</f>
        <v>0</v>
      </c>
      <c r="I134" s="1076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4" t="s">
        <v>243</v>
      </c>
      <c r="B135" s="1145"/>
      <c r="C135" s="1145"/>
      <c r="D135" s="523" t="s">
        <v>239</v>
      </c>
      <c r="E135" s="541">
        <f>'20'!F135</f>
        <v>41223</v>
      </c>
      <c r="F135" s="541">
        <v>41247</v>
      </c>
      <c r="G135" s="1340">
        <f t="shared" si="16"/>
        <v>24</v>
      </c>
      <c r="H135" s="460">
        <f>G135+'20'!H135</f>
        <v>-138</v>
      </c>
      <c r="I135" s="480"/>
      <c r="J135" s="552">
        <f>H135/DAY(B2)</f>
        <v>-6.5714285714285712</v>
      </c>
      <c r="N135" s="382"/>
      <c r="O135" s="382"/>
    </row>
    <row r="136" spans="1:15" ht="27.75">
      <c r="A136" s="1144" t="s">
        <v>244</v>
      </c>
      <c r="B136" s="1145"/>
      <c r="C136" s="1145"/>
      <c r="D136" s="523" t="s">
        <v>239</v>
      </c>
      <c r="E136" s="541">
        <f>'20'!F136</f>
        <v>32582.92</v>
      </c>
      <c r="F136" s="541">
        <v>32582.92</v>
      </c>
      <c r="G136" s="1340">
        <f t="shared" si="16"/>
        <v>0</v>
      </c>
      <c r="H136" s="460">
        <f>G136+'20'!H136</f>
        <v>-8.000000000174623E-2</v>
      </c>
      <c r="I136" s="480"/>
      <c r="J136" s="552">
        <f>H136/DAY(B2)</f>
        <v>-3.8095238096069635E-3</v>
      </c>
      <c r="N136" s="382"/>
      <c r="O136" s="382"/>
    </row>
    <row r="137" spans="1:15" ht="27.75">
      <c r="A137" s="1144" t="s">
        <v>245</v>
      </c>
      <c r="B137" s="1145"/>
      <c r="C137" s="1145"/>
      <c r="D137" s="523" t="s">
        <v>239</v>
      </c>
      <c r="E137" s="541">
        <f>'20'!F137</f>
        <v>22677.38</v>
      </c>
      <c r="F137" s="541">
        <v>22683</v>
      </c>
      <c r="G137" s="1340">
        <f t="shared" si="16"/>
        <v>5.6199999999989814</v>
      </c>
      <c r="H137" s="460">
        <f>G137+'20'!H137</f>
        <v>-56.590000000000146</v>
      </c>
      <c r="I137" s="480">
        <f>G135+G136+G137</f>
        <v>29.619999999998981</v>
      </c>
      <c r="J137" s="552">
        <f>H137/DAY(B2)</f>
        <v>-2.6947619047619118</v>
      </c>
      <c r="N137" s="382"/>
      <c r="O137" s="382"/>
    </row>
    <row r="138" spans="1:15" ht="27.75">
      <c r="A138" s="1144" t="s">
        <v>246</v>
      </c>
      <c r="B138" s="1145"/>
      <c r="C138" s="1145"/>
      <c r="D138" s="523" t="s">
        <v>239</v>
      </c>
      <c r="E138" s="541">
        <f>'20'!F138</f>
        <v>25050</v>
      </c>
      <c r="F138" s="541">
        <v>25050</v>
      </c>
      <c r="G138" s="1340">
        <f t="shared" si="16"/>
        <v>0</v>
      </c>
      <c r="H138" s="460">
        <f>G138+'20'!H138</f>
        <v>-1.5900000000001455</v>
      </c>
      <c r="I138" s="480"/>
      <c r="J138" s="552">
        <f>H138/DAY(B2)</f>
        <v>-7.5714285714292645E-2</v>
      </c>
      <c r="N138" s="382"/>
      <c r="O138" s="382"/>
    </row>
    <row r="139" spans="1:15" ht="27.75">
      <c r="A139" s="1144" t="s">
        <v>247</v>
      </c>
      <c r="B139" s="1145"/>
      <c r="C139" s="1145"/>
      <c r="D139" s="523" t="s">
        <v>239</v>
      </c>
      <c r="E139" s="541">
        <f>'20'!F139</f>
        <v>70291.039999999994</v>
      </c>
      <c r="F139" s="541">
        <v>70294.52</v>
      </c>
      <c r="G139" s="1340">
        <f t="shared" si="16"/>
        <v>3.4800000000104774</v>
      </c>
      <c r="H139" s="460">
        <f>G139+'20'!H139</f>
        <v>-21.289999999993597</v>
      </c>
      <c r="I139" s="480">
        <f>G138+G139</f>
        <v>3.4800000000104774</v>
      </c>
      <c r="J139" s="552">
        <f>H139/DAY(B2)</f>
        <v>-1.0138095238092188</v>
      </c>
      <c r="N139" s="382"/>
      <c r="O139" s="382"/>
    </row>
    <row r="140" spans="1:15" ht="27.75">
      <c r="A140" s="1144" t="s">
        <v>248</v>
      </c>
      <c r="B140" s="1145"/>
      <c r="C140" s="1145"/>
      <c r="D140" s="523" t="s">
        <v>239</v>
      </c>
      <c r="E140" s="484">
        <f>'20'!F140</f>
        <v>1536.52</v>
      </c>
      <c r="F140" s="484">
        <v>1541.03</v>
      </c>
      <c r="G140" s="1340">
        <f t="shared" si="16"/>
        <v>4.5099999999999909</v>
      </c>
      <c r="H140" s="460">
        <f>G140+'20'!H140</f>
        <v>-75.829999999999927</v>
      </c>
      <c r="I140" s="542"/>
      <c r="J140" s="552">
        <f>H140/DAY(B2)</f>
        <v>-3.6109523809523774</v>
      </c>
      <c r="N140" s="382"/>
      <c r="O140" s="382"/>
    </row>
    <row r="141" spans="1:15" ht="27.75">
      <c r="A141" s="1144" t="s">
        <v>249</v>
      </c>
      <c r="B141" s="1145"/>
      <c r="C141" s="1145"/>
      <c r="D141" s="523" t="s">
        <v>239</v>
      </c>
      <c r="E141" s="484">
        <f>'20'!F141</f>
        <v>4632.6000000000004</v>
      </c>
      <c r="F141" s="484">
        <v>4636.8599999999997</v>
      </c>
      <c r="G141" s="1340">
        <f t="shared" si="16"/>
        <v>4.2599999999993088</v>
      </c>
      <c r="H141" s="460">
        <f>G141+'20'!H141</f>
        <v>-0.14000000000032742</v>
      </c>
      <c r="I141" s="542"/>
      <c r="J141" s="552">
        <f>H141/DAY(B2)</f>
        <v>-6.6666666666822579E-3</v>
      </c>
      <c r="N141" s="382"/>
      <c r="O141" s="382"/>
    </row>
    <row r="142" spans="1:15">
      <c r="A142" s="1531" t="s">
        <v>250</v>
      </c>
      <c r="B142" s="1532"/>
      <c r="C142" s="1150"/>
      <c r="D142" s="472"/>
      <c r="E142" s="472"/>
      <c r="F142" s="472"/>
      <c r="G142" s="1343"/>
      <c r="H142" s="483"/>
      <c r="I142" s="483"/>
      <c r="J142" s="563"/>
      <c r="K142" s="380"/>
      <c r="L142" s="377"/>
      <c r="N142" s="382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1353">
        <f>G35+G43+G49+G57</f>
        <v>5110</v>
      </c>
      <c r="H143" s="460">
        <f>G143+'20'!H143</f>
        <v>-45633</v>
      </c>
      <c r="I143" s="480"/>
      <c r="J143" s="552">
        <f>H143/DAY(B2)</f>
        <v>-2173</v>
      </c>
      <c r="K143" s="380"/>
      <c r="L143" s="377"/>
      <c r="N143" s="382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1363">
        <f>G143/G7</f>
        <v>0.26064779393011989</v>
      </c>
      <c r="H144" s="460">
        <f>G144+'20'!H144</f>
        <v>5.2515431200359393</v>
      </c>
      <c r="I144" s="544"/>
      <c r="J144" s="552">
        <f>H144/DAY(B2)</f>
        <v>0.25007348190647327</v>
      </c>
      <c r="K144" s="380"/>
      <c r="L144" s="377"/>
      <c r="N144" s="382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1353">
        <f>G41+G42+G55+G56</f>
        <v>5862</v>
      </c>
      <c r="H145" s="460">
        <f>G145+'20'!H145</f>
        <v>294633.53000000003</v>
      </c>
      <c r="I145" s="480"/>
      <c r="J145" s="552">
        <f>H145/DAY(B2)</f>
        <v>14030.168095238096</v>
      </c>
      <c r="K145" s="380"/>
      <c r="L145" s="377"/>
      <c r="N145" s="382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1363">
        <f>G145/G7</f>
        <v>0.2990053557765876</v>
      </c>
      <c r="H146" s="460">
        <f>G146+'20'!H146</f>
        <v>6.243829740315447</v>
      </c>
      <c r="I146" s="544"/>
      <c r="J146" s="552">
        <f>H146/DAY(B2)</f>
        <v>0.29732522572930697</v>
      </c>
      <c r="K146" s="380"/>
      <c r="L146" s="377"/>
      <c r="N146" s="382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1353">
        <f>G39+G53</f>
        <v>3354</v>
      </c>
      <c r="H147" s="460">
        <f>G147+'20'!H147</f>
        <v>-13667</v>
      </c>
      <c r="I147" s="545"/>
      <c r="J147" s="552">
        <f>H147/DAY(B2)</f>
        <v>-650.80952380952385</v>
      </c>
      <c r="K147" s="380"/>
      <c r="L147" s="377"/>
      <c r="N147" s="382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1363">
        <f>G147/G7</f>
        <v>0.17107880642693191</v>
      </c>
      <c r="H148" s="460">
        <f>G148+'20'!H148</f>
        <v>3.0308828754622796</v>
      </c>
      <c r="I148" s="545"/>
      <c r="J148" s="552">
        <f>H148/DAY(B2)</f>
        <v>0.14432775597439426</v>
      </c>
      <c r="N148" s="382"/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1353">
        <f>G38+G52</f>
        <v>1434.0699999999488</v>
      </c>
      <c r="H149" s="460">
        <f>G149+'20'!H149</f>
        <v>-12641.930000000051</v>
      </c>
      <c r="I149" s="480"/>
      <c r="J149" s="552">
        <f>H149/DAY(B2)</f>
        <v>-601.99666666666906</v>
      </c>
      <c r="K149" s="381"/>
      <c r="N149" s="382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1363">
        <f>G149/G7</f>
        <v>7.3148176485587801E-2</v>
      </c>
      <c r="H150" s="460">
        <f>G150+'20'!H150</f>
        <v>1.5039329480367574</v>
      </c>
      <c r="I150" s="545"/>
      <c r="J150" s="552">
        <f>H150/DAY(B2)</f>
        <v>7.1615854668417023E-2</v>
      </c>
      <c r="N150" s="382"/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1353">
        <f>G36+G50</f>
        <v>1990</v>
      </c>
      <c r="H151" s="460">
        <f>G151+'20'!H151</f>
        <v>-16722</v>
      </c>
      <c r="I151" s="545"/>
      <c r="J151" s="552">
        <f>H151/DAY(B2)</f>
        <v>-796.28571428571433</v>
      </c>
      <c r="N151" s="382"/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1363">
        <f>G151/G7</f>
        <v>0.1015047181841367</v>
      </c>
      <c r="H152" s="460">
        <f>G152+'20'!H152</f>
        <v>1.39670241941381</v>
      </c>
      <c r="I152" s="480"/>
      <c r="J152" s="552">
        <f>H152/DAY(B2)</f>
        <v>6.6509639019705233E-2</v>
      </c>
      <c r="N152" s="382"/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1353">
        <f>G37+G51</f>
        <v>1328</v>
      </c>
      <c r="H153" s="460">
        <f>G153+'20'!H153</f>
        <v>-11701</v>
      </c>
      <c r="I153" s="480"/>
      <c r="J153" s="552">
        <f>H153/DAY(B2)</f>
        <v>-557.19047619047615</v>
      </c>
      <c r="N153" s="382"/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1364">
        <f>G153/G7</f>
        <v>6.7737821984187707E-2</v>
      </c>
      <c r="H154" s="460">
        <f>G154+'20'!H154</f>
        <v>1.5526554299832518</v>
      </c>
      <c r="I154" s="568"/>
      <c r="J154" s="569">
        <f>H154/DAY(B2)</f>
        <v>7.3935972856345317E-2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5"/>
      <c r="H155" s="547"/>
      <c r="I155" s="546"/>
      <c r="J155" s="548"/>
      <c r="O155" s="382"/>
    </row>
    <row r="161" spans="1:12">
      <c r="A161" s="788" t="s">
        <v>263</v>
      </c>
      <c r="B161" s="789"/>
      <c r="C161" s="789"/>
      <c r="D161" s="511" t="s">
        <v>187</v>
      </c>
      <c r="E161" s="661">
        <f>'20'!F161</f>
        <v>35108</v>
      </c>
      <c r="F161" s="661">
        <v>35194</v>
      </c>
      <c r="G161" s="1340">
        <f t="shared" ref="G161:G164" si="17">F161-E161</f>
        <v>86</v>
      </c>
      <c r="K161" s="376">
        <v>68.829999999999927</v>
      </c>
      <c r="L161" s="376">
        <f t="shared" ref="L161:L172" si="18">G161-K161</f>
        <v>17.170000000000073</v>
      </c>
    </row>
    <row r="162" spans="1:12">
      <c r="A162" s="788" t="s">
        <v>264</v>
      </c>
      <c r="B162" s="789"/>
      <c r="C162" s="789"/>
      <c r="D162" s="511" t="s">
        <v>187</v>
      </c>
      <c r="E162" s="661">
        <f>'20'!F162</f>
        <v>77768</v>
      </c>
      <c r="F162" s="661">
        <v>78227</v>
      </c>
      <c r="G162" s="1340">
        <f t="shared" si="17"/>
        <v>459</v>
      </c>
      <c r="K162" s="376">
        <v>122.46000000000004</v>
      </c>
      <c r="L162" s="376">
        <f t="shared" si="18"/>
        <v>336.53999999999996</v>
      </c>
    </row>
    <row r="163" spans="1:12">
      <c r="A163" s="788" t="s">
        <v>265</v>
      </c>
      <c r="B163" s="789"/>
      <c r="C163" s="789"/>
      <c r="D163" s="511" t="s">
        <v>187</v>
      </c>
      <c r="E163" s="661">
        <f>'20'!F163</f>
        <v>34855</v>
      </c>
      <c r="F163" s="661">
        <v>35129</v>
      </c>
      <c r="G163" s="1340">
        <f t="shared" si="17"/>
        <v>274</v>
      </c>
      <c r="K163" s="376">
        <v>139.42000000000007</v>
      </c>
      <c r="L163" s="376">
        <f t="shared" si="18"/>
        <v>134.57999999999993</v>
      </c>
    </row>
    <row r="164" spans="1:12">
      <c r="A164" s="788" t="s">
        <v>266</v>
      </c>
      <c r="B164" s="789"/>
      <c r="C164" s="789"/>
      <c r="D164" s="511" t="s">
        <v>187</v>
      </c>
      <c r="E164" s="661">
        <f>'20'!F164</f>
        <v>6046</v>
      </c>
      <c r="F164" s="661">
        <v>6064</v>
      </c>
      <c r="G164" s="1340">
        <f t="shared" si="17"/>
        <v>18</v>
      </c>
      <c r="K164" s="376">
        <v>49.659999999999968</v>
      </c>
      <c r="L164" s="376">
        <f t="shared" si="18"/>
        <v>-31.659999999999968</v>
      </c>
    </row>
    <row r="165" spans="1:12">
      <c r="A165" s="790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40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90" t="s">
        <v>188</v>
      </c>
      <c r="B166" s="604"/>
      <c r="C166" s="604"/>
      <c r="D166" s="511" t="s">
        <v>187</v>
      </c>
      <c r="E166" s="514">
        <f t="shared" ref="E166:E172" si="20">E63</f>
        <v>2308</v>
      </c>
      <c r="F166" s="514">
        <f t="shared" ref="F166:F172" si="21">F63</f>
        <v>2313</v>
      </c>
      <c r="G166" s="1340">
        <f t="shared" si="19"/>
        <v>5</v>
      </c>
      <c r="K166" s="376">
        <v>0</v>
      </c>
      <c r="L166" s="376">
        <f t="shared" si="18"/>
        <v>5</v>
      </c>
    </row>
    <row r="167" spans="1:12" ht="27.75">
      <c r="A167" s="1500" t="s">
        <v>99</v>
      </c>
      <c r="B167" s="1500"/>
      <c r="C167" s="1500"/>
      <c r="D167" s="523" t="s">
        <v>187</v>
      </c>
      <c r="E167" s="514">
        <f t="shared" si="20"/>
        <v>148801</v>
      </c>
      <c r="F167" s="514">
        <f t="shared" si="21"/>
        <v>149305</v>
      </c>
      <c r="G167" s="1340">
        <f t="shared" si="19"/>
        <v>504</v>
      </c>
      <c r="K167" s="376">
        <v>201.76000000000204</v>
      </c>
      <c r="L167" s="376">
        <f t="shared" si="18"/>
        <v>302.23999999999796</v>
      </c>
    </row>
    <row r="168" spans="1:12" ht="27.75">
      <c r="A168" s="1500" t="s">
        <v>100</v>
      </c>
      <c r="B168" s="1500"/>
      <c r="C168" s="1500"/>
      <c r="D168" s="523" t="s">
        <v>187</v>
      </c>
      <c r="E168" s="514">
        <f t="shared" si="20"/>
        <v>151419</v>
      </c>
      <c r="F168" s="514">
        <f t="shared" si="21"/>
        <v>151765</v>
      </c>
      <c r="G168" s="1340">
        <f t="shared" si="19"/>
        <v>346</v>
      </c>
      <c r="K168" s="376">
        <v>191.63000000000466</v>
      </c>
      <c r="L168" s="376">
        <f t="shared" si="18"/>
        <v>154.36999999999534</v>
      </c>
    </row>
    <row r="169" spans="1:12" ht="27.75">
      <c r="A169" s="1500" t="s">
        <v>101</v>
      </c>
      <c r="B169" s="1500"/>
      <c r="C169" s="1500"/>
      <c r="D169" s="523" t="s">
        <v>187</v>
      </c>
      <c r="E169" s="514">
        <f t="shared" si="20"/>
        <v>44994</v>
      </c>
      <c r="F169" s="514">
        <f t="shared" si="21"/>
        <v>45374</v>
      </c>
      <c r="G169" s="1340">
        <f t="shared" si="19"/>
        <v>380</v>
      </c>
      <c r="K169" s="376">
        <v>231.68000000000029</v>
      </c>
      <c r="L169" s="376">
        <f t="shared" si="18"/>
        <v>148.31999999999971</v>
      </c>
    </row>
    <row r="170" spans="1:12" ht="27.75">
      <c r="A170" s="1500" t="s">
        <v>102</v>
      </c>
      <c r="B170" s="1500"/>
      <c r="C170" s="1500"/>
      <c r="D170" s="523" t="s">
        <v>187</v>
      </c>
      <c r="E170" s="514">
        <f t="shared" si="20"/>
        <v>239527</v>
      </c>
      <c r="F170" s="514">
        <f t="shared" si="21"/>
        <v>239914</v>
      </c>
      <c r="G170" s="1340">
        <f t="shared" si="19"/>
        <v>387</v>
      </c>
      <c r="K170" s="376">
        <v>344.30000000000291</v>
      </c>
      <c r="L170" s="376">
        <f t="shared" si="18"/>
        <v>42.69999999999709</v>
      </c>
    </row>
    <row r="171" spans="1:12" ht="27.75">
      <c r="A171" s="1500" t="s">
        <v>103</v>
      </c>
      <c r="B171" s="1500"/>
      <c r="C171" s="1500"/>
      <c r="D171" s="523" t="s">
        <v>187</v>
      </c>
      <c r="E171" s="514">
        <f t="shared" si="20"/>
        <v>85321</v>
      </c>
      <c r="F171" s="514">
        <f t="shared" si="21"/>
        <v>85321</v>
      </c>
      <c r="G171" s="1340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00" t="s">
        <v>104</v>
      </c>
      <c r="B172" s="1500"/>
      <c r="C172" s="1500"/>
      <c r="D172" s="523" t="s">
        <v>187</v>
      </c>
      <c r="E172" s="514">
        <f t="shared" si="20"/>
        <v>78291</v>
      </c>
      <c r="F172" s="514">
        <f t="shared" si="21"/>
        <v>78342</v>
      </c>
      <c r="G172" s="1340">
        <f t="shared" si="19"/>
        <v>51</v>
      </c>
      <c r="K172" s="376">
        <v>57.709999999999127</v>
      </c>
      <c r="L172" s="376">
        <f t="shared" si="18"/>
        <v>-6.7099999999991269</v>
      </c>
    </row>
    <row r="173" spans="1:12">
      <c r="G173" s="1366">
        <f>SUM(G161:G172)</f>
        <v>2510</v>
      </c>
    </row>
    <row r="174" spans="1:12" ht="27.75">
      <c r="A174" s="1500" t="s">
        <v>357</v>
      </c>
      <c r="B174" s="1500"/>
      <c r="C174" s="1500"/>
      <c r="D174" s="523" t="s">
        <v>187</v>
      </c>
      <c r="E174" s="514">
        <v>27879</v>
      </c>
      <c r="F174" s="514">
        <v>27881</v>
      </c>
      <c r="G174" s="473">
        <f t="shared" ref="G174" si="22">F174-E174</f>
        <v>2</v>
      </c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topLeftCell="A44" zoomScale="55" zoomScaleNormal="71" zoomScaleSheetLayoutView="55" workbookViewId="0">
      <selection activeCell="F28" activeCellId="1" sqref="F28 F2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360</v>
      </c>
      <c r="B2" s="1036">
        <v>44308</v>
      </c>
      <c r="C2" s="1373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3" t="s">
        <v>120</v>
      </c>
      <c r="D3" s="612">
        <v>33</v>
      </c>
      <c r="E3" s="1542" t="s">
        <v>121</v>
      </c>
      <c r="F3" s="1543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3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36" t="s">
        <v>130</v>
      </c>
      <c r="B6" s="1537"/>
      <c r="C6" s="1538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5554276</v>
      </c>
      <c r="F7" s="455">
        <v>5574038</v>
      </c>
      <c r="G7" s="1340">
        <f>F7-E7</f>
        <v>19762</v>
      </c>
      <c r="H7" s="460">
        <f>G7+'21'!H7</f>
        <v>5729061</v>
      </c>
      <c r="I7" s="474">
        <f>'1'!I7</f>
        <v>12000</v>
      </c>
      <c r="J7" s="552">
        <f>H7/DAY(B2)</f>
        <v>260411.86363636365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5587413</v>
      </c>
      <c r="F8" s="475">
        <v>5607232</v>
      </c>
      <c r="G8" s="1341">
        <f>F8-E8</f>
        <v>19819</v>
      </c>
      <c r="H8" s="460">
        <f>G8+'21'!H8</f>
        <v>5762991</v>
      </c>
      <c r="I8" s="477">
        <f>'1'!I8</f>
        <v>12000</v>
      </c>
      <c r="J8" s="552">
        <f>H8/DAY(B2)</f>
        <v>261954.13636363635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822870</v>
      </c>
      <c r="F9" s="478">
        <v>842016</v>
      </c>
      <c r="G9" s="1340">
        <f t="shared" ref="G9:G12" si="0">F9-E9</f>
        <v>19146</v>
      </c>
      <c r="H9" s="460">
        <f>G9+'21'!H9</f>
        <v>-148698</v>
      </c>
      <c r="I9" s="479">
        <f>I8-J8</f>
        <v>-249954.13636363635</v>
      </c>
      <c r="J9" s="552">
        <f>H9/DAY(B2)</f>
        <v>-6759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40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19146</v>
      </c>
      <c r="H13" s="460">
        <f>G13+'21'!H13</f>
        <v>-163219</v>
      </c>
      <c r="I13" s="482">
        <f>G7-G13</f>
        <v>616</v>
      </c>
      <c r="J13" s="552">
        <f>H13/DAY(B2)</f>
        <v>-7419.045454545455</v>
      </c>
      <c r="K13" s="428"/>
      <c r="L13" s="377"/>
      <c r="N13" s="382"/>
      <c r="O13" s="382"/>
    </row>
    <row r="14" spans="1:15">
      <c r="A14" s="1539" t="s">
        <v>139</v>
      </c>
      <c r="B14" s="1540"/>
      <c r="C14" s="1541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371" t="s">
        <v>140</v>
      </c>
      <c r="B15" s="589"/>
      <c r="C15" s="589"/>
      <c r="D15" s="523" t="s">
        <v>141</v>
      </c>
      <c r="E15" s="484">
        <f>'21'!F15</f>
        <v>1664652</v>
      </c>
      <c r="F15" s="484">
        <v>1665419</v>
      </c>
      <c r="G15" s="1344">
        <f>(F15-E15)</f>
        <v>767</v>
      </c>
      <c r="H15" s="460">
        <f>G15+'21'!H15</f>
        <v>-5238</v>
      </c>
      <c r="I15" s="474">
        <v>800</v>
      </c>
      <c r="J15" s="552">
        <f>H15/DAY(B2)</f>
        <v>-238.09090909090909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1038.090909090909</v>
      </c>
      <c r="J16" s="553"/>
      <c r="K16" s="428"/>
      <c r="L16" s="377"/>
      <c r="N16" s="382"/>
      <c r="O16" s="382"/>
    </row>
    <row r="17" spans="1:15">
      <c r="A17" s="1539" t="s">
        <v>142</v>
      </c>
      <c r="B17" s="1540"/>
      <c r="C17" s="1541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84">
        <f>'21'!F18</f>
        <v>10</v>
      </c>
      <c r="F18" s="484">
        <v>10</v>
      </c>
      <c r="G18" s="1342">
        <f>F18*10</f>
        <v>100</v>
      </c>
      <c r="H18" s="460">
        <f>G18+'21'!H18</f>
        <v>1000</v>
      </c>
      <c r="I18" s="474">
        <f>'1'!I18</f>
        <v>65</v>
      </c>
      <c r="J18" s="552">
        <f>H18/DAY(B2)</f>
        <v>45.454545454545453</v>
      </c>
      <c r="K18" s="428"/>
      <c r="L18" s="377"/>
      <c r="N18" s="382"/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84">
        <f>'21'!F19</f>
        <v>137308</v>
      </c>
      <c r="F19" s="484">
        <v>137367</v>
      </c>
      <c r="G19" s="1340">
        <f t="shared" ref="G19" si="1">F19-E19</f>
        <v>59</v>
      </c>
      <c r="H19" s="460">
        <f>G19+'21'!H19</f>
        <v>-445</v>
      </c>
      <c r="I19" s="489"/>
      <c r="J19" s="552">
        <f>H19/DAY(B2)</f>
        <v>-20.227272727272727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159</v>
      </c>
      <c r="H20" s="460">
        <f>G20+'21'!H20</f>
        <v>555</v>
      </c>
      <c r="I20" s="492">
        <f>I18-J20</f>
        <v>39.772727272727273</v>
      </c>
      <c r="J20" s="552">
        <f>H20/DAY(B2)</f>
        <v>25.227272727272727</v>
      </c>
      <c r="K20" s="428"/>
      <c r="L20" s="377"/>
      <c r="N20" s="382"/>
      <c r="O20" s="382"/>
    </row>
    <row r="21" spans="1:15">
      <c r="A21" s="1539" t="s">
        <v>146</v>
      </c>
      <c r="B21" s="1540"/>
      <c r="C21" s="1541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371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1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19819</v>
      </c>
      <c r="F27" s="501">
        <v>9</v>
      </c>
      <c r="G27" s="1348">
        <f>E27*F27</f>
        <v>178371</v>
      </c>
      <c r="H27" s="460">
        <f>G27+'21'!H27</f>
        <v>51866919</v>
      </c>
      <c r="I27" s="503"/>
      <c r="J27" s="552">
        <f>H27/DAY(B2)</f>
        <v>2357587.2272727271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767</v>
      </c>
      <c r="F28" s="501">
        <v>49</v>
      </c>
      <c r="G28" s="1348">
        <f>E28*F28</f>
        <v>37583</v>
      </c>
      <c r="H28" s="460">
        <f>G28+'21'!H28</f>
        <v>-253876.34999999998</v>
      </c>
      <c r="I28" s="505"/>
      <c r="J28" s="552">
        <f>H28/DAY(B2)</f>
        <v>-11539.834090909089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59</v>
      </c>
      <c r="F30" s="501">
        <v>134</v>
      </c>
      <c r="G30" s="1348">
        <f>E30*F30</f>
        <v>7906</v>
      </c>
      <c r="H30" s="460">
        <f>G30+'21'!H30</f>
        <v>-59630</v>
      </c>
      <c r="I30" s="505"/>
      <c r="J30" s="552">
        <f>H30/DAY(B2)</f>
        <v>-2710.4545454545455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G31+'21'!H31</f>
        <v>80000</v>
      </c>
      <c r="I31" s="505"/>
      <c r="J31" s="552">
        <f>H31/DAY(B2)</f>
        <v>3636.3636363636365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231860</v>
      </c>
      <c r="H32" s="460">
        <f>G32+'21'!H32</f>
        <v>51633412.649999999</v>
      </c>
      <c r="I32" s="509"/>
      <c r="J32" s="552">
        <f>H32/DAY(B2)</f>
        <v>2346973.3022727272</v>
      </c>
      <c r="K32" s="373"/>
      <c r="L32" s="443"/>
      <c r="N32" s="444"/>
      <c r="O32" s="382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  <c r="O33" s="382"/>
    </row>
    <row r="34" spans="1:15">
      <c r="A34" s="598" t="s">
        <v>163</v>
      </c>
      <c r="B34" s="1376"/>
      <c r="C34" s="1376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862603</v>
      </c>
      <c r="F35" s="510">
        <v>865388</v>
      </c>
      <c r="G35" s="1340">
        <f t="shared" ref="G35:G46" si="2">F35-E35</f>
        <v>2785</v>
      </c>
      <c r="H35" s="460">
        <f>G35+'21'!H35</f>
        <v>-21071</v>
      </c>
      <c r="I35" s="455"/>
      <c r="J35" s="552">
        <f>H35/DAY(B2)</f>
        <v>-957.77272727272725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337724</v>
      </c>
      <c r="F36" s="510">
        <v>338785</v>
      </c>
      <c r="G36" s="1340">
        <f t="shared" si="2"/>
        <v>1061</v>
      </c>
      <c r="H36" s="460">
        <f>G36+'21'!H36</f>
        <v>-5823</v>
      </c>
      <c r="I36" s="455"/>
      <c r="J36" s="552">
        <f>H36/DAY(B2)</f>
        <v>-264.68181818181819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83524</v>
      </c>
      <c r="F37" s="510">
        <v>84867</v>
      </c>
      <c r="G37" s="1340">
        <f t="shared" si="2"/>
        <v>1343</v>
      </c>
      <c r="H37" s="460">
        <f>G37+'21'!H37</f>
        <v>-10358</v>
      </c>
      <c r="I37" s="455"/>
      <c r="J37" s="552">
        <f>H37/DAY(B2)</f>
        <v>-470.81818181818181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106954</v>
      </c>
      <c r="F38" s="469">
        <v>108416</v>
      </c>
      <c r="G38" s="1340">
        <f t="shared" si="2"/>
        <v>1462</v>
      </c>
      <c r="H38" s="460">
        <f>G38+'21'!H38</f>
        <v>-11180</v>
      </c>
      <c r="I38" s="455"/>
      <c r="J38" s="552">
        <f>H38/DAY(B2)</f>
        <v>-508.18181818181819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222175</v>
      </c>
      <c r="F39" s="510">
        <v>225009</v>
      </c>
      <c r="G39" s="1340">
        <f t="shared" si="2"/>
        <v>2834</v>
      </c>
      <c r="H39" s="460">
        <f>G39+'21'!H39</f>
        <v>-21644</v>
      </c>
      <c r="I39" s="455"/>
      <c r="J39" s="552">
        <f>H39/DAY(B2)</f>
        <v>-983.81818181818187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</v>
      </c>
      <c r="F40" s="510">
        <v>0</v>
      </c>
      <c r="G40" s="1340">
        <f t="shared" si="2"/>
        <v>0</v>
      </c>
      <c r="H40" s="460">
        <f>G40+'21'!H40</f>
        <v>-0.23000000000001819</v>
      </c>
      <c r="I40" s="455"/>
      <c r="J40" s="552">
        <f>H40/DAY(B2)</f>
        <v>-1.0454545454546282E-2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161910</v>
      </c>
      <c r="F41" s="510">
        <v>161910</v>
      </c>
      <c r="G41" s="1340">
        <f t="shared" si="2"/>
        <v>0</v>
      </c>
      <c r="H41" s="460">
        <f>G41+'21'!H41</f>
        <v>-19618</v>
      </c>
      <c r="I41" s="455"/>
      <c r="J41" s="552">
        <f>H41/DAY(B2)</f>
        <v>-891.72727272727275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</v>
      </c>
      <c r="F42" s="510">
        <v>59128</v>
      </c>
      <c r="G42" s="1340">
        <f t="shared" si="2"/>
        <v>0</v>
      </c>
      <c r="H42" s="460">
        <f>G42+'21'!H42</f>
        <v>-72</v>
      </c>
      <c r="I42" s="455"/>
      <c r="J42" s="552">
        <f>H42/DAY(B2)</f>
        <v>-3.2727272727272729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952470</v>
      </c>
      <c r="F43" s="510">
        <v>954798</v>
      </c>
      <c r="G43" s="1340">
        <f>F43-E43</f>
        <v>2328</v>
      </c>
      <c r="H43" s="460">
        <f>G43+'21'!H43</f>
        <v>-19160</v>
      </c>
      <c r="I43" s="455"/>
      <c r="J43" s="552">
        <f>H43/DAY(B2)</f>
        <v>-870.90909090909088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40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40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11813</v>
      </c>
      <c r="H47" s="460">
        <f>G47+'21'!H47</f>
        <v>-108925.78999999998</v>
      </c>
      <c r="I47" s="455"/>
      <c r="J47" s="552">
        <f>H47/DAY(B2)</f>
        <v>-4951.1722727272718</v>
      </c>
      <c r="K47" s="428"/>
      <c r="L47" s="377"/>
      <c r="N47" s="382"/>
      <c r="O47" s="382"/>
    </row>
    <row r="48" spans="1:15">
      <c r="A48" s="598" t="s">
        <v>177</v>
      </c>
      <c r="B48" s="1376"/>
      <c r="C48" s="1376"/>
      <c r="D48" s="472"/>
      <c r="E48" s="471"/>
      <c r="F48" s="471"/>
      <c r="G48" s="135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0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464698</v>
      </c>
      <c r="F50" s="510">
        <v>465653</v>
      </c>
      <c r="G50" s="1340">
        <f t="shared" si="3"/>
        <v>955</v>
      </c>
      <c r="H50" s="460">
        <f>G50+'21'!H50</f>
        <v>-9822</v>
      </c>
      <c r="I50" s="455"/>
      <c r="J50" s="552">
        <f>H50/DAY(B2)</f>
        <v>-446.45454545454544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40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0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411177</v>
      </c>
      <c r="F53" s="510">
        <v>411707</v>
      </c>
      <c r="G53" s="1340">
        <f t="shared" si="3"/>
        <v>530</v>
      </c>
      <c r="H53" s="460">
        <f>G53+'21'!H53</f>
        <v>10818</v>
      </c>
      <c r="I53" s="455"/>
      <c r="J53" s="552">
        <f>H53/DAY(B2)</f>
        <v>491.72727272727275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10712</v>
      </c>
      <c r="F54" s="510">
        <v>10788</v>
      </c>
      <c r="G54" s="1340">
        <f t="shared" si="3"/>
        <v>76</v>
      </c>
      <c r="H54" s="460">
        <f>G54+'21'!H54</f>
        <v>3026</v>
      </c>
      <c r="I54" s="455"/>
      <c r="J54" s="552">
        <f>H54/DAY(B2)</f>
        <v>137.54545454545453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314444</v>
      </c>
      <c r="F55" s="510">
        <v>320364</v>
      </c>
      <c r="G55" s="1340">
        <f t="shared" si="3"/>
        <v>5920</v>
      </c>
      <c r="H55" s="460">
        <f>G55+'21'!H55</f>
        <v>320364</v>
      </c>
      <c r="I55" s="455"/>
      <c r="J55" s="552">
        <f>H55/DAY(B2)</f>
        <v>14562</v>
      </c>
      <c r="K55" s="428"/>
      <c r="L55" s="377"/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'21'!F56</f>
        <v>589168</v>
      </c>
      <c r="F56" s="656">
        <v>589178</v>
      </c>
      <c r="G56" s="1362">
        <f t="shared" si="3"/>
        <v>10</v>
      </c>
      <c r="H56" s="708">
        <f>G56+'21'!H56</f>
        <v>-110.35999999998603</v>
      </c>
      <c r="I56" s="709"/>
      <c r="J56" s="710">
        <f>H56/DAY(B2)</f>
        <v>-5.0163636363630015</v>
      </c>
      <c r="K56" s="1367"/>
      <c r="L56" s="1110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45378</v>
      </c>
      <c r="F58" s="510">
        <v>45539</v>
      </c>
      <c r="G58" s="1340">
        <f t="shared" si="3"/>
        <v>161</v>
      </c>
      <c r="H58" s="460">
        <f>G58+'21'!H58</f>
        <v>-1178</v>
      </c>
      <c r="I58" s="455"/>
      <c r="J58" s="552">
        <f>H58/DAY(B2)</f>
        <v>-53.545454545454547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7652</v>
      </c>
      <c r="H59" s="460">
        <f>G59+'21'!H59</f>
        <v>323097.71000000002</v>
      </c>
      <c r="I59" s="455">
        <f>G7-G60</f>
        <v>297</v>
      </c>
      <c r="J59" s="552">
        <f>H59/DAY(B2)</f>
        <v>14686.259545454546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19465</v>
      </c>
      <c r="H60" s="460">
        <f>G60+'21'!H60</f>
        <v>215755.81000000003</v>
      </c>
      <c r="I60" s="455">
        <f>G13-G60</f>
        <v>-319</v>
      </c>
      <c r="J60" s="552">
        <f>H47/DAY(B2)</f>
        <v>-4951.1722727272718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0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2313</v>
      </c>
      <c r="F63" s="514">
        <v>2318</v>
      </c>
      <c r="G63" s="1340">
        <f t="shared" si="4"/>
        <v>5</v>
      </c>
      <c r="H63" s="460">
        <f>G63+'21'!H63</f>
        <v>-41</v>
      </c>
      <c r="I63" s="515"/>
      <c r="J63" s="552">
        <f>H63/DAY(B2)</f>
        <v>-1.8636363636363635</v>
      </c>
      <c r="K63" s="428"/>
      <c r="L63" s="377"/>
      <c r="N63" s="382"/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84">
        <f>'21'!F64</f>
        <v>149305</v>
      </c>
      <c r="F64" s="484">
        <v>149809</v>
      </c>
      <c r="G64" s="1340">
        <f t="shared" si="4"/>
        <v>504</v>
      </c>
      <c r="H64" s="460">
        <f>G64+'21'!H64</f>
        <v>-3490</v>
      </c>
      <c r="I64" s="480"/>
      <c r="J64" s="552">
        <f>H64/DAY(B2)</f>
        <v>-158.63636363636363</v>
      </c>
      <c r="K64" s="428"/>
      <c r="L64" s="377"/>
      <c r="N64" s="382"/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84">
        <f>'21'!F65</f>
        <v>151765</v>
      </c>
      <c r="F65" s="484">
        <v>152128</v>
      </c>
      <c r="G65" s="1340">
        <f t="shared" si="4"/>
        <v>363</v>
      </c>
      <c r="H65" s="460">
        <f>G65+'21'!H65</f>
        <v>-2471</v>
      </c>
      <c r="I65" s="489"/>
      <c r="J65" s="552">
        <f>H65/DAY(B2)</f>
        <v>-112.31818181818181</v>
      </c>
      <c r="K65" s="428"/>
      <c r="L65" s="377"/>
      <c r="N65" s="382"/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84">
        <f>'21'!F66</f>
        <v>45374</v>
      </c>
      <c r="F66" s="484">
        <v>45757</v>
      </c>
      <c r="G66" s="1340">
        <f t="shared" si="4"/>
        <v>383</v>
      </c>
      <c r="H66" s="460">
        <f>G66+'21'!H66</f>
        <v>-2814</v>
      </c>
      <c r="I66" s="480"/>
      <c r="J66" s="552">
        <f>H66/DAY(B2)</f>
        <v>-127.90909090909091</v>
      </c>
      <c r="K66" s="428"/>
      <c r="L66" s="377"/>
      <c r="N66" s="382"/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84">
        <f>'21'!F67</f>
        <v>239914</v>
      </c>
      <c r="F67" s="484">
        <v>240310</v>
      </c>
      <c r="G67" s="1340">
        <f t="shared" si="4"/>
        <v>396</v>
      </c>
      <c r="H67" s="460">
        <f>G67+'21'!H67</f>
        <v>-2864</v>
      </c>
      <c r="I67" s="489"/>
      <c r="J67" s="552">
        <f>H67/DAY(B2)</f>
        <v>-130.18181818181819</v>
      </c>
      <c r="K67" s="429"/>
      <c r="L67" s="377"/>
      <c r="N67" s="382"/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84">
        <v>85321</v>
      </c>
      <c r="F68" s="484">
        <v>85321</v>
      </c>
      <c r="G68" s="1340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84">
        <f>'21'!F69</f>
        <v>78342</v>
      </c>
      <c r="F69" s="484">
        <v>78385</v>
      </c>
      <c r="G69" s="1340">
        <f t="shared" si="4"/>
        <v>43</v>
      </c>
      <c r="H69" s="460">
        <f>G69+'21'!H69</f>
        <v>-609</v>
      </c>
      <c r="I69" s="516"/>
      <c r="J69" s="552">
        <f>H69/DAY(B2)</f>
        <v>-27.681818181818183</v>
      </c>
      <c r="K69" s="431"/>
      <c r="L69" s="377"/>
      <c r="N69" s="382"/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135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519">
        <f>'21'!F72</f>
        <v>855005</v>
      </c>
      <c r="F72" s="519">
        <v>855061</v>
      </c>
      <c r="G72" s="1340">
        <f t="shared" ref="G72:G84" si="5">F72-E72</f>
        <v>56</v>
      </c>
      <c r="H72" s="460">
        <f>G72+'21'!H72</f>
        <v>-411</v>
      </c>
      <c r="I72" s="480"/>
      <c r="J72" s="552">
        <f>H72/DAY(B2)</f>
        <v>-18.681818181818183</v>
      </c>
      <c r="K72" s="431"/>
      <c r="L72" s="377"/>
      <c r="N72" s="382"/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520">
        <f>'21'!F73</f>
        <v>885831</v>
      </c>
      <c r="F73" s="520">
        <v>885832</v>
      </c>
      <c r="G73" s="1340">
        <f t="shared" si="5"/>
        <v>1</v>
      </c>
      <c r="H73" s="460">
        <f>G73+'21'!H73</f>
        <v>136</v>
      </c>
      <c r="I73" s="480"/>
      <c r="J73" s="552">
        <f>H73/DAY(B2)</f>
        <v>6.1818181818181817</v>
      </c>
      <c r="K73" s="430"/>
      <c r="L73" s="377"/>
      <c r="N73" s="382"/>
      <c r="O73" s="382"/>
    </row>
    <row r="74" spans="1:15" ht="27.75">
      <c r="A74" s="1580" t="s">
        <v>193</v>
      </c>
      <c r="B74" s="1581"/>
      <c r="C74" s="1582"/>
      <c r="D74" s="523" t="s">
        <v>187</v>
      </c>
      <c r="E74" s="521">
        <f>'21'!F74</f>
        <v>1994</v>
      </c>
      <c r="F74" s="521">
        <v>2022</v>
      </c>
      <c r="G74" s="1340">
        <f t="shared" si="5"/>
        <v>28</v>
      </c>
      <c r="H74" s="460">
        <f>G74+'21'!H74</f>
        <v>-257</v>
      </c>
      <c r="I74" s="480"/>
      <c r="J74" s="552">
        <f>H74/DAY(B2)</f>
        <v>-11.681818181818182</v>
      </c>
      <c r="K74" s="431"/>
      <c r="L74" s="377"/>
      <c r="N74" s="382"/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521">
        <f>'21'!F75</f>
        <v>10427</v>
      </c>
      <c r="F75" s="521">
        <v>10503</v>
      </c>
      <c r="G75" s="1340">
        <f t="shared" si="5"/>
        <v>76</v>
      </c>
      <c r="H75" s="460">
        <f>G75+'21'!H75</f>
        <v>-467</v>
      </c>
      <c r="I75" s="480"/>
      <c r="J75" s="552">
        <f>H75/DAY(B2)</f>
        <v>-21.227272727272727</v>
      </c>
      <c r="K75" s="430"/>
      <c r="L75" s="377"/>
      <c r="N75" s="382"/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520">
        <f>'21'!F76</f>
        <v>5318</v>
      </c>
      <c r="F76" s="648">
        <v>5359</v>
      </c>
      <c r="G76" s="1340">
        <f t="shared" si="5"/>
        <v>41</v>
      </c>
      <c r="H76" s="460">
        <f>G76+'21'!H76</f>
        <v>-357.95000000000073</v>
      </c>
      <c r="I76" s="505"/>
      <c r="J76" s="552">
        <f>H76/DAY(B2)</f>
        <v>-16.27045454545458</v>
      </c>
      <c r="K76" s="430"/>
      <c r="L76" s="377"/>
      <c r="N76" s="382"/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521">
        <f>'21'!F77</f>
        <v>701168</v>
      </c>
      <c r="F77" s="521">
        <v>701203</v>
      </c>
      <c r="G77" s="1340">
        <f t="shared" si="5"/>
        <v>35</v>
      </c>
      <c r="H77" s="460">
        <f>G77+'21'!H77</f>
        <v>-359</v>
      </c>
      <c r="I77" s="505"/>
      <c r="J77" s="552">
        <f>H77/DAY(B2)</f>
        <v>-16.318181818181817</v>
      </c>
      <c r="K77" s="430"/>
      <c r="L77" s="377"/>
      <c r="N77" s="382"/>
      <c r="O77" s="382"/>
    </row>
    <row r="78" spans="1:15" ht="27.75">
      <c r="A78" s="1374" t="s">
        <v>197</v>
      </c>
      <c r="B78" s="1368"/>
      <c r="C78" s="1368"/>
      <c r="D78" s="523" t="s">
        <v>187</v>
      </c>
      <c r="E78" s="521">
        <f>'21'!F78</f>
        <v>669299</v>
      </c>
      <c r="F78" s="521">
        <v>669346</v>
      </c>
      <c r="G78" s="1340">
        <f t="shared" si="5"/>
        <v>47</v>
      </c>
      <c r="H78" s="460">
        <f>G78+'21'!H78</f>
        <v>-679</v>
      </c>
      <c r="I78" s="505"/>
      <c r="J78" s="552">
        <f>H78/DAY(B2)</f>
        <v>-30.863636363636363</v>
      </c>
      <c r="K78" s="430"/>
      <c r="L78" s="377"/>
      <c r="N78" s="382"/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521">
        <f>'21'!F79</f>
        <v>825121</v>
      </c>
      <c r="F79" s="521">
        <v>825300</v>
      </c>
      <c r="G79" s="1340">
        <f t="shared" si="5"/>
        <v>179</v>
      </c>
      <c r="H79" s="460">
        <f>G79+'21'!H79</f>
        <v>-2431</v>
      </c>
      <c r="I79" s="505"/>
      <c r="J79" s="552">
        <f>H79/DAY(B2)</f>
        <v>-110.5</v>
      </c>
      <c r="K79" s="430"/>
      <c r="L79" s="377"/>
      <c r="N79" s="382"/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520">
        <f>'21'!F80</f>
        <v>513384</v>
      </c>
      <c r="F80" s="520">
        <v>513749</v>
      </c>
      <c r="G80" s="1340">
        <f t="shared" si="5"/>
        <v>365</v>
      </c>
      <c r="H80" s="460">
        <f>G80+'21'!H80</f>
        <v>-5712</v>
      </c>
      <c r="I80" s="505"/>
      <c r="J80" s="552">
        <f>H80/DAY(B2)</f>
        <v>-259.63636363636363</v>
      </c>
      <c r="K80" s="430"/>
      <c r="L80" s="377"/>
      <c r="N80" s="382"/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520">
        <f>'21'!F81</f>
        <v>635287</v>
      </c>
      <c r="F81" s="520">
        <v>635486</v>
      </c>
      <c r="G81" s="1340">
        <f t="shared" si="5"/>
        <v>199</v>
      </c>
      <c r="H81" s="460">
        <f>G81+'21'!H81</f>
        <v>-992</v>
      </c>
      <c r="I81" s="505"/>
      <c r="J81" s="552">
        <f>H81/DAY(B2)</f>
        <v>-45.090909090909093</v>
      </c>
      <c r="K81" s="430"/>
      <c r="L81" s="377"/>
      <c r="N81" s="382"/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522">
        <f>'21'!F82</f>
        <v>107403</v>
      </c>
      <c r="F82" s="522">
        <v>107430</v>
      </c>
      <c r="G82" s="1340">
        <f t="shared" si="5"/>
        <v>27</v>
      </c>
      <c r="H82" s="460">
        <f>G82+'21'!H82</f>
        <v>-182</v>
      </c>
      <c r="I82" s="486"/>
      <c r="J82" s="552">
        <f>H82/DAY(B2)</f>
        <v>-8.2727272727272734</v>
      </c>
      <c r="K82" s="430"/>
      <c r="L82" s="377"/>
      <c r="N82" s="382"/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511">
        <f>'21'!F83</f>
        <v>12762</v>
      </c>
      <c r="F83" s="511">
        <v>12975</v>
      </c>
      <c r="G83" s="1340">
        <f t="shared" si="5"/>
        <v>213</v>
      </c>
      <c r="H83" s="460">
        <f>G83+'21'!H83</f>
        <v>-1796</v>
      </c>
      <c r="I83" s="481"/>
      <c r="J83" s="552">
        <f>H83/DAY(B2)</f>
        <v>-81.63636363636364</v>
      </c>
      <c r="K83" s="429"/>
      <c r="L83" s="377"/>
      <c r="N83" s="382"/>
      <c r="O83" s="724"/>
    </row>
    <row r="84" spans="1:15">
      <c r="A84" s="1375" t="s">
        <v>201</v>
      </c>
      <c r="B84" s="571"/>
      <c r="C84" s="571"/>
      <c r="D84" s="478" t="s">
        <v>132</v>
      </c>
      <c r="E84" s="627">
        <f>'21'!F84</f>
        <v>473071</v>
      </c>
      <c r="F84" s="627">
        <v>473853</v>
      </c>
      <c r="G84" s="1340">
        <f t="shared" si="5"/>
        <v>782</v>
      </c>
      <c r="H84" s="460">
        <f>G84+'21'!H84</f>
        <v>-6280</v>
      </c>
      <c r="I84" s="481"/>
      <c r="J84" s="552">
        <f>H84/DAY(B2)</f>
        <v>-285.45454545454544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2049</v>
      </c>
      <c r="H85" s="460">
        <f>G85+'21'!H85</f>
        <v>-16279</v>
      </c>
      <c r="I85" s="481"/>
      <c r="J85" s="552">
        <f>H85/DAY(B2)</f>
        <v>-739.9545454545455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458301</v>
      </c>
      <c r="F86" s="650">
        <v>458325</v>
      </c>
      <c r="G86" s="1354">
        <f t="shared" ref="G86:G88" si="6">F86-E86</f>
        <v>24</v>
      </c>
      <c r="H86" s="460">
        <f>G86+'21'!H86</f>
        <v>-2153</v>
      </c>
      <c r="I86" s="655"/>
      <c r="J86" s="710">
        <f>H86/DAY(B2)</f>
        <v>-97.86363636363636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80802</v>
      </c>
      <c r="F87" s="650">
        <v>80813</v>
      </c>
      <c r="G87" s="1354">
        <f t="shared" si="6"/>
        <v>11</v>
      </c>
      <c r="H87" s="460">
        <f>G87+'21'!H87</f>
        <v>-303</v>
      </c>
      <c r="I87" s="655"/>
      <c r="J87" s="710">
        <f>H87/DAY(B2)</f>
        <v>-13.772727272727273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151496</v>
      </c>
      <c r="F88" s="650">
        <v>151518</v>
      </c>
      <c r="G88" s="1354">
        <f t="shared" si="6"/>
        <v>22</v>
      </c>
      <c r="H88" s="460">
        <f>G88+'21'!H88</f>
        <v>-1002</v>
      </c>
      <c r="I88" s="655"/>
      <c r="J88" s="710">
        <f>H88/DAY(B2)</f>
        <v>-45.545454545454547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64460</v>
      </c>
      <c r="F89" s="650">
        <v>64504</v>
      </c>
      <c r="G89" s="1354">
        <f t="shared" ref="G89:G90" si="7">F89-E89</f>
        <v>44</v>
      </c>
      <c r="H89" s="460">
        <f>G89+'21'!H89</f>
        <v>-439</v>
      </c>
      <c r="I89" s="655"/>
      <c r="J89" s="710">
        <f>H89/DAY(B2)</f>
        <v>-19.954545454545453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</v>
      </c>
      <c r="F90" s="650">
        <v>3272</v>
      </c>
      <c r="G90" s="1354">
        <f t="shared" si="7"/>
        <v>0</v>
      </c>
      <c r="H90" s="460">
        <f>G90+'21'!H90</f>
        <v>-0.6999999999998181</v>
      </c>
      <c r="I90" s="655"/>
      <c r="J90" s="710">
        <f>H90/DAY(B2)</f>
        <v>-3.1818181818173551E-2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50">
        <f>'21'!F91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377"/>
      <c r="C92" s="1377"/>
      <c r="D92" s="472"/>
      <c r="E92" s="472"/>
      <c r="F92" s="472">
        <v>3272</v>
      </c>
      <c r="G92" s="1343"/>
      <c r="H92" s="472"/>
      <c r="I92" s="472"/>
      <c r="J92" s="551"/>
      <c r="K92" s="380"/>
      <c r="L92" s="378"/>
      <c r="N92" s="780"/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'21'!F93</f>
        <v>244077</v>
      </c>
      <c r="F93" s="484">
        <v>244138</v>
      </c>
      <c r="G93" s="1340">
        <f t="shared" ref="G93:G94" si="8">F93-E93</f>
        <v>61</v>
      </c>
      <c r="H93" s="460">
        <f>G93+'21'!H93</f>
        <v>-386</v>
      </c>
      <c r="I93" s="480"/>
      <c r="J93" s="552">
        <f>H93/DAY(B2)</f>
        <v>-17.545454545454547</v>
      </c>
      <c r="K93" s="429"/>
      <c r="L93" s="377"/>
      <c r="N93" s="382"/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'21'!F94</f>
        <v>182715</v>
      </c>
      <c r="F94" s="484">
        <v>182796</v>
      </c>
      <c r="G94" s="1340">
        <f t="shared" si="8"/>
        <v>81</v>
      </c>
      <c r="H94" s="460">
        <f>G94+'21'!H94</f>
        <v>-735</v>
      </c>
      <c r="I94" s="480"/>
      <c r="J94" s="552">
        <f>H94/DAY(B2)</f>
        <v>-33.409090909090907</v>
      </c>
      <c r="K94" s="380"/>
      <c r="L94" s="377"/>
      <c r="N94" s="382"/>
      <c r="O94" s="382"/>
    </row>
    <row r="95" spans="1:15">
      <c r="A95" s="1553" t="s">
        <v>208</v>
      </c>
      <c r="B95" s="1554"/>
      <c r="C95" s="1555"/>
      <c r="D95" s="523"/>
      <c r="E95" s="484">
        <f>'21'!F95</f>
        <v>0</v>
      </c>
      <c r="F95" s="484"/>
      <c r="G95" s="1340">
        <f>G93+G94</f>
        <v>142</v>
      </c>
      <c r="H95" s="460">
        <f>G95+'21'!H95</f>
        <v>-1268</v>
      </c>
      <c r="I95" s="480"/>
      <c r="J95" s="552">
        <f>H95/DAY(B2)</f>
        <v>-57.636363636363633</v>
      </c>
      <c r="K95" s="380"/>
      <c r="L95" s="377"/>
      <c r="N95" s="382"/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'21'!F96</f>
        <v>412293</v>
      </c>
      <c r="F96" s="484">
        <v>412357</v>
      </c>
      <c r="G96" s="1340">
        <f t="shared" ref="G96:G101" si="9">F96-E96</f>
        <v>64</v>
      </c>
      <c r="H96" s="460">
        <f>G96+'21'!H96</f>
        <v>-529</v>
      </c>
      <c r="I96" s="480"/>
      <c r="J96" s="552">
        <f>H96/DAY(B2)</f>
        <v>-24.045454545454547</v>
      </c>
      <c r="K96" s="380"/>
      <c r="L96" s="377"/>
      <c r="N96" s="382"/>
      <c r="O96" s="382"/>
    </row>
    <row r="97" spans="1:15" ht="27.75">
      <c r="A97" s="1371" t="s">
        <v>210</v>
      </c>
      <c r="B97" s="1372"/>
      <c r="C97" s="1372"/>
      <c r="D97" s="523" t="s">
        <v>144</v>
      </c>
      <c r="E97" s="484">
        <f>'21'!F97</f>
        <v>102198</v>
      </c>
      <c r="F97" s="484">
        <v>102215</v>
      </c>
      <c r="G97" s="1340">
        <f t="shared" si="9"/>
        <v>17</v>
      </c>
      <c r="H97" s="460">
        <f>G97+'21'!H97</f>
        <v>-128</v>
      </c>
      <c r="I97" s="480"/>
      <c r="J97" s="552">
        <f>H97/DAY(B2)</f>
        <v>-5.8181818181818183</v>
      </c>
      <c r="K97" s="427"/>
      <c r="L97" s="377"/>
      <c r="N97" s="382"/>
      <c r="O97" s="382"/>
    </row>
    <row r="98" spans="1:15" ht="27.75">
      <c r="A98" s="1371" t="s">
        <v>211</v>
      </c>
      <c r="B98" s="1372"/>
      <c r="C98" s="1372"/>
      <c r="D98" s="523" t="s">
        <v>144</v>
      </c>
      <c r="E98" s="484">
        <f>'21'!F98</f>
        <v>97293</v>
      </c>
      <c r="F98" s="484">
        <v>97312</v>
      </c>
      <c r="G98" s="1340">
        <f t="shared" si="9"/>
        <v>19</v>
      </c>
      <c r="H98" s="460">
        <f>G98+'21'!H98</f>
        <v>-115</v>
      </c>
      <c r="I98" s="480"/>
      <c r="J98" s="552">
        <f>H98/DAY(B2)</f>
        <v>-5.2272727272727275</v>
      </c>
      <c r="K98" s="432"/>
      <c r="L98" s="377"/>
      <c r="N98" s="382"/>
      <c r="O98" s="382"/>
    </row>
    <row r="99" spans="1:15" ht="27.75">
      <c r="A99" s="1371" t="s">
        <v>212</v>
      </c>
      <c r="B99" s="1372"/>
      <c r="C99" s="1372"/>
      <c r="D99" s="523" t="s">
        <v>144</v>
      </c>
      <c r="E99" s="484">
        <f>'21'!F99</f>
        <v>149472</v>
      </c>
      <c r="F99" s="484">
        <v>149479</v>
      </c>
      <c r="G99" s="1340">
        <f t="shared" si="9"/>
        <v>7</v>
      </c>
      <c r="H99" s="460">
        <f>G99+'21'!H99</f>
        <v>-54</v>
      </c>
      <c r="I99" s="480"/>
      <c r="J99" s="552">
        <f>H99/DAY(B2)</f>
        <v>-2.4545454545454546</v>
      </c>
      <c r="K99" s="380"/>
      <c r="L99" s="377"/>
      <c r="N99" s="382"/>
      <c r="O99" s="382"/>
    </row>
    <row r="100" spans="1:15" ht="27.75">
      <c r="A100" s="1371" t="s">
        <v>213</v>
      </c>
      <c r="B100" s="1372"/>
      <c r="C100" s="1372"/>
      <c r="D100" s="523" t="s">
        <v>144</v>
      </c>
      <c r="E100" s="484">
        <f>'21'!F100</f>
        <v>7123</v>
      </c>
      <c r="F100" s="484">
        <v>7135</v>
      </c>
      <c r="G100" s="1340">
        <f t="shared" si="9"/>
        <v>12</v>
      </c>
      <c r="H100" s="460">
        <f>G100+'21'!H100</f>
        <v>-50</v>
      </c>
      <c r="I100" s="480"/>
      <c r="J100" s="552">
        <f>H100/DAY(B2)</f>
        <v>-2.2727272727272729</v>
      </c>
      <c r="K100" s="380"/>
      <c r="L100" s="377"/>
      <c r="N100" s="382"/>
      <c r="O100" s="382"/>
    </row>
    <row r="101" spans="1:15" ht="27.75">
      <c r="A101" s="1371" t="s">
        <v>214</v>
      </c>
      <c r="B101" s="1372"/>
      <c r="C101" s="1372"/>
      <c r="D101" s="523" t="s">
        <v>144</v>
      </c>
      <c r="E101" s="484">
        <f>'21'!F101</f>
        <v>5088</v>
      </c>
      <c r="F101" s="484">
        <v>5094</v>
      </c>
      <c r="G101" s="1340">
        <f t="shared" si="9"/>
        <v>6</v>
      </c>
      <c r="H101" s="460">
        <f>G101+'21'!H101</f>
        <v>-44</v>
      </c>
      <c r="I101" s="480"/>
      <c r="J101" s="552">
        <f>H101/DAY(B2)</f>
        <v>-2</v>
      </c>
      <c r="K101" s="380"/>
      <c r="L101" s="377"/>
      <c r="N101" s="382"/>
      <c r="O101" s="382"/>
    </row>
    <row r="102" spans="1:15">
      <c r="A102" s="1553" t="s">
        <v>216</v>
      </c>
      <c r="B102" s="1554"/>
      <c r="C102" s="1555"/>
      <c r="D102" s="524"/>
      <c r="E102" s="524"/>
      <c r="F102" s="524"/>
      <c r="G102" s="1355">
        <f>SUM(G96:G101)</f>
        <v>125</v>
      </c>
      <c r="H102" s="460">
        <f>G102+'21'!H102</f>
        <v>-920</v>
      </c>
      <c r="I102" s="526"/>
      <c r="J102" s="552">
        <f>H102/DAY(B2)</f>
        <v>-41.81818181818182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6"/>
      <c r="H103" s="530"/>
      <c r="I103" s="531"/>
      <c r="J103" s="557"/>
      <c r="N103" s="444"/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1357"/>
      <c r="H104" s="533"/>
      <c r="I104" s="532"/>
      <c r="J104" s="558"/>
      <c r="N104" s="444"/>
      <c r="O104" s="382"/>
    </row>
    <row r="105" spans="1:15" s="442" customFormat="1" ht="27.75">
      <c r="A105" s="1517" t="s">
        <v>219</v>
      </c>
      <c r="B105" s="1518"/>
      <c r="C105" s="1370"/>
      <c r="D105" s="622" t="s">
        <v>144</v>
      </c>
      <c r="E105" s="532">
        <f>'21'!F105</f>
        <v>7400</v>
      </c>
      <c r="F105" s="532">
        <v>7405</v>
      </c>
      <c r="G105" s="1357">
        <f>F105-E105</f>
        <v>5</v>
      </c>
      <c r="H105" s="460">
        <f>SUM(G105+'1'!G76)</f>
        <v>62</v>
      </c>
      <c r="I105" s="532"/>
      <c r="J105" s="558">
        <f>H105/DAY(B2)</f>
        <v>2.8181818181818183</v>
      </c>
      <c r="N105" s="444"/>
      <c r="O105" s="382"/>
    </row>
    <row r="106" spans="1:15" s="442" customFormat="1" ht="27.75">
      <c r="A106" s="1517" t="s">
        <v>77</v>
      </c>
      <c r="B106" s="1518"/>
      <c r="C106" s="1370"/>
      <c r="D106" s="622" t="s">
        <v>144</v>
      </c>
      <c r="E106" s="534">
        <f>'21'!F106</f>
        <v>35774</v>
      </c>
      <c r="F106" s="534">
        <v>35779</v>
      </c>
      <c r="G106" s="1357">
        <f t="shared" ref="G106:G107" si="10">F106-E106</f>
        <v>5</v>
      </c>
      <c r="H106" s="460">
        <f>SUM(G106+'1'!G77)</f>
        <v>55</v>
      </c>
      <c r="I106" s="532"/>
      <c r="J106" s="558">
        <f>H106/DAY(B2)</f>
        <v>2.5</v>
      </c>
      <c r="N106" s="444"/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f>'21'!F107</f>
        <v>19564</v>
      </c>
      <c r="F107" s="532">
        <v>19571</v>
      </c>
      <c r="G107" s="1357">
        <f t="shared" si="10"/>
        <v>7</v>
      </c>
      <c r="H107" s="460">
        <f>SUM(G107+'1'!G78)</f>
        <v>131</v>
      </c>
      <c r="I107" s="532"/>
      <c r="J107" s="558">
        <f>H107/DAY(B2)</f>
        <v>5.9545454545454541</v>
      </c>
      <c r="N107" s="444"/>
      <c r="O107" s="382"/>
    </row>
    <row r="108" spans="1:15" s="442" customFormat="1" ht="27.75">
      <c r="A108" s="1519" t="s">
        <v>202</v>
      </c>
      <c r="B108" s="1520"/>
      <c r="C108" s="1370"/>
      <c r="D108" s="622"/>
      <c r="E108" s="532">
        <f>'21'!F108</f>
        <v>0</v>
      </c>
      <c r="F108" s="532"/>
      <c r="G108" s="1357">
        <f>SUM(G105:G107)</f>
        <v>17</v>
      </c>
      <c r="H108" s="460">
        <f>SUM(G108+'1'!G79)</f>
        <v>206</v>
      </c>
      <c r="I108" s="532"/>
      <c r="J108" s="558">
        <f>H108/DAY(B2)</f>
        <v>9.3636363636363633</v>
      </c>
      <c r="N108" s="444"/>
      <c r="O108" s="382"/>
    </row>
    <row r="109" spans="1:15" s="442" customFormat="1" ht="27.75">
      <c r="A109" s="1523" t="s">
        <v>79</v>
      </c>
      <c r="B109" s="1524"/>
      <c r="C109" s="1370"/>
      <c r="D109" s="622" t="s">
        <v>144</v>
      </c>
      <c r="E109" s="532">
        <f>'21'!F109</f>
        <v>0</v>
      </c>
      <c r="F109" s="532"/>
      <c r="G109" s="1357"/>
      <c r="H109" s="460"/>
      <c r="I109" s="532"/>
      <c r="J109" s="558"/>
      <c r="N109" s="444"/>
      <c r="O109" s="382"/>
    </row>
    <row r="110" spans="1:15" s="442" customFormat="1" ht="27.75">
      <c r="A110" s="1517" t="s">
        <v>220</v>
      </c>
      <c r="B110" s="1518"/>
      <c r="C110" s="1370"/>
      <c r="D110" s="622" t="s">
        <v>144</v>
      </c>
      <c r="E110" s="532">
        <f>'21'!F110</f>
        <v>60458</v>
      </c>
      <c r="F110" s="532">
        <v>60541</v>
      </c>
      <c r="G110" s="1357">
        <f>F110-E110</f>
        <v>83</v>
      </c>
      <c r="H110" s="460">
        <f>SUM(G110+'1'!G81)</f>
        <v>164</v>
      </c>
      <c r="I110" s="532"/>
      <c r="J110" s="558">
        <f>H110/DAY(B2)</f>
        <v>7.4545454545454541</v>
      </c>
      <c r="N110" s="444"/>
      <c r="O110" s="382"/>
    </row>
    <row r="111" spans="1:15" s="442" customFormat="1" ht="27.75">
      <c r="A111" s="1517" t="s">
        <v>221</v>
      </c>
      <c r="B111" s="1518"/>
      <c r="C111" s="1370"/>
      <c r="D111" s="622" t="s">
        <v>144</v>
      </c>
      <c r="E111" s="532">
        <f>'21'!F111</f>
        <v>32156</v>
      </c>
      <c r="F111" s="532">
        <v>32156</v>
      </c>
      <c r="G111" s="1357">
        <f t="shared" ref="G111:G112" si="11">F111-E111</f>
        <v>0</v>
      </c>
      <c r="H111" s="460">
        <f>SUM(G111+'1'!G82)</f>
        <v>12</v>
      </c>
      <c r="I111" s="532"/>
      <c r="J111" s="558">
        <f>H111/DAY(B2)</f>
        <v>0.54545454545454541</v>
      </c>
      <c r="N111" s="444"/>
      <c r="O111" s="382"/>
    </row>
    <row r="112" spans="1:15" s="442" customFormat="1" ht="27.75">
      <c r="A112" s="1517" t="s">
        <v>222</v>
      </c>
      <c r="B112" s="1518"/>
      <c r="C112" s="1370"/>
      <c r="D112" s="622" t="s">
        <v>144</v>
      </c>
      <c r="E112" s="532">
        <f>'21'!F112</f>
        <v>4326</v>
      </c>
      <c r="F112" s="532">
        <v>4326</v>
      </c>
      <c r="G112" s="1357">
        <f t="shared" si="11"/>
        <v>0</v>
      </c>
      <c r="H112" s="460">
        <f>SUM(G112+'1'!G83)</f>
        <v>255</v>
      </c>
      <c r="I112" s="532"/>
      <c r="J112" s="558">
        <f>H112/DAY(B2)</f>
        <v>11.590909090909092</v>
      </c>
      <c r="N112" s="444"/>
      <c r="O112" s="382"/>
    </row>
    <row r="113" spans="1:15" s="442" customFormat="1" ht="27.75">
      <c r="A113" s="1521" t="s">
        <v>110</v>
      </c>
      <c r="B113" s="1522"/>
      <c r="C113" s="1370"/>
      <c r="D113" s="622"/>
      <c r="E113" s="532">
        <f>'21'!F113</f>
        <v>0</v>
      </c>
      <c r="F113" s="532"/>
      <c r="G113" s="1357">
        <f>SUM(G110:G112)</f>
        <v>83</v>
      </c>
      <c r="H113" s="460">
        <f>SUM(G113+'1'!G84)</f>
        <v>798</v>
      </c>
      <c r="I113" s="532"/>
      <c r="J113" s="558">
        <f>H113/DAY(B2)</f>
        <v>36.272727272727273</v>
      </c>
      <c r="N113" s="444"/>
      <c r="O113" s="382"/>
    </row>
    <row r="114" spans="1:15" s="442" customFormat="1" ht="27.75">
      <c r="A114" s="1523" t="s">
        <v>223</v>
      </c>
      <c r="B114" s="1524"/>
      <c r="C114" s="1370"/>
      <c r="D114" s="622"/>
      <c r="E114" s="532">
        <f>'21'!F114</f>
        <v>0</v>
      </c>
      <c r="F114" s="532"/>
      <c r="G114" s="1357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4">
        <f>'21'!F115</f>
        <v>11181</v>
      </c>
      <c r="F115" s="534">
        <v>11195</v>
      </c>
      <c r="G115" s="1358">
        <f>F115-E115</f>
        <v>14</v>
      </c>
      <c r="H115" s="460">
        <f>SUM(G115+'1'!G92)</f>
        <v>14</v>
      </c>
      <c r="I115" s="532"/>
      <c r="J115" s="558">
        <f>H115/DAY(B2)</f>
        <v>0.63636363636363635</v>
      </c>
      <c r="N115" s="444"/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4">
        <f>'21'!F116</f>
        <v>8090</v>
      </c>
      <c r="F116" s="534">
        <v>8094</v>
      </c>
      <c r="G116" s="1358">
        <f t="shared" ref="G116:G117" si="12">F116-E116</f>
        <v>4</v>
      </c>
      <c r="H116" s="460">
        <f>SUM(G116+'1'!G93)</f>
        <v>56</v>
      </c>
      <c r="I116" s="532"/>
      <c r="J116" s="558">
        <f>H116/DAY(B2)</f>
        <v>2.5454545454545454</v>
      </c>
      <c r="N116" s="444"/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1358">
        <f t="shared" si="12"/>
        <v>0</v>
      </c>
      <c r="H117" s="460">
        <f>SUM(G117+'1'!G94)</f>
        <v>95</v>
      </c>
      <c r="I117" s="532"/>
      <c r="J117" s="558">
        <f>H117/DAY(B2)</f>
        <v>4.3181818181818183</v>
      </c>
      <c r="N117" s="444"/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1358">
        <f>SUM(G115:G117)</f>
        <v>18</v>
      </c>
      <c r="H118" s="460">
        <f>SUM(G118+'1'!G96)</f>
        <v>90</v>
      </c>
      <c r="I118" s="534"/>
      <c r="J118" s="558">
        <f>H118/DAY(B2)</f>
        <v>4.0909090909090908</v>
      </c>
      <c r="N118" s="447"/>
      <c r="O118" s="382"/>
    </row>
    <row r="119" spans="1:15" s="446" customFormat="1" ht="27.75">
      <c r="A119" s="1513" t="s">
        <v>227</v>
      </c>
      <c r="B119" s="1514"/>
      <c r="C119" s="1369"/>
      <c r="D119" s="624" t="s">
        <v>144</v>
      </c>
      <c r="E119" s="536"/>
      <c r="F119" s="536">
        <f>SUM(G19+G93)</f>
        <v>120</v>
      </c>
      <c r="G119" s="1358">
        <f>SUM(G19+G93)</f>
        <v>120</v>
      </c>
      <c r="H119" s="460">
        <f>SUM(G119+'1'!G97)</f>
        <v>132</v>
      </c>
      <c r="I119" s="535"/>
      <c r="J119" s="559">
        <f>H119/DAY(B2)</f>
        <v>6</v>
      </c>
      <c r="N119" s="782"/>
      <c r="O119" s="382"/>
    </row>
    <row r="120" spans="1:15" s="446" customFormat="1" ht="27.75">
      <c r="A120" s="1513" t="s">
        <v>228</v>
      </c>
      <c r="B120" s="1514"/>
      <c r="C120" s="1369"/>
      <c r="D120" s="624" t="s">
        <v>144</v>
      </c>
      <c r="E120" s="536"/>
      <c r="F120" s="536">
        <f>SUM(G96,G97,G98,G100,G101)</f>
        <v>118</v>
      </c>
      <c r="G120" s="1358">
        <f>SUM(G96,G97,G98,G100,G101)</f>
        <v>118</v>
      </c>
      <c r="H120" s="460">
        <f>SUM(G120+'1'!G99)</f>
        <v>123</v>
      </c>
      <c r="I120" s="535"/>
      <c r="J120" s="559">
        <f>H120/DAY(B2)</f>
        <v>5.5909090909090908</v>
      </c>
      <c r="N120" s="782"/>
      <c r="O120" s="382"/>
    </row>
    <row r="121" spans="1:15" s="446" customFormat="1" ht="27.75">
      <c r="A121" s="1513" t="s">
        <v>229</v>
      </c>
      <c r="B121" s="1514"/>
      <c r="C121" s="1369"/>
      <c r="D121" s="624" t="s">
        <v>144</v>
      </c>
      <c r="E121" s="534"/>
      <c r="F121" s="534">
        <f>SUM(G113)</f>
        <v>83</v>
      </c>
      <c r="G121" s="1358">
        <f>SUM(G113)</f>
        <v>83</v>
      </c>
      <c r="H121" s="460">
        <f>SUM(G121+'1'!G101)</f>
        <v>89</v>
      </c>
      <c r="I121" s="535"/>
      <c r="J121" s="559">
        <f>H121/DAY(B2)</f>
        <v>4.0454545454545459</v>
      </c>
      <c r="N121" s="782"/>
      <c r="O121" s="382"/>
    </row>
    <row r="122" spans="1:15" s="442" customFormat="1" ht="27.75">
      <c r="A122" s="1515"/>
      <c r="B122" s="1516"/>
      <c r="C122" s="1370"/>
      <c r="D122" s="560"/>
      <c r="E122" s="560"/>
      <c r="F122" s="560" t="s">
        <v>215</v>
      </c>
      <c r="G122" s="1359"/>
      <c r="H122" s="561"/>
      <c r="I122" s="560"/>
      <c r="J122" s="562"/>
      <c r="N122" s="444"/>
      <c r="O122" s="382"/>
    </row>
    <row r="123" spans="1:15">
      <c r="A123" s="1550" t="s">
        <v>230</v>
      </c>
      <c r="B123" s="1551"/>
      <c r="C123" s="1552"/>
      <c r="D123" s="472"/>
      <c r="E123" s="472"/>
      <c r="F123" s="472"/>
      <c r="G123" s="1343"/>
      <c r="H123" s="483"/>
      <c r="I123" s="483"/>
      <c r="J123" s="563"/>
      <c r="K123" s="380"/>
      <c r="L123" s="377"/>
      <c r="N123" s="382"/>
      <c r="O123" s="382"/>
    </row>
    <row r="124" spans="1:15" ht="27.75">
      <c r="A124" s="1371" t="s">
        <v>231</v>
      </c>
      <c r="B124" s="1372"/>
      <c r="C124" s="1372"/>
      <c r="D124" s="523" t="s">
        <v>141</v>
      </c>
      <c r="E124" s="478">
        <f>'21'!F124</f>
        <v>824055</v>
      </c>
      <c r="F124" s="478">
        <v>824293</v>
      </c>
      <c r="G124" s="1340">
        <f t="shared" ref="G124:G128" si="13">F124-E124</f>
        <v>238</v>
      </c>
      <c r="H124" s="460">
        <f>G124+'21'!H124</f>
        <v>-1795.4599999999627</v>
      </c>
      <c r="I124" s="526"/>
      <c r="J124" s="552">
        <f>H124/DAY(B2)</f>
        <v>-81.611818181816489</v>
      </c>
      <c r="K124" s="380"/>
      <c r="L124" s="377"/>
      <c r="N124" s="382"/>
      <c r="O124" s="382"/>
    </row>
    <row r="125" spans="1:15" ht="27.75">
      <c r="A125" s="1371" t="s">
        <v>232</v>
      </c>
      <c r="B125" s="1372"/>
      <c r="C125" s="1372"/>
      <c r="D125" s="523" t="s">
        <v>141</v>
      </c>
      <c r="E125" s="626">
        <f>'21'!F125</f>
        <v>73583</v>
      </c>
      <c r="F125" s="626">
        <v>73583</v>
      </c>
      <c r="G125" s="1340">
        <f t="shared" si="13"/>
        <v>0</v>
      </c>
      <c r="H125" s="460">
        <f>G125+'21'!H125</f>
        <v>-0.39999999999417923</v>
      </c>
      <c r="I125" s="526"/>
      <c r="J125" s="552">
        <f>H125/DAY(B2)</f>
        <v>-1.8181818181553601E-2</v>
      </c>
      <c r="K125" s="380"/>
      <c r="L125" s="377"/>
      <c r="N125" s="382"/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78">
        <f>'21'!F126</f>
        <v>143989</v>
      </c>
      <c r="F126" s="478">
        <v>144083</v>
      </c>
      <c r="G126" s="1340">
        <f t="shared" si="13"/>
        <v>94</v>
      </c>
      <c r="H126" s="460">
        <f>G126+'21'!H126</f>
        <v>-604.44000000000233</v>
      </c>
      <c r="I126" s="526"/>
      <c r="J126" s="552">
        <f>H126/DAY(B2)</f>
        <v>-27.474545454545559</v>
      </c>
      <c r="K126" s="380"/>
      <c r="L126" s="377"/>
      <c r="N126" s="382"/>
      <c r="O126" s="382"/>
    </row>
    <row r="127" spans="1:15" ht="27.75">
      <c r="A127" s="609" t="s">
        <v>234</v>
      </c>
      <c r="B127" s="1372"/>
      <c r="C127" s="1372"/>
      <c r="D127" s="523" t="s">
        <v>141</v>
      </c>
      <c r="E127" s="626">
        <f>'21'!F127</f>
        <v>31404</v>
      </c>
      <c r="F127" s="626">
        <v>31404</v>
      </c>
      <c r="G127" s="1340">
        <f t="shared" si="13"/>
        <v>0</v>
      </c>
      <c r="H127" s="460">
        <f>G127+'21'!H127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72"/>
      <c r="C128" s="1372"/>
      <c r="D128" s="523" t="s">
        <v>141</v>
      </c>
      <c r="E128" s="626">
        <f>'21'!F128</f>
        <v>8938.4</v>
      </c>
      <c r="F128" s="626">
        <v>8938.4</v>
      </c>
      <c r="G128" s="1340">
        <f t="shared" si="13"/>
        <v>0</v>
      </c>
      <c r="H128" s="460">
        <f>G128+'21'!H128</f>
        <v>-31.300000000001091</v>
      </c>
      <c r="I128" s="480"/>
      <c r="J128" s="552">
        <f>H128/DAY(B2)</f>
        <v>-1.4227272727273224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72"/>
      <c r="C129" s="1372"/>
      <c r="D129" s="523"/>
      <c r="E129" s="478"/>
      <c r="F129" s="478"/>
      <c r="G129" s="1340">
        <f>G15-SUM(G124:G128)</f>
        <v>435</v>
      </c>
      <c r="H129" s="460">
        <f>G129+'21'!H129</f>
        <v>-5360.0000000000055</v>
      </c>
      <c r="I129" s="480"/>
      <c r="J129" s="552">
        <f>H129/DAY(B2)</f>
        <v>-243.63636363636388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60"/>
      <c r="H130" s="540"/>
      <c r="I130" s="540"/>
      <c r="J130" s="564"/>
      <c r="N130" s="382"/>
      <c r="O130" s="382"/>
    </row>
    <row r="131" spans="1:15" ht="27.75">
      <c r="A131" s="1371" t="s">
        <v>238</v>
      </c>
      <c r="B131" s="1372"/>
      <c r="C131" s="1372"/>
      <c r="D131" s="523" t="s">
        <v>239</v>
      </c>
      <c r="E131" s="484">
        <f>'21'!F131</f>
        <v>0</v>
      </c>
      <c r="F131" s="484">
        <v>0</v>
      </c>
      <c r="G131" s="1340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1" t="s">
        <v>240</v>
      </c>
      <c r="B132" s="1372"/>
      <c r="C132" s="1372"/>
      <c r="D132" s="523" t="s">
        <v>239</v>
      </c>
      <c r="E132" s="484">
        <f>'21'!F132</f>
        <v>0</v>
      </c>
      <c r="F132" s="484">
        <v>0</v>
      </c>
      <c r="G132" s="1340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71" t="s">
        <v>241</v>
      </c>
      <c r="B133" s="1372"/>
      <c r="C133" s="1372"/>
      <c r="D133" s="523" t="s">
        <v>239</v>
      </c>
      <c r="E133" s="541">
        <f>'21'!F133</f>
        <v>39659.230000000003</v>
      </c>
      <c r="F133" s="541">
        <v>39659.230000000003</v>
      </c>
      <c r="G133" s="1340">
        <f t="shared" si="14"/>
        <v>0</v>
      </c>
      <c r="H133" s="460">
        <f>G133+'21'!H133</f>
        <v>-87.25</v>
      </c>
      <c r="I133" s="480"/>
      <c r="J133" s="552">
        <f>H133/DAY(B2)</f>
        <v>-3.9659090909090908</v>
      </c>
      <c r="N133" s="382"/>
      <c r="O133" s="382"/>
    </row>
    <row r="134" spans="1:15" s="441" customFormat="1" ht="27.75">
      <c r="A134" s="1074" t="s">
        <v>242</v>
      </c>
      <c r="B134" s="1075"/>
      <c r="C134" s="1075"/>
      <c r="D134" s="627" t="s">
        <v>239</v>
      </c>
      <c r="E134" s="541">
        <f>'21'!F134</f>
        <v>300</v>
      </c>
      <c r="F134" s="541">
        <v>300</v>
      </c>
      <c r="G134" s="1362">
        <f t="shared" si="14"/>
        <v>0</v>
      </c>
      <c r="H134" s="708">
        <f>G134+'21'!H134</f>
        <v>0</v>
      </c>
      <c r="I134" s="1076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371" t="s">
        <v>243</v>
      </c>
      <c r="B135" s="1372"/>
      <c r="C135" s="1372"/>
      <c r="D135" s="523" t="s">
        <v>239</v>
      </c>
      <c r="E135" s="541">
        <f>'21'!F135</f>
        <v>41247</v>
      </c>
      <c r="F135" s="541">
        <v>41271</v>
      </c>
      <c r="G135" s="1340">
        <f t="shared" si="14"/>
        <v>24</v>
      </c>
      <c r="H135" s="460">
        <f>G135+'21'!H135</f>
        <v>-114</v>
      </c>
      <c r="I135" s="480"/>
      <c r="J135" s="552">
        <f>H135/DAY(B2)</f>
        <v>-5.1818181818181817</v>
      </c>
      <c r="N135" s="382"/>
      <c r="O135" s="382"/>
    </row>
    <row r="136" spans="1:15" ht="27.75">
      <c r="A136" s="1371" t="s">
        <v>244</v>
      </c>
      <c r="B136" s="1372"/>
      <c r="C136" s="1372"/>
      <c r="D136" s="523" t="s">
        <v>239</v>
      </c>
      <c r="E136" s="541">
        <f>'21'!F136</f>
        <v>32582.92</v>
      </c>
      <c r="F136" s="541">
        <v>32582.93</v>
      </c>
      <c r="G136" s="1340">
        <f t="shared" si="14"/>
        <v>1.0000000002037268E-2</v>
      </c>
      <c r="H136" s="460">
        <f>G136+'21'!H136</f>
        <v>-6.9999999999708962E-2</v>
      </c>
      <c r="I136" s="480"/>
      <c r="J136" s="552">
        <f>H136/DAY(B2)</f>
        <v>-3.1818181818049529E-3</v>
      </c>
      <c r="N136" s="382"/>
      <c r="O136" s="382"/>
    </row>
    <row r="137" spans="1:15" ht="27.75">
      <c r="A137" s="1371" t="s">
        <v>245</v>
      </c>
      <c r="B137" s="1372"/>
      <c r="C137" s="1372"/>
      <c r="D137" s="523" t="s">
        <v>239</v>
      </c>
      <c r="E137" s="541">
        <f>'21'!F137</f>
        <v>22683</v>
      </c>
      <c r="F137" s="541">
        <v>22691.85</v>
      </c>
      <c r="G137" s="1340">
        <f t="shared" si="14"/>
        <v>8.8499999999985448</v>
      </c>
      <c r="H137" s="460">
        <f>G137+'21'!H137</f>
        <v>-47.740000000001601</v>
      </c>
      <c r="I137" s="480">
        <f>G135+G136+G137</f>
        <v>32.860000000000582</v>
      </c>
      <c r="J137" s="552">
        <f>H137/DAY(B2)</f>
        <v>-2.1700000000000728</v>
      </c>
      <c r="N137" s="382"/>
      <c r="O137" s="382"/>
    </row>
    <row r="138" spans="1:15" ht="27.75">
      <c r="A138" s="1371" t="s">
        <v>246</v>
      </c>
      <c r="B138" s="1372"/>
      <c r="C138" s="1372"/>
      <c r="D138" s="523" t="s">
        <v>239</v>
      </c>
      <c r="E138" s="541">
        <f>'21'!F138</f>
        <v>25050</v>
      </c>
      <c r="F138" s="541">
        <v>25050</v>
      </c>
      <c r="G138" s="1340">
        <f t="shared" si="14"/>
        <v>0</v>
      </c>
      <c r="H138" s="460">
        <f>G138+'21'!H138</f>
        <v>-1.5900000000001455</v>
      </c>
      <c r="I138" s="480"/>
      <c r="J138" s="552">
        <f>H138/DAY(B2)</f>
        <v>-7.2272727272733886E-2</v>
      </c>
      <c r="N138" s="382"/>
      <c r="O138" s="382"/>
    </row>
    <row r="139" spans="1:15" ht="27.75">
      <c r="A139" s="1371" t="s">
        <v>247</v>
      </c>
      <c r="B139" s="1372"/>
      <c r="C139" s="1372"/>
      <c r="D139" s="523" t="s">
        <v>239</v>
      </c>
      <c r="E139" s="541">
        <f>'21'!F139</f>
        <v>70294.52</v>
      </c>
      <c r="F139" s="541">
        <v>70295.23</v>
      </c>
      <c r="G139" s="1340">
        <f t="shared" si="14"/>
        <v>0.70999999999185093</v>
      </c>
      <c r="H139" s="460">
        <f>G139+'21'!H139</f>
        <v>-20.580000000001746</v>
      </c>
      <c r="I139" s="480">
        <f>G138+G139</f>
        <v>0.70999999999185093</v>
      </c>
      <c r="J139" s="552">
        <f>H139/DAY(B2)</f>
        <v>-0.93545454545462481</v>
      </c>
      <c r="N139" s="382"/>
      <c r="O139" s="382"/>
    </row>
    <row r="140" spans="1:15" ht="27.75">
      <c r="A140" s="1371" t="s">
        <v>248</v>
      </c>
      <c r="B140" s="1372"/>
      <c r="C140" s="1372"/>
      <c r="D140" s="523" t="s">
        <v>239</v>
      </c>
      <c r="E140" s="484">
        <f>'21'!F140</f>
        <v>1541.03</v>
      </c>
      <c r="F140" s="484">
        <v>1549.83</v>
      </c>
      <c r="G140" s="1340">
        <f t="shared" si="14"/>
        <v>8.7999999999999545</v>
      </c>
      <c r="H140" s="460">
        <f>G140+'21'!H140</f>
        <v>-67.029999999999973</v>
      </c>
      <c r="I140" s="542"/>
      <c r="J140" s="552">
        <f>H140/DAY(B2)</f>
        <v>-3.0468181818181805</v>
      </c>
      <c r="N140" s="382"/>
      <c r="O140" s="382"/>
    </row>
    <row r="141" spans="1:15" ht="27.75">
      <c r="A141" s="1371" t="s">
        <v>249</v>
      </c>
      <c r="B141" s="1372"/>
      <c r="C141" s="1372"/>
      <c r="D141" s="523" t="s">
        <v>239</v>
      </c>
      <c r="E141" s="484">
        <f>'21'!F141</f>
        <v>4636.8599999999997</v>
      </c>
      <c r="F141" s="484">
        <v>4636.8599999999997</v>
      </c>
      <c r="G141" s="1340">
        <f t="shared" si="14"/>
        <v>0</v>
      </c>
      <c r="H141" s="460">
        <f>G141+'21'!H141</f>
        <v>-0.14000000000032742</v>
      </c>
      <c r="I141" s="542"/>
      <c r="J141" s="552">
        <f>H141/DAY(B2)</f>
        <v>-6.363636363651246E-3</v>
      </c>
      <c r="N141" s="382"/>
      <c r="O141" s="382"/>
    </row>
    <row r="142" spans="1:15">
      <c r="A142" s="1531" t="s">
        <v>250</v>
      </c>
      <c r="B142" s="1532"/>
      <c r="C142" s="1377"/>
      <c r="D142" s="472"/>
      <c r="E142" s="472"/>
      <c r="F142" s="472"/>
      <c r="G142" s="1343"/>
      <c r="H142" s="483"/>
      <c r="I142" s="483"/>
      <c r="J142" s="563"/>
      <c r="K142" s="380"/>
      <c r="L142" s="377"/>
      <c r="N142" s="382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1353">
        <f>G35+G43+G49+G57</f>
        <v>5113</v>
      </c>
      <c r="H143" s="460">
        <f>G143+'21'!H143</f>
        <v>-40520</v>
      </c>
      <c r="I143" s="480"/>
      <c r="J143" s="552">
        <f>H143/DAY(B2)</f>
        <v>-1841.8181818181818</v>
      </c>
      <c r="K143" s="380"/>
      <c r="L143" s="377"/>
      <c r="N143" s="382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1363">
        <f>G143/G7</f>
        <v>0.25872887359578989</v>
      </c>
      <c r="H144" s="460">
        <f>G144+'21'!H144</f>
        <v>5.5102719936317293</v>
      </c>
      <c r="I144" s="544"/>
      <c r="J144" s="552">
        <f>H144/DAY(B2)</f>
        <v>0.25046690880144223</v>
      </c>
      <c r="K144" s="380"/>
      <c r="L144" s="377"/>
      <c r="N144" s="382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1353">
        <f>G41+G42+G55+G56</f>
        <v>5930</v>
      </c>
      <c r="H145" s="460">
        <f>G145+'21'!H145</f>
        <v>300563.53000000003</v>
      </c>
      <c r="I145" s="480"/>
      <c r="J145" s="552">
        <f>H145/DAY(B2)</f>
        <v>13661.978636363638</v>
      </c>
      <c r="K145" s="380"/>
      <c r="L145" s="377"/>
      <c r="N145" s="382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1363">
        <f>G145/G7</f>
        <v>0.30007084303208176</v>
      </c>
      <c r="H146" s="460">
        <f>G146+'21'!H146</f>
        <v>6.5439005833475292</v>
      </c>
      <c r="I146" s="544"/>
      <c r="J146" s="552">
        <f>H146/DAY(B2)</f>
        <v>0.29745002651579677</v>
      </c>
      <c r="K146" s="380"/>
      <c r="L146" s="377"/>
      <c r="N146" s="382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1353">
        <f>G39+G53</f>
        <v>3364</v>
      </c>
      <c r="H147" s="460">
        <f>G147+'21'!H147</f>
        <v>-10303</v>
      </c>
      <c r="I147" s="545"/>
      <c r="J147" s="552">
        <f>H147/DAY(B2)</f>
        <v>-468.31818181818181</v>
      </c>
      <c r="K147" s="380"/>
      <c r="L147" s="377"/>
      <c r="N147" s="382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1363">
        <f>G147/G7</f>
        <v>0.17022568565934623</v>
      </c>
      <c r="H148" s="460">
        <f>G148+'21'!H148</f>
        <v>3.2011085611216257</v>
      </c>
      <c r="I148" s="545"/>
      <c r="J148" s="552">
        <f>H148/DAY(B2)</f>
        <v>0.14550493459643754</v>
      </c>
      <c r="N148" s="382"/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1353">
        <f>G38+G52</f>
        <v>1462</v>
      </c>
      <c r="H149" s="460">
        <f>G149+'21'!H149</f>
        <v>-11179.930000000051</v>
      </c>
      <c r="I149" s="480"/>
      <c r="J149" s="552">
        <f>H149/DAY(B2)</f>
        <v>-508.1786363636387</v>
      </c>
      <c r="K149" s="381"/>
      <c r="N149" s="382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1363">
        <f>G149/G7</f>
        <v>7.3980366359680194E-2</v>
      </c>
      <c r="H150" s="460">
        <f>G150+'21'!H150</f>
        <v>1.5779133143964374</v>
      </c>
      <c r="I150" s="545"/>
      <c r="J150" s="552">
        <f>H150/DAY(B2)</f>
        <v>7.1723332472565335E-2</v>
      </c>
      <c r="N150" s="382"/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1353">
        <f>G36+G50</f>
        <v>2016</v>
      </c>
      <c r="H151" s="460">
        <f>G151+'21'!H151</f>
        <v>-14706</v>
      </c>
      <c r="I151" s="545"/>
      <c r="J151" s="552">
        <f>H151/DAY(B2)</f>
        <v>-668.4545454545455</v>
      </c>
      <c r="N151" s="382"/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1363">
        <f>G151/G7</f>
        <v>0.10201396619775327</v>
      </c>
      <c r="H152" s="460">
        <f>G152+'21'!H152</f>
        <v>1.4987163856115633</v>
      </c>
      <c r="I152" s="480"/>
      <c r="J152" s="552">
        <f>H152/DAY(B2)</f>
        <v>6.812347207325288E-2</v>
      </c>
      <c r="N152" s="382"/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1353">
        <f>G37+G51</f>
        <v>1343</v>
      </c>
      <c r="H153" s="460">
        <f>G153+'21'!H153</f>
        <v>-10358</v>
      </c>
      <c r="I153" s="480"/>
      <c r="J153" s="552">
        <f>H153/DAY(B2)</f>
        <v>-470.81818181818181</v>
      </c>
      <c r="N153" s="382"/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1364">
        <f>G153/G7</f>
        <v>6.7958708632729486E-2</v>
      </c>
      <c r="H154" s="460">
        <f>G154+'21'!H154</f>
        <v>1.6206141386159814</v>
      </c>
      <c r="I154" s="568"/>
      <c r="J154" s="569">
        <f>H154/DAY(B2)</f>
        <v>7.3664279027999158E-2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5"/>
      <c r="H155" s="547"/>
      <c r="I155" s="546"/>
      <c r="J155" s="548"/>
      <c r="O155" s="382"/>
    </row>
    <row r="161" spans="1:8">
      <c r="A161" s="788" t="s">
        <v>263</v>
      </c>
      <c r="B161" s="789"/>
      <c r="C161" s="789"/>
      <c r="D161" s="511" t="s">
        <v>187</v>
      </c>
      <c r="E161" s="661">
        <f>'21'!F161</f>
        <v>35194</v>
      </c>
      <c r="F161" s="661">
        <v>35278</v>
      </c>
      <c r="G161" s="1340">
        <f t="shared" ref="G161:G164" si="15">F161-E161</f>
        <v>84</v>
      </c>
      <c r="H161" s="538">
        <v>68.809999999999491</v>
      </c>
    </row>
    <row r="162" spans="1:8">
      <c r="A162" s="788" t="s">
        <v>264</v>
      </c>
      <c r="B162" s="789"/>
      <c r="C162" s="789"/>
      <c r="D162" s="511" t="s">
        <v>187</v>
      </c>
      <c r="E162" s="661">
        <f>'21'!F162</f>
        <v>78227</v>
      </c>
      <c r="F162" s="661">
        <v>78687</v>
      </c>
      <c r="G162" s="1340">
        <f t="shared" si="15"/>
        <v>460</v>
      </c>
      <c r="H162" s="538">
        <v>128.56999999999994</v>
      </c>
    </row>
    <row r="163" spans="1:8">
      <c r="A163" s="788" t="s">
        <v>265</v>
      </c>
      <c r="B163" s="789"/>
      <c r="C163" s="789"/>
      <c r="D163" s="511" t="s">
        <v>187</v>
      </c>
      <c r="E163" s="661">
        <f>'21'!F163</f>
        <v>35129</v>
      </c>
      <c r="F163" s="661">
        <v>35411</v>
      </c>
      <c r="G163" s="1340">
        <f t="shared" si="15"/>
        <v>282</v>
      </c>
      <c r="H163" s="538">
        <v>141.49</v>
      </c>
    </row>
    <row r="164" spans="1:8">
      <c r="A164" s="788" t="s">
        <v>266</v>
      </c>
      <c r="B164" s="789"/>
      <c r="C164" s="789"/>
      <c r="D164" s="511" t="s">
        <v>187</v>
      </c>
      <c r="E164" s="661">
        <f>'21'!F164</f>
        <v>6064</v>
      </c>
      <c r="F164" s="661">
        <v>6082</v>
      </c>
      <c r="G164" s="1340">
        <f t="shared" si="15"/>
        <v>18</v>
      </c>
      <c r="H164" s="538">
        <v>45.430000000000007</v>
      </c>
    </row>
    <row r="165" spans="1:8">
      <c r="A165" s="790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20419.099999999999</v>
      </c>
      <c r="G165" s="1340">
        <f t="shared" ref="G165:G172" si="16">F165-E165</f>
        <v>-0.10000000000218279</v>
      </c>
      <c r="H165" s="538">
        <v>0</v>
      </c>
    </row>
    <row r="166" spans="1:8">
      <c r="A166" s="790" t="s">
        <v>188</v>
      </c>
      <c r="B166" s="604"/>
      <c r="C166" s="604"/>
      <c r="D166" s="511" t="s">
        <v>187</v>
      </c>
      <c r="E166" s="514">
        <f t="shared" ref="E166:E172" si="17">E63</f>
        <v>2313</v>
      </c>
      <c r="F166" s="514">
        <f t="shared" ref="F166:F172" si="18">F63</f>
        <v>2318</v>
      </c>
      <c r="G166" s="1340">
        <f t="shared" si="16"/>
        <v>5</v>
      </c>
      <c r="H166" s="538">
        <v>0</v>
      </c>
    </row>
    <row r="167" spans="1:8" ht="27.75">
      <c r="A167" s="1500" t="s">
        <v>99</v>
      </c>
      <c r="B167" s="1500"/>
      <c r="C167" s="1500"/>
      <c r="D167" s="523" t="s">
        <v>187</v>
      </c>
      <c r="E167" s="514">
        <f t="shared" si="17"/>
        <v>149305</v>
      </c>
      <c r="F167" s="514">
        <f t="shared" si="18"/>
        <v>149809</v>
      </c>
      <c r="G167" s="1340">
        <f t="shared" si="16"/>
        <v>504</v>
      </c>
      <c r="H167" s="538">
        <v>178.5199999999968</v>
      </c>
    </row>
    <row r="168" spans="1:8" ht="27.75">
      <c r="A168" s="1500" t="s">
        <v>100</v>
      </c>
      <c r="B168" s="1500"/>
      <c r="C168" s="1500"/>
      <c r="D168" s="523" t="s">
        <v>187</v>
      </c>
      <c r="E168" s="514">
        <f t="shared" si="17"/>
        <v>151765</v>
      </c>
      <c r="F168" s="514">
        <f t="shared" si="18"/>
        <v>152128</v>
      </c>
      <c r="G168" s="1340">
        <f t="shared" si="16"/>
        <v>363</v>
      </c>
      <c r="H168" s="538">
        <v>198.38999999999942</v>
      </c>
    </row>
    <row r="169" spans="1:8" ht="27.75">
      <c r="A169" s="1500" t="s">
        <v>101</v>
      </c>
      <c r="B169" s="1500"/>
      <c r="C169" s="1500"/>
      <c r="D169" s="523" t="s">
        <v>187</v>
      </c>
      <c r="E169" s="514">
        <f t="shared" si="17"/>
        <v>45374</v>
      </c>
      <c r="F169" s="514">
        <f t="shared" si="18"/>
        <v>45757</v>
      </c>
      <c r="G169" s="1340">
        <f t="shared" si="16"/>
        <v>383</v>
      </c>
      <c r="H169" s="538">
        <v>226.35000000000582</v>
      </c>
    </row>
    <row r="170" spans="1:8" ht="27.75">
      <c r="A170" s="1500" t="s">
        <v>102</v>
      </c>
      <c r="B170" s="1500"/>
      <c r="C170" s="1500"/>
      <c r="D170" s="523" t="s">
        <v>187</v>
      </c>
      <c r="E170" s="514">
        <f t="shared" si="17"/>
        <v>239914</v>
      </c>
      <c r="F170" s="514">
        <f t="shared" si="18"/>
        <v>240310</v>
      </c>
      <c r="G170" s="1340">
        <f t="shared" si="16"/>
        <v>396</v>
      </c>
      <c r="H170" s="538">
        <v>312.47000000000116</v>
      </c>
    </row>
    <row r="171" spans="1:8" ht="27.75">
      <c r="A171" s="1500" t="s">
        <v>103</v>
      </c>
      <c r="B171" s="1500"/>
      <c r="C171" s="1500"/>
      <c r="D171" s="523" t="s">
        <v>187</v>
      </c>
      <c r="E171" s="514">
        <f t="shared" si="17"/>
        <v>85321</v>
      </c>
      <c r="F171" s="514">
        <f t="shared" si="18"/>
        <v>85321</v>
      </c>
      <c r="G171" s="1340">
        <f t="shared" si="16"/>
        <v>0</v>
      </c>
      <c r="H171" s="538">
        <v>142.1200000000008</v>
      </c>
    </row>
    <row r="172" spans="1:8" ht="27.75">
      <c r="A172" s="1500" t="s">
        <v>104</v>
      </c>
      <c r="B172" s="1500"/>
      <c r="C172" s="1500"/>
      <c r="D172" s="523" t="s">
        <v>187</v>
      </c>
      <c r="E172" s="514">
        <f t="shared" si="17"/>
        <v>78342</v>
      </c>
      <c r="F172" s="514">
        <f t="shared" si="18"/>
        <v>78385</v>
      </c>
      <c r="G172" s="1340">
        <f t="shared" si="16"/>
        <v>43</v>
      </c>
      <c r="H172" s="538">
        <v>12.869999999998981</v>
      </c>
    </row>
    <row r="173" spans="1:8" ht="27.75" customHeight="1">
      <c r="G173" s="1366">
        <f>SUM(G161:G172)</f>
        <v>2537.8999999999978</v>
      </c>
    </row>
    <row r="174" spans="1:8" ht="27.75">
      <c r="A174" s="1500" t="s">
        <v>357</v>
      </c>
      <c r="B174" s="1500"/>
      <c r="C174" s="1500"/>
      <c r="D174" s="523" t="s">
        <v>187</v>
      </c>
      <c r="E174" s="514">
        <v>27881</v>
      </c>
      <c r="F174" s="514">
        <v>27883</v>
      </c>
      <c r="G174" s="473">
        <f t="shared" ref="G174" si="19">F174-E174</f>
        <v>2</v>
      </c>
    </row>
  </sheetData>
  <mergeCells count="75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4:C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F28" activeCellId="1" sqref="F28 F2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634" t="s">
        <v>117</v>
      </c>
      <c r="B1" s="1635"/>
      <c r="C1" s="1635"/>
      <c r="D1" s="1635"/>
      <c r="E1" s="1635"/>
      <c r="F1" s="1635"/>
      <c r="G1" s="1635"/>
      <c r="H1" s="1635"/>
      <c r="I1" s="1635"/>
      <c r="J1" s="1636"/>
      <c r="K1" s="809">
        <v>10002.799999999999</v>
      </c>
    </row>
    <row r="2" spans="1:15">
      <c r="A2" s="810" t="s">
        <v>319</v>
      </c>
      <c r="B2" s="1081">
        <v>44309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637" t="s">
        <v>121</v>
      </c>
      <c r="F3" s="163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31" t="s">
        <v>130</v>
      </c>
      <c r="B6" s="1632"/>
      <c r="C6" s="163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5574038</v>
      </c>
      <c r="F7" s="843">
        <v>5593969</v>
      </c>
      <c r="G7" s="844">
        <f>F7-E7</f>
        <v>19931</v>
      </c>
      <c r="H7" s="845">
        <f>G7+'22'!H7</f>
        <v>5748992</v>
      </c>
      <c r="I7" s="846">
        <f>'1'!I7</f>
        <v>12000</v>
      </c>
      <c r="J7" s="847">
        <f>H7/DAY(B2)</f>
        <v>249956.17391304349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5607232</v>
      </c>
      <c r="F8" s="854">
        <v>5627215</v>
      </c>
      <c r="G8" s="855">
        <f>F8-E8</f>
        <v>19983</v>
      </c>
      <c r="H8" s="845">
        <f>G8+'22'!H8</f>
        <v>5782974</v>
      </c>
      <c r="I8" s="856">
        <f>'1'!I8</f>
        <v>12000</v>
      </c>
      <c r="J8" s="847">
        <f>H8/DAY(B2)</f>
        <v>251433.65217391305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842016</v>
      </c>
      <c r="F9" s="861">
        <v>861439.59</v>
      </c>
      <c r="G9" s="844">
        <f t="shared" ref="G9:G12" si="0">F9-E9</f>
        <v>19423.589999999967</v>
      </c>
      <c r="H9" s="845">
        <f>G9+'22'!H9</f>
        <v>-129274.41000000003</v>
      </c>
      <c r="I9" s="862">
        <f>I8-J8</f>
        <v>-239433.65217391305</v>
      </c>
      <c r="J9" s="847">
        <f>H9/DAY(B2)</f>
        <v>-5620.6265217391319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2322.58</v>
      </c>
      <c r="F10" s="861">
        <v>2322.58</v>
      </c>
      <c r="G10" s="844">
        <f t="shared" si="0"/>
        <v>0</v>
      </c>
      <c r="H10" s="845">
        <f>G10+'22'!H10</f>
        <v>0</v>
      </c>
      <c r="I10" s="864"/>
      <c r="J10" s="847">
        <f>H10/DAY(B2)</f>
        <v>0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19423.589999999967</v>
      </c>
      <c r="H13" s="845">
        <f>G13+'22'!H13</f>
        <v>-143795.41000000003</v>
      </c>
      <c r="I13" s="868">
        <f>G7-G13</f>
        <v>507.4100000000326</v>
      </c>
      <c r="J13" s="847">
        <f>H13/DAY(B2)</f>
        <v>-6251.974347826088</v>
      </c>
      <c r="K13" s="863"/>
      <c r="L13" s="822"/>
      <c r="O13" s="849"/>
    </row>
    <row r="14" spans="1:15">
      <c r="A14" s="1625" t="s">
        <v>139</v>
      </c>
      <c r="B14" s="1626"/>
      <c r="C14" s="162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1665419</v>
      </c>
      <c r="F15" s="1277">
        <v>1666243.3759999999</v>
      </c>
      <c r="G15" s="1020">
        <f>(F15-E15)</f>
        <v>824.37599999993108</v>
      </c>
      <c r="H15" s="845">
        <f>G15+'22'!H15</f>
        <v>-4413.6240000000689</v>
      </c>
      <c r="I15" s="846">
        <f>'1'!I15</f>
        <v>800</v>
      </c>
      <c r="J15" s="847">
        <f>H15/DAY(B2)</f>
        <v>-191.8966956521769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991.89669565217696</v>
      </c>
      <c r="J16" s="880"/>
      <c r="K16" s="863"/>
      <c r="L16" s="822"/>
      <c r="O16" s="849"/>
    </row>
    <row r="17" spans="1:15">
      <c r="A17" s="1625" t="s">
        <v>142</v>
      </c>
      <c r="B17" s="1626"/>
      <c r="C17" s="1627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607" t="s">
        <v>143</v>
      </c>
      <c r="B18" s="1608"/>
      <c r="C18" s="1609"/>
      <c r="D18" s="842" t="s">
        <v>144</v>
      </c>
      <c r="E18" s="843">
        <f>'22'!F18</f>
        <v>10</v>
      </c>
      <c r="F18" s="873">
        <v>8</v>
      </c>
      <c r="G18" s="867">
        <f>F18*10</f>
        <v>80</v>
      </c>
      <c r="H18" s="845">
        <f>G18+'22'!H18</f>
        <v>1080</v>
      </c>
      <c r="I18" s="846">
        <f>'1'!I18</f>
        <v>65</v>
      </c>
      <c r="J18" s="847">
        <f>H18/DAY(B2)</f>
        <v>46.956521739130437</v>
      </c>
      <c r="K18" s="863"/>
      <c r="L18" s="822"/>
      <c r="O18" s="849"/>
    </row>
    <row r="19" spans="1:15">
      <c r="A19" s="1607" t="s">
        <v>71</v>
      </c>
      <c r="B19" s="1608"/>
      <c r="C19" s="1609"/>
      <c r="D19" s="842" t="s">
        <v>144</v>
      </c>
      <c r="E19" s="843">
        <f>'22'!F19</f>
        <v>137367</v>
      </c>
      <c r="F19" s="873">
        <v>137425</v>
      </c>
      <c r="G19" s="844">
        <f t="shared" ref="G19" si="1">F19-E19</f>
        <v>58</v>
      </c>
      <c r="H19" s="845">
        <f>G19+'22'!H19</f>
        <v>-387</v>
      </c>
      <c r="I19" s="846">
        <f>'1'!I19</f>
        <v>0</v>
      </c>
      <c r="J19" s="847">
        <f>H19/DAY(B2)</f>
        <v>-16.826086956521738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138</v>
      </c>
      <c r="H20" s="845">
        <f>G20+'22'!H20</f>
        <v>693</v>
      </c>
      <c r="I20" s="885">
        <f>I18-J20</f>
        <v>34.869565217391305</v>
      </c>
      <c r="J20" s="847">
        <f>H20/DAY(B2)</f>
        <v>30.130434782608695</v>
      </c>
      <c r="K20" s="863"/>
      <c r="L20" s="822"/>
      <c r="N20" s="1011">
        <f>N19-F19</f>
        <v>-11254</v>
      </c>
      <c r="O20" s="849"/>
    </row>
    <row r="21" spans="1:15">
      <c r="A21" s="1625" t="s">
        <v>146</v>
      </c>
      <c r="B21" s="1626"/>
      <c r="C21" s="162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631" t="s">
        <v>151</v>
      </c>
      <c r="B25" s="1632"/>
      <c r="C25" s="163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19983</v>
      </c>
      <c r="F27" s="501">
        <v>9</v>
      </c>
      <c r="G27" s="905">
        <f>E27*F27</f>
        <v>179847</v>
      </c>
      <c r="H27" s="845">
        <f>G27+'22'!H27</f>
        <v>52046766</v>
      </c>
      <c r="I27" s="906"/>
      <c r="J27" s="847">
        <f>H27/DAY(B2)</f>
        <v>2262902.8695652173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824.37599999993108</v>
      </c>
      <c r="F28" s="501">
        <v>49</v>
      </c>
      <c r="G28" s="905">
        <f>E28*F28</f>
        <v>40394.423999996623</v>
      </c>
      <c r="H28" s="845">
        <f>G28+'22'!H28</f>
        <v>-213481.92600000335</v>
      </c>
      <c r="I28" s="907"/>
      <c r="J28" s="847">
        <f>H28/DAY(B2)</f>
        <v>-9281.8228695653634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G30+'22'!H30</f>
        <v>-51858</v>
      </c>
      <c r="I30" s="907"/>
      <c r="J30" s="847">
        <f>H30/DAY(B2)</f>
        <v>-2254.695652173913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G31+'22'!H31</f>
        <v>86400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234413.42399999662</v>
      </c>
      <c r="H32" s="845">
        <f>G32+'22'!H32</f>
        <v>51867826.073999994</v>
      </c>
      <c r="I32" s="913"/>
      <c r="J32" s="847">
        <f>H32/DAY(B2)</f>
        <v>2255122.8727826085</v>
      </c>
      <c r="K32" s="863"/>
      <c r="L32" s="893"/>
      <c r="N32" s="1012"/>
      <c r="O32" s="849"/>
    </row>
    <row r="33" spans="1:15" ht="18.75">
      <c r="A33" s="1628" t="s">
        <v>162</v>
      </c>
      <c r="B33" s="1629"/>
      <c r="C33" s="1629"/>
      <c r="D33" s="1629"/>
      <c r="E33" s="1629"/>
      <c r="F33" s="1629"/>
      <c r="G33" s="1629"/>
      <c r="H33" s="1629"/>
      <c r="I33" s="1629"/>
      <c r="J33" s="1630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865388</v>
      </c>
      <c r="F35" s="916">
        <v>868202.39</v>
      </c>
      <c r="G35" s="844">
        <f t="shared" ref="G35:G46" si="3">F35-E35</f>
        <v>2814.390000000014</v>
      </c>
      <c r="H35" s="845">
        <f>G35+'22'!H35</f>
        <v>-18256.609999999986</v>
      </c>
      <c r="I35" s="843"/>
      <c r="J35" s="847">
        <f>H35/DAY(B2)</f>
        <v>-793.76565217391249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338785</v>
      </c>
      <c r="F36" s="916">
        <v>339907.95</v>
      </c>
      <c r="G36" s="844">
        <f t="shared" si="3"/>
        <v>1122.9500000000116</v>
      </c>
      <c r="H36" s="845">
        <f>G36+'22'!H36</f>
        <v>-4700.0499999999884</v>
      </c>
      <c r="I36" s="843"/>
      <c r="J36" s="847">
        <f>H36/DAY(B2)</f>
        <v>-204.34999999999948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84867</v>
      </c>
      <c r="F37" s="916">
        <v>86265.89</v>
      </c>
      <c r="G37" s="844">
        <f t="shared" si="3"/>
        <v>1398.8899999999994</v>
      </c>
      <c r="H37" s="845">
        <f>G37+'22'!H37</f>
        <v>-8959.11</v>
      </c>
      <c r="I37" s="843"/>
      <c r="J37" s="847">
        <f>H37/DAY(B2)</f>
        <v>-389.52652173913049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108416</v>
      </c>
      <c r="F38" s="832">
        <v>109849.24</v>
      </c>
      <c r="G38" s="844">
        <f t="shared" si="3"/>
        <v>1433.2400000000052</v>
      </c>
      <c r="H38" s="845">
        <f>G38+'22'!H38</f>
        <v>-9746.7599999999948</v>
      </c>
      <c r="I38" s="843"/>
      <c r="J38" s="847">
        <f>H38/DAY(B2)</f>
        <v>-423.77217391304328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225009</v>
      </c>
      <c r="F39" s="916">
        <v>227992.89</v>
      </c>
      <c r="G39" s="844">
        <f t="shared" si="3"/>
        <v>2983.890000000014</v>
      </c>
      <c r="H39" s="845">
        <f>G39+'22'!H39</f>
        <v>-18660.109999999986</v>
      </c>
      <c r="I39" s="843"/>
      <c r="J39" s="847">
        <f>H39/DAY(B2)</f>
        <v>-811.30913043478199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</v>
      </c>
      <c r="F40" s="916">
        <v>0.23</v>
      </c>
      <c r="G40" s="844">
        <f t="shared" si="3"/>
        <v>0.23</v>
      </c>
      <c r="H40" s="845">
        <f>G40+'22'!H40</f>
        <v>-1.8179902028236938E-14</v>
      </c>
      <c r="I40" s="843"/>
      <c r="J40" s="847">
        <f>H40/DAY(B2)</f>
        <v>-7.9043052296682344E-16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161910</v>
      </c>
      <c r="F41" s="916">
        <v>161910.42000000001</v>
      </c>
      <c r="G41" s="844">
        <f t="shared" si="3"/>
        <v>0.42000000001280569</v>
      </c>
      <c r="H41" s="845">
        <f>G41+'22'!H41</f>
        <v>-19617.579999999987</v>
      </c>
      <c r="I41" s="843"/>
      <c r="J41" s="847">
        <f>H41/DAY(B2)</f>
        <v>-852.93826086956471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</v>
      </c>
      <c r="F42" s="916">
        <v>59128.163</v>
      </c>
      <c r="G42" s="844">
        <f t="shared" si="3"/>
        <v>0.16300000000046566</v>
      </c>
      <c r="H42" s="845">
        <f>G42+'22'!H42</f>
        <v>-71.836999999999534</v>
      </c>
      <c r="I42" s="843"/>
      <c r="J42" s="847">
        <f>H42/DAY(B2)</f>
        <v>-3.1233478260869361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954798</v>
      </c>
      <c r="F43" s="916">
        <v>957153.43</v>
      </c>
      <c r="G43" s="844">
        <f t="shared" si="3"/>
        <v>2355.4300000000512</v>
      </c>
      <c r="H43" s="845">
        <f>G43+'22'!H43</f>
        <v>-16804.569999999949</v>
      </c>
      <c r="I43" s="843"/>
      <c r="J43" s="847">
        <f>H43/DAY(B2)</f>
        <v>-730.63347826086738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0</v>
      </c>
      <c r="F45" s="916">
        <v>614</v>
      </c>
      <c r="G45" s="844">
        <f t="shared" si="3"/>
        <v>614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0</v>
      </c>
      <c r="F46" s="916">
        <v>187</v>
      </c>
      <c r="G46" s="844">
        <f t="shared" si="3"/>
        <v>187</v>
      </c>
      <c r="H46" s="845">
        <f>G46+'22'!H46</f>
        <v>186.95</v>
      </c>
      <c r="I46" s="843"/>
      <c r="J46" s="847">
        <f>H46/DAY(B2)</f>
        <v>8.1282608695652172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12910.603000000108</v>
      </c>
      <c r="H47" s="845">
        <f>G47+'22'!H47</f>
        <v>-96015.186999999874</v>
      </c>
      <c r="I47" s="843"/>
      <c r="J47" s="847">
        <f>H47/DAY(B2)</f>
        <v>-4174.5733478260818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260732.13</v>
      </c>
      <c r="G49" s="844">
        <f t="shared" ref="G49:G58" si="4">F49-E49</f>
        <v>0</v>
      </c>
      <c r="H49" s="845">
        <f>G49+'22'!H49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465653</v>
      </c>
      <c r="F50" s="1469">
        <v>466757.27</v>
      </c>
      <c r="G50" s="844">
        <f t="shared" si="4"/>
        <v>1104.2700000000186</v>
      </c>
      <c r="H50" s="845">
        <f>G50+'22'!H50</f>
        <v>-8717.7299999999814</v>
      </c>
      <c r="I50" s="843"/>
      <c r="J50" s="847">
        <f>H50/DAY(B2)</f>
        <v>-379.03173913043395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144640</v>
      </c>
      <c r="F51" s="916">
        <v>144639.87</v>
      </c>
      <c r="G51" s="844">
        <f t="shared" si="4"/>
        <v>-0.13000000000465661</v>
      </c>
      <c r="H51" s="845">
        <f>G51+'22'!H51</f>
        <v>-0.13000000000465661</v>
      </c>
      <c r="I51" s="843"/>
      <c r="J51" s="847">
        <f>H51/DAY(B2)</f>
        <v>-5.6521739132459397E-3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539606.06999999995</v>
      </c>
      <c r="G52" s="844">
        <f t="shared" si="4"/>
        <v>0</v>
      </c>
      <c r="H52" s="845">
        <f>G52+'22'!H52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411707</v>
      </c>
      <c r="F53" s="916">
        <v>412290.23</v>
      </c>
      <c r="G53" s="844">
        <f t="shared" si="4"/>
        <v>583.22999999998137</v>
      </c>
      <c r="H53" s="845">
        <f>G53+'22'!H53</f>
        <v>11401.229999999981</v>
      </c>
      <c r="I53" s="843"/>
      <c r="J53" s="847">
        <f>H53/DAY(B2)</f>
        <v>495.70565217391226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10788</v>
      </c>
      <c r="F54" s="916">
        <v>10862.81</v>
      </c>
      <c r="G54" s="844">
        <f t="shared" si="4"/>
        <v>74.809999999999491</v>
      </c>
      <c r="H54" s="845">
        <f>G54+'22'!H54</f>
        <v>3100.8099999999995</v>
      </c>
      <c r="I54" s="843"/>
      <c r="J54" s="847">
        <f>H54/DAY(B2)</f>
        <v>134.8178260869565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320364</v>
      </c>
      <c r="F55" s="916">
        <v>326156.15000000002</v>
      </c>
      <c r="G55" s="844">
        <f t="shared" si="4"/>
        <v>5792.1500000000233</v>
      </c>
      <c r="H55" s="845">
        <f>G55+'22'!H55</f>
        <v>326156.15000000002</v>
      </c>
      <c r="I55" s="843"/>
      <c r="J55" s="847">
        <f>H55/DAY(B2)</f>
        <v>14180.702173913045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589178</v>
      </c>
      <c r="F56" s="916">
        <v>589187.39</v>
      </c>
      <c r="G56" s="844">
        <f t="shared" si="4"/>
        <v>9.3900000000139698</v>
      </c>
      <c r="H56" s="845">
        <f>G56+'22'!H56</f>
        <v>-100.96999999997206</v>
      </c>
      <c r="I56" s="843"/>
      <c r="J56" s="847">
        <f>H56/DAY(B2)</f>
        <v>-4.3899999999987855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45539</v>
      </c>
      <c r="F58" s="916">
        <v>45721.17</v>
      </c>
      <c r="G58" s="844">
        <f t="shared" si="4"/>
        <v>182.16999999999825</v>
      </c>
      <c r="H58" s="845">
        <f>G58+'22'!H58</f>
        <v>-995.83000000000175</v>
      </c>
      <c r="I58" s="843"/>
      <c r="J58" s="847">
        <f>H58/DAY(B2)</f>
        <v>-43.296956521739205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7745.8900000000303</v>
      </c>
      <c r="H59" s="845">
        <f>G59+'22'!H59</f>
        <v>330843.60000000003</v>
      </c>
      <c r="I59" s="843">
        <f>G7-G60</f>
        <v>-725.49300000014046</v>
      </c>
      <c r="J59" s="847">
        <f>H59/DAY(B2)</f>
        <v>14384.504347826089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20656.49300000014</v>
      </c>
      <c r="H60" s="845">
        <f>G60+'22'!H60</f>
        <v>236412.30300000016</v>
      </c>
      <c r="I60" s="843">
        <f>G13-G60</f>
        <v>-1232.9030000001731</v>
      </c>
      <c r="J60" s="847">
        <f>H60/DAY(B2)</f>
        <v>10278.795782608702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0.18199999999706051</v>
      </c>
      <c r="I62" s="927"/>
      <c r="J62" s="847">
        <f>H62/DAY(B2)</f>
        <v>7.9130434781330659E-3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2318</v>
      </c>
      <c r="F63" s="926">
        <v>2322</v>
      </c>
      <c r="G63" s="844">
        <f t="shared" si="5"/>
        <v>4</v>
      </c>
      <c r="H63" s="845">
        <f>G63+'22'!H63</f>
        <v>-37</v>
      </c>
      <c r="I63" s="927"/>
      <c r="J63" s="847">
        <f>H63/DAY(B2)</f>
        <v>-1.6086956521739131</v>
      </c>
      <c r="K63" s="863"/>
      <c r="L63" s="822"/>
      <c r="O63" s="849"/>
    </row>
    <row r="64" spans="1:15">
      <c r="A64" s="1613" t="s">
        <v>99</v>
      </c>
      <c r="B64" s="1614"/>
      <c r="C64" s="1615"/>
      <c r="D64" s="842" t="s">
        <v>187</v>
      </c>
      <c r="E64" s="843">
        <f>'22'!F64</f>
        <v>149809</v>
      </c>
      <c r="F64" s="873">
        <v>150314.51999999999</v>
      </c>
      <c r="G64" s="844">
        <f t="shared" si="5"/>
        <v>505.51999999998952</v>
      </c>
      <c r="H64" s="845">
        <f>G64+'22'!H64</f>
        <v>-2984.4800000000105</v>
      </c>
      <c r="I64" s="864"/>
      <c r="J64" s="847">
        <f>H64/DAY(B2)</f>
        <v>-129.76000000000045</v>
      </c>
      <c r="K64" s="863"/>
      <c r="L64" s="822"/>
      <c r="O64" s="849"/>
    </row>
    <row r="65" spans="1:15">
      <c r="A65" s="1613" t="s">
        <v>100</v>
      </c>
      <c r="B65" s="1614"/>
      <c r="C65" s="1615"/>
      <c r="D65" s="842" t="s">
        <v>187</v>
      </c>
      <c r="E65" s="843">
        <f>'22'!F65</f>
        <v>152128</v>
      </c>
      <c r="F65" s="873">
        <v>152510.07</v>
      </c>
      <c r="G65" s="844">
        <f t="shared" si="5"/>
        <v>382.07000000000698</v>
      </c>
      <c r="H65" s="845">
        <f>G65+'22'!H65</f>
        <v>-2088.929999999993</v>
      </c>
      <c r="I65" s="882"/>
      <c r="J65" s="847">
        <f>H65/DAY(B2)</f>
        <v>-90.823043478260573</v>
      </c>
      <c r="K65" s="863"/>
      <c r="L65" s="822"/>
      <c r="O65" s="849"/>
    </row>
    <row r="66" spans="1:15">
      <c r="A66" s="1613" t="s">
        <v>101</v>
      </c>
      <c r="B66" s="1614"/>
      <c r="C66" s="1615"/>
      <c r="D66" s="842" t="s">
        <v>187</v>
      </c>
      <c r="E66" s="843">
        <f>'22'!F66</f>
        <v>45757</v>
      </c>
      <c r="F66" s="873">
        <v>46186.53</v>
      </c>
      <c r="G66" s="844">
        <f t="shared" si="5"/>
        <v>429.52999999999884</v>
      </c>
      <c r="H66" s="845">
        <f>G66+'22'!H66</f>
        <v>-2384.4700000000012</v>
      </c>
      <c r="I66" s="864"/>
      <c r="J66" s="847">
        <f>H66/DAY(B2)</f>
        <v>-103.67260869565223</v>
      </c>
      <c r="K66" s="863"/>
      <c r="L66" s="822"/>
      <c r="O66" s="849"/>
    </row>
    <row r="67" spans="1:15">
      <c r="A67" s="1613" t="s">
        <v>102</v>
      </c>
      <c r="B67" s="1614"/>
      <c r="C67" s="1615"/>
      <c r="D67" s="842" t="s">
        <v>187</v>
      </c>
      <c r="E67" s="843">
        <f>'22'!F67</f>
        <v>240310</v>
      </c>
      <c r="F67" s="873">
        <v>240763.33</v>
      </c>
      <c r="G67" s="844">
        <f t="shared" si="5"/>
        <v>453.32999999998719</v>
      </c>
      <c r="H67" s="845">
        <f>G67+'22'!H67</f>
        <v>-2410.6700000000128</v>
      </c>
      <c r="I67" s="882"/>
      <c r="J67" s="847">
        <f>H67/DAY(B2)</f>
        <v>-104.81173913043534</v>
      </c>
      <c r="K67" s="870"/>
      <c r="L67" s="822"/>
      <c r="O67" s="849"/>
    </row>
    <row r="68" spans="1:15">
      <c r="A68" s="1613" t="s">
        <v>103</v>
      </c>
      <c r="B68" s="1614"/>
      <c r="C68" s="1615"/>
      <c r="D68" s="842" t="s">
        <v>187</v>
      </c>
      <c r="E68" s="843">
        <f>'22'!F68</f>
        <v>85321</v>
      </c>
      <c r="F68" s="873">
        <v>85321</v>
      </c>
      <c r="G68" s="844">
        <f t="shared" si="5"/>
        <v>0</v>
      </c>
      <c r="H68" s="845">
        <f>G68+'22'!H68</f>
        <v>0</v>
      </c>
      <c r="I68" s="928"/>
      <c r="J68" s="847">
        <f>H68/DAY(B2)</f>
        <v>0</v>
      </c>
      <c r="K68" s="929"/>
      <c r="L68" s="822"/>
      <c r="O68" s="849"/>
    </row>
    <row r="69" spans="1:15">
      <c r="A69" s="1613" t="s">
        <v>104</v>
      </c>
      <c r="B69" s="1614"/>
      <c r="C69" s="1615"/>
      <c r="D69" s="842" t="s">
        <v>187</v>
      </c>
      <c r="E69" s="843">
        <f>'22'!F69</f>
        <v>78385</v>
      </c>
      <c r="F69" s="873">
        <v>78426.3</v>
      </c>
      <c r="G69" s="844">
        <f t="shared" si="5"/>
        <v>41.30000000000291</v>
      </c>
      <c r="H69" s="845">
        <f>G69+'22'!H69</f>
        <v>-567.69999999999709</v>
      </c>
      <c r="I69" s="928"/>
      <c r="J69" s="847">
        <f>H69/DAY(B2)</f>
        <v>-24.682608695652046</v>
      </c>
      <c r="K69" s="930"/>
      <c r="L69" s="822"/>
      <c r="O69" s="849"/>
    </row>
    <row r="70" spans="1:15">
      <c r="A70" s="1622" t="s">
        <v>189</v>
      </c>
      <c r="B70" s="1623"/>
      <c r="C70" s="162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19" t="s">
        <v>190</v>
      </c>
      <c r="B71" s="1620"/>
      <c r="C71" s="1620"/>
      <c r="D71" s="1620"/>
      <c r="E71" s="1620"/>
      <c r="F71" s="1620"/>
      <c r="G71" s="1620"/>
      <c r="H71" s="1620"/>
      <c r="I71" s="1620"/>
      <c r="J71" s="1621"/>
      <c r="K71" s="929"/>
      <c r="L71" s="822"/>
      <c r="O71" s="849"/>
    </row>
    <row r="72" spans="1:15">
      <c r="A72" s="1613" t="s">
        <v>191</v>
      </c>
      <c r="B72" s="1614"/>
      <c r="C72" s="1615"/>
      <c r="D72" s="842" t="s">
        <v>187</v>
      </c>
      <c r="E72" s="843">
        <f>'22'!F72</f>
        <v>855061</v>
      </c>
      <c r="F72" s="934">
        <v>855126</v>
      </c>
      <c r="G72" s="844">
        <f t="shared" ref="G72:G84" si="6">F72-E72</f>
        <v>65</v>
      </c>
      <c r="H72" s="845">
        <f>G72+'22'!H72</f>
        <v>-346</v>
      </c>
      <c r="I72" s="864"/>
      <c r="J72" s="847">
        <f>H72/DAY(B2)</f>
        <v>-15.043478260869565</v>
      </c>
      <c r="K72" s="930"/>
      <c r="L72" s="822"/>
      <c r="O72" s="849"/>
    </row>
    <row r="73" spans="1:15">
      <c r="A73" s="1613" t="s">
        <v>192</v>
      </c>
      <c r="B73" s="1614"/>
      <c r="C73" s="1615"/>
      <c r="D73" s="842" t="s">
        <v>187</v>
      </c>
      <c r="E73" s="843">
        <f>'22'!F73</f>
        <v>885832</v>
      </c>
      <c r="F73" s="935">
        <v>885834</v>
      </c>
      <c r="G73" s="844">
        <f t="shared" si="6"/>
        <v>2</v>
      </c>
      <c r="H73" s="845">
        <f>G73+'22'!H73</f>
        <v>138</v>
      </c>
      <c r="I73" s="864"/>
      <c r="J73" s="847">
        <f>H73/DAY(B2)</f>
        <v>6</v>
      </c>
      <c r="K73" s="929"/>
      <c r="L73" s="822"/>
      <c r="O73" s="849"/>
    </row>
    <row r="74" spans="1:15">
      <c r="A74" s="1613" t="s">
        <v>193</v>
      </c>
      <c r="B74" s="1614"/>
      <c r="C74" s="1615"/>
      <c r="D74" s="842" t="s">
        <v>187</v>
      </c>
      <c r="E74" s="843">
        <f>'22'!F74</f>
        <v>2022</v>
      </c>
      <c r="F74" s="936">
        <v>2054.98</v>
      </c>
      <c r="G74" s="844">
        <f t="shared" si="6"/>
        <v>32.980000000000018</v>
      </c>
      <c r="H74" s="845">
        <f>G74+'22'!H74</f>
        <v>-224.01999999999998</v>
      </c>
      <c r="I74" s="864"/>
      <c r="J74" s="847">
        <f>H74/DAY(B2)</f>
        <v>-9.7399999999999984</v>
      </c>
      <c r="K74" s="930"/>
      <c r="L74" s="822"/>
      <c r="O74" s="849"/>
    </row>
    <row r="75" spans="1:15">
      <c r="A75" s="1616" t="s">
        <v>194</v>
      </c>
      <c r="B75" s="1617"/>
      <c r="C75" s="1618"/>
      <c r="D75" s="842" t="s">
        <v>187</v>
      </c>
      <c r="E75" s="843">
        <f>'22'!F75</f>
        <v>10503</v>
      </c>
      <c r="F75" s="936">
        <v>10560.05</v>
      </c>
      <c r="G75" s="844">
        <f t="shared" si="6"/>
        <v>57.049999999999272</v>
      </c>
      <c r="H75" s="845">
        <f>G75+'22'!H75</f>
        <v>-409.95000000000073</v>
      </c>
      <c r="I75" s="864"/>
      <c r="J75" s="847">
        <f>H75/DAY(B2)</f>
        <v>-17.823913043478292</v>
      </c>
      <c r="K75" s="929"/>
      <c r="L75" s="822"/>
      <c r="O75" s="849"/>
    </row>
    <row r="76" spans="1:15">
      <c r="A76" s="1616" t="s">
        <v>195</v>
      </c>
      <c r="B76" s="1617"/>
      <c r="C76" s="1618"/>
      <c r="D76" s="842" t="s">
        <v>187</v>
      </c>
      <c r="E76" s="843">
        <f>'22'!F76</f>
        <v>5359</v>
      </c>
      <c r="F76" s="935">
        <v>5396.8</v>
      </c>
      <c r="G76" s="844">
        <f t="shared" si="6"/>
        <v>37.800000000000182</v>
      </c>
      <c r="H76" s="845">
        <f>G76+'22'!H76</f>
        <v>-320.15000000000055</v>
      </c>
      <c r="I76" s="907"/>
      <c r="J76" s="847">
        <f>H76/DAY(B2)</f>
        <v>-13.919565217391328</v>
      </c>
      <c r="K76" s="929"/>
      <c r="L76" s="822"/>
      <c r="O76" s="849"/>
    </row>
    <row r="77" spans="1:15">
      <c r="A77" s="1613" t="s">
        <v>196</v>
      </c>
      <c r="B77" s="1614"/>
      <c r="C77" s="1615"/>
      <c r="D77" s="842" t="s">
        <v>187</v>
      </c>
      <c r="E77" s="843">
        <f>'22'!F77</f>
        <v>701203</v>
      </c>
      <c r="F77" s="935">
        <v>701243</v>
      </c>
      <c r="G77" s="844">
        <f t="shared" si="6"/>
        <v>40</v>
      </c>
      <c r="H77" s="845">
        <f>G77+'22'!H77</f>
        <v>-319</v>
      </c>
      <c r="I77" s="907"/>
      <c r="J77" s="847">
        <f>H77/DAY(B2)</f>
        <v>-13.869565217391305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'22'!F78</f>
        <v>669346</v>
      </c>
      <c r="F78" s="936">
        <v>669435</v>
      </c>
      <c r="G78" s="844">
        <f t="shared" si="6"/>
        <v>89</v>
      </c>
      <c r="H78" s="845">
        <f>G78+'22'!H78</f>
        <v>-590</v>
      </c>
      <c r="I78" s="907"/>
      <c r="J78" s="847">
        <f>H78/DAY(B2)</f>
        <v>-25.652173913043477</v>
      </c>
      <c r="K78" s="929"/>
      <c r="L78" s="822"/>
      <c r="O78" s="849"/>
    </row>
    <row r="79" spans="1:15">
      <c r="A79" s="1616" t="s">
        <v>92</v>
      </c>
      <c r="B79" s="1617"/>
      <c r="C79" s="1618"/>
      <c r="D79" s="876" t="s">
        <v>187</v>
      </c>
      <c r="E79" s="843">
        <f>'22'!F79</f>
        <v>825300</v>
      </c>
      <c r="F79" s="1235">
        <v>825480</v>
      </c>
      <c r="G79" s="844">
        <f t="shared" si="6"/>
        <v>180</v>
      </c>
      <c r="H79" s="845">
        <f>G79+'22'!H79</f>
        <v>-2251</v>
      </c>
      <c r="I79" s="907"/>
      <c r="J79" s="847">
        <f>H79/DAY(B2)</f>
        <v>-97.869565217391298</v>
      </c>
      <c r="K79" s="929"/>
      <c r="L79" s="822"/>
      <c r="O79" s="849"/>
    </row>
    <row r="80" spans="1:15">
      <c r="A80" s="1616" t="s">
        <v>198</v>
      </c>
      <c r="B80" s="1617"/>
      <c r="C80" s="1618"/>
      <c r="D80" s="876" t="s">
        <v>187</v>
      </c>
      <c r="E80" s="843">
        <f>'22'!F80</f>
        <v>513749</v>
      </c>
      <c r="F80" s="935">
        <v>514128.76</v>
      </c>
      <c r="G80" s="844">
        <f t="shared" si="6"/>
        <v>379.76000000000931</v>
      </c>
      <c r="H80" s="845">
        <f>G80+'22'!H80</f>
        <v>-5332.2399999999907</v>
      </c>
      <c r="I80" s="907"/>
      <c r="J80" s="847">
        <f>H80/DAY(B2)</f>
        <v>-231.83652173913003</v>
      </c>
      <c r="K80" s="929"/>
      <c r="L80" s="822"/>
      <c r="O80" s="849"/>
    </row>
    <row r="81" spans="1:15">
      <c r="A81" s="1616" t="s">
        <v>199</v>
      </c>
      <c r="B81" s="1617"/>
      <c r="C81" s="1618"/>
      <c r="D81" s="876" t="s">
        <v>187</v>
      </c>
      <c r="E81" s="843">
        <f>'22'!F81</f>
        <v>635486</v>
      </c>
      <c r="F81" s="935">
        <v>635688.28</v>
      </c>
      <c r="G81" s="844">
        <f t="shared" si="6"/>
        <v>202.28000000002794</v>
      </c>
      <c r="H81" s="845">
        <f>G81+'22'!H81</f>
        <v>-789.71999999997206</v>
      </c>
      <c r="I81" s="907"/>
      <c r="J81" s="847">
        <f>H81/DAY(B2)</f>
        <v>-34.335652173911832</v>
      </c>
      <c r="K81" s="929"/>
      <c r="L81" s="822"/>
      <c r="O81" s="849"/>
    </row>
    <row r="82" spans="1:15">
      <c r="A82" s="1616" t="s">
        <v>93</v>
      </c>
      <c r="B82" s="1617"/>
      <c r="C82" s="1618"/>
      <c r="D82" s="877" t="s">
        <v>132</v>
      </c>
      <c r="E82" s="843">
        <f>'22'!F82</f>
        <v>107430</v>
      </c>
      <c r="F82" s="938">
        <v>107450.3</v>
      </c>
      <c r="G82" s="844">
        <f t="shared" si="6"/>
        <v>20.30000000000291</v>
      </c>
      <c r="H82" s="845">
        <f>G82+'22'!H82</f>
        <v>-161.69999999999709</v>
      </c>
      <c r="I82" s="878"/>
      <c r="J82" s="847">
        <f>H82/DAY(B2)</f>
        <v>-7.0304347826085687</v>
      </c>
      <c r="K82" s="929"/>
      <c r="L82" s="822"/>
      <c r="O82" s="849"/>
    </row>
    <row r="83" spans="1:15">
      <c r="A83" s="1616" t="s">
        <v>200</v>
      </c>
      <c r="B83" s="1617"/>
      <c r="C83" s="1618"/>
      <c r="D83" s="939" t="s">
        <v>132</v>
      </c>
      <c r="E83" s="843">
        <f>'22'!F83</f>
        <v>12975</v>
      </c>
      <c r="F83" s="1278">
        <v>13149</v>
      </c>
      <c r="G83" s="844">
        <f t="shared" si="6"/>
        <v>174</v>
      </c>
      <c r="H83" s="845">
        <f>G83+'22'!H83</f>
        <v>-1622</v>
      </c>
      <c r="I83" s="867"/>
      <c r="J83" s="847">
        <f>H83/DAY(B2)</f>
        <v>-70.521739130434781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473853</v>
      </c>
      <c r="F84" s="942">
        <v>474641</v>
      </c>
      <c r="G84" s="844">
        <f t="shared" si="6"/>
        <v>788</v>
      </c>
      <c r="H84" s="845">
        <f>G84+'22'!H84</f>
        <v>-5492</v>
      </c>
      <c r="I84" s="867"/>
      <c r="J84" s="847">
        <f>H84/DAY(B2)</f>
        <v>-238.78260869565219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2068.1700000000396</v>
      </c>
      <c r="H85" s="845">
        <f>G85+'22'!H85</f>
        <v>-14210.82999999996</v>
      </c>
      <c r="I85" s="867"/>
      <c r="J85" s="847">
        <f>H85/DAY(B2)</f>
        <v>-617.86217391304172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458325</v>
      </c>
      <c r="F86" s="951">
        <v>458356.36</v>
      </c>
      <c r="G86" s="952">
        <f t="shared" ref="G86:G88" si="7">F86-E86</f>
        <v>31.35999999998603</v>
      </c>
      <c r="H86" s="952">
        <f t="shared" ref="H86:H88" si="8">G86</f>
        <v>31.35999999998603</v>
      </c>
      <c r="I86" s="953"/>
      <c r="J86" s="954">
        <f>H86/DAY(B2)</f>
        <v>1.3634782608689577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80813</v>
      </c>
      <c r="F87" s="951">
        <v>80823</v>
      </c>
      <c r="G87" s="952">
        <f t="shared" si="7"/>
        <v>10</v>
      </c>
      <c r="H87" s="952">
        <f t="shared" si="8"/>
        <v>10</v>
      </c>
      <c r="I87" s="953"/>
      <c r="J87" s="954">
        <f>H87/DAY(B2)</f>
        <v>0.43478260869565216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151518</v>
      </c>
      <c r="F88" s="951">
        <v>151542.20000000001</v>
      </c>
      <c r="G88" s="952">
        <f t="shared" si="7"/>
        <v>24.200000000011642</v>
      </c>
      <c r="H88" s="952">
        <f t="shared" si="8"/>
        <v>24.200000000011642</v>
      </c>
      <c r="I88" s="953"/>
      <c r="J88" s="954">
        <f>H88/DAY(B2)</f>
        <v>1.0521739130439844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64504</v>
      </c>
      <c r="F89" s="951">
        <v>64546</v>
      </c>
      <c r="G89" s="952">
        <f t="shared" ref="G89:G90" si="9">F89-E89</f>
        <v>42</v>
      </c>
      <c r="H89" s="952">
        <f>G89</f>
        <v>42</v>
      </c>
      <c r="I89" s="953"/>
      <c r="J89" s="954">
        <f>H89/DAY(B2)</f>
        <v>1.826086956521739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3272</v>
      </c>
      <c r="F90" s="951">
        <v>3272.7</v>
      </c>
      <c r="G90" s="952">
        <f t="shared" si="9"/>
        <v>0.6999999999998181</v>
      </c>
      <c r="H90" s="952">
        <f>G90</f>
        <v>0.6999999999998181</v>
      </c>
      <c r="I90" s="953"/>
      <c r="J90" s="954">
        <f>H90/DAY(B2)</f>
        <v>3.0434782608687743E-2</v>
      </c>
      <c r="K90" s="955"/>
      <c r="L90" s="956"/>
      <c r="N90" s="1016"/>
      <c r="O90" s="849"/>
    </row>
    <row r="91" spans="1:15" s="738" customFormat="1" ht="29.25">
      <c r="A91" s="733" t="s">
        <v>365</v>
      </c>
      <c r="B91" s="734"/>
      <c r="C91" s="734"/>
      <c r="D91" s="735"/>
      <c r="E91" s="843">
        <f>'22'!F91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947" customFormat="1">
      <c r="A92" s="958" t="s">
        <v>205</v>
      </c>
      <c r="B92" s="837"/>
      <c r="C92" s="837"/>
      <c r="D92" s="837"/>
      <c r="E92" s="837"/>
      <c r="F92" s="837"/>
      <c r="G92" s="881"/>
      <c r="H92" s="837"/>
      <c r="I92" s="837"/>
      <c r="J92" s="838"/>
      <c r="K92" s="943"/>
      <c r="L92" s="946"/>
      <c r="N92" s="1014"/>
      <c r="O92" s="849"/>
    </row>
    <row r="93" spans="1:15">
      <c r="A93" s="1607" t="s">
        <v>206</v>
      </c>
      <c r="B93" s="1608"/>
      <c r="C93" s="1609"/>
      <c r="D93" s="842" t="s">
        <v>144</v>
      </c>
      <c r="E93" s="843">
        <f>'22'!F93</f>
        <v>244138</v>
      </c>
      <c r="F93" s="873">
        <v>244204</v>
      </c>
      <c r="G93" s="844">
        <f t="shared" ref="G93:G94" si="10">F93-E93</f>
        <v>66</v>
      </c>
      <c r="H93" s="845">
        <f>G93+'22'!H93</f>
        <v>-320</v>
      </c>
      <c r="I93" s="864"/>
      <c r="J93" s="847">
        <f>H93/DAY(B2)</f>
        <v>-13.913043478260869</v>
      </c>
      <c r="K93" s="870"/>
      <c r="L93" s="822"/>
      <c r="O93" s="849"/>
    </row>
    <row r="94" spans="1:15">
      <c r="A94" s="1607" t="s">
        <v>207</v>
      </c>
      <c r="B94" s="1608"/>
      <c r="C94" s="1609"/>
      <c r="D94" s="842" t="s">
        <v>144</v>
      </c>
      <c r="E94" s="843">
        <f>'22'!F94</f>
        <v>182796</v>
      </c>
      <c r="F94" s="1277">
        <v>182874</v>
      </c>
      <c r="G94" s="844">
        <f t="shared" si="10"/>
        <v>78</v>
      </c>
      <c r="H94" s="845">
        <f>G94+'22'!H94</f>
        <v>-657</v>
      </c>
      <c r="I94" s="864"/>
      <c r="J94" s="847">
        <f>H94/DAY(B2)</f>
        <v>-28.565217391304348</v>
      </c>
      <c r="K94" s="943"/>
      <c r="L94" s="822"/>
      <c r="O94" s="849"/>
    </row>
    <row r="95" spans="1:15">
      <c r="A95" s="1599" t="s">
        <v>208</v>
      </c>
      <c r="B95" s="1600"/>
      <c r="C95" s="1601"/>
      <c r="D95" s="842"/>
      <c r="E95" s="843">
        <f>'22'!F95</f>
        <v>0</v>
      </c>
      <c r="F95" s="873"/>
      <c r="G95" s="844">
        <f>G93+G94</f>
        <v>144</v>
      </c>
      <c r="H95" s="845">
        <f>G95+'22'!H95</f>
        <v>-1124</v>
      </c>
      <c r="I95" s="864"/>
      <c r="J95" s="847">
        <f>H95/DAY(B2)</f>
        <v>-48.869565217391305</v>
      </c>
      <c r="K95" s="943"/>
      <c r="L95" s="822"/>
      <c r="O95" s="849"/>
    </row>
    <row r="96" spans="1:15">
      <c r="A96" s="1607" t="s">
        <v>209</v>
      </c>
      <c r="B96" s="1608"/>
      <c r="C96" s="1609"/>
      <c r="D96" s="842" t="s">
        <v>144</v>
      </c>
      <c r="E96" s="843">
        <f>'22'!F96</f>
        <v>412357</v>
      </c>
      <c r="F96" s="873">
        <v>412422</v>
      </c>
      <c r="G96" s="844">
        <f t="shared" ref="G96:G101" si="11">F96-E96</f>
        <v>65</v>
      </c>
      <c r="H96" s="845">
        <f>G96+'22'!H96</f>
        <v>-464</v>
      </c>
      <c r="I96" s="864"/>
      <c r="J96" s="847">
        <f>H96/DAY(B2)</f>
        <v>-20.173913043478262</v>
      </c>
      <c r="K96" s="943"/>
      <c r="L96" s="822"/>
      <c r="O96" s="849"/>
    </row>
    <row r="97" spans="1:15">
      <c r="A97" s="871" t="s">
        <v>210</v>
      </c>
      <c r="B97" s="872"/>
      <c r="C97" s="872"/>
      <c r="D97" s="842" t="s">
        <v>144</v>
      </c>
      <c r="E97" s="843">
        <f>'22'!F97</f>
        <v>102215</v>
      </c>
      <c r="F97" s="873">
        <v>102234</v>
      </c>
      <c r="G97" s="844">
        <f t="shared" si="11"/>
        <v>19</v>
      </c>
      <c r="H97" s="845">
        <f>G97+'22'!H97</f>
        <v>-109</v>
      </c>
      <c r="I97" s="864"/>
      <c r="J97" s="847">
        <f>H97/DAY(B2)</f>
        <v>-4.7391304347826084</v>
      </c>
      <c r="K97" s="839"/>
      <c r="L97" s="822"/>
      <c r="O97" s="849"/>
    </row>
    <row r="98" spans="1:15">
      <c r="A98" s="871" t="s">
        <v>211</v>
      </c>
      <c r="B98" s="872"/>
      <c r="C98" s="872"/>
      <c r="D98" s="842" t="s">
        <v>144</v>
      </c>
      <c r="E98" s="843">
        <f>'22'!F98</f>
        <v>97312</v>
      </c>
      <c r="F98" s="873">
        <v>97333</v>
      </c>
      <c r="G98" s="844">
        <f t="shared" si="11"/>
        <v>21</v>
      </c>
      <c r="H98" s="845">
        <f>G98+'22'!H98</f>
        <v>-94</v>
      </c>
      <c r="I98" s="864"/>
      <c r="J98" s="847">
        <f>H98/DAY(B2)</f>
        <v>-4.0869565217391308</v>
      </c>
      <c r="K98" s="959"/>
      <c r="L98" s="822"/>
      <c r="O98" s="849"/>
    </row>
    <row r="99" spans="1:15">
      <c r="A99" s="871" t="s">
        <v>212</v>
      </c>
      <c r="B99" s="872"/>
      <c r="C99" s="872"/>
      <c r="D99" s="842" t="s">
        <v>144</v>
      </c>
      <c r="E99" s="843">
        <f>'22'!F99</f>
        <v>149479</v>
      </c>
      <c r="F99" s="873">
        <v>149485</v>
      </c>
      <c r="G99" s="844">
        <f t="shared" si="11"/>
        <v>6</v>
      </c>
      <c r="H99" s="845">
        <f>G99+'22'!H99</f>
        <v>-48</v>
      </c>
      <c r="I99" s="864"/>
      <c r="J99" s="847">
        <f>H99/DAY(B2)</f>
        <v>-2.0869565217391304</v>
      </c>
      <c r="K99" s="943"/>
      <c r="L99" s="822"/>
      <c r="O99" s="849"/>
    </row>
    <row r="100" spans="1:15">
      <c r="A100" s="871" t="s">
        <v>213</v>
      </c>
      <c r="B100" s="872"/>
      <c r="C100" s="872"/>
      <c r="D100" s="842" t="s">
        <v>144</v>
      </c>
      <c r="E100" s="843">
        <f>'22'!F100</f>
        <v>7135</v>
      </c>
      <c r="F100" s="873">
        <v>7149</v>
      </c>
      <c r="G100" s="844">
        <f t="shared" si="11"/>
        <v>14</v>
      </c>
      <c r="H100" s="845">
        <f>G100+'22'!H100</f>
        <v>-36</v>
      </c>
      <c r="I100" s="864"/>
      <c r="J100" s="847">
        <f>H100/DAY(B2)</f>
        <v>-1.5652173913043479</v>
      </c>
      <c r="K100" s="943"/>
      <c r="L100" s="822"/>
      <c r="O100" s="849"/>
    </row>
    <row r="101" spans="1:15">
      <c r="A101" s="871" t="s">
        <v>214</v>
      </c>
      <c r="B101" s="872"/>
      <c r="C101" s="872"/>
      <c r="D101" s="842" t="s">
        <v>144</v>
      </c>
      <c r="E101" s="843">
        <f>'22'!F101</f>
        <v>5094</v>
      </c>
      <c r="F101" s="873">
        <v>5100</v>
      </c>
      <c r="G101" s="844">
        <f t="shared" si="11"/>
        <v>6</v>
      </c>
      <c r="H101" s="845">
        <f>G101+'22'!H101</f>
        <v>-38</v>
      </c>
      <c r="I101" s="864"/>
      <c r="J101" s="847">
        <f>H101/DAY(B2)</f>
        <v>-1.6521739130434783</v>
      </c>
      <c r="K101" s="943"/>
      <c r="L101" s="822"/>
      <c r="O101" s="849"/>
    </row>
    <row r="102" spans="1:15">
      <c r="A102" s="1599" t="s">
        <v>216</v>
      </c>
      <c r="B102" s="1600"/>
      <c r="C102" s="1601"/>
      <c r="D102" s="876"/>
      <c r="E102" s="876"/>
      <c r="F102" s="876"/>
      <c r="G102" s="960">
        <f>SUM(G96:G101)</f>
        <v>131</v>
      </c>
      <c r="H102" s="845">
        <f>G102+'22'!H102</f>
        <v>-789</v>
      </c>
      <c r="I102" s="961"/>
      <c r="J102" s="847">
        <f>H102/DAY(B2)</f>
        <v>-34.304347826086953</v>
      </c>
      <c r="K102" s="943"/>
      <c r="L102" s="822"/>
      <c r="O102" s="849"/>
    </row>
    <row r="103" spans="1:15" s="894" customFormat="1">
      <c r="A103" s="962" t="s">
        <v>217</v>
      </c>
      <c r="B103" s="963"/>
      <c r="C103" s="963"/>
      <c r="D103" s="964"/>
      <c r="E103" s="965"/>
      <c r="F103" s="966"/>
      <c r="G103" s="967"/>
      <c r="H103" s="968"/>
      <c r="I103" s="969"/>
      <c r="J103" s="970"/>
      <c r="N103" s="1012"/>
      <c r="O103" s="849"/>
    </row>
    <row r="104" spans="1:15" s="894" customFormat="1">
      <c r="A104" s="1596" t="s">
        <v>218</v>
      </c>
      <c r="B104" s="1597"/>
      <c r="C104" s="971"/>
      <c r="D104" s="972"/>
      <c r="E104" s="973"/>
      <c r="F104" s="973"/>
      <c r="G104" s="973"/>
      <c r="H104" s="974"/>
      <c r="I104" s="973"/>
      <c r="J104" s="975"/>
      <c r="N104" s="1012"/>
      <c r="O104" s="849"/>
    </row>
    <row r="105" spans="1:15" s="894" customFormat="1">
      <c r="A105" s="1590" t="s">
        <v>219</v>
      </c>
      <c r="B105" s="1591"/>
      <c r="C105" s="976"/>
      <c r="D105" s="972" t="s">
        <v>144</v>
      </c>
      <c r="E105" s="973">
        <f>'22'!F105</f>
        <v>7405</v>
      </c>
      <c r="F105" s="973">
        <v>7409</v>
      </c>
      <c r="G105" s="973">
        <f>F105-E105</f>
        <v>4</v>
      </c>
      <c r="H105" s="974">
        <f>SUM(G105+'1'!G76)</f>
        <v>61</v>
      </c>
      <c r="I105" s="973"/>
      <c r="J105" s="975">
        <f>H105/DAY(B2)</f>
        <v>2.652173913043478</v>
      </c>
      <c r="N105" s="1012"/>
      <c r="O105" s="849"/>
    </row>
    <row r="106" spans="1:15" s="894" customFormat="1">
      <c r="A106" s="1590" t="s">
        <v>77</v>
      </c>
      <c r="B106" s="1591"/>
      <c r="C106" s="976"/>
      <c r="D106" s="972" t="s">
        <v>144</v>
      </c>
      <c r="E106" s="973">
        <f>'22'!F106</f>
        <v>35779</v>
      </c>
      <c r="F106" s="1279">
        <v>35788</v>
      </c>
      <c r="G106" s="973">
        <f t="shared" ref="G106:G107" si="12">F106-E106</f>
        <v>9</v>
      </c>
      <c r="H106" s="974">
        <f>SUM(G106+'1'!G77)</f>
        <v>59</v>
      </c>
      <c r="I106" s="973"/>
      <c r="J106" s="975">
        <f>H106/DAY(B2)</f>
        <v>2.5652173913043477</v>
      </c>
      <c r="N106" s="1012"/>
      <c r="O106" s="849"/>
    </row>
    <row r="107" spans="1:15" s="894" customFormat="1">
      <c r="A107" s="1590" t="s">
        <v>78</v>
      </c>
      <c r="B107" s="1598"/>
      <c r="C107" s="1591"/>
      <c r="D107" s="972" t="s">
        <v>144</v>
      </c>
      <c r="E107" s="973">
        <f>'22'!F107</f>
        <v>19571</v>
      </c>
      <c r="F107" s="973">
        <v>19577</v>
      </c>
      <c r="G107" s="973">
        <f t="shared" si="12"/>
        <v>6</v>
      </c>
      <c r="H107" s="974">
        <f>SUM(G107+'1'!G78)</f>
        <v>130</v>
      </c>
      <c r="I107" s="973"/>
      <c r="J107" s="975">
        <f>H107/DAY(B2)</f>
        <v>5.6521739130434785</v>
      </c>
      <c r="N107" s="1012"/>
      <c r="O107" s="849"/>
    </row>
    <row r="108" spans="1:15" s="894" customFormat="1">
      <c r="A108" s="1592" t="s">
        <v>202</v>
      </c>
      <c r="B108" s="1593"/>
      <c r="C108" s="976"/>
      <c r="D108" s="972"/>
      <c r="E108" s="973">
        <f>'22'!F108</f>
        <v>0</v>
      </c>
      <c r="F108" s="973"/>
      <c r="G108" s="973">
        <f>SUM(G105:G107)</f>
        <v>19</v>
      </c>
      <c r="H108" s="974">
        <f>SUM(G108+'1'!G79)</f>
        <v>208</v>
      </c>
      <c r="I108" s="973"/>
      <c r="J108" s="975">
        <f>H108/DAY(B2)</f>
        <v>9.0434782608695645</v>
      </c>
      <c r="N108" s="1012"/>
      <c r="O108" s="849"/>
    </row>
    <row r="109" spans="1:15" s="894" customFormat="1">
      <c r="A109" s="1588" t="s">
        <v>79</v>
      </c>
      <c r="B109" s="1589"/>
      <c r="C109" s="976"/>
      <c r="D109" s="972" t="s">
        <v>144</v>
      </c>
      <c r="E109" s="973">
        <f>'22'!F109</f>
        <v>0</v>
      </c>
      <c r="F109" s="973"/>
      <c r="G109" s="973"/>
      <c r="H109" s="974"/>
      <c r="I109" s="973"/>
      <c r="J109" s="975"/>
      <c r="N109" s="1012"/>
      <c r="O109" s="849"/>
    </row>
    <row r="110" spans="1:15" s="894" customFormat="1">
      <c r="A110" s="1590" t="s">
        <v>220</v>
      </c>
      <c r="B110" s="1591"/>
      <c r="C110" s="976"/>
      <c r="D110" s="972" t="s">
        <v>144</v>
      </c>
      <c r="E110" s="973">
        <f>'22'!F110</f>
        <v>60541</v>
      </c>
      <c r="F110" s="973">
        <v>60602</v>
      </c>
      <c r="G110" s="973">
        <f>F110-E110</f>
        <v>61</v>
      </c>
      <c r="H110" s="974">
        <f>SUM(G110+'1'!G81)</f>
        <v>142</v>
      </c>
      <c r="I110" s="973"/>
      <c r="J110" s="975">
        <f>H110/DAY(B2)</f>
        <v>6.1739130434782608</v>
      </c>
      <c r="N110" s="1012"/>
      <c r="O110" s="849"/>
    </row>
    <row r="111" spans="1:15" s="894" customFormat="1">
      <c r="A111" s="1590" t="s">
        <v>221</v>
      </c>
      <c r="B111" s="1591"/>
      <c r="C111" s="976"/>
      <c r="D111" s="972" t="s">
        <v>144</v>
      </c>
      <c r="E111" s="973">
        <f>'22'!F111</f>
        <v>32156</v>
      </c>
      <c r="F111" s="1279">
        <v>32165</v>
      </c>
      <c r="G111" s="973">
        <f t="shared" ref="G111:G112" si="13">F111-E111</f>
        <v>9</v>
      </c>
      <c r="H111" s="974">
        <f>SUM(G111+'1'!G82)</f>
        <v>21</v>
      </c>
      <c r="I111" s="973"/>
      <c r="J111" s="975">
        <f>H111/DAY(B2)</f>
        <v>0.91304347826086951</v>
      </c>
      <c r="N111" s="1012"/>
      <c r="O111" s="849"/>
    </row>
    <row r="112" spans="1:15" s="894" customFormat="1">
      <c r="A112" s="1590" t="s">
        <v>222</v>
      </c>
      <c r="B112" s="1591"/>
      <c r="C112" s="976"/>
      <c r="D112" s="972" t="s">
        <v>144</v>
      </c>
      <c r="E112" s="973">
        <f>'22'!F112</f>
        <v>4326</v>
      </c>
      <c r="F112" s="1279">
        <v>4346</v>
      </c>
      <c r="G112" s="973">
        <f t="shared" si="13"/>
        <v>20</v>
      </c>
      <c r="H112" s="974">
        <f>SUM(G112+'1'!G83)</f>
        <v>275</v>
      </c>
      <c r="I112" s="973"/>
      <c r="J112" s="975">
        <f>H112/DAY(B2)</f>
        <v>11.956521739130435</v>
      </c>
      <c r="N112" s="1012"/>
      <c r="O112" s="849"/>
    </row>
    <row r="113" spans="1:15" s="894" customFormat="1">
      <c r="A113" s="1594" t="s">
        <v>110</v>
      </c>
      <c r="B113" s="1595"/>
      <c r="C113" s="976"/>
      <c r="D113" s="972"/>
      <c r="E113" s="973">
        <f>'22'!F113</f>
        <v>0</v>
      </c>
      <c r="F113" s="973"/>
      <c r="G113" s="973">
        <f>SUM(G110:G112)</f>
        <v>90</v>
      </c>
      <c r="H113" s="974">
        <f>SUM(G113+'1'!G84)</f>
        <v>805</v>
      </c>
      <c r="I113" s="973"/>
      <c r="J113" s="975">
        <f>H113/DAY(B2)</f>
        <v>35</v>
      </c>
      <c r="N113" s="1012"/>
      <c r="O113" s="849"/>
    </row>
    <row r="114" spans="1:15" s="894" customFormat="1">
      <c r="A114" s="1588" t="s">
        <v>223</v>
      </c>
      <c r="B114" s="1589"/>
      <c r="C114" s="976"/>
      <c r="D114" s="972"/>
      <c r="E114" s="973">
        <f>'22'!F114</f>
        <v>0</v>
      </c>
      <c r="F114" s="973"/>
      <c r="G114" s="973"/>
      <c r="H114" s="974"/>
      <c r="I114" s="973"/>
      <c r="J114" s="975">
        <f>H114/DAY(B2)</f>
        <v>0</v>
      </c>
      <c r="N114" s="1012"/>
      <c r="O114" s="849"/>
    </row>
    <row r="115" spans="1:15" s="894" customFormat="1">
      <c r="A115" s="1590" t="s">
        <v>224</v>
      </c>
      <c r="B115" s="1591"/>
      <c r="C115" s="978"/>
      <c r="D115" s="972" t="s">
        <v>144</v>
      </c>
      <c r="E115" s="973">
        <f>'22'!F115</f>
        <v>11195</v>
      </c>
      <c r="F115" s="977">
        <v>11212</v>
      </c>
      <c r="G115" s="977">
        <f>F115-E115</f>
        <v>17</v>
      </c>
      <c r="H115" s="974">
        <f>SUM(G115+'1'!G92)</f>
        <v>17</v>
      </c>
      <c r="I115" s="973"/>
      <c r="J115" s="975">
        <f>H115/DAY(B2)</f>
        <v>0.73913043478260865</v>
      </c>
      <c r="N115" s="1012"/>
      <c r="O115" s="849"/>
    </row>
    <row r="116" spans="1:15" s="894" customFormat="1">
      <c r="A116" s="1590" t="s">
        <v>225</v>
      </c>
      <c r="B116" s="1591"/>
      <c r="C116" s="978"/>
      <c r="D116" s="972" t="s">
        <v>144</v>
      </c>
      <c r="E116" s="973">
        <f>'22'!F116</f>
        <v>8094</v>
      </c>
      <c r="F116" s="977">
        <v>8098</v>
      </c>
      <c r="G116" s="977">
        <f t="shared" ref="G116:G117" si="14">F116-E116</f>
        <v>4</v>
      </c>
      <c r="H116" s="974">
        <f>SUM(G116+'1'!G93)</f>
        <v>56</v>
      </c>
      <c r="I116" s="973"/>
      <c r="J116" s="975">
        <f>H116/DAY(B2)</f>
        <v>2.4347826086956523</v>
      </c>
      <c r="N116" s="1012"/>
      <c r="O116" s="849"/>
    </row>
    <row r="117" spans="1:15" s="894" customFormat="1">
      <c r="A117" s="1590" t="s">
        <v>226</v>
      </c>
      <c r="B117" s="1591"/>
      <c r="C117" s="978"/>
      <c r="D117" s="972" t="s">
        <v>144</v>
      </c>
      <c r="E117" s="977"/>
      <c r="F117" s="977"/>
      <c r="G117" s="977">
        <f t="shared" si="14"/>
        <v>0</v>
      </c>
      <c r="H117" s="974">
        <f>SUM(G117+'1'!G94)</f>
        <v>95</v>
      </c>
      <c r="I117" s="973"/>
      <c r="J117" s="975">
        <f>H117/DAY(B2)</f>
        <v>4.1304347826086953</v>
      </c>
      <c r="N117" s="1012"/>
      <c r="O117" s="849"/>
    </row>
    <row r="118" spans="1:15" s="980" customFormat="1">
      <c r="A118" s="1592" t="s">
        <v>202</v>
      </c>
      <c r="B118" s="1593"/>
      <c r="C118" s="978"/>
      <c r="D118" s="979"/>
      <c r="E118" s="977"/>
      <c r="F118" s="977"/>
      <c r="G118" s="977">
        <f>SUM(G115:G117)</f>
        <v>21</v>
      </c>
      <c r="H118" s="974">
        <f>SUM(G118+'1'!G96)</f>
        <v>93</v>
      </c>
      <c r="I118" s="977"/>
      <c r="J118" s="975">
        <f>H118/DAY(B2)</f>
        <v>4.0434782608695654</v>
      </c>
      <c r="N118" s="1017"/>
      <c r="O118" s="849"/>
    </row>
    <row r="119" spans="1:15" s="772" customFormat="1">
      <c r="A119" s="1584" t="s">
        <v>227</v>
      </c>
      <c r="B119" s="1585"/>
      <c r="C119" s="981"/>
      <c r="D119" s="982" t="s">
        <v>144</v>
      </c>
      <c r="E119" s="983"/>
      <c r="F119" s="984"/>
      <c r="G119" s="984">
        <f>SUM(G19+G93)</f>
        <v>124</v>
      </c>
      <c r="H119" s="974">
        <f>SUM(G119+'1'!G97)</f>
        <v>136</v>
      </c>
      <c r="I119" s="983"/>
      <c r="J119" s="985">
        <f>H119/DAY(B2)</f>
        <v>5.9130434782608692</v>
      </c>
      <c r="N119" s="1018" t="s">
        <v>215</v>
      </c>
      <c r="O119" s="849"/>
    </row>
    <row r="120" spans="1:15" s="772" customFormat="1">
      <c r="A120" s="1584" t="s">
        <v>228</v>
      </c>
      <c r="B120" s="1585"/>
      <c r="C120" s="981"/>
      <c r="D120" s="982" t="s">
        <v>144</v>
      </c>
      <c r="E120" s="983"/>
      <c r="F120" s="984"/>
      <c r="G120" s="984">
        <f>SUM(G96,G97,G98,G100,G101)</f>
        <v>125</v>
      </c>
      <c r="H120" s="974">
        <f>SUM(G120+'1'!G99)</f>
        <v>130</v>
      </c>
      <c r="I120" s="983"/>
      <c r="J120" s="985">
        <f>H120/DAY(B2)</f>
        <v>5.6521739130434785</v>
      </c>
      <c r="N120" s="1018"/>
      <c r="O120" s="849"/>
    </row>
    <row r="121" spans="1:15" s="772" customFormat="1">
      <c r="A121" s="1584" t="s">
        <v>229</v>
      </c>
      <c r="B121" s="1585"/>
      <c r="C121" s="981"/>
      <c r="D121" s="982" t="s">
        <v>144</v>
      </c>
      <c r="E121" s="983"/>
      <c r="F121" s="977"/>
      <c r="G121" s="977">
        <f>SUM(G113)</f>
        <v>90</v>
      </c>
      <c r="H121" s="974">
        <f>SUM(G121+'1'!G101)</f>
        <v>96</v>
      </c>
      <c r="I121" s="983"/>
      <c r="J121" s="985">
        <f>H121/DAY(B2)</f>
        <v>4.1739130434782608</v>
      </c>
      <c r="N121" s="1018"/>
      <c r="O121" s="849"/>
    </row>
    <row r="122" spans="1:15" s="894" customFormat="1">
      <c r="A122" s="1586"/>
      <c r="B122" s="1587"/>
      <c r="C122" s="976"/>
      <c r="D122" s="971"/>
      <c r="E122" s="971"/>
      <c r="F122" s="971"/>
      <c r="G122" s="971"/>
      <c r="H122" s="986"/>
      <c r="I122" s="971"/>
      <c r="J122" s="987"/>
      <c r="N122" s="1012"/>
      <c r="O122" s="849"/>
    </row>
    <row r="123" spans="1:15">
      <c r="A123" s="1602" t="s">
        <v>230</v>
      </c>
      <c r="B123" s="1603"/>
      <c r="C123" s="1604"/>
      <c r="D123" s="837"/>
      <c r="E123" s="837"/>
      <c r="F123" s="837"/>
      <c r="G123" s="869"/>
      <c r="H123" s="869"/>
      <c r="I123" s="869"/>
      <c r="J123" s="988"/>
      <c r="K123" s="943"/>
      <c r="L123" s="822"/>
      <c r="O123" s="849"/>
    </row>
    <row r="124" spans="1:15">
      <c r="A124" s="871" t="s">
        <v>231</v>
      </c>
      <c r="B124" s="872"/>
      <c r="C124" s="872"/>
      <c r="D124" s="842" t="s">
        <v>141</v>
      </c>
      <c r="E124" s="843">
        <f>'22'!F124</f>
        <v>824293</v>
      </c>
      <c r="F124" s="877">
        <v>824552.41</v>
      </c>
      <c r="G124" s="844">
        <f>F124-E124</f>
        <v>259.4100000000326</v>
      </c>
      <c r="H124" s="845">
        <f>G124+'22'!H124</f>
        <v>-1536.0499999999302</v>
      </c>
      <c r="I124" s="961"/>
      <c r="J124" s="847">
        <f>H124/DAY(B2)</f>
        <v>-66.784782608692609</v>
      </c>
      <c r="K124" s="943"/>
      <c r="L124" s="822"/>
      <c r="O124" s="849"/>
    </row>
    <row r="125" spans="1:15">
      <c r="A125" s="871" t="s">
        <v>232</v>
      </c>
      <c r="B125" s="872"/>
      <c r="C125" s="872"/>
      <c r="D125" s="842" t="s">
        <v>141</v>
      </c>
      <c r="E125" s="843">
        <f>'22'!F125</f>
        <v>73583</v>
      </c>
      <c r="F125" s="877">
        <v>73583.399999999994</v>
      </c>
      <c r="G125" s="844">
        <f t="shared" ref="G125:G128" si="15">F125-E125</f>
        <v>0.39999999999417923</v>
      </c>
      <c r="H125" s="845">
        <f>G125+'22'!H125</f>
        <v>0</v>
      </c>
      <c r="I125" s="961"/>
      <c r="J125" s="847">
        <f>H125/DAY(B2)</f>
        <v>0</v>
      </c>
      <c r="K125" s="943"/>
      <c r="L125" s="822"/>
      <c r="O125" s="849"/>
    </row>
    <row r="126" spans="1:15">
      <c r="A126" s="1613" t="s">
        <v>233</v>
      </c>
      <c r="B126" s="1614"/>
      <c r="C126" s="1615"/>
      <c r="D126" s="842" t="s">
        <v>141</v>
      </c>
      <c r="E126" s="843">
        <f>'22'!F126</f>
        <v>144083</v>
      </c>
      <c r="F126" s="877">
        <v>144172.07</v>
      </c>
      <c r="G126" s="844">
        <f t="shared" si="15"/>
        <v>89.070000000006985</v>
      </c>
      <c r="H126" s="845">
        <f>G126+'22'!H126</f>
        <v>-515.36999999999534</v>
      </c>
      <c r="I126" s="961"/>
      <c r="J126" s="847">
        <f>H126/DAY(B2)</f>
        <v>-22.407391304347623</v>
      </c>
      <c r="K126" s="943"/>
      <c r="L126" s="822"/>
      <c r="O126" s="849"/>
    </row>
    <row r="127" spans="1:15">
      <c r="A127" s="990" t="s">
        <v>234</v>
      </c>
      <c r="B127" s="872"/>
      <c r="C127" s="872"/>
      <c r="D127" s="842" t="s">
        <v>141</v>
      </c>
      <c r="E127" s="843">
        <f>'22'!F127</f>
        <v>31404</v>
      </c>
      <c r="F127" s="877">
        <v>31404.2</v>
      </c>
      <c r="G127" s="844">
        <f t="shared" si="15"/>
        <v>0.2000000000007276</v>
      </c>
      <c r="H127" s="845">
        <f>G127+'22'!H127</f>
        <v>0.2000000000007276</v>
      </c>
      <c r="I127" s="961"/>
      <c r="J127" s="847">
        <f>H127/DAY(B2)</f>
        <v>8.695652173944678E-3</v>
      </c>
      <c r="K127" s="943"/>
      <c r="L127" s="822"/>
      <c r="O127" s="849"/>
    </row>
    <row r="128" spans="1:15">
      <c r="A128" s="990" t="s">
        <v>235</v>
      </c>
      <c r="B128" s="872"/>
      <c r="C128" s="872"/>
      <c r="D128" s="842" t="s">
        <v>141</v>
      </c>
      <c r="E128" s="843">
        <f>'22'!F128</f>
        <v>8938.4</v>
      </c>
      <c r="F128" s="877">
        <v>8969.2999999999993</v>
      </c>
      <c r="G128" s="844">
        <f t="shared" si="15"/>
        <v>30.899999999999636</v>
      </c>
      <c r="H128" s="845">
        <f>G128+'22'!H128</f>
        <v>-0.40000000000145519</v>
      </c>
      <c r="I128" s="864"/>
      <c r="J128" s="847">
        <f>H128/DAY(B2)</f>
        <v>-1.7391304347889356E-2</v>
      </c>
      <c r="K128" s="943"/>
      <c r="L128" s="822"/>
      <c r="O128" s="849"/>
    </row>
    <row r="129" spans="1:15">
      <c r="A129" s="990" t="s">
        <v>236</v>
      </c>
      <c r="B129" s="872"/>
      <c r="C129" s="872"/>
      <c r="D129" s="842"/>
      <c r="E129" s="843"/>
      <c r="F129" s="861"/>
      <c r="G129" s="844">
        <f>G15-SUM(G124:G128)</f>
        <v>444.39599999989696</v>
      </c>
      <c r="H129" s="845">
        <f>G129+'22'!H129</f>
        <v>-4915.6040000001085</v>
      </c>
      <c r="I129" s="864"/>
      <c r="J129" s="847">
        <f>H129/DAY(B2)</f>
        <v>-213.72191304348297</v>
      </c>
      <c r="K129" s="943"/>
      <c r="L129" s="822"/>
      <c r="O129" s="849"/>
    </row>
    <row r="130" spans="1:15">
      <c r="A130" s="991" t="s">
        <v>237</v>
      </c>
      <c r="B130" s="836"/>
      <c r="C130" s="836"/>
      <c r="D130" s="836"/>
      <c r="E130" s="836"/>
      <c r="F130" s="836"/>
      <c r="G130" s="992"/>
      <c r="H130" s="992"/>
      <c r="I130" s="992"/>
      <c r="J130" s="993"/>
      <c r="O130" s="849"/>
    </row>
    <row r="131" spans="1:15">
      <c r="A131" s="871" t="s">
        <v>238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ref="G131:G141" si="16">F131-E131</f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240</v>
      </c>
      <c r="B132" s="872"/>
      <c r="C132" s="872"/>
      <c r="D132" s="842" t="s">
        <v>239</v>
      </c>
      <c r="E132" s="843">
        <f>'22'!F132</f>
        <v>0</v>
      </c>
      <c r="F132" s="873">
        <v>0</v>
      </c>
      <c r="G132" s="844">
        <f t="shared" si="16"/>
        <v>0</v>
      </c>
      <c r="H132" s="845">
        <f>G132+'22'!H132</f>
        <v>0</v>
      </c>
      <c r="I132" s="864"/>
      <c r="J132" s="847">
        <f>H132/DAY(B2)</f>
        <v>0</v>
      </c>
      <c r="O132" s="849"/>
    </row>
    <row r="133" spans="1:15">
      <c r="A133" s="871" t="s">
        <v>241</v>
      </c>
      <c r="B133" s="872"/>
      <c r="C133" s="872"/>
      <c r="D133" s="842" t="s">
        <v>239</v>
      </c>
      <c r="E133" s="843">
        <f>'22'!F133</f>
        <v>39659.230000000003</v>
      </c>
      <c r="F133" s="994">
        <v>39659</v>
      </c>
      <c r="G133" s="844">
        <f t="shared" si="16"/>
        <v>-0.23000000000320142</v>
      </c>
      <c r="H133" s="845">
        <f>G133+'22'!H133</f>
        <v>-87.480000000003201</v>
      </c>
      <c r="I133" s="864"/>
      <c r="J133" s="847">
        <f>H133/DAY(B2)</f>
        <v>-3.8034782608697042</v>
      </c>
      <c r="O133" s="849"/>
    </row>
    <row r="134" spans="1:15">
      <c r="A134" s="871" t="s">
        <v>242</v>
      </c>
      <c r="B134" s="872"/>
      <c r="C134" s="872"/>
      <c r="D134" s="842" t="s">
        <v>239</v>
      </c>
      <c r="E134" s="843">
        <f>'22'!F134</f>
        <v>300</v>
      </c>
      <c r="F134" s="994">
        <v>300</v>
      </c>
      <c r="G134" s="844">
        <f t="shared" si="16"/>
        <v>0</v>
      </c>
      <c r="H134" s="845">
        <f>G134+'22'!H134</f>
        <v>0</v>
      </c>
      <c r="I134" s="864">
        <f>G131+G132+G133+G134</f>
        <v>-0.23000000000320142</v>
      </c>
      <c r="J134" s="847">
        <f>H134/DAY(B2)</f>
        <v>0</v>
      </c>
      <c r="O134" s="849"/>
    </row>
    <row r="135" spans="1:15">
      <c r="A135" s="871" t="s">
        <v>243</v>
      </c>
      <c r="B135" s="872"/>
      <c r="C135" s="872"/>
      <c r="D135" s="842" t="s">
        <v>239</v>
      </c>
      <c r="E135" s="843">
        <f>'22'!F135</f>
        <v>41271</v>
      </c>
      <c r="F135" s="994">
        <f>41271+24</f>
        <v>41295</v>
      </c>
      <c r="G135" s="844">
        <f t="shared" si="16"/>
        <v>24</v>
      </c>
      <c r="H135" s="845">
        <v>24</v>
      </c>
      <c r="I135" s="864"/>
      <c r="J135" s="847">
        <f>H135/DAY(B2)</f>
        <v>1.0434782608695652</v>
      </c>
      <c r="O135" s="849"/>
    </row>
    <row r="136" spans="1:15">
      <c r="A136" s="871" t="s">
        <v>244</v>
      </c>
      <c r="B136" s="872"/>
      <c r="C136" s="872"/>
      <c r="D136" s="842" t="s">
        <v>239</v>
      </c>
      <c r="E136" s="843">
        <f>'22'!F136</f>
        <v>32582.93</v>
      </c>
      <c r="F136" s="994">
        <v>32582.93</v>
      </c>
      <c r="G136" s="844">
        <f t="shared" si="16"/>
        <v>0</v>
      </c>
      <c r="H136" s="845">
        <v>13</v>
      </c>
      <c r="I136" s="864"/>
      <c r="J136" s="847">
        <f>H136/DAY(B2)</f>
        <v>0.56521739130434778</v>
      </c>
      <c r="O136" s="849"/>
    </row>
    <row r="137" spans="1:15">
      <c r="A137" s="871" t="s">
        <v>245</v>
      </c>
      <c r="B137" s="872"/>
      <c r="C137" s="872"/>
      <c r="D137" s="842" t="s">
        <v>239</v>
      </c>
      <c r="E137" s="843">
        <f>'22'!F137</f>
        <v>22691.85</v>
      </c>
      <c r="F137" s="994">
        <v>22701.06</v>
      </c>
      <c r="G137" s="844">
        <f t="shared" si="16"/>
        <v>9.2100000000027649</v>
      </c>
      <c r="H137" s="845">
        <f>G137+'22'!H137</f>
        <v>-38.529999999998836</v>
      </c>
      <c r="I137" s="864">
        <f>G135+G136+G137</f>
        <v>33.210000000002765</v>
      </c>
      <c r="J137" s="847">
        <f>H137/DAY(B2)</f>
        <v>-1.6752173913042971</v>
      </c>
      <c r="O137" s="849"/>
    </row>
    <row r="138" spans="1:15">
      <c r="A138" s="871" t="s">
        <v>246</v>
      </c>
      <c r="B138" s="872"/>
      <c r="C138" s="872"/>
      <c r="D138" s="842" t="s">
        <v>239</v>
      </c>
      <c r="E138" s="843">
        <f>'22'!F138</f>
        <v>25050</v>
      </c>
      <c r="F138" s="994">
        <v>25051.49</v>
      </c>
      <c r="G138" s="844">
        <f t="shared" si="16"/>
        <v>1.4900000000016007</v>
      </c>
      <c r="H138" s="845">
        <v>8</v>
      </c>
      <c r="I138" s="864"/>
      <c r="J138" s="847">
        <f>H138/DAY(B2)</f>
        <v>0.34782608695652173</v>
      </c>
      <c r="O138" s="849"/>
    </row>
    <row r="139" spans="1:15">
      <c r="A139" s="871" t="s">
        <v>247</v>
      </c>
      <c r="B139" s="872"/>
      <c r="C139" s="872"/>
      <c r="D139" s="842" t="s">
        <v>239</v>
      </c>
      <c r="E139" s="843">
        <f>'22'!F139</f>
        <v>70295.23</v>
      </c>
      <c r="F139" s="994">
        <v>70295.23</v>
      </c>
      <c r="G139" s="844">
        <f t="shared" si="16"/>
        <v>0</v>
      </c>
      <c r="H139" s="845">
        <v>15</v>
      </c>
      <c r="I139" s="864">
        <f>G138+G139</f>
        <v>1.4900000000016007</v>
      </c>
      <c r="J139" s="847">
        <f>H139/DAY(B2)</f>
        <v>0.65217391304347827</v>
      </c>
      <c r="O139" s="849"/>
    </row>
    <row r="140" spans="1:15">
      <c r="A140" s="871" t="s">
        <v>248</v>
      </c>
      <c r="B140" s="872"/>
      <c r="C140" s="872"/>
      <c r="D140" s="842" t="s">
        <v>239</v>
      </c>
      <c r="E140" s="843">
        <f>'22'!F140</f>
        <v>1549.83</v>
      </c>
      <c r="F140" s="873">
        <v>1559.4</v>
      </c>
      <c r="G140" s="844">
        <f t="shared" si="16"/>
        <v>9.5700000000001637</v>
      </c>
      <c r="H140" s="845">
        <f>G140+'22'!H140</f>
        <v>-57.459999999999809</v>
      </c>
      <c r="I140" s="995"/>
      <c r="J140" s="847">
        <f>H140/DAY(B2)</f>
        <v>-2.4982608695652089</v>
      </c>
      <c r="O140" s="849"/>
    </row>
    <row r="141" spans="1:15">
      <c r="A141" s="871" t="s">
        <v>249</v>
      </c>
      <c r="B141" s="872"/>
      <c r="C141" s="872"/>
      <c r="D141" s="842" t="s">
        <v>239</v>
      </c>
      <c r="E141" s="843">
        <f>'22'!F141</f>
        <v>4636.8599999999997</v>
      </c>
      <c r="F141" s="873">
        <v>4636.88</v>
      </c>
      <c r="G141" s="844">
        <f t="shared" si="16"/>
        <v>2.0000000000436557E-2</v>
      </c>
      <c r="H141" s="845">
        <f>G141+'22'!H141</f>
        <v>-0.11999999999989086</v>
      </c>
      <c r="I141" s="995"/>
      <c r="J141" s="847">
        <f>H141/DAY(B2)</f>
        <v>-5.2173913043430812E-3</v>
      </c>
      <c r="O141" s="849"/>
    </row>
    <row r="142" spans="1:15">
      <c r="A142" s="1605" t="s">
        <v>250</v>
      </c>
      <c r="B142" s="1606"/>
      <c r="C142" s="837"/>
      <c r="D142" s="837"/>
      <c r="E142" s="837"/>
      <c r="F142" s="837"/>
      <c r="G142" s="869"/>
      <c r="H142" s="869"/>
      <c r="I142" s="869"/>
      <c r="J142" s="988"/>
      <c r="K142" s="943"/>
      <c r="L142" s="822"/>
      <c r="O142" s="849"/>
    </row>
    <row r="143" spans="1:15">
      <c r="A143" s="1607" t="s">
        <v>251</v>
      </c>
      <c r="B143" s="1608"/>
      <c r="C143" s="1609"/>
      <c r="D143" s="842" t="s">
        <v>132</v>
      </c>
      <c r="E143" s="842"/>
      <c r="F143" s="842"/>
      <c r="G143" s="845">
        <f>G35+G43+G49+G57</f>
        <v>5169.8200000000652</v>
      </c>
      <c r="H143" s="845">
        <f>G143+'22'!H143</f>
        <v>-35350.179999999935</v>
      </c>
      <c r="I143" s="864"/>
      <c r="J143" s="847">
        <f>H143/DAY(B2)</f>
        <v>-1536.9643478260841</v>
      </c>
      <c r="K143" s="943"/>
      <c r="L143" s="822"/>
      <c r="O143" s="849"/>
    </row>
    <row r="144" spans="1:15">
      <c r="A144" s="1607" t="s">
        <v>252</v>
      </c>
      <c r="B144" s="1608"/>
      <c r="C144" s="1609"/>
      <c r="D144" s="842" t="s">
        <v>24</v>
      </c>
      <c r="E144" s="829"/>
      <c r="F144" s="829"/>
      <c r="G144" s="996">
        <f>G143/G7</f>
        <v>0.25938588129045531</v>
      </c>
      <c r="H144" s="845">
        <f>G144+'22'!H144</f>
        <v>5.769657874922185</v>
      </c>
      <c r="I144" s="997"/>
      <c r="J144" s="847">
        <f>H144/DAY(B2)</f>
        <v>0.25085469021400802</v>
      </c>
      <c r="K144" s="943"/>
      <c r="L144" s="822"/>
      <c r="O144" s="849"/>
    </row>
    <row r="145" spans="1:15">
      <c r="A145" s="1607" t="s">
        <v>253</v>
      </c>
      <c r="B145" s="1608"/>
      <c r="C145" s="1609"/>
      <c r="D145" s="842" t="s">
        <v>132</v>
      </c>
      <c r="E145" s="843"/>
      <c r="F145" s="843"/>
      <c r="G145" s="845">
        <f>G41+G42+G55+G56</f>
        <v>5802.1230000000505</v>
      </c>
      <c r="H145" s="845">
        <f>G145+'22'!H145</f>
        <v>306365.65300000005</v>
      </c>
      <c r="I145" s="864"/>
      <c r="J145" s="847">
        <f>H145/DAY(B2)</f>
        <v>13320.245782608697</v>
      </c>
      <c r="K145" s="943"/>
      <c r="L145" s="822"/>
      <c r="O145" s="849"/>
    </row>
    <row r="146" spans="1:15">
      <c r="A146" s="1607" t="s">
        <v>254</v>
      </c>
      <c r="B146" s="1608"/>
      <c r="C146" s="1609"/>
      <c r="D146" s="842" t="s">
        <v>24</v>
      </c>
      <c r="E146" s="843"/>
      <c r="F146" s="843"/>
      <c r="G146" s="996">
        <f>G145/G7</f>
        <v>0.29111048116000454</v>
      </c>
      <c r="H146" s="845">
        <f>G146+'22'!H146</f>
        <v>6.8350110645075342</v>
      </c>
      <c r="I146" s="997"/>
      <c r="J146" s="847">
        <f>H146/DAY(B2)</f>
        <v>0.29717439410902324</v>
      </c>
      <c r="K146" s="943"/>
      <c r="L146" s="822"/>
      <c r="O146" s="849"/>
    </row>
    <row r="147" spans="1:15">
      <c r="A147" s="1607" t="s">
        <v>255</v>
      </c>
      <c r="B147" s="1608"/>
      <c r="C147" s="1609"/>
      <c r="D147" s="842" t="s">
        <v>132</v>
      </c>
      <c r="E147" s="843"/>
      <c r="F147" s="843"/>
      <c r="G147" s="845">
        <f>G39+G53</f>
        <v>3567.1199999999953</v>
      </c>
      <c r="H147" s="845">
        <f>G147+'22'!H147</f>
        <v>-6735.8800000000047</v>
      </c>
      <c r="I147" s="998"/>
      <c r="J147" s="847">
        <f>H147/DAY(B2)</f>
        <v>-292.86434782608717</v>
      </c>
      <c r="K147" s="943"/>
      <c r="L147" s="822"/>
      <c r="O147" s="849"/>
    </row>
    <row r="148" spans="1:15">
      <c r="A148" s="1607" t="s">
        <v>256</v>
      </c>
      <c r="B148" s="1608"/>
      <c r="C148" s="1609"/>
      <c r="D148" s="842" t="s">
        <v>24</v>
      </c>
      <c r="E148" s="843"/>
      <c r="F148" s="843"/>
      <c r="G148" s="996">
        <f>G147/G7</f>
        <v>0.17897345843158874</v>
      </c>
      <c r="H148" s="845">
        <f>G148+'22'!H148</f>
        <v>3.3800820195532144</v>
      </c>
      <c r="I148" s="998"/>
      <c r="J148" s="847">
        <f>H148/DAY(B2)</f>
        <v>0.1469600878066615</v>
      </c>
      <c r="O148" s="849"/>
    </row>
    <row r="149" spans="1:15">
      <c r="A149" s="1607" t="s">
        <v>257</v>
      </c>
      <c r="B149" s="1608"/>
      <c r="C149" s="1609"/>
      <c r="D149" s="842" t="s">
        <v>183</v>
      </c>
      <c r="E149" s="843"/>
      <c r="F149" s="843"/>
      <c r="G149" s="845">
        <f>G38+G52</f>
        <v>1433.2400000000052</v>
      </c>
      <c r="H149" s="845">
        <f>G149+'22'!H149</f>
        <v>-9746.690000000046</v>
      </c>
      <c r="I149" s="864"/>
      <c r="J149" s="847">
        <f>H149/DAY(B2)</f>
        <v>-423.76913043478459</v>
      </c>
      <c r="K149" s="999"/>
      <c r="O149" s="849"/>
    </row>
    <row r="150" spans="1:15">
      <c r="A150" s="1607" t="s">
        <v>258</v>
      </c>
      <c r="B150" s="1608"/>
      <c r="C150" s="1609"/>
      <c r="D150" s="842" t="s">
        <v>24</v>
      </c>
      <c r="E150" s="843"/>
      <c r="F150" s="843"/>
      <c r="G150" s="996">
        <f>G149/G7</f>
        <v>7.191008980984423E-2</v>
      </c>
      <c r="H150" s="845">
        <f>G150+'22'!H150</f>
        <v>1.6498234042062816</v>
      </c>
      <c r="I150" s="998"/>
      <c r="J150" s="847">
        <f>H150/DAY(B2)</f>
        <v>7.1731452356794859E-2</v>
      </c>
      <c r="O150" s="849"/>
    </row>
    <row r="151" spans="1:15">
      <c r="A151" s="1607" t="s">
        <v>259</v>
      </c>
      <c r="B151" s="1608"/>
      <c r="C151" s="1609"/>
      <c r="D151" s="842" t="s">
        <v>183</v>
      </c>
      <c r="E151" s="843"/>
      <c r="F151" s="843"/>
      <c r="G151" s="845">
        <f>G36+G50</f>
        <v>2227.2200000000303</v>
      </c>
      <c r="H151" s="845">
        <f>G151+'22'!H151</f>
        <v>-12478.77999999997</v>
      </c>
      <c r="I151" s="998"/>
      <c r="J151" s="847">
        <f>H151/DAY(B2)</f>
        <v>-542.55565217391177</v>
      </c>
      <c r="O151" s="849"/>
    </row>
    <row r="152" spans="1:15">
      <c r="A152" s="1607" t="s">
        <v>260</v>
      </c>
      <c r="B152" s="1608"/>
      <c r="C152" s="1609"/>
      <c r="D152" s="842" t="s">
        <v>24</v>
      </c>
      <c r="E152" s="843"/>
      <c r="F152" s="843"/>
      <c r="G152" s="996">
        <f>G151/G7</f>
        <v>0.11174652551302144</v>
      </c>
      <c r="H152" s="845">
        <f>G152+'22'!H152</f>
        <v>1.6104629111245847</v>
      </c>
      <c r="I152" s="864"/>
      <c r="J152" s="847">
        <f>H152/DAY(B2)</f>
        <v>7.0020126570634125E-2</v>
      </c>
      <c r="O152" s="849"/>
    </row>
    <row r="153" spans="1:15">
      <c r="A153" s="1607" t="s">
        <v>261</v>
      </c>
      <c r="B153" s="1608"/>
      <c r="C153" s="1609"/>
      <c r="D153" s="842" t="s">
        <v>183</v>
      </c>
      <c r="E153" s="843"/>
      <c r="F153" s="843"/>
      <c r="G153" s="845">
        <f>G37+G51</f>
        <v>1398.7599999999948</v>
      </c>
      <c r="H153" s="845">
        <f>G153+'22'!H153</f>
        <v>-8959.2400000000052</v>
      </c>
      <c r="I153" s="864"/>
      <c r="J153" s="847">
        <f>H153/DAY(B2)</f>
        <v>-389.53217391304372</v>
      </c>
      <c r="O153" s="849"/>
    </row>
    <row r="154" spans="1:15" ht="21" thickBot="1">
      <c r="A154" s="1610" t="s">
        <v>262</v>
      </c>
      <c r="B154" s="1611"/>
      <c r="C154" s="1612"/>
      <c r="D154" s="1000" t="s">
        <v>24</v>
      </c>
      <c r="E154" s="1001"/>
      <c r="F154" s="1001"/>
      <c r="G154" s="1002">
        <f>G153/G7</f>
        <v>7.0180121418894931E-2</v>
      </c>
      <c r="H154" s="845">
        <f>G154+'22'!H154</f>
        <v>1.6907942600348762</v>
      </c>
      <c r="I154" s="1003"/>
      <c r="J154" s="1004">
        <f>H154/DAY(B2)</f>
        <v>7.3512793914559837E-2</v>
      </c>
      <c r="O154" s="849"/>
    </row>
    <row r="155" spans="1:15">
      <c r="A155" s="1005"/>
      <c r="B155" s="1005"/>
      <c r="C155" s="1005"/>
      <c r="D155" s="1005"/>
      <c r="E155" s="1005"/>
      <c r="F155" s="1005"/>
      <c r="G155" s="1005"/>
      <c r="H155" s="1006"/>
      <c r="I155" s="1005"/>
      <c r="J155" s="1007"/>
      <c r="O155" s="849"/>
    </row>
    <row r="161" spans="1:10">
      <c r="A161" s="995" t="s">
        <v>263</v>
      </c>
      <c r="B161" s="995"/>
      <c r="C161" s="995"/>
      <c r="D161" s="829" t="s">
        <v>187</v>
      </c>
      <c r="E161" s="843">
        <f>'22'!F161</f>
        <v>35278</v>
      </c>
      <c r="F161" s="1019">
        <v>35361.440000000002</v>
      </c>
      <c r="G161" s="844">
        <f t="shared" ref="G161:G164" si="17">F161-E161</f>
        <v>83.440000000002328</v>
      </c>
    </row>
    <row r="162" spans="1:10" ht="21.75" customHeight="1">
      <c r="A162" s="995" t="s">
        <v>264</v>
      </c>
      <c r="B162" s="995"/>
      <c r="C162" s="995"/>
      <c r="D162" s="829" t="s">
        <v>187</v>
      </c>
      <c r="E162" s="843">
        <f>'22'!F162</f>
        <v>78687</v>
      </c>
      <c r="F162" s="1019">
        <v>79158.990000000005</v>
      </c>
      <c r="G162" s="844">
        <f t="shared" si="17"/>
        <v>471.99000000000524</v>
      </c>
    </row>
    <row r="163" spans="1:10" ht="21.75" customHeight="1">
      <c r="A163" s="995" t="s">
        <v>265</v>
      </c>
      <c r="B163" s="995"/>
      <c r="C163" s="995"/>
      <c r="D163" s="829" t="s">
        <v>187</v>
      </c>
      <c r="E163" s="843">
        <f>'22'!F163</f>
        <v>35411</v>
      </c>
      <c r="F163" s="1019">
        <v>35685.31</v>
      </c>
      <c r="G163" s="844">
        <f t="shared" si="17"/>
        <v>274.30999999999767</v>
      </c>
    </row>
    <row r="164" spans="1:10" ht="21.75" customHeight="1">
      <c r="A164" s="995" t="s">
        <v>266</v>
      </c>
      <c r="B164" s="995"/>
      <c r="C164" s="995"/>
      <c r="D164" s="829" t="s">
        <v>187</v>
      </c>
      <c r="E164" s="843">
        <f>'22'!F164</f>
        <v>6082</v>
      </c>
      <c r="F164" s="1019">
        <v>6102.29</v>
      </c>
      <c r="G164" s="844">
        <f t="shared" si="17"/>
        <v>20.289999999999964</v>
      </c>
    </row>
    <row r="165" spans="1:10" ht="21.75" customHeight="1">
      <c r="A165" s="925" t="s">
        <v>98</v>
      </c>
      <c r="B165" s="925"/>
      <c r="C165" s="925"/>
      <c r="D165" s="829" t="s">
        <v>187</v>
      </c>
      <c r="E165" s="926">
        <f>E62</f>
        <v>20419.2</v>
      </c>
      <c r="F165" s="926">
        <f>F62</f>
        <v>20419</v>
      </c>
      <c r="G165" s="844">
        <f t="shared" ref="G165:G172" si="18">F165-E165</f>
        <v>-0.2000000000007276</v>
      </c>
      <c r="J165" s="1077"/>
    </row>
    <row r="166" spans="1:10" ht="21.75" customHeight="1">
      <c r="A166" s="925" t="s">
        <v>188</v>
      </c>
      <c r="B166" s="925"/>
      <c r="C166" s="925"/>
      <c r="D166" s="829" t="s">
        <v>187</v>
      </c>
      <c r="E166" s="926">
        <f t="shared" ref="E166:E172" si="19">E63</f>
        <v>2318</v>
      </c>
      <c r="F166" s="926">
        <f t="shared" ref="F166:F172" si="20">F63</f>
        <v>2322</v>
      </c>
      <c r="G166" s="844">
        <f t="shared" si="18"/>
        <v>4</v>
      </c>
    </row>
    <row r="167" spans="1:10" ht="21.75" customHeight="1">
      <c r="A167" s="1583" t="s">
        <v>99</v>
      </c>
      <c r="B167" s="1583"/>
      <c r="C167" s="1583"/>
      <c r="D167" s="842" t="s">
        <v>187</v>
      </c>
      <c r="E167" s="926">
        <f t="shared" si="19"/>
        <v>149809</v>
      </c>
      <c r="F167" s="926">
        <f t="shared" si="20"/>
        <v>150314.51999999999</v>
      </c>
      <c r="G167" s="844">
        <f t="shared" si="18"/>
        <v>505.51999999998952</v>
      </c>
    </row>
    <row r="168" spans="1:10" ht="21.75" customHeight="1">
      <c r="A168" s="1583" t="s">
        <v>100</v>
      </c>
      <c r="B168" s="1583"/>
      <c r="C168" s="1583"/>
      <c r="D168" s="842" t="s">
        <v>187</v>
      </c>
      <c r="E168" s="926">
        <f t="shared" si="19"/>
        <v>152128</v>
      </c>
      <c r="F168" s="926">
        <f t="shared" si="20"/>
        <v>152510.07</v>
      </c>
      <c r="G168" s="844">
        <f t="shared" si="18"/>
        <v>382.07000000000698</v>
      </c>
    </row>
    <row r="169" spans="1:10" ht="21.75" customHeight="1">
      <c r="A169" s="1583" t="s">
        <v>101</v>
      </c>
      <c r="B169" s="1583"/>
      <c r="C169" s="1583"/>
      <c r="D169" s="842" t="s">
        <v>187</v>
      </c>
      <c r="E169" s="926">
        <f t="shared" si="19"/>
        <v>45757</v>
      </c>
      <c r="F169" s="926">
        <f t="shared" si="20"/>
        <v>46186.53</v>
      </c>
      <c r="G169" s="844">
        <f t="shared" si="18"/>
        <v>429.52999999999884</v>
      </c>
    </row>
    <row r="170" spans="1:10">
      <c r="A170" s="1583" t="s">
        <v>102</v>
      </c>
      <c r="B170" s="1583"/>
      <c r="C170" s="1583"/>
      <c r="D170" s="842" t="s">
        <v>187</v>
      </c>
      <c r="E170" s="926">
        <f t="shared" si="19"/>
        <v>240310</v>
      </c>
      <c r="F170" s="926">
        <f t="shared" si="20"/>
        <v>240763.33</v>
      </c>
      <c r="G170" s="844">
        <f t="shared" si="18"/>
        <v>453.32999999998719</v>
      </c>
    </row>
    <row r="171" spans="1:10" ht="24" customHeight="1">
      <c r="A171" s="1583" t="s">
        <v>103</v>
      </c>
      <c r="B171" s="1583"/>
      <c r="C171" s="1583"/>
      <c r="D171" s="842" t="s">
        <v>187</v>
      </c>
      <c r="E171" s="926">
        <f t="shared" si="19"/>
        <v>85321</v>
      </c>
      <c r="F171" s="926">
        <f t="shared" si="20"/>
        <v>85321</v>
      </c>
      <c r="G171" s="844">
        <f t="shared" si="18"/>
        <v>0</v>
      </c>
      <c r="J171" s="1078"/>
    </row>
    <row r="172" spans="1:10">
      <c r="A172" s="1583" t="s">
        <v>104</v>
      </c>
      <c r="B172" s="1583"/>
      <c r="C172" s="1583"/>
      <c r="D172" s="842" t="s">
        <v>187</v>
      </c>
      <c r="E172" s="926">
        <f t="shared" si="19"/>
        <v>78385</v>
      </c>
      <c r="F172" s="926">
        <f t="shared" si="20"/>
        <v>78426.3</v>
      </c>
      <c r="G172" s="844">
        <f t="shared" si="18"/>
        <v>41.30000000000291</v>
      </c>
    </row>
    <row r="173" spans="1:10">
      <c r="G173" s="1010">
        <f>SUM(G161:G172)</f>
        <v>2665.5799999999899</v>
      </c>
    </row>
    <row r="174" spans="1:10">
      <c r="J174" s="1079"/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3" zoomScale="68" zoomScaleNormal="44" zoomScaleSheetLayoutView="68" workbookViewId="0">
      <selection activeCell="F28" activeCellId="1" sqref="F28 F2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634" t="s">
        <v>117</v>
      </c>
      <c r="B1" s="1635"/>
      <c r="C1" s="1635"/>
      <c r="D1" s="1635"/>
      <c r="E1" s="1635"/>
      <c r="F1" s="1635"/>
      <c r="G1" s="1635"/>
      <c r="H1" s="1635"/>
      <c r="I1" s="1635"/>
      <c r="J1" s="1636"/>
    </row>
    <row r="2" spans="1:15">
      <c r="A2" s="810" t="s">
        <v>349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637" t="s">
        <v>121</v>
      </c>
      <c r="F3" s="163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31" t="s">
        <v>130</v>
      </c>
      <c r="B6" s="1632"/>
      <c r="C6" s="163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5593969</v>
      </c>
      <c r="F7" s="843">
        <v>5613933</v>
      </c>
      <c r="G7" s="844">
        <f>F7-E7</f>
        <v>19964</v>
      </c>
      <c r="H7" s="845">
        <f>G7+'23'!H7</f>
        <v>5768956</v>
      </c>
      <c r="I7" s="846">
        <f>'1'!I7</f>
        <v>12000</v>
      </c>
      <c r="J7" s="847">
        <f>H7/DAY(B2)</f>
        <v>240373.16666666666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5627215</v>
      </c>
      <c r="F8" s="854">
        <v>5647231</v>
      </c>
      <c r="G8" s="855">
        <f>F8-E8</f>
        <v>20016</v>
      </c>
      <c r="H8" s="845">
        <f>G8+'23'!H8</f>
        <v>5802990</v>
      </c>
      <c r="I8" s="856">
        <f>'1'!I8</f>
        <v>12000</v>
      </c>
      <c r="J8" s="847">
        <f>H8/DAY(B2)</f>
        <v>241791.25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861439.59</v>
      </c>
      <c r="F9" s="861">
        <v>880786.95</v>
      </c>
      <c r="G9" s="844">
        <f t="shared" ref="G9:G12" si="0">F9-E9</f>
        <v>19347.359999999986</v>
      </c>
      <c r="H9" s="845">
        <f>G9+'23'!H9</f>
        <v>-109927.05000000005</v>
      </c>
      <c r="I9" s="862">
        <f>I8-J8</f>
        <v>-229791.25</v>
      </c>
      <c r="J9" s="847">
        <f>H9/DAY(B2)</f>
        <v>-4580.2937500000016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2322.58</v>
      </c>
      <c r="F10" s="861">
        <v>2322.58</v>
      </c>
      <c r="G10" s="844">
        <f t="shared" si="0"/>
        <v>0</v>
      </c>
      <c r="H10" s="845">
        <f>G10+'23'!H10</f>
        <v>0</v>
      </c>
      <c r="I10" s="864"/>
      <c r="J10" s="847">
        <f>H10/DAY(B2)</f>
        <v>0</v>
      </c>
      <c r="K10" s="863"/>
      <c r="L10" s="822"/>
      <c r="M10" s="809" t="s">
        <v>277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19347.359999999986</v>
      </c>
      <c r="H13" s="845">
        <f>G13+'23'!H13</f>
        <v>-124448.05000000005</v>
      </c>
      <c r="I13" s="868">
        <f>G7-G13</f>
        <v>616.64000000001397</v>
      </c>
      <c r="J13" s="847">
        <f>H13/DAY(B2)</f>
        <v>-5185.3354166666686</v>
      </c>
      <c r="K13" s="863"/>
      <c r="L13" s="822"/>
      <c r="O13" s="849"/>
    </row>
    <row r="14" spans="1:15">
      <c r="A14" s="1625" t="s">
        <v>139</v>
      </c>
      <c r="B14" s="1626"/>
      <c r="C14" s="162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1666243.3759999999</v>
      </c>
      <c r="F15" s="873">
        <v>1667060.6680000001</v>
      </c>
      <c r="G15" s="1020">
        <f>(F15-E15)</f>
        <v>817.29200000013225</v>
      </c>
      <c r="H15" s="845">
        <f>G15+'23'!H15</f>
        <v>-3596.3319999999367</v>
      </c>
      <c r="I15" s="846">
        <f>'1'!I15</f>
        <v>800</v>
      </c>
      <c r="J15" s="847">
        <f>H15/DAY(B2)</f>
        <v>-149.84716666666404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949.84716666666407</v>
      </c>
      <c r="J16" s="880"/>
      <c r="K16" s="863"/>
      <c r="L16" s="822"/>
      <c r="N16" s="1013"/>
      <c r="O16" s="849"/>
    </row>
    <row r="17" spans="1:15">
      <c r="A17" s="1625" t="s">
        <v>142</v>
      </c>
      <c r="B17" s="1626"/>
      <c r="C17" s="1627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607" t="s">
        <v>143</v>
      </c>
      <c r="B18" s="1608"/>
      <c r="C18" s="1609"/>
      <c r="D18" s="842" t="s">
        <v>144</v>
      </c>
      <c r="E18" s="843">
        <f>'23'!F18</f>
        <v>8</v>
      </c>
      <c r="F18" s="873">
        <v>10</v>
      </c>
      <c r="G18" s="867">
        <f>F18*10</f>
        <v>100</v>
      </c>
      <c r="H18" s="845">
        <f>G18+'23'!H18</f>
        <v>1180</v>
      </c>
      <c r="I18" s="846">
        <f>'1'!I18</f>
        <v>65</v>
      </c>
      <c r="J18" s="847">
        <f>H18/DAY(B2)</f>
        <v>49.166666666666664</v>
      </c>
      <c r="K18" s="863"/>
      <c r="L18" s="822"/>
      <c r="O18" s="849"/>
    </row>
    <row r="19" spans="1:15">
      <c r="A19" s="1607" t="s">
        <v>71</v>
      </c>
      <c r="B19" s="1608"/>
      <c r="C19" s="1609"/>
      <c r="D19" s="842" t="s">
        <v>144</v>
      </c>
      <c r="E19" s="843">
        <f>'23'!F19</f>
        <v>137425</v>
      </c>
      <c r="F19" s="873">
        <v>137483</v>
      </c>
      <c r="G19" s="844">
        <f t="shared" ref="G19" si="1">F19-E19</f>
        <v>58</v>
      </c>
      <c r="H19" s="845">
        <f>G19+'23'!H19</f>
        <v>-329</v>
      </c>
      <c r="I19" s="882"/>
      <c r="J19" s="847">
        <f>H19/DAY(B2)</f>
        <v>-13.708333333333334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887</v>
      </c>
      <c r="I20" s="885">
        <f>I18-J20</f>
        <v>28.041666666666664</v>
      </c>
      <c r="J20" s="847">
        <f>H20/DAY(B2)</f>
        <v>36.958333333333336</v>
      </c>
      <c r="K20" s="863"/>
      <c r="L20" s="822"/>
      <c r="O20" s="849"/>
    </row>
    <row r="21" spans="1:15">
      <c r="A21" s="1625" t="s">
        <v>146</v>
      </c>
      <c r="B21" s="1626"/>
      <c r="C21" s="162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631" t="s">
        <v>151</v>
      </c>
      <c r="B25" s="1632"/>
      <c r="C25" s="163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20016</v>
      </c>
      <c r="F27" s="501">
        <v>9</v>
      </c>
      <c r="G27" s="905">
        <f>E27*F27</f>
        <v>180144</v>
      </c>
      <c r="H27" s="845">
        <f>G27+'23'!H27</f>
        <v>52226910</v>
      </c>
      <c r="I27" s="906"/>
      <c r="J27" s="847">
        <f>H27/DAY(B2)</f>
        <v>2176121.25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817.29200000013225</v>
      </c>
      <c r="F28" s="501">
        <v>49</v>
      </c>
      <c r="G28" s="905">
        <f>E28*F28</f>
        <v>40047.30800000648</v>
      </c>
      <c r="H28" s="845">
        <f>G28+'23'!H28</f>
        <v>-173434.61799999687</v>
      </c>
      <c r="I28" s="907"/>
      <c r="J28" s="847">
        <f>H28/DAY(B2)</f>
        <v>-7226.4424166665367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G30+'23'!H30</f>
        <v>-44086</v>
      </c>
      <c r="I30" s="907"/>
      <c r="J30" s="847">
        <f>H30/DAY(B2)</f>
        <v>-1836.9166666666667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G31+'23'!H31</f>
        <v>94400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324973.30800000648</v>
      </c>
      <c r="H32" s="845">
        <f>G32+'23'!H32</f>
        <v>52192799.381999999</v>
      </c>
      <c r="I32" s="913"/>
      <c r="J32" s="847">
        <f>H32/DAY(B2)</f>
        <v>2174699.97425</v>
      </c>
      <c r="K32" s="863"/>
      <c r="L32" s="893"/>
      <c r="N32" s="1012"/>
      <c r="O32" s="849"/>
    </row>
    <row r="33" spans="1:15" ht="18.75">
      <c r="A33" s="1628" t="s">
        <v>162</v>
      </c>
      <c r="B33" s="1629"/>
      <c r="C33" s="1629"/>
      <c r="D33" s="1629"/>
      <c r="E33" s="1629"/>
      <c r="F33" s="1629"/>
      <c r="G33" s="1629"/>
      <c r="H33" s="1629"/>
      <c r="I33" s="1629"/>
      <c r="J33" s="1630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868202.39</v>
      </c>
      <c r="F35" s="916">
        <v>871033.75</v>
      </c>
      <c r="G35" s="844">
        <f t="shared" ref="G35:G46" si="3">F35-E35</f>
        <v>2831.359999999986</v>
      </c>
      <c r="H35" s="845">
        <f>G35+'23'!H35</f>
        <v>-15425.25</v>
      </c>
      <c r="I35" s="843"/>
      <c r="J35" s="847">
        <f>H35/DAY(B2)</f>
        <v>-642.71875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339907.95</v>
      </c>
      <c r="F36" s="916">
        <v>340886.35</v>
      </c>
      <c r="G36" s="844">
        <f t="shared" si="3"/>
        <v>978.39999999996508</v>
      </c>
      <c r="H36" s="845">
        <f>G36+'23'!H36</f>
        <v>-3721.6500000000233</v>
      </c>
      <c r="I36" s="843"/>
      <c r="J36" s="847">
        <f>H36/DAY(B2)</f>
        <v>-155.06875000000096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86265.89</v>
      </c>
      <c r="F37" s="916">
        <v>87603.34</v>
      </c>
      <c r="G37" s="844">
        <f t="shared" si="3"/>
        <v>1337.4499999999971</v>
      </c>
      <c r="H37" s="845">
        <f>G37+'23'!H37</f>
        <v>-7621.6600000000035</v>
      </c>
      <c r="I37" s="843"/>
      <c r="J37" s="847">
        <f>H37/DAY(B2)</f>
        <v>-317.56916666666683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109849.24</v>
      </c>
      <c r="F38" s="832">
        <v>111354.81</v>
      </c>
      <c r="G38" s="844">
        <f t="shared" si="3"/>
        <v>1505.5699999999924</v>
      </c>
      <c r="H38" s="845">
        <f>G38+'23'!H38</f>
        <v>-8241.1900000000023</v>
      </c>
      <c r="I38" s="843"/>
      <c r="J38" s="847">
        <f>H38/DAY(B2)</f>
        <v>-343.38291666666674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227992.89</v>
      </c>
      <c r="F39" s="916">
        <v>230931.05</v>
      </c>
      <c r="G39" s="844">
        <f t="shared" si="3"/>
        <v>2938.1599999999744</v>
      </c>
      <c r="H39" s="845">
        <f>G39+'23'!H39</f>
        <v>-15721.950000000012</v>
      </c>
      <c r="I39" s="843"/>
      <c r="J39" s="847">
        <f>H39/DAY(B2)</f>
        <v>-655.08125000000052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-1.8179902028236938E-14</v>
      </c>
      <c r="I40" s="843"/>
      <c r="J40" s="847">
        <f>H40/DAY(B2)</f>
        <v>-7.574959178432058E-16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161910.42000000001</v>
      </c>
      <c r="F41" s="916">
        <v>161910.42000000001</v>
      </c>
      <c r="G41" s="844">
        <f t="shared" si="3"/>
        <v>0</v>
      </c>
      <c r="H41" s="845">
        <f>G41+'23'!H41</f>
        <v>-19617.579999999987</v>
      </c>
      <c r="I41" s="843"/>
      <c r="J41" s="847">
        <f>H41/DAY(B2)</f>
        <v>-817.39916666666613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59128.163</v>
      </c>
      <c r="F42" s="916">
        <v>59128.163</v>
      </c>
      <c r="G42" s="844">
        <f t="shared" si="3"/>
        <v>0</v>
      </c>
      <c r="H42" s="845">
        <f>G42+'23'!H42</f>
        <v>-71.836999999999534</v>
      </c>
      <c r="I42" s="843"/>
      <c r="J42" s="847">
        <f>H42/DAY(B2)</f>
        <v>-2.9932083333333139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957153.43</v>
      </c>
      <c r="F43" s="916">
        <v>959497.85</v>
      </c>
      <c r="G43" s="844">
        <f t="shared" si="3"/>
        <v>2344.4199999999255</v>
      </c>
      <c r="H43" s="845">
        <f>G43+'23'!H43</f>
        <v>-14460.150000000023</v>
      </c>
      <c r="I43" s="843"/>
      <c r="J43" s="847">
        <f>H43/DAY(B2)</f>
        <v>-602.50625000000093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186.95</v>
      </c>
      <c r="I46" s="843"/>
      <c r="J46" s="847">
        <f>H46/DAY(B2)</f>
        <v>7.7895833333333329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11935.359999999841</v>
      </c>
      <c r="H47" s="845">
        <f>G47+'23'!H47</f>
        <v>-84079.827000000034</v>
      </c>
      <c r="I47" s="843"/>
      <c r="J47" s="847">
        <f>H47/DAY(B2)</f>
        <v>-3503.3261250000014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260732.13</v>
      </c>
      <c r="F49" s="916">
        <v>260732</v>
      </c>
      <c r="G49" s="844">
        <f t="shared" ref="G49:G58" si="4">F49-E49</f>
        <v>-0.13000000000465661</v>
      </c>
      <c r="H49" s="845">
        <f>G49+'23'!H49</f>
        <v>-0.13000000000465661</v>
      </c>
      <c r="I49" s="843"/>
      <c r="J49" s="847">
        <f>H49/DAY(B2)</f>
        <v>-5.4166666668606922E-3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466757.27</v>
      </c>
      <c r="F50" s="916">
        <v>467654.87</v>
      </c>
      <c r="G50" s="844">
        <f t="shared" si="4"/>
        <v>897.59999999997672</v>
      </c>
      <c r="H50" s="845">
        <f>G50+'23'!H50</f>
        <v>-7820.1300000000047</v>
      </c>
      <c r="I50" s="843"/>
      <c r="J50" s="847">
        <f>H50/DAY(B2)</f>
        <v>-325.83875000000018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144639.87</v>
      </c>
      <c r="G51" s="844">
        <f t="shared" si="4"/>
        <v>0</v>
      </c>
      <c r="H51" s="845">
        <f>G51+'23'!H51</f>
        <v>-0.13000000000465661</v>
      </c>
      <c r="I51" s="843"/>
      <c r="J51" s="847">
        <f>H51/DAY(B2)</f>
        <v>-5.4166666668606922E-3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539606.06999999995</v>
      </c>
      <c r="F52" s="916">
        <v>539606</v>
      </c>
      <c r="G52" s="844">
        <f t="shared" si="4"/>
        <v>-6.9999999948777258E-2</v>
      </c>
      <c r="H52" s="845">
        <f>G52+'23'!H52</f>
        <v>-6.9999999948777258E-2</v>
      </c>
      <c r="I52" s="843"/>
      <c r="J52" s="847">
        <f>H52/DAY(B2)</f>
        <v>-2.9166666645323858E-3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412290.23</v>
      </c>
      <c r="F53" s="916">
        <v>412867.99</v>
      </c>
      <c r="G53" s="844">
        <f t="shared" si="4"/>
        <v>577.76000000000931</v>
      </c>
      <c r="H53" s="845">
        <f>G53+'23'!H53</f>
        <v>11978.989999999991</v>
      </c>
      <c r="I53" s="843"/>
      <c r="J53" s="847">
        <f>H53/DAY(B2)</f>
        <v>499.12458333333296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10862.81</v>
      </c>
      <c r="F54" s="916">
        <v>10937.606</v>
      </c>
      <c r="G54" s="844">
        <f t="shared" si="4"/>
        <v>74.796000000000276</v>
      </c>
      <c r="H54" s="845">
        <f>G54+'23'!H54</f>
        <v>3175.6059999999998</v>
      </c>
      <c r="I54" s="843"/>
      <c r="J54" s="847">
        <f>H54/DAY(B2)</f>
        <v>132.31691666666666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326156.15000000002</v>
      </c>
      <c r="F55" s="916">
        <v>331982.77</v>
      </c>
      <c r="G55" s="844">
        <f t="shared" si="4"/>
        <v>5826.6199999999953</v>
      </c>
      <c r="H55" s="845">
        <f>G55+'23'!H55</f>
        <v>331982.77</v>
      </c>
      <c r="I55" s="843"/>
      <c r="J55" s="847">
        <f>H55/DAY(B2)</f>
        <v>13832.615416666667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589187.39</v>
      </c>
      <c r="F56" s="916">
        <v>589197.03</v>
      </c>
      <c r="G56" s="844">
        <f t="shared" si="4"/>
        <v>9.6400000000139698</v>
      </c>
      <c r="H56" s="845">
        <f>G56+'23'!H56</f>
        <v>-91.32999999995809</v>
      </c>
      <c r="I56" s="843"/>
      <c r="J56" s="847">
        <f>H56/DAY(B2)</f>
        <v>-3.8054166666649203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45721.17</v>
      </c>
      <c r="F58" s="916">
        <v>45903.750999999997</v>
      </c>
      <c r="G58" s="844">
        <f t="shared" si="4"/>
        <v>182.58099999999831</v>
      </c>
      <c r="H58" s="845">
        <f>G58+'23'!H58</f>
        <v>-813.24900000000343</v>
      </c>
      <c r="I58" s="843"/>
      <c r="J58" s="847">
        <f>H58/DAY(B2)</f>
        <v>-33.885375000000145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7568.7970000000405</v>
      </c>
      <c r="H59" s="845">
        <f>G59+'23'!H59</f>
        <v>338412.39700000006</v>
      </c>
      <c r="I59" s="843">
        <f>G7-G60</f>
        <v>459.84300000011717</v>
      </c>
      <c r="J59" s="847">
        <f>H59/DAY(B2)</f>
        <v>14100.51654166667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19504.156999999883</v>
      </c>
      <c r="H60" s="845">
        <f>G60+'23'!H60</f>
        <v>255916.46000000005</v>
      </c>
      <c r="I60" s="843">
        <f>G13-G60</f>
        <v>-156.7969999998968</v>
      </c>
      <c r="J60" s="847">
        <f>H60/DAY(B2)</f>
        <v>10663.185833333335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0.18199999999706051</v>
      </c>
      <c r="I62" s="927"/>
      <c r="J62" s="847">
        <f>H62/DAY(B2)</f>
        <v>7.583333333210855E-3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2322</v>
      </c>
      <c r="F63" s="926">
        <v>2327.1959000000002</v>
      </c>
      <c r="G63" s="844">
        <f t="shared" si="5"/>
        <v>5.1959000000001652</v>
      </c>
      <c r="H63" s="845">
        <f>G63+'23'!H63</f>
        <v>-31.804099999999835</v>
      </c>
      <c r="I63" s="927"/>
      <c r="J63" s="847">
        <f>H63/DAY(B2)</f>
        <v>-1.3251708333333265</v>
      </c>
      <c r="K63" s="863"/>
      <c r="L63" s="822"/>
      <c r="O63" s="849"/>
    </row>
    <row r="64" spans="1:15">
      <c r="A64" s="1613" t="s">
        <v>99</v>
      </c>
      <c r="B64" s="1614"/>
      <c r="C64" s="1615"/>
      <c r="D64" s="842" t="s">
        <v>187</v>
      </c>
      <c r="E64" s="843">
        <f>'23'!F64</f>
        <v>150314.51999999999</v>
      </c>
      <c r="F64" s="873">
        <v>150822.72</v>
      </c>
      <c r="G64" s="844">
        <f t="shared" si="5"/>
        <v>508.20000000001164</v>
      </c>
      <c r="H64" s="845">
        <f>G64+'23'!H64</f>
        <v>-2476.2799999999988</v>
      </c>
      <c r="I64" s="864"/>
      <c r="J64" s="847">
        <f>H64/DAY(B2)</f>
        <v>-103.17833333333328</v>
      </c>
      <c r="K64" s="863"/>
      <c r="L64" s="822"/>
      <c r="O64" s="849"/>
    </row>
    <row r="65" spans="1:15">
      <c r="A65" s="1613" t="s">
        <v>100</v>
      </c>
      <c r="B65" s="1614"/>
      <c r="C65" s="1615"/>
      <c r="D65" s="842" t="s">
        <v>187</v>
      </c>
      <c r="E65" s="843">
        <f>'23'!F65</f>
        <v>152510.07</v>
      </c>
      <c r="F65" s="873">
        <v>152863.67000000001</v>
      </c>
      <c r="G65" s="844">
        <f t="shared" si="5"/>
        <v>353.60000000000582</v>
      </c>
      <c r="H65" s="845">
        <f>G65+'23'!H65</f>
        <v>-1735.3299999999872</v>
      </c>
      <c r="I65" s="882"/>
      <c r="J65" s="847">
        <f>H65/DAY(B2)</f>
        <v>-72.305416666666133</v>
      </c>
      <c r="K65" s="863"/>
      <c r="L65" s="822"/>
      <c r="O65" s="849"/>
    </row>
    <row r="66" spans="1:15">
      <c r="A66" s="1613" t="s">
        <v>101</v>
      </c>
      <c r="B66" s="1614"/>
      <c r="C66" s="1615"/>
      <c r="D66" s="842" t="s">
        <v>187</v>
      </c>
      <c r="E66" s="843">
        <f>'23'!F66</f>
        <v>46186.53</v>
      </c>
      <c r="F66" s="873">
        <v>46586.239999999998</v>
      </c>
      <c r="G66" s="844">
        <f t="shared" si="5"/>
        <v>399.70999999999913</v>
      </c>
      <c r="H66" s="845">
        <f>G66+'23'!H66</f>
        <v>-1984.760000000002</v>
      </c>
      <c r="I66" s="864"/>
      <c r="J66" s="847">
        <f>H66/DAY(B2)</f>
        <v>-82.698333333333423</v>
      </c>
      <c r="K66" s="863"/>
      <c r="L66" s="822"/>
      <c r="O66" s="849"/>
    </row>
    <row r="67" spans="1:15">
      <c r="A67" s="1613" t="s">
        <v>102</v>
      </c>
      <c r="B67" s="1614"/>
      <c r="C67" s="1615"/>
      <c r="D67" s="842" t="s">
        <v>187</v>
      </c>
      <c r="E67" s="843">
        <f>'23'!F67</f>
        <v>240763.33</v>
      </c>
      <c r="F67" s="873">
        <v>241200.61</v>
      </c>
      <c r="G67" s="844">
        <f t="shared" si="5"/>
        <v>437.27999999999884</v>
      </c>
      <c r="H67" s="845">
        <f>G67+'23'!H67</f>
        <v>-1973.390000000014</v>
      </c>
      <c r="I67" s="882"/>
      <c r="J67" s="847">
        <f>H67/DAY(B2)</f>
        <v>-82.224583333333911</v>
      </c>
      <c r="K67" s="870"/>
      <c r="L67" s="822"/>
      <c r="O67" s="849"/>
    </row>
    <row r="68" spans="1:15">
      <c r="A68" s="1613" t="s">
        <v>103</v>
      </c>
      <c r="B68" s="1614"/>
      <c r="C68" s="1615"/>
      <c r="D68" s="842" t="s">
        <v>187</v>
      </c>
      <c r="E68" s="843">
        <f>'23'!F68</f>
        <v>85321</v>
      </c>
      <c r="F68" s="873">
        <v>85321</v>
      </c>
      <c r="G68" s="844">
        <f t="shared" si="5"/>
        <v>0</v>
      </c>
      <c r="H68" s="845">
        <f>G68+'23'!H68</f>
        <v>0</v>
      </c>
      <c r="I68" s="928"/>
      <c r="J68" s="847">
        <f>H68/DAY(B2)</f>
        <v>0</v>
      </c>
      <c r="K68" s="929"/>
      <c r="L68" s="822"/>
      <c r="O68" s="849"/>
    </row>
    <row r="69" spans="1:15">
      <c r="A69" s="1613" t="s">
        <v>104</v>
      </c>
      <c r="B69" s="1614"/>
      <c r="C69" s="1615"/>
      <c r="D69" s="842" t="s">
        <v>187</v>
      </c>
      <c r="E69" s="843">
        <f>'23'!F69</f>
        <v>78426.3</v>
      </c>
      <c r="F69" s="873">
        <v>78476.800000000003</v>
      </c>
      <c r="G69" s="844">
        <f t="shared" si="5"/>
        <v>50.5</v>
      </c>
      <c r="H69" s="845">
        <f>G69+'23'!H69</f>
        <v>-517.19999999999709</v>
      </c>
      <c r="I69" s="928"/>
      <c r="J69" s="847">
        <f>H69/DAY(B2)</f>
        <v>-21.54999999999988</v>
      </c>
      <c r="K69" s="930"/>
      <c r="L69" s="822"/>
      <c r="O69" s="849"/>
    </row>
    <row r="70" spans="1:15">
      <c r="A70" s="1622" t="s">
        <v>189</v>
      </c>
      <c r="B70" s="1623"/>
      <c r="C70" s="1624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619" t="s">
        <v>190</v>
      </c>
      <c r="B71" s="1620"/>
      <c r="C71" s="1620"/>
      <c r="D71" s="1620"/>
      <c r="E71" s="1620"/>
      <c r="F71" s="1620"/>
      <c r="G71" s="1620"/>
      <c r="H71" s="1620"/>
      <c r="I71" s="1620"/>
      <c r="J71" s="1621"/>
      <c r="K71" s="929"/>
      <c r="L71" s="822"/>
      <c r="O71" s="849"/>
    </row>
    <row r="72" spans="1:15">
      <c r="A72" s="1613" t="s">
        <v>191</v>
      </c>
      <c r="B72" s="1614"/>
      <c r="C72" s="1615"/>
      <c r="D72" s="842" t="s">
        <v>187</v>
      </c>
      <c r="E72" s="843">
        <f>'23'!F72</f>
        <v>855126</v>
      </c>
      <c r="F72" s="934">
        <v>855182</v>
      </c>
      <c r="G72" s="844">
        <f t="shared" ref="G72:G90" si="6">F72-E72</f>
        <v>56</v>
      </c>
      <c r="H72" s="845">
        <f>G72+'23'!H72</f>
        <v>-290</v>
      </c>
      <c r="I72" s="864"/>
      <c r="J72" s="847">
        <f>H72/DAY(B2)</f>
        <v>-12.083333333333334</v>
      </c>
      <c r="K72" s="930"/>
      <c r="L72" s="822"/>
      <c r="O72" s="849"/>
    </row>
    <row r="73" spans="1:15">
      <c r="A73" s="1613" t="s">
        <v>192</v>
      </c>
      <c r="B73" s="1614"/>
      <c r="C73" s="1615"/>
      <c r="D73" s="842" t="s">
        <v>187</v>
      </c>
      <c r="E73" s="843">
        <f>'23'!F73</f>
        <v>885834</v>
      </c>
      <c r="F73" s="935">
        <v>885837</v>
      </c>
      <c r="G73" s="844">
        <f t="shared" si="6"/>
        <v>3</v>
      </c>
      <c r="H73" s="845">
        <f>G73+'23'!H73</f>
        <v>141</v>
      </c>
      <c r="I73" s="864"/>
      <c r="J73" s="847">
        <f>H73/DAY(B2)</f>
        <v>5.875</v>
      </c>
      <c r="K73" s="929"/>
      <c r="L73" s="822"/>
      <c r="O73" s="849"/>
    </row>
    <row r="74" spans="1:15">
      <c r="A74" s="1613" t="s">
        <v>193</v>
      </c>
      <c r="B74" s="1614"/>
      <c r="C74" s="1615"/>
      <c r="D74" s="842" t="s">
        <v>187</v>
      </c>
      <c r="E74" s="843">
        <f>'23'!F74</f>
        <v>2054.98</v>
      </c>
      <c r="F74" s="936">
        <v>2090.56</v>
      </c>
      <c r="G74" s="844">
        <f t="shared" si="6"/>
        <v>35.579999999999927</v>
      </c>
      <c r="H74" s="845">
        <f>G74+'23'!H74</f>
        <v>-188.44000000000005</v>
      </c>
      <c r="I74" s="864"/>
      <c r="J74" s="847">
        <f>H74/DAY(B2)</f>
        <v>-7.8516666666666692</v>
      </c>
      <c r="K74" s="930"/>
      <c r="L74" s="822"/>
      <c r="O74" s="849"/>
    </row>
    <row r="75" spans="1:15">
      <c r="A75" s="1616" t="s">
        <v>194</v>
      </c>
      <c r="B75" s="1617"/>
      <c r="C75" s="1618"/>
      <c r="D75" s="842" t="s">
        <v>187</v>
      </c>
      <c r="E75" s="843">
        <f>'23'!F75</f>
        <v>10560.05</v>
      </c>
      <c r="F75" s="936">
        <v>10621.99</v>
      </c>
      <c r="G75" s="844">
        <f t="shared" si="6"/>
        <v>61.940000000000509</v>
      </c>
      <c r="H75" s="845">
        <f>G75+'23'!H75</f>
        <v>-348.01000000000022</v>
      </c>
      <c r="I75" s="864"/>
      <c r="J75" s="847">
        <f>H75/DAY(B2)</f>
        <v>-14.500416666666675</v>
      </c>
      <c r="K75" s="929"/>
      <c r="L75" s="822"/>
      <c r="O75" s="849"/>
    </row>
    <row r="76" spans="1:15">
      <c r="A76" s="1616" t="s">
        <v>195</v>
      </c>
      <c r="B76" s="1617"/>
      <c r="C76" s="1618"/>
      <c r="D76" s="842" t="s">
        <v>187</v>
      </c>
      <c r="E76" s="843">
        <f>'23'!F76</f>
        <v>5396.8</v>
      </c>
      <c r="F76" s="935">
        <v>5435</v>
      </c>
      <c r="G76" s="844">
        <f t="shared" si="6"/>
        <v>38.199999999999818</v>
      </c>
      <c r="H76" s="845">
        <f>G76+'23'!H76</f>
        <v>-281.95000000000073</v>
      </c>
      <c r="I76" s="907"/>
      <c r="J76" s="847">
        <f>H76/DAY(B2)</f>
        <v>-11.747916666666697</v>
      </c>
      <c r="K76" s="929"/>
      <c r="L76" s="822"/>
      <c r="O76" s="849"/>
    </row>
    <row r="77" spans="1:15">
      <c r="A77" s="1613" t="s">
        <v>196</v>
      </c>
      <c r="B77" s="1614"/>
      <c r="C77" s="1615"/>
      <c r="D77" s="842" t="s">
        <v>187</v>
      </c>
      <c r="E77" s="843">
        <f>'23'!F77</f>
        <v>701243</v>
      </c>
      <c r="F77" s="935">
        <v>701287</v>
      </c>
      <c r="G77" s="844">
        <f t="shared" si="6"/>
        <v>44</v>
      </c>
      <c r="H77" s="845">
        <f>G77+'23'!H77</f>
        <v>-275</v>
      </c>
      <c r="I77" s="907"/>
      <c r="J77" s="847">
        <f>H77/DAY(B2)</f>
        <v>-11.458333333333334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'23'!F78</f>
        <v>669435</v>
      </c>
      <c r="F78" s="936">
        <v>669539</v>
      </c>
      <c r="G78" s="844">
        <f t="shared" si="6"/>
        <v>104</v>
      </c>
      <c r="H78" s="845">
        <f>G78+'23'!H78</f>
        <v>-486</v>
      </c>
      <c r="I78" s="907"/>
      <c r="J78" s="847">
        <f>H78/DAY(B2)</f>
        <v>-20.25</v>
      </c>
      <c r="K78" s="929"/>
      <c r="L78" s="822"/>
      <c r="O78" s="849"/>
    </row>
    <row r="79" spans="1:15">
      <c r="A79" s="1616" t="s">
        <v>92</v>
      </c>
      <c r="B79" s="1617"/>
      <c r="C79" s="1618"/>
      <c r="D79" s="876" t="s">
        <v>187</v>
      </c>
      <c r="E79" s="843">
        <f>'23'!F79</f>
        <v>825480</v>
      </c>
      <c r="F79" s="936">
        <v>825666</v>
      </c>
      <c r="G79" s="844">
        <f t="shared" si="6"/>
        <v>186</v>
      </c>
      <c r="H79" s="845">
        <f>G79+'23'!H79</f>
        <v>-2065</v>
      </c>
      <c r="I79" s="907"/>
      <c r="J79" s="847">
        <f>H79/DAY(B2)</f>
        <v>-86.041666666666671</v>
      </c>
      <c r="K79" s="929"/>
      <c r="L79" s="822"/>
      <c r="O79" s="849"/>
    </row>
    <row r="80" spans="1:15">
      <c r="A80" s="1616" t="s">
        <v>198</v>
      </c>
      <c r="B80" s="1617"/>
      <c r="C80" s="1618"/>
      <c r="D80" s="876" t="s">
        <v>187</v>
      </c>
      <c r="E80" s="843">
        <f>'23'!F80</f>
        <v>514128.76</v>
      </c>
      <c r="F80" s="1235">
        <v>514501.88</v>
      </c>
      <c r="G80" s="844">
        <f t="shared" si="6"/>
        <v>373.11999999999534</v>
      </c>
      <c r="H80" s="845">
        <f>G80+'23'!H80</f>
        <v>-4959.1199999999953</v>
      </c>
      <c r="I80" s="907"/>
      <c r="J80" s="847">
        <f>H80/DAY(B2)</f>
        <v>-206.6299999999998</v>
      </c>
      <c r="K80" s="929"/>
      <c r="L80" s="822"/>
      <c r="O80" s="849"/>
    </row>
    <row r="81" spans="1:15">
      <c r="A81" s="1616" t="s">
        <v>199</v>
      </c>
      <c r="B81" s="1617"/>
      <c r="C81" s="1618"/>
      <c r="D81" s="876" t="s">
        <v>187</v>
      </c>
      <c r="E81" s="843">
        <f>'23'!F81</f>
        <v>635688.28</v>
      </c>
      <c r="F81" s="935">
        <v>635856.76</v>
      </c>
      <c r="G81" s="844">
        <f t="shared" si="6"/>
        <v>168.47999999998137</v>
      </c>
      <c r="H81" s="845">
        <f>G81+'23'!H81</f>
        <v>-621.23999999999069</v>
      </c>
      <c r="I81" s="907"/>
      <c r="J81" s="847">
        <f>H81/DAY(B2)</f>
        <v>-25.884999999999611</v>
      </c>
      <c r="K81" s="929"/>
      <c r="L81" s="822"/>
      <c r="O81" s="849"/>
    </row>
    <row r="82" spans="1:15">
      <c r="A82" s="1616" t="s">
        <v>93</v>
      </c>
      <c r="B82" s="1617"/>
      <c r="C82" s="1618"/>
      <c r="D82" s="877" t="s">
        <v>132</v>
      </c>
      <c r="E82" s="843">
        <f>'23'!F82</f>
        <v>107450.3</v>
      </c>
      <c r="F82" s="938">
        <v>107475.33</v>
      </c>
      <c r="G82" s="844">
        <f t="shared" si="6"/>
        <v>25.029999999998836</v>
      </c>
      <c r="H82" s="845">
        <f>G82+'23'!H82</f>
        <v>-136.66999999999825</v>
      </c>
      <c r="I82" s="878"/>
      <c r="J82" s="847">
        <f>H82/DAY(B2)</f>
        <v>-5.6945833333332603</v>
      </c>
      <c r="K82" s="929"/>
      <c r="L82" s="822"/>
      <c r="O82" s="849"/>
    </row>
    <row r="83" spans="1:15">
      <c r="A83" s="1616" t="s">
        <v>200</v>
      </c>
      <c r="B83" s="1617"/>
      <c r="C83" s="1618"/>
      <c r="D83" s="939" t="s">
        <v>132</v>
      </c>
      <c r="E83" s="843">
        <f>'23'!F83</f>
        <v>13149</v>
      </c>
      <c r="F83" s="829">
        <v>13394</v>
      </c>
      <c r="G83" s="844">
        <f>F83-E83</f>
        <v>245</v>
      </c>
      <c r="H83" s="845">
        <f>G83+'23'!H83</f>
        <v>-1377</v>
      </c>
      <c r="I83" s="867"/>
      <c r="J83" s="847">
        <f>H83/DAY(B2)</f>
        <v>-57.375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474641</v>
      </c>
      <c r="F84" s="942">
        <v>475428</v>
      </c>
      <c r="G84" s="844">
        <f t="shared" si="6"/>
        <v>787</v>
      </c>
      <c r="H84" s="845">
        <f>G84+'23'!H84</f>
        <v>-4705</v>
      </c>
      <c r="I84" s="867"/>
      <c r="J84" s="847">
        <f>H84/DAY(B2)</f>
        <v>-196.04166666666666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2127.3499999999758</v>
      </c>
      <c r="H85" s="845">
        <f>G85+'23'!H85</f>
        <v>-12083.479999999985</v>
      </c>
      <c r="I85" s="867"/>
      <c r="J85" s="847">
        <f>H85/DAY(B2)</f>
        <v>-503.47833333333273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458356.36</v>
      </c>
      <c r="F86" s="951">
        <v>458386</v>
      </c>
      <c r="G86" s="952">
        <f t="shared" si="6"/>
        <v>29.64000000001397</v>
      </c>
      <c r="H86" s="952">
        <f t="shared" ref="H86:H88" si="7">G86</f>
        <v>29.64000000001397</v>
      </c>
      <c r="I86" s="953"/>
      <c r="J86" s="954">
        <f>H86/DAY(B2)</f>
        <v>1.2350000000005821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80823</v>
      </c>
      <c r="F87" s="951">
        <v>80835.399999999994</v>
      </c>
      <c r="G87" s="952">
        <f t="shared" si="6"/>
        <v>12.399999999994179</v>
      </c>
      <c r="H87" s="952">
        <f t="shared" si="7"/>
        <v>12.399999999994179</v>
      </c>
      <c r="I87" s="953"/>
      <c r="J87" s="954">
        <f>H87/DAY(B2)</f>
        <v>0.51666666666642413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151542.20000000001</v>
      </c>
      <c r="F88" s="951">
        <v>151564.82999999999</v>
      </c>
      <c r="G88" s="952">
        <f t="shared" si="6"/>
        <v>22.629999999975553</v>
      </c>
      <c r="H88" s="952">
        <f t="shared" si="7"/>
        <v>22.629999999975553</v>
      </c>
      <c r="I88" s="953"/>
      <c r="J88" s="954">
        <f>H88/DAY(B2)</f>
        <v>0.942916666665648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64546</v>
      </c>
      <c r="F89" s="951">
        <v>64589.2</v>
      </c>
      <c r="G89" s="952">
        <f t="shared" si="6"/>
        <v>43.19999999999709</v>
      </c>
      <c r="H89" s="952">
        <f>G89</f>
        <v>43.19999999999709</v>
      </c>
      <c r="I89" s="953"/>
      <c r="J89" s="954">
        <f>H89/DAY(B2)</f>
        <v>1.7999999999998788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3272.7</v>
      </c>
      <c r="F90" s="951">
        <v>3272.3</v>
      </c>
      <c r="G90" s="952">
        <f t="shared" si="6"/>
        <v>-0.3999999999996362</v>
      </c>
      <c r="H90" s="952">
        <f>G90</f>
        <v>-0.3999999999996362</v>
      </c>
      <c r="I90" s="953"/>
      <c r="J90" s="954">
        <f>H90/DAY(B2)</f>
        <v>-1.6666666666651508E-2</v>
      </c>
      <c r="K90" s="955"/>
      <c r="L90" s="956"/>
      <c r="N90" s="1016"/>
      <c r="O90" s="849"/>
    </row>
    <row r="91" spans="1:15" s="738" customFormat="1" ht="29.25">
      <c r="A91" s="733" t="s">
        <v>365</v>
      </c>
      <c r="B91" s="734"/>
      <c r="C91" s="734"/>
      <c r="D91" s="735"/>
      <c r="E91" s="843">
        <f>'23'!F91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947" customFormat="1">
      <c r="A92" s="958" t="s">
        <v>205</v>
      </c>
      <c r="B92" s="837"/>
      <c r="C92" s="837"/>
      <c r="D92" s="837"/>
      <c r="E92" s="837"/>
      <c r="F92" s="837"/>
      <c r="G92" s="881"/>
      <c r="H92" s="837"/>
      <c r="I92" s="837"/>
      <c r="J92" s="838"/>
      <c r="K92" s="943"/>
      <c r="L92" s="946"/>
      <c r="N92" s="1014"/>
      <c r="O92" s="849"/>
    </row>
    <row r="93" spans="1:15">
      <c r="A93" s="1607" t="s">
        <v>206</v>
      </c>
      <c r="B93" s="1608"/>
      <c r="C93" s="1609"/>
      <c r="D93" s="842" t="s">
        <v>144</v>
      </c>
      <c r="E93" s="843">
        <f>'23'!F93</f>
        <v>244204</v>
      </c>
      <c r="F93" s="873">
        <v>244290</v>
      </c>
      <c r="G93" s="844">
        <f t="shared" ref="G93:G94" si="8">F93-E93</f>
        <v>86</v>
      </c>
      <c r="H93" s="845">
        <f>G93+'23'!H93</f>
        <v>-234</v>
      </c>
      <c r="I93" s="864"/>
      <c r="J93" s="847">
        <f>H93/DAY(B2)</f>
        <v>-9.75</v>
      </c>
      <c r="K93" s="870"/>
      <c r="L93" s="822"/>
      <c r="O93" s="849"/>
    </row>
    <row r="94" spans="1:15">
      <c r="A94" s="1607" t="s">
        <v>207</v>
      </c>
      <c r="B94" s="1608"/>
      <c r="C94" s="1609"/>
      <c r="D94" s="842" t="s">
        <v>144</v>
      </c>
      <c r="E94" s="843">
        <f>'23'!F94</f>
        <v>182874</v>
      </c>
      <c r="F94" s="873">
        <v>183007</v>
      </c>
      <c r="G94" s="844">
        <f t="shared" si="8"/>
        <v>133</v>
      </c>
      <c r="H94" s="845">
        <f>G94+'23'!H94</f>
        <v>-524</v>
      </c>
      <c r="I94" s="864"/>
      <c r="J94" s="847">
        <f>H94/DAY(B2)</f>
        <v>-21.833333333333332</v>
      </c>
      <c r="K94" s="943"/>
      <c r="L94" s="822"/>
      <c r="O94" s="849"/>
    </row>
    <row r="95" spans="1:15">
      <c r="A95" s="1599" t="s">
        <v>208</v>
      </c>
      <c r="B95" s="1600"/>
      <c r="C95" s="1601"/>
      <c r="D95" s="842"/>
      <c r="E95" s="843">
        <f>'23'!F95</f>
        <v>0</v>
      </c>
      <c r="F95" s="873"/>
      <c r="G95" s="844">
        <f>G93+G94</f>
        <v>219</v>
      </c>
      <c r="H95" s="845">
        <f>G95+'23'!H95</f>
        <v>-905</v>
      </c>
      <c r="I95" s="864"/>
      <c r="J95" s="847">
        <f>H95/DAY(B2)</f>
        <v>-37.708333333333336</v>
      </c>
      <c r="K95" s="943"/>
      <c r="L95" s="822"/>
      <c r="O95" s="849"/>
    </row>
    <row r="96" spans="1:15">
      <c r="A96" s="1607" t="s">
        <v>209</v>
      </c>
      <c r="B96" s="1608"/>
      <c r="C96" s="1609"/>
      <c r="D96" s="842" t="s">
        <v>144</v>
      </c>
      <c r="E96" s="843">
        <f>'23'!F96</f>
        <v>412422</v>
      </c>
      <c r="F96" s="873">
        <v>412518</v>
      </c>
      <c r="G96" s="844">
        <f t="shared" ref="G96:G101" si="9">F96-E96</f>
        <v>96</v>
      </c>
      <c r="H96" s="845">
        <f>G96+'23'!H96</f>
        <v>-368</v>
      </c>
      <c r="I96" s="864"/>
      <c r="J96" s="847">
        <f>H96/DAY(B2)</f>
        <v>-15.333333333333334</v>
      </c>
      <c r="K96" s="943"/>
      <c r="L96" s="822"/>
      <c r="O96" s="849"/>
    </row>
    <row r="97" spans="1:15">
      <c r="A97" s="871" t="s">
        <v>210</v>
      </c>
      <c r="B97" s="872"/>
      <c r="C97" s="872"/>
      <c r="D97" s="842" t="s">
        <v>144</v>
      </c>
      <c r="E97" s="843">
        <f>'23'!F97</f>
        <v>102234</v>
      </c>
      <c r="F97" s="873">
        <v>102255</v>
      </c>
      <c r="G97" s="844">
        <f t="shared" si="9"/>
        <v>21</v>
      </c>
      <c r="H97" s="845">
        <f>G97+'23'!H97</f>
        <v>-88</v>
      </c>
      <c r="I97" s="864"/>
      <c r="J97" s="847">
        <f>H97/DAY(B2)</f>
        <v>-3.6666666666666665</v>
      </c>
      <c r="K97" s="839"/>
      <c r="L97" s="822"/>
      <c r="O97" s="849"/>
    </row>
    <row r="98" spans="1:15">
      <c r="A98" s="871" t="s">
        <v>211</v>
      </c>
      <c r="B98" s="872"/>
      <c r="C98" s="872"/>
      <c r="D98" s="842" t="s">
        <v>144</v>
      </c>
      <c r="E98" s="843">
        <f>'23'!F98</f>
        <v>97333</v>
      </c>
      <c r="F98" s="873">
        <v>97350</v>
      </c>
      <c r="G98" s="844">
        <f t="shared" si="9"/>
        <v>17</v>
      </c>
      <c r="H98" s="845">
        <f>G98+'23'!H98</f>
        <v>-77</v>
      </c>
      <c r="I98" s="864"/>
      <c r="J98" s="847">
        <f>H98/DAY(B2)</f>
        <v>-3.2083333333333335</v>
      </c>
      <c r="K98" s="959"/>
      <c r="L98" s="822"/>
      <c r="O98" s="849"/>
    </row>
    <row r="99" spans="1:15">
      <c r="A99" s="871" t="s">
        <v>212</v>
      </c>
      <c r="B99" s="872"/>
      <c r="C99" s="872"/>
      <c r="D99" s="842" t="s">
        <v>144</v>
      </c>
      <c r="E99" s="843">
        <f>'23'!F99</f>
        <v>149485</v>
      </c>
      <c r="F99" s="873">
        <v>149490</v>
      </c>
      <c r="G99" s="844">
        <f t="shared" si="9"/>
        <v>5</v>
      </c>
      <c r="H99" s="845">
        <f>G99+'23'!H99</f>
        <v>-43</v>
      </c>
      <c r="I99" s="864"/>
      <c r="J99" s="847">
        <f>H99/DAY(B2)</f>
        <v>-1.7916666666666667</v>
      </c>
      <c r="K99" s="943"/>
      <c r="L99" s="822"/>
      <c r="O99" s="849"/>
    </row>
    <row r="100" spans="1:15">
      <c r="A100" s="871" t="s">
        <v>213</v>
      </c>
      <c r="B100" s="872"/>
      <c r="C100" s="872"/>
      <c r="D100" s="842" t="s">
        <v>144</v>
      </c>
      <c r="E100" s="843">
        <f>'23'!F100</f>
        <v>7149</v>
      </c>
      <c r="F100" s="873">
        <v>7157</v>
      </c>
      <c r="G100" s="844">
        <f t="shared" si="9"/>
        <v>8</v>
      </c>
      <c r="H100" s="845">
        <f>G100+'23'!H100</f>
        <v>-28</v>
      </c>
      <c r="I100" s="864"/>
      <c r="J100" s="847">
        <f>H100/DAY(B2)</f>
        <v>-1.1666666666666667</v>
      </c>
      <c r="K100" s="943"/>
      <c r="L100" s="822"/>
      <c r="O100" s="849"/>
    </row>
    <row r="101" spans="1:15">
      <c r="A101" s="871" t="s">
        <v>214</v>
      </c>
      <c r="B101" s="872"/>
      <c r="C101" s="872"/>
      <c r="D101" s="842" t="s">
        <v>144</v>
      </c>
      <c r="E101" s="843">
        <f>'23'!F101</f>
        <v>5100</v>
      </c>
      <c r="F101" s="873">
        <v>5110</v>
      </c>
      <c r="G101" s="844">
        <f t="shared" si="9"/>
        <v>10</v>
      </c>
      <c r="H101" s="845">
        <f>G101+'23'!H101</f>
        <v>-28</v>
      </c>
      <c r="I101" s="864"/>
      <c r="J101" s="847">
        <f>H101/DAY(B2)</f>
        <v>-1.1666666666666667</v>
      </c>
      <c r="K101" s="943"/>
      <c r="L101" s="822"/>
      <c r="O101" s="849"/>
    </row>
    <row r="102" spans="1:15">
      <c r="A102" s="1599" t="s">
        <v>216</v>
      </c>
      <c r="B102" s="1600"/>
      <c r="C102" s="1601"/>
      <c r="D102" s="876"/>
      <c r="E102" s="876"/>
      <c r="F102" s="876"/>
      <c r="G102" s="960">
        <f>SUM(G96:G101)</f>
        <v>157</v>
      </c>
      <c r="H102" s="845">
        <f>G102+'23'!H102</f>
        <v>-632</v>
      </c>
      <c r="I102" s="961"/>
      <c r="J102" s="847">
        <f>H102/DAY(B2)</f>
        <v>-26.333333333333332</v>
      </c>
      <c r="K102" s="943"/>
      <c r="L102" s="822"/>
      <c r="O102" s="849"/>
    </row>
    <row r="103" spans="1:15" s="894" customFormat="1">
      <c r="A103" s="962" t="s">
        <v>217</v>
      </c>
      <c r="B103" s="963"/>
      <c r="C103" s="963"/>
      <c r="D103" s="964"/>
      <c r="E103" s="965"/>
      <c r="F103" s="966"/>
      <c r="G103" s="967"/>
      <c r="H103" s="968"/>
      <c r="I103" s="969"/>
      <c r="J103" s="970"/>
      <c r="N103" s="1012"/>
      <c r="O103" s="849"/>
    </row>
    <row r="104" spans="1:15" s="894" customFormat="1">
      <c r="A104" s="1596" t="s">
        <v>218</v>
      </c>
      <c r="B104" s="1597"/>
      <c r="C104" s="971"/>
      <c r="D104" s="972"/>
      <c r="E104" s="973"/>
      <c r="F104" s="973"/>
      <c r="G104" s="973"/>
      <c r="H104" s="974"/>
      <c r="I104" s="973"/>
      <c r="J104" s="975"/>
      <c r="N104" s="1012"/>
      <c r="O104" s="849"/>
    </row>
    <row r="105" spans="1:15" s="894" customFormat="1">
      <c r="A105" s="1590" t="s">
        <v>219</v>
      </c>
      <c r="B105" s="1591"/>
      <c r="C105" s="976"/>
      <c r="D105" s="972" t="s">
        <v>144</v>
      </c>
      <c r="E105" s="973">
        <f>'23'!F105</f>
        <v>7409</v>
      </c>
      <c r="F105" s="973">
        <v>7410</v>
      </c>
      <c r="G105" s="973">
        <f>F105-E105</f>
        <v>1</v>
      </c>
      <c r="H105" s="974">
        <f>SUM(G105+'1'!G76)</f>
        <v>58</v>
      </c>
      <c r="I105" s="973"/>
      <c r="J105" s="975">
        <f>H105/DAY(B2)</f>
        <v>2.4166666666666665</v>
      </c>
      <c r="N105" s="1012"/>
      <c r="O105" s="849"/>
    </row>
    <row r="106" spans="1:15" s="894" customFormat="1">
      <c r="A106" s="1590" t="s">
        <v>77</v>
      </c>
      <c r="B106" s="1591"/>
      <c r="C106" s="976"/>
      <c r="D106" s="972" t="s">
        <v>144</v>
      </c>
      <c r="E106" s="973">
        <f>'23'!F106</f>
        <v>35788</v>
      </c>
      <c r="F106" s="977">
        <v>35801</v>
      </c>
      <c r="G106" s="973">
        <f t="shared" ref="G106:G107" si="10">F106-E106</f>
        <v>13</v>
      </c>
      <c r="H106" s="974">
        <f>SUM(G106+'1'!G77)</f>
        <v>63</v>
      </c>
      <c r="I106" s="973"/>
      <c r="J106" s="975">
        <f>H106/DAY(B2)</f>
        <v>2.625</v>
      </c>
      <c r="N106" s="1012"/>
      <c r="O106" s="849"/>
    </row>
    <row r="107" spans="1:15" s="894" customFormat="1">
      <c r="A107" s="1590" t="s">
        <v>78</v>
      </c>
      <c r="B107" s="1598"/>
      <c r="C107" s="1591"/>
      <c r="D107" s="972" t="s">
        <v>144</v>
      </c>
      <c r="E107" s="973">
        <f>'23'!F107</f>
        <v>19577</v>
      </c>
      <c r="F107" s="973">
        <v>19586</v>
      </c>
      <c r="G107" s="973">
        <f t="shared" si="10"/>
        <v>9</v>
      </c>
      <c r="H107" s="974">
        <f>SUM(G107+'1'!G78)</f>
        <v>133</v>
      </c>
      <c r="I107" s="973"/>
      <c r="J107" s="975">
        <f>H107/DAY(B2)</f>
        <v>5.541666666666667</v>
      </c>
      <c r="N107" s="1012"/>
      <c r="O107" s="849"/>
    </row>
    <row r="108" spans="1:15" s="894" customFormat="1">
      <c r="A108" s="1592" t="s">
        <v>202</v>
      </c>
      <c r="B108" s="1593"/>
      <c r="C108" s="976"/>
      <c r="D108" s="972"/>
      <c r="E108" s="973"/>
      <c r="F108" s="973"/>
      <c r="G108" s="973">
        <f>SUM(G105:G107)</f>
        <v>23</v>
      </c>
      <c r="H108" s="974">
        <f>SUM(G108+'1'!G79)</f>
        <v>212</v>
      </c>
      <c r="I108" s="973"/>
      <c r="J108" s="975">
        <f>H108/DAY(B2)</f>
        <v>8.8333333333333339</v>
      </c>
      <c r="N108" s="1012"/>
      <c r="O108" s="849"/>
    </row>
    <row r="109" spans="1:15" s="894" customFormat="1">
      <c r="A109" s="1588" t="s">
        <v>79</v>
      </c>
      <c r="B109" s="1589"/>
      <c r="C109" s="976"/>
      <c r="D109" s="972" t="s">
        <v>144</v>
      </c>
      <c r="E109" s="973">
        <f>'23'!F109</f>
        <v>0</v>
      </c>
      <c r="F109" s="973"/>
      <c r="G109" s="973"/>
      <c r="H109" s="974"/>
      <c r="I109" s="973"/>
      <c r="J109" s="975"/>
      <c r="N109" s="1012"/>
      <c r="O109" s="849"/>
    </row>
    <row r="110" spans="1:15" s="894" customFormat="1">
      <c r="A110" s="1590" t="s">
        <v>220</v>
      </c>
      <c r="B110" s="1591"/>
      <c r="C110" s="976"/>
      <c r="D110" s="972" t="s">
        <v>144</v>
      </c>
      <c r="E110" s="973">
        <f>'23'!F110</f>
        <v>60602</v>
      </c>
      <c r="F110" s="973">
        <v>60663</v>
      </c>
      <c r="G110" s="973">
        <f>F110-E110</f>
        <v>61</v>
      </c>
      <c r="H110" s="974">
        <f>SUM(G110+'1'!G81)</f>
        <v>142</v>
      </c>
      <c r="I110" s="973"/>
      <c r="J110" s="975">
        <f>H110/DAY(B2)</f>
        <v>5.916666666666667</v>
      </c>
      <c r="N110" s="1012"/>
      <c r="O110" s="849"/>
    </row>
    <row r="111" spans="1:15" s="894" customFormat="1">
      <c r="A111" s="1590" t="s">
        <v>221</v>
      </c>
      <c r="B111" s="1591"/>
      <c r="C111" s="976"/>
      <c r="D111" s="972" t="s">
        <v>144</v>
      </c>
      <c r="E111" s="973">
        <f>'23'!F111</f>
        <v>32165</v>
      </c>
      <c r="F111" s="973">
        <v>32176</v>
      </c>
      <c r="G111" s="973">
        <f t="shared" ref="G111:G112" si="11">F111-E111</f>
        <v>11</v>
      </c>
      <c r="H111" s="974">
        <f>SUM(G111+'1'!G82)</f>
        <v>23</v>
      </c>
      <c r="I111" s="973"/>
      <c r="J111" s="975">
        <f>H111/DAY(B2)</f>
        <v>0.95833333333333337</v>
      </c>
      <c r="N111" s="1012"/>
      <c r="O111" s="849"/>
    </row>
    <row r="112" spans="1:15" s="894" customFormat="1">
      <c r="A112" s="1590" t="s">
        <v>222</v>
      </c>
      <c r="B112" s="1591"/>
      <c r="C112" s="976"/>
      <c r="D112" s="972" t="s">
        <v>144</v>
      </c>
      <c r="E112" s="973">
        <f>'23'!F112</f>
        <v>4346</v>
      </c>
      <c r="F112" s="973">
        <v>4346</v>
      </c>
      <c r="G112" s="973">
        <f t="shared" si="11"/>
        <v>0</v>
      </c>
      <c r="H112" s="974">
        <f>SUM(G112+'1'!G83)</f>
        <v>255</v>
      </c>
      <c r="I112" s="973"/>
      <c r="J112" s="975">
        <f>H112/DAY(B2)</f>
        <v>10.625</v>
      </c>
      <c r="N112" s="1012"/>
      <c r="O112" s="849"/>
    </row>
    <row r="113" spans="1:15" s="894" customFormat="1">
      <c r="A113" s="1594" t="s">
        <v>110</v>
      </c>
      <c r="B113" s="1595"/>
      <c r="C113" s="976"/>
      <c r="D113" s="972"/>
      <c r="E113" s="973">
        <f>'23'!F113</f>
        <v>0</v>
      </c>
      <c r="F113" s="973"/>
      <c r="G113" s="973">
        <f>SUM(G110:G112)</f>
        <v>72</v>
      </c>
      <c r="H113" s="974">
        <f>SUM(G113+'1'!G84)</f>
        <v>787</v>
      </c>
      <c r="I113" s="973"/>
      <c r="J113" s="975">
        <f>H113/DAY(B2)</f>
        <v>32.791666666666664</v>
      </c>
      <c r="N113" s="1012"/>
      <c r="O113" s="849"/>
    </row>
    <row r="114" spans="1:15" s="894" customFormat="1">
      <c r="A114" s="1588" t="s">
        <v>223</v>
      </c>
      <c r="B114" s="1589"/>
      <c r="C114" s="976"/>
      <c r="D114" s="972"/>
      <c r="E114" s="973"/>
      <c r="F114" s="973"/>
      <c r="G114" s="973"/>
      <c r="H114" s="974"/>
      <c r="I114" s="973"/>
      <c r="J114" s="975">
        <f>H114/DAY(B2)</f>
        <v>0</v>
      </c>
      <c r="N114" s="1012"/>
      <c r="O114" s="849"/>
    </row>
    <row r="115" spans="1:15" s="894" customFormat="1">
      <c r="A115" s="1590" t="s">
        <v>224</v>
      </c>
      <c r="B115" s="1591"/>
      <c r="C115" s="978"/>
      <c r="D115" s="972" t="s">
        <v>144</v>
      </c>
      <c r="E115" s="973">
        <f>'23'!F115</f>
        <v>11212</v>
      </c>
      <c r="F115" s="977">
        <v>11223</v>
      </c>
      <c r="G115" s="977">
        <f>F115-E115</f>
        <v>11</v>
      </c>
      <c r="H115" s="974">
        <f>SUM(G115+'1'!G92)</f>
        <v>11</v>
      </c>
      <c r="I115" s="973"/>
      <c r="J115" s="975">
        <f>H115/DAY(B2)</f>
        <v>0.45833333333333331</v>
      </c>
      <c r="N115" s="1012"/>
      <c r="O115" s="849"/>
    </row>
    <row r="116" spans="1:15" s="894" customFormat="1">
      <c r="A116" s="1590" t="s">
        <v>225</v>
      </c>
      <c r="B116" s="1591"/>
      <c r="C116" s="978"/>
      <c r="D116" s="972" t="s">
        <v>144</v>
      </c>
      <c r="E116" s="973">
        <f>'23'!F116</f>
        <v>8098</v>
      </c>
      <c r="F116" s="977">
        <v>8102</v>
      </c>
      <c r="G116" s="977">
        <f t="shared" ref="G116:G117" si="12">F116-E116</f>
        <v>4</v>
      </c>
      <c r="H116" s="974">
        <f>SUM(G116+'1'!G93)</f>
        <v>56</v>
      </c>
      <c r="I116" s="973"/>
      <c r="J116" s="975">
        <f>H116/DAY(B2)</f>
        <v>2.3333333333333335</v>
      </c>
      <c r="N116" s="1012"/>
      <c r="O116" s="849"/>
    </row>
    <row r="117" spans="1:15" s="894" customFormat="1">
      <c r="A117" s="1590" t="s">
        <v>226</v>
      </c>
      <c r="B117" s="1591"/>
      <c r="C117" s="978"/>
      <c r="D117" s="972" t="s">
        <v>144</v>
      </c>
      <c r="E117" s="977"/>
      <c r="F117" s="977"/>
      <c r="G117" s="977">
        <f t="shared" si="12"/>
        <v>0</v>
      </c>
      <c r="H117" s="974">
        <f>SUM(G117+'1'!G94)</f>
        <v>95</v>
      </c>
      <c r="I117" s="973"/>
      <c r="J117" s="975">
        <f>H117/DAY(B2)</f>
        <v>3.9583333333333335</v>
      </c>
      <c r="N117" s="1012"/>
      <c r="O117" s="849"/>
    </row>
    <row r="118" spans="1:15" s="980" customFormat="1">
      <c r="A118" s="1592" t="s">
        <v>202</v>
      </c>
      <c r="B118" s="1593"/>
      <c r="C118" s="978"/>
      <c r="D118" s="979"/>
      <c r="E118" s="977"/>
      <c r="F118" s="977"/>
      <c r="G118" s="977">
        <f>SUM(G115:G117)</f>
        <v>15</v>
      </c>
      <c r="H118" s="974">
        <f>SUM(G118+'1'!G96)</f>
        <v>87</v>
      </c>
      <c r="I118" s="977"/>
      <c r="J118" s="975">
        <f>H118/DAY(B2)</f>
        <v>3.625</v>
      </c>
      <c r="N118" s="1017"/>
      <c r="O118" s="849"/>
    </row>
    <row r="119" spans="1:15" s="772" customFormat="1">
      <c r="A119" s="1584" t="s">
        <v>227</v>
      </c>
      <c r="B119" s="1585"/>
      <c r="C119" s="981"/>
      <c r="D119" s="982" t="s">
        <v>144</v>
      </c>
      <c r="E119" s="983"/>
      <c r="F119" s="984"/>
      <c r="G119" s="984">
        <f>SUM(G19+G93)</f>
        <v>144</v>
      </c>
      <c r="H119" s="974">
        <f>SUM(G119+'1'!G97)</f>
        <v>156</v>
      </c>
      <c r="I119" s="983"/>
      <c r="J119" s="985">
        <f>H119/DAY(B2)</f>
        <v>6.5</v>
      </c>
      <c r="N119" s="1018"/>
      <c r="O119" s="849"/>
    </row>
    <row r="120" spans="1:15" s="772" customFormat="1">
      <c r="A120" s="1584" t="s">
        <v>228</v>
      </c>
      <c r="B120" s="1585"/>
      <c r="C120" s="981"/>
      <c r="D120" s="982" t="s">
        <v>144</v>
      </c>
      <c r="E120" s="983"/>
      <c r="F120" s="984"/>
      <c r="G120" s="984">
        <f>SUM(G96,G97,G98,G100,G101)</f>
        <v>152</v>
      </c>
      <c r="H120" s="974">
        <f>SUM(G120+'1'!G99)</f>
        <v>157</v>
      </c>
      <c r="I120" s="983"/>
      <c r="J120" s="985">
        <f>H120/DAY(B2)</f>
        <v>6.541666666666667</v>
      </c>
      <c r="N120" s="1018"/>
      <c r="O120" s="849"/>
    </row>
    <row r="121" spans="1:15" s="772" customFormat="1">
      <c r="A121" s="1584" t="s">
        <v>229</v>
      </c>
      <c r="B121" s="1585"/>
      <c r="C121" s="981"/>
      <c r="D121" s="982" t="s">
        <v>144</v>
      </c>
      <c r="E121" s="983"/>
      <c r="F121" s="977"/>
      <c r="G121" s="977">
        <f>SUM(G113)</f>
        <v>72</v>
      </c>
      <c r="H121" s="974">
        <f>SUM(G121+'1'!G101)</f>
        <v>78</v>
      </c>
      <c r="I121" s="983"/>
      <c r="J121" s="985">
        <f>H121/DAY(B2)</f>
        <v>3.25</v>
      </c>
      <c r="N121" s="1018"/>
      <c r="O121" s="849"/>
    </row>
    <row r="122" spans="1:15" s="894" customFormat="1">
      <c r="A122" s="1586"/>
      <c r="B122" s="1587"/>
      <c r="C122" s="976"/>
      <c r="D122" s="971"/>
      <c r="E122" s="971"/>
      <c r="F122" s="971"/>
      <c r="G122" s="971"/>
      <c r="H122" s="986"/>
      <c r="I122" s="971"/>
      <c r="J122" s="987"/>
      <c r="N122" s="1012"/>
      <c r="O122" s="849"/>
    </row>
    <row r="123" spans="1:15">
      <c r="A123" s="1602" t="s">
        <v>230</v>
      </c>
      <c r="B123" s="1603"/>
      <c r="C123" s="1604"/>
      <c r="D123" s="837"/>
      <c r="E123" s="837"/>
      <c r="F123" s="837"/>
      <c r="G123" s="869"/>
      <c r="H123" s="869"/>
      <c r="I123" s="869"/>
      <c r="J123" s="988"/>
      <c r="K123" s="943"/>
      <c r="L123" s="822"/>
      <c r="O123" s="849"/>
    </row>
    <row r="124" spans="1:15">
      <c r="A124" s="871" t="s">
        <v>231</v>
      </c>
      <c r="B124" s="872"/>
      <c r="C124" s="872"/>
      <c r="D124" s="842" t="s">
        <v>141</v>
      </c>
      <c r="E124" s="843">
        <f>'23'!F124</f>
        <v>824552.41</v>
      </c>
      <c r="F124" s="861">
        <v>824787.44</v>
      </c>
      <c r="G124" s="844">
        <f t="shared" ref="G124:G128" si="13">F124-E124</f>
        <v>235.02999999991152</v>
      </c>
      <c r="H124" s="845">
        <f>G124+'23'!H124</f>
        <v>-1301.0200000000186</v>
      </c>
      <c r="I124" s="961"/>
      <c r="J124" s="847">
        <f>H124/DAY(B2)</f>
        <v>-54.209166666667443</v>
      </c>
      <c r="K124" s="943"/>
      <c r="L124" s="822"/>
      <c r="O124" s="849"/>
    </row>
    <row r="125" spans="1:15">
      <c r="A125" s="871" t="s">
        <v>232</v>
      </c>
      <c r="B125" s="872"/>
      <c r="C125" s="872"/>
      <c r="D125" s="842" t="s">
        <v>141</v>
      </c>
      <c r="E125" s="843">
        <f>'23'!F125</f>
        <v>73583.399999999994</v>
      </c>
      <c r="F125" s="989">
        <v>73583</v>
      </c>
      <c r="G125" s="844">
        <f t="shared" si="13"/>
        <v>-0.39999999999417923</v>
      </c>
      <c r="H125" s="845">
        <f>G125+'23'!H125</f>
        <v>-0.39999999999417923</v>
      </c>
      <c r="I125" s="961"/>
      <c r="J125" s="847">
        <f>H125/DAY(B2)</f>
        <v>-1.6666666666424135E-2</v>
      </c>
      <c r="K125" s="943"/>
      <c r="L125" s="822"/>
      <c r="O125" s="849"/>
    </row>
    <row r="126" spans="1:15">
      <c r="A126" s="1613" t="s">
        <v>233</v>
      </c>
      <c r="B126" s="1614"/>
      <c r="C126" s="1615"/>
      <c r="D126" s="842" t="s">
        <v>141</v>
      </c>
      <c r="E126" s="843">
        <f>'23'!F126</f>
        <v>144172.07</v>
      </c>
      <c r="F126" s="861">
        <v>144264.04999999999</v>
      </c>
      <c r="G126" s="844">
        <f t="shared" si="13"/>
        <v>91.979999999981374</v>
      </c>
      <c r="H126" s="845">
        <f>G126+'23'!H126</f>
        <v>-423.39000000001397</v>
      </c>
      <c r="I126" s="961"/>
      <c r="J126" s="847">
        <f>H126/DAY(B2)</f>
        <v>-17.641250000000582</v>
      </c>
      <c r="K126" s="943"/>
      <c r="L126" s="822"/>
      <c r="O126" s="849"/>
    </row>
    <row r="127" spans="1:15">
      <c r="A127" s="990" t="s">
        <v>234</v>
      </c>
      <c r="B127" s="872"/>
      <c r="C127" s="872"/>
      <c r="D127" s="842" t="s">
        <v>141</v>
      </c>
      <c r="E127" s="843">
        <f>'23'!F127</f>
        <v>31404.2</v>
      </c>
      <c r="F127" s="989">
        <v>31404.2</v>
      </c>
      <c r="G127" s="844">
        <f t="shared" si="13"/>
        <v>0</v>
      </c>
      <c r="H127" s="845">
        <f>G127+'23'!H127</f>
        <v>0.2000000000007276</v>
      </c>
      <c r="I127" s="961"/>
      <c r="J127" s="847">
        <f>H127/DAY(B2)</f>
        <v>8.3333333333636492E-3</v>
      </c>
      <c r="K127" s="943"/>
      <c r="L127" s="822"/>
      <c r="O127" s="849"/>
    </row>
    <row r="128" spans="1:15">
      <c r="A128" s="990" t="s">
        <v>235</v>
      </c>
      <c r="B128" s="872"/>
      <c r="C128" s="872"/>
      <c r="D128" s="842" t="s">
        <v>141</v>
      </c>
      <c r="E128" s="843">
        <f>'23'!F128</f>
        <v>8969.2999999999993</v>
      </c>
      <c r="F128" s="989">
        <v>8969.4</v>
      </c>
      <c r="G128" s="844">
        <f t="shared" si="13"/>
        <v>0.1000000000003638</v>
      </c>
      <c r="H128" s="845">
        <f>G128+'23'!H128</f>
        <v>-0.30000000000109139</v>
      </c>
      <c r="I128" s="864"/>
      <c r="J128" s="847">
        <f>H128/DAY(B2)</f>
        <v>-1.2500000000045475E-2</v>
      </c>
      <c r="K128" s="943"/>
      <c r="L128" s="822"/>
      <c r="O128" s="849"/>
    </row>
    <row r="129" spans="1:15">
      <c r="A129" s="990" t="s">
        <v>236</v>
      </c>
      <c r="B129" s="872"/>
      <c r="C129" s="872"/>
      <c r="D129" s="842"/>
      <c r="E129" s="843"/>
      <c r="F129" s="861"/>
      <c r="G129" s="844">
        <f>G15-SUM(G124:G128)</f>
        <v>490.58200000023317</v>
      </c>
      <c r="H129" s="845">
        <f>G129+'23'!H129</f>
        <v>-4425.0219999998753</v>
      </c>
      <c r="I129" s="864"/>
      <c r="J129" s="847">
        <f>H129/DAY(B2)</f>
        <v>-184.37591666666148</v>
      </c>
      <c r="K129" s="943"/>
      <c r="L129" s="822"/>
      <c r="O129" s="849"/>
    </row>
    <row r="130" spans="1:15">
      <c r="A130" s="991" t="s">
        <v>237</v>
      </c>
      <c r="B130" s="836"/>
      <c r="C130" s="836"/>
      <c r="D130" s="836"/>
      <c r="E130" s="836"/>
      <c r="F130" s="836"/>
      <c r="G130" s="992"/>
      <c r="H130" s="992"/>
      <c r="I130" s="992"/>
      <c r="J130" s="993"/>
      <c r="O130" s="849"/>
    </row>
    <row r="131" spans="1:15">
      <c r="A131" s="871" t="s">
        <v>238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ref="G131:G141" si="14">F131-E131</f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240</v>
      </c>
      <c r="B132" s="872"/>
      <c r="C132" s="872"/>
      <c r="D132" s="842" t="s">
        <v>239</v>
      </c>
      <c r="E132" s="843">
        <f>'23'!F132</f>
        <v>0</v>
      </c>
      <c r="F132" s="873">
        <v>0</v>
      </c>
      <c r="G132" s="844">
        <f t="shared" si="14"/>
        <v>0</v>
      </c>
      <c r="H132" s="845">
        <f>G132+'23'!H132</f>
        <v>0</v>
      </c>
      <c r="I132" s="864"/>
      <c r="J132" s="847">
        <f>H132/DAY(B2)</f>
        <v>0</v>
      </c>
      <c r="O132" s="849"/>
    </row>
    <row r="133" spans="1:15">
      <c r="A133" s="871" t="s">
        <v>241</v>
      </c>
      <c r="B133" s="872"/>
      <c r="C133" s="872"/>
      <c r="D133" s="842" t="s">
        <v>239</v>
      </c>
      <c r="E133" s="1470">
        <f>'23'!F133</f>
        <v>39659</v>
      </c>
      <c r="F133" s="994">
        <v>39659</v>
      </c>
      <c r="G133" s="953">
        <f t="shared" si="14"/>
        <v>0</v>
      </c>
      <c r="H133" s="845">
        <f>G133+'23'!H133</f>
        <v>-87.480000000003201</v>
      </c>
      <c r="I133" s="864"/>
      <c r="J133" s="847">
        <f>H133/DAY(B2)</f>
        <v>-3.6450000000001332</v>
      </c>
      <c r="O133" s="849"/>
    </row>
    <row r="134" spans="1:15">
      <c r="A134" s="871" t="s">
        <v>242</v>
      </c>
      <c r="B134" s="872"/>
      <c r="C134" s="872"/>
      <c r="D134" s="842" t="s">
        <v>239</v>
      </c>
      <c r="E134" s="1470">
        <f>'23'!F134</f>
        <v>300</v>
      </c>
      <c r="F134" s="994">
        <v>300</v>
      </c>
      <c r="G134" s="953">
        <f t="shared" si="14"/>
        <v>0</v>
      </c>
      <c r="H134" s="845">
        <f>G134+'23'!H134</f>
        <v>0</v>
      </c>
      <c r="I134" s="864">
        <f>G131+G132+G133+G134</f>
        <v>0</v>
      </c>
      <c r="J134" s="847">
        <f>H134/DAY(B2)</f>
        <v>0</v>
      </c>
      <c r="O134" s="849"/>
    </row>
    <row r="135" spans="1:15">
      <c r="A135" s="871" t="s">
        <v>243</v>
      </c>
      <c r="B135" s="872"/>
      <c r="C135" s="872"/>
      <c r="D135" s="842" t="s">
        <v>239</v>
      </c>
      <c r="E135" s="1470">
        <f>'23'!F135</f>
        <v>41295</v>
      </c>
      <c r="F135" s="994">
        <v>41319</v>
      </c>
      <c r="G135" s="953">
        <f t="shared" si="14"/>
        <v>24</v>
      </c>
      <c r="H135" s="845">
        <f>G135+'23'!H135</f>
        <v>48</v>
      </c>
      <c r="I135" s="864"/>
      <c r="J135" s="847">
        <f>H135/DAY(B2)</f>
        <v>2</v>
      </c>
      <c r="O135" s="849"/>
    </row>
    <row r="136" spans="1:15">
      <c r="A136" s="871" t="s">
        <v>244</v>
      </c>
      <c r="B136" s="872"/>
      <c r="C136" s="872"/>
      <c r="D136" s="842" t="s">
        <v>239</v>
      </c>
      <c r="E136" s="1470">
        <f>'23'!F136</f>
        <v>32582.93</v>
      </c>
      <c r="F136" s="994">
        <v>32582.93</v>
      </c>
      <c r="G136" s="953">
        <f t="shared" si="14"/>
        <v>0</v>
      </c>
      <c r="H136" s="845">
        <f>G136+'23'!H136</f>
        <v>13</v>
      </c>
      <c r="I136" s="864"/>
      <c r="J136" s="847">
        <f>H136/DAY(B2)</f>
        <v>0.54166666666666663</v>
      </c>
      <c r="O136" s="849"/>
    </row>
    <row r="137" spans="1:15">
      <c r="A137" s="871" t="s">
        <v>245</v>
      </c>
      <c r="B137" s="872"/>
      <c r="C137" s="872"/>
      <c r="D137" s="842" t="s">
        <v>239</v>
      </c>
      <c r="E137" s="1470">
        <f>'23'!F137</f>
        <v>22701.06</v>
      </c>
      <c r="F137" s="994">
        <v>22710.86</v>
      </c>
      <c r="G137" s="953">
        <f t="shared" si="14"/>
        <v>9.7999999999992724</v>
      </c>
      <c r="H137" s="845">
        <f>G137+'23'!H137</f>
        <v>-28.729999999999563</v>
      </c>
      <c r="I137" s="864">
        <f>G135+G136+G137</f>
        <v>33.799999999999272</v>
      </c>
      <c r="J137" s="847">
        <f>H137/DAY(B2)</f>
        <v>-1.1970833333333151</v>
      </c>
      <c r="O137" s="849"/>
    </row>
    <row r="138" spans="1:15">
      <c r="A138" s="871" t="s">
        <v>246</v>
      </c>
      <c r="B138" s="872"/>
      <c r="C138" s="872"/>
      <c r="D138" s="842" t="s">
        <v>239</v>
      </c>
      <c r="E138" s="843">
        <f>'23'!F138</f>
        <v>25051.49</v>
      </c>
      <c r="F138" s="994">
        <v>25051.49</v>
      </c>
      <c r="G138" s="844">
        <f t="shared" si="14"/>
        <v>0</v>
      </c>
      <c r="H138" s="845">
        <f>G138+'23'!H138</f>
        <v>8</v>
      </c>
      <c r="I138" s="864"/>
      <c r="J138" s="847">
        <f>H138/DAY(B2)</f>
        <v>0.33333333333333331</v>
      </c>
      <c r="O138" s="849"/>
    </row>
    <row r="139" spans="1:15">
      <c r="A139" s="871" t="s">
        <v>247</v>
      </c>
      <c r="B139" s="872"/>
      <c r="C139" s="872"/>
      <c r="D139" s="842" t="s">
        <v>239</v>
      </c>
      <c r="E139" s="843">
        <f>'23'!F139</f>
        <v>70295.23</v>
      </c>
      <c r="F139" s="994">
        <v>70295.23</v>
      </c>
      <c r="G139" s="844">
        <f t="shared" si="14"/>
        <v>0</v>
      </c>
      <c r="H139" s="845">
        <f>G139+'23'!H139</f>
        <v>15</v>
      </c>
      <c r="I139" s="864">
        <f>G138+G139</f>
        <v>0</v>
      </c>
      <c r="J139" s="847">
        <f>H139/DAY(B2)</f>
        <v>0.625</v>
      </c>
      <c r="O139" s="849"/>
    </row>
    <row r="140" spans="1:15">
      <c r="A140" s="871" t="s">
        <v>248</v>
      </c>
      <c r="B140" s="872"/>
      <c r="C140" s="872"/>
      <c r="D140" s="842" t="s">
        <v>239</v>
      </c>
      <c r="E140" s="843">
        <f>'23'!F140</f>
        <v>1559.4</v>
      </c>
      <c r="F140" s="873">
        <v>1568.08</v>
      </c>
      <c r="G140" s="844">
        <f t="shared" si="14"/>
        <v>8.6799999999998363</v>
      </c>
      <c r="H140" s="845">
        <f>G140+'23'!H140</f>
        <v>-48.779999999999973</v>
      </c>
      <c r="I140" s="995"/>
      <c r="J140" s="847">
        <f>H140/DAY(B2)</f>
        <v>-2.0324999999999989</v>
      </c>
      <c r="O140" s="849"/>
    </row>
    <row r="141" spans="1:15">
      <c r="A141" s="871" t="s">
        <v>249</v>
      </c>
      <c r="B141" s="872"/>
      <c r="C141" s="872"/>
      <c r="D141" s="842" t="s">
        <v>239</v>
      </c>
      <c r="E141" s="843">
        <f>'23'!F141</f>
        <v>4636.88</v>
      </c>
      <c r="F141" s="873">
        <v>4636.58</v>
      </c>
      <c r="G141" s="844">
        <f t="shared" si="14"/>
        <v>-0.3000000000001819</v>
      </c>
      <c r="H141" s="845">
        <f>G141+'23'!H141</f>
        <v>-0.42000000000007276</v>
      </c>
      <c r="I141" s="995"/>
      <c r="J141" s="847">
        <f>H141/DAY(B2)</f>
        <v>-1.750000000000303E-2</v>
      </c>
      <c r="O141" s="849"/>
    </row>
    <row r="142" spans="1:15">
      <c r="A142" s="1605" t="s">
        <v>250</v>
      </c>
      <c r="B142" s="1606"/>
      <c r="C142" s="837"/>
      <c r="D142" s="837"/>
      <c r="E142" s="837"/>
      <c r="F142" s="837"/>
      <c r="G142" s="869"/>
      <c r="H142" s="869"/>
      <c r="I142" s="869"/>
      <c r="J142" s="988"/>
      <c r="K142" s="943"/>
      <c r="L142" s="822"/>
      <c r="O142" s="849"/>
    </row>
    <row r="143" spans="1:15">
      <c r="A143" s="1607" t="s">
        <v>251</v>
      </c>
      <c r="B143" s="1608"/>
      <c r="C143" s="1609"/>
      <c r="D143" s="842" t="s">
        <v>132</v>
      </c>
      <c r="E143" s="842"/>
      <c r="F143" s="842"/>
      <c r="G143" s="845">
        <f>G35+G43+G49+G57</f>
        <v>5175.6499999999069</v>
      </c>
      <c r="H143" s="845">
        <f>G143+'23'!H143</f>
        <v>-30174.530000000028</v>
      </c>
      <c r="I143" s="864"/>
      <c r="J143" s="847">
        <f>H143/DAY(B2)</f>
        <v>-1257.2720833333344</v>
      </c>
      <c r="K143" s="943"/>
      <c r="L143" s="822"/>
      <c r="O143" s="849"/>
    </row>
    <row r="144" spans="1:15">
      <c r="A144" s="1607" t="s">
        <v>252</v>
      </c>
      <c r="B144" s="1608"/>
      <c r="C144" s="1609"/>
      <c r="D144" s="842" t="s">
        <v>24</v>
      </c>
      <c r="E144" s="829"/>
      <c r="F144" s="829"/>
      <c r="G144" s="996">
        <f>G143/G7</f>
        <v>0.25924914846723635</v>
      </c>
      <c r="H144" s="845">
        <f>G144+'23'!H144</f>
        <v>6.0289070233894213</v>
      </c>
      <c r="I144" s="997"/>
      <c r="J144" s="847">
        <f>H144/DAY(B2)</f>
        <v>0.25120445930789254</v>
      </c>
      <c r="K144" s="943"/>
      <c r="L144" s="822"/>
      <c r="O144" s="849"/>
    </row>
    <row r="145" spans="1:15">
      <c r="A145" s="1607" t="s">
        <v>253</v>
      </c>
      <c r="B145" s="1608"/>
      <c r="C145" s="1609"/>
      <c r="D145" s="842" t="s">
        <v>132</v>
      </c>
      <c r="E145" s="843"/>
      <c r="F145" s="843"/>
      <c r="G145" s="845">
        <f>G41+G42+G55+G56</f>
        <v>5836.2600000000093</v>
      </c>
      <c r="H145" s="845">
        <f>G145+'23'!H145</f>
        <v>312201.91300000006</v>
      </c>
      <c r="I145" s="864"/>
      <c r="J145" s="847">
        <f>H145/DAY(B2)</f>
        <v>13008.413041666669</v>
      </c>
      <c r="K145" s="943"/>
      <c r="L145" s="822"/>
      <c r="O145" s="849"/>
    </row>
    <row r="146" spans="1:15">
      <c r="A146" s="1607" t="s">
        <v>254</v>
      </c>
      <c r="B146" s="1608"/>
      <c r="C146" s="1609"/>
      <c r="D146" s="842" t="s">
        <v>24</v>
      </c>
      <c r="E146" s="843"/>
      <c r="F146" s="843"/>
      <c r="G146" s="996">
        <f>G145/G7</f>
        <v>0.29233921057904272</v>
      </c>
      <c r="H146" s="845">
        <f>G146+'23'!H146</f>
        <v>7.1273502750865765</v>
      </c>
      <c r="I146" s="997"/>
      <c r="J146" s="847">
        <f>H146/DAY(B2)</f>
        <v>0.29697292812860737</v>
      </c>
      <c r="K146" s="943"/>
      <c r="L146" s="822"/>
      <c r="O146" s="849"/>
    </row>
    <row r="147" spans="1:15">
      <c r="A147" s="1607" t="s">
        <v>255</v>
      </c>
      <c r="B147" s="1608"/>
      <c r="C147" s="1609"/>
      <c r="D147" s="842" t="s">
        <v>132</v>
      </c>
      <c r="E147" s="843"/>
      <c r="F147" s="843"/>
      <c r="G147" s="845">
        <f>G39+G53</f>
        <v>3515.9199999999837</v>
      </c>
      <c r="H147" s="845">
        <f>G147+'23'!H147</f>
        <v>-3219.960000000021</v>
      </c>
      <c r="I147" s="998"/>
      <c r="J147" s="847">
        <f>H147/DAY(B2)</f>
        <v>-134.16500000000087</v>
      </c>
      <c r="K147" s="943"/>
      <c r="L147" s="822"/>
      <c r="O147" s="849"/>
    </row>
    <row r="148" spans="1:15">
      <c r="A148" s="1607" t="s">
        <v>256</v>
      </c>
      <c r="B148" s="1608"/>
      <c r="C148" s="1609"/>
      <c r="D148" s="842" t="s">
        <v>24</v>
      </c>
      <c r="E148" s="843"/>
      <c r="F148" s="843"/>
      <c r="G148" s="996">
        <f>G147/G7</f>
        <v>0.17611300340613023</v>
      </c>
      <c r="H148" s="845">
        <f>G148+'23'!H148</f>
        <v>3.5561950229593444</v>
      </c>
      <c r="I148" s="998"/>
      <c r="J148" s="847">
        <f>H148/DAY(B2)</f>
        <v>0.14817479262330602</v>
      </c>
      <c r="O148" s="849"/>
    </row>
    <row r="149" spans="1:15">
      <c r="A149" s="1607" t="s">
        <v>257</v>
      </c>
      <c r="B149" s="1608"/>
      <c r="C149" s="1609"/>
      <c r="D149" s="842" t="s">
        <v>183</v>
      </c>
      <c r="E149" s="843"/>
      <c r="F149" s="843"/>
      <c r="G149" s="845">
        <f>G38+G52</f>
        <v>1505.5000000000437</v>
      </c>
      <c r="H149" s="845">
        <f>G149+'23'!H149</f>
        <v>-8241.1900000000023</v>
      </c>
      <c r="I149" s="864"/>
      <c r="J149" s="847">
        <f>H149/DAY(B2)</f>
        <v>-343.38291666666674</v>
      </c>
      <c r="K149" s="999"/>
      <c r="O149" s="849"/>
    </row>
    <row r="150" spans="1:15">
      <c r="A150" s="1607" t="s">
        <v>258</v>
      </c>
      <c r="B150" s="1608"/>
      <c r="C150" s="1609"/>
      <c r="D150" s="842" t="s">
        <v>24</v>
      </c>
      <c r="E150" s="843"/>
      <c r="F150" s="843"/>
      <c r="G150" s="996">
        <f>G149/G7</f>
        <v>7.5410739330797616E-2</v>
      </c>
      <c r="H150" s="845">
        <f>G150+'23'!H150</f>
        <v>1.7252341435370793</v>
      </c>
      <c r="I150" s="998"/>
      <c r="J150" s="847">
        <f>H150/DAY(B2)</f>
        <v>7.1884755980711632E-2</v>
      </c>
      <c r="O150" s="849"/>
    </row>
    <row r="151" spans="1:15">
      <c r="A151" s="1607" t="s">
        <v>259</v>
      </c>
      <c r="B151" s="1608"/>
      <c r="C151" s="1609"/>
      <c r="D151" s="842" t="s">
        <v>183</v>
      </c>
      <c r="E151" s="843"/>
      <c r="F151" s="843"/>
      <c r="G151" s="845">
        <f>G36+G50</f>
        <v>1875.9999999999418</v>
      </c>
      <c r="H151" s="845">
        <f>G151+'23'!H151</f>
        <v>-10602.780000000028</v>
      </c>
      <c r="I151" s="998"/>
      <c r="J151" s="847">
        <f>H151/DAY(B2)</f>
        <v>-441.78250000000116</v>
      </c>
      <c r="O151" s="849"/>
    </row>
    <row r="152" spans="1:15">
      <c r="A152" s="1607" t="s">
        <v>260</v>
      </c>
      <c r="B152" s="1608"/>
      <c r="C152" s="1609"/>
      <c r="D152" s="842" t="s">
        <v>24</v>
      </c>
      <c r="E152" s="843"/>
      <c r="F152" s="843"/>
      <c r="G152" s="996">
        <f>G151/G7</f>
        <v>9.3969144460025134E-2</v>
      </c>
      <c r="H152" s="845">
        <f>G152+'23'!H152</f>
        <v>1.70443205558461</v>
      </c>
      <c r="I152" s="864"/>
      <c r="J152" s="847">
        <f>H152/DAY(B2)</f>
        <v>7.1018002316025411E-2</v>
      </c>
      <c r="O152" s="849"/>
    </row>
    <row r="153" spans="1:15">
      <c r="A153" s="1607" t="s">
        <v>261</v>
      </c>
      <c r="B153" s="1608"/>
      <c r="C153" s="1609"/>
      <c r="D153" s="842" t="s">
        <v>183</v>
      </c>
      <c r="E153" s="843"/>
      <c r="F153" s="843"/>
      <c r="G153" s="845">
        <f>G37+G51</f>
        <v>1337.4499999999971</v>
      </c>
      <c r="H153" s="845">
        <f>G153+'23'!H153</f>
        <v>-7621.7900000000081</v>
      </c>
      <c r="I153" s="864"/>
      <c r="J153" s="847">
        <f>H153/DAY(B2)</f>
        <v>-317.57458333333369</v>
      </c>
      <c r="O153" s="849"/>
    </row>
    <row r="154" spans="1:15" ht="21" thickBot="1">
      <c r="A154" s="1610" t="s">
        <v>262</v>
      </c>
      <c r="B154" s="1611"/>
      <c r="C154" s="1612"/>
      <c r="D154" s="1000" t="s">
        <v>24</v>
      </c>
      <c r="E154" s="1001"/>
      <c r="F154" s="1001"/>
      <c r="G154" s="1002">
        <f>G153/G7</f>
        <v>6.699308755760354E-2</v>
      </c>
      <c r="H154" s="845">
        <f>G154+'23'!H154</f>
        <v>1.7577873475924797</v>
      </c>
      <c r="I154" s="1003"/>
      <c r="J154" s="1004">
        <f>H154/DAY(B2)</f>
        <v>7.3241139483019982E-2</v>
      </c>
      <c r="O154" s="849"/>
    </row>
    <row r="155" spans="1:15">
      <c r="A155" s="1005"/>
      <c r="B155" s="1005"/>
      <c r="C155" s="1005"/>
      <c r="D155" s="1005"/>
      <c r="E155" s="1005"/>
      <c r="F155" s="1005"/>
      <c r="G155" s="1005"/>
      <c r="H155" s="1006"/>
      <c r="I155" s="1005"/>
      <c r="J155" s="1007"/>
      <c r="O155" s="849"/>
    </row>
    <row r="161" spans="1:7">
      <c r="A161" s="995" t="s">
        <v>263</v>
      </c>
      <c r="B161" s="995"/>
      <c r="C161" s="995"/>
      <c r="D161" s="829" t="s">
        <v>187</v>
      </c>
      <c r="E161" s="843">
        <f>'23'!F161</f>
        <v>35361.440000000002</v>
      </c>
      <c r="F161" s="1019">
        <v>35445.82</v>
      </c>
      <c r="G161" s="844">
        <f t="shared" ref="G161:G164" si="15">F161-E161</f>
        <v>84.379999999997381</v>
      </c>
    </row>
    <row r="162" spans="1:7" ht="21.75" customHeight="1">
      <c r="A162" s="995" t="s">
        <v>264</v>
      </c>
      <c r="B162" s="995"/>
      <c r="C162" s="995"/>
      <c r="D162" s="829" t="s">
        <v>187</v>
      </c>
      <c r="E162" s="843">
        <f>'23'!F162</f>
        <v>79158.990000000005</v>
      </c>
      <c r="F162" s="1019">
        <v>79592.679999999993</v>
      </c>
      <c r="G162" s="844">
        <f t="shared" si="15"/>
        <v>433.68999999998778</v>
      </c>
    </row>
    <row r="163" spans="1:7" ht="21.75" customHeight="1">
      <c r="A163" s="995" t="s">
        <v>265</v>
      </c>
      <c r="B163" s="995"/>
      <c r="C163" s="995"/>
      <c r="D163" s="829" t="s">
        <v>187</v>
      </c>
      <c r="E163" s="843">
        <f>'23'!F163</f>
        <v>35685.31</v>
      </c>
      <c r="F163" s="1019">
        <v>35993.15</v>
      </c>
      <c r="G163" s="844">
        <f t="shared" si="15"/>
        <v>307.84000000000378</v>
      </c>
    </row>
    <row r="164" spans="1:7" ht="21.75" customHeight="1">
      <c r="A164" s="995" t="s">
        <v>266</v>
      </c>
      <c r="B164" s="995"/>
      <c r="C164" s="995"/>
      <c r="D164" s="829" t="s">
        <v>187</v>
      </c>
      <c r="E164" s="843">
        <f>'23'!F164</f>
        <v>6102.29</v>
      </c>
      <c r="F164" s="1019">
        <v>6121</v>
      </c>
      <c r="G164" s="844">
        <f t="shared" si="15"/>
        <v>18.710000000000036</v>
      </c>
    </row>
    <row r="165" spans="1:7" ht="21.75" customHeight="1">
      <c r="A165" s="925" t="s">
        <v>98</v>
      </c>
      <c r="B165" s="925"/>
      <c r="C165" s="925"/>
      <c r="D165" s="829" t="s">
        <v>187</v>
      </c>
      <c r="E165" s="926">
        <f>E62</f>
        <v>20419</v>
      </c>
      <c r="F165" s="926">
        <f>F62</f>
        <v>20419</v>
      </c>
      <c r="G165" s="844">
        <f t="shared" ref="G165:G172" si="16">F165-E165</f>
        <v>0</v>
      </c>
    </row>
    <row r="166" spans="1:7" ht="21.75" customHeight="1">
      <c r="A166" s="925" t="s">
        <v>188</v>
      </c>
      <c r="B166" s="925"/>
      <c r="C166" s="925"/>
      <c r="D166" s="829" t="s">
        <v>187</v>
      </c>
      <c r="E166" s="926">
        <f t="shared" ref="E166:E172" si="17">E63</f>
        <v>2322</v>
      </c>
      <c r="F166" s="926">
        <f t="shared" ref="F166:F172" si="18">F63</f>
        <v>2327.1959000000002</v>
      </c>
      <c r="G166" s="844">
        <f t="shared" si="16"/>
        <v>5.1959000000001652</v>
      </c>
    </row>
    <row r="167" spans="1:7" ht="21.75" customHeight="1">
      <c r="A167" s="1583" t="s">
        <v>99</v>
      </c>
      <c r="B167" s="1583"/>
      <c r="C167" s="1583"/>
      <c r="D167" s="842" t="s">
        <v>187</v>
      </c>
      <c r="E167" s="926">
        <f t="shared" si="17"/>
        <v>150314.51999999999</v>
      </c>
      <c r="F167" s="926">
        <f t="shared" si="18"/>
        <v>150822.72</v>
      </c>
      <c r="G167" s="844">
        <f t="shared" si="16"/>
        <v>508.20000000001164</v>
      </c>
    </row>
    <row r="168" spans="1:7" ht="21.75" customHeight="1">
      <c r="A168" s="1583" t="s">
        <v>100</v>
      </c>
      <c r="B168" s="1583"/>
      <c r="C168" s="1583"/>
      <c r="D168" s="842" t="s">
        <v>187</v>
      </c>
      <c r="E168" s="926">
        <f t="shared" si="17"/>
        <v>152510.07</v>
      </c>
      <c r="F168" s="926">
        <f t="shared" si="18"/>
        <v>152863.67000000001</v>
      </c>
      <c r="G168" s="844">
        <f t="shared" si="16"/>
        <v>353.60000000000582</v>
      </c>
    </row>
    <row r="169" spans="1:7" ht="21.75" customHeight="1">
      <c r="A169" s="1583" t="s">
        <v>101</v>
      </c>
      <c r="B169" s="1583"/>
      <c r="C169" s="1583"/>
      <c r="D169" s="842" t="s">
        <v>187</v>
      </c>
      <c r="E169" s="926">
        <f t="shared" si="17"/>
        <v>46186.53</v>
      </c>
      <c r="F169" s="926">
        <f t="shared" si="18"/>
        <v>46586.239999999998</v>
      </c>
      <c r="G169" s="844">
        <f t="shared" si="16"/>
        <v>399.70999999999913</v>
      </c>
    </row>
    <row r="170" spans="1:7">
      <c r="A170" s="1583" t="s">
        <v>102</v>
      </c>
      <c r="B170" s="1583"/>
      <c r="C170" s="1583"/>
      <c r="D170" s="842" t="s">
        <v>187</v>
      </c>
      <c r="E170" s="926">
        <f t="shared" si="17"/>
        <v>240763.33</v>
      </c>
      <c r="F170" s="926">
        <f t="shared" si="18"/>
        <v>241200.61</v>
      </c>
      <c r="G170" s="844">
        <f t="shared" si="16"/>
        <v>437.27999999999884</v>
      </c>
    </row>
    <row r="171" spans="1:7" ht="24" customHeight="1">
      <c r="A171" s="1583" t="s">
        <v>103</v>
      </c>
      <c r="B171" s="1583"/>
      <c r="C171" s="1583"/>
      <c r="D171" s="842" t="s">
        <v>187</v>
      </c>
      <c r="E171" s="926">
        <f t="shared" si="17"/>
        <v>85321</v>
      </c>
      <c r="F171" s="926">
        <f t="shared" si="18"/>
        <v>85321</v>
      </c>
      <c r="G171" s="844">
        <f t="shared" si="16"/>
        <v>0</v>
      </c>
    </row>
    <row r="172" spans="1:7">
      <c r="A172" s="1583" t="s">
        <v>104</v>
      </c>
      <c r="B172" s="1583"/>
      <c r="C172" s="1583"/>
      <c r="D172" s="842" t="s">
        <v>187</v>
      </c>
      <c r="E172" s="926">
        <f t="shared" si="17"/>
        <v>78426.3</v>
      </c>
      <c r="F172" s="926">
        <f t="shared" si="18"/>
        <v>78476.800000000003</v>
      </c>
      <c r="G172" s="844">
        <f t="shared" si="16"/>
        <v>50.5</v>
      </c>
    </row>
    <row r="173" spans="1:7">
      <c r="G173" s="1010">
        <f>SUM(G161:G172)</f>
        <v>2599.1059000000046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34" zoomScale="70" zoomScaleNormal="49" zoomScaleSheetLayoutView="70" workbookViewId="0">
      <selection activeCell="F28" activeCellId="1" sqref="F28 F2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634" t="s">
        <v>117</v>
      </c>
      <c r="B1" s="1635"/>
      <c r="C1" s="1635"/>
      <c r="D1" s="1635"/>
      <c r="E1" s="1635"/>
      <c r="F1" s="1635"/>
      <c r="G1" s="1635"/>
      <c r="H1" s="1635"/>
      <c r="I1" s="1635"/>
      <c r="J1" s="1636"/>
    </row>
    <row r="2" spans="1:15">
      <c r="A2" s="810" t="s">
        <v>275</v>
      </c>
      <c r="B2" s="1081">
        <v>43946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637" t="s">
        <v>121</v>
      </c>
      <c r="F3" s="163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631" t="s">
        <v>130</v>
      </c>
      <c r="B6" s="1632"/>
      <c r="C6" s="163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5613933</v>
      </c>
      <c r="F7" s="843">
        <v>5636229</v>
      </c>
      <c r="G7" s="844">
        <f>F7-E7</f>
        <v>22296</v>
      </c>
      <c r="H7" s="845">
        <f>G7+'24'!H7</f>
        <v>5791252</v>
      </c>
      <c r="I7" s="846">
        <f>'1'!I7</f>
        <v>12000</v>
      </c>
      <c r="J7" s="847">
        <f>H7/DAY(B2)</f>
        <v>231650.08</v>
      </c>
      <c r="K7" s="848"/>
      <c r="L7" s="822"/>
      <c r="N7" s="1022">
        <f>G7/G8</f>
        <v>0.99580169718624389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5647231</v>
      </c>
      <c r="F8" s="854">
        <v>5669621</v>
      </c>
      <c r="G8" s="855">
        <f>F8-E8</f>
        <v>22390</v>
      </c>
      <c r="H8" s="845">
        <f>G8+'24'!H8</f>
        <v>5825380</v>
      </c>
      <c r="I8" s="856">
        <f>'1'!I8</f>
        <v>12000</v>
      </c>
      <c r="J8" s="847">
        <f>H8/DAY(B2)</f>
        <v>233015.2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880786.95</v>
      </c>
      <c r="F9" s="861">
        <v>902394.95</v>
      </c>
      <c r="G9" s="844">
        <f t="shared" ref="G9:G12" si="0">F9-E9</f>
        <v>21608</v>
      </c>
      <c r="H9" s="845">
        <f>G9+'24'!H9</f>
        <v>-88319.050000000047</v>
      </c>
      <c r="I9" s="862">
        <f>I8-J8</f>
        <v>-221015.2</v>
      </c>
      <c r="J9" s="847">
        <f>H9/DAY(B2)</f>
        <v>-3532.762000000002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'24'!F10</f>
        <v>2322.58</v>
      </c>
      <c r="F10" s="861">
        <v>2322.58</v>
      </c>
      <c r="G10" s="844">
        <f t="shared" si="0"/>
        <v>0</v>
      </c>
      <c r="H10" s="845">
        <f>G10+'24'!H10</f>
        <v>0</v>
      </c>
      <c r="I10" s="864"/>
      <c r="J10" s="847">
        <f>H10/DAY(B2)</f>
        <v>0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22202.394640464492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21608</v>
      </c>
      <c r="H13" s="845">
        <f>G13+'24'!H13</f>
        <v>-102840.05000000005</v>
      </c>
      <c r="I13" s="868">
        <f>G7-G13</f>
        <v>688</v>
      </c>
      <c r="J13" s="847">
        <f>H13/DAY(B2)</f>
        <v>-4113.6020000000017</v>
      </c>
      <c r="K13" s="863"/>
      <c r="L13" s="822">
        <f>L10-H7</f>
        <v>-5499258</v>
      </c>
      <c r="O13" s="849"/>
    </row>
    <row r="14" spans="1:15">
      <c r="A14" s="1625" t="s">
        <v>139</v>
      </c>
      <c r="B14" s="1626"/>
      <c r="C14" s="1627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1667060.6680000001</v>
      </c>
      <c r="F15" s="938">
        <v>1667759.5419999999</v>
      </c>
      <c r="G15" s="1020">
        <f>(F15-E15)</f>
        <v>698.87399999983609</v>
      </c>
      <c r="H15" s="845">
        <f>G15+'24'!H15</f>
        <v>-2897.4580000001006</v>
      </c>
      <c r="I15" s="846">
        <f>'1'!I15</f>
        <v>800</v>
      </c>
      <c r="J15" s="847">
        <f>H15/DAY(B2)</f>
        <v>-115.89832000000402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915.89832000000399</v>
      </c>
      <c r="J16" s="880"/>
      <c r="K16" s="863"/>
      <c r="L16" s="822"/>
      <c r="O16" s="849">
        <f>580-990</f>
        <v>-410</v>
      </c>
    </row>
    <row r="17" spans="1:15">
      <c r="A17" s="1625" t="s">
        <v>142</v>
      </c>
      <c r="B17" s="1626"/>
      <c r="C17" s="1627"/>
      <c r="D17" s="837"/>
      <c r="E17" s="837"/>
      <c r="F17" s="837"/>
      <c r="G17" s="881"/>
      <c r="H17" s="837"/>
      <c r="I17" s="837"/>
      <c r="J17" s="838"/>
      <c r="K17" s="863"/>
      <c r="L17" s="822"/>
      <c r="O17" s="1385">
        <f>O16*3</f>
        <v>-1230</v>
      </c>
    </row>
    <row r="18" spans="1:15">
      <c r="A18" s="1607" t="s">
        <v>143</v>
      </c>
      <c r="B18" s="1608"/>
      <c r="C18" s="1609"/>
      <c r="D18" s="842" t="s">
        <v>144</v>
      </c>
      <c r="E18" s="843">
        <f>'24'!F18</f>
        <v>10</v>
      </c>
      <c r="F18" s="873">
        <v>8</v>
      </c>
      <c r="G18" s="867">
        <f>F18*10</f>
        <v>80</v>
      </c>
      <c r="H18" s="845">
        <f>G18+'24'!H18</f>
        <v>1260</v>
      </c>
      <c r="I18" s="846">
        <f>'1'!I18</f>
        <v>65</v>
      </c>
      <c r="J18" s="847">
        <f>H18/DAY(B2)</f>
        <v>50.4</v>
      </c>
      <c r="K18" s="863"/>
      <c r="L18" s="822"/>
      <c r="O18" s="849"/>
    </row>
    <row r="19" spans="1:15">
      <c r="A19" s="1607" t="s">
        <v>71</v>
      </c>
      <c r="B19" s="1608"/>
      <c r="C19" s="1609"/>
      <c r="D19" s="842" t="s">
        <v>144</v>
      </c>
      <c r="E19" s="843">
        <f>'24'!F19</f>
        <v>137483</v>
      </c>
      <c r="F19" s="873">
        <v>137536</v>
      </c>
      <c r="G19" s="844">
        <f t="shared" ref="G19" si="1">F19-E19</f>
        <v>53</v>
      </c>
      <c r="H19" s="845">
        <f>G19+'24'!H19</f>
        <v>-276</v>
      </c>
      <c r="I19" s="882"/>
      <c r="J19" s="847">
        <f>H19/DAY(B2)</f>
        <v>-11.04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133</v>
      </c>
      <c r="H20" s="845">
        <f>G20+'24'!H20</f>
        <v>1020</v>
      </c>
      <c r="I20" s="885">
        <f>I18-J20</f>
        <v>24.200000000000003</v>
      </c>
      <c r="J20" s="847">
        <f>H20/DAY(B2)</f>
        <v>40.799999999999997</v>
      </c>
      <c r="K20" s="863"/>
      <c r="L20" s="822"/>
      <c r="O20" s="849"/>
    </row>
    <row r="21" spans="1:15">
      <c r="A21" s="1625" t="s">
        <v>146</v>
      </c>
      <c r="B21" s="1626"/>
      <c r="C21" s="1627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1">
        <f>'24'!G22</f>
        <v>1290</v>
      </c>
      <c r="F22" s="1382">
        <v>1290</v>
      </c>
      <c r="G22" s="1383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631" t="s">
        <v>151</v>
      </c>
      <c r="B25" s="1632"/>
      <c r="C25" s="163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22390</v>
      </c>
      <c r="F27" s="501">
        <v>9</v>
      </c>
      <c r="G27" s="905">
        <f>E27*F27</f>
        <v>201510</v>
      </c>
      <c r="H27" s="845">
        <f>G27+'24'!H27</f>
        <v>52428420</v>
      </c>
      <c r="I27" s="906"/>
      <c r="J27" s="847">
        <f>H27/DAY(B2)</f>
        <v>2097136.8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698.87399999983609</v>
      </c>
      <c r="F28" s="501">
        <v>49</v>
      </c>
      <c r="G28" s="905">
        <f>E28*F28</f>
        <v>34244.825999991968</v>
      </c>
      <c r="H28" s="845">
        <f>G28+'24'!H28</f>
        <v>-139189.79200000491</v>
      </c>
      <c r="I28" s="907"/>
      <c r="J28" s="847">
        <f>H28/DAY(B2)</f>
        <v>-5567.591680000196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G30+'24'!H30</f>
        <v>-36984</v>
      </c>
      <c r="I30" s="907"/>
      <c r="J30" s="847">
        <f>H30/DAY(B2)</f>
        <v>-1479.36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G31+'24'!H31</f>
        <v>100800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249256.82599999197</v>
      </c>
      <c r="H32" s="845">
        <f>G32+'24'!H32</f>
        <v>52442056.207999989</v>
      </c>
      <c r="I32" s="913"/>
      <c r="J32" s="847">
        <f>H32/DAY(B2)</f>
        <v>2097682.2483199998</v>
      </c>
      <c r="K32" s="863"/>
      <c r="L32" s="893"/>
      <c r="N32" s="1012"/>
      <c r="O32" s="849">
        <f>340*3</f>
        <v>1020</v>
      </c>
    </row>
    <row r="33" spans="1:15" ht="18.75">
      <c r="A33" s="1628" t="s">
        <v>162</v>
      </c>
      <c r="B33" s="1629"/>
      <c r="C33" s="1629"/>
      <c r="D33" s="1629"/>
      <c r="E33" s="1629"/>
      <c r="F33" s="1629"/>
      <c r="G33" s="1629"/>
      <c r="H33" s="1629"/>
      <c r="I33" s="1629"/>
      <c r="J33" s="1630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871033.75</v>
      </c>
      <c r="F35" s="916">
        <v>874087</v>
      </c>
      <c r="G35" s="844">
        <f t="shared" ref="G35:G46" si="3">F35-E35</f>
        <v>3053.25</v>
      </c>
      <c r="H35" s="845">
        <f>G35+'24'!H35</f>
        <v>-12372</v>
      </c>
      <c r="I35" s="843"/>
      <c r="J35" s="847">
        <f>H35/DAY(B2)</f>
        <v>-494.88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340886.35</v>
      </c>
      <c r="F36" s="916">
        <v>341901.27</v>
      </c>
      <c r="G36" s="844">
        <f t="shared" si="3"/>
        <v>1014.9200000000419</v>
      </c>
      <c r="H36" s="845">
        <f>G36+'24'!H36</f>
        <v>-2706.7299999999814</v>
      </c>
      <c r="I36" s="843"/>
      <c r="J36" s="847">
        <f>H36/DAY(B2)</f>
        <v>-108.26919999999926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87603.34</v>
      </c>
      <c r="F37" s="916">
        <v>88949.67</v>
      </c>
      <c r="G37" s="844">
        <f t="shared" si="3"/>
        <v>1346.3300000000017</v>
      </c>
      <c r="H37" s="845">
        <f>G37+'24'!H37</f>
        <v>-6275.3300000000017</v>
      </c>
      <c r="I37" s="843"/>
      <c r="J37" s="847">
        <f>H37/DAY(B2)</f>
        <v>-251.01320000000007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111354.81</v>
      </c>
      <c r="F38" s="832">
        <v>112810.42</v>
      </c>
      <c r="G38" s="844">
        <f t="shared" si="3"/>
        <v>1455.6100000000006</v>
      </c>
      <c r="H38" s="845">
        <f>G38+'24'!H38</f>
        <v>-6785.5800000000017</v>
      </c>
      <c r="I38" s="843"/>
      <c r="J38" s="847">
        <f>H38/DAY(B2)</f>
        <v>-271.42320000000007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230931.05</v>
      </c>
      <c r="F39" s="916">
        <v>233993.75</v>
      </c>
      <c r="G39" s="844">
        <f t="shared" si="3"/>
        <v>3062.7000000000116</v>
      </c>
      <c r="H39" s="845">
        <f>G39+'24'!H39</f>
        <v>-12659.25</v>
      </c>
      <c r="I39" s="843"/>
      <c r="J39" s="847">
        <f>H39/DAY(B2)</f>
        <v>-506.37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-1.8179902028236938E-14</v>
      </c>
      <c r="I40" s="843"/>
      <c r="J40" s="847">
        <f>H40/DAY(B2)</f>
        <v>-7.2719608112947751E-16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161910.42000000001</v>
      </c>
      <c r="F41" s="916">
        <v>164737.54999999999</v>
      </c>
      <c r="G41" s="844">
        <f t="shared" si="3"/>
        <v>2827.1299999999756</v>
      </c>
      <c r="H41" s="845">
        <f>G41+'24'!H41</f>
        <v>-16790.450000000012</v>
      </c>
      <c r="I41" s="843"/>
      <c r="J41" s="847">
        <f>H41/DAY(B2)</f>
        <v>-671.61800000000051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59128.163</v>
      </c>
      <c r="F42" s="916">
        <v>59128.163</v>
      </c>
      <c r="G42" s="844">
        <f t="shared" si="3"/>
        <v>0</v>
      </c>
      <c r="H42" s="845">
        <f>G42+'24'!H42</f>
        <v>-71.836999999999534</v>
      </c>
      <c r="I42" s="843"/>
      <c r="J42" s="847">
        <f>H42/DAY(B2)</f>
        <v>-2.8734799999999812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959497.85</v>
      </c>
      <c r="F43" s="916">
        <v>962093.07</v>
      </c>
      <c r="G43" s="844">
        <f t="shared" si="3"/>
        <v>2595.2199999999721</v>
      </c>
      <c r="H43" s="845">
        <f>G43+'24'!H43</f>
        <v>-11864.930000000051</v>
      </c>
      <c r="I43" s="843"/>
      <c r="J43" s="847">
        <f>H43/DAY(B2)</f>
        <v>-474.59720000000203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186.95</v>
      </c>
      <c r="I46" s="843"/>
      <c r="J46" s="847">
        <f>H46/DAY(B2)</f>
        <v>7.4779999999999998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15355.160000000003</v>
      </c>
      <c r="H47" s="845">
        <f>G47+'24'!H47</f>
        <v>-68724.66700000003</v>
      </c>
      <c r="I47" s="843"/>
      <c r="J47" s="847">
        <f>H47/DAY(B2)</f>
        <v>-2748.9866800000013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1470">
        <f>'24'!F49</f>
        <v>260732</v>
      </c>
      <c r="F49" s="1471">
        <v>260732.13</v>
      </c>
      <c r="G49" s="1020">
        <f t="shared" ref="G49:G58" si="4">F49-E49</f>
        <v>0.13000000000465661</v>
      </c>
      <c r="H49" s="845">
        <f>G49+'24'!H49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467654.87</v>
      </c>
      <c r="F50" s="916">
        <v>469023.11</v>
      </c>
      <c r="G50" s="844">
        <f t="shared" si="4"/>
        <v>1368.2399999999907</v>
      </c>
      <c r="H50" s="845">
        <f>G50+'24'!H50</f>
        <v>-6451.890000000014</v>
      </c>
      <c r="I50" s="843"/>
      <c r="J50" s="847">
        <f>H50/DAY(B2)</f>
        <v>-258.07560000000058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144639.87</v>
      </c>
      <c r="F51" s="916">
        <v>144639.87</v>
      </c>
      <c r="G51" s="844">
        <f t="shared" si="4"/>
        <v>0</v>
      </c>
      <c r="H51" s="845">
        <f>G51+'24'!H51</f>
        <v>-0.13000000000465661</v>
      </c>
      <c r="I51" s="843"/>
      <c r="J51" s="847">
        <f>H51/DAY(B2)</f>
        <v>-5.2000000001862648E-3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412867.99</v>
      </c>
      <c r="F53" s="916">
        <v>413435.81</v>
      </c>
      <c r="G53" s="844">
        <f t="shared" si="4"/>
        <v>567.82000000000698</v>
      </c>
      <c r="H53" s="845">
        <f>G53+'24'!H53</f>
        <v>12546.809999999998</v>
      </c>
      <c r="I53" s="843"/>
      <c r="J53" s="847">
        <f>H53/DAY(B2)</f>
        <v>501.87239999999991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10937.606</v>
      </c>
      <c r="F54" s="916">
        <v>11007.63</v>
      </c>
      <c r="G54" s="844">
        <f t="shared" si="4"/>
        <v>70.023999999999432</v>
      </c>
      <c r="H54" s="845">
        <f>G54+'24'!H54</f>
        <v>3245.6299999999992</v>
      </c>
      <c r="I54" s="843"/>
      <c r="J54" s="847">
        <f>H54/DAY(B2)</f>
        <v>129.82519999999997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331982.77</v>
      </c>
      <c r="F55" s="916">
        <v>336375.99</v>
      </c>
      <c r="G55" s="844">
        <f t="shared" si="4"/>
        <v>4393.2199999999721</v>
      </c>
      <c r="H55" s="845">
        <f>G55+'24'!H55</f>
        <v>336375.99</v>
      </c>
      <c r="I55" s="843"/>
      <c r="J55" s="847">
        <f>H55/DAY(B2)</f>
        <v>13455.0396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589197.03</v>
      </c>
      <c r="F56" s="1471">
        <v>589206.43000000005</v>
      </c>
      <c r="G56" s="844">
        <f t="shared" si="4"/>
        <v>9.4000000000232831</v>
      </c>
      <c r="H56" s="845">
        <f>G56+'24'!H56</f>
        <v>-81.929999999934807</v>
      </c>
      <c r="I56" s="843"/>
      <c r="J56" s="847">
        <f>H56/DAY(B2)</f>
        <v>-3.2771999999973924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45903.750999999997</v>
      </c>
      <c r="F58" s="916">
        <v>46057.65</v>
      </c>
      <c r="G58" s="844">
        <f t="shared" si="4"/>
        <v>153.89900000000489</v>
      </c>
      <c r="H58" s="845">
        <f>G58+'24'!H58</f>
        <v>-659.34999999999854</v>
      </c>
      <c r="I58" s="843"/>
      <c r="J58" s="847">
        <f>H58/DAY(B2)</f>
        <v>-26.373999999999942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6562.8029999999508</v>
      </c>
      <c r="H59" s="845">
        <f>G59+'24'!H59</f>
        <v>344975.2</v>
      </c>
      <c r="I59" s="843">
        <f>G7-G60</f>
        <v>378.03700000004756</v>
      </c>
      <c r="J59" s="847">
        <f>H59/DAY(B2)</f>
        <v>13799.008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21917.962999999952</v>
      </c>
      <c r="H60" s="845">
        <f>G60+'24'!H60</f>
        <v>277834.42300000001</v>
      </c>
      <c r="I60" s="843">
        <f>G13-G60</f>
        <v>-309.96299999995244</v>
      </c>
      <c r="J60" s="847">
        <f>H60/DAY(B2)</f>
        <v>11113.376920000001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0.18199999999706051</v>
      </c>
      <c r="I62" s="927"/>
      <c r="J62" s="847">
        <f>H62/DAY(B2)</f>
        <v>7.2799999998824205E-3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2327.1959000000002</v>
      </c>
      <c r="F63" s="926">
        <v>2333.34</v>
      </c>
      <c r="G63" s="844">
        <f t="shared" si="5"/>
        <v>6.1440999999999804</v>
      </c>
      <c r="H63" s="845">
        <f>G63+'24'!H63</f>
        <v>-25.659999999999854</v>
      </c>
      <c r="I63" s="927"/>
      <c r="J63" s="847">
        <f>H63/DAY(B2)</f>
        <v>-1.0263999999999942</v>
      </c>
      <c r="K63" s="863"/>
      <c r="L63" s="822"/>
      <c r="O63" s="849"/>
    </row>
    <row r="64" spans="1:15">
      <c r="A64" s="1613" t="s">
        <v>99</v>
      </c>
      <c r="B64" s="1614"/>
      <c r="C64" s="1615"/>
      <c r="D64" s="842" t="s">
        <v>187</v>
      </c>
      <c r="E64" s="843">
        <f>'24'!F64</f>
        <v>150822.72</v>
      </c>
      <c r="F64" s="873">
        <v>151332.69</v>
      </c>
      <c r="G64" s="844">
        <f t="shared" si="5"/>
        <v>509.97000000000116</v>
      </c>
      <c r="H64" s="845">
        <f>G64+'24'!H64</f>
        <v>-1966.3099999999977</v>
      </c>
      <c r="I64" s="864"/>
      <c r="J64" s="847">
        <f>H64/DAY(B2)</f>
        <v>-78.652399999999901</v>
      </c>
      <c r="K64" s="863"/>
      <c r="L64" s="822"/>
      <c r="O64" s="849"/>
    </row>
    <row r="65" spans="1:15">
      <c r="A65" s="1613" t="s">
        <v>100</v>
      </c>
      <c r="B65" s="1614"/>
      <c r="C65" s="1615"/>
      <c r="D65" s="842" t="s">
        <v>187</v>
      </c>
      <c r="E65" s="843">
        <f>'24'!F65</f>
        <v>152863.67000000001</v>
      </c>
      <c r="F65" s="873">
        <v>153226.18</v>
      </c>
      <c r="G65" s="844">
        <f t="shared" si="5"/>
        <v>362.50999999998021</v>
      </c>
      <c r="H65" s="845">
        <f>G65+'24'!H65</f>
        <v>-1372.820000000007</v>
      </c>
      <c r="I65" s="882"/>
      <c r="J65" s="847">
        <f>H65/DAY(B2)</f>
        <v>-54.912800000000281</v>
      </c>
      <c r="K65" s="863"/>
      <c r="L65" s="822"/>
      <c r="O65" s="849"/>
    </row>
    <row r="66" spans="1:15">
      <c r="A66" s="1613" t="s">
        <v>101</v>
      </c>
      <c r="B66" s="1614"/>
      <c r="C66" s="1615"/>
      <c r="D66" s="842" t="s">
        <v>187</v>
      </c>
      <c r="E66" s="843">
        <f>'24'!F66</f>
        <v>46586.239999999998</v>
      </c>
      <c r="F66" s="873">
        <v>46974.400000000001</v>
      </c>
      <c r="G66" s="844">
        <f t="shared" si="5"/>
        <v>388.16000000000349</v>
      </c>
      <c r="H66" s="845">
        <f>G66+'24'!H66</f>
        <v>-1596.5999999999985</v>
      </c>
      <c r="I66" s="864"/>
      <c r="J66" s="847">
        <f>H66/DAY(B2)</f>
        <v>-63.86399999999994</v>
      </c>
      <c r="K66" s="863"/>
      <c r="L66" s="822"/>
      <c r="O66" s="849"/>
    </row>
    <row r="67" spans="1:15">
      <c r="A67" s="1613" t="s">
        <v>102</v>
      </c>
      <c r="B67" s="1614"/>
      <c r="C67" s="1615"/>
      <c r="D67" s="842" t="s">
        <v>187</v>
      </c>
      <c r="E67" s="843">
        <f>'24'!F67</f>
        <v>241200.61</v>
      </c>
      <c r="F67" s="873">
        <v>241583.11</v>
      </c>
      <c r="G67" s="844">
        <f t="shared" si="5"/>
        <v>382.5</v>
      </c>
      <c r="H67" s="845">
        <f>G67+'24'!H67</f>
        <v>-1590.890000000014</v>
      </c>
      <c r="I67" s="882"/>
      <c r="J67" s="847">
        <f>H67/DAY(B2)</f>
        <v>-63.635600000000558</v>
      </c>
      <c r="K67" s="870"/>
      <c r="L67" s="822"/>
      <c r="O67" s="849"/>
    </row>
    <row r="68" spans="1:15">
      <c r="A68" s="1613" t="s">
        <v>103</v>
      </c>
      <c r="B68" s="1614"/>
      <c r="C68" s="1615"/>
      <c r="D68" s="842" t="s">
        <v>187</v>
      </c>
      <c r="E68" s="843">
        <f>'24'!F68</f>
        <v>85321</v>
      </c>
      <c r="F68" s="873">
        <v>85321</v>
      </c>
      <c r="G68" s="844">
        <f t="shared" si="5"/>
        <v>0</v>
      </c>
      <c r="H68" s="845">
        <f>G68+'24'!H68</f>
        <v>0</v>
      </c>
      <c r="I68" s="928"/>
      <c r="J68" s="847">
        <f>H68/DAY(B2)</f>
        <v>0</v>
      </c>
      <c r="K68" s="929"/>
      <c r="L68" s="822"/>
      <c r="O68" s="849"/>
    </row>
    <row r="69" spans="1:15">
      <c r="A69" s="1613" t="s">
        <v>104</v>
      </c>
      <c r="B69" s="1614"/>
      <c r="C69" s="1615"/>
      <c r="D69" s="842" t="s">
        <v>187</v>
      </c>
      <c r="E69" s="843">
        <f>'24'!F69</f>
        <v>78476.800000000003</v>
      </c>
      <c r="F69" s="873">
        <v>78609.8</v>
      </c>
      <c r="G69" s="844">
        <f t="shared" si="5"/>
        <v>133</v>
      </c>
      <c r="H69" s="845">
        <f>G69+'24'!H69</f>
        <v>-384.19999999999709</v>
      </c>
      <c r="I69" s="928"/>
      <c r="J69" s="847">
        <f>H69/DAY(B2)</f>
        <v>-15.367999999999883</v>
      </c>
      <c r="K69" s="930"/>
      <c r="L69" s="822"/>
      <c r="O69" s="849"/>
    </row>
    <row r="70" spans="1:15">
      <c r="A70" s="1622" t="s">
        <v>189</v>
      </c>
      <c r="B70" s="1623"/>
      <c r="C70" s="162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19" t="s">
        <v>190</v>
      </c>
      <c r="B71" s="1620"/>
      <c r="C71" s="1620"/>
      <c r="D71" s="1620"/>
      <c r="E71" s="1620"/>
      <c r="F71" s="1620"/>
      <c r="G71" s="1620"/>
      <c r="H71" s="1620"/>
      <c r="I71" s="1620"/>
      <c r="J71" s="1621"/>
      <c r="K71" s="929"/>
      <c r="L71" s="822"/>
      <c r="O71" s="849"/>
    </row>
    <row r="72" spans="1:15">
      <c r="A72" s="1613" t="s">
        <v>191</v>
      </c>
      <c r="B72" s="1614"/>
      <c r="C72" s="1615"/>
      <c r="D72" s="842" t="s">
        <v>187</v>
      </c>
      <c r="E72" s="843">
        <f>'24'!F72</f>
        <v>855182</v>
      </c>
      <c r="F72" s="934">
        <v>855240</v>
      </c>
      <c r="G72" s="844">
        <f t="shared" ref="G72:G84" si="6">F72-E72</f>
        <v>58</v>
      </c>
      <c r="H72" s="845">
        <f>G72+'24'!H72</f>
        <v>-232</v>
      </c>
      <c r="I72" s="864"/>
      <c r="J72" s="847">
        <f>H72/DAY(B2)</f>
        <v>-9.2799999999999994</v>
      </c>
      <c r="K72" s="930"/>
      <c r="L72" s="822"/>
      <c r="O72" s="849"/>
    </row>
    <row r="73" spans="1:15">
      <c r="A73" s="1613" t="s">
        <v>192</v>
      </c>
      <c r="B73" s="1614"/>
      <c r="C73" s="1615"/>
      <c r="D73" s="842" t="s">
        <v>187</v>
      </c>
      <c r="E73" s="843">
        <f>'24'!F73</f>
        <v>885837</v>
      </c>
      <c r="F73" s="935">
        <v>885866</v>
      </c>
      <c r="G73" s="844">
        <f t="shared" si="6"/>
        <v>29</v>
      </c>
      <c r="H73" s="845">
        <f>G73+'24'!H73</f>
        <v>170</v>
      </c>
      <c r="I73" s="864"/>
      <c r="J73" s="847">
        <f>H73/DAY(B2)</f>
        <v>6.8</v>
      </c>
      <c r="K73" s="929"/>
      <c r="L73" s="822"/>
      <c r="O73" s="849"/>
    </row>
    <row r="74" spans="1:15">
      <c r="A74" s="1613" t="s">
        <v>193</v>
      </c>
      <c r="B74" s="1614"/>
      <c r="C74" s="1615"/>
      <c r="D74" s="842" t="s">
        <v>187</v>
      </c>
      <c r="E74" s="843">
        <f>'24'!F74</f>
        <v>2090.56</v>
      </c>
      <c r="F74" s="936">
        <v>2124.8000000000002</v>
      </c>
      <c r="G74" s="844">
        <f t="shared" si="6"/>
        <v>34.240000000000236</v>
      </c>
      <c r="H74" s="845">
        <f>G74+'24'!H74</f>
        <v>-154.19999999999982</v>
      </c>
      <c r="I74" s="864"/>
      <c r="J74" s="847">
        <f>H74/DAY(B2)</f>
        <v>-6.167999999999993</v>
      </c>
      <c r="K74" s="930"/>
      <c r="L74" s="822"/>
      <c r="O74" s="849"/>
    </row>
    <row r="75" spans="1:15">
      <c r="A75" s="1616" t="s">
        <v>194</v>
      </c>
      <c r="B75" s="1617"/>
      <c r="C75" s="1618"/>
      <c r="D75" s="842" t="s">
        <v>187</v>
      </c>
      <c r="E75" s="843">
        <f>'24'!F75</f>
        <v>10621.99</v>
      </c>
      <c r="F75" s="936">
        <v>10686.62</v>
      </c>
      <c r="G75" s="844">
        <f t="shared" si="6"/>
        <v>64.630000000001019</v>
      </c>
      <c r="H75" s="845">
        <f>G75+'24'!H75</f>
        <v>-283.3799999999992</v>
      </c>
      <c r="I75" s="864"/>
      <c r="J75" s="847">
        <f>H75/DAY(B2)</f>
        <v>-11.335199999999968</v>
      </c>
      <c r="K75" s="929"/>
      <c r="L75" s="822"/>
      <c r="O75" s="849"/>
    </row>
    <row r="76" spans="1:15">
      <c r="A76" s="1616" t="s">
        <v>195</v>
      </c>
      <c r="B76" s="1617"/>
      <c r="C76" s="1618"/>
      <c r="D76" s="842" t="s">
        <v>187</v>
      </c>
      <c r="E76" s="843">
        <f>'24'!F76</f>
        <v>5435</v>
      </c>
      <c r="F76" s="935">
        <v>5466.88</v>
      </c>
      <c r="G76" s="844">
        <f t="shared" si="6"/>
        <v>31.880000000000109</v>
      </c>
      <c r="H76" s="845">
        <f>G76+'24'!H76</f>
        <v>-250.07000000000062</v>
      </c>
      <c r="I76" s="907"/>
      <c r="J76" s="847">
        <f>H76/DAY(B2)</f>
        <v>-10.002800000000025</v>
      </c>
      <c r="K76" s="929"/>
      <c r="L76" s="822"/>
      <c r="O76" s="849"/>
    </row>
    <row r="77" spans="1:15">
      <c r="A77" s="1613" t="s">
        <v>196</v>
      </c>
      <c r="B77" s="1614"/>
      <c r="C77" s="1615"/>
      <c r="D77" s="842" t="s">
        <v>187</v>
      </c>
      <c r="E77" s="843">
        <f>'24'!F77</f>
        <v>701287</v>
      </c>
      <c r="F77" s="935">
        <v>701332</v>
      </c>
      <c r="G77" s="844">
        <f t="shared" si="6"/>
        <v>45</v>
      </c>
      <c r="H77" s="845">
        <f>G77+'24'!H77</f>
        <v>-230</v>
      </c>
      <c r="I77" s="907"/>
      <c r="J77" s="847">
        <f>H77/DAY(B2)</f>
        <v>-9.1999999999999993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'24'!F78</f>
        <v>669539</v>
      </c>
      <c r="F78" s="936">
        <v>669581</v>
      </c>
      <c r="G78" s="844">
        <f t="shared" si="6"/>
        <v>42</v>
      </c>
      <c r="H78" s="845">
        <f>G78+'24'!H78</f>
        <v>-444</v>
      </c>
      <c r="I78" s="907"/>
      <c r="J78" s="847">
        <f>H78/DAY(B2)</f>
        <v>-17.760000000000002</v>
      </c>
      <c r="K78" s="929"/>
      <c r="L78" s="822"/>
      <c r="O78" s="849"/>
    </row>
    <row r="79" spans="1:15">
      <c r="A79" s="1616" t="s">
        <v>92</v>
      </c>
      <c r="B79" s="1617"/>
      <c r="C79" s="1618"/>
      <c r="D79" s="876" t="s">
        <v>187</v>
      </c>
      <c r="E79" s="843">
        <f>'24'!F79</f>
        <v>825666</v>
      </c>
      <c r="F79" s="936">
        <v>825837</v>
      </c>
      <c r="G79" s="844">
        <f t="shared" si="6"/>
        <v>171</v>
      </c>
      <c r="H79" s="845">
        <f>G79+'24'!H79</f>
        <v>-1894</v>
      </c>
      <c r="I79" s="907"/>
      <c r="J79" s="847">
        <f>H79/DAY(B2)</f>
        <v>-75.760000000000005</v>
      </c>
      <c r="K79" s="929"/>
      <c r="L79" s="822"/>
      <c r="O79" s="849"/>
    </row>
    <row r="80" spans="1:15">
      <c r="A80" s="1616" t="s">
        <v>198</v>
      </c>
      <c r="B80" s="1617"/>
      <c r="C80" s="1618"/>
      <c r="D80" s="876" t="s">
        <v>187</v>
      </c>
      <c r="E80" s="843">
        <f>'24'!F80</f>
        <v>514501.88</v>
      </c>
      <c r="F80" s="934">
        <v>514920.64</v>
      </c>
      <c r="G80" s="844">
        <f t="shared" si="6"/>
        <v>418.76000000000931</v>
      </c>
      <c r="H80" s="845">
        <f>G80+'24'!H80</f>
        <v>-4540.359999999986</v>
      </c>
      <c r="I80" s="907"/>
      <c r="J80" s="847">
        <f>H80/DAY(B2)</f>
        <v>-181.61439999999945</v>
      </c>
      <c r="K80" s="929"/>
      <c r="L80" s="822"/>
      <c r="O80" s="849"/>
    </row>
    <row r="81" spans="1:15">
      <c r="A81" s="1616" t="s">
        <v>199</v>
      </c>
      <c r="B81" s="1617"/>
      <c r="C81" s="1618"/>
      <c r="D81" s="876" t="s">
        <v>187</v>
      </c>
      <c r="E81" s="843">
        <f>'24'!F81</f>
        <v>635856.76</v>
      </c>
      <c r="F81" s="935">
        <v>636054.64</v>
      </c>
      <c r="G81" s="844">
        <f t="shared" si="6"/>
        <v>197.88000000000466</v>
      </c>
      <c r="H81" s="845">
        <f>G81+'24'!H81</f>
        <v>-423.35999999998603</v>
      </c>
      <c r="I81" s="907"/>
      <c r="J81" s="847">
        <f>H81/DAY(B2)</f>
        <v>-16.934399999999442</v>
      </c>
      <c r="K81" s="929"/>
      <c r="L81" s="822"/>
      <c r="O81" s="849"/>
    </row>
    <row r="82" spans="1:15">
      <c r="A82" s="1616" t="s">
        <v>93</v>
      </c>
      <c r="B82" s="1617"/>
      <c r="C82" s="1618"/>
      <c r="D82" s="877" t="s">
        <v>132</v>
      </c>
      <c r="E82" s="843">
        <f>'24'!F82</f>
        <v>107475.33</v>
      </c>
      <c r="F82" s="938">
        <v>107499.91</v>
      </c>
      <c r="G82" s="844">
        <f t="shared" si="6"/>
        <v>24.580000000001746</v>
      </c>
      <c r="H82" s="845">
        <f>G82+'24'!H82</f>
        <v>-112.08999999999651</v>
      </c>
      <c r="I82" s="878"/>
      <c r="J82" s="847">
        <f>H82/DAY(B2)</f>
        <v>-4.4835999999998606</v>
      </c>
      <c r="K82" s="929"/>
      <c r="L82" s="822"/>
      <c r="N82" s="1011">
        <f>371*0.99</f>
        <v>367.29</v>
      </c>
      <c r="O82" s="849"/>
    </row>
    <row r="83" spans="1:15">
      <c r="A83" s="1616" t="s">
        <v>200</v>
      </c>
      <c r="B83" s="1617"/>
      <c r="C83" s="1618"/>
      <c r="D83" s="939" t="s">
        <v>132</v>
      </c>
      <c r="E83" s="843">
        <f>'24'!F83</f>
        <v>13394</v>
      </c>
      <c r="F83" s="829">
        <v>13581</v>
      </c>
      <c r="G83" s="844">
        <f t="shared" si="6"/>
        <v>187</v>
      </c>
      <c r="H83" s="845">
        <f>G83+'24'!H83</f>
        <v>-1190</v>
      </c>
      <c r="I83" s="867"/>
      <c r="J83" s="847">
        <f>H83/DAY(B2)</f>
        <v>-47.6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475428</v>
      </c>
      <c r="F84" s="942">
        <v>476318</v>
      </c>
      <c r="G84" s="844">
        <f t="shared" si="6"/>
        <v>890</v>
      </c>
      <c r="H84" s="845">
        <f>G84+'24'!H84</f>
        <v>-3815</v>
      </c>
      <c r="I84" s="867"/>
      <c r="J84" s="847">
        <f>H84/DAY(B2)</f>
        <v>-152.6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2193.9700000000171</v>
      </c>
      <c r="H85" s="845">
        <f>G85+'24'!H85</f>
        <v>-9889.5099999999675</v>
      </c>
      <c r="I85" s="867"/>
      <c r="J85" s="847">
        <f>H85/DAY(B2)</f>
        <v>-395.58039999999869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458386</v>
      </c>
      <c r="F86" s="951">
        <v>458418.44</v>
      </c>
      <c r="G86" s="952">
        <f t="shared" ref="G86:G90" si="7">F86-E86</f>
        <v>32.440000000002328</v>
      </c>
      <c r="H86" s="952">
        <f t="shared" ref="H86:H88" si="8">G86</f>
        <v>32.440000000002328</v>
      </c>
      <c r="I86" s="953"/>
      <c r="J86" s="954">
        <f>H86/DAY(B2)</f>
        <v>1.2976000000000931</v>
      </c>
      <c r="K86" s="955"/>
      <c r="L86" s="956"/>
      <c r="N86" s="1015">
        <f>G86/0.995</f>
        <v>32.603015075379226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80835.399999999994</v>
      </c>
      <c r="F87" s="951">
        <v>80847.3</v>
      </c>
      <c r="G87" s="952">
        <f t="shared" si="7"/>
        <v>11.900000000008731</v>
      </c>
      <c r="H87" s="952">
        <f t="shared" si="8"/>
        <v>11.900000000008731</v>
      </c>
      <c r="I87" s="953"/>
      <c r="J87" s="954">
        <f>H87/DAY(B2)</f>
        <v>0.47600000000034925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151564.82999999999</v>
      </c>
      <c r="F88" s="951">
        <v>151589.5</v>
      </c>
      <c r="G88" s="952">
        <f t="shared" si="7"/>
        <v>24.670000000012806</v>
      </c>
      <c r="H88" s="952">
        <f t="shared" si="8"/>
        <v>24.670000000012806</v>
      </c>
      <c r="I88" s="953"/>
      <c r="J88" s="954">
        <f>H88/DAY(B2)</f>
        <v>0.98680000000051227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64589.2</v>
      </c>
      <c r="F89" s="951">
        <v>64633.7</v>
      </c>
      <c r="G89" s="952">
        <f t="shared" si="7"/>
        <v>44.5</v>
      </c>
      <c r="H89" s="952">
        <f>G89</f>
        <v>44.5</v>
      </c>
      <c r="I89" s="953"/>
      <c r="J89" s="954">
        <f>H89/DAY(B2)</f>
        <v>1.78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738" customFormat="1" ht="29.25">
      <c r="A91" s="733" t="s">
        <v>365</v>
      </c>
      <c r="B91" s="734"/>
      <c r="C91" s="734"/>
      <c r="D91" s="735"/>
      <c r="E91" s="843">
        <f>'24'!F91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947" customFormat="1">
      <c r="A92" s="958" t="s">
        <v>205</v>
      </c>
      <c r="B92" s="837"/>
      <c r="C92" s="837"/>
      <c r="D92" s="837"/>
      <c r="E92" s="837"/>
      <c r="F92" s="837"/>
      <c r="G92" s="881"/>
      <c r="H92" s="837"/>
      <c r="I92" s="837"/>
      <c r="J92" s="838"/>
      <c r="K92" s="943"/>
      <c r="L92" s="946"/>
      <c r="N92" s="1014"/>
      <c r="O92" s="849"/>
    </row>
    <row r="93" spans="1:15">
      <c r="A93" s="1607" t="s">
        <v>206</v>
      </c>
      <c r="B93" s="1608"/>
      <c r="C93" s="1609"/>
      <c r="D93" s="842" t="s">
        <v>144</v>
      </c>
      <c r="E93" s="843">
        <f>'24'!F93</f>
        <v>244290</v>
      </c>
      <c r="F93" s="873">
        <v>244360</v>
      </c>
      <c r="G93" s="844">
        <f t="shared" ref="G93:G94" si="9">F93-E93</f>
        <v>70</v>
      </c>
      <c r="H93" s="845">
        <f>G93+'24'!H93</f>
        <v>-164</v>
      </c>
      <c r="I93" s="864"/>
      <c r="J93" s="847">
        <f>H93/DAY(B2)</f>
        <v>-6.56</v>
      </c>
      <c r="K93" s="870"/>
      <c r="L93" s="822"/>
      <c r="O93" s="849"/>
    </row>
    <row r="94" spans="1:15">
      <c r="A94" s="1607" t="s">
        <v>207</v>
      </c>
      <c r="B94" s="1608"/>
      <c r="C94" s="1609"/>
      <c r="D94" s="842" t="s">
        <v>144</v>
      </c>
      <c r="E94" s="843">
        <f>'24'!F94</f>
        <v>183007</v>
      </c>
      <c r="F94" s="873">
        <v>183107</v>
      </c>
      <c r="G94" s="844">
        <f t="shared" si="9"/>
        <v>100</v>
      </c>
      <c r="H94" s="845">
        <f>G94+'24'!H94</f>
        <v>-424</v>
      </c>
      <c r="I94" s="864"/>
      <c r="J94" s="847">
        <f>H94/DAY(B2)</f>
        <v>-16.96</v>
      </c>
      <c r="K94" s="943"/>
      <c r="L94" s="822"/>
      <c r="O94" s="849"/>
    </row>
    <row r="95" spans="1:15">
      <c r="A95" s="1599" t="s">
        <v>208</v>
      </c>
      <c r="B95" s="1600"/>
      <c r="C95" s="1601"/>
      <c r="D95" s="842"/>
      <c r="E95" s="843">
        <f>'24'!F95</f>
        <v>0</v>
      </c>
      <c r="F95" s="873"/>
      <c r="G95" s="844">
        <f>G93+G94</f>
        <v>170</v>
      </c>
      <c r="H95" s="845">
        <f>G95+'24'!H95</f>
        <v>-735</v>
      </c>
      <c r="I95" s="864"/>
      <c r="J95" s="847">
        <f>H95/DAY(B2)</f>
        <v>-29.4</v>
      </c>
      <c r="K95" s="943"/>
      <c r="L95" s="822"/>
      <c r="O95" s="849"/>
    </row>
    <row r="96" spans="1:15">
      <c r="A96" s="1607" t="s">
        <v>209</v>
      </c>
      <c r="B96" s="1608"/>
      <c r="C96" s="1609"/>
      <c r="D96" s="842" t="s">
        <v>144</v>
      </c>
      <c r="E96" s="843">
        <f>'24'!F96</f>
        <v>412518</v>
      </c>
      <c r="F96" s="873">
        <v>412574</v>
      </c>
      <c r="G96" s="844">
        <f t="shared" ref="G96:G101" si="10">F96-E96</f>
        <v>56</v>
      </c>
      <c r="H96" s="845">
        <f>G96+'24'!H96</f>
        <v>-312</v>
      </c>
      <c r="I96" s="864"/>
      <c r="J96" s="847">
        <f>H96/DAY(B2)</f>
        <v>-12.48</v>
      </c>
      <c r="K96" s="943"/>
      <c r="L96" s="822"/>
      <c r="O96" s="849"/>
    </row>
    <row r="97" spans="1:15">
      <c r="A97" s="871" t="s">
        <v>210</v>
      </c>
      <c r="B97" s="872"/>
      <c r="C97" s="872"/>
      <c r="D97" s="842" t="s">
        <v>144</v>
      </c>
      <c r="E97" s="843">
        <f>'24'!F97</f>
        <v>102255</v>
      </c>
      <c r="F97" s="873">
        <v>102282</v>
      </c>
      <c r="G97" s="844">
        <f t="shared" si="10"/>
        <v>27</v>
      </c>
      <c r="H97" s="845">
        <f>G97+'24'!H97</f>
        <v>-61</v>
      </c>
      <c r="I97" s="864"/>
      <c r="J97" s="847">
        <f>H97/DAY(B2)</f>
        <v>-2.44</v>
      </c>
      <c r="K97" s="839"/>
      <c r="L97" s="822"/>
      <c r="O97" s="849"/>
    </row>
    <row r="98" spans="1:15">
      <c r="A98" s="871" t="s">
        <v>211</v>
      </c>
      <c r="B98" s="872"/>
      <c r="C98" s="872"/>
      <c r="D98" s="842" t="s">
        <v>144</v>
      </c>
      <c r="E98" s="843">
        <f>'24'!F98</f>
        <v>97350</v>
      </c>
      <c r="F98" s="994">
        <v>97367</v>
      </c>
      <c r="G98" s="844">
        <f t="shared" si="10"/>
        <v>17</v>
      </c>
      <c r="H98" s="845">
        <f>G98+'24'!H98</f>
        <v>-60</v>
      </c>
      <c r="I98" s="864"/>
      <c r="J98" s="847">
        <f>H98/DAY(B2)</f>
        <v>-2.4</v>
      </c>
      <c r="K98" s="959"/>
      <c r="L98" s="822"/>
      <c r="O98" s="849"/>
    </row>
    <row r="99" spans="1:15">
      <c r="A99" s="871" t="s">
        <v>212</v>
      </c>
      <c r="B99" s="872"/>
      <c r="C99" s="872"/>
      <c r="D99" s="842" t="s">
        <v>144</v>
      </c>
      <c r="E99" s="843">
        <f>'24'!F99</f>
        <v>149490</v>
      </c>
      <c r="F99" s="873">
        <v>149495</v>
      </c>
      <c r="G99" s="844">
        <f t="shared" si="10"/>
        <v>5</v>
      </c>
      <c r="H99" s="845">
        <f>G99+'24'!H99</f>
        <v>-38</v>
      </c>
      <c r="I99" s="864"/>
      <c r="J99" s="847">
        <f>H99/DAY(B2)</f>
        <v>-1.52</v>
      </c>
      <c r="K99" s="943"/>
      <c r="L99" s="822"/>
      <c r="O99" s="849"/>
    </row>
    <row r="100" spans="1:15">
      <c r="A100" s="871" t="s">
        <v>213</v>
      </c>
      <c r="B100" s="872"/>
      <c r="C100" s="872"/>
      <c r="D100" s="842" t="s">
        <v>144</v>
      </c>
      <c r="E100" s="843">
        <f>'24'!F100</f>
        <v>7157</v>
      </c>
      <c r="F100" s="873">
        <v>7163</v>
      </c>
      <c r="G100" s="844">
        <f t="shared" si="10"/>
        <v>6</v>
      </c>
      <c r="H100" s="845">
        <f>G100+'24'!H100</f>
        <v>-22</v>
      </c>
      <c r="I100" s="864"/>
      <c r="J100" s="847">
        <f>H100/DAY(B2)</f>
        <v>-0.88</v>
      </c>
      <c r="K100" s="943"/>
      <c r="L100" s="822"/>
      <c r="O100" s="849"/>
    </row>
    <row r="101" spans="1:15">
      <c r="A101" s="871" t="s">
        <v>214</v>
      </c>
      <c r="B101" s="872"/>
      <c r="C101" s="872"/>
      <c r="D101" s="842" t="s">
        <v>144</v>
      </c>
      <c r="E101" s="843">
        <f>'24'!F101</f>
        <v>5110</v>
      </c>
      <c r="F101" s="873">
        <v>5121</v>
      </c>
      <c r="G101" s="844">
        <f t="shared" si="10"/>
        <v>11</v>
      </c>
      <c r="H101" s="845">
        <f>G101+'24'!H101</f>
        <v>-17</v>
      </c>
      <c r="I101" s="864"/>
      <c r="J101" s="847">
        <f>H101/DAY(B2)</f>
        <v>-0.68</v>
      </c>
      <c r="K101" s="943"/>
      <c r="L101" s="822"/>
      <c r="O101" s="849"/>
    </row>
    <row r="102" spans="1:15">
      <c r="A102" s="1599" t="s">
        <v>216</v>
      </c>
      <c r="B102" s="1600"/>
      <c r="C102" s="1601"/>
      <c r="D102" s="876"/>
      <c r="E102" s="876"/>
      <c r="F102" s="876"/>
      <c r="G102" s="960">
        <f>SUM(G96:G101)</f>
        <v>122</v>
      </c>
      <c r="H102" s="845">
        <f>G102+'24'!H102</f>
        <v>-510</v>
      </c>
      <c r="I102" s="961"/>
      <c r="J102" s="847">
        <f>H102/DAY(B2)</f>
        <v>-20.399999999999999</v>
      </c>
      <c r="K102" s="943"/>
      <c r="L102" s="822"/>
      <c r="O102" s="849"/>
    </row>
    <row r="103" spans="1:15" s="894" customFormat="1">
      <c r="A103" s="962" t="s">
        <v>217</v>
      </c>
      <c r="B103" s="963"/>
      <c r="C103" s="963"/>
      <c r="D103" s="964"/>
      <c r="E103" s="965"/>
      <c r="F103" s="966"/>
      <c r="G103" s="967"/>
      <c r="H103" s="968"/>
      <c r="I103" s="969"/>
      <c r="J103" s="970"/>
      <c r="N103" s="1012"/>
      <c r="O103" s="849"/>
    </row>
    <row r="104" spans="1:15" s="894" customFormat="1">
      <c r="A104" s="1596" t="s">
        <v>218</v>
      </c>
      <c r="B104" s="1597"/>
      <c r="C104" s="971"/>
      <c r="D104" s="972"/>
      <c r="E104" s="973"/>
      <c r="F104" s="973"/>
      <c r="G104" s="973"/>
      <c r="H104" s="974"/>
      <c r="I104" s="973"/>
      <c r="J104" s="975"/>
      <c r="N104" s="1012"/>
      <c r="O104" s="849"/>
    </row>
    <row r="105" spans="1:15" s="894" customFormat="1">
      <c r="A105" s="1590" t="s">
        <v>219</v>
      </c>
      <c r="B105" s="1591"/>
      <c r="C105" s="976"/>
      <c r="D105" s="972" t="s">
        <v>144</v>
      </c>
      <c r="E105" s="973">
        <f>'24'!F105</f>
        <v>7410</v>
      </c>
      <c r="F105" s="1384">
        <v>7423</v>
      </c>
      <c r="G105" s="973">
        <f>F105-E105</f>
        <v>13</v>
      </c>
      <c r="H105" s="974">
        <f>SUM(G105+'1'!G76)</f>
        <v>70</v>
      </c>
      <c r="I105" s="973"/>
      <c r="J105" s="975">
        <f>H105/DAY(B2)</f>
        <v>2.8</v>
      </c>
      <c r="N105" s="1012"/>
      <c r="O105" s="849"/>
    </row>
    <row r="106" spans="1:15" s="894" customFormat="1">
      <c r="A106" s="1590" t="s">
        <v>77</v>
      </c>
      <c r="B106" s="1591"/>
      <c r="C106" s="976"/>
      <c r="D106" s="972" t="s">
        <v>144</v>
      </c>
      <c r="E106" s="973">
        <f>'24'!F106</f>
        <v>35801</v>
      </c>
      <c r="F106" s="977">
        <v>35806</v>
      </c>
      <c r="G106" s="973">
        <f t="shared" ref="G106:G107" si="11">F106-E106</f>
        <v>5</v>
      </c>
      <c r="H106" s="974">
        <f>SUM(G106+'1'!G77)</f>
        <v>55</v>
      </c>
      <c r="I106" s="973"/>
      <c r="J106" s="975">
        <f>H106/DAY(B2)</f>
        <v>2.2000000000000002</v>
      </c>
      <c r="N106" s="1012"/>
      <c r="O106" s="849"/>
    </row>
    <row r="107" spans="1:15" s="894" customFormat="1">
      <c r="A107" s="1590" t="s">
        <v>78</v>
      </c>
      <c r="B107" s="1598"/>
      <c r="C107" s="1591"/>
      <c r="D107" s="972" t="s">
        <v>144</v>
      </c>
      <c r="E107" s="973">
        <f>'24'!F107</f>
        <v>19586</v>
      </c>
      <c r="F107" s="973">
        <v>19593</v>
      </c>
      <c r="G107" s="973">
        <f t="shared" si="11"/>
        <v>7</v>
      </c>
      <c r="H107" s="974">
        <f>SUM(G107+'1'!G78)</f>
        <v>131</v>
      </c>
      <c r="I107" s="973"/>
      <c r="J107" s="975">
        <f>H107/DAY(B2)</f>
        <v>5.24</v>
      </c>
      <c r="N107" s="1012"/>
      <c r="O107" s="849"/>
    </row>
    <row r="108" spans="1:15" s="894" customFormat="1">
      <c r="A108" s="1592" t="s">
        <v>202</v>
      </c>
      <c r="B108" s="1593"/>
      <c r="C108" s="976"/>
      <c r="D108" s="972"/>
      <c r="E108" s="973">
        <f>'24'!F108</f>
        <v>0</v>
      </c>
      <c r="F108" s="973"/>
      <c r="G108" s="973">
        <f>SUM(G105:G107)</f>
        <v>25</v>
      </c>
      <c r="H108" s="974">
        <f>SUM(G108+'1'!G79)</f>
        <v>214</v>
      </c>
      <c r="I108" s="973"/>
      <c r="J108" s="975">
        <f>H108/DAY(B2)</f>
        <v>8.56</v>
      </c>
      <c r="N108" s="1012"/>
      <c r="O108" s="849"/>
    </row>
    <row r="109" spans="1:15" s="894" customFormat="1">
      <c r="A109" s="1588" t="s">
        <v>79</v>
      </c>
      <c r="B109" s="1589"/>
      <c r="C109" s="976"/>
      <c r="D109" s="972" t="s">
        <v>144</v>
      </c>
      <c r="E109" s="973">
        <f>'24'!F109</f>
        <v>0</v>
      </c>
      <c r="F109" s="973"/>
      <c r="G109" s="973"/>
      <c r="H109" s="974"/>
      <c r="I109" s="973"/>
      <c r="J109" s="975"/>
      <c r="N109" s="1012"/>
      <c r="O109" s="849"/>
    </row>
    <row r="110" spans="1:15" s="894" customFormat="1">
      <c r="A110" s="1590" t="s">
        <v>220</v>
      </c>
      <c r="B110" s="1591"/>
      <c r="C110" s="976"/>
      <c r="D110" s="972" t="s">
        <v>144</v>
      </c>
      <c r="E110" s="973">
        <f>'24'!F110</f>
        <v>60663</v>
      </c>
      <c r="F110" s="973">
        <v>60749</v>
      </c>
      <c r="G110" s="973">
        <f>F110-E110</f>
        <v>86</v>
      </c>
      <c r="H110" s="974">
        <f>SUM(G110+'1'!G81)</f>
        <v>167</v>
      </c>
      <c r="I110" s="973"/>
      <c r="J110" s="975">
        <f>H110/DAY(B2)</f>
        <v>6.68</v>
      </c>
      <c r="N110" s="1012"/>
      <c r="O110" s="849"/>
    </row>
    <row r="111" spans="1:15" s="894" customFormat="1">
      <c r="A111" s="1590" t="s">
        <v>221</v>
      </c>
      <c r="B111" s="1591"/>
      <c r="C111" s="976"/>
      <c r="D111" s="972" t="s">
        <v>144</v>
      </c>
      <c r="E111" s="973">
        <f>'24'!F111</f>
        <v>32176</v>
      </c>
      <c r="F111" s="973">
        <v>32176</v>
      </c>
      <c r="G111" s="973">
        <f t="shared" ref="G111:G112" si="12">F111-E111</f>
        <v>0</v>
      </c>
      <c r="H111" s="974">
        <f>SUM(G111+'1'!G82)</f>
        <v>12</v>
      </c>
      <c r="I111" s="973"/>
      <c r="J111" s="975">
        <f>H111/DAY(B2)</f>
        <v>0.48</v>
      </c>
      <c r="N111" s="1012"/>
      <c r="O111" s="849"/>
    </row>
    <row r="112" spans="1:15" s="894" customFormat="1">
      <c r="A112" s="1590" t="s">
        <v>222</v>
      </c>
      <c r="B112" s="1591"/>
      <c r="C112" s="976"/>
      <c r="D112" s="972" t="s">
        <v>144</v>
      </c>
      <c r="E112" s="973">
        <f>'24'!F112</f>
        <v>4346</v>
      </c>
      <c r="F112" s="973">
        <v>4346</v>
      </c>
      <c r="G112" s="973">
        <f t="shared" si="12"/>
        <v>0</v>
      </c>
      <c r="H112" s="974">
        <f>SUM(G112+'1'!G83)</f>
        <v>255</v>
      </c>
      <c r="I112" s="973"/>
      <c r="J112" s="975">
        <f>H112/DAY(B2)</f>
        <v>10.199999999999999</v>
      </c>
      <c r="N112" s="1012"/>
      <c r="O112" s="849"/>
    </row>
    <row r="113" spans="1:15" s="894" customFormat="1">
      <c r="A113" s="1594" t="s">
        <v>110</v>
      </c>
      <c r="B113" s="1595"/>
      <c r="C113" s="976"/>
      <c r="D113" s="972"/>
      <c r="E113" s="973">
        <f>'24'!F113</f>
        <v>0</v>
      </c>
      <c r="F113" s="973"/>
      <c r="G113" s="973">
        <f>SUM(G110:G112)</f>
        <v>86</v>
      </c>
      <c r="H113" s="974">
        <f>SUM(G113+'1'!G84)</f>
        <v>801</v>
      </c>
      <c r="I113" s="973"/>
      <c r="J113" s="975">
        <f>H113/DAY(B2)</f>
        <v>32.04</v>
      </c>
      <c r="N113" s="1012"/>
      <c r="O113" s="849"/>
    </row>
    <row r="114" spans="1:15" s="894" customFormat="1">
      <c r="A114" s="1588" t="s">
        <v>223</v>
      </c>
      <c r="B114" s="1589"/>
      <c r="C114" s="976"/>
      <c r="D114" s="972"/>
      <c r="E114" s="973">
        <f>'24'!F114</f>
        <v>0</v>
      </c>
      <c r="F114" s="973"/>
      <c r="G114" s="973"/>
      <c r="H114" s="974"/>
      <c r="I114" s="973"/>
      <c r="J114" s="975">
        <f>H114/DAY(B2)</f>
        <v>0</v>
      </c>
      <c r="N114" s="1012"/>
      <c r="O114" s="849"/>
    </row>
    <row r="115" spans="1:15" s="894" customFormat="1">
      <c r="A115" s="1590" t="s">
        <v>224</v>
      </c>
      <c r="B115" s="1591"/>
      <c r="C115" s="978"/>
      <c r="D115" s="972" t="s">
        <v>144</v>
      </c>
      <c r="E115" s="973">
        <f>'24'!F115</f>
        <v>11223</v>
      </c>
      <c r="F115" s="977">
        <v>11230</v>
      </c>
      <c r="G115" s="977">
        <f>F115-E115</f>
        <v>7</v>
      </c>
      <c r="H115" s="974">
        <f>SUM(G115+'1'!G92)</f>
        <v>7</v>
      </c>
      <c r="I115" s="973"/>
      <c r="J115" s="975">
        <f>H115/DAY(B2)</f>
        <v>0.28000000000000003</v>
      </c>
      <c r="N115" s="1012"/>
      <c r="O115" s="849"/>
    </row>
    <row r="116" spans="1:15" s="894" customFormat="1">
      <c r="A116" s="1590" t="s">
        <v>225</v>
      </c>
      <c r="B116" s="1591"/>
      <c r="C116" s="978"/>
      <c r="D116" s="972" t="s">
        <v>144</v>
      </c>
      <c r="E116" s="973">
        <f>'24'!F116</f>
        <v>8102</v>
      </c>
      <c r="F116" s="977">
        <v>8114</v>
      </c>
      <c r="G116" s="977">
        <f t="shared" ref="G116:G117" si="13">F116-E116</f>
        <v>12</v>
      </c>
      <c r="H116" s="974">
        <f>SUM(G116+'1'!G93)</f>
        <v>64</v>
      </c>
      <c r="I116" s="973"/>
      <c r="J116" s="975">
        <f>H116/DAY(B2)</f>
        <v>2.56</v>
      </c>
      <c r="N116" s="1012"/>
      <c r="O116" s="849"/>
    </row>
    <row r="117" spans="1:15" s="894" customFormat="1">
      <c r="A117" s="1590" t="s">
        <v>226</v>
      </c>
      <c r="B117" s="1591"/>
      <c r="C117" s="978"/>
      <c r="D117" s="972" t="s">
        <v>144</v>
      </c>
      <c r="E117" s="977"/>
      <c r="F117" s="977"/>
      <c r="G117" s="977">
        <f t="shared" si="13"/>
        <v>0</v>
      </c>
      <c r="H117" s="974">
        <f>SUM(G117+'1'!G94)</f>
        <v>95</v>
      </c>
      <c r="I117" s="973"/>
      <c r="J117" s="975">
        <f>H117/DAY(B2)</f>
        <v>3.8</v>
      </c>
      <c r="N117" s="1012"/>
      <c r="O117" s="849"/>
    </row>
    <row r="118" spans="1:15" s="980" customFormat="1">
      <c r="A118" s="1592" t="s">
        <v>202</v>
      </c>
      <c r="B118" s="1593"/>
      <c r="C118" s="978"/>
      <c r="D118" s="979"/>
      <c r="E118" s="977"/>
      <c r="F118" s="977"/>
      <c r="G118" s="977">
        <f>SUM(G115:G117)</f>
        <v>19</v>
      </c>
      <c r="H118" s="974">
        <f>SUM(G118+'1'!G96)</f>
        <v>91</v>
      </c>
      <c r="I118" s="977"/>
      <c r="J118" s="975">
        <f>H118/DAY(B2)</f>
        <v>3.64</v>
      </c>
      <c r="N118" s="1017"/>
      <c r="O118" s="849"/>
    </row>
    <row r="119" spans="1:15" s="772" customFormat="1">
      <c r="A119" s="1584" t="s">
        <v>227</v>
      </c>
      <c r="B119" s="1585"/>
      <c r="C119" s="981"/>
      <c r="D119" s="982" t="s">
        <v>144</v>
      </c>
      <c r="E119" s="983"/>
      <c r="F119" s="984"/>
      <c r="G119" s="984">
        <f>SUM(G19+G93)</f>
        <v>123</v>
      </c>
      <c r="H119" s="974">
        <f>SUM(G119+'1'!G97)</f>
        <v>135</v>
      </c>
      <c r="I119" s="983"/>
      <c r="J119" s="985">
        <f>H119/DAY(B2)</f>
        <v>5.4</v>
      </c>
      <c r="N119" s="1018"/>
      <c r="O119" s="849"/>
    </row>
    <row r="120" spans="1:15" s="772" customFormat="1">
      <c r="A120" s="1584" t="s">
        <v>228</v>
      </c>
      <c r="B120" s="1585"/>
      <c r="C120" s="981"/>
      <c r="D120" s="982" t="s">
        <v>144</v>
      </c>
      <c r="E120" s="983"/>
      <c r="F120" s="984"/>
      <c r="G120" s="984">
        <f>SUM(G96,G97,G98,G100,G101)</f>
        <v>117</v>
      </c>
      <c r="H120" s="974">
        <f>SUM(G120+'1'!G99)</f>
        <v>122</v>
      </c>
      <c r="I120" s="983"/>
      <c r="J120" s="985">
        <f>H120/DAY(B2)</f>
        <v>4.88</v>
      </c>
      <c r="N120" s="1018"/>
      <c r="O120" s="849"/>
    </row>
    <row r="121" spans="1:15" s="772" customFormat="1">
      <c r="A121" s="1584" t="s">
        <v>229</v>
      </c>
      <c r="B121" s="1585"/>
      <c r="C121" s="981"/>
      <c r="D121" s="982" t="s">
        <v>144</v>
      </c>
      <c r="E121" s="983"/>
      <c r="F121" s="977"/>
      <c r="G121" s="977">
        <f>SUM(G113)</f>
        <v>86</v>
      </c>
      <c r="H121" s="974">
        <f>SUM(G121+'1'!G101)</f>
        <v>92</v>
      </c>
      <c r="I121" s="983"/>
      <c r="J121" s="985">
        <f>H121/DAY(B2)</f>
        <v>3.68</v>
      </c>
      <c r="N121" s="1018"/>
      <c r="O121" s="849"/>
    </row>
    <row r="122" spans="1:15" s="894" customFormat="1">
      <c r="A122" s="1586"/>
      <c r="B122" s="1587"/>
      <c r="C122" s="976"/>
      <c r="D122" s="971"/>
      <c r="E122" s="971"/>
      <c r="F122" s="971"/>
      <c r="G122" s="971"/>
      <c r="H122" s="986"/>
      <c r="I122" s="971"/>
      <c r="J122" s="987"/>
      <c r="N122" s="1012"/>
      <c r="O122" s="849"/>
    </row>
    <row r="123" spans="1:15">
      <c r="A123" s="1602" t="s">
        <v>230</v>
      </c>
      <c r="B123" s="1603"/>
      <c r="C123" s="1604"/>
      <c r="D123" s="837"/>
      <c r="E123" s="837"/>
      <c r="F123" s="837"/>
      <c r="G123" s="869"/>
      <c r="H123" s="869"/>
      <c r="I123" s="869"/>
      <c r="J123" s="988"/>
      <c r="K123" s="943"/>
      <c r="L123" s="822"/>
      <c r="O123" s="849"/>
    </row>
    <row r="124" spans="1:15">
      <c r="A124" s="871" t="s">
        <v>231</v>
      </c>
      <c r="B124" s="872"/>
      <c r="C124" s="872"/>
      <c r="D124" s="842" t="s">
        <v>141</v>
      </c>
      <c r="E124" s="843">
        <f>'24'!F124</f>
        <v>824787.44</v>
      </c>
      <c r="F124" s="861">
        <v>825044.82</v>
      </c>
      <c r="G124" s="844">
        <f t="shared" ref="G124:G128" si="14">F124-E124</f>
        <v>257.38000000000466</v>
      </c>
      <c r="H124" s="845">
        <f>G124+'24'!H124</f>
        <v>-1043.640000000014</v>
      </c>
      <c r="I124" s="961"/>
      <c r="J124" s="847">
        <f>H124/DAY(B2)</f>
        <v>-41.745600000000557</v>
      </c>
      <c r="K124" s="943"/>
      <c r="L124" s="822"/>
      <c r="O124" s="849"/>
    </row>
    <row r="125" spans="1:15">
      <c r="A125" s="871" t="s">
        <v>232</v>
      </c>
      <c r="B125" s="872"/>
      <c r="C125" s="872"/>
      <c r="D125" s="842" t="s">
        <v>141</v>
      </c>
      <c r="E125" s="843">
        <f>'24'!F125</f>
        <v>73583</v>
      </c>
      <c r="F125" s="989">
        <v>73583.399999999994</v>
      </c>
      <c r="G125" s="844">
        <f t="shared" si="14"/>
        <v>0.39999999999417923</v>
      </c>
      <c r="H125" s="845">
        <f>G125+'24'!H125</f>
        <v>0</v>
      </c>
      <c r="I125" s="961"/>
      <c r="J125" s="847">
        <f>H125/DAY(B2)</f>
        <v>0</v>
      </c>
      <c r="K125" s="943"/>
      <c r="L125" s="822"/>
      <c r="O125" s="849"/>
    </row>
    <row r="126" spans="1:15">
      <c r="A126" s="1613" t="s">
        <v>233</v>
      </c>
      <c r="B126" s="1614"/>
      <c r="C126" s="1615"/>
      <c r="D126" s="842" t="s">
        <v>141</v>
      </c>
      <c r="E126" s="843">
        <f>'24'!F126</f>
        <v>144264.04999999999</v>
      </c>
      <c r="F126" s="861">
        <v>144346.79999999999</v>
      </c>
      <c r="G126" s="844">
        <f t="shared" si="14"/>
        <v>82.75</v>
      </c>
      <c r="H126" s="845">
        <f>G126+'24'!H126</f>
        <v>-340.64000000001397</v>
      </c>
      <c r="I126" s="961"/>
      <c r="J126" s="847">
        <f>H126/DAY(B2)</f>
        <v>-13.625600000000558</v>
      </c>
      <c r="K126" s="943"/>
      <c r="L126" s="822"/>
      <c r="O126" s="849"/>
    </row>
    <row r="127" spans="1:15">
      <c r="A127" s="990" t="s">
        <v>234</v>
      </c>
      <c r="B127" s="872"/>
      <c r="C127" s="872"/>
      <c r="D127" s="842" t="s">
        <v>141</v>
      </c>
      <c r="E127" s="843">
        <f>'24'!F127</f>
        <v>31404.2</v>
      </c>
      <c r="F127" s="989">
        <v>31404.2</v>
      </c>
      <c r="G127" s="844">
        <f t="shared" si="14"/>
        <v>0</v>
      </c>
      <c r="H127" s="845">
        <f>G127+'24'!H127</f>
        <v>0.2000000000007276</v>
      </c>
      <c r="I127" s="961"/>
      <c r="J127" s="847">
        <f>H127/DAY(B2)</f>
        <v>8.0000000000291036E-3</v>
      </c>
      <c r="K127" s="943"/>
      <c r="L127" s="822"/>
      <c r="O127" s="849"/>
    </row>
    <row r="128" spans="1:15">
      <c r="A128" s="990" t="s">
        <v>235</v>
      </c>
      <c r="B128" s="872"/>
      <c r="C128" s="872"/>
      <c r="D128" s="842" t="s">
        <v>141</v>
      </c>
      <c r="E128" s="843">
        <f>'24'!F128</f>
        <v>8969.4</v>
      </c>
      <c r="F128" s="989">
        <v>8969.6</v>
      </c>
      <c r="G128" s="844">
        <f t="shared" si="14"/>
        <v>0.2000000000007276</v>
      </c>
      <c r="H128" s="845">
        <f>G128+'24'!H128</f>
        <v>-0.1000000000003638</v>
      </c>
      <c r="I128" s="864"/>
      <c r="J128" s="847">
        <f>H128/DAY(B2)</f>
        <v>-4.0000000000145518E-3</v>
      </c>
      <c r="K128" s="943"/>
      <c r="L128" s="822"/>
      <c r="O128" s="849"/>
    </row>
    <row r="129" spans="1:16">
      <c r="A129" s="990" t="s">
        <v>236</v>
      </c>
      <c r="B129" s="872"/>
      <c r="C129" s="872"/>
      <c r="D129" s="842"/>
      <c r="E129" s="843"/>
      <c r="F129" s="861"/>
      <c r="G129" s="844">
        <f>G15-SUM(G124:G128)</f>
        <v>358.14399999983652</v>
      </c>
      <c r="H129" s="845">
        <f>G129+'24'!H129</f>
        <v>-4066.8780000000388</v>
      </c>
      <c r="I129" s="864"/>
      <c r="J129" s="847">
        <f>H129/DAY(B2)</f>
        <v>-162.67512000000156</v>
      </c>
      <c r="K129" s="943"/>
      <c r="L129" s="822"/>
      <c r="O129" s="849"/>
    </row>
    <row r="130" spans="1:16">
      <c r="A130" s="991" t="s">
        <v>237</v>
      </c>
      <c r="B130" s="836"/>
      <c r="C130" s="836"/>
      <c r="D130" s="836"/>
      <c r="E130" s="836"/>
      <c r="F130" s="836"/>
      <c r="G130" s="992"/>
      <c r="H130" s="992"/>
      <c r="I130" s="992"/>
      <c r="J130" s="993"/>
      <c r="O130" s="849"/>
    </row>
    <row r="131" spans="1:16">
      <c r="A131" s="871" t="s">
        <v>238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ref="G131:G141" si="15">F131-E131</f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240</v>
      </c>
      <c r="B132" s="872"/>
      <c r="C132" s="872"/>
      <c r="D132" s="842" t="s">
        <v>239</v>
      </c>
      <c r="E132" s="843">
        <f>'24'!F132</f>
        <v>0</v>
      </c>
      <c r="F132" s="873">
        <v>0</v>
      </c>
      <c r="G132" s="844">
        <f t="shared" si="15"/>
        <v>0</v>
      </c>
      <c r="H132" s="845">
        <f>G132+'24'!H132</f>
        <v>0</v>
      </c>
      <c r="I132" s="864"/>
      <c r="J132" s="847">
        <f>H132/DAY(B2)</f>
        <v>0</v>
      </c>
      <c r="O132" s="849"/>
    </row>
    <row r="133" spans="1:16">
      <c r="A133" s="871" t="s">
        <v>241</v>
      </c>
      <c r="B133" s="872"/>
      <c r="C133" s="872"/>
      <c r="D133" s="842" t="s">
        <v>239</v>
      </c>
      <c r="E133" s="843">
        <f>'24'!F133</f>
        <v>39659</v>
      </c>
      <c r="F133" s="994">
        <v>39670.160000000003</v>
      </c>
      <c r="G133" s="844">
        <f t="shared" si="15"/>
        <v>11.160000000003492</v>
      </c>
      <c r="H133" s="845">
        <f>G133+'24'!H133</f>
        <v>-76.319999999999709</v>
      </c>
      <c r="I133" s="864"/>
      <c r="J133" s="847">
        <f>H133/DAY(B2)</f>
        <v>-3.0527999999999884</v>
      </c>
      <c r="O133" s="849"/>
      <c r="P133" s="809">
        <f>49-24</f>
        <v>25</v>
      </c>
    </row>
    <row r="134" spans="1:16">
      <c r="A134" s="871" t="s">
        <v>242</v>
      </c>
      <c r="B134" s="872"/>
      <c r="C134" s="872"/>
      <c r="D134" s="842" t="s">
        <v>239</v>
      </c>
      <c r="E134" s="843">
        <f>'24'!F134</f>
        <v>300</v>
      </c>
      <c r="F134" s="994">
        <v>300</v>
      </c>
      <c r="G134" s="844">
        <f t="shared" si="15"/>
        <v>0</v>
      </c>
      <c r="H134" s="845">
        <f>G134+'24'!H134</f>
        <v>0</v>
      </c>
      <c r="I134" s="864">
        <f>G131+G132+G133+G134</f>
        <v>11.160000000003492</v>
      </c>
      <c r="J134" s="847">
        <f>H134/DAY(B2)</f>
        <v>0</v>
      </c>
      <c r="O134" s="849"/>
    </row>
    <row r="135" spans="1:16">
      <c r="A135" s="871" t="s">
        <v>243</v>
      </c>
      <c r="B135" s="872"/>
      <c r="C135" s="872"/>
      <c r="D135" s="842" t="s">
        <v>239</v>
      </c>
      <c r="E135" s="843">
        <f>'24'!F135</f>
        <v>41319</v>
      </c>
      <c r="F135" s="994">
        <v>41337.449999999997</v>
      </c>
      <c r="G135" s="844">
        <f t="shared" si="15"/>
        <v>18.44999999999709</v>
      </c>
      <c r="H135" s="845">
        <f>G135+'24'!H135</f>
        <v>66.44999999999709</v>
      </c>
      <c r="I135" s="864"/>
      <c r="J135" s="847">
        <f>H135/DAY(B2)</f>
        <v>2.6579999999998836</v>
      </c>
      <c r="O135" s="849"/>
    </row>
    <row r="136" spans="1:16">
      <c r="A136" s="871" t="s">
        <v>244</v>
      </c>
      <c r="B136" s="872"/>
      <c r="C136" s="872"/>
      <c r="D136" s="842" t="s">
        <v>239</v>
      </c>
      <c r="E136" s="843">
        <f>'24'!F136</f>
        <v>32582.93</v>
      </c>
      <c r="F136" s="994">
        <v>32582.93</v>
      </c>
      <c r="G136" s="844">
        <f t="shared" si="15"/>
        <v>0</v>
      </c>
      <c r="H136" s="845">
        <f>G136+'24'!H136</f>
        <v>13</v>
      </c>
      <c r="I136" s="864"/>
      <c r="J136" s="847">
        <f>H136/DAY(B2)</f>
        <v>0.52</v>
      </c>
      <c r="O136" s="849"/>
    </row>
    <row r="137" spans="1:16">
      <c r="A137" s="871" t="s">
        <v>245</v>
      </c>
      <c r="B137" s="872"/>
      <c r="C137" s="872"/>
      <c r="D137" s="842" t="s">
        <v>239</v>
      </c>
      <c r="E137" s="843">
        <f>'24'!F137</f>
        <v>22710.86</v>
      </c>
      <c r="F137" s="994">
        <v>22716.67</v>
      </c>
      <c r="G137" s="844">
        <f t="shared" si="15"/>
        <v>5.8099999999976717</v>
      </c>
      <c r="H137" s="845">
        <f>G137+'24'!H137</f>
        <v>-22.920000000001892</v>
      </c>
      <c r="I137" s="864">
        <f>G135+G136+G137</f>
        <v>24.259999999994761</v>
      </c>
      <c r="J137" s="847">
        <f>H137/DAY(B2)</f>
        <v>-0.91680000000007567</v>
      </c>
      <c r="O137" s="849"/>
    </row>
    <row r="138" spans="1:16">
      <c r="A138" s="871" t="s">
        <v>246</v>
      </c>
      <c r="B138" s="872"/>
      <c r="C138" s="872"/>
      <c r="D138" s="842" t="s">
        <v>239</v>
      </c>
      <c r="E138" s="843">
        <f>'24'!F138</f>
        <v>25051.49</v>
      </c>
      <c r="F138" s="994">
        <v>25051.49</v>
      </c>
      <c r="G138" s="844">
        <f t="shared" si="15"/>
        <v>0</v>
      </c>
      <c r="H138" s="845">
        <f>G138+'24'!H138</f>
        <v>8</v>
      </c>
      <c r="I138" s="864"/>
      <c r="J138" s="847">
        <f>H138/DAY(B2)</f>
        <v>0.32</v>
      </c>
      <c r="O138" s="849"/>
    </row>
    <row r="139" spans="1:16">
      <c r="A139" s="871" t="s">
        <v>247</v>
      </c>
      <c r="B139" s="872"/>
      <c r="C139" s="872"/>
      <c r="D139" s="842" t="s">
        <v>239</v>
      </c>
      <c r="E139" s="843">
        <f>'24'!F139</f>
        <v>70295.23</v>
      </c>
      <c r="F139" s="994">
        <v>70299.460000000006</v>
      </c>
      <c r="G139" s="844">
        <f t="shared" si="15"/>
        <v>4.2300000000104774</v>
      </c>
      <c r="H139" s="845">
        <f>G139+'24'!H139</f>
        <v>19.230000000010477</v>
      </c>
      <c r="I139" s="864">
        <f>G138+G139</f>
        <v>4.2300000000104774</v>
      </c>
      <c r="J139" s="847">
        <f>H139/DAY(B2)</f>
        <v>0.7692000000004191</v>
      </c>
      <c r="O139" s="849"/>
    </row>
    <row r="140" spans="1:16">
      <c r="A140" s="871" t="s">
        <v>248</v>
      </c>
      <c r="B140" s="872"/>
      <c r="C140" s="872"/>
      <c r="D140" s="842" t="s">
        <v>239</v>
      </c>
      <c r="E140" s="843">
        <f>'24'!F140</f>
        <v>1568.08</v>
      </c>
      <c r="F140" s="873">
        <v>1577.59</v>
      </c>
      <c r="G140" s="844">
        <f t="shared" si="15"/>
        <v>9.5099999999999909</v>
      </c>
      <c r="H140" s="845">
        <f>G140+'24'!H140</f>
        <v>-39.269999999999982</v>
      </c>
      <c r="I140" s="995"/>
      <c r="J140" s="847">
        <f>H140/DAY(B2)</f>
        <v>-1.5707999999999993</v>
      </c>
      <c r="O140" s="849"/>
    </row>
    <row r="141" spans="1:16">
      <c r="A141" s="871" t="s">
        <v>249</v>
      </c>
      <c r="B141" s="872"/>
      <c r="C141" s="872"/>
      <c r="D141" s="842" t="s">
        <v>239</v>
      </c>
      <c r="E141" s="843">
        <f>'24'!F141</f>
        <v>4636.58</v>
      </c>
      <c r="F141" s="873">
        <v>4636.88</v>
      </c>
      <c r="G141" s="844">
        <f t="shared" si="15"/>
        <v>0.3000000000001819</v>
      </c>
      <c r="H141" s="845">
        <f>G141+'24'!H141</f>
        <v>-0.11999999999989086</v>
      </c>
      <c r="I141" s="995"/>
      <c r="J141" s="847">
        <f>H141/DAY(B2)</f>
        <v>-4.7999999999956341E-3</v>
      </c>
      <c r="O141" s="849"/>
    </row>
    <row r="142" spans="1:16">
      <c r="A142" s="1605" t="s">
        <v>250</v>
      </c>
      <c r="B142" s="1606"/>
      <c r="C142" s="837"/>
      <c r="D142" s="837"/>
      <c r="E142" s="837"/>
      <c r="F142" s="837"/>
      <c r="G142" s="869"/>
      <c r="H142" s="869"/>
      <c r="I142" s="869"/>
      <c r="J142" s="988"/>
      <c r="K142" s="943"/>
      <c r="L142" s="822"/>
      <c r="O142" s="849"/>
    </row>
    <row r="143" spans="1:16">
      <c r="A143" s="1607" t="s">
        <v>251</v>
      </c>
      <c r="B143" s="1608"/>
      <c r="C143" s="1609"/>
      <c r="D143" s="842" t="s">
        <v>132</v>
      </c>
      <c r="E143" s="842"/>
      <c r="F143" s="842"/>
      <c r="G143" s="845">
        <f>G35+G43+G49+G57</f>
        <v>5648.5999999999767</v>
      </c>
      <c r="H143" s="845">
        <f>G143+'24'!H143</f>
        <v>-24525.930000000051</v>
      </c>
      <c r="I143" s="864"/>
      <c r="J143" s="847">
        <f>H143/DAY(B2)</f>
        <v>-981.03720000000203</v>
      </c>
      <c r="K143" s="943"/>
      <c r="L143" s="822"/>
      <c r="O143" s="849"/>
    </row>
    <row r="144" spans="1:16">
      <c r="A144" s="1607" t="s">
        <v>252</v>
      </c>
      <c r="B144" s="1608"/>
      <c r="C144" s="1609"/>
      <c r="D144" s="842" t="s">
        <v>24</v>
      </c>
      <c r="E144" s="829"/>
      <c r="F144" s="829"/>
      <c r="G144" s="996">
        <f>G143/G7</f>
        <v>0.25334589163975496</v>
      </c>
      <c r="H144" s="845">
        <f>G144+'24'!H144</f>
        <v>6.2822529150291766</v>
      </c>
      <c r="I144" s="997"/>
      <c r="J144" s="847">
        <f>H144/DAY(B2)</f>
        <v>0.25129011660116707</v>
      </c>
      <c r="K144" s="943"/>
      <c r="L144" s="822"/>
      <c r="O144" s="849"/>
    </row>
    <row r="145" spans="1:15">
      <c r="A145" s="1607" t="s">
        <v>253</v>
      </c>
      <c r="B145" s="1608"/>
      <c r="C145" s="1609"/>
      <c r="D145" s="842" t="s">
        <v>132</v>
      </c>
      <c r="E145" s="843"/>
      <c r="F145" s="843"/>
      <c r="G145" s="845">
        <f>G41+G42+G55+G56</f>
        <v>7229.7499999999709</v>
      </c>
      <c r="H145" s="845">
        <f>G145+'24'!H145</f>
        <v>319431.66300000006</v>
      </c>
      <c r="I145" s="864"/>
      <c r="J145" s="847">
        <f>H145/DAY(B2)</f>
        <v>12777.266520000003</v>
      </c>
      <c r="K145" s="943"/>
      <c r="L145" s="822"/>
      <c r="O145" s="849"/>
    </row>
    <row r="146" spans="1:15">
      <c r="A146" s="1607" t="s">
        <v>254</v>
      </c>
      <c r="B146" s="1608"/>
      <c r="C146" s="1609"/>
      <c r="D146" s="842" t="s">
        <v>24</v>
      </c>
      <c r="E146" s="843"/>
      <c r="F146" s="843"/>
      <c r="G146" s="996">
        <f>G145/G7</f>
        <v>0.32426219949766644</v>
      </c>
      <c r="H146" s="845">
        <f>G146+'24'!H146</f>
        <v>7.4516124745842429</v>
      </c>
      <c r="I146" s="997"/>
      <c r="J146" s="847">
        <f>H146/DAY(B2)</f>
        <v>0.29806449898336973</v>
      </c>
      <c r="K146" s="943"/>
      <c r="L146" s="822"/>
      <c r="O146" s="849"/>
    </row>
    <row r="147" spans="1:15">
      <c r="A147" s="1607" t="s">
        <v>255</v>
      </c>
      <c r="B147" s="1608"/>
      <c r="C147" s="1609"/>
      <c r="D147" s="842" t="s">
        <v>132</v>
      </c>
      <c r="E147" s="843"/>
      <c r="F147" s="843"/>
      <c r="G147" s="845">
        <f>G39+G53</f>
        <v>3630.5200000000186</v>
      </c>
      <c r="H147" s="845">
        <f>G147+'24'!H147</f>
        <v>410.55999999999767</v>
      </c>
      <c r="I147" s="998"/>
      <c r="J147" s="847">
        <f>H147/DAY(B2)</f>
        <v>16.422399999999907</v>
      </c>
      <c r="K147" s="943"/>
      <c r="L147" s="822"/>
      <c r="O147" s="849"/>
    </row>
    <row r="148" spans="1:15">
      <c r="A148" s="1607" t="s">
        <v>256</v>
      </c>
      <c r="B148" s="1608"/>
      <c r="C148" s="1609"/>
      <c r="D148" s="842" t="s">
        <v>24</v>
      </c>
      <c r="E148" s="843"/>
      <c r="F148" s="843"/>
      <c r="G148" s="996">
        <f>G147/G7</f>
        <v>0.16283279512020177</v>
      </c>
      <c r="H148" s="845">
        <f>G148+'24'!H148</f>
        <v>3.719027818079546</v>
      </c>
      <c r="I148" s="998"/>
      <c r="J148" s="847">
        <f>H148/DAY(B2)</f>
        <v>0.14876111272318185</v>
      </c>
      <c r="O148" s="849"/>
    </row>
    <row r="149" spans="1:15">
      <c r="A149" s="1607" t="s">
        <v>257</v>
      </c>
      <c r="B149" s="1608"/>
      <c r="C149" s="1609"/>
      <c r="D149" s="842" t="s">
        <v>183</v>
      </c>
      <c r="E149" s="843"/>
      <c r="F149" s="843"/>
      <c r="G149" s="845">
        <f>G38+G52</f>
        <v>1455.6799999999494</v>
      </c>
      <c r="H149" s="845">
        <f>G149+'24'!H149</f>
        <v>-6785.510000000053</v>
      </c>
      <c r="I149" s="864"/>
      <c r="J149" s="847">
        <f>H149/DAY(B2)</f>
        <v>-271.42040000000213</v>
      </c>
      <c r="K149" s="999"/>
      <c r="O149" s="849"/>
    </row>
    <row r="150" spans="1:15">
      <c r="A150" s="1607" t="s">
        <v>258</v>
      </c>
      <c r="B150" s="1608"/>
      <c r="C150" s="1609"/>
      <c r="D150" s="842" t="s">
        <v>24</v>
      </c>
      <c r="E150" s="843"/>
      <c r="F150" s="843"/>
      <c r="G150" s="996">
        <f>G149/G7</f>
        <v>6.5288841047719287E-2</v>
      </c>
      <c r="H150" s="845">
        <f>G150+'24'!H150</f>
        <v>1.7905229845847985</v>
      </c>
      <c r="I150" s="998"/>
      <c r="J150" s="847">
        <f>H150/DAY(B2)</f>
        <v>7.1620919383391934E-2</v>
      </c>
      <c r="O150" s="849"/>
    </row>
    <row r="151" spans="1:15">
      <c r="A151" s="1607" t="s">
        <v>259</v>
      </c>
      <c r="B151" s="1608"/>
      <c r="C151" s="1609"/>
      <c r="D151" s="842" t="s">
        <v>183</v>
      </c>
      <c r="E151" s="843"/>
      <c r="F151" s="843"/>
      <c r="G151" s="845">
        <f>G36+G50</f>
        <v>2383.1600000000326</v>
      </c>
      <c r="H151" s="845">
        <f>G151+'24'!H151</f>
        <v>-8219.6199999999953</v>
      </c>
      <c r="I151" s="998"/>
      <c r="J151" s="847">
        <f>H151/DAY(B2)</f>
        <v>-328.78479999999979</v>
      </c>
      <c r="O151" s="849"/>
    </row>
    <row r="152" spans="1:15">
      <c r="A152" s="1607" t="s">
        <v>260</v>
      </c>
      <c r="B152" s="1608"/>
      <c r="C152" s="1609"/>
      <c r="D152" s="842" t="s">
        <v>24</v>
      </c>
      <c r="E152" s="843"/>
      <c r="F152" s="843"/>
      <c r="G152" s="996">
        <f>G151/G7</f>
        <v>0.1068873340509523</v>
      </c>
      <c r="H152" s="845">
        <f>G152+'24'!H152</f>
        <v>1.8113193896355622</v>
      </c>
      <c r="I152" s="864"/>
      <c r="J152" s="847">
        <f>H152/DAY(B2)</f>
        <v>7.2452775585422485E-2</v>
      </c>
      <c r="O152" s="849"/>
    </row>
    <row r="153" spans="1:15">
      <c r="A153" s="1607" t="s">
        <v>261</v>
      </c>
      <c r="B153" s="1608"/>
      <c r="C153" s="1609"/>
      <c r="D153" s="842" t="s">
        <v>183</v>
      </c>
      <c r="E153" s="843"/>
      <c r="F153" s="843"/>
      <c r="G153" s="845">
        <f>G37+G51</f>
        <v>1346.3300000000017</v>
      </c>
      <c r="H153" s="845">
        <f>G153+'24'!H153</f>
        <v>-6275.4600000000064</v>
      </c>
      <c r="I153" s="864"/>
      <c r="J153" s="847">
        <f>H153/DAY(B2)</f>
        <v>-251.01840000000027</v>
      </c>
      <c r="O153" s="849"/>
    </row>
    <row r="154" spans="1:15" ht="21" thickBot="1">
      <c r="A154" s="1610" t="s">
        <v>262</v>
      </c>
      <c r="B154" s="1611"/>
      <c r="C154" s="1612"/>
      <c r="D154" s="1000" t="s">
        <v>24</v>
      </c>
      <c r="E154" s="1001"/>
      <c r="F154" s="1001"/>
      <c r="G154" s="1002">
        <f>G153/G7</f>
        <v>6.0384373878722718E-2</v>
      </c>
      <c r="H154" s="845">
        <f>G154+'24'!H154</f>
        <v>1.8181717214712023</v>
      </c>
      <c r="I154" s="1003"/>
      <c r="J154" s="1004">
        <f>H154/DAY(B2)</f>
        <v>7.272686885884809E-2</v>
      </c>
      <c r="O154" s="849"/>
    </row>
    <row r="155" spans="1:15">
      <c r="A155" s="1005"/>
      <c r="B155" s="1005"/>
      <c r="C155" s="1005"/>
      <c r="D155" s="1005"/>
      <c r="E155" s="1005"/>
      <c r="F155" s="1005"/>
      <c r="G155" s="1005"/>
      <c r="H155" s="1006"/>
      <c r="I155" s="1005"/>
      <c r="J155" s="1007"/>
      <c r="O155" s="849"/>
    </row>
    <row r="161" spans="1:7">
      <c r="A161" s="995" t="s">
        <v>263</v>
      </c>
      <c r="B161" s="995"/>
      <c r="C161" s="995"/>
      <c r="D161" s="829" t="s">
        <v>187</v>
      </c>
      <c r="E161" s="843">
        <f>'24'!F161</f>
        <v>35445.82</v>
      </c>
      <c r="F161" s="1019">
        <v>35528.67</v>
      </c>
      <c r="G161" s="844">
        <f t="shared" ref="G161:G164" si="16">F161-E161</f>
        <v>82.849999999998545</v>
      </c>
    </row>
    <row r="162" spans="1:7" ht="21.75" customHeight="1">
      <c r="A162" s="995" t="s">
        <v>264</v>
      </c>
      <c r="B162" s="995"/>
      <c r="C162" s="995"/>
      <c r="D162" s="829" t="s">
        <v>187</v>
      </c>
      <c r="E162" s="843">
        <f>'24'!F162</f>
        <v>79592.679999999993</v>
      </c>
      <c r="F162" s="1019">
        <v>80045.19</v>
      </c>
      <c r="G162" s="844">
        <f t="shared" si="16"/>
        <v>452.51000000000931</v>
      </c>
    </row>
    <row r="163" spans="1:7" ht="21.75" customHeight="1">
      <c r="A163" s="995" t="s">
        <v>265</v>
      </c>
      <c r="B163" s="995"/>
      <c r="C163" s="995"/>
      <c r="D163" s="829" t="s">
        <v>187</v>
      </c>
      <c r="E163" s="843">
        <f>'24'!F163</f>
        <v>35993.15</v>
      </c>
      <c r="F163" s="1019">
        <v>36382.11</v>
      </c>
      <c r="G163" s="844">
        <f t="shared" si="16"/>
        <v>388.95999999999913</v>
      </c>
    </row>
    <row r="164" spans="1:7" ht="21.75" customHeight="1">
      <c r="A164" s="995" t="s">
        <v>266</v>
      </c>
      <c r="B164" s="995"/>
      <c r="C164" s="995"/>
      <c r="D164" s="829" t="s">
        <v>187</v>
      </c>
      <c r="E164" s="843">
        <f>'24'!F164</f>
        <v>6121</v>
      </c>
      <c r="F164" s="1019">
        <v>6140.83</v>
      </c>
      <c r="G164" s="844">
        <f t="shared" si="16"/>
        <v>19.829999999999927</v>
      </c>
    </row>
    <row r="165" spans="1:7" ht="21.75" customHeight="1">
      <c r="A165" s="925" t="s">
        <v>98</v>
      </c>
      <c r="B165" s="925"/>
      <c r="C165" s="925"/>
      <c r="D165" s="829" t="s">
        <v>187</v>
      </c>
      <c r="E165" s="926">
        <f>E62</f>
        <v>20419</v>
      </c>
      <c r="F165" s="926">
        <f>F62</f>
        <v>20419</v>
      </c>
      <c r="G165" s="844">
        <f t="shared" ref="G165:G172" si="17">F165-E165</f>
        <v>0</v>
      </c>
    </row>
    <row r="166" spans="1:7" ht="21.75" customHeight="1">
      <c r="A166" s="925" t="s">
        <v>188</v>
      </c>
      <c r="B166" s="925"/>
      <c r="C166" s="925"/>
      <c r="D166" s="829" t="s">
        <v>187</v>
      </c>
      <c r="E166" s="926">
        <f t="shared" ref="E166:E172" si="18">E63</f>
        <v>2327.1959000000002</v>
      </c>
      <c r="F166" s="926">
        <f t="shared" ref="F166:F172" si="19">F63</f>
        <v>2333.34</v>
      </c>
      <c r="G166" s="844">
        <f t="shared" si="17"/>
        <v>6.1440999999999804</v>
      </c>
    </row>
    <row r="167" spans="1:7" ht="21.75" customHeight="1">
      <c r="A167" s="1583" t="s">
        <v>99</v>
      </c>
      <c r="B167" s="1583"/>
      <c r="C167" s="1583"/>
      <c r="D167" s="842" t="s">
        <v>187</v>
      </c>
      <c r="E167" s="926">
        <f t="shared" si="18"/>
        <v>150822.72</v>
      </c>
      <c r="F167" s="926">
        <f t="shared" si="19"/>
        <v>151332.69</v>
      </c>
      <c r="G167" s="844">
        <f t="shared" si="17"/>
        <v>509.97000000000116</v>
      </c>
    </row>
    <row r="168" spans="1:7" ht="21.75" customHeight="1">
      <c r="A168" s="1583" t="s">
        <v>100</v>
      </c>
      <c r="B168" s="1583"/>
      <c r="C168" s="1583"/>
      <c r="D168" s="842" t="s">
        <v>187</v>
      </c>
      <c r="E168" s="926">
        <f t="shared" si="18"/>
        <v>152863.67000000001</v>
      </c>
      <c r="F168" s="926">
        <f t="shared" si="19"/>
        <v>153226.18</v>
      </c>
      <c r="G168" s="844">
        <f t="shared" si="17"/>
        <v>362.50999999998021</v>
      </c>
    </row>
    <row r="169" spans="1:7" ht="21.75" customHeight="1">
      <c r="A169" s="1583" t="s">
        <v>101</v>
      </c>
      <c r="B169" s="1583"/>
      <c r="C169" s="1583"/>
      <c r="D169" s="842" t="s">
        <v>187</v>
      </c>
      <c r="E169" s="926">
        <f t="shared" si="18"/>
        <v>46586.239999999998</v>
      </c>
      <c r="F169" s="926">
        <f t="shared" si="19"/>
        <v>46974.400000000001</v>
      </c>
      <c r="G169" s="844">
        <f t="shared" si="17"/>
        <v>388.16000000000349</v>
      </c>
    </row>
    <row r="170" spans="1:7">
      <c r="A170" s="1583" t="s">
        <v>102</v>
      </c>
      <c r="B170" s="1583"/>
      <c r="C170" s="1583"/>
      <c r="D170" s="842" t="s">
        <v>187</v>
      </c>
      <c r="E170" s="926">
        <f t="shared" si="18"/>
        <v>241200.61</v>
      </c>
      <c r="F170" s="926">
        <f t="shared" si="19"/>
        <v>241583.11</v>
      </c>
      <c r="G170" s="844">
        <f t="shared" si="17"/>
        <v>382.5</v>
      </c>
    </row>
    <row r="171" spans="1:7" ht="24" customHeight="1">
      <c r="A171" s="1583" t="s">
        <v>103</v>
      </c>
      <c r="B171" s="1583"/>
      <c r="C171" s="1583"/>
      <c r="D171" s="842" t="s">
        <v>187</v>
      </c>
      <c r="E171" s="926">
        <f t="shared" si="18"/>
        <v>85321</v>
      </c>
      <c r="F171" s="926">
        <f t="shared" si="19"/>
        <v>85321</v>
      </c>
      <c r="G171" s="844">
        <f t="shared" si="17"/>
        <v>0</v>
      </c>
    </row>
    <row r="172" spans="1:7">
      <c r="A172" s="1583" t="s">
        <v>104</v>
      </c>
      <c r="B172" s="1583"/>
      <c r="C172" s="1583"/>
      <c r="D172" s="842" t="s">
        <v>187</v>
      </c>
      <c r="E172" s="926">
        <f t="shared" si="18"/>
        <v>78476.800000000003</v>
      </c>
      <c r="F172" s="926">
        <f t="shared" si="19"/>
        <v>78609.8</v>
      </c>
      <c r="G172" s="844">
        <f t="shared" si="17"/>
        <v>133</v>
      </c>
    </row>
    <row r="173" spans="1:7">
      <c r="G173" s="1010">
        <f>SUM(G161:G172)</f>
        <v>2726.4340999999918</v>
      </c>
    </row>
    <row r="17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28" zoomScale="70" zoomScaleSheetLayoutView="70" workbookViewId="0">
      <selection activeCell="F28" activeCellId="1" sqref="F28 F2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634" t="s">
        <v>117</v>
      </c>
      <c r="B1" s="1635"/>
      <c r="C1" s="1635"/>
      <c r="D1" s="1635"/>
      <c r="E1" s="1635"/>
      <c r="F1" s="1635"/>
      <c r="G1" s="1635"/>
      <c r="H1" s="1635"/>
      <c r="I1" s="1635"/>
      <c r="J1" s="1636"/>
    </row>
    <row r="2" spans="1:15" ht="30.75" customHeight="1">
      <c r="A2" s="810" t="s">
        <v>342</v>
      </c>
      <c r="B2" s="1081">
        <v>43947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637" t="s">
        <v>121</v>
      </c>
      <c r="F3" s="1638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631" t="s">
        <v>130</v>
      </c>
      <c r="B6" s="1632"/>
      <c r="C6" s="163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5636229</v>
      </c>
      <c r="F7" s="843">
        <v>5656762</v>
      </c>
      <c r="G7" s="844">
        <f>F7-E7</f>
        <v>20533</v>
      </c>
      <c r="H7" s="845">
        <f>G7+'25'!H7</f>
        <v>5811785</v>
      </c>
      <c r="I7" s="846">
        <f>'1'!I7</f>
        <v>12000</v>
      </c>
      <c r="J7" s="847">
        <f>H7/DAY(B2)</f>
        <v>223530.19230769231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5669621</v>
      </c>
      <c r="F8" s="854">
        <v>5690250</v>
      </c>
      <c r="G8" s="855">
        <f>F8-E8</f>
        <v>20629</v>
      </c>
      <c r="H8" s="845">
        <f>G8+'25'!H8</f>
        <v>5846009</v>
      </c>
      <c r="I8" s="856">
        <f>'1'!I8</f>
        <v>12000</v>
      </c>
      <c r="J8" s="847">
        <f>H8/DAY(B2)</f>
        <v>224846.5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902394.95</v>
      </c>
      <c r="F9" s="861">
        <v>922288.79</v>
      </c>
      <c r="G9" s="844">
        <f>F9-E9</f>
        <v>19893.840000000084</v>
      </c>
      <c r="H9" s="845">
        <f>G9+'25'!H9</f>
        <v>-68425.209999999963</v>
      </c>
      <c r="I9" s="862">
        <f>I8-J8</f>
        <v>-212846.5</v>
      </c>
      <c r="J9" s="847">
        <f>H9/DAY(B2)</f>
        <v>-2631.7388461538449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0</v>
      </c>
      <c r="I10" s="864"/>
      <c r="J10" s="847">
        <f>H10/DAY(B2)</f>
        <v>0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19893.840000000084</v>
      </c>
      <c r="H13" s="845">
        <f>G13+'25'!H13</f>
        <v>-82946.209999999963</v>
      </c>
      <c r="I13" s="868">
        <f>G7-G13</f>
        <v>639.15999999991618</v>
      </c>
      <c r="J13" s="847">
        <f>H13/DAY(B2)</f>
        <v>-3190.2388461538449</v>
      </c>
      <c r="K13" s="863"/>
      <c r="L13" s="822"/>
      <c r="O13" s="849"/>
    </row>
    <row r="14" spans="1:15" ht="28.5" customHeight="1">
      <c r="A14" s="1625" t="s">
        <v>139</v>
      </c>
      <c r="B14" s="1626"/>
      <c r="C14" s="1627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1667759.5419999999</v>
      </c>
      <c r="F15" s="873">
        <v>1668448.08</v>
      </c>
      <c r="G15" s="1020">
        <f>(F15-E15)</f>
        <v>688.53800000017509</v>
      </c>
      <c r="H15" s="845">
        <f>G15+'25'!H15</f>
        <v>-2208.9199999999255</v>
      </c>
      <c r="I15" s="846">
        <f>'1'!I15</f>
        <v>800</v>
      </c>
      <c r="J15" s="847">
        <f>H15/DAY(B2)</f>
        <v>-84.958461538458678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884.95846153845866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625" t="s">
        <v>142</v>
      </c>
      <c r="B17" s="1626"/>
      <c r="C17" s="1627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607" t="s">
        <v>143</v>
      </c>
      <c r="B18" s="1608"/>
      <c r="C18" s="1609"/>
      <c r="D18" s="842" t="s">
        <v>144</v>
      </c>
      <c r="E18" s="843">
        <f>'25'!F18</f>
        <v>8</v>
      </c>
      <c r="F18" s="873">
        <v>10</v>
      </c>
      <c r="G18" s="867">
        <f>F18*10</f>
        <v>100</v>
      </c>
      <c r="H18" s="845">
        <f>G18+'25'!H18</f>
        <v>1360</v>
      </c>
      <c r="I18" s="846">
        <f>'1'!I18</f>
        <v>65</v>
      </c>
      <c r="J18" s="847">
        <f>H18/DAY(B2)</f>
        <v>52.307692307692307</v>
      </c>
      <c r="K18" s="863"/>
      <c r="L18" s="822"/>
      <c r="O18" s="849"/>
    </row>
    <row r="19" spans="1:15" ht="20.100000000000001" customHeight="1">
      <c r="A19" s="1607" t="s">
        <v>71</v>
      </c>
      <c r="B19" s="1608"/>
      <c r="C19" s="1609"/>
      <c r="D19" s="842" t="s">
        <v>144</v>
      </c>
      <c r="E19" s="843">
        <f>'25'!F19</f>
        <v>137536</v>
      </c>
      <c r="F19" s="873">
        <v>137595</v>
      </c>
      <c r="G19" s="844">
        <f t="shared" ref="G19" si="1">F19-E19</f>
        <v>59</v>
      </c>
      <c r="H19" s="845">
        <f>G19+'25'!H19</f>
        <v>-217</v>
      </c>
      <c r="I19" s="882"/>
      <c r="J19" s="847">
        <f>H19/DAY(B2)</f>
        <v>-8.3461538461538467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159</v>
      </c>
      <c r="H20" s="845">
        <f>G20+'25'!H20</f>
        <v>1179</v>
      </c>
      <c r="I20" s="885">
        <f>I18-J20</f>
        <v>19.653846153846153</v>
      </c>
      <c r="J20" s="847">
        <f>H20/DAY(B2)</f>
        <v>45.346153846153847</v>
      </c>
      <c r="K20" s="863"/>
      <c r="L20" s="822"/>
      <c r="O20" s="849"/>
    </row>
    <row r="21" spans="1:15" ht="20.100000000000001" customHeight="1">
      <c r="A21" s="1625" t="s">
        <v>146</v>
      </c>
      <c r="B21" s="1626"/>
      <c r="C21" s="1627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631" t="s">
        <v>151</v>
      </c>
      <c r="B25" s="1632"/>
      <c r="C25" s="163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20629</v>
      </c>
      <c r="F27" s="501">
        <v>9</v>
      </c>
      <c r="G27" s="905">
        <f>E27*F27</f>
        <v>185661</v>
      </c>
      <c r="H27" s="845">
        <f>G27+'25'!H27</f>
        <v>52614081</v>
      </c>
      <c r="I27" s="906"/>
      <c r="J27" s="847">
        <f>H27/DAY(B2)</f>
        <v>2023618.5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688.53800000017509</v>
      </c>
      <c r="F28" s="501">
        <v>49</v>
      </c>
      <c r="G28" s="905">
        <f>E28*F28</f>
        <v>33738.362000008579</v>
      </c>
      <c r="H28" s="845">
        <f>G28+'25'!H28</f>
        <v>-105451.42999999633</v>
      </c>
      <c r="I28" s="907"/>
      <c r="J28" s="847">
        <f>H28/DAY(B2)</f>
        <v>-4055.8242307690894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59</v>
      </c>
      <c r="F30" s="904">
        <v>134</v>
      </c>
      <c r="G30" s="905">
        <f>E30*F30</f>
        <v>7906</v>
      </c>
      <c r="H30" s="845">
        <f>G30+'25'!H30</f>
        <v>-29078</v>
      </c>
      <c r="I30" s="907"/>
      <c r="J30" s="847">
        <f>H30/DAY(B2)</f>
        <v>-1118.3846153846155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G31+'25'!H31</f>
        <v>108800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235305.36200000858</v>
      </c>
      <c r="H32" s="845">
        <f>G32+'25'!H32</f>
        <v>52677361.57</v>
      </c>
      <c r="I32" s="913"/>
      <c r="J32" s="847">
        <f>H32/DAY(B2)</f>
        <v>2026052.3680769231</v>
      </c>
      <c r="K32" s="863"/>
      <c r="L32" s="893"/>
      <c r="N32" s="1012"/>
      <c r="O32" s="849"/>
    </row>
    <row r="33" spans="1:15" ht="20.100000000000001" customHeight="1">
      <c r="A33" s="1628" t="s">
        <v>162</v>
      </c>
      <c r="B33" s="1629"/>
      <c r="C33" s="1629"/>
      <c r="D33" s="1629"/>
      <c r="E33" s="1629"/>
      <c r="F33" s="1629"/>
      <c r="G33" s="1629"/>
      <c r="H33" s="1629"/>
      <c r="I33" s="1629"/>
      <c r="J33" s="1630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874087</v>
      </c>
      <c r="F35" s="916">
        <v>877162.95</v>
      </c>
      <c r="G35" s="844">
        <f t="shared" ref="G35:G46" si="3">F35-E35</f>
        <v>3075.9499999999534</v>
      </c>
      <c r="H35" s="845">
        <f>G35+'25'!H35</f>
        <v>-9296.0500000000466</v>
      </c>
      <c r="I35" s="843"/>
      <c r="J35" s="847">
        <f>H35/DAY(B2)</f>
        <v>-357.54038461538642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341901.27</v>
      </c>
      <c r="F36" s="916">
        <v>342668.07</v>
      </c>
      <c r="G36" s="844">
        <f t="shared" si="3"/>
        <v>766.79999999998836</v>
      </c>
      <c r="H36" s="845">
        <f>G36+'25'!H36</f>
        <v>-1939.929999999993</v>
      </c>
      <c r="I36" s="843"/>
      <c r="J36" s="847">
        <f>H36/DAY(B2)</f>
        <v>-74.612692307692043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88949.67</v>
      </c>
      <c r="F37" s="916">
        <v>90281.09</v>
      </c>
      <c r="G37" s="844">
        <f t="shared" si="3"/>
        <v>1331.4199999999983</v>
      </c>
      <c r="H37" s="845">
        <f>G37+'25'!H37</f>
        <v>-4943.9100000000035</v>
      </c>
      <c r="I37" s="843"/>
      <c r="J37" s="847">
        <f>H37/DAY(B2)</f>
        <v>-190.15038461538475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112810.42</v>
      </c>
      <c r="F38" s="832">
        <v>114244.11</v>
      </c>
      <c r="G38" s="844">
        <f t="shared" si="3"/>
        <v>1433.6900000000023</v>
      </c>
      <c r="H38" s="845">
        <f>G38+'25'!H38</f>
        <v>-5351.8899999999994</v>
      </c>
      <c r="I38" s="843"/>
      <c r="J38" s="847">
        <f>H38/DAY(B2)</f>
        <v>-205.84192307692305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233993.75</v>
      </c>
      <c r="F39" s="916">
        <v>236905.11</v>
      </c>
      <c r="G39" s="844">
        <f t="shared" si="3"/>
        <v>2911.359999999986</v>
      </c>
      <c r="H39" s="845">
        <f>G39+'25'!H39</f>
        <v>-9747.890000000014</v>
      </c>
      <c r="I39" s="843"/>
      <c r="J39" s="847">
        <f>H39/DAY(B2)</f>
        <v>-374.91884615384669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-1.8179902028236938E-14</v>
      </c>
      <c r="I40" s="843"/>
      <c r="J40" s="847">
        <f>H40/DAY(B2)</f>
        <v>-6.9922700108603612E-16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164737.54999999999</v>
      </c>
      <c r="F41" s="916">
        <v>164850.88</v>
      </c>
      <c r="G41" s="844">
        <f t="shared" si="3"/>
        <v>113.3300000000163</v>
      </c>
      <c r="H41" s="845">
        <f>G41+'25'!H41</f>
        <v>-16677.119999999995</v>
      </c>
      <c r="I41" s="843"/>
      <c r="J41" s="847">
        <f>H41/DAY(B2)</f>
        <v>-641.42769230769215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59128.163</v>
      </c>
      <c r="F42" s="916">
        <v>59128.163</v>
      </c>
      <c r="G42" s="844">
        <f t="shared" si="3"/>
        <v>0</v>
      </c>
      <c r="H42" s="845">
        <f>G42+'25'!H42</f>
        <v>-71.836999999999534</v>
      </c>
      <c r="I42" s="843"/>
      <c r="J42" s="847">
        <f>H42/DAY(B2)</f>
        <v>-2.7629615384615205</v>
      </c>
      <c r="K42" s="863"/>
      <c r="L42" s="822"/>
      <c r="N42" s="1013">
        <f>3450-G42</f>
        <v>3450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962093.07</v>
      </c>
      <c r="F43" s="916">
        <v>964642.31</v>
      </c>
      <c r="G43" s="844">
        <f t="shared" si="3"/>
        <v>2549.2400000001071</v>
      </c>
      <c r="H43" s="845">
        <f>G43+'25'!H43</f>
        <v>-9315.6899999999441</v>
      </c>
      <c r="I43" s="843"/>
      <c r="J43" s="847">
        <f>H43/DAY(B2)</f>
        <v>-358.29576923076706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186.95</v>
      </c>
      <c r="I46" s="843"/>
      <c r="J46" s="847">
        <f>H46/DAY(B2)</f>
        <v>7.1903846153846152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12181.790000000052</v>
      </c>
      <c r="H47" s="845">
        <f>G47+'25'!H47</f>
        <v>-56542.876999999979</v>
      </c>
      <c r="I47" s="843"/>
      <c r="J47" s="847">
        <f>H47/DAY(B2)</f>
        <v>-2174.7260384615374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</v>
      </c>
      <c r="I49" s="843"/>
      <c r="J49" s="847">
        <f>H49/DAY(B2)</f>
        <v>0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469023.11</v>
      </c>
      <c r="F50" s="916">
        <v>470217.15</v>
      </c>
      <c r="G50" s="844">
        <f t="shared" si="4"/>
        <v>1194.0400000000373</v>
      </c>
      <c r="H50" s="845">
        <f>G50+'25'!H50</f>
        <v>-5257.8499999999767</v>
      </c>
      <c r="I50" s="843"/>
      <c r="J50" s="847">
        <f>H50/DAY(B2)</f>
        <v>-202.22499999999911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-0.13000000000465661</v>
      </c>
      <c r="I51" s="843"/>
      <c r="J51" s="847">
        <f>H51/DAY(B2)</f>
        <v>-5.0000000001791008E-3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0</v>
      </c>
      <c r="I52" s="843"/>
      <c r="J52" s="847">
        <f>H52/DAY(B2)</f>
        <v>0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413435.81</v>
      </c>
      <c r="F53" s="916">
        <v>414047.95</v>
      </c>
      <c r="G53" s="844">
        <f t="shared" si="4"/>
        <v>612.14000000001397</v>
      </c>
      <c r="H53" s="845">
        <f>G53+'25'!H53</f>
        <v>13158.950000000012</v>
      </c>
      <c r="I53" s="843"/>
      <c r="J53" s="847">
        <f>H53/DAY(B2)</f>
        <v>506.11346153846199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11007.63</v>
      </c>
      <c r="F54" s="916">
        <v>11085.133</v>
      </c>
      <c r="G54" s="844">
        <f t="shared" si="4"/>
        <v>77.503000000000611</v>
      </c>
      <c r="H54" s="845">
        <f>G54+'25'!H54</f>
        <v>3323.1329999999998</v>
      </c>
      <c r="I54" s="843"/>
      <c r="J54" s="847">
        <f>H54/DAY(B2)</f>
        <v>127.81280769230769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336375.99</v>
      </c>
      <c r="F55" s="916">
        <v>342358.67</v>
      </c>
      <c r="G55" s="844">
        <f t="shared" si="4"/>
        <v>5982.679999999993</v>
      </c>
      <c r="H55" s="845">
        <f>G55+'25'!H55</f>
        <v>342358.67</v>
      </c>
      <c r="I55" s="843"/>
      <c r="J55" s="847">
        <f>H55/DAY(B2)</f>
        <v>13167.641153846153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589206.43000000005</v>
      </c>
      <c r="F56" s="916">
        <v>589215.75</v>
      </c>
      <c r="G56" s="844">
        <f t="shared" si="4"/>
        <v>9.3199999999487773</v>
      </c>
      <c r="H56" s="845">
        <f>G56+'25'!H56</f>
        <v>-72.60999999998603</v>
      </c>
      <c r="I56" s="843"/>
      <c r="J56" s="847">
        <f>H56/DAY(B2)</f>
        <v>-2.7926923076917705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46057.65</v>
      </c>
      <c r="F58" s="916">
        <v>46210.811000000002</v>
      </c>
      <c r="G58" s="844">
        <f t="shared" si="4"/>
        <v>153.16100000000006</v>
      </c>
      <c r="H58" s="845">
        <f>G58+'25'!H58</f>
        <v>-506.18899999999849</v>
      </c>
      <c r="I58" s="843"/>
      <c r="J58" s="847">
        <f>H58/DAY(B2)</f>
        <v>-19.468807692307635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8028.8439999999937</v>
      </c>
      <c r="H59" s="845">
        <f>G59+'25'!H59</f>
        <v>353004.04399999999</v>
      </c>
      <c r="I59" s="843">
        <f>G7-G60</f>
        <v>322.36599999995451</v>
      </c>
      <c r="J59" s="847">
        <f>H59/DAY(B2)</f>
        <v>13577.078615384615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20210.634000000045</v>
      </c>
      <c r="H60" s="845">
        <f>G60+'25'!H60</f>
        <v>298045.05700000003</v>
      </c>
      <c r="I60" s="843">
        <f>G13-G60</f>
        <v>-316.79399999996167</v>
      </c>
      <c r="J60" s="847">
        <f>H60/DAY(B2)</f>
        <v>11463.271423076923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0.18199999999706051</v>
      </c>
      <c r="I62" s="927"/>
      <c r="J62" s="847">
        <f>H62/DAY(B2)</f>
        <v>6.999999999886943E-3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2333.34</v>
      </c>
      <c r="F63" s="926">
        <v>2339.09</v>
      </c>
      <c r="G63" s="844">
        <f t="shared" si="5"/>
        <v>5.75</v>
      </c>
      <c r="H63" s="845">
        <f>G63+'25'!H63</f>
        <v>-19.909999999999854</v>
      </c>
      <c r="I63" s="927"/>
      <c r="J63" s="847">
        <f>H63/DAY(B2)</f>
        <v>-0.76576923076922521</v>
      </c>
      <c r="K63" s="863"/>
      <c r="L63" s="822"/>
      <c r="O63" s="849"/>
    </row>
    <row r="64" spans="1:15" ht="20.100000000000001" customHeight="1">
      <c r="A64" s="1613" t="s">
        <v>99</v>
      </c>
      <c r="B64" s="1614"/>
      <c r="C64" s="1615"/>
      <c r="D64" s="842" t="s">
        <v>187</v>
      </c>
      <c r="E64" s="843">
        <f>'25'!F64</f>
        <v>151332.69</v>
      </c>
      <c r="F64" s="873">
        <v>151828.01999999999</v>
      </c>
      <c r="G64" s="844">
        <f t="shared" si="5"/>
        <v>495.32999999998719</v>
      </c>
      <c r="H64" s="845">
        <f>G64+'25'!H64</f>
        <v>-1470.9800000000105</v>
      </c>
      <c r="I64" s="864"/>
      <c r="J64" s="847">
        <f>H64/DAY(B2)</f>
        <v>-56.576153846154249</v>
      </c>
      <c r="K64" s="863"/>
      <c r="L64" s="822"/>
      <c r="O64" s="849"/>
    </row>
    <row r="65" spans="1:15" ht="20.100000000000001" customHeight="1">
      <c r="A65" s="1613" t="s">
        <v>100</v>
      </c>
      <c r="B65" s="1614"/>
      <c r="C65" s="1615"/>
      <c r="D65" s="842" t="s">
        <v>187</v>
      </c>
      <c r="E65" s="843">
        <f>'25'!F65</f>
        <v>153226.18</v>
      </c>
      <c r="F65" s="873">
        <v>153594.48000000001</v>
      </c>
      <c r="G65" s="844">
        <f t="shared" si="5"/>
        <v>368.30000000001746</v>
      </c>
      <c r="H65" s="845">
        <f>G65+'25'!H65</f>
        <v>-1004.5199999999895</v>
      </c>
      <c r="I65" s="882"/>
      <c r="J65" s="847">
        <f>H65/DAY(B2)</f>
        <v>-38.635384615384211</v>
      </c>
      <c r="K65" s="863"/>
      <c r="L65" s="822"/>
      <c r="O65" s="849"/>
    </row>
    <row r="66" spans="1:15" ht="20.100000000000001" customHeight="1">
      <c r="A66" s="1613" t="s">
        <v>101</v>
      </c>
      <c r="B66" s="1614"/>
      <c r="C66" s="1615"/>
      <c r="D66" s="842" t="s">
        <v>187</v>
      </c>
      <c r="E66" s="843">
        <f>'25'!F66</f>
        <v>46974.400000000001</v>
      </c>
      <c r="F66" s="873">
        <v>47352.91</v>
      </c>
      <c r="G66" s="844">
        <f t="shared" si="5"/>
        <v>378.51000000000204</v>
      </c>
      <c r="H66" s="845">
        <f>G66+'25'!H66</f>
        <v>-1218.0899999999965</v>
      </c>
      <c r="I66" s="864"/>
      <c r="J66" s="847">
        <f>H66/DAY(B2)</f>
        <v>-46.849615384615248</v>
      </c>
      <c r="K66" s="863"/>
      <c r="L66" s="822"/>
      <c r="O66" s="849"/>
    </row>
    <row r="67" spans="1:15" ht="20.100000000000001" customHeight="1">
      <c r="A67" s="1613" t="s">
        <v>102</v>
      </c>
      <c r="B67" s="1614"/>
      <c r="C67" s="1615"/>
      <c r="D67" s="842" t="s">
        <v>187</v>
      </c>
      <c r="E67" s="843">
        <f>'25'!F67</f>
        <v>241583.11</v>
      </c>
      <c r="F67" s="873">
        <v>241972.13</v>
      </c>
      <c r="G67" s="844">
        <f t="shared" si="5"/>
        <v>389.02000000001863</v>
      </c>
      <c r="H67" s="845">
        <f>G67+'25'!H67</f>
        <v>-1201.8699999999953</v>
      </c>
      <c r="I67" s="882"/>
      <c r="J67" s="847">
        <f>H67/DAY(B2)</f>
        <v>-46.225769230769053</v>
      </c>
      <c r="K67" s="870"/>
      <c r="L67" s="822"/>
      <c r="O67" s="849"/>
    </row>
    <row r="68" spans="1:15" ht="20.100000000000001" customHeight="1">
      <c r="A68" s="1613" t="s">
        <v>103</v>
      </c>
      <c r="B68" s="1614"/>
      <c r="C68" s="1615"/>
      <c r="D68" s="842" t="s">
        <v>187</v>
      </c>
      <c r="E68" s="843">
        <f>'25'!F68</f>
        <v>85321</v>
      </c>
      <c r="F68" s="873">
        <v>85321</v>
      </c>
      <c r="G68" s="844">
        <f t="shared" si="5"/>
        <v>0</v>
      </c>
      <c r="H68" s="845">
        <f>G68+'25'!H68</f>
        <v>0</v>
      </c>
      <c r="I68" s="928"/>
      <c r="J68" s="847">
        <f>H68/DAY(B2)</f>
        <v>0</v>
      </c>
      <c r="K68" s="929"/>
      <c r="L68" s="822"/>
      <c r="O68" s="849"/>
    </row>
    <row r="69" spans="1:15" ht="20.100000000000001" customHeight="1">
      <c r="A69" s="1613" t="s">
        <v>104</v>
      </c>
      <c r="B69" s="1614"/>
      <c r="C69" s="1615"/>
      <c r="D69" s="842" t="s">
        <v>187</v>
      </c>
      <c r="E69" s="843">
        <f>'25'!F69</f>
        <v>78609.8</v>
      </c>
      <c r="F69" s="873">
        <v>78730.27</v>
      </c>
      <c r="G69" s="844">
        <f t="shared" si="5"/>
        <v>120.47000000000116</v>
      </c>
      <c r="H69" s="845">
        <f>G69+'25'!H69</f>
        <v>-263.72999999999593</v>
      </c>
      <c r="I69" s="928"/>
      <c r="J69" s="847">
        <f>H69/DAY(B2)</f>
        <v>-10.143461538461382</v>
      </c>
      <c r="K69" s="930"/>
      <c r="L69" s="822"/>
      <c r="O69" s="849"/>
    </row>
    <row r="70" spans="1:15" ht="20.100000000000001" customHeight="1">
      <c r="A70" s="1622" t="s">
        <v>189</v>
      </c>
      <c r="B70" s="1623"/>
      <c r="C70" s="1624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619" t="s">
        <v>190</v>
      </c>
      <c r="B71" s="1620"/>
      <c r="C71" s="1620"/>
      <c r="D71" s="1620"/>
      <c r="E71" s="1620"/>
      <c r="F71" s="1620"/>
      <c r="G71" s="1620"/>
      <c r="H71" s="1620"/>
      <c r="I71" s="1620"/>
      <c r="J71" s="1621"/>
      <c r="K71" s="929"/>
      <c r="L71" s="822"/>
      <c r="O71" s="849"/>
    </row>
    <row r="72" spans="1:15" ht="20.100000000000001" customHeight="1">
      <c r="A72" s="1613" t="s">
        <v>191</v>
      </c>
      <c r="B72" s="1614"/>
      <c r="C72" s="1615"/>
      <c r="D72" s="842" t="s">
        <v>187</v>
      </c>
      <c r="E72" s="843">
        <f>'25'!F72</f>
        <v>855240</v>
      </c>
      <c r="F72" s="934">
        <v>855297</v>
      </c>
      <c r="G72" s="844">
        <f t="shared" ref="G72:G84" si="6">F72-E72</f>
        <v>57</v>
      </c>
      <c r="H72" s="845">
        <f>G72+'25'!H72</f>
        <v>-175</v>
      </c>
      <c r="I72" s="864"/>
      <c r="J72" s="847">
        <f>H72/DAY(B2)</f>
        <v>-6.7307692307692308</v>
      </c>
      <c r="K72" s="930"/>
      <c r="L72" s="822"/>
      <c r="O72" s="849"/>
    </row>
    <row r="73" spans="1:15" ht="20.100000000000001" customHeight="1">
      <c r="A73" s="1613" t="s">
        <v>192</v>
      </c>
      <c r="B73" s="1614"/>
      <c r="C73" s="1615"/>
      <c r="D73" s="842" t="s">
        <v>187</v>
      </c>
      <c r="E73" s="843">
        <f>'25'!F73</f>
        <v>885866</v>
      </c>
      <c r="F73" s="935">
        <v>885867</v>
      </c>
      <c r="G73" s="844">
        <f t="shared" si="6"/>
        <v>1</v>
      </c>
      <c r="H73" s="845">
        <f>G73+'25'!H73</f>
        <v>171</v>
      </c>
      <c r="I73" s="864"/>
      <c r="J73" s="847">
        <f>H73/DAY(B2)</f>
        <v>6.5769230769230766</v>
      </c>
      <c r="K73" s="929"/>
      <c r="L73" s="822"/>
      <c r="O73" s="849"/>
    </row>
    <row r="74" spans="1:15" ht="20.100000000000001" customHeight="1">
      <c r="A74" s="1613" t="s">
        <v>193</v>
      </c>
      <c r="B74" s="1614"/>
      <c r="C74" s="1615"/>
      <c r="D74" s="842" t="s">
        <v>187</v>
      </c>
      <c r="E74" s="843">
        <f>'25'!F74</f>
        <v>2124.8000000000002</v>
      </c>
      <c r="F74" s="936">
        <v>2156.4989999999998</v>
      </c>
      <c r="G74" s="844">
        <f t="shared" si="6"/>
        <v>31.698999999999614</v>
      </c>
      <c r="H74" s="845">
        <f>G74+'25'!H74</f>
        <v>-122.5010000000002</v>
      </c>
      <c r="I74" s="864"/>
      <c r="J74" s="847">
        <f>H74/DAY(B2)</f>
        <v>-4.7115769230769313</v>
      </c>
      <c r="K74" s="930"/>
      <c r="L74" s="822"/>
      <c r="O74" s="849"/>
    </row>
    <row r="75" spans="1:15" ht="20.100000000000001" customHeight="1">
      <c r="A75" s="1616" t="s">
        <v>194</v>
      </c>
      <c r="B75" s="1617"/>
      <c r="C75" s="1618"/>
      <c r="D75" s="842" t="s">
        <v>187</v>
      </c>
      <c r="E75" s="843">
        <f>'25'!F75</f>
        <v>10686.62</v>
      </c>
      <c r="F75" s="936">
        <v>10749.82</v>
      </c>
      <c r="G75" s="844">
        <f t="shared" si="6"/>
        <v>63.199999999998909</v>
      </c>
      <c r="H75" s="845">
        <f>G75+'25'!H75</f>
        <v>-220.18000000000029</v>
      </c>
      <c r="I75" s="864"/>
      <c r="J75" s="847">
        <f>H75/DAY(B2)</f>
        <v>-8.4684615384615505</v>
      </c>
      <c r="K75" s="929"/>
      <c r="L75" s="822"/>
      <c r="O75" s="849"/>
    </row>
    <row r="76" spans="1:15" ht="20.100000000000001" customHeight="1">
      <c r="A76" s="1616" t="s">
        <v>195</v>
      </c>
      <c r="B76" s="1617"/>
      <c r="C76" s="1618"/>
      <c r="D76" s="842" t="s">
        <v>187</v>
      </c>
      <c r="E76" s="843">
        <f>'25'!F76</f>
        <v>5466.88</v>
      </c>
      <c r="F76" s="935">
        <v>5511.8</v>
      </c>
      <c r="G76" s="844">
        <f t="shared" si="6"/>
        <v>44.920000000000073</v>
      </c>
      <c r="H76" s="845">
        <f>G76+'25'!H76</f>
        <v>-205.15000000000055</v>
      </c>
      <c r="I76" s="907"/>
      <c r="J76" s="847">
        <f>H76/DAY(B2)</f>
        <v>-7.8903846153846366</v>
      </c>
      <c r="K76" s="929"/>
      <c r="L76" s="822"/>
      <c r="O76" s="849"/>
    </row>
    <row r="77" spans="1:15" ht="20.100000000000001" customHeight="1">
      <c r="A77" s="1613" t="s">
        <v>196</v>
      </c>
      <c r="B77" s="1614"/>
      <c r="C77" s="1615"/>
      <c r="D77" s="842" t="s">
        <v>187</v>
      </c>
      <c r="E77" s="843">
        <f>'25'!F77</f>
        <v>701332</v>
      </c>
      <c r="F77" s="935">
        <v>701376</v>
      </c>
      <c r="G77" s="844">
        <f t="shared" si="6"/>
        <v>44</v>
      </c>
      <c r="H77" s="845">
        <f>G77+'25'!H77</f>
        <v>-186</v>
      </c>
      <c r="I77" s="907"/>
      <c r="J77" s="847">
        <f>H77/DAY(B2)</f>
        <v>-7.1538461538461542</v>
      </c>
      <c r="K77" s="929"/>
      <c r="L77" s="822"/>
      <c r="O77" s="849"/>
    </row>
    <row r="78" spans="1:15" ht="18.75" customHeight="1">
      <c r="A78" s="937" t="s">
        <v>197</v>
      </c>
      <c r="B78" s="1140"/>
      <c r="C78" s="1140"/>
      <c r="D78" s="842" t="s">
        <v>187</v>
      </c>
      <c r="E78" s="843">
        <f>'25'!F78</f>
        <v>669581</v>
      </c>
      <c r="F78" s="936">
        <v>669638</v>
      </c>
      <c r="G78" s="844">
        <f t="shared" si="6"/>
        <v>57</v>
      </c>
      <c r="H78" s="845">
        <f>G78+'25'!H78</f>
        <v>-387</v>
      </c>
      <c r="I78" s="907"/>
      <c r="J78" s="847">
        <f>H78/DAY(B2)</f>
        <v>-14.884615384615385</v>
      </c>
      <c r="K78" s="929"/>
      <c r="L78" s="822"/>
      <c r="O78" s="849"/>
    </row>
    <row r="79" spans="1:15" ht="20.100000000000001" customHeight="1">
      <c r="A79" s="1616" t="s">
        <v>92</v>
      </c>
      <c r="B79" s="1617"/>
      <c r="C79" s="1618"/>
      <c r="D79" s="876" t="s">
        <v>187</v>
      </c>
      <c r="E79" s="843">
        <f>'25'!F79</f>
        <v>825837</v>
      </c>
      <c r="F79" s="936">
        <v>826040</v>
      </c>
      <c r="G79" s="844">
        <f t="shared" si="6"/>
        <v>203</v>
      </c>
      <c r="H79" s="845">
        <f>G79+'25'!H79</f>
        <v>-1691</v>
      </c>
      <c r="I79" s="907"/>
      <c r="J79" s="847">
        <f>H79/DAY(B2)</f>
        <v>-65.038461538461533</v>
      </c>
      <c r="K79" s="929"/>
      <c r="L79" s="822"/>
      <c r="O79" s="849"/>
    </row>
    <row r="80" spans="1:15" ht="20.100000000000001" customHeight="1">
      <c r="A80" s="1616" t="s">
        <v>198</v>
      </c>
      <c r="B80" s="1617"/>
      <c r="C80" s="1618"/>
      <c r="D80" s="876" t="s">
        <v>187</v>
      </c>
      <c r="E80" s="843">
        <f>'25'!F80</f>
        <v>514920.64</v>
      </c>
      <c r="F80" s="1235">
        <v>515274.04</v>
      </c>
      <c r="G80" s="844">
        <f t="shared" si="6"/>
        <v>353.39999999996508</v>
      </c>
      <c r="H80" s="845">
        <f>G80+'25'!H80</f>
        <v>-4186.960000000021</v>
      </c>
      <c r="I80" s="907"/>
      <c r="J80" s="847">
        <f>H80/DAY(B2)</f>
        <v>-161.03692307692387</v>
      </c>
      <c r="K80" s="929"/>
      <c r="L80" s="822"/>
      <c r="O80" s="849"/>
    </row>
    <row r="81" spans="1:15" ht="20.100000000000001" customHeight="1">
      <c r="A81" s="1616" t="s">
        <v>199</v>
      </c>
      <c r="B81" s="1617"/>
      <c r="C81" s="1618"/>
      <c r="D81" s="876" t="s">
        <v>187</v>
      </c>
      <c r="E81" s="843">
        <f>'25'!F81</f>
        <v>636054.64</v>
      </c>
      <c r="F81" s="935">
        <v>636188.12</v>
      </c>
      <c r="G81" s="844">
        <f t="shared" si="6"/>
        <v>133.47999999998137</v>
      </c>
      <c r="H81" s="845">
        <f>G81+'25'!H81</f>
        <v>-289.88000000000466</v>
      </c>
      <c r="I81" s="907"/>
      <c r="J81" s="847">
        <f>H81/DAY(B2)</f>
        <v>-11.149230769230948</v>
      </c>
      <c r="K81" s="929"/>
      <c r="L81" s="822"/>
      <c r="O81" s="849"/>
    </row>
    <row r="82" spans="1:15" ht="20.100000000000001" customHeight="1">
      <c r="A82" s="1616" t="s">
        <v>93</v>
      </c>
      <c r="B82" s="1617"/>
      <c r="C82" s="1618"/>
      <c r="D82" s="877" t="s">
        <v>132</v>
      </c>
      <c r="E82" s="843">
        <f>'25'!F82</f>
        <v>107499.91</v>
      </c>
      <c r="F82" s="938">
        <v>107517.27</v>
      </c>
      <c r="G82" s="844">
        <f t="shared" si="6"/>
        <v>17.360000000000582</v>
      </c>
      <c r="H82" s="845">
        <f>G82+'25'!H82</f>
        <v>-94.729999999995925</v>
      </c>
      <c r="I82" s="878"/>
      <c r="J82" s="847">
        <f>H82/DAY(B2)</f>
        <v>-3.6434615384613815</v>
      </c>
      <c r="K82" s="929"/>
      <c r="L82" s="822"/>
      <c r="O82" s="849"/>
    </row>
    <row r="83" spans="1:15" ht="20.100000000000001" customHeight="1">
      <c r="A83" s="1616" t="s">
        <v>200</v>
      </c>
      <c r="B83" s="1617"/>
      <c r="C83" s="1618"/>
      <c r="D83" s="939" t="s">
        <v>132</v>
      </c>
      <c r="E83" s="843">
        <f>'25'!F83</f>
        <v>13581</v>
      </c>
      <c r="F83" s="829">
        <v>13858</v>
      </c>
      <c r="G83" s="844">
        <f t="shared" si="6"/>
        <v>277</v>
      </c>
      <c r="H83" s="845">
        <f>G83+'25'!H83</f>
        <v>-913</v>
      </c>
      <c r="I83" s="867"/>
      <c r="J83" s="847">
        <f>H83/DAY(B2)</f>
        <v>-35.115384615384613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476318</v>
      </c>
      <c r="F84" s="942">
        <v>477299</v>
      </c>
      <c r="G84" s="844">
        <f t="shared" si="6"/>
        <v>981</v>
      </c>
      <c r="H84" s="845">
        <f>G84+'25'!H84</f>
        <v>-2834</v>
      </c>
      <c r="I84" s="867"/>
      <c r="J84" s="847">
        <f>H84/DAY(B2)</f>
        <v>-109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2264.0589999999456</v>
      </c>
      <c r="H85" s="845">
        <f>G85+'25'!H85</f>
        <v>-7625.4510000000218</v>
      </c>
      <c r="I85" s="867"/>
      <c r="J85" s="847">
        <f>H85/DAY(B2)</f>
        <v>-293.28657692307775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458418.44</v>
      </c>
      <c r="F86" s="951">
        <v>458610.04</v>
      </c>
      <c r="G86" s="952">
        <f t="shared" ref="G86:G90" si="7">F86-E86</f>
        <v>191.59999999997672</v>
      </c>
      <c r="H86" s="952">
        <f t="shared" ref="H86:H88" si="8">G86</f>
        <v>191.59999999997672</v>
      </c>
      <c r="I86" s="953"/>
      <c r="J86" s="954">
        <f>H86/DAY(B2)</f>
        <v>7.3692307692298735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80847.3</v>
      </c>
      <c r="F87" s="1287">
        <v>80862.399999999994</v>
      </c>
      <c r="G87" s="952">
        <f t="shared" si="7"/>
        <v>15.099999999991269</v>
      </c>
      <c r="H87" s="952">
        <f t="shared" si="8"/>
        <v>15.099999999991269</v>
      </c>
      <c r="I87" s="953"/>
      <c r="J87" s="954">
        <f>H87/DAY(B2)</f>
        <v>0.58076923076889497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151589.5</v>
      </c>
      <c r="F88" s="951">
        <v>151712.71</v>
      </c>
      <c r="G88" s="952">
        <f t="shared" si="7"/>
        <v>123.20999999999185</v>
      </c>
      <c r="H88" s="952">
        <f t="shared" si="8"/>
        <v>123.20999999999185</v>
      </c>
      <c r="I88" s="953"/>
      <c r="J88" s="954">
        <f>H88/DAY(B2)</f>
        <v>4.7388461538458406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64633.7</v>
      </c>
      <c r="F89" s="951">
        <v>64676</v>
      </c>
      <c r="G89" s="952">
        <f t="shared" si="7"/>
        <v>42.30000000000291</v>
      </c>
      <c r="H89" s="952">
        <f>G89</f>
        <v>42.30000000000291</v>
      </c>
      <c r="I89" s="953"/>
      <c r="J89" s="954">
        <f>H89/DAY(B2)</f>
        <v>1.6269230769231888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738" customFormat="1" ht="29.25">
      <c r="A91" s="733" t="s">
        <v>365</v>
      </c>
      <c r="B91" s="734"/>
      <c r="C91" s="734"/>
      <c r="D91" s="735"/>
      <c r="E91" s="843">
        <f>'25'!F91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947" customFormat="1" ht="20.100000000000001" customHeight="1">
      <c r="A92" s="958" t="s">
        <v>205</v>
      </c>
      <c r="B92" s="837"/>
      <c r="C92" s="837"/>
      <c r="D92" s="837"/>
      <c r="E92" s="837"/>
      <c r="F92" s="837"/>
      <c r="G92" s="881"/>
      <c r="H92" s="837"/>
      <c r="I92" s="837"/>
      <c r="J92" s="838"/>
      <c r="K92" s="943"/>
      <c r="L92" s="946"/>
      <c r="N92" s="1014"/>
      <c r="O92" s="849"/>
    </row>
    <row r="93" spans="1:15" ht="20.100000000000001" customHeight="1">
      <c r="A93" s="1607" t="s">
        <v>206</v>
      </c>
      <c r="B93" s="1608"/>
      <c r="C93" s="1609"/>
      <c r="D93" s="842" t="s">
        <v>144</v>
      </c>
      <c r="E93" s="843">
        <f>'25'!F93</f>
        <v>244360</v>
      </c>
      <c r="F93" s="873">
        <v>244417</v>
      </c>
      <c r="G93" s="844">
        <f t="shared" ref="G93:G94" si="9">F93-E93</f>
        <v>57</v>
      </c>
      <c r="H93" s="845">
        <f>G93+'25'!H93</f>
        <v>-107</v>
      </c>
      <c r="I93" s="864"/>
      <c r="J93" s="847">
        <f>H93/DAY(B2)</f>
        <v>-4.115384615384615</v>
      </c>
      <c r="K93" s="870"/>
      <c r="L93" s="822"/>
      <c r="O93" s="849"/>
    </row>
    <row r="94" spans="1:15" ht="20.100000000000001" customHeight="1">
      <c r="A94" s="1607" t="s">
        <v>207</v>
      </c>
      <c r="B94" s="1608"/>
      <c r="C94" s="1609"/>
      <c r="D94" s="842" t="s">
        <v>144</v>
      </c>
      <c r="E94" s="843">
        <f>'25'!F94</f>
        <v>183107</v>
      </c>
      <c r="F94" s="873">
        <v>183226</v>
      </c>
      <c r="G94" s="844">
        <f t="shared" si="9"/>
        <v>119</v>
      </c>
      <c r="H94" s="845">
        <f>G94+'25'!H94</f>
        <v>-305</v>
      </c>
      <c r="I94" s="864"/>
      <c r="J94" s="847">
        <f>H94/DAY(B2)</f>
        <v>-11.73076923076923</v>
      </c>
      <c r="K94" s="943"/>
      <c r="L94" s="822"/>
      <c r="O94" s="849"/>
    </row>
    <row r="95" spans="1:15" ht="20.100000000000001" customHeight="1">
      <c r="A95" s="1599" t="s">
        <v>208</v>
      </c>
      <c r="B95" s="1600"/>
      <c r="C95" s="1601"/>
      <c r="D95" s="842"/>
      <c r="E95" s="843">
        <f>'25'!F95</f>
        <v>0</v>
      </c>
      <c r="F95" s="873"/>
      <c r="G95" s="844">
        <f>G93+G94</f>
        <v>176</v>
      </c>
      <c r="H95" s="845">
        <f>G95+'25'!H95</f>
        <v>-559</v>
      </c>
      <c r="I95" s="864"/>
      <c r="J95" s="847">
        <f>H95/DAY(B2)</f>
        <v>-21.5</v>
      </c>
      <c r="K95" s="943"/>
      <c r="L95" s="822"/>
      <c r="O95" s="849"/>
    </row>
    <row r="96" spans="1:15" ht="20.100000000000001" customHeight="1">
      <c r="A96" s="1607" t="s">
        <v>209</v>
      </c>
      <c r="B96" s="1608"/>
      <c r="C96" s="1609"/>
      <c r="D96" s="842" t="s">
        <v>144</v>
      </c>
      <c r="E96" s="843">
        <f>'25'!F96</f>
        <v>412574</v>
      </c>
      <c r="F96" s="873">
        <v>412654</v>
      </c>
      <c r="G96" s="844">
        <f t="shared" ref="G96:G101" si="10">F96-E96</f>
        <v>80</v>
      </c>
      <c r="H96" s="845">
        <f>G96+'25'!H96</f>
        <v>-232</v>
      </c>
      <c r="I96" s="864"/>
      <c r="J96" s="847">
        <f>H96/DAY(B2)</f>
        <v>-8.9230769230769234</v>
      </c>
      <c r="K96" s="943"/>
      <c r="L96" s="822"/>
      <c r="O96" s="849"/>
    </row>
    <row r="97" spans="1:15" ht="20.100000000000001" customHeight="1">
      <c r="A97" s="871" t="s">
        <v>210</v>
      </c>
      <c r="B97" s="872"/>
      <c r="C97" s="872"/>
      <c r="D97" s="842" t="s">
        <v>144</v>
      </c>
      <c r="E97" s="843">
        <f>'25'!F97</f>
        <v>102282</v>
      </c>
      <c r="F97" s="873">
        <v>102303</v>
      </c>
      <c r="G97" s="844">
        <f t="shared" si="10"/>
        <v>21</v>
      </c>
      <c r="H97" s="845">
        <f>G97+'25'!H97</f>
        <v>-40</v>
      </c>
      <c r="I97" s="864"/>
      <c r="J97" s="847">
        <f>H97/DAY(B2)</f>
        <v>-1.5384615384615385</v>
      </c>
      <c r="K97" s="839"/>
      <c r="L97" s="822"/>
      <c r="O97" s="849"/>
    </row>
    <row r="98" spans="1:15" ht="20.100000000000001" customHeight="1">
      <c r="A98" s="871" t="s">
        <v>211</v>
      </c>
      <c r="B98" s="872"/>
      <c r="C98" s="872"/>
      <c r="D98" s="842" t="s">
        <v>144</v>
      </c>
      <c r="E98" s="843">
        <f>'25'!F98</f>
        <v>97367</v>
      </c>
      <c r="F98" s="873">
        <v>97381</v>
      </c>
      <c r="G98" s="844">
        <f t="shared" si="10"/>
        <v>14</v>
      </c>
      <c r="H98" s="845">
        <f>G98+'25'!H98</f>
        <v>-46</v>
      </c>
      <c r="I98" s="864"/>
      <c r="J98" s="847">
        <f>H98/DAY(B2)</f>
        <v>-1.7692307692307692</v>
      </c>
      <c r="K98" s="959"/>
      <c r="L98" s="822"/>
      <c r="O98" s="849"/>
    </row>
    <row r="99" spans="1:15" ht="20.100000000000001" customHeight="1">
      <c r="A99" s="871" t="s">
        <v>212</v>
      </c>
      <c r="B99" s="872"/>
      <c r="C99" s="872"/>
      <c r="D99" s="842" t="s">
        <v>144</v>
      </c>
      <c r="E99" s="843">
        <f>'25'!F99</f>
        <v>149495</v>
      </c>
      <c r="F99" s="873">
        <v>149505</v>
      </c>
      <c r="G99" s="844">
        <f t="shared" si="10"/>
        <v>10</v>
      </c>
      <c r="H99" s="845">
        <f>G99+'25'!H99</f>
        <v>-28</v>
      </c>
      <c r="I99" s="864"/>
      <c r="J99" s="847">
        <f>H99/DAY(B2)</f>
        <v>-1.0769230769230769</v>
      </c>
      <c r="K99" s="943"/>
      <c r="L99" s="822"/>
      <c r="O99" s="849"/>
    </row>
    <row r="100" spans="1:15" ht="20.100000000000001" customHeight="1">
      <c r="A100" s="871" t="s">
        <v>213</v>
      </c>
      <c r="B100" s="872"/>
      <c r="C100" s="872"/>
      <c r="D100" s="842" t="s">
        <v>144</v>
      </c>
      <c r="E100" s="843">
        <f>'25'!F100</f>
        <v>7163</v>
      </c>
      <c r="F100" s="873">
        <v>7170</v>
      </c>
      <c r="G100" s="844">
        <f t="shared" si="10"/>
        <v>7</v>
      </c>
      <c r="H100" s="845">
        <f>G100+'25'!H100</f>
        <v>-15</v>
      </c>
      <c r="I100" s="864"/>
      <c r="J100" s="847">
        <f>H100/DAY(B2)</f>
        <v>-0.57692307692307687</v>
      </c>
      <c r="K100" s="943"/>
      <c r="L100" s="822"/>
      <c r="O100" s="849"/>
    </row>
    <row r="101" spans="1:15" ht="20.100000000000001" customHeight="1">
      <c r="A101" s="871" t="s">
        <v>214</v>
      </c>
      <c r="B101" s="872"/>
      <c r="C101" s="872"/>
      <c r="D101" s="842" t="s">
        <v>144</v>
      </c>
      <c r="E101" s="843">
        <f>'25'!F101</f>
        <v>5121</v>
      </c>
      <c r="F101" s="873">
        <v>5124</v>
      </c>
      <c r="G101" s="844">
        <f t="shared" si="10"/>
        <v>3</v>
      </c>
      <c r="H101" s="845">
        <f>G101+'25'!H101</f>
        <v>-14</v>
      </c>
      <c r="I101" s="864"/>
      <c r="J101" s="847">
        <f>H101/DAY(B2)</f>
        <v>-0.53846153846153844</v>
      </c>
      <c r="K101" s="943"/>
      <c r="L101" s="822"/>
      <c r="O101" s="849"/>
    </row>
    <row r="102" spans="1:15" ht="20.100000000000001" customHeight="1">
      <c r="A102" s="1599" t="s">
        <v>216</v>
      </c>
      <c r="B102" s="1600"/>
      <c r="C102" s="1601"/>
      <c r="D102" s="876"/>
      <c r="E102" s="876"/>
      <c r="F102" s="876"/>
      <c r="G102" s="960">
        <f>SUM(G96:G101)</f>
        <v>135</v>
      </c>
      <c r="H102" s="845">
        <f>G102+'25'!H102</f>
        <v>-375</v>
      </c>
      <c r="I102" s="961"/>
      <c r="J102" s="847">
        <f>H102/DAY(B2)</f>
        <v>-14.423076923076923</v>
      </c>
      <c r="K102" s="943"/>
      <c r="L102" s="822"/>
      <c r="O102" s="849"/>
    </row>
    <row r="103" spans="1:15" s="894" customFormat="1" ht="25.5" customHeight="1">
      <c r="A103" s="962" t="s">
        <v>217</v>
      </c>
      <c r="B103" s="963"/>
      <c r="C103" s="963"/>
      <c r="D103" s="964"/>
      <c r="E103" s="965"/>
      <c r="F103" s="966"/>
      <c r="G103" s="967"/>
      <c r="H103" s="968"/>
      <c r="I103" s="969"/>
      <c r="J103" s="970"/>
      <c r="N103" s="1012"/>
      <c r="O103" s="849"/>
    </row>
    <row r="104" spans="1:15" s="894" customFormat="1" ht="21.75" customHeight="1">
      <c r="A104" s="1596" t="s">
        <v>218</v>
      </c>
      <c r="B104" s="1597"/>
      <c r="C104" s="971"/>
      <c r="D104" s="972"/>
      <c r="E104" s="973"/>
      <c r="F104" s="973"/>
      <c r="G104" s="973"/>
      <c r="H104" s="974"/>
      <c r="I104" s="973"/>
      <c r="J104" s="975"/>
      <c r="N104" s="1012"/>
      <c r="O104" s="849"/>
    </row>
    <row r="105" spans="1:15" s="894" customFormat="1" ht="21.75" customHeight="1">
      <c r="A105" s="1590" t="s">
        <v>219</v>
      </c>
      <c r="B105" s="1591"/>
      <c r="C105" s="976"/>
      <c r="D105" s="972" t="s">
        <v>144</v>
      </c>
      <c r="E105" s="973">
        <f>'25'!F105</f>
        <v>7423</v>
      </c>
      <c r="F105" s="973">
        <v>7423</v>
      </c>
      <c r="G105" s="973">
        <f>F105-E105</f>
        <v>0</v>
      </c>
      <c r="H105" s="974">
        <f>SUM(G105+'1'!G76)</f>
        <v>57</v>
      </c>
      <c r="I105" s="973"/>
      <c r="J105" s="975">
        <f>H105/DAY(B2)</f>
        <v>2.1923076923076925</v>
      </c>
      <c r="N105" s="1012"/>
      <c r="O105" s="849"/>
    </row>
    <row r="106" spans="1:15" s="894" customFormat="1" ht="21.75" customHeight="1">
      <c r="A106" s="1590" t="s">
        <v>77</v>
      </c>
      <c r="B106" s="1591"/>
      <c r="C106" s="976"/>
      <c r="D106" s="972" t="s">
        <v>144</v>
      </c>
      <c r="E106" s="973">
        <f>'25'!F106</f>
        <v>35806</v>
      </c>
      <c r="F106" s="977">
        <v>35814</v>
      </c>
      <c r="G106" s="973">
        <f t="shared" ref="G106:G107" si="11">F106-E106</f>
        <v>8</v>
      </c>
      <c r="H106" s="974">
        <f>SUM(G106+'1'!G77)</f>
        <v>58</v>
      </c>
      <c r="I106" s="973"/>
      <c r="J106" s="975">
        <f>H106/DAY(B2)</f>
        <v>2.2307692307692308</v>
      </c>
      <c r="N106" s="1012"/>
      <c r="O106" s="849"/>
    </row>
    <row r="107" spans="1:15" s="894" customFormat="1" ht="21.75" customHeight="1">
      <c r="A107" s="1590" t="s">
        <v>78</v>
      </c>
      <c r="B107" s="1598"/>
      <c r="C107" s="1591"/>
      <c r="D107" s="972" t="s">
        <v>144</v>
      </c>
      <c r="E107" s="973">
        <f>'25'!F107</f>
        <v>19593</v>
      </c>
      <c r="F107" s="973">
        <v>19598</v>
      </c>
      <c r="G107" s="973">
        <f t="shared" si="11"/>
        <v>5</v>
      </c>
      <c r="H107" s="974">
        <f>SUM(G107+'1'!G78)</f>
        <v>129</v>
      </c>
      <c r="I107" s="973"/>
      <c r="J107" s="975">
        <f>H107/DAY(B2)</f>
        <v>4.9615384615384617</v>
      </c>
      <c r="N107" s="1012"/>
      <c r="O107" s="849"/>
    </row>
    <row r="108" spans="1:15" s="894" customFormat="1" ht="21.75" customHeight="1">
      <c r="A108" s="1592" t="s">
        <v>202</v>
      </c>
      <c r="B108" s="1593"/>
      <c r="C108" s="976"/>
      <c r="D108" s="972"/>
      <c r="E108" s="973">
        <f>'25'!F108</f>
        <v>0</v>
      </c>
      <c r="F108" s="973"/>
      <c r="G108" s="973">
        <f>SUM(G105:G107)</f>
        <v>13</v>
      </c>
      <c r="H108" s="974">
        <f>SUM(G108+'1'!G79)</f>
        <v>202</v>
      </c>
      <c r="I108" s="973"/>
      <c r="J108" s="975">
        <f>H108/DAY(B2)</f>
        <v>7.7692307692307692</v>
      </c>
      <c r="N108" s="1012"/>
      <c r="O108" s="849"/>
    </row>
    <row r="109" spans="1:15" s="894" customFormat="1" ht="21.75" customHeight="1">
      <c r="A109" s="1588" t="s">
        <v>79</v>
      </c>
      <c r="B109" s="1589"/>
      <c r="C109" s="976"/>
      <c r="D109" s="972" t="s">
        <v>144</v>
      </c>
      <c r="E109" s="973">
        <f>'25'!F109</f>
        <v>0</v>
      </c>
      <c r="F109" s="973"/>
      <c r="G109" s="973"/>
      <c r="H109" s="974"/>
      <c r="I109" s="973"/>
      <c r="J109" s="975"/>
      <c r="N109" s="1012"/>
      <c r="O109" s="849"/>
    </row>
    <row r="110" spans="1:15" s="894" customFormat="1" ht="21.75" customHeight="1">
      <c r="A110" s="1590" t="s">
        <v>220</v>
      </c>
      <c r="B110" s="1591"/>
      <c r="C110" s="976"/>
      <c r="D110" s="972" t="s">
        <v>144</v>
      </c>
      <c r="E110" s="973">
        <f>'25'!F110</f>
        <v>60749</v>
      </c>
      <c r="F110" s="973">
        <v>60813</v>
      </c>
      <c r="G110" s="973">
        <f>F110-E110</f>
        <v>64</v>
      </c>
      <c r="H110" s="974">
        <f>SUM(G110+'1'!G81)</f>
        <v>145</v>
      </c>
      <c r="I110" s="973"/>
      <c r="J110" s="975">
        <f>H110/DAY(B2)</f>
        <v>5.5769230769230766</v>
      </c>
      <c r="N110" s="1012"/>
      <c r="O110" s="849"/>
    </row>
    <row r="111" spans="1:15" s="894" customFormat="1" ht="21.75" customHeight="1">
      <c r="A111" s="1590" t="s">
        <v>221</v>
      </c>
      <c r="B111" s="1591"/>
      <c r="C111" s="976"/>
      <c r="D111" s="972" t="s">
        <v>144</v>
      </c>
      <c r="E111" s="973">
        <f>'25'!F111</f>
        <v>32176</v>
      </c>
      <c r="F111" s="973">
        <v>32194</v>
      </c>
      <c r="G111" s="973">
        <f t="shared" ref="G111:G112" si="12">F111-E111</f>
        <v>18</v>
      </c>
      <c r="H111" s="974">
        <f>SUM(G111+'1'!G82)</f>
        <v>30</v>
      </c>
      <c r="I111" s="973"/>
      <c r="J111" s="975">
        <f>H111/DAY(B2)</f>
        <v>1.1538461538461537</v>
      </c>
      <c r="N111" s="1012"/>
      <c r="O111" s="849"/>
    </row>
    <row r="112" spans="1:15" s="894" customFormat="1" ht="21.75" customHeight="1">
      <c r="A112" s="1590" t="s">
        <v>222</v>
      </c>
      <c r="B112" s="1591"/>
      <c r="C112" s="976"/>
      <c r="D112" s="972" t="s">
        <v>144</v>
      </c>
      <c r="E112" s="973">
        <f>'25'!F112</f>
        <v>4346</v>
      </c>
      <c r="F112" s="973">
        <v>4363</v>
      </c>
      <c r="G112" s="973">
        <f t="shared" si="12"/>
        <v>17</v>
      </c>
      <c r="H112" s="974">
        <f>SUM(G112+'1'!G83)</f>
        <v>272</v>
      </c>
      <c r="I112" s="973"/>
      <c r="J112" s="975">
        <f>H112/DAY(B2)</f>
        <v>10.461538461538462</v>
      </c>
      <c r="N112" s="1012"/>
      <c r="O112" s="849"/>
    </row>
    <row r="113" spans="1:15" s="894" customFormat="1" ht="21.75" customHeight="1">
      <c r="A113" s="1594" t="s">
        <v>110</v>
      </c>
      <c r="B113" s="1595"/>
      <c r="C113" s="976"/>
      <c r="D113" s="972"/>
      <c r="E113" s="973">
        <f>'25'!F113</f>
        <v>0</v>
      </c>
      <c r="F113" s="973"/>
      <c r="G113" s="973">
        <f>SUM(G110:G112)</f>
        <v>99</v>
      </c>
      <c r="H113" s="974">
        <f>SUM(G113+'1'!G84)</f>
        <v>814</v>
      </c>
      <c r="I113" s="973"/>
      <c r="J113" s="975">
        <f>H113/DAY(B2)</f>
        <v>31.307692307692307</v>
      </c>
      <c r="N113" s="1012"/>
      <c r="O113" s="849"/>
    </row>
    <row r="114" spans="1:15" s="894" customFormat="1" ht="21.75" customHeight="1">
      <c r="A114" s="1588" t="s">
        <v>223</v>
      </c>
      <c r="B114" s="1589"/>
      <c r="C114" s="976"/>
      <c r="D114" s="972"/>
      <c r="E114" s="973">
        <f>'25'!F114</f>
        <v>0</v>
      </c>
      <c r="F114" s="973"/>
      <c r="G114" s="973"/>
      <c r="H114" s="974"/>
      <c r="I114" s="973"/>
      <c r="J114" s="975">
        <f>H114/DAY(B2)</f>
        <v>0</v>
      </c>
      <c r="N114" s="1012"/>
      <c r="O114" s="849"/>
    </row>
    <row r="115" spans="1:15" s="894" customFormat="1" ht="21.75" customHeight="1">
      <c r="A115" s="1590" t="s">
        <v>224</v>
      </c>
      <c r="B115" s="1591"/>
      <c r="C115" s="978"/>
      <c r="D115" s="972" t="s">
        <v>144</v>
      </c>
      <c r="E115" s="973">
        <f>'25'!F115</f>
        <v>11230</v>
      </c>
      <c r="F115" s="977">
        <v>11240</v>
      </c>
      <c r="G115" s="977">
        <f>F115-E115</f>
        <v>10</v>
      </c>
      <c r="H115" s="974">
        <f>SUM(G115+'1'!G92)</f>
        <v>10</v>
      </c>
      <c r="I115" s="973"/>
      <c r="J115" s="975">
        <f>H115/DAY(B2)</f>
        <v>0.38461538461538464</v>
      </c>
      <c r="N115" s="1012"/>
      <c r="O115" s="849"/>
    </row>
    <row r="116" spans="1:15" s="894" customFormat="1" ht="21.75" customHeight="1">
      <c r="A116" s="1590" t="s">
        <v>225</v>
      </c>
      <c r="B116" s="1591"/>
      <c r="C116" s="978"/>
      <c r="D116" s="972" t="s">
        <v>144</v>
      </c>
      <c r="E116" s="973">
        <f>'25'!F116</f>
        <v>8114</v>
      </c>
      <c r="F116" s="977">
        <v>8119</v>
      </c>
      <c r="G116" s="977">
        <f t="shared" ref="G116:G117" si="13">F116-E116</f>
        <v>5</v>
      </c>
      <c r="H116" s="974">
        <f>SUM(G116+'1'!G93)</f>
        <v>57</v>
      </c>
      <c r="I116" s="973"/>
      <c r="J116" s="975">
        <f>H116/DAY(B2)</f>
        <v>2.1923076923076925</v>
      </c>
      <c r="N116" s="1012"/>
      <c r="O116" s="849"/>
    </row>
    <row r="117" spans="1:15" s="894" customFormat="1" ht="21.75" customHeight="1">
      <c r="A117" s="1590" t="s">
        <v>226</v>
      </c>
      <c r="B117" s="1591"/>
      <c r="C117" s="978"/>
      <c r="D117" s="972" t="s">
        <v>144</v>
      </c>
      <c r="E117" s="977"/>
      <c r="F117" s="977"/>
      <c r="G117" s="977">
        <f t="shared" si="13"/>
        <v>0</v>
      </c>
      <c r="H117" s="974">
        <f>SUM(G117+'1'!G94)</f>
        <v>95</v>
      </c>
      <c r="I117" s="973"/>
      <c r="J117" s="975">
        <f>H117/DAY(B2)</f>
        <v>3.6538461538461537</v>
      </c>
      <c r="N117" s="1012"/>
      <c r="O117" s="849"/>
    </row>
    <row r="118" spans="1:15" s="980" customFormat="1">
      <c r="A118" s="1592" t="s">
        <v>202</v>
      </c>
      <c r="B118" s="1593"/>
      <c r="C118" s="978"/>
      <c r="D118" s="979"/>
      <c r="E118" s="977"/>
      <c r="F118" s="977"/>
      <c r="G118" s="977">
        <f>SUM(G115:G117)</f>
        <v>15</v>
      </c>
      <c r="H118" s="974">
        <f>SUM(G118+'1'!G96)</f>
        <v>87</v>
      </c>
      <c r="I118" s="977"/>
      <c r="J118" s="975">
        <f>H118/DAY(B2)</f>
        <v>3.3461538461538463</v>
      </c>
      <c r="N118" s="1017"/>
      <c r="O118" s="849"/>
    </row>
    <row r="119" spans="1:15" s="772" customFormat="1">
      <c r="A119" s="1584" t="s">
        <v>227</v>
      </c>
      <c r="B119" s="1585"/>
      <c r="C119" s="981"/>
      <c r="D119" s="982" t="s">
        <v>144</v>
      </c>
      <c r="E119" s="983"/>
      <c r="F119" s="984"/>
      <c r="G119" s="984">
        <f>SUM(G19+G93)</f>
        <v>116</v>
      </c>
      <c r="H119" s="974">
        <f>SUM(G119+'1'!G97)</f>
        <v>128</v>
      </c>
      <c r="I119" s="983"/>
      <c r="J119" s="985">
        <f>H119/DAY(B2)</f>
        <v>4.9230769230769234</v>
      </c>
      <c r="N119" s="1018"/>
      <c r="O119" s="849"/>
    </row>
    <row r="120" spans="1:15" s="772" customFormat="1">
      <c r="A120" s="1584" t="s">
        <v>228</v>
      </c>
      <c r="B120" s="1585"/>
      <c r="C120" s="981"/>
      <c r="D120" s="982" t="s">
        <v>144</v>
      </c>
      <c r="E120" s="983"/>
      <c r="F120" s="984"/>
      <c r="G120" s="984">
        <f>SUM(G96,G97,G98,G100,G101)</f>
        <v>125</v>
      </c>
      <c r="H120" s="974">
        <f>SUM(G120+'1'!G99)</f>
        <v>130</v>
      </c>
      <c r="I120" s="983"/>
      <c r="J120" s="985">
        <f>H120/DAY(B2)</f>
        <v>5</v>
      </c>
      <c r="N120" s="1018"/>
      <c r="O120" s="849"/>
    </row>
    <row r="121" spans="1:15" s="772" customFormat="1">
      <c r="A121" s="1584" t="s">
        <v>229</v>
      </c>
      <c r="B121" s="1585"/>
      <c r="C121" s="981"/>
      <c r="D121" s="982" t="s">
        <v>144</v>
      </c>
      <c r="E121" s="983"/>
      <c r="F121" s="977"/>
      <c r="G121" s="977">
        <f>SUM(G113)</f>
        <v>99</v>
      </c>
      <c r="H121" s="974">
        <f>SUM(G121+'1'!G101)</f>
        <v>105</v>
      </c>
      <c r="I121" s="983"/>
      <c r="J121" s="985">
        <f>H121/DAY(B2)</f>
        <v>4.0384615384615383</v>
      </c>
      <c r="N121" s="1018"/>
      <c r="O121" s="849"/>
    </row>
    <row r="122" spans="1:15" s="894" customFormat="1" ht="18.75" customHeight="1">
      <c r="A122" s="1586"/>
      <c r="B122" s="1587"/>
      <c r="C122" s="976"/>
      <c r="D122" s="971"/>
      <c r="E122" s="971"/>
      <c r="F122" s="971"/>
      <c r="G122" s="971"/>
      <c r="H122" s="986"/>
      <c r="I122" s="971"/>
      <c r="J122" s="987"/>
      <c r="N122" s="1012"/>
      <c r="O122" s="849"/>
    </row>
    <row r="123" spans="1:15" ht="20.100000000000001" customHeight="1">
      <c r="A123" s="1602" t="s">
        <v>230</v>
      </c>
      <c r="B123" s="1603"/>
      <c r="C123" s="1604"/>
      <c r="D123" s="837"/>
      <c r="E123" s="837"/>
      <c r="F123" s="837"/>
      <c r="G123" s="869"/>
      <c r="H123" s="869"/>
      <c r="I123" s="869"/>
      <c r="J123" s="988"/>
      <c r="K123" s="943"/>
      <c r="L123" s="822"/>
      <c r="O123" s="849"/>
    </row>
    <row r="124" spans="1:15" ht="22.5" customHeight="1">
      <c r="A124" s="871" t="s">
        <v>231</v>
      </c>
      <c r="B124" s="872"/>
      <c r="C124" s="872"/>
      <c r="D124" s="842" t="s">
        <v>141</v>
      </c>
      <c r="E124" s="843">
        <f>'25'!F124</f>
        <v>825044.82</v>
      </c>
      <c r="F124" s="861">
        <v>825273.45</v>
      </c>
      <c r="G124" s="844">
        <f t="shared" ref="G124:G128" si="14">F124-E124</f>
        <v>228.63000000000466</v>
      </c>
      <c r="H124" s="845">
        <f>G124+'25'!H124</f>
        <v>-815.01000000000931</v>
      </c>
      <c r="I124" s="961"/>
      <c r="J124" s="847">
        <f>H124/DAY(B2)</f>
        <v>-31.34653846153882</v>
      </c>
      <c r="K124" s="943"/>
      <c r="L124" s="822"/>
      <c r="O124" s="849"/>
    </row>
    <row r="125" spans="1:15" ht="22.5" customHeight="1">
      <c r="A125" s="871" t="s">
        <v>232</v>
      </c>
      <c r="B125" s="872"/>
      <c r="C125" s="872"/>
      <c r="D125" s="842" t="s">
        <v>141</v>
      </c>
      <c r="E125" s="843">
        <f>'25'!F125</f>
        <v>73583.399999999994</v>
      </c>
      <c r="F125" s="989">
        <v>73583.100000000006</v>
      </c>
      <c r="G125" s="844">
        <f t="shared" si="14"/>
        <v>-0.29999999998835847</v>
      </c>
      <c r="H125" s="845">
        <f>G125+'25'!H125</f>
        <v>-0.29999999998835847</v>
      </c>
      <c r="I125" s="961"/>
      <c r="J125" s="847">
        <f>H125/DAY(B2)</f>
        <v>-1.1538461538013788E-2</v>
      </c>
      <c r="K125" s="943"/>
      <c r="L125" s="822"/>
      <c r="O125" s="849"/>
    </row>
    <row r="126" spans="1:15" ht="22.5" customHeight="1">
      <c r="A126" s="1613" t="s">
        <v>233</v>
      </c>
      <c r="B126" s="1614"/>
      <c r="C126" s="1615"/>
      <c r="D126" s="842" t="s">
        <v>141</v>
      </c>
      <c r="E126" s="843">
        <f>'25'!F126</f>
        <v>144346.79999999999</v>
      </c>
      <c r="F126" s="861">
        <v>144413.22</v>
      </c>
      <c r="G126" s="844">
        <f t="shared" si="14"/>
        <v>66.420000000012806</v>
      </c>
      <c r="H126" s="845">
        <f>G126+'25'!H126</f>
        <v>-274.22000000000116</v>
      </c>
      <c r="I126" s="961"/>
      <c r="J126" s="847">
        <f>H126/DAY(B2)</f>
        <v>-10.546923076923122</v>
      </c>
      <c r="K126" s="943"/>
      <c r="L126" s="822"/>
      <c r="O126" s="849"/>
    </row>
    <row r="127" spans="1:15" ht="20.100000000000001" customHeight="1">
      <c r="A127" s="990" t="s">
        <v>234</v>
      </c>
      <c r="B127" s="872"/>
      <c r="C127" s="872"/>
      <c r="D127" s="842" t="s">
        <v>141</v>
      </c>
      <c r="E127" s="843">
        <f>'25'!F127</f>
        <v>31404.2</v>
      </c>
      <c r="F127" s="989">
        <v>31404.2</v>
      </c>
      <c r="G127" s="844">
        <f t="shared" si="14"/>
        <v>0</v>
      </c>
      <c r="H127" s="845">
        <f>G127+'25'!H127</f>
        <v>0.2000000000007276</v>
      </c>
      <c r="I127" s="961"/>
      <c r="J127" s="847">
        <f>H127/DAY(B2)</f>
        <v>7.6923076923356764E-3</v>
      </c>
      <c r="K127" s="943"/>
      <c r="L127" s="822"/>
      <c r="O127" s="849"/>
    </row>
    <row r="128" spans="1:15" ht="20.100000000000001" customHeight="1">
      <c r="A128" s="990" t="s">
        <v>235</v>
      </c>
      <c r="B128" s="872"/>
      <c r="C128" s="872"/>
      <c r="D128" s="842" t="s">
        <v>141</v>
      </c>
      <c r="E128" s="843">
        <f>'25'!F128</f>
        <v>8969.6</v>
      </c>
      <c r="F128" s="989">
        <v>8969.6</v>
      </c>
      <c r="G128" s="844">
        <f t="shared" si="14"/>
        <v>0</v>
      </c>
      <c r="H128" s="845">
        <f>G128+'25'!H128</f>
        <v>-0.1000000000003638</v>
      </c>
      <c r="I128" s="864"/>
      <c r="J128" s="847">
        <f>H128/DAY(B2)</f>
        <v>-3.8461538461678382E-3</v>
      </c>
      <c r="K128" s="943"/>
      <c r="L128" s="822"/>
      <c r="O128" s="849"/>
    </row>
    <row r="129" spans="1:15" ht="21.75" customHeight="1">
      <c r="A129" s="990" t="s">
        <v>236</v>
      </c>
      <c r="B129" s="872"/>
      <c r="C129" s="872"/>
      <c r="D129" s="842"/>
      <c r="E129" s="843"/>
      <c r="F129" s="861"/>
      <c r="G129" s="844">
        <f>G15-SUM(G124:G128)</f>
        <v>393.78800000014598</v>
      </c>
      <c r="H129" s="845">
        <f>G129+'25'!H129</f>
        <v>-3673.0899999998928</v>
      </c>
      <c r="I129" s="864"/>
      <c r="J129" s="847">
        <f>H129/DAY(B2)</f>
        <v>-141.27269230768817</v>
      </c>
      <c r="K129" s="943"/>
      <c r="L129" s="822"/>
      <c r="O129" s="849"/>
    </row>
    <row r="130" spans="1:15">
      <c r="A130" s="991" t="s">
        <v>237</v>
      </c>
      <c r="B130" s="836"/>
      <c r="C130" s="836"/>
      <c r="D130" s="836"/>
      <c r="E130" s="836"/>
      <c r="F130" s="836"/>
      <c r="G130" s="992"/>
      <c r="H130" s="992"/>
      <c r="I130" s="992"/>
      <c r="J130" s="993"/>
      <c r="O130" s="849"/>
    </row>
    <row r="131" spans="1:15">
      <c r="A131" s="871" t="s">
        <v>238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ref="G131:G141" si="15">F131-E131</f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240</v>
      </c>
      <c r="B132" s="872"/>
      <c r="C132" s="872"/>
      <c r="D132" s="842" t="s">
        <v>239</v>
      </c>
      <c r="E132" s="843">
        <f>'25'!F132</f>
        <v>0</v>
      </c>
      <c r="F132" s="873">
        <v>0</v>
      </c>
      <c r="G132" s="844">
        <f t="shared" si="15"/>
        <v>0</v>
      </c>
      <c r="H132" s="845">
        <f>G132+'25'!H132</f>
        <v>0</v>
      </c>
      <c r="I132" s="864"/>
      <c r="J132" s="847">
        <f>H132/DAY(B2)</f>
        <v>0</v>
      </c>
      <c r="O132" s="849"/>
    </row>
    <row r="133" spans="1:15">
      <c r="A133" s="871" t="s">
        <v>241</v>
      </c>
      <c r="B133" s="872"/>
      <c r="C133" s="872"/>
      <c r="D133" s="842" t="s">
        <v>239</v>
      </c>
      <c r="E133" s="843">
        <f>'25'!F133</f>
        <v>39670.160000000003</v>
      </c>
      <c r="F133" s="994">
        <v>39670.160000000003</v>
      </c>
      <c r="G133" s="844">
        <f t="shared" si="15"/>
        <v>0</v>
      </c>
      <c r="H133" s="845">
        <f>G133+'25'!H133</f>
        <v>-76.319999999999709</v>
      </c>
      <c r="I133" s="864"/>
      <c r="J133" s="847">
        <f>H133/DAY(B2)</f>
        <v>-2.9353846153846042</v>
      </c>
      <c r="O133" s="849"/>
    </row>
    <row r="134" spans="1:15">
      <c r="A134" s="871" t="s">
        <v>242</v>
      </c>
      <c r="B134" s="872"/>
      <c r="C134" s="872"/>
      <c r="D134" s="842" t="s">
        <v>239</v>
      </c>
      <c r="E134" s="843">
        <f>'25'!F134</f>
        <v>300</v>
      </c>
      <c r="F134" s="994">
        <v>300</v>
      </c>
      <c r="G134" s="844">
        <f t="shared" si="15"/>
        <v>0</v>
      </c>
      <c r="H134" s="845">
        <f>G134+'25'!H134</f>
        <v>0</v>
      </c>
      <c r="I134" s="864">
        <f>G131+G132+G133+G134</f>
        <v>0</v>
      </c>
      <c r="J134" s="847">
        <f>H134/DAY(B2)</f>
        <v>0</v>
      </c>
      <c r="O134" s="849"/>
    </row>
    <row r="135" spans="1:15">
      <c r="A135" s="871" t="s">
        <v>243</v>
      </c>
      <c r="B135" s="872"/>
      <c r="C135" s="872"/>
      <c r="D135" s="842" t="s">
        <v>239</v>
      </c>
      <c r="E135" s="843">
        <f>'25'!F135</f>
        <v>41337.449999999997</v>
      </c>
      <c r="F135" s="994">
        <v>41361.25</v>
      </c>
      <c r="G135" s="844">
        <f t="shared" si="15"/>
        <v>23.80000000000291</v>
      </c>
      <c r="H135" s="845">
        <f>G135+'25'!H135</f>
        <v>90.25</v>
      </c>
      <c r="I135" s="864"/>
      <c r="J135" s="847">
        <f>H135/DAY(B2)</f>
        <v>3.4711538461538463</v>
      </c>
      <c r="O135" s="849"/>
    </row>
    <row r="136" spans="1:15">
      <c r="A136" s="871" t="s">
        <v>244</v>
      </c>
      <c r="B136" s="872"/>
      <c r="C136" s="872"/>
      <c r="D136" s="842" t="s">
        <v>239</v>
      </c>
      <c r="E136" s="843">
        <f>'25'!F136</f>
        <v>32582.93</v>
      </c>
      <c r="F136" s="994">
        <v>32582.93</v>
      </c>
      <c r="G136" s="844">
        <f t="shared" si="15"/>
        <v>0</v>
      </c>
      <c r="H136" s="845">
        <f>G136+'25'!H136</f>
        <v>13</v>
      </c>
      <c r="I136" s="864"/>
      <c r="J136" s="847">
        <f>H136/DAY(B2)</f>
        <v>0.5</v>
      </c>
      <c r="O136" s="849"/>
    </row>
    <row r="137" spans="1:15">
      <c r="A137" s="871" t="s">
        <v>245</v>
      </c>
      <c r="B137" s="872"/>
      <c r="C137" s="872"/>
      <c r="D137" s="842" t="s">
        <v>239</v>
      </c>
      <c r="E137" s="843">
        <f>'25'!F137</f>
        <v>22716.67</v>
      </c>
      <c r="F137" s="994">
        <v>22724.3</v>
      </c>
      <c r="G137" s="844">
        <f t="shared" si="15"/>
        <v>7.6300000000010186</v>
      </c>
      <c r="H137" s="845">
        <f>G137+'25'!H137</f>
        <v>-15.290000000000873</v>
      </c>
      <c r="I137" s="864">
        <f>G135+G136+G137</f>
        <v>31.430000000003929</v>
      </c>
      <c r="J137" s="847">
        <f>H137/DAY(B2)</f>
        <v>-0.58807692307695669</v>
      </c>
      <c r="O137" s="849"/>
    </row>
    <row r="138" spans="1:15">
      <c r="A138" s="871" t="s">
        <v>246</v>
      </c>
      <c r="B138" s="872"/>
      <c r="C138" s="872"/>
      <c r="D138" s="842" t="s">
        <v>239</v>
      </c>
      <c r="E138" s="843">
        <f>'25'!F138</f>
        <v>25051.49</v>
      </c>
      <c r="F138" s="994">
        <v>25051.49</v>
      </c>
      <c r="G138" s="844">
        <f t="shared" si="15"/>
        <v>0</v>
      </c>
      <c r="H138" s="845">
        <f>G138+'25'!H138</f>
        <v>8</v>
      </c>
      <c r="I138" s="864"/>
      <c r="J138" s="847">
        <f>H138/DAY(B2)</f>
        <v>0.30769230769230771</v>
      </c>
      <c r="O138" s="849"/>
    </row>
    <row r="139" spans="1:15">
      <c r="A139" s="871" t="s">
        <v>247</v>
      </c>
      <c r="B139" s="872"/>
      <c r="C139" s="872"/>
      <c r="D139" s="842" t="s">
        <v>239</v>
      </c>
      <c r="E139" s="843">
        <f>'25'!F139</f>
        <v>70299.460000000006</v>
      </c>
      <c r="F139" s="994">
        <v>70299.460000000006</v>
      </c>
      <c r="G139" s="844">
        <f t="shared" si="15"/>
        <v>0</v>
      </c>
      <c r="H139" s="845">
        <f>G139+'25'!H139</f>
        <v>19.230000000010477</v>
      </c>
      <c r="I139" s="864">
        <f>G138+G139</f>
        <v>0</v>
      </c>
      <c r="J139" s="847">
        <f>H139/DAY(B2)</f>
        <v>0.73961538461578757</v>
      </c>
      <c r="O139" s="849"/>
    </row>
    <row r="140" spans="1:15">
      <c r="A140" s="871" t="s">
        <v>248</v>
      </c>
      <c r="B140" s="872"/>
      <c r="C140" s="872"/>
      <c r="D140" s="842" t="s">
        <v>239</v>
      </c>
      <c r="E140" s="843">
        <f>'25'!F140</f>
        <v>1577.59</v>
      </c>
      <c r="F140" s="873">
        <v>1586.34</v>
      </c>
      <c r="G140" s="844">
        <f t="shared" si="15"/>
        <v>8.75</v>
      </c>
      <c r="H140" s="845">
        <f>G140+'25'!H140</f>
        <v>-30.519999999999982</v>
      </c>
      <c r="I140" s="995"/>
      <c r="J140" s="847">
        <f>H140/DAY(B2)</f>
        <v>-1.1738461538461531</v>
      </c>
      <c r="O140" s="849"/>
    </row>
    <row r="141" spans="1:15">
      <c r="A141" s="871" t="s">
        <v>249</v>
      </c>
      <c r="B141" s="872"/>
      <c r="C141" s="872"/>
      <c r="D141" s="842" t="s">
        <v>239</v>
      </c>
      <c r="E141" s="843">
        <f>'25'!F141</f>
        <v>4636.88</v>
      </c>
      <c r="F141" s="873">
        <v>4636.88</v>
      </c>
      <c r="G141" s="844">
        <f t="shared" si="15"/>
        <v>0</v>
      </c>
      <c r="H141" s="845">
        <f>G141+'25'!H141</f>
        <v>-0.11999999999989086</v>
      </c>
      <c r="I141" s="995"/>
      <c r="J141" s="847">
        <f>H141/DAY(B2)</f>
        <v>-4.6153846153804178E-3</v>
      </c>
      <c r="O141" s="849"/>
    </row>
    <row r="142" spans="1:15">
      <c r="A142" s="1605" t="s">
        <v>250</v>
      </c>
      <c r="B142" s="1606"/>
      <c r="C142" s="837"/>
      <c r="D142" s="837"/>
      <c r="E142" s="837"/>
      <c r="F142" s="837"/>
      <c r="G142" s="869"/>
      <c r="H142" s="869"/>
      <c r="I142" s="869"/>
      <c r="J142" s="988"/>
      <c r="K142" s="943"/>
      <c r="L142" s="822"/>
      <c r="O142" s="849"/>
    </row>
    <row r="143" spans="1:15">
      <c r="A143" s="1607" t="s">
        <v>251</v>
      </c>
      <c r="B143" s="1608"/>
      <c r="C143" s="1609"/>
      <c r="D143" s="842" t="s">
        <v>132</v>
      </c>
      <c r="E143" s="842"/>
      <c r="F143" s="842"/>
      <c r="G143" s="845">
        <f>G35+G43+G49+G57</f>
        <v>5625.1900000000605</v>
      </c>
      <c r="H143" s="845">
        <f>G143+'25'!H143</f>
        <v>-18900.739999999991</v>
      </c>
      <c r="I143" s="864"/>
      <c r="J143" s="847">
        <f>H143/DAY(B2)</f>
        <v>-726.95153846153812</v>
      </c>
      <c r="K143" s="943"/>
      <c r="L143" s="822"/>
      <c r="O143" s="849"/>
    </row>
    <row r="144" spans="1:15">
      <c r="A144" s="1607" t="s">
        <v>252</v>
      </c>
      <c r="B144" s="1608"/>
      <c r="C144" s="1609"/>
      <c r="D144" s="842" t="s">
        <v>24</v>
      </c>
      <c r="E144" s="829"/>
      <c r="F144" s="829"/>
      <c r="G144" s="996">
        <f>G143/G7</f>
        <v>0.27395850581990261</v>
      </c>
      <c r="H144" s="845">
        <f>G144+'25'!H144</f>
        <v>6.5562114208490794</v>
      </c>
      <c r="I144" s="997"/>
      <c r="J144" s="847">
        <f>H144/DAY(B2)</f>
        <v>0.25216197772496457</v>
      </c>
      <c r="K144" s="943"/>
      <c r="L144" s="822"/>
      <c r="O144" s="849"/>
    </row>
    <row r="145" spans="1:15">
      <c r="A145" s="1607" t="s">
        <v>253</v>
      </c>
      <c r="B145" s="1608"/>
      <c r="C145" s="1609"/>
      <c r="D145" s="842" t="s">
        <v>132</v>
      </c>
      <c r="E145" s="843"/>
      <c r="F145" s="843"/>
      <c r="G145" s="845">
        <f>G41+G42+G55+G56</f>
        <v>6105.3299999999581</v>
      </c>
      <c r="H145" s="845">
        <f>G145+'25'!H145</f>
        <v>325536.99300000002</v>
      </c>
      <c r="I145" s="864"/>
      <c r="J145" s="847">
        <f>H145/DAY(B2)</f>
        <v>12520.653576923078</v>
      </c>
      <c r="K145" s="943"/>
      <c r="L145" s="822"/>
      <c r="O145" s="849"/>
    </row>
    <row r="146" spans="1:15" ht="20.100000000000001" customHeight="1">
      <c r="A146" s="1607" t="s">
        <v>254</v>
      </c>
      <c r="B146" s="1608"/>
      <c r="C146" s="1609"/>
      <c r="D146" s="842" t="s">
        <v>24</v>
      </c>
      <c r="E146" s="843"/>
      <c r="F146" s="843"/>
      <c r="G146" s="996">
        <f>G145/G7</f>
        <v>0.29734232698582563</v>
      </c>
      <c r="H146" s="845">
        <f>G146+'25'!H146</f>
        <v>7.7489548015700684</v>
      </c>
      <c r="I146" s="997"/>
      <c r="J146" s="847">
        <f>H146/DAY(B2)</f>
        <v>0.29803672313731033</v>
      </c>
      <c r="K146" s="943"/>
      <c r="L146" s="822"/>
      <c r="O146" s="849"/>
    </row>
    <row r="147" spans="1:15" ht="20.100000000000001" customHeight="1">
      <c r="A147" s="1607" t="s">
        <v>255</v>
      </c>
      <c r="B147" s="1608"/>
      <c r="C147" s="1609"/>
      <c r="D147" s="842" t="s">
        <v>132</v>
      </c>
      <c r="E147" s="843"/>
      <c r="F147" s="843"/>
      <c r="G147" s="845">
        <f>G39+G53</f>
        <v>3523.5</v>
      </c>
      <c r="H147" s="845">
        <f>G147+'25'!H147</f>
        <v>3934.0599999999977</v>
      </c>
      <c r="I147" s="998"/>
      <c r="J147" s="847">
        <f>H147/DAY(B2)</f>
        <v>151.30999999999992</v>
      </c>
      <c r="K147" s="943"/>
      <c r="L147" s="822"/>
      <c r="O147" s="849"/>
    </row>
    <row r="148" spans="1:15" ht="20.100000000000001" customHeight="1">
      <c r="A148" s="1607" t="s">
        <v>256</v>
      </c>
      <c r="B148" s="1608"/>
      <c r="C148" s="1609"/>
      <c r="D148" s="842" t="s">
        <v>24</v>
      </c>
      <c r="E148" s="843"/>
      <c r="F148" s="843"/>
      <c r="G148" s="996">
        <f>G147/G7</f>
        <v>0.17160181171772268</v>
      </c>
      <c r="H148" s="845">
        <f>G148+'25'!H148</f>
        <v>3.8906296297972687</v>
      </c>
      <c r="I148" s="998"/>
      <c r="J148" s="847">
        <f>H148/DAY(B2)</f>
        <v>0.1496396011460488</v>
      </c>
      <c r="O148" s="849"/>
    </row>
    <row r="149" spans="1:15" ht="20.100000000000001" customHeight="1">
      <c r="A149" s="1607" t="s">
        <v>257</v>
      </c>
      <c r="B149" s="1608"/>
      <c r="C149" s="1609"/>
      <c r="D149" s="842" t="s">
        <v>183</v>
      </c>
      <c r="E149" s="843"/>
      <c r="F149" s="843"/>
      <c r="G149" s="845">
        <f>G38+G52</f>
        <v>1433.6900000000023</v>
      </c>
      <c r="H149" s="845">
        <f>G149+'25'!H149</f>
        <v>-5351.8200000000506</v>
      </c>
      <c r="I149" s="864"/>
      <c r="J149" s="847">
        <f>H149/DAY(B2)</f>
        <v>-205.83923076923273</v>
      </c>
      <c r="K149" s="999"/>
      <c r="O149" s="849"/>
    </row>
    <row r="150" spans="1:15" ht="20.100000000000001" customHeight="1">
      <c r="A150" s="1607" t="s">
        <v>258</v>
      </c>
      <c r="B150" s="1608"/>
      <c r="C150" s="1609"/>
      <c r="D150" s="842" t="s">
        <v>24</v>
      </c>
      <c r="E150" s="843"/>
      <c r="F150" s="843"/>
      <c r="G150" s="996">
        <f>G149/G7</f>
        <v>6.9823698436663043E-2</v>
      </c>
      <c r="H150" s="845">
        <f>G150+'25'!H150</f>
        <v>1.8603466830214617</v>
      </c>
      <c r="I150" s="998"/>
      <c r="J150" s="847">
        <f>H150/DAY(B2)</f>
        <v>7.1551795500825452E-2</v>
      </c>
      <c r="O150" s="849"/>
    </row>
    <row r="151" spans="1:15" ht="20.100000000000001" customHeight="1">
      <c r="A151" s="1607" t="s">
        <v>259</v>
      </c>
      <c r="B151" s="1608"/>
      <c r="C151" s="1609"/>
      <c r="D151" s="842" t="s">
        <v>183</v>
      </c>
      <c r="E151" s="843"/>
      <c r="F151" s="843"/>
      <c r="G151" s="845">
        <f>G36+G50</f>
        <v>1960.8400000000256</v>
      </c>
      <c r="H151" s="845">
        <f>G151+'25'!H151</f>
        <v>-6258.7799999999697</v>
      </c>
      <c r="I151" s="998"/>
      <c r="J151" s="847">
        <f>H151/DAY(B2)</f>
        <v>-240.72230769230652</v>
      </c>
      <c r="O151" s="849"/>
    </row>
    <row r="152" spans="1:15" ht="20.100000000000001" customHeight="1">
      <c r="A152" s="1607" t="s">
        <v>260</v>
      </c>
      <c r="B152" s="1608"/>
      <c r="C152" s="1609"/>
      <c r="D152" s="842" t="s">
        <v>24</v>
      </c>
      <c r="E152" s="843"/>
      <c r="F152" s="843"/>
      <c r="G152" s="996">
        <f>G151/G7</f>
        <v>9.5497004821508094E-2</v>
      </c>
      <c r="H152" s="845">
        <f>G152+'25'!H152</f>
        <v>1.9068163944570702</v>
      </c>
      <c r="I152" s="864"/>
      <c r="J152" s="847">
        <f>H152/DAY(B2)</f>
        <v>7.3339092094502706E-2</v>
      </c>
      <c r="O152" s="849"/>
    </row>
    <row r="153" spans="1:15" ht="20.100000000000001" customHeight="1">
      <c r="A153" s="1607" t="s">
        <v>261</v>
      </c>
      <c r="B153" s="1608"/>
      <c r="C153" s="1609"/>
      <c r="D153" s="842" t="s">
        <v>183</v>
      </c>
      <c r="E153" s="843"/>
      <c r="F153" s="843"/>
      <c r="G153" s="845">
        <f>G37+G51</f>
        <v>1331.4199999999983</v>
      </c>
      <c r="H153" s="845">
        <f>G153+'25'!H153</f>
        <v>-4944.0400000000081</v>
      </c>
      <c r="I153" s="864"/>
      <c r="J153" s="847">
        <f>H153/DAY(B2)</f>
        <v>-190.15538461538492</v>
      </c>
      <c r="O153" s="849"/>
    </row>
    <row r="154" spans="1:15" ht="20.100000000000001" customHeight="1" thickBot="1">
      <c r="A154" s="1610" t="s">
        <v>262</v>
      </c>
      <c r="B154" s="1611"/>
      <c r="C154" s="1612"/>
      <c r="D154" s="1000" t="s">
        <v>24</v>
      </c>
      <c r="E154" s="1001"/>
      <c r="F154" s="1001"/>
      <c r="G154" s="1002">
        <f>G153/G7</f>
        <v>6.4842935761944095E-2</v>
      </c>
      <c r="H154" s="845">
        <f>G154+'25'!H154</f>
        <v>1.8830146572331463</v>
      </c>
      <c r="I154" s="1003"/>
      <c r="J154" s="1004">
        <f>H154/DAY(B2)</f>
        <v>7.2423640662813316E-2</v>
      </c>
      <c r="O154" s="849"/>
    </row>
    <row r="155" spans="1:15" ht="44.25" customHeight="1">
      <c r="A155" s="1005"/>
      <c r="B155" s="1005"/>
      <c r="C155" s="1005"/>
      <c r="D155" s="1005"/>
      <c r="E155" s="1005"/>
      <c r="F155" s="1005"/>
      <c r="G155" s="1005"/>
      <c r="H155" s="1006"/>
      <c r="I155" s="1005"/>
      <c r="J155" s="1007"/>
      <c r="O155" s="849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5" t="s">
        <v>263</v>
      </c>
      <c r="B161" s="995"/>
      <c r="C161" s="995"/>
      <c r="D161" s="829" t="s">
        <v>187</v>
      </c>
      <c r="E161" s="843">
        <f>'25'!F161</f>
        <v>35528.67</v>
      </c>
      <c r="F161" s="1019">
        <v>35613.24</v>
      </c>
      <c r="G161" s="844">
        <f t="shared" ref="G161:G164" si="16">F161-E161</f>
        <v>84.569999999999709</v>
      </c>
    </row>
    <row r="162" spans="1:7" ht="21.75" customHeight="1">
      <c r="A162" s="995" t="s">
        <v>264</v>
      </c>
      <c r="B162" s="995"/>
      <c r="C162" s="995"/>
      <c r="D162" s="829" t="s">
        <v>187</v>
      </c>
      <c r="E162" s="843">
        <f>'25'!F162</f>
        <v>80045.19</v>
      </c>
      <c r="F162" s="1019">
        <v>80521.23</v>
      </c>
      <c r="G162" s="844">
        <f t="shared" si="16"/>
        <v>476.0399999999936</v>
      </c>
    </row>
    <row r="163" spans="1:7" ht="21.75" customHeight="1">
      <c r="A163" s="995" t="s">
        <v>265</v>
      </c>
      <c r="B163" s="995"/>
      <c r="C163" s="995"/>
      <c r="D163" s="829" t="s">
        <v>187</v>
      </c>
      <c r="E163" s="843">
        <f>'25'!F163</f>
        <v>36382.11</v>
      </c>
      <c r="F163" s="1019">
        <v>36653.26</v>
      </c>
      <c r="G163" s="844">
        <f t="shared" si="16"/>
        <v>271.15000000000146</v>
      </c>
    </row>
    <row r="164" spans="1:7" ht="21.75" customHeight="1">
      <c r="A164" s="995" t="s">
        <v>266</v>
      </c>
      <c r="B164" s="995"/>
      <c r="C164" s="995"/>
      <c r="D164" s="829" t="s">
        <v>187</v>
      </c>
      <c r="E164" s="843">
        <f>'25'!F164</f>
        <v>6140.83</v>
      </c>
      <c r="F164" s="1019">
        <v>6144.27</v>
      </c>
      <c r="G164" s="844">
        <f t="shared" si="16"/>
        <v>3.4400000000005093</v>
      </c>
    </row>
    <row r="165" spans="1:7" ht="21.75" customHeight="1">
      <c r="A165" s="925" t="s">
        <v>98</v>
      </c>
      <c r="B165" s="925"/>
      <c r="C165" s="925"/>
      <c r="D165" s="829" t="s">
        <v>187</v>
      </c>
      <c r="E165" s="926">
        <f>E62</f>
        <v>20419</v>
      </c>
      <c r="F165" s="926">
        <f>F62</f>
        <v>20419</v>
      </c>
      <c r="G165" s="844">
        <f t="shared" ref="G165:G172" si="17">F165-E165</f>
        <v>0</v>
      </c>
    </row>
    <row r="166" spans="1:7" ht="21.75" customHeight="1">
      <c r="A166" s="925" t="s">
        <v>188</v>
      </c>
      <c r="B166" s="925"/>
      <c r="C166" s="925"/>
      <c r="D166" s="829" t="s">
        <v>187</v>
      </c>
      <c r="E166" s="926">
        <f t="shared" ref="E166:E172" si="18">E63</f>
        <v>2333.34</v>
      </c>
      <c r="F166" s="926">
        <f t="shared" ref="F166:F172" si="19">F63</f>
        <v>2339.09</v>
      </c>
      <c r="G166" s="844">
        <f t="shared" si="17"/>
        <v>5.75</v>
      </c>
    </row>
    <row r="167" spans="1:7" ht="21.75" customHeight="1">
      <c r="A167" s="1583" t="s">
        <v>99</v>
      </c>
      <c r="B167" s="1583"/>
      <c r="C167" s="1583"/>
      <c r="D167" s="842" t="s">
        <v>187</v>
      </c>
      <c r="E167" s="926">
        <f t="shared" si="18"/>
        <v>151332.69</v>
      </c>
      <c r="F167" s="926">
        <f t="shared" si="19"/>
        <v>151828.01999999999</v>
      </c>
      <c r="G167" s="844">
        <f t="shared" si="17"/>
        <v>495.32999999998719</v>
      </c>
    </row>
    <row r="168" spans="1:7" ht="21.75" customHeight="1">
      <c r="A168" s="1583" t="s">
        <v>100</v>
      </c>
      <c r="B168" s="1583"/>
      <c r="C168" s="1583"/>
      <c r="D168" s="842" t="s">
        <v>187</v>
      </c>
      <c r="E168" s="926">
        <f t="shared" si="18"/>
        <v>153226.18</v>
      </c>
      <c r="F168" s="926">
        <f t="shared" si="19"/>
        <v>153594.48000000001</v>
      </c>
      <c r="G168" s="844">
        <f t="shared" si="17"/>
        <v>368.30000000001746</v>
      </c>
    </row>
    <row r="169" spans="1:7" ht="21.75" customHeight="1">
      <c r="A169" s="1583" t="s">
        <v>101</v>
      </c>
      <c r="B169" s="1583"/>
      <c r="C169" s="1583"/>
      <c r="D169" s="842" t="s">
        <v>187</v>
      </c>
      <c r="E169" s="926">
        <f t="shared" si="18"/>
        <v>46974.400000000001</v>
      </c>
      <c r="F169" s="926">
        <f t="shared" si="19"/>
        <v>47352.91</v>
      </c>
      <c r="G169" s="844">
        <f t="shared" si="17"/>
        <v>378.51000000000204</v>
      </c>
    </row>
    <row r="170" spans="1:7" ht="21.75" customHeight="1">
      <c r="A170" s="1583" t="s">
        <v>102</v>
      </c>
      <c r="B170" s="1583"/>
      <c r="C170" s="1583"/>
      <c r="D170" s="842" t="s">
        <v>187</v>
      </c>
      <c r="E170" s="926">
        <f t="shared" si="18"/>
        <v>241583.11</v>
      </c>
      <c r="F170" s="926">
        <f t="shared" si="19"/>
        <v>241972.13</v>
      </c>
      <c r="G170" s="844">
        <f t="shared" si="17"/>
        <v>389.02000000001863</v>
      </c>
    </row>
    <row r="171" spans="1:7" ht="24" customHeight="1">
      <c r="A171" s="1583" t="s">
        <v>103</v>
      </c>
      <c r="B171" s="1583"/>
      <c r="C171" s="1583"/>
      <c r="D171" s="842" t="s">
        <v>187</v>
      </c>
      <c r="E171" s="926">
        <f t="shared" si="18"/>
        <v>85321</v>
      </c>
      <c r="F171" s="926">
        <f t="shared" si="19"/>
        <v>85321</v>
      </c>
      <c r="G171" s="844">
        <f t="shared" si="17"/>
        <v>0</v>
      </c>
    </row>
    <row r="172" spans="1:7">
      <c r="A172" s="1583" t="s">
        <v>104</v>
      </c>
      <c r="B172" s="1583"/>
      <c r="C172" s="1583"/>
      <c r="D172" s="842" t="s">
        <v>187</v>
      </c>
      <c r="E172" s="926">
        <f t="shared" si="18"/>
        <v>78609.8</v>
      </c>
      <c r="F172" s="926">
        <f t="shared" si="19"/>
        <v>78730.27</v>
      </c>
      <c r="G172" s="844">
        <f t="shared" si="17"/>
        <v>120.47000000000116</v>
      </c>
    </row>
    <row r="173" spans="1:7">
      <c r="G173" s="1010">
        <f>SUM(G161:G172)</f>
        <v>2592.5800000000218</v>
      </c>
    </row>
    <row r="17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topLeftCell="A116" zoomScale="55" zoomScaleSheetLayoutView="55" workbookViewId="0">
      <selection activeCell="F28" activeCellId="1" sqref="F28 F2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4" s="281" customFormat="1" ht="27">
      <c r="A2" s="575" t="s">
        <v>318</v>
      </c>
      <c r="B2" s="1116">
        <v>43948</v>
      </c>
      <c r="C2" s="1146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6" t="s">
        <v>120</v>
      </c>
      <c r="D3" s="612">
        <v>22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5656762</v>
      </c>
      <c r="F7" s="455">
        <v>5674757</v>
      </c>
      <c r="G7" s="681">
        <f>F7-E7</f>
        <v>17995</v>
      </c>
      <c r="H7" s="682">
        <f>G7+'26'!H7</f>
        <v>5829780</v>
      </c>
      <c r="I7" s="683">
        <f>'1'!I7</f>
        <v>12000</v>
      </c>
      <c r="J7" s="684">
        <f>H7/DAY(B2)</f>
        <v>215917.77777777778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5690250</v>
      </c>
      <c r="F8" s="475">
        <v>5708341</v>
      </c>
      <c r="G8" s="692">
        <f>F8-E8</f>
        <v>18091</v>
      </c>
      <c r="H8" s="682">
        <f>G8+'26'!H8</f>
        <v>5864100</v>
      </c>
      <c r="I8" s="689">
        <f>'1'!I8</f>
        <v>12000</v>
      </c>
      <c r="J8" s="684">
        <f>H8/DAY(B2)</f>
        <v>217188.88888888888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922288.79</v>
      </c>
      <c r="F9" s="478">
        <v>939717</v>
      </c>
      <c r="G9" s="705">
        <f t="shared" ref="G9:G12" si="0">F9-E9</f>
        <v>17428.209999999963</v>
      </c>
      <c r="H9" s="682">
        <f>G9+'26'!H9</f>
        <v>-50997</v>
      </c>
      <c r="I9" s="693">
        <f>I8-J8</f>
        <v>-205188.88888888888</v>
      </c>
      <c r="J9" s="684">
        <f>H9/DAY(B2)</f>
        <v>-1888.7777777777778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17428.209999999963</v>
      </c>
      <c r="H13" s="682">
        <f>G13+'26'!H13</f>
        <v>-65518</v>
      </c>
      <c r="I13" s="698">
        <f>G7-G13</f>
        <v>566.79000000003725</v>
      </c>
      <c r="J13" s="684">
        <f>H13/DAY(B2)</f>
        <v>-2426.5925925925926</v>
      </c>
      <c r="K13" s="428"/>
      <c r="L13" s="377"/>
      <c r="N13" s="382"/>
    </row>
    <row r="14" spans="1:14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1668448.08</v>
      </c>
      <c r="F15" s="703">
        <v>1669075.459</v>
      </c>
      <c r="G15" s="667">
        <f>(F15-E15)</f>
        <v>627.37899999995716</v>
      </c>
      <c r="H15" s="673">
        <f>G15+'26'!H15</f>
        <v>-1581.5409999999683</v>
      </c>
      <c r="I15" s="674">
        <v>800</v>
      </c>
      <c r="J15" s="1288">
        <f>H15/DAY(B2)</f>
        <v>-58.57559259259142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858.57559259259142</v>
      </c>
      <c r="J16" s="675"/>
      <c r="K16" s="428"/>
      <c r="L16" s="377"/>
      <c r="N16" s="382"/>
    </row>
    <row r="17" spans="1:14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65" t="s">
        <v>143</v>
      </c>
      <c r="B18" s="1566"/>
      <c r="C18" s="1567"/>
      <c r="D18" s="638" t="s">
        <v>144</v>
      </c>
      <c r="E18" s="635">
        <f>'26'!F18</f>
        <v>10</v>
      </c>
      <c r="F18" s="478">
        <v>6</v>
      </c>
      <c r="G18" s="697">
        <f>F18*10</f>
        <v>60</v>
      </c>
      <c r="H18" s="682">
        <f>G18+'26'!H18</f>
        <v>1420</v>
      </c>
      <c r="I18" s="683">
        <f>'1'!I18</f>
        <v>65</v>
      </c>
      <c r="J18" s="684">
        <f>H18/DAY(B2)</f>
        <v>52.592592592592595</v>
      </c>
      <c r="K18" s="428"/>
      <c r="L18" s="377"/>
      <c r="N18" s="382"/>
    </row>
    <row r="19" spans="1:14" ht="27.75">
      <c r="A19" s="1565" t="s">
        <v>71</v>
      </c>
      <c r="B19" s="1566"/>
      <c r="C19" s="1567"/>
      <c r="D19" s="638" t="s">
        <v>144</v>
      </c>
      <c r="E19" s="635">
        <f>'26'!F19</f>
        <v>137595</v>
      </c>
      <c r="F19" s="478">
        <v>137647</v>
      </c>
      <c r="G19" s="692">
        <f t="shared" ref="G19" si="1">F19-E19</f>
        <v>52</v>
      </c>
      <c r="H19" s="682">
        <f>G19+'26'!H19</f>
        <v>-165</v>
      </c>
      <c r="I19" s="699"/>
      <c r="J19" s="684">
        <f>H19/DAY(B2)</f>
        <v>-6.1111111111111107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112</v>
      </c>
      <c r="H20" s="682">
        <f>G20+'26'!H20</f>
        <v>1291</v>
      </c>
      <c r="I20" s="701">
        <f>I18-J20</f>
        <v>17.185185185185183</v>
      </c>
      <c r="J20" s="684">
        <f>H20/DAY(B2)</f>
        <v>47.814814814814817</v>
      </c>
      <c r="K20" s="428"/>
      <c r="L20" s="377"/>
      <c r="N20" s="382"/>
    </row>
    <row r="21" spans="1:14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18091</v>
      </c>
      <c r="F27" s="501">
        <v>9</v>
      </c>
      <c r="G27" s="502">
        <f>E27*F27</f>
        <v>162819</v>
      </c>
      <c r="H27" s="460">
        <f>G27+'26'!H27</f>
        <v>52776900</v>
      </c>
      <c r="I27" s="503"/>
      <c r="J27" s="552">
        <f>H27/DAY(B2)</f>
        <v>1954700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627.37899999995716</v>
      </c>
      <c r="F28" s="501">
        <v>49</v>
      </c>
      <c r="G28" s="502">
        <f>E28*F28</f>
        <v>30741.570999997901</v>
      </c>
      <c r="H28" s="460">
        <f>G28+'26'!H28</f>
        <v>-74709.858999998425</v>
      </c>
      <c r="I28" s="505"/>
      <c r="J28" s="552">
        <f>H28/DAY(B2)</f>
        <v>-2767.0318148147567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G30+'26'!H30</f>
        <v>-22110</v>
      </c>
      <c r="I30" s="505"/>
      <c r="J30" s="552">
        <f>H30/DAY(B2)</f>
        <v>-818.88888888888891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113600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205328.5709999979</v>
      </c>
      <c r="H32" s="460">
        <f>G32+'26'!H32</f>
        <v>52882690.140999995</v>
      </c>
      <c r="I32" s="509"/>
      <c r="J32" s="552">
        <f>H32/DAY(B2)</f>
        <v>1958618.1533703702</v>
      </c>
      <c r="K32" s="373"/>
      <c r="L32" s="443"/>
      <c r="N32" s="382"/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877162.95</v>
      </c>
      <c r="F35" s="510">
        <v>879782.31</v>
      </c>
      <c r="G35" s="473">
        <f t="shared" ref="G35:G46" si="3">F35-E35</f>
        <v>2619.3600000001024</v>
      </c>
      <c r="H35" s="460">
        <f>G35+'26'!H35</f>
        <v>-6676.6899999999441</v>
      </c>
      <c r="I35" s="455"/>
      <c r="J35" s="552">
        <f>H35/DAY(B2)</f>
        <v>-247.28481481481273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342668.07</v>
      </c>
      <c r="F36" s="510">
        <v>343058.55</v>
      </c>
      <c r="G36" s="473">
        <f t="shared" si="3"/>
        <v>390.47999999998137</v>
      </c>
      <c r="H36" s="460">
        <f>G36+'26'!H36</f>
        <v>-1549.4500000000116</v>
      </c>
      <c r="I36" s="455"/>
      <c r="J36" s="552">
        <f>H36/DAY(B2)</f>
        <v>-57.387037037037466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90281.09</v>
      </c>
      <c r="F37" s="510">
        <v>91455.34</v>
      </c>
      <c r="G37" s="473">
        <f t="shared" si="3"/>
        <v>1174.25</v>
      </c>
      <c r="H37" s="460">
        <f>G37+'26'!H37</f>
        <v>-3769.6600000000035</v>
      </c>
      <c r="I37" s="455"/>
      <c r="J37" s="552">
        <f>H37/DAY(B2)</f>
        <v>-139.61703703703716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114244.11</v>
      </c>
      <c r="F38" s="469">
        <v>115500.11</v>
      </c>
      <c r="G38" s="473">
        <f t="shared" si="3"/>
        <v>1256</v>
      </c>
      <c r="H38" s="460">
        <f>G38+'26'!H38</f>
        <v>-4095.8899999999994</v>
      </c>
      <c r="I38" s="455"/>
      <c r="J38" s="552">
        <f>H38/DAY(B2)</f>
        <v>-151.69962962962961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236905.11</v>
      </c>
      <c r="F39" s="510">
        <v>239642.37</v>
      </c>
      <c r="G39" s="473">
        <f t="shared" si="3"/>
        <v>2737.2600000000093</v>
      </c>
      <c r="H39" s="460">
        <f>G39+'26'!H39</f>
        <v>-7010.6300000000047</v>
      </c>
      <c r="I39" s="455"/>
      <c r="J39" s="552">
        <f>H39/DAY(B2)</f>
        <v>-259.65296296296316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-1.8179902028236938E-14</v>
      </c>
      <c r="I40" s="455"/>
      <c r="J40" s="552">
        <f>H40/DAY(B2)</f>
        <v>-6.7332970474951624E-16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164850.88</v>
      </c>
      <c r="F41" s="510">
        <v>167081.91</v>
      </c>
      <c r="G41" s="473">
        <f t="shared" si="3"/>
        <v>2231.0299999999988</v>
      </c>
      <c r="H41" s="460">
        <f>G41+'26'!H41</f>
        <v>-14446.089999999997</v>
      </c>
      <c r="I41" s="455"/>
      <c r="J41" s="552">
        <f>H41/DAY(B2)</f>
        <v>-535.04037037037028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59200.087</v>
      </c>
      <c r="G42" s="473">
        <f t="shared" si="3"/>
        <v>71.923999999999069</v>
      </c>
      <c r="H42" s="460">
        <f>G42+'26'!H42</f>
        <v>8.6999999999534339E-2</v>
      </c>
      <c r="I42" s="455"/>
      <c r="J42" s="552">
        <f>H42/DAY(B2)</f>
        <v>3.2222222222049756E-3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964642.31</v>
      </c>
      <c r="F43" s="510">
        <v>967060.07</v>
      </c>
      <c r="G43" s="473">
        <f t="shared" si="3"/>
        <v>2417.7599999998929</v>
      </c>
      <c r="H43" s="460">
        <f>G43+'26'!H43</f>
        <v>-6897.9300000000512</v>
      </c>
      <c r="I43" s="455"/>
      <c r="J43" s="552">
        <f>H43/DAY(B2)</f>
        <v>-255.47888888889079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12898.063999999984</v>
      </c>
      <c r="H47" s="460">
        <f>G47+'26'!H47</f>
        <v>-43644.812999999995</v>
      </c>
      <c r="I47" s="455"/>
      <c r="J47" s="552">
        <f>H47/DAY(B2)</f>
        <v>-1616.4745555555553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470217.15</v>
      </c>
      <c r="F50" s="510">
        <v>471166.27</v>
      </c>
      <c r="G50" s="473">
        <f t="shared" si="4"/>
        <v>949.11999999999534</v>
      </c>
      <c r="H50" s="460">
        <f>G50+'26'!H50</f>
        <v>-4308.7299999999814</v>
      </c>
      <c r="I50" s="455"/>
      <c r="J50" s="552">
        <f>H50/DAY(B2)</f>
        <v>-159.58259259259191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414047.95</v>
      </c>
      <c r="F53" s="510">
        <v>414630.31</v>
      </c>
      <c r="G53" s="473">
        <f t="shared" si="4"/>
        <v>582.35999999998603</v>
      </c>
      <c r="H53" s="460">
        <f>G53+'26'!H53</f>
        <v>13741.309999999998</v>
      </c>
      <c r="I53" s="455"/>
      <c r="J53" s="552">
        <f>H53/DAY(B2)</f>
        <v>508.93740740740731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11085.133</v>
      </c>
      <c r="F54" s="510">
        <v>11158.36</v>
      </c>
      <c r="G54" s="473">
        <f t="shared" si="4"/>
        <v>73.227000000000771</v>
      </c>
      <c r="H54" s="460">
        <f>G54+'26'!H54</f>
        <v>3396.3600000000006</v>
      </c>
      <c r="I54" s="455"/>
      <c r="J54" s="552">
        <f>H54/DAY(B2)</f>
        <v>125.79111111111114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342358.67</v>
      </c>
      <c r="F55" s="656">
        <f>342358.67+2700</f>
        <v>345058.67</v>
      </c>
      <c r="G55" s="473">
        <f t="shared" si="4"/>
        <v>2700</v>
      </c>
      <c r="H55" s="708">
        <f>G55+'26'!H55</f>
        <v>345058.67</v>
      </c>
      <c r="I55" s="709"/>
      <c r="J55" s="710">
        <f>H55/DAY(B2)</f>
        <v>12779.95074074074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589215.75</v>
      </c>
      <c r="F56" s="656">
        <v>589270.27</v>
      </c>
      <c r="G56" s="473">
        <f t="shared" si="4"/>
        <v>54.520000000018626</v>
      </c>
      <c r="H56" s="460">
        <f>G56+'26'!H56</f>
        <v>-18.089999999967404</v>
      </c>
      <c r="I56" s="455"/>
      <c r="J56" s="552">
        <f>H56/DAY(B2)</f>
        <v>-0.66999999999879278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46210.811000000002</v>
      </c>
      <c r="F58" s="656">
        <v>46372.36</v>
      </c>
      <c r="G58" s="473">
        <f t="shared" si="4"/>
        <v>161.54899999999907</v>
      </c>
      <c r="H58" s="460">
        <f>G58+'26'!H58</f>
        <v>-344.63999999999942</v>
      </c>
      <c r="I58" s="455"/>
      <c r="J58" s="552">
        <f>H58/DAY(B2)</f>
        <v>-12.764444444444424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4520.7759999999998</v>
      </c>
      <c r="H59" s="460">
        <f>G59+'26'!H59</f>
        <v>357524.82</v>
      </c>
      <c r="I59" s="455">
        <f>G7-G60</f>
        <v>576.16000000001804</v>
      </c>
      <c r="J59" s="552">
        <f>H59/DAY(B2)</f>
        <v>13241.66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17418.839999999982</v>
      </c>
      <c r="H60" s="460">
        <f>G60+'26'!H60</f>
        <v>315463.897</v>
      </c>
      <c r="I60" s="455">
        <f>G13-G60</f>
        <v>9.3699999999807915</v>
      </c>
      <c r="J60" s="552">
        <f>H60/DAY(B2)</f>
        <v>11683.848037037036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2339.09</v>
      </c>
      <c r="F63" s="514">
        <v>2344.29</v>
      </c>
      <c r="G63" s="473">
        <f t="shared" si="5"/>
        <v>5.1999999999998181</v>
      </c>
      <c r="H63" s="460">
        <f>G63+'26'!H63</f>
        <v>-14.710000000000036</v>
      </c>
      <c r="I63" s="515"/>
      <c r="J63" s="552">
        <f>H63/DAY(B2)</f>
        <v>-0.5448148148148162</v>
      </c>
      <c r="K63" s="428"/>
      <c r="L63" s="377"/>
      <c r="N63" s="382"/>
    </row>
    <row r="64" spans="1:14" ht="27.75">
      <c r="A64" s="1504" t="s">
        <v>99</v>
      </c>
      <c r="B64" s="1505"/>
      <c r="C64" s="1506"/>
      <c r="D64" s="523" t="s">
        <v>187</v>
      </c>
      <c r="E64" s="514">
        <f>'26'!F64</f>
        <v>151828.01999999999</v>
      </c>
      <c r="F64" s="478">
        <v>152305.20000000001</v>
      </c>
      <c r="G64" s="473">
        <f t="shared" si="5"/>
        <v>477.18000000002212</v>
      </c>
      <c r="H64" s="460">
        <f>G64+'26'!H64</f>
        <v>-993.79999999998836</v>
      </c>
      <c r="I64" s="480"/>
      <c r="J64" s="552">
        <f>H64/DAY(B2)</f>
        <v>-36.807407407406977</v>
      </c>
      <c r="K64" s="428"/>
      <c r="L64" s="377"/>
      <c r="N64" s="382"/>
    </row>
    <row r="65" spans="1:14" ht="27.75">
      <c r="A65" s="1504" t="s">
        <v>100</v>
      </c>
      <c r="B65" s="1505"/>
      <c r="C65" s="1506"/>
      <c r="D65" s="523" t="s">
        <v>187</v>
      </c>
      <c r="E65" s="514">
        <f>'26'!F65</f>
        <v>153594.48000000001</v>
      </c>
      <c r="F65" s="626">
        <v>153943.04000000001</v>
      </c>
      <c r="G65" s="473">
        <f t="shared" si="5"/>
        <v>348.55999999999767</v>
      </c>
      <c r="H65" s="460">
        <f>G65+'26'!H65</f>
        <v>-655.95999999999185</v>
      </c>
      <c r="I65" s="489"/>
      <c r="J65" s="552">
        <f>H65/DAY(B2)</f>
        <v>-24.294814814814512</v>
      </c>
      <c r="K65" s="428"/>
      <c r="L65" s="377"/>
      <c r="N65" s="382"/>
    </row>
    <row r="66" spans="1:14" ht="27.75">
      <c r="A66" s="1504" t="s">
        <v>101</v>
      </c>
      <c r="B66" s="1505"/>
      <c r="C66" s="1506"/>
      <c r="D66" s="523" t="s">
        <v>187</v>
      </c>
      <c r="E66" s="514">
        <f>'26'!F66</f>
        <v>47352.91</v>
      </c>
      <c r="F66" s="626">
        <v>47716.65</v>
      </c>
      <c r="G66" s="473">
        <f t="shared" si="5"/>
        <v>363.73999999999796</v>
      </c>
      <c r="H66" s="460">
        <f>G66+'26'!H66</f>
        <v>-854.34999999999854</v>
      </c>
      <c r="I66" s="480"/>
      <c r="J66" s="552">
        <f>H66/DAY(B2)</f>
        <v>-31.642592592592539</v>
      </c>
      <c r="K66" s="428"/>
      <c r="L66" s="377"/>
      <c r="N66" s="382"/>
    </row>
    <row r="67" spans="1:14" ht="27.75">
      <c r="A67" s="1504" t="s">
        <v>102</v>
      </c>
      <c r="B67" s="1505"/>
      <c r="C67" s="1506"/>
      <c r="D67" s="523" t="s">
        <v>187</v>
      </c>
      <c r="E67" s="514">
        <f>'26'!F67</f>
        <v>241972.13</v>
      </c>
      <c r="F67" s="478">
        <v>242354.53</v>
      </c>
      <c r="G67" s="473">
        <f t="shared" si="5"/>
        <v>382.39999999999418</v>
      </c>
      <c r="H67" s="460">
        <f>G67+'26'!H67</f>
        <v>-819.47000000000116</v>
      </c>
      <c r="I67" s="489"/>
      <c r="J67" s="552">
        <f>H67/DAY(B2)</f>
        <v>-30.350740740740783</v>
      </c>
      <c r="K67" s="429"/>
      <c r="L67" s="377"/>
      <c r="N67" s="382"/>
    </row>
    <row r="68" spans="1:14" ht="27.75">
      <c r="A68" s="1504" t="s">
        <v>103</v>
      </c>
      <c r="B68" s="1505"/>
      <c r="C68" s="1506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04" t="s">
        <v>104</v>
      </c>
      <c r="B69" s="1505"/>
      <c r="C69" s="1506"/>
      <c r="D69" s="523" t="s">
        <v>187</v>
      </c>
      <c r="E69" s="514">
        <f>'26'!F69</f>
        <v>78730.27</v>
      </c>
      <c r="F69" s="478">
        <v>78766.350000000006</v>
      </c>
      <c r="G69" s="473">
        <f t="shared" si="5"/>
        <v>36.080000000001746</v>
      </c>
      <c r="H69" s="460">
        <f>G69+'26'!H69</f>
        <v>-227.64999999999418</v>
      </c>
      <c r="I69" s="516"/>
      <c r="J69" s="552">
        <f>H69/DAY(B2)</f>
        <v>-8.4314814814812653</v>
      </c>
      <c r="K69" s="431"/>
      <c r="L69" s="377"/>
      <c r="N69" s="382"/>
    </row>
    <row r="70" spans="1:14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382"/>
    </row>
    <row r="72" spans="1:14" ht="27.75">
      <c r="A72" s="1504" t="s">
        <v>191</v>
      </c>
      <c r="B72" s="1505"/>
      <c r="C72" s="1506"/>
      <c r="D72" s="523" t="s">
        <v>187</v>
      </c>
      <c r="E72" s="519">
        <f>'26'!F72</f>
        <v>855297</v>
      </c>
      <c r="F72" s="657">
        <v>855358</v>
      </c>
      <c r="G72" s="473">
        <f t="shared" ref="G72:G84" si="6">F72-E72</f>
        <v>61</v>
      </c>
      <c r="H72" s="460">
        <f>G72+'26'!H72</f>
        <v>-114</v>
      </c>
      <c r="I72" s="480"/>
      <c r="J72" s="552">
        <f>H72/DAY(B2)</f>
        <v>-4.2222222222222223</v>
      </c>
      <c r="K72" s="431"/>
      <c r="L72" s="377"/>
      <c r="N72" s="382"/>
    </row>
    <row r="73" spans="1:14" ht="27.75">
      <c r="A73" s="1504" t="s">
        <v>192</v>
      </c>
      <c r="B73" s="1505"/>
      <c r="C73" s="1506"/>
      <c r="D73" s="523" t="s">
        <v>187</v>
      </c>
      <c r="E73" s="519">
        <f>'26'!F73</f>
        <v>885867</v>
      </c>
      <c r="F73" s="658">
        <v>885868</v>
      </c>
      <c r="G73" s="655">
        <f t="shared" si="6"/>
        <v>1</v>
      </c>
      <c r="H73" s="460">
        <f>G73+'26'!H73</f>
        <v>172</v>
      </c>
      <c r="I73" s="480"/>
      <c r="J73" s="552">
        <f>H73/DAY(B2)</f>
        <v>6.3703703703703702</v>
      </c>
      <c r="K73" s="430"/>
      <c r="L73" s="377"/>
      <c r="N73" s="382"/>
    </row>
    <row r="74" spans="1:14" ht="27.75">
      <c r="A74" s="1504" t="s">
        <v>193</v>
      </c>
      <c r="B74" s="1505"/>
      <c r="C74" s="1506"/>
      <c r="D74" s="523" t="s">
        <v>187</v>
      </c>
      <c r="E74" s="519">
        <f>'26'!F74</f>
        <v>2156.4989999999998</v>
      </c>
      <c r="F74" s="658">
        <v>2185.96</v>
      </c>
      <c r="G74" s="473">
        <f t="shared" si="6"/>
        <v>29.46100000000024</v>
      </c>
      <c r="H74" s="460">
        <f>G74+'26'!H74</f>
        <v>-93.039999999999964</v>
      </c>
      <c r="I74" s="480"/>
      <c r="J74" s="552">
        <f>H74/DAY(B2)</f>
        <v>-3.4459259259259247</v>
      </c>
      <c r="K74" s="431"/>
      <c r="L74" s="377"/>
      <c r="N74" s="382"/>
    </row>
    <row r="75" spans="1:14" ht="27.75">
      <c r="A75" s="1501" t="s">
        <v>194</v>
      </c>
      <c r="B75" s="1502"/>
      <c r="C75" s="1503"/>
      <c r="D75" s="523" t="s">
        <v>187</v>
      </c>
      <c r="E75" s="519">
        <f>'26'!F75</f>
        <v>10749.82</v>
      </c>
      <c r="F75" s="657">
        <v>10803.92</v>
      </c>
      <c r="G75" s="473">
        <f t="shared" si="6"/>
        <v>54.100000000000364</v>
      </c>
      <c r="H75" s="460">
        <f>G75+'26'!H75</f>
        <v>-166.07999999999993</v>
      </c>
      <c r="I75" s="480"/>
      <c r="J75" s="552">
        <f>H75/DAY(B2)</f>
        <v>-6.1511111111111081</v>
      </c>
      <c r="K75" s="430"/>
      <c r="L75" s="377"/>
      <c r="N75" s="382"/>
    </row>
    <row r="76" spans="1:14" ht="27.75">
      <c r="A76" s="1501" t="s">
        <v>195</v>
      </c>
      <c r="B76" s="1502"/>
      <c r="C76" s="1503"/>
      <c r="D76" s="523" t="s">
        <v>187</v>
      </c>
      <c r="E76" s="519">
        <f>'26'!F76</f>
        <v>5511.8</v>
      </c>
      <c r="F76" s="658">
        <v>5559.65</v>
      </c>
      <c r="G76" s="473">
        <f t="shared" si="6"/>
        <v>47.849999999999454</v>
      </c>
      <c r="H76" s="460">
        <f>G76+'26'!H76</f>
        <v>-157.30000000000109</v>
      </c>
      <c r="I76" s="505"/>
      <c r="J76" s="552">
        <f>H76/DAY(B2)</f>
        <v>-5.8259259259259659</v>
      </c>
      <c r="K76" s="430"/>
      <c r="L76" s="377"/>
      <c r="N76" s="382"/>
    </row>
    <row r="77" spans="1:14" ht="27.75">
      <c r="A77" s="1504" t="s">
        <v>196</v>
      </c>
      <c r="B77" s="1505"/>
      <c r="C77" s="1506"/>
      <c r="D77" s="523" t="s">
        <v>187</v>
      </c>
      <c r="E77" s="519">
        <f>'26'!F77</f>
        <v>701376</v>
      </c>
      <c r="F77" s="658">
        <v>701420</v>
      </c>
      <c r="G77" s="655">
        <f t="shared" si="6"/>
        <v>44</v>
      </c>
      <c r="H77" s="460">
        <f>G77+'26'!H77</f>
        <v>-142</v>
      </c>
      <c r="I77" s="505"/>
      <c r="J77" s="552">
        <f>H77/DAY(B2)</f>
        <v>-5.2592592592592595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'26'!F78</f>
        <v>669638</v>
      </c>
      <c r="F78" s="657">
        <v>669683</v>
      </c>
      <c r="G78" s="473">
        <f t="shared" si="6"/>
        <v>45</v>
      </c>
      <c r="H78" s="460">
        <f>G78+'26'!H78</f>
        <v>-342</v>
      </c>
      <c r="I78" s="505"/>
      <c r="J78" s="552">
        <f>H78/DAY(B2)</f>
        <v>-12.666666666666666</v>
      </c>
      <c r="K78" s="430"/>
      <c r="L78" s="377"/>
      <c r="N78" s="382"/>
    </row>
    <row r="79" spans="1:14" ht="27.75">
      <c r="A79" s="1501" t="s">
        <v>92</v>
      </c>
      <c r="B79" s="1502"/>
      <c r="C79" s="1503"/>
      <c r="D79" s="524" t="s">
        <v>187</v>
      </c>
      <c r="E79" s="519">
        <f>'26'!F79</f>
        <v>826040</v>
      </c>
      <c r="F79" s="657">
        <v>826230</v>
      </c>
      <c r="G79" s="473">
        <f t="shared" si="6"/>
        <v>190</v>
      </c>
      <c r="H79" s="460">
        <f>G79+'26'!H79</f>
        <v>-1501</v>
      </c>
      <c r="I79" s="505"/>
      <c r="J79" s="552">
        <f>H79/DAY(B2)</f>
        <v>-55.592592592592595</v>
      </c>
      <c r="K79" s="430"/>
      <c r="L79" s="377"/>
      <c r="N79" s="382"/>
    </row>
    <row r="80" spans="1:14" ht="27.75">
      <c r="A80" s="1501" t="s">
        <v>198</v>
      </c>
      <c r="B80" s="1502"/>
      <c r="C80" s="1503"/>
      <c r="D80" s="524" t="s">
        <v>187</v>
      </c>
      <c r="E80" s="519">
        <f>'26'!F80</f>
        <v>515274.04</v>
      </c>
      <c r="F80" s="658">
        <v>515611.24</v>
      </c>
      <c r="G80" s="473">
        <f t="shared" si="6"/>
        <v>337.20000000001164</v>
      </c>
      <c r="H80" s="460">
        <f>G80+'26'!H80</f>
        <v>-3849.7600000000093</v>
      </c>
      <c r="I80" s="505"/>
      <c r="J80" s="552">
        <f>H80/DAY(B2)</f>
        <v>-142.58370370370406</v>
      </c>
      <c r="K80" s="430"/>
      <c r="L80" s="377"/>
      <c r="N80" s="382"/>
    </row>
    <row r="81" spans="1:15" ht="27.75">
      <c r="A81" s="1501" t="s">
        <v>199</v>
      </c>
      <c r="B81" s="1502"/>
      <c r="C81" s="1503"/>
      <c r="D81" s="524" t="s">
        <v>187</v>
      </c>
      <c r="E81" s="519">
        <f>'26'!F81</f>
        <v>636188.12</v>
      </c>
      <c r="F81" s="658">
        <v>636217.56000000006</v>
      </c>
      <c r="G81" s="473">
        <f t="shared" si="6"/>
        <v>29.440000000060536</v>
      </c>
      <c r="H81" s="460">
        <f>G81+'26'!H81</f>
        <v>-260.43999999994412</v>
      </c>
      <c r="I81" s="505"/>
      <c r="J81" s="552">
        <f>H81/DAY(B2)</f>
        <v>-9.6459259259238568</v>
      </c>
      <c r="K81" s="430"/>
      <c r="L81" s="377"/>
      <c r="N81" s="382"/>
    </row>
    <row r="82" spans="1:15" ht="27.75">
      <c r="A82" s="1501" t="s">
        <v>93</v>
      </c>
      <c r="B82" s="1502"/>
      <c r="C82" s="1503"/>
      <c r="D82" s="485" t="s">
        <v>132</v>
      </c>
      <c r="E82" s="519">
        <f>'26'!F82</f>
        <v>107517.27</v>
      </c>
      <c r="F82" s="654">
        <v>107538.17</v>
      </c>
      <c r="G82" s="473">
        <f t="shared" si="6"/>
        <v>20.899999999994179</v>
      </c>
      <c r="H82" s="460">
        <f>G82+'26'!H82</f>
        <v>-73.830000000001746</v>
      </c>
      <c r="I82" s="486"/>
      <c r="J82" s="552">
        <f>H82/DAY(B2)</f>
        <v>-2.7344444444445091</v>
      </c>
      <c r="K82" s="430"/>
      <c r="L82" s="377"/>
      <c r="N82" s="382"/>
    </row>
    <row r="83" spans="1:15" ht="27.75">
      <c r="A83" s="1501" t="s">
        <v>200</v>
      </c>
      <c r="B83" s="1502"/>
      <c r="C83" s="1503"/>
      <c r="D83" s="620" t="s">
        <v>132</v>
      </c>
      <c r="E83" s="519">
        <f>'26'!F83</f>
        <v>13858</v>
      </c>
      <c r="F83" s="620">
        <v>14001</v>
      </c>
      <c r="G83" s="473">
        <f t="shared" si="6"/>
        <v>143</v>
      </c>
      <c r="H83" s="460">
        <f>G83+'26'!H83</f>
        <v>-770</v>
      </c>
      <c r="I83" s="481"/>
      <c r="J83" s="552">
        <f>H83/DAY(B2)</f>
        <v>-28.518518518518519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'26'!F84</f>
        <v>477299</v>
      </c>
      <c r="F84" s="524">
        <v>478120</v>
      </c>
      <c r="G84" s="473">
        <f t="shared" si="6"/>
        <v>821</v>
      </c>
      <c r="H84" s="460">
        <f>G84+'26'!H84</f>
        <v>-2013</v>
      </c>
      <c r="I84" s="481"/>
      <c r="J84" s="552">
        <f>H84/DAY(B2)</f>
        <v>-74.555555555555557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1823.9510000000664</v>
      </c>
      <c r="H85" s="460">
        <f>G85+'26'!H85</f>
        <v>-5801.4999999999554</v>
      </c>
      <c r="I85" s="481"/>
      <c r="J85" s="552">
        <f>H85/DAY(B2)</f>
        <v>-214.87037037036873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458610.04</v>
      </c>
      <c r="F86" s="650">
        <v>458788.76</v>
      </c>
      <c r="G86" s="708">
        <f>F86-E86</f>
        <v>178.72000000003027</v>
      </c>
      <c r="H86" s="708">
        <f t="shared" ref="H86:H88" si="7">G86</f>
        <v>178.72000000003027</v>
      </c>
      <c r="I86" s="655"/>
      <c r="J86" s="710">
        <f>H86/DAY(B2)</f>
        <v>6.6192592592603807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80862.399999999994</v>
      </c>
      <c r="F87" s="650">
        <v>80874.5</v>
      </c>
      <c r="G87" s="708">
        <f t="shared" ref="G87:G90" si="8">F87-E87</f>
        <v>12.100000000005821</v>
      </c>
      <c r="H87" s="708">
        <f t="shared" si="7"/>
        <v>12.100000000005821</v>
      </c>
      <c r="I87" s="655"/>
      <c r="J87" s="710">
        <f>H87/DAY(B2)</f>
        <v>0.44814814814836373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151712.71</v>
      </c>
      <c r="F88" s="650">
        <v>151735.19</v>
      </c>
      <c r="G88" s="708">
        <f t="shared" si="8"/>
        <v>22.480000000010477</v>
      </c>
      <c r="H88" s="708">
        <f t="shared" si="7"/>
        <v>22.480000000010477</v>
      </c>
      <c r="I88" s="655"/>
      <c r="J88" s="710">
        <f>H88/DAY(B2)</f>
        <v>0.83259259259298068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64676</v>
      </c>
      <c r="F89" s="650">
        <v>64717.3</v>
      </c>
      <c r="G89" s="708">
        <f t="shared" si="8"/>
        <v>41.30000000000291</v>
      </c>
      <c r="H89" s="708">
        <f>G89</f>
        <v>41.30000000000291</v>
      </c>
      <c r="I89" s="655"/>
      <c r="J89" s="710">
        <f>H89/DAY(B2)</f>
        <v>1.5296296296297374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3272.3</v>
      </c>
      <c r="F90" s="650">
        <v>3272.3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738" customFormat="1">
      <c r="A91" s="733" t="s">
        <v>365</v>
      </c>
      <c r="B91" s="734"/>
      <c r="C91" s="734"/>
      <c r="D91" s="735"/>
      <c r="E91" s="627">
        <f>'26'!F91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25" t="s">
        <v>206</v>
      </c>
      <c r="B93" s="1526"/>
      <c r="C93" s="1527"/>
      <c r="D93" s="523" t="s">
        <v>144</v>
      </c>
      <c r="E93" s="484">
        <f>'26'!F93</f>
        <v>244417</v>
      </c>
      <c r="F93" s="478">
        <v>244451</v>
      </c>
      <c r="G93" s="473">
        <f t="shared" ref="G93:G94" si="9">F93-E93</f>
        <v>34</v>
      </c>
      <c r="H93" s="460">
        <f>G93+'26'!H93</f>
        <v>-73</v>
      </c>
      <c r="I93" s="480"/>
      <c r="J93" s="552">
        <f>H93/DAY(B2)</f>
        <v>-2.7037037037037037</v>
      </c>
      <c r="K93" s="429"/>
      <c r="L93" s="377"/>
      <c r="N93" s="382"/>
    </row>
    <row r="94" spans="1:15" ht="27.75">
      <c r="A94" s="1525" t="s">
        <v>207</v>
      </c>
      <c r="B94" s="1526"/>
      <c r="C94" s="1527"/>
      <c r="D94" s="523" t="s">
        <v>144</v>
      </c>
      <c r="E94" s="484">
        <f>'26'!F94</f>
        <v>183226</v>
      </c>
      <c r="F94" s="485">
        <v>183274</v>
      </c>
      <c r="G94" s="473">
        <f t="shared" si="9"/>
        <v>48</v>
      </c>
      <c r="H94" s="460">
        <f>G94+'26'!H94</f>
        <v>-257</v>
      </c>
      <c r="I94" s="480"/>
      <c r="J94" s="552">
        <f>H94/DAY(B2)</f>
        <v>-9.518518518518519</v>
      </c>
      <c r="K94" s="380"/>
      <c r="L94" s="377"/>
      <c r="N94" s="382"/>
    </row>
    <row r="95" spans="1:15">
      <c r="A95" s="1553" t="s">
        <v>208</v>
      </c>
      <c r="B95" s="1554"/>
      <c r="C95" s="1555"/>
      <c r="D95" s="523"/>
      <c r="E95" s="484">
        <f>'26'!F95</f>
        <v>0</v>
      </c>
      <c r="F95" s="478"/>
      <c r="G95" s="473">
        <f>G93+G94</f>
        <v>82</v>
      </c>
      <c r="H95" s="460">
        <f>G95+'26'!H95</f>
        <v>-477</v>
      </c>
      <c r="I95" s="480"/>
      <c r="J95" s="552">
        <f>H95/DAY(B2)</f>
        <v>-17.666666666666668</v>
      </c>
      <c r="K95" s="380"/>
      <c r="L95" s="377"/>
      <c r="N95" s="382"/>
    </row>
    <row r="96" spans="1:15" ht="27.75">
      <c r="A96" s="1525" t="s">
        <v>209</v>
      </c>
      <c r="B96" s="1526"/>
      <c r="C96" s="1527"/>
      <c r="D96" s="523" t="s">
        <v>144</v>
      </c>
      <c r="E96" s="484">
        <f>'26'!F96</f>
        <v>412654</v>
      </c>
      <c r="F96" s="478">
        <v>412715</v>
      </c>
      <c r="G96" s="473">
        <f t="shared" ref="G96:G101" si="10">F96-E96</f>
        <v>61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44" t="s">
        <v>210</v>
      </c>
      <c r="B97" s="1145"/>
      <c r="C97" s="1145"/>
      <c r="D97" s="523" t="s">
        <v>144</v>
      </c>
      <c r="E97" s="484">
        <f>'26'!F97</f>
        <v>102303</v>
      </c>
      <c r="F97" s="478">
        <v>102318</v>
      </c>
      <c r="G97" s="473">
        <f t="shared" si="10"/>
        <v>15</v>
      </c>
      <c r="H97" s="460">
        <f>G97+'26'!H97</f>
        <v>-25</v>
      </c>
      <c r="I97" s="480"/>
      <c r="J97" s="552">
        <f>H97/DAY(B2)</f>
        <v>-0.92592592592592593</v>
      </c>
      <c r="K97" s="427"/>
      <c r="L97" s="377"/>
      <c r="N97" s="382"/>
    </row>
    <row r="98" spans="1:14" ht="27.75">
      <c r="A98" s="1144" t="s">
        <v>211</v>
      </c>
      <c r="B98" s="1145"/>
      <c r="C98" s="1145"/>
      <c r="D98" s="523" t="s">
        <v>144</v>
      </c>
      <c r="E98" s="484">
        <f>'26'!F98</f>
        <v>97381</v>
      </c>
      <c r="F98" s="478">
        <v>97389</v>
      </c>
      <c r="G98" s="473">
        <f t="shared" si="10"/>
        <v>8</v>
      </c>
      <c r="H98" s="460">
        <f>G98+'26'!H98</f>
        <v>-38</v>
      </c>
      <c r="I98" s="480"/>
      <c r="J98" s="552">
        <f>H98/DAY(B2)</f>
        <v>-1.4074074074074074</v>
      </c>
      <c r="K98" s="432"/>
      <c r="L98" s="377"/>
      <c r="N98" s="808"/>
    </row>
    <row r="99" spans="1:14" ht="27.75">
      <c r="A99" s="1144" t="s">
        <v>212</v>
      </c>
      <c r="B99" s="1145"/>
      <c r="C99" s="1145"/>
      <c r="D99" s="523" t="s">
        <v>144</v>
      </c>
      <c r="E99" s="484">
        <f>'26'!F99</f>
        <v>149505</v>
      </c>
      <c r="F99" s="478">
        <v>149516</v>
      </c>
      <c r="G99" s="473">
        <f t="shared" si="10"/>
        <v>11</v>
      </c>
      <c r="H99" s="460">
        <f>G99+'26'!H99</f>
        <v>-17</v>
      </c>
      <c r="I99" s="480"/>
      <c r="J99" s="552">
        <f>H99/DAY(B2)</f>
        <v>-0.62962962962962965</v>
      </c>
      <c r="K99" s="380"/>
      <c r="L99" s="377"/>
      <c r="N99" s="1033"/>
    </row>
    <row r="100" spans="1:14" ht="27.75">
      <c r="A100" s="1144" t="s">
        <v>213</v>
      </c>
      <c r="B100" s="1145"/>
      <c r="C100" s="1145"/>
      <c r="D100" s="523" t="s">
        <v>144</v>
      </c>
      <c r="E100" s="484">
        <f>'26'!F100</f>
        <v>7170</v>
      </c>
      <c r="F100" s="478">
        <v>7173</v>
      </c>
      <c r="G100" s="473">
        <f t="shared" si="10"/>
        <v>3</v>
      </c>
      <c r="H100" s="460">
        <f>G100+'26'!H100</f>
        <v>-12</v>
      </c>
      <c r="I100" s="480"/>
      <c r="J100" s="552">
        <f>H100/DAY(B2)</f>
        <v>-0.44444444444444442</v>
      </c>
      <c r="K100" s="380"/>
      <c r="L100" s="377"/>
      <c r="N100" s="808"/>
    </row>
    <row r="101" spans="1:14" ht="27.75">
      <c r="A101" s="1144" t="s">
        <v>214</v>
      </c>
      <c r="B101" s="1145"/>
      <c r="C101" s="1145"/>
      <c r="D101" s="523" t="s">
        <v>144</v>
      </c>
      <c r="E101" s="484">
        <f>'26'!F101</f>
        <v>5124</v>
      </c>
      <c r="F101" s="478">
        <v>5126</v>
      </c>
      <c r="G101" s="473">
        <f t="shared" si="10"/>
        <v>2</v>
      </c>
      <c r="H101" s="460">
        <f>G101+'26'!H101</f>
        <v>-12</v>
      </c>
      <c r="I101" s="480"/>
      <c r="J101" s="552">
        <f>H101/DAY(B2)</f>
        <v>-0.44444444444444442</v>
      </c>
      <c r="K101" s="380"/>
      <c r="L101" s="377"/>
      <c r="N101" s="808"/>
    </row>
    <row r="102" spans="1:14">
      <c r="A102" s="1553" t="s">
        <v>216</v>
      </c>
      <c r="B102" s="1554"/>
      <c r="C102" s="1555"/>
      <c r="D102" s="524"/>
      <c r="E102" s="524"/>
      <c r="F102" s="524"/>
      <c r="G102" s="525">
        <f>SUM(G96:G101)</f>
        <v>100</v>
      </c>
      <c r="H102" s="460">
        <f>G102+'26'!H102</f>
        <v>-275</v>
      </c>
      <c r="I102" s="526"/>
      <c r="J102" s="552">
        <f>H102/DAY(B2)</f>
        <v>-10.185185185185185</v>
      </c>
      <c r="K102" s="380"/>
      <c r="L102" s="377"/>
      <c r="N102" s="808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56" t="s">
        <v>218</v>
      </c>
      <c r="B104" s="155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17" t="s">
        <v>219</v>
      </c>
      <c r="B105" s="1518"/>
      <c r="C105" s="1143"/>
      <c r="D105" s="622" t="s">
        <v>144</v>
      </c>
      <c r="E105" s="532">
        <f>'26'!F105</f>
        <v>7423</v>
      </c>
      <c r="F105" s="661">
        <v>7423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17" t="s">
        <v>77</v>
      </c>
      <c r="B106" s="1518"/>
      <c r="C106" s="1143"/>
      <c r="D106" s="622" t="s">
        <v>144</v>
      </c>
      <c r="E106" s="532">
        <f>'26'!F106</f>
        <v>35814</v>
      </c>
      <c r="F106" s="807">
        <v>35819</v>
      </c>
      <c r="G106" s="532">
        <f t="shared" ref="G106:G107" si="11">F106-E106</f>
        <v>5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>
      <c r="A107" s="1517" t="s">
        <v>78</v>
      </c>
      <c r="B107" s="1558"/>
      <c r="C107" s="1518"/>
      <c r="D107" s="622" t="s">
        <v>144</v>
      </c>
      <c r="E107" s="532">
        <f>'26'!F107</f>
        <v>19598</v>
      </c>
      <c r="F107" s="662">
        <v>19604</v>
      </c>
      <c r="G107" s="532">
        <f t="shared" si="11"/>
        <v>6</v>
      </c>
      <c r="H107" s="533">
        <f>SUM(G107+'1'!G78)</f>
        <v>130</v>
      </c>
      <c r="I107" s="532"/>
      <c r="J107" s="558">
        <f>H107/DAY(B2)</f>
        <v>4.8148148148148149</v>
      </c>
      <c r="N107" s="382"/>
    </row>
    <row r="108" spans="1:14" s="442" customFormat="1" ht="27.75">
      <c r="A108" s="1519" t="s">
        <v>202</v>
      </c>
      <c r="B108" s="1520"/>
      <c r="C108" s="1143"/>
      <c r="D108" s="622"/>
      <c r="E108" s="532">
        <f>'26'!F108</f>
        <v>0</v>
      </c>
      <c r="F108" s="662"/>
      <c r="G108" s="532">
        <f>SUM(G105:G107)</f>
        <v>11</v>
      </c>
      <c r="H108" s="533">
        <f>SUM(G108+'1'!G79)</f>
        <v>200</v>
      </c>
      <c r="I108" s="532"/>
      <c r="J108" s="558">
        <f>H108/DAY(B2)</f>
        <v>7.4074074074074074</v>
      </c>
      <c r="N108" s="382"/>
    </row>
    <row r="109" spans="1:14" s="442" customFormat="1" ht="27.75">
      <c r="A109" s="1523" t="s">
        <v>79</v>
      </c>
      <c r="B109" s="1524"/>
      <c r="C109" s="1143"/>
      <c r="D109" s="622" t="s">
        <v>144</v>
      </c>
      <c r="E109" s="532">
        <f>'26'!F109</f>
        <v>0</v>
      </c>
      <c r="F109" s="662"/>
      <c r="G109" s="532"/>
      <c r="H109" s="533"/>
      <c r="I109" s="532"/>
      <c r="J109" s="558"/>
      <c r="N109" s="382"/>
    </row>
    <row r="110" spans="1:14" s="442" customFormat="1" ht="27.75">
      <c r="A110" s="1517" t="s">
        <v>220</v>
      </c>
      <c r="B110" s="1518"/>
      <c r="C110" s="1143"/>
      <c r="D110" s="622" t="s">
        <v>144</v>
      </c>
      <c r="E110" s="532">
        <f>'26'!F110</f>
        <v>60813</v>
      </c>
      <c r="F110" s="807">
        <v>60894</v>
      </c>
      <c r="G110" s="532">
        <f>F110-E110</f>
        <v>81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>
      <c r="A111" s="1517" t="s">
        <v>221</v>
      </c>
      <c r="B111" s="1518"/>
      <c r="C111" s="1143"/>
      <c r="D111" s="622" t="s">
        <v>144</v>
      </c>
      <c r="E111" s="532">
        <f>'26'!F111</f>
        <v>32194</v>
      </c>
      <c r="F111" s="807">
        <v>32213</v>
      </c>
      <c r="G111" s="532">
        <f t="shared" ref="G111:G112" si="12">F111-E111</f>
        <v>19</v>
      </c>
      <c r="H111" s="533">
        <f>SUM(G111+'1'!G82)</f>
        <v>31</v>
      </c>
      <c r="I111" s="532"/>
      <c r="J111" s="558">
        <f>H111/DAY(B2)</f>
        <v>1.1481481481481481</v>
      </c>
      <c r="N111" s="382"/>
    </row>
    <row r="112" spans="1:14" s="442" customFormat="1" ht="27.75">
      <c r="A112" s="1517" t="s">
        <v>222</v>
      </c>
      <c r="B112" s="1518"/>
      <c r="C112" s="1143"/>
      <c r="D112" s="622" t="s">
        <v>144</v>
      </c>
      <c r="E112" s="532">
        <f>'26'!F112</f>
        <v>4363</v>
      </c>
      <c r="F112" s="662">
        <v>4363</v>
      </c>
      <c r="G112" s="534">
        <f t="shared" si="12"/>
        <v>0</v>
      </c>
      <c r="H112" s="533">
        <f>SUM(G112+'1'!G83)</f>
        <v>255</v>
      </c>
      <c r="I112" s="532"/>
      <c r="J112" s="558">
        <f>H112/DAY(B2)</f>
        <v>9.4444444444444446</v>
      </c>
      <c r="N112" s="382"/>
    </row>
    <row r="113" spans="1:14" s="442" customFormat="1" ht="27.75">
      <c r="A113" s="1519" t="s">
        <v>110</v>
      </c>
      <c r="B113" s="1520"/>
      <c r="C113" s="1143"/>
      <c r="D113" s="622"/>
      <c r="E113" s="532">
        <f>'26'!F113</f>
        <v>0</v>
      </c>
      <c r="F113" s="662"/>
      <c r="G113" s="532">
        <f>SUM(G110:G112)</f>
        <v>100</v>
      </c>
      <c r="H113" s="533">
        <f>SUM(G113+'1'!G84)</f>
        <v>815</v>
      </c>
      <c r="I113" s="532"/>
      <c r="J113" s="558">
        <f>H113/DAY(B2)</f>
        <v>30.185185185185187</v>
      </c>
      <c r="N113" s="382"/>
    </row>
    <row r="114" spans="1:14" s="442" customFormat="1" ht="27.75">
      <c r="A114" s="1523" t="s">
        <v>223</v>
      </c>
      <c r="B114" s="1524"/>
      <c r="C114" s="1143"/>
      <c r="D114" s="622"/>
      <c r="E114" s="532">
        <f>'26'!F114</f>
        <v>0</v>
      </c>
      <c r="F114" s="662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17" t="s">
        <v>224</v>
      </c>
      <c r="B115" s="1518"/>
      <c r="C115" s="574"/>
      <c r="D115" s="622" t="s">
        <v>144</v>
      </c>
      <c r="E115" s="532">
        <f>'26'!F115</f>
        <v>11240</v>
      </c>
      <c r="F115" s="662">
        <v>11245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0.18518518518518517</v>
      </c>
      <c r="N115" s="382"/>
    </row>
    <row r="116" spans="1:14" s="442" customFormat="1" ht="27.75">
      <c r="A116" s="1517" t="s">
        <v>225</v>
      </c>
      <c r="B116" s="1518"/>
      <c r="C116" s="574"/>
      <c r="D116" s="622" t="s">
        <v>144</v>
      </c>
      <c r="E116" s="532">
        <f>'26'!F116</f>
        <v>8119</v>
      </c>
      <c r="F116" s="662">
        <v>8119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1.9259259259259258</v>
      </c>
      <c r="N116" s="382"/>
    </row>
    <row r="117" spans="1:14" s="442" customFormat="1" ht="27.75">
      <c r="A117" s="1517" t="s">
        <v>226</v>
      </c>
      <c r="B117" s="1518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3.5185185185185186</v>
      </c>
      <c r="N117" s="382"/>
    </row>
    <row r="118" spans="1:14" s="445" customFormat="1" ht="27.75">
      <c r="A118" s="1519" t="s">
        <v>202</v>
      </c>
      <c r="B118" s="1520"/>
      <c r="C118" s="574"/>
      <c r="D118" s="623"/>
      <c r="E118" s="534"/>
      <c r="F118" s="662"/>
      <c r="G118" s="534">
        <f>SUM(G115:G117)</f>
        <v>5</v>
      </c>
      <c r="H118" s="533">
        <f>SUM(G118+'1'!G96)</f>
        <v>77</v>
      </c>
      <c r="I118" s="534"/>
      <c r="J118" s="558">
        <f>H118/DAY(B2)</f>
        <v>2.8518518518518516</v>
      </c>
      <c r="N118" s="382"/>
    </row>
    <row r="119" spans="1:14" s="446" customFormat="1" ht="27.75">
      <c r="A119" s="1513" t="s">
        <v>227</v>
      </c>
      <c r="B119" s="1514"/>
      <c r="C119" s="1141"/>
      <c r="D119" s="624" t="s">
        <v>144</v>
      </c>
      <c r="E119" s="536"/>
      <c r="F119" s="663"/>
      <c r="G119" s="536">
        <f>SUM(G19+G93)</f>
        <v>86</v>
      </c>
      <c r="H119" s="533">
        <f>SUM(G119+'1'!G97)</f>
        <v>98</v>
      </c>
      <c r="I119" s="535"/>
      <c r="J119" s="559">
        <f>H119/DAY(B2)</f>
        <v>3.6296296296296298</v>
      </c>
      <c r="N119" s="382"/>
    </row>
    <row r="120" spans="1:14" s="446" customFormat="1" ht="27.75">
      <c r="A120" s="1513" t="s">
        <v>228</v>
      </c>
      <c r="B120" s="1514"/>
      <c r="C120" s="1141"/>
      <c r="D120" s="624" t="s">
        <v>144</v>
      </c>
      <c r="E120" s="536"/>
      <c r="F120" s="663"/>
      <c r="G120" s="536">
        <f>SUM(G96,G97,G98,G100,G101)</f>
        <v>89</v>
      </c>
      <c r="H120" s="533">
        <f>SUM(G120+'1'!G99)</f>
        <v>94</v>
      </c>
      <c r="I120" s="535"/>
      <c r="J120" s="559">
        <f>H120/DAY(B2)</f>
        <v>3.4814814814814814</v>
      </c>
      <c r="N120" s="382"/>
    </row>
    <row r="121" spans="1:14" s="446" customFormat="1" ht="27.75">
      <c r="A121" s="1513" t="s">
        <v>229</v>
      </c>
      <c r="B121" s="1514"/>
      <c r="C121" s="1141"/>
      <c r="D121" s="624" t="s">
        <v>144</v>
      </c>
      <c r="E121" s="534"/>
      <c r="F121" s="662"/>
      <c r="G121" s="534">
        <f>SUM(G113)</f>
        <v>100</v>
      </c>
      <c r="H121" s="533">
        <f>SUM(G121+'1'!G101)</f>
        <v>106</v>
      </c>
      <c r="I121" s="535"/>
      <c r="J121" s="559">
        <f>H121/DAY(B2)</f>
        <v>3.925925925925926</v>
      </c>
      <c r="N121" s="382"/>
    </row>
    <row r="122" spans="1:14" s="442" customFormat="1" ht="27.75">
      <c r="A122" s="1515"/>
      <c r="B122" s="1516"/>
      <c r="C122" s="1142"/>
      <c r="D122" s="560"/>
      <c r="E122" s="560"/>
      <c r="F122" s="664"/>
      <c r="G122" s="560"/>
      <c r="H122" s="561"/>
      <c r="I122" s="560"/>
      <c r="J122" s="562"/>
      <c r="N122" s="382"/>
    </row>
    <row r="123" spans="1:14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4" t="s">
        <v>231</v>
      </c>
      <c r="B124" s="1145"/>
      <c r="C124" s="1145"/>
      <c r="D124" s="523" t="s">
        <v>141</v>
      </c>
      <c r="E124" s="478">
        <f>'26'!F124</f>
        <v>825273.45</v>
      </c>
      <c r="F124" s="478">
        <v>825480.73</v>
      </c>
      <c r="G124" s="473">
        <f t="shared" ref="G124:G128" si="14">F124-E124</f>
        <v>207.28000000002794</v>
      </c>
      <c r="H124" s="460">
        <f>G124+'26'!H124</f>
        <v>-607.72999999998137</v>
      </c>
      <c r="I124" s="526">
        <f>G124/5</f>
        <v>41.456000000005588</v>
      </c>
      <c r="J124" s="552">
        <f>H124/DAY(B2)</f>
        <v>-22.508518518517828</v>
      </c>
      <c r="K124" s="380"/>
      <c r="L124" s="377"/>
      <c r="N124" s="382"/>
    </row>
    <row r="125" spans="1:14" ht="27.75">
      <c r="A125" s="1144" t="s">
        <v>232</v>
      </c>
      <c r="B125" s="1145"/>
      <c r="C125" s="1145"/>
      <c r="D125" s="523" t="s">
        <v>141</v>
      </c>
      <c r="E125" s="478">
        <f>'26'!F125</f>
        <v>73583.100000000006</v>
      </c>
      <c r="F125" s="626">
        <v>73583.399999999994</v>
      </c>
      <c r="G125" s="473">
        <f t="shared" si="14"/>
        <v>0.29999999998835847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04" t="s">
        <v>233</v>
      </c>
      <c r="B126" s="1505"/>
      <c r="C126" s="1506"/>
      <c r="D126" s="523" t="s">
        <v>141</v>
      </c>
      <c r="E126" s="478">
        <f>'26'!F126</f>
        <v>144413.22</v>
      </c>
      <c r="F126" s="485">
        <v>144467.22</v>
      </c>
      <c r="G126" s="473">
        <f t="shared" si="14"/>
        <v>54</v>
      </c>
      <c r="H126" s="460">
        <f>G126+'26'!H126</f>
        <v>-220.22000000000116</v>
      </c>
      <c r="I126" s="526"/>
      <c r="J126" s="552">
        <f>H126/DAY(B2)</f>
        <v>-8.1562962962963397</v>
      </c>
      <c r="K126" s="380"/>
      <c r="L126" s="377"/>
      <c r="N126" s="382"/>
    </row>
    <row r="127" spans="1:14" ht="27.75">
      <c r="A127" s="609" t="s">
        <v>234</v>
      </c>
      <c r="B127" s="1145"/>
      <c r="C127" s="1145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0.2000000000007276</v>
      </c>
      <c r="I127" s="526"/>
      <c r="J127" s="552">
        <f>H127/DAY(B2)</f>
        <v>7.4074074074343558E-3</v>
      </c>
      <c r="K127" s="380"/>
      <c r="L127" s="377"/>
      <c r="N127" s="382"/>
    </row>
    <row r="128" spans="1:14" ht="27.75">
      <c r="A128" s="609" t="s">
        <v>235</v>
      </c>
      <c r="B128" s="1145"/>
      <c r="C128" s="1145"/>
      <c r="D128" s="523" t="s">
        <v>141</v>
      </c>
      <c r="E128" s="478">
        <f>'26'!F128</f>
        <v>8969.6</v>
      </c>
      <c r="F128" s="626">
        <v>8969.7000000000007</v>
      </c>
      <c r="G128" s="473">
        <f t="shared" si="14"/>
        <v>0.1000000000003638</v>
      </c>
      <c r="H128" s="460">
        <f>G128+'26'!H128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365.6989999999405</v>
      </c>
      <c r="H129" s="460">
        <f>G129+'26'!H129</f>
        <v>-3307.3909999999523</v>
      </c>
      <c r="I129" s="480"/>
      <c r="J129" s="552">
        <f>H129/DAY(B2)</f>
        <v>-122.4959629629612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4" t="s">
        <v>238</v>
      </c>
      <c r="B131" s="1145"/>
      <c r="C131" s="1145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4" t="s">
        <v>240</v>
      </c>
      <c r="B132" s="1145"/>
      <c r="C132" s="1145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4" t="s">
        <v>241</v>
      </c>
      <c r="B133" s="1145"/>
      <c r="C133" s="1145"/>
      <c r="D133" s="523" t="s">
        <v>239</v>
      </c>
      <c r="E133" s="484">
        <f>'26'!F133</f>
        <v>39670.160000000003</v>
      </c>
      <c r="F133" s="485">
        <v>39679.47</v>
      </c>
      <c r="G133" s="473">
        <f t="shared" si="15"/>
        <v>9.3099999999976717</v>
      </c>
      <c r="H133" s="460">
        <f>G133+'26'!H133</f>
        <v>-67.010000000002037</v>
      </c>
      <c r="I133" s="480"/>
      <c r="J133" s="552">
        <f>H133/DAY(B2)</f>
        <v>-2.4818518518519275</v>
      </c>
      <c r="N133" s="382"/>
    </row>
    <row r="134" spans="1:14" ht="27.75">
      <c r="A134" s="1144" t="s">
        <v>242</v>
      </c>
      <c r="B134" s="1145"/>
      <c r="C134" s="1145"/>
      <c r="D134" s="523" t="s">
        <v>239</v>
      </c>
      <c r="E134" s="484">
        <f>'26'!F134</f>
        <v>300</v>
      </c>
      <c r="F134" s="654">
        <v>300</v>
      </c>
      <c r="G134" s="473">
        <f t="shared" si="15"/>
        <v>0</v>
      </c>
      <c r="H134" s="460">
        <f>G134+'26'!H134</f>
        <v>0</v>
      </c>
      <c r="I134" s="480">
        <f>G131+G132+G133+G134</f>
        <v>9.3099999999976717</v>
      </c>
      <c r="J134" s="552">
        <f>H134/DAY(B2)</f>
        <v>0</v>
      </c>
      <c r="N134" s="382"/>
    </row>
    <row r="135" spans="1:14" ht="27.75">
      <c r="A135" s="1144" t="s">
        <v>243</v>
      </c>
      <c r="B135" s="1145"/>
      <c r="C135" s="1145"/>
      <c r="D135" s="523" t="s">
        <v>239</v>
      </c>
      <c r="E135" s="484">
        <f>'26'!F135</f>
        <v>41361.25</v>
      </c>
      <c r="F135" s="485">
        <v>41377.4</v>
      </c>
      <c r="G135" s="473">
        <f t="shared" si="15"/>
        <v>16.150000000001455</v>
      </c>
      <c r="H135" s="460">
        <f>G135+'26'!H135</f>
        <v>106.40000000000146</v>
      </c>
      <c r="I135" s="480"/>
      <c r="J135" s="552">
        <f>H135/DAY(B2)</f>
        <v>3.9407407407407948</v>
      </c>
      <c r="N135" s="382"/>
    </row>
    <row r="136" spans="1:14" ht="27.75">
      <c r="A136" s="1144" t="s">
        <v>244</v>
      </c>
      <c r="B136" s="1145"/>
      <c r="C136" s="1145"/>
      <c r="D136" s="523" t="s">
        <v>239</v>
      </c>
      <c r="E136" s="484">
        <f>'26'!F136</f>
        <v>32582.93</v>
      </c>
      <c r="F136" s="485">
        <v>32582.93</v>
      </c>
      <c r="G136" s="473">
        <f t="shared" si="15"/>
        <v>0</v>
      </c>
      <c r="H136" s="460">
        <f>G136+'26'!H136</f>
        <v>13</v>
      </c>
      <c r="I136" s="480"/>
      <c r="J136" s="552">
        <f>H136/DAY(B2)</f>
        <v>0.48148148148148145</v>
      </c>
      <c r="N136" s="382"/>
    </row>
    <row r="137" spans="1:14" ht="27.75">
      <c r="A137" s="1144" t="s">
        <v>245</v>
      </c>
      <c r="B137" s="1145"/>
      <c r="C137" s="1145"/>
      <c r="D137" s="523" t="s">
        <v>239</v>
      </c>
      <c r="E137" s="484">
        <f>'26'!F137</f>
        <v>22724.3</v>
      </c>
      <c r="F137" s="485">
        <v>22731.599999999999</v>
      </c>
      <c r="G137" s="473">
        <f t="shared" si="15"/>
        <v>7.2999999999992724</v>
      </c>
      <c r="H137" s="460">
        <f>G137+'26'!H137</f>
        <v>-7.9900000000016007</v>
      </c>
      <c r="I137" s="480">
        <f>G135+G136+G137</f>
        <v>23.450000000000728</v>
      </c>
      <c r="J137" s="552">
        <f>H137/DAY(B2)</f>
        <v>-0.29592592592598521</v>
      </c>
      <c r="N137" s="382"/>
    </row>
    <row r="138" spans="1:14" ht="27.75">
      <c r="A138" s="1144" t="s">
        <v>246</v>
      </c>
      <c r="B138" s="1145"/>
      <c r="C138" s="1145"/>
      <c r="D138" s="523" t="s">
        <v>239</v>
      </c>
      <c r="E138" s="484">
        <f>'26'!F138</f>
        <v>25051.49</v>
      </c>
      <c r="F138" s="654">
        <v>25051.49</v>
      </c>
      <c r="G138" s="473">
        <f t="shared" si="15"/>
        <v>0</v>
      </c>
      <c r="H138" s="460">
        <f>G138+'26'!H138</f>
        <v>8</v>
      </c>
      <c r="I138" s="480"/>
      <c r="J138" s="552">
        <f>H138/DAY(B2)</f>
        <v>0.29629629629629628</v>
      </c>
      <c r="N138" s="382"/>
    </row>
    <row r="139" spans="1:14" ht="27.75">
      <c r="A139" s="1144" t="s">
        <v>247</v>
      </c>
      <c r="B139" s="1145"/>
      <c r="C139" s="1145"/>
      <c r="D139" s="523" t="s">
        <v>239</v>
      </c>
      <c r="E139" s="484">
        <f>'26'!F139</f>
        <v>70299.460000000006</v>
      </c>
      <c r="F139" s="485">
        <v>70299.460000000006</v>
      </c>
      <c r="G139" s="473">
        <f t="shared" si="15"/>
        <v>0</v>
      </c>
      <c r="H139" s="460">
        <f>G139+'26'!H139</f>
        <v>19.230000000010477</v>
      </c>
      <c r="I139" s="480">
        <f>G138+G139</f>
        <v>0</v>
      </c>
      <c r="J139" s="552">
        <f>H139/DAY(B2)</f>
        <v>0.71222222222261022</v>
      </c>
      <c r="N139" s="382"/>
    </row>
    <row r="140" spans="1:14" ht="27.75">
      <c r="A140" s="1144" t="s">
        <v>248</v>
      </c>
      <c r="B140" s="1145"/>
      <c r="C140" s="1145"/>
      <c r="D140" s="523" t="s">
        <v>239</v>
      </c>
      <c r="E140" s="484">
        <f>'26'!F140</f>
        <v>1586.34</v>
      </c>
      <c r="F140" s="485">
        <v>1593.85</v>
      </c>
      <c r="G140" s="473">
        <f t="shared" si="15"/>
        <v>7.5099999999999909</v>
      </c>
      <c r="H140" s="460">
        <f>G140+'26'!H140</f>
        <v>-23.009999999999991</v>
      </c>
      <c r="I140" s="542"/>
      <c r="J140" s="552">
        <f>H140/DAY(B2)</f>
        <v>-0.85222222222222188</v>
      </c>
      <c r="N140" s="382"/>
    </row>
    <row r="141" spans="1:14" ht="27.75">
      <c r="A141" s="1144" t="s">
        <v>249</v>
      </c>
      <c r="B141" s="1145"/>
      <c r="C141" s="1145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31" t="s">
        <v>250</v>
      </c>
      <c r="B142" s="1532"/>
      <c r="C142" s="1150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5037.1199999999953</v>
      </c>
      <c r="H143" s="460">
        <f>G143+'26'!H143</f>
        <v>-13863.619999999995</v>
      </c>
      <c r="I143" s="480"/>
      <c r="J143" s="552">
        <f>H143/DAY(B2)</f>
        <v>-513.46740740740722</v>
      </c>
      <c r="K143" s="380"/>
      <c r="L143" s="377"/>
      <c r="N143" s="382"/>
    </row>
    <row r="144" spans="1:14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0.27991775493192528</v>
      </c>
      <c r="H144" s="460">
        <f>G144+'26'!H144</f>
        <v>6.8361291757810045</v>
      </c>
      <c r="I144" s="544"/>
      <c r="J144" s="552">
        <f>H144/DAY(B2)</f>
        <v>0.25318996947337052</v>
      </c>
      <c r="K144" s="380"/>
      <c r="L144" s="377"/>
      <c r="N144" s="382"/>
    </row>
    <row r="145" spans="1:14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5057.4740000000165</v>
      </c>
      <c r="H145" s="460">
        <f>G145+'26'!H145</f>
        <v>330594.46700000006</v>
      </c>
      <c r="I145" s="480"/>
      <c r="J145" s="552">
        <f>H145/DAY(B2)</f>
        <v>12244.239518518521</v>
      </c>
      <c r="K145" s="380"/>
      <c r="L145" s="377"/>
      <c r="N145" s="382"/>
    </row>
    <row r="146" spans="1:14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0.28104884690191811</v>
      </c>
      <c r="H146" s="460">
        <f>G146+'26'!H146</f>
        <v>8.0300036484719861</v>
      </c>
      <c r="I146" s="544"/>
      <c r="J146" s="552">
        <f>H146/DAY(B2)</f>
        <v>0.29740754253599949</v>
      </c>
      <c r="K146" s="380"/>
      <c r="L146" s="377"/>
      <c r="N146" s="382"/>
    </row>
    <row r="147" spans="1:14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3319.6199999999953</v>
      </c>
      <c r="H147" s="460">
        <f>G147+'26'!H147</f>
        <v>7253.679999999993</v>
      </c>
      <c r="I147" s="545"/>
      <c r="J147" s="552">
        <f>H147/DAY(B2)</f>
        <v>268.65481481481453</v>
      </c>
      <c r="K147" s="380"/>
      <c r="L147" s="377"/>
      <c r="N147" s="382"/>
    </row>
    <row r="148" spans="1:14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0.18447457627118619</v>
      </c>
      <c r="H148" s="460">
        <f>G148+'26'!H148</f>
        <v>4.0751042060684552</v>
      </c>
      <c r="I148" s="545"/>
      <c r="J148" s="552">
        <f>H148/DAY(B2)</f>
        <v>0.15092978540994278</v>
      </c>
      <c r="N148" s="382"/>
    </row>
    <row r="149" spans="1:14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1256</v>
      </c>
      <c r="H149" s="460">
        <f>G149+'26'!H149</f>
        <v>-4095.8200000000506</v>
      </c>
      <c r="I149" s="480"/>
      <c r="J149" s="552">
        <f>H149/DAY(B2)</f>
        <v>-151.69703703703891</v>
      </c>
      <c r="K149" s="381"/>
      <c r="N149" s="382"/>
    </row>
    <row r="150" spans="1:14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6.9797165879410941E-2</v>
      </c>
      <c r="H150" s="460">
        <f>G150+'26'!H150</f>
        <v>1.9301438489008726</v>
      </c>
      <c r="I150" s="545"/>
      <c r="J150" s="552">
        <f>H150/DAY(B2)</f>
        <v>7.1486809218550842E-2</v>
      </c>
      <c r="N150" s="382"/>
    </row>
    <row r="151" spans="1:14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1339.5999999999767</v>
      </c>
      <c r="H151" s="460">
        <f>G151+'26'!H151</f>
        <v>-4919.179999999993</v>
      </c>
      <c r="I151" s="545"/>
      <c r="J151" s="552">
        <f>H151/DAY(B2)</f>
        <v>-182.1918518518516</v>
      </c>
      <c r="N151" s="382"/>
    </row>
    <row r="152" spans="1:14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7.4442900805778089E-2</v>
      </c>
      <c r="H152" s="460">
        <f>G152+'26'!H152</f>
        <v>1.9812592952628483</v>
      </c>
      <c r="I152" s="480"/>
      <c r="J152" s="552">
        <f>H152/DAY(B2)</f>
        <v>7.337997389862401E-2</v>
      </c>
      <c r="N152" s="382"/>
    </row>
    <row r="153" spans="1:14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1174.25</v>
      </c>
      <c r="H153" s="460">
        <f>G153+'26'!H153</f>
        <v>-3769.7900000000081</v>
      </c>
      <c r="I153" s="480"/>
      <c r="J153" s="552">
        <f>H153/DAY(B2)</f>
        <v>-139.62185185185214</v>
      </c>
      <c r="N153" s="382"/>
    </row>
    <row r="154" spans="1:14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6.5254237288135591E-2</v>
      </c>
      <c r="H154" s="460">
        <f>G154+'26'!H154</f>
        <v>1.9482688945212818</v>
      </c>
      <c r="I154" s="568"/>
      <c r="J154" s="569">
        <f>H154/DAY(B2)</f>
        <v>7.2158107204491923E-2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61" spans="1:7">
      <c r="A161" s="788" t="s">
        <v>263</v>
      </c>
      <c r="B161" s="789"/>
      <c r="C161" s="789"/>
      <c r="D161" s="511" t="s">
        <v>187</v>
      </c>
      <c r="E161" s="541">
        <f>'26'!F161</f>
        <v>35613.24</v>
      </c>
      <c r="F161" s="661">
        <v>35692.58</v>
      </c>
      <c r="G161" s="473">
        <f t="shared" ref="G161:G164" si="16">F161-E161</f>
        <v>79.340000000003783</v>
      </c>
    </row>
    <row r="162" spans="1:7">
      <c r="A162" s="788" t="s">
        <v>264</v>
      </c>
      <c r="B162" s="789"/>
      <c r="C162" s="789"/>
      <c r="D162" s="511" t="s">
        <v>187</v>
      </c>
      <c r="E162" s="541">
        <f>'26'!F162</f>
        <v>80521.23</v>
      </c>
      <c r="F162" s="661">
        <v>80965.83</v>
      </c>
      <c r="G162" s="473">
        <f t="shared" si="16"/>
        <v>444.60000000000582</v>
      </c>
    </row>
    <row r="163" spans="1:7">
      <c r="A163" s="788" t="s">
        <v>265</v>
      </c>
      <c r="B163" s="789"/>
      <c r="C163" s="789"/>
      <c r="D163" s="511" t="s">
        <v>187</v>
      </c>
      <c r="E163" s="541">
        <f>'26'!F163</f>
        <v>36653.26</v>
      </c>
      <c r="F163" s="661">
        <v>36974.61</v>
      </c>
      <c r="G163" s="473">
        <f t="shared" si="16"/>
        <v>321.34999999999854</v>
      </c>
    </row>
    <row r="164" spans="1:7">
      <c r="A164" s="788" t="s">
        <v>266</v>
      </c>
      <c r="B164" s="789"/>
      <c r="C164" s="789"/>
      <c r="D164" s="511" t="s">
        <v>187</v>
      </c>
      <c r="E164" s="541">
        <f>'26'!F164</f>
        <v>6144.27</v>
      </c>
      <c r="F164" s="661">
        <v>6156.08</v>
      </c>
      <c r="G164" s="473">
        <f t="shared" si="16"/>
        <v>11.809999999999491</v>
      </c>
    </row>
    <row r="165" spans="1:7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90" t="s">
        <v>188</v>
      </c>
      <c r="B166" s="604"/>
      <c r="C166" s="604"/>
      <c r="D166" s="511" t="s">
        <v>187</v>
      </c>
      <c r="E166" s="514">
        <f t="shared" ref="E166:E172" si="18">E63</f>
        <v>2339.09</v>
      </c>
      <c r="F166" s="514">
        <f t="shared" ref="F166:F172" si="19">F63</f>
        <v>2344.29</v>
      </c>
      <c r="G166" s="473">
        <f t="shared" si="17"/>
        <v>5.1999999999998181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si="18"/>
        <v>151828.01999999999</v>
      </c>
      <c r="F167" s="514">
        <f t="shared" si="19"/>
        <v>152305.20000000001</v>
      </c>
      <c r="G167" s="473">
        <f t="shared" si="17"/>
        <v>477.18000000002212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si="18"/>
        <v>153594.48000000001</v>
      </c>
      <c r="F168" s="514">
        <f t="shared" si="19"/>
        <v>153943.04000000001</v>
      </c>
      <c r="G168" s="473">
        <f t="shared" si="17"/>
        <v>348.55999999999767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si="18"/>
        <v>47352.91</v>
      </c>
      <c r="F169" s="514">
        <f t="shared" si="19"/>
        <v>47716.65</v>
      </c>
      <c r="G169" s="473">
        <f t="shared" si="17"/>
        <v>363.73999999999796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si="18"/>
        <v>241972.13</v>
      </c>
      <c r="F170" s="514">
        <f t="shared" si="19"/>
        <v>242354.53</v>
      </c>
      <c r="G170" s="473">
        <f t="shared" si="17"/>
        <v>382.39999999999418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si="18"/>
        <v>78730.27</v>
      </c>
      <c r="F172" s="514">
        <f t="shared" si="19"/>
        <v>78766.350000000006</v>
      </c>
      <c r="G172" s="473">
        <f t="shared" si="17"/>
        <v>36.080000000001746</v>
      </c>
    </row>
    <row r="173" spans="1:7">
      <c r="G173" s="539">
        <f>SUM(G161:G172)</f>
        <v>2470.2600000000211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topLeftCell="A28" zoomScale="55" zoomScaleNormal="80" zoomScaleSheetLayoutView="55" workbookViewId="0">
      <selection activeCell="F28" activeCellId="1" sqref="F28 F28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5" customWidth="1"/>
    <col min="15" max="17" width="22.33203125" style="773"/>
    <col min="18" max="16384" width="22.33203125" style="376"/>
  </cols>
  <sheetData>
    <row r="1" spans="1:17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7" s="281" customFormat="1" ht="27">
      <c r="A2" s="575" t="s">
        <v>361</v>
      </c>
      <c r="B2" s="1386">
        <v>44314</v>
      </c>
      <c r="C2" s="1146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5"/>
      <c r="O2" s="773"/>
      <c r="P2" s="773"/>
      <c r="Q2" s="773"/>
    </row>
    <row r="3" spans="1:17" s="281" customFormat="1" ht="27">
      <c r="A3" s="570"/>
      <c r="B3" s="614"/>
      <c r="C3" s="1146" t="s">
        <v>120</v>
      </c>
      <c r="D3" s="612">
        <v>23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1105"/>
      <c r="O3" s="773"/>
      <c r="P3" s="773"/>
      <c r="Q3" s="773"/>
    </row>
    <row r="4" spans="1:17" s="281" customFormat="1" ht="27">
      <c r="A4" s="576"/>
      <c r="B4" s="616"/>
      <c r="C4" s="1146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5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536" t="s">
        <v>130</v>
      </c>
      <c r="B6" s="1537"/>
      <c r="C6" s="1538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5674757</v>
      </c>
      <c r="F7" s="460">
        <v>5692742</v>
      </c>
      <c r="G7" s="681">
        <f>F7-E7</f>
        <v>17985</v>
      </c>
      <c r="H7" s="682">
        <f>G7+'27'!H7</f>
        <v>5847765</v>
      </c>
      <c r="I7" s="683">
        <f>'1'!I7</f>
        <v>12000</v>
      </c>
      <c r="J7" s="684">
        <f>H7/DAY(B2)</f>
        <v>208848.75</v>
      </c>
      <c r="K7" s="549"/>
      <c r="L7" s="377"/>
      <c r="N7" s="1106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5708341</v>
      </c>
      <c r="F8" s="740">
        <v>5726367</v>
      </c>
      <c r="G8" s="692">
        <f>F8-E8</f>
        <v>18026</v>
      </c>
      <c r="H8" s="682">
        <f>G8+'27'!H8</f>
        <v>5882126</v>
      </c>
      <c r="I8" s="689">
        <f>'1'!I8</f>
        <v>12000</v>
      </c>
      <c r="J8" s="684">
        <f>H8/DAY(B2)</f>
        <v>210075.92857142858</v>
      </c>
      <c r="K8" s="549"/>
      <c r="L8" s="425">
        <v>1375467</v>
      </c>
      <c r="M8" s="440">
        <v>1703438</v>
      </c>
      <c r="N8" s="1106"/>
    </row>
    <row r="9" spans="1:17">
      <c r="A9" s="690" t="s">
        <v>134</v>
      </c>
      <c r="B9" s="691"/>
      <c r="C9" s="691"/>
      <c r="D9" s="638" t="s">
        <v>132</v>
      </c>
      <c r="E9" s="682">
        <f>'27'!F9</f>
        <v>939717</v>
      </c>
      <c r="F9" s="741">
        <v>957140.95</v>
      </c>
      <c r="G9" s="705">
        <f t="shared" ref="G9:G12" si="0">F9-E9</f>
        <v>17423.949999999953</v>
      </c>
      <c r="H9" s="682">
        <f>G9+'27'!H9</f>
        <v>-33573.050000000047</v>
      </c>
      <c r="I9" s="693">
        <f>I8-J8</f>
        <v>-198075.92857142858</v>
      </c>
      <c r="J9" s="684">
        <f>H9/DAY(B2)</f>
        <v>-1199.0375000000017</v>
      </c>
      <c r="K9" s="428"/>
      <c r="L9" s="377"/>
      <c r="N9" s="1106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6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6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6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17423.949999999953</v>
      </c>
      <c r="H13" s="682">
        <f>G13+'27'!H13</f>
        <v>-48094.050000000047</v>
      </c>
      <c r="I13" s="698">
        <f>G7-G13</f>
        <v>561.05000000004657</v>
      </c>
      <c r="J13" s="684">
        <f>H13/DAY(B2)</f>
        <v>-1717.6446428571446</v>
      </c>
      <c r="K13" s="428"/>
      <c r="L13" s="377"/>
      <c r="N13" s="1106"/>
    </row>
    <row r="14" spans="1:17">
      <c r="A14" s="1539" t="s">
        <v>139</v>
      </c>
      <c r="B14" s="1540"/>
      <c r="C14" s="1541"/>
      <c r="D14" s="472"/>
      <c r="E14" s="742"/>
      <c r="F14" s="742"/>
      <c r="G14" s="483"/>
      <c r="H14" s="472"/>
      <c r="I14" s="472"/>
      <c r="J14" s="551"/>
      <c r="K14" s="429"/>
      <c r="L14" s="377"/>
      <c r="N14" s="1106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1669075.459</v>
      </c>
      <c r="F15" s="743">
        <v>1669537.26</v>
      </c>
      <c r="G15" s="667">
        <f>(F15-E15)</f>
        <v>461.80099999997765</v>
      </c>
      <c r="H15" s="1091">
        <f>G15+'27'!H15</f>
        <v>-1119.7399999999907</v>
      </c>
      <c r="I15" s="1092">
        <v>800</v>
      </c>
      <c r="J15" s="1093">
        <f>H15/DAY(B2)</f>
        <v>-39.990714285713956</v>
      </c>
      <c r="K15" s="428"/>
      <c r="L15" s="377"/>
      <c r="N15" s="1106"/>
    </row>
    <row r="16" spans="1:17">
      <c r="A16" s="676"/>
      <c r="B16" s="677"/>
      <c r="C16" s="677"/>
      <c r="D16" s="670"/>
      <c r="E16" s="760"/>
      <c r="F16" s="743"/>
      <c r="G16" s="672"/>
      <c r="H16" s="1091"/>
      <c r="I16" s="1094">
        <f>I15-J15</f>
        <v>839.99071428571392</v>
      </c>
      <c r="J16" s="1093"/>
      <c r="K16" s="428"/>
      <c r="L16" s="377"/>
      <c r="N16" s="1106"/>
    </row>
    <row r="17" spans="1:17">
      <c r="A17" s="1539" t="s">
        <v>142</v>
      </c>
      <c r="B17" s="1540"/>
      <c r="C17" s="1541"/>
      <c r="D17" s="472"/>
      <c r="E17" s="742"/>
      <c r="F17" s="742"/>
      <c r="G17" s="488"/>
      <c r="H17" s="472"/>
      <c r="I17" s="472"/>
      <c r="J17" s="551"/>
      <c r="K17" s="428"/>
      <c r="L17" s="377"/>
      <c r="N17" s="1106"/>
    </row>
    <row r="18" spans="1:17" ht="27.75">
      <c r="A18" s="1565" t="s">
        <v>143</v>
      </c>
      <c r="B18" s="1566"/>
      <c r="C18" s="1567"/>
      <c r="D18" s="638" t="s">
        <v>144</v>
      </c>
      <c r="E18" s="761">
        <f>'27'!F18</f>
        <v>6</v>
      </c>
      <c r="F18" s="741">
        <v>6</v>
      </c>
      <c r="G18" s="697">
        <f>F18*10</f>
        <v>60</v>
      </c>
      <c r="H18" s="682">
        <f>G18+'27'!H18</f>
        <v>1480</v>
      </c>
      <c r="I18" s="683">
        <f>'1'!I18</f>
        <v>65</v>
      </c>
      <c r="J18" s="684">
        <f>H18/DAY(B2)</f>
        <v>52.857142857142854</v>
      </c>
      <c r="K18" s="428"/>
      <c r="L18" s="377"/>
      <c r="N18" s="1106"/>
    </row>
    <row r="19" spans="1:17" ht="27.75">
      <c r="A19" s="1565" t="s">
        <v>71</v>
      </c>
      <c r="B19" s="1566"/>
      <c r="C19" s="1567"/>
      <c r="D19" s="638" t="s">
        <v>144</v>
      </c>
      <c r="E19" s="761">
        <f>'27'!F19</f>
        <v>137647</v>
      </c>
      <c r="F19" s="741">
        <v>137703</v>
      </c>
      <c r="G19" s="692">
        <f t="shared" ref="G19" si="1">F19-E19</f>
        <v>56</v>
      </c>
      <c r="H19" s="682">
        <f>G19+'27'!H19</f>
        <v>-109</v>
      </c>
      <c r="I19" s="699"/>
      <c r="J19" s="684">
        <f>H19/DAY(B2)</f>
        <v>-3.8928571428571428</v>
      </c>
      <c r="K19" s="428"/>
      <c r="L19" s="377"/>
      <c r="N19" s="1106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116</v>
      </c>
      <c r="H20" s="682">
        <f>G20+'27'!H20</f>
        <v>1407</v>
      </c>
      <c r="I20" s="701">
        <f>I18-J20</f>
        <v>14.75</v>
      </c>
      <c r="J20" s="684">
        <f>H20/DAY(B2)</f>
        <v>50.25</v>
      </c>
      <c r="K20" s="428"/>
      <c r="L20" s="377"/>
      <c r="N20" s="1106"/>
    </row>
    <row r="21" spans="1:17">
      <c r="A21" s="1539" t="s">
        <v>146</v>
      </c>
      <c r="B21" s="1540"/>
      <c r="C21" s="1541"/>
      <c r="D21" s="472"/>
      <c r="E21" s="742"/>
      <c r="F21" s="742"/>
      <c r="G21" s="483"/>
      <c r="H21" s="472"/>
      <c r="I21" s="472"/>
      <c r="J21" s="551"/>
      <c r="K21" s="428"/>
      <c r="L21" s="377"/>
      <c r="N21" s="1106"/>
    </row>
    <row r="22" spans="1:17">
      <c r="A22" s="1144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6"/>
    </row>
    <row r="23" spans="1:17">
      <c r="A23" s="1144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6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6"/>
    </row>
    <row r="25" spans="1:17" s="442" customFormat="1" ht="27">
      <c r="A25" s="1544" t="s">
        <v>151</v>
      </c>
      <c r="B25" s="1545"/>
      <c r="C25" s="1546"/>
      <c r="D25" s="471"/>
      <c r="E25" s="495"/>
      <c r="F25" s="495"/>
      <c r="G25" s="494"/>
      <c r="H25" s="495"/>
      <c r="I25" s="496"/>
      <c r="J25" s="554"/>
      <c r="K25" s="373"/>
      <c r="L25" s="443"/>
      <c r="N25" s="1106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6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18026</v>
      </c>
      <c r="F27" s="501">
        <v>9</v>
      </c>
      <c r="G27" s="502">
        <f>E27*F27</f>
        <v>162234</v>
      </c>
      <c r="H27" s="460">
        <f>G27+'27'!H27</f>
        <v>52939134</v>
      </c>
      <c r="I27" s="503"/>
      <c r="J27" s="552">
        <f>H27/DAY(B2)</f>
        <v>1890683.357142857</v>
      </c>
      <c r="K27" s="373"/>
      <c r="L27" s="443"/>
      <c r="N27" s="1106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461.80099999997765</v>
      </c>
      <c r="F28" s="501">
        <v>49</v>
      </c>
      <c r="G28" s="502">
        <f>E28*F28</f>
        <v>22628.248999998905</v>
      </c>
      <c r="H28" s="460">
        <f>G28+'27'!H28</f>
        <v>-52081.60999999952</v>
      </c>
      <c r="I28" s="505"/>
      <c r="J28" s="552">
        <f>H28/DAY(B2)</f>
        <v>-1860.0574999999828</v>
      </c>
      <c r="K28" s="373"/>
      <c r="L28" s="443"/>
      <c r="N28" s="1106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6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56</v>
      </c>
      <c r="F30" s="702">
        <v>134</v>
      </c>
      <c r="G30" s="502">
        <f>E30*F30</f>
        <v>7504</v>
      </c>
      <c r="H30" s="460">
        <f>G30+'27'!H30</f>
        <v>-14606</v>
      </c>
      <c r="I30" s="505"/>
      <c r="J30" s="552">
        <f>H30/DAY(B2)</f>
        <v>-521.64285714285711</v>
      </c>
      <c r="K30" s="373"/>
      <c r="L30" s="443"/>
      <c r="N30" s="1106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G31+'27'!H31</f>
        <v>118400</v>
      </c>
      <c r="I31" s="505"/>
      <c r="J31" s="552"/>
      <c r="K31" s="373"/>
      <c r="L31" s="443"/>
      <c r="N31" s="1106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197166.2489999989</v>
      </c>
      <c r="H32" s="460">
        <f>G32+'27'!H32</f>
        <v>53079856.389999993</v>
      </c>
      <c r="I32" s="509"/>
      <c r="J32" s="552">
        <f>H32/DAY(B2)</f>
        <v>1895709.156785714</v>
      </c>
      <c r="K32" s="373"/>
      <c r="L32" s="443"/>
      <c r="N32" s="1106"/>
      <c r="O32" s="773"/>
      <c r="P32" s="773"/>
      <c r="Q32" s="773"/>
    </row>
    <row r="33" spans="1:14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1106"/>
    </row>
    <row r="34" spans="1:14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  <c r="N34" s="1106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879782.31</v>
      </c>
      <c r="F35" s="745">
        <v>881971.99</v>
      </c>
      <c r="G35" s="473">
        <f t="shared" ref="G35:G46" si="3">F35-E35</f>
        <v>2189.6799999999348</v>
      </c>
      <c r="H35" s="460">
        <f>G35+'27'!H35</f>
        <v>-4487.0100000000093</v>
      </c>
      <c r="I35" s="455"/>
      <c r="J35" s="552">
        <f>H35/DAY(B2)</f>
        <v>-160.25035714285747</v>
      </c>
      <c r="K35" s="428"/>
      <c r="L35" s="377"/>
      <c r="N35" s="1106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343058.55</v>
      </c>
      <c r="F36" s="745">
        <v>343442.95</v>
      </c>
      <c r="G36" s="473">
        <f t="shared" si="3"/>
        <v>384.40000000002328</v>
      </c>
      <c r="H36" s="460">
        <f>G36+'27'!H36</f>
        <v>-1165.0499999999884</v>
      </c>
      <c r="I36" s="455"/>
      <c r="J36" s="552">
        <f>H36/DAY(B2)</f>
        <v>-41.608928571428159</v>
      </c>
      <c r="K36" s="428"/>
      <c r="L36" s="377"/>
      <c r="N36" s="1106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91455.34</v>
      </c>
      <c r="F37" s="745">
        <v>92653.24</v>
      </c>
      <c r="G37" s="473">
        <f t="shared" si="3"/>
        <v>1197.9000000000087</v>
      </c>
      <c r="H37" s="460">
        <f>G37+'27'!H37</f>
        <v>-2571.7599999999948</v>
      </c>
      <c r="I37" s="455"/>
      <c r="J37" s="552">
        <f>H37/DAY(B2)</f>
        <v>-91.848571428571248</v>
      </c>
      <c r="K37" s="428"/>
      <c r="L37" s="377"/>
      <c r="N37" s="1106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115500.11</v>
      </c>
      <c r="F38" s="470">
        <v>116891.35</v>
      </c>
      <c r="G38" s="473">
        <f t="shared" si="3"/>
        <v>1391.2400000000052</v>
      </c>
      <c r="H38" s="460">
        <f>G38+'27'!H38</f>
        <v>-2704.6499999999942</v>
      </c>
      <c r="I38" s="455"/>
      <c r="J38" s="552">
        <f>H38/DAY(B2)</f>
        <v>-96.594642857142645</v>
      </c>
      <c r="K38" s="428"/>
      <c r="L38" s="377"/>
      <c r="N38" s="1106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239642.37</v>
      </c>
      <c r="F39" s="745">
        <v>242505.27</v>
      </c>
      <c r="G39" s="473">
        <f>F39-E39</f>
        <v>2862.8999999999942</v>
      </c>
      <c r="H39" s="460">
        <f>G39+'27'!H39</f>
        <v>-4147.7300000000105</v>
      </c>
      <c r="I39" s="455"/>
      <c r="J39" s="552">
        <f>H39/DAY(B2)</f>
        <v>-148.13321428571467</v>
      </c>
      <c r="K39" s="428"/>
      <c r="L39" s="377"/>
      <c r="N39" s="1106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-1.8179902028236938E-14</v>
      </c>
      <c r="I40" s="455"/>
      <c r="J40" s="552">
        <f>H40/DAY(B2)</f>
        <v>-6.4928221529417636E-16</v>
      </c>
      <c r="K40" s="429"/>
      <c r="L40" s="377"/>
      <c r="N40" s="1106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167081.91</v>
      </c>
      <c r="F41" s="745">
        <v>172691.47</v>
      </c>
      <c r="G41" s="473">
        <f t="shared" si="3"/>
        <v>5609.5599999999977</v>
      </c>
      <c r="H41" s="460">
        <f>G41+'27'!H41</f>
        <v>-8836.5299999999988</v>
      </c>
      <c r="I41" s="455"/>
      <c r="J41" s="552">
        <f>H41/DAY(B2)</f>
        <v>-315.5903571428571</v>
      </c>
      <c r="K41" s="428"/>
      <c r="L41" s="377"/>
      <c r="N41" s="1106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59200.087</v>
      </c>
      <c r="F42" s="745">
        <v>59200</v>
      </c>
      <c r="G42" s="473">
        <f t="shared" si="3"/>
        <v>-8.6999999999534339E-2</v>
      </c>
      <c r="H42" s="460">
        <f>G42+'27'!H42</f>
        <v>0</v>
      </c>
      <c r="I42" s="455"/>
      <c r="J42" s="552">
        <f>H42/DAY(B2)</f>
        <v>0</v>
      </c>
      <c r="K42" s="428"/>
      <c r="L42" s="377"/>
      <c r="N42" s="1106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967060.07</v>
      </c>
      <c r="F43" s="745">
        <v>969445.99</v>
      </c>
      <c r="G43" s="473">
        <f t="shared" si="3"/>
        <v>2385.9200000000419</v>
      </c>
      <c r="H43" s="460">
        <f>G43+'27'!H43</f>
        <v>-4512.0100000000093</v>
      </c>
      <c r="I43" s="455"/>
      <c r="J43" s="552">
        <f>H43/DAY(B2)</f>
        <v>-161.14321428571461</v>
      </c>
      <c r="K43" s="428"/>
      <c r="L43" s="377"/>
      <c r="N43" s="1106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6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6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6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16021.513000000006</v>
      </c>
      <c r="H47" s="460">
        <f>G47+'27'!H47</f>
        <v>-27623.299999999988</v>
      </c>
      <c r="I47" s="455"/>
      <c r="J47" s="552">
        <f>H47/DAY(B2)</f>
        <v>-986.54642857142812</v>
      </c>
      <c r="K47" s="428"/>
      <c r="L47" s="377"/>
      <c r="N47" s="1106"/>
    </row>
    <row r="48" spans="1:14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  <c r="N48" s="1106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6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471166.27</v>
      </c>
      <c r="F50" s="745">
        <v>472143.43</v>
      </c>
      <c r="G50" s="473">
        <f t="shared" si="4"/>
        <v>977.15999999997439</v>
      </c>
      <c r="H50" s="460">
        <f>G50+'27'!H50</f>
        <v>-3331.570000000007</v>
      </c>
      <c r="I50" s="455"/>
      <c r="J50" s="552">
        <f>H50/DAY(B2)</f>
        <v>-118.9846428571431</v>
      </c>
      <c r="K50" s="428"/>
      <c r="L50" s="377"/>
      <c r="N50" s="1106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6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539606.06999999995</v>
      </c>
      <c r="G52" s="473">
        <f t="shared" si="4"/>
        <v>0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6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414630.31</v>
      </c>
      <c r="F53" s="745">
        <v>415202.15</v>
      </c>
      <c r="G53" s="473">
        <f t="shared" si="4"/>
        <v>571.84000000002561</v>
      </c>
      <c r="H53" s="460">
        <f>G53+'27'!H53</f>
        <v>14313.150000000023</v>
      </c>
      <c r="I53" s="455"/>
      <c r="J53" s="552">
        <f>H53/DAY(B2)</f>
        <v>511.18392857142942</v>
      </c>
      <c r="K53" s="428"/>
      <c r="L53" s="377"/>
      <c r="N53" s="1106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11158.36</v>
      </c>
      <c r="F54" s="745">
        <v>11235.95</v>
      </c>
      <c r="G54" s="473">
        <f t="shared" si="4"/>
        <v>77.590000000000146</v>
      </c>
      <c r="H54" s="460">
        <f>G54+'27'!H54</f>
        <v>3473.9500000000007</v>
      </c>
      <c r="I54" s="455"/>
      <c r="J54" s="552">
        <f>H54/DAY(B2)</f>
        <v>124.06964285714288</v>
      </c>
      <c r="K54" s="428"/>
      <c r="L54" s="377"/>
      <c r="N54" s="1106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345058.67</v>
      </c>
      <c r="F55" s="746">
        <v>345059</v>
      </c>
      <c r="G55" s="655">
        <f t="shared" si="4"/>
        <v>0.33000000001629815</v>
      </c>
      <c r="H55" s="708">
        <f>G55+'27'!H55</f>
        <v>345059</v>
      </c>
      <c r="I55" s="709"/>
      <c r="J55" s="710">
        <f>H55/DAY(B2)</f>
        <v>12323.535714285714</v>
      </c>
      <c r="K55" s="428"/>
      <c r="L55" s="377"/>
      <c r="N55" s="1106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589270.27</v>
      </c>
      <c r="F56" s="746">
        <v>589279.27</v>
      </c>
      <c r="G56" s="473">
        <f t="shared" si="4"/>
        <v>9</v>
      </c>
      <c r="H56" s="460">
        <f>G56+'27'!H56</f>
        <v>-9.0899999999674037</v>
      </c>
      <c r="I56" s="455"/>
      <c r="J56" s="552">
        <f>H56/DAY(B2)</f>
        <v>-0.324642857141693</v>
      </c>
      <c r="K56" s="427"/>
      <c r="L56" s="377"/>
      <c r="N56" s="1106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6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46372.36</v>
      </c>
      <c r="F58" s="1236">
        <v>46477.78</v>
      </c>
      <c r="G58" s="473">
        <f t="shared" si="4"/>
        <v>105.41999999999825</v>
      </c>
      <c r="H58" s="460">
        <f>G58+'27'!H58</f>
        <v>-239.22000000000116</v>
      </c>
      <c r="I58" s="455"/>
      <c r="J58" s="552">
        <f>H58/DAY(B2)</f>
        <v>-8.5435714285714699</v>
      </c>
      <c r="K58" s="428"/>
      <c r="L58" s="377"/>
      <c r="N58" s="1106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1741.6700000000146</v>
      </c>
      <c r="H59" s="460">
        <f>G59+'27'!H59</f>
        <v>359266.49000000005</v>
      </c>
      <c r="I59" s="455">
        <f>G7-G60</f>
        <v>221.81699999998091</v>
      </c>
      <c r="J59" s="552">
        <f>H59/DAY(B2)</f>
        <v>12830.946071428572</v>
      </c>
      <c r="K59" s="428"/>
      <c r="L59" s="377"/>
      <c r="N59" s="1106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17763.183000000019</v>
      </c>
      <c r="H60" s="460">
        <f>G60+'27'!H60</f>
        <v>333227.08</v>
      </c>
      <c r="I60" s="455">
        <f>G13-G60</f>
        <v>-339.23300000006566</v>
      </c>
      <c r="J60" s="552">
        <f>H60/DAY(B2)</f>
        <v>11900.967142857144</v>
      </c>
      <c r="K60" s="428"/>
      <c r="L60" s="377"/>
      <c r="N60" s="1106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6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6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2344.29</v>
      </c>
      <c r="F63" s="514">
        <v>2350.3000000000002</v>
      </c>
      <c r="G63" s="473">
        <f t="shared" si="5"/>
        <v>6.0100000000002183</v>
      </c>
      <c r="H63" s="460">
        <f>G63+'27'!H63</f>
        <v>-8.6999999999998181</v>
      </c>
      <c r="I63" s="515"/>
      <c r="J63" s="552">
        <f>H63/DAY(B2)</f>
        <v>-0.31071428571427923</v>
      </c>
      <c r="K63" s="428"/>
      <c r="L63" s="377"/>
      <c r="N63" s="1106"/>
    </row>
    <row r="64" spans="1:14" ht="27.75">
      <c r="A64" s="1504" t="s">
        <v>99</v>
      </c>
      <c r="B64" s="1505"/>
      <c r="C64" s="1506"/>
      <c r="D64" s="523" t="s">
        <v>187</v>
      </c>
      <c r="E64" s="514">
        <f>'27'!F64</f>
        <v>152305.20000000001</v>
      </c>
      <c r="F64" s="741">
        <v>152738.75</v>
      </c>
      <c r="G64" s="473">
        <f t="shared" si="5"/>
        <v>433.54999999998836</v>
      </c>
      <c r="H64" s="460">
        <f>G64+'27'!H64</f>
        <v>-560.25</v>
      </c>
      <c r="I64" s="480"/>
      <c r="J64" s="552">
        <f>H64/DAY(B2)</f>
        <v>-20.008928571428573</v>
      </c>
      <c r="K64" s="428"/>
      <c r="L64" s="377"/>
      <c r="N64" s="1106"/>
    </row>
    <row r="65" spans="1:14" ht="27.75">
      <c r="A65" s="1504" t="s">
        <v>100</v>
      </c>
      <c r="B65" s="1505"/>
      <c r="C65" s="1506"/>
      <c r="D65" s="523" t="s">
        <v>187</v>
      </c>
      <c r="E65" s="514">
        <f>'27'!F65</f>
        <v>153943.04000000001</v>
      </c>
      <c r="F65" s="748">
        <v>154203.07</v>
      </c>
      <c r="G65" s="473">
        <f t="shared" si="5"/>
        <v>260.02999999999884</v>
      </c>
      <c r="H65" s="460">
        <f>G65+'27'!H65</f>
        <v>-395.92999999999302</v>
      </c>
      <c r="I65" s="489"/>
      <c r="J65" s="552">
        <f>H65/DAY(B2)</f>
        <v>-14.140357142856894</v>
      </c>
      <c r="K65" s="428"/>
      <c r="L65" s="377"/>
      <c r="N65" s="1106"/>
    </row>
    <row r="66" spans="1:14" ht="27.75">
      <c r="A66" s="1504" t="s">
        <v>101</v>
      </c>
      <c r="B66" s="1505"/>
      <c r="C66" s="1506"/>
      <c r="D66" s="523" t="s">
        <v>187</v>
      </c>
      <c r="E66" s="514">
        <f>'27'!F66</f>
        <v>47716.65</v>
      </c>
      <c r="F66" s="741">
        <v>48032.37</v>
      </c>
      <c r="G66" s="473">
        <f t="shared" si="5"/>
        <v>315.72000000000116</v>
      </c>
      <c r="H66" s="460">
        <f>G66+'27'!H66</f>
        <v>-538.62999999999738</v>
      </c>
      <c r="I66" s="480"/>
      <c r="J66" s="552">
        <f>H66/DAY(B2)</f>
        <v>-19.23678571428562</v>
      </c>
      <c r="K66" s="428"/>
      <c r="L66" s="377"/>
      <c r="N66" s="1106"/>
    </row>
    <row r="67" spans="1:14" ht="27.75">
      <c r="A67" s="1504" t="s">
        <v>102</v>
      </c>
      <c r="B67" s="1505"/>
      <c r="C67" s="1506"/>
      <c r="D67" s="523" t="s">
        <v>187</v>
      </c>
      <c r="E67" s="514">
        <f>'27'!F67</f>
        <v>242354.53</v>
      </c>
      <c r="F67" s="741">
        <v>242687.95</v>
      </c>
      <c r="G67" s="473">
        <f t="shared" si="5"/>
        <v>333.42000000001281</v>
      </c>
      <c r="H67" s="460">
        <f>G67+'27'!H67</f>
        <v>-486.04999999998836</v>
      </c>
      <c r="I67" s="489"/>
      <c r="J67" s="552">
        <f>H67/DAY(B2)</f>
        <v>-17.358928571428155</v>
      </c>
      <c r="K67" s="429"/>
      <c r="L67" s="377"/>
      <c r="N67" s="1106"/>
    </row>
    <row r="68" spans="1:14" ht="27.75">
      <c r="A68" s="1504" t="s">
        <v>103</v>
      </c>
      <c r="B68" s="1505"/>
      <c r="C68" s="1506"/>
      <c r="D68" s="523" t="s">
        <v>187</v>
      </c>
      <c r="E68" s="514">
        <f>'27'!F68</f>
        <v>85321</v>
      </c>
      <c r="F68" s="741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6"/>
    </row>
    <row r="69" spans="1:14" ht="27.75">
      <c r="A69" s="1504" t="s">
        <v>104</v>
      </c>
      <c r="B69" s="1505"/>
      <c r="C69" s="1506"/>
      <c r="D69" s="523" t="s">
        <v>187</v>
      </c>
      <c r="E69" s="514">
        <f>'27'!F69</f>
        <v>78766.350000000006</v>
      </c>
      <c r="F69" s="741">
        <v>78814.97</v>
      </c>
      <c r="G69" s="473">
        <f t="shared" si="5"/>
        <v>48.619999999995343</v>
      </c>
      <c r="H69" s="460">
        <f>G69+'27'!H69</f>
        <v>-179.02999999999884</v>
      </c>
      <c r="I69" s="516"/>
      <c r="J69" s="552">
        <f>H69/DAY(B2)</f>
        <v>-6.3939285714285301</v>
      </c>
      <c r="K69" s="431"/>
      <c r="L69" s="377"/>
      <c r="N69" s="1106"/>
    </row>
    <row r="70" spans="1:14" ht="27.75">
      <c r="A70" s="1510" t="s">
        <v>189</v>
      </c>
      <c r="B70" s="1511"/>
      <c r="C70" s="1512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6"/>
    </row>
    <row r="71" spans="1:14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1106"/>
    </row>
    <row r="72" spans="1:14" ht="27.75">
      <c r="A72" s="1504" t="s">
        <v>191</v>
      </c>
      <c r="B72" s="1505"/>
      <c r="C72" s="1506"/>
      <c r="D72" s="523" t="s">
        <v>187</v>
      </c>
      <c r="E72" s="766">
        <f>'27'!F72</f>
        <v>855358</v>
      </c>
      <c r="F72" s="750">
        <v>855415</v>
      </c>
      <c r="G72" s="473">
        <f t="shared" ref="G72:G84" si="6">F72-E72</f>
        <v>57</v>
      </c>
      <c r="H72" s="460">
        <f>G72+'27'!H72</f>
        <v>-57</v>
      </c>
      <c r="I72" s="480"/>
      <c r="J72" s="552">
        <f>H72/DAY(B2)</f>
        <v>-2.0357142857142856</v>
      </c>
      <c r="K72" s="431"/>
      <c r="L72" s="377"/>
      <c r="N72" s="1106"/>
    </row>
    <row r="73" spans="1:14" ht="27.75">
      <c r="A73" s="1504" t="s">
        <v>192</v>
      </c>
      <c r="B73" s="1505"/>
      <c r="C73" s="1506"/>
      <c r="D73" s="523" t="s">
        <v>187</v>
      </c>
      <c r="E73" s="766">
        <f>'27'!F73</f>
        <v>885868</v>
      </c>
      <c r="F73" s="751">
        <v>885870</v>
      </c>
      <c r="G73" s="655">
        <f t="shared" si="6"/>
        <v>2</v>
      </c>
      <c r="H73" s="460">
        <f>G73+'27'!H73</f>
        <v>174</v>
      </c>
      <c r="I73" s="480"/>
      <c r="J73" s="552">
        <f>H73/DAY(B2)</f>
        <v>6.2142857142857144</v>
      </c>
      <c r="K73" s="430"/>
      <c r="L73" s="377"/>
      <c r="N73" s="1106"/>
    </row>
    <row r="74" spans="1:14" ht="27.75">
      <c r="A74" s="1504" t="s">
        <v>193</v>
      </c>
      <c r="B74" s="1505"/>
      <c r="C74" s="1506"/>
      <c r="D74" s="523" t="s">
        <v>187</v>
      </c>
      <c r="E74" s="766">
        <f>'27'!F74</f>
        <v>2185.96</v>
      </c>
      <c r="F74" s="751">
        <v>2217.91</v>
      </c>
      <c r="G74" s="473">
        <f t="shared" si="6"/>
        <v>31.949999999999818</v>
      </c>
      <c r="H74" s="460">
        <f>G74+'27'!H74</f>
        <v>-61.090000000000146</v>
      </c>
      <c r="I74" s="480"/>
      <c r="J74" s="552">
        <f>H74/DAY(B2)</f>
        <v>-2.1817857142857195</v>
      </c>
      <c r="K74" s="431"/>
      <c r="L74" s="377"/>
      <c r="N74" s="1106"/>
    </row>
    <row r="75" spans="1:14" ht="27.75">
      <c r="A75" s="1501" t="s">
        <v>194</v>
      </c>
      <c r="B75" s="1502"/>
      <c r="C75" s="1503"/>
      <c r="D75" s="523" t="s">
        <v>187</v>
      </c>
      <c r="E75" s="766">
        <f>'27'!F75</f>
        <v>10803.92</v>
      </c>
      <c r="F75" s="751">
        <v>10859.04</v>
      </c>
      <c r="G75" s="473">
        <f t="shared" si="6"/>
        <v>55.1200000000008</v>
      </c>
      <c r="H75" s="460">
        <f>G75+'27'!H75</f>
        <v>-110.95999999999913</v>
      </c>
      <c r="I75" s="480"/>
      <c r="J75" s="552">
        <f>H75/DAY(B2)</f>
        <v>-3.9628571428571115</v>
      </c>
      <c r="K75" s="430"/>
      <c r="L75" s="377"/>
      <c r="N75" s="1106"/>
    </row>
    <row r="76" spans="1:14" ht="27.75">
      <c r="A76" s="1501" t="s">
        <v>195</v>
      </c>
      <c r="B76" s="1502"/>
      <c r="C76" s="1503"/>
      <c r="D76" s="523" t="s">
        <v>187</v>
      </c>
      <c r="E76" s="766">
        <f>'27'!F76</f>
        <v>5559.65</v>
      </c>
      <c r="F76" s="751">
        <v>5608.71</v>
      </c>
      <c r="G76" s="473">
        <f t="shared" si="6"/>
        <v>49.0600000000004</v>
      </c>
      <c r="H76" s="460">
        <f>G76+'27'!H76</f>
        <v>-108.24000000000069</v>
      </c>
      <c r="I76" s="505"/>
      <c r="J76" s="552">
        <f>H76/DAY(B2)</f>
        <v>-3.8657142857143105</v>
      </c>
      <c r="K76" s="430"/>
      <c r="L76" s="377"/>
      <c r="N76" s="1106"/>
    </row>
    <row r="77" spans="1:14" ht="27.75">
      <c r="A77" s="1504" t="s">
        <v>196</v>
      </c>
      <c r="B77" s="1505"/>
      <c r="C77" s="1506"/>
      <c r="D77" s="523" t="s">
        <v>187</v>
      </c>
      <c r="E77" s="766">
        <f>'27'!F77</f>
        <v>701420</v>
      </c>
      <c r="F77" s="751">
        <v>701463</v>
      </c>
      <c r="G77" s="655">
        <f t="shared" si="6"/>
        <v>43</v>
      </c>
      <c r="H77" s="460">
        <f>G77+'27'!H77</f>
        <v>-99</v>
      </c>
      <c r="I77" s="505"/>
      <c r="J77" s="552">
        <f>H77/DAY(B2)</f>
        <v>-3.5357142857142856</v>
      </c>
      <c r="K77" s="430"/>
      <c r="L77" s="377"/>
      <c r="N77" s="1106"/>
    </row>
    <row r="78" spans="1:14" ht="27.75">
      <c r="A78" s="1147" t="s">
        <v>197</v>
      </c>
      <c r="B78" s="1120"/>
      <c r="C78" s="1120"/>
      <c r="D78" s="523" t="s">
        <v>187</v>
      </c>
      <c r="E78" s="766">
        <f>'27'!F78</f>
        <v>669683</v>
      </c>
      <c r="F78" s="751">
        <v>669728</v>
      </c>
      <c r="G78" s="655">
        <f t="shared" si="6"/>
        <v>45</v>
      </c>
      <c r="H78" s="460">
        <f>G78+'27'!H78</f>
        <v>-297</v>
      </c>
      <c r="I78" s="505"/>
      <c r="J78" s="552">
        <f>H78/DAY(B2)</f>
        <v>-10.607142857142858</v>
      </c>
      <c r="K78" s="430"/>
      <c r="L78" s="377"/>
      <c r="N78" s="1106"/>
    </row>
    <row r="79" spans="1:14" ht="27.75">
      <c r="A79" s="1501" t="s">
        <v>92</v>
      </c>
      <c r="B79" s="1502"/>
      <c r="C79" s="1503"/>
      <c r="D79" s="524" t="s">
        <v>187</v>
      </c>
      <c r="E79" s="766">
        <f>'27'!F79</f>
        <v>826230</v>
      </c>
      <c r="F79" s="752">
        <v>826413</v>
      </c>
      <c r="G79" s="473">
        <f t="shared" si="6"/>
        <v>183</v>
      </c>
      <c r="H79" s="460">
        <f>G79+'27'!H79</f>
        <v>-1318</v>
      </c>
      <c r="I79" s="505"/>
      <c r="J79" s="552">
        <f>H79/DAY(B2)</f>
        <v>-47.071428571428569</v>
      </c>
      <c r="K79" s="430"/>
      <c r="L79" s="377"/>
      <c r="N79" s="1106"/>
    </row>
    <row r="80" spans="1:14" ht="27.75">
      <c r="A80" s="1501" t="s">
        <v>198</v>
      </c>
      <c r="B80" s="1502"/>
      <c r="C80" s="1503"/>
      <c r="D80" s="524" t="s">
        <v>187</v>
      </c>
      <c r="E80" s="766">
        <f>'27'!F80</f>
        <v>515611.24</v>
      </c>
      <c r="F80" s="751">
        <v>515972.12</v>
      </c>
      <c r="G80" s="473">
        <f t="shared" si="6"/>
        <v>360.88000000000466</v>
      </c>
      <c r="H80" s="460">
        <f>G80+'27'!H80</f>
        <v>-3488.8800000000047</v>
      </c>
      <c r="I80" s="505"/>
      <c r="J80" s="552">
        <f>H80/DAY(B2)</f>
        <v>-124.6028571428573</v>
      </c>
      <c r="K80" s="430"/>
      <c r="L80" s="377"/>
      <c r="N80" s="1106"/>
    </row>
    <row r="81" spans="1:17" ht="27.75">
      <c r="A81" s="1501" t="s">
        <v>199</v>
      </c>
      <c r="B81" s="1502"/>
      <c r="C81" s="1503"/>
      <c r="D81" s="524" t="s">
        <v>187</v>
      </c>
      <c r="E81" s="766">
        <f>'27'!F81</f>
        <v>636217.56000000006</v>
      </c>
      <c r="F81" s="751">
        <v>636330</v>
      </c>
      <c r="G81" s="473">
        <f t="shared" si="6"/>
        <v>112.43999999994412</v>
      </c>
      <c r="H81" s="460">
        <f>G81+'27'!H81</f>
        <v>-148</v>
      </c>
      <c r="I81" s="505"/>
      <c r="J81" s="552">
        <f>H81/DAY(B2)</f>
        <v>-5.2857142857142856</v>
      </c>
      <c r="K81" s="430"/>
      <c r="L81" s="377"/>
      <c r="N81" s="1106"/>
    </row>
    <row r="82" spans="1:17" ht="27.75">
      <c r="A82" s="1501" t="s">
        <v>93</v>
      </c>
      <c r="B82" s="1502"/>
      <c r="C82" s="1503"/>
      <c r="D82" s="485" t="s">
        <v>132</v>
      </c>
      <c r="E82" s="766">
        <f>'27'!F82</f>
        <v>107538.17</v>
      </c>
      <c r="F82" s="748">
        <v>107558.57</v>
      </c>
      <c r="G82" s="473">
        <f t="shared" si="6"/>
        <v>20.400000000008731</v>
      </c>
      <c r="H82" s="460">
        <f>G82+'27'!H82</f>
        <v>-53.429999999993015</v>
      </c>
      <c r="I82" s="486"/>
      <c r="J82" s="552">
        <f>H82/DAY(B2)</f>
        <v>-1.9082142857140363</v>
      </c>
      <c r="K82" s="430"/>
      <c r="L82" s="377"/>
      <c r="N82" s="1106"/>
    </row>
    <row r="83" spans="1:17" ht="27.75">
      <c r="A83" s="1501" t="s">
        <v>200</v>
      </c>
      <c r="B83" s="1502"/>
      <c r="C83" s="1503"/>
      <c r="D83" s="620" t="s">
        <v>132</v>
      </c>
      <c r="E83" s="766">
        <f>'27'!F83</f>
        <v>14001</v>
      </c>
      <c r="F83" s="470">
        <v>14325</v>
      </c>
      <c r="G83" s="473">
        <f t="shared" si="6"/>
        <v>324</v>
      </c>
      <c r="H83" s="460">
        <f>G83+'27'!H83</f>
        <v>-446</v>
      </c>
      <c r="I83" s="481"/>
      <c r="J83" s="552">
        <f>H83/DAY(B2)</f>
        <v>-15.928571428571429</v>
      </c>
      <c r="K83" s="429"/>
      <c r="L83" s="377"/>
      <c r="N83" s="1106"/>
    </row>
    <row r="84" spans="1:17">
      <c r="A84" s="1148" t="s">
        <v>201</v>
      </c>
      <c r="B84" s="571"/>
      <c r="C84" s="571"/>
      <c r="D84" s="478" t="s">
        <v>132</v>
      </c>
      <c r="E84" s="766">
        <f>'27'!F84</f>
        <v>478120</v>
      </c>
      <c r="F84" s="708">
        <v>478694</v>
      </c>
      <c r="G84" s="473">
        <f t="shared" si="6"/>
        <v>574</v>
      </c>
      <c r="H84" s="460">
        <f>G84+'27'!H84</f>
        <v>-1439</v>
      </c>
      <c r="I84" s="481"/>
      <c r="J84" s="552">
        <f>H84/DAY(B2)</f>
        <v>-51.392857142857146</v>
      </c>
      <c r="K84" s="380"/>
      <c r="L84" s="377"/>
      <c r="N84" s="1106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1857.8499999999585</v>
      </c>
      <c r="H85" s="460">
        <f>G85+'27'!H85</f>
        <v>-3943.6499999999969</v>
      </c>
      <c r="I85" s="481"/>
      <c r="J85" s="552">
        <f>H85/DAY(B2)</f>
        <v>-140.84464285714276</v>
      </c>
      <c r="K85" s="380"/>
      <c r="L85" s="378"/>
      <c r="N85" s="1106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458788.76</v>
      </c>
      <c r="F86" s="753">
        <v>458937.88</v>
      </c>
      <c r="G86" s="708">
        <f t="shared" ref="G86:G88" si="7">F86-E86</f>
        <v>149.11999999999534</v>
      </c>
      <c r="H86" s="708">
        <f t="shared" ref="H86:H88" si="8">G86</f>
        <v>149.11999999999534</v>
      </c>
      <c r="I86" s="655"/>
      <c r="J86" s="710">
        <f>H86/DAY(B2)</f>
        <v>5.3257142857141195</v>
      </c>
      <c r="K86" s="736"/>
      <c r="L86" s="737"/>
      <c r="N86" s="1106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80874.5</v>
      </c>
      <c r="F87" s="753">
        <v>80890.2</v>
      </c>
      <c r="G87" s="708">
        <f t="shared" si="7"/>
        <v>15.69999999999709</v>
      </c>
      <c r="H87" s="708">
        <f t="shared" si="8"/>
        <v>15.69999999999709</v>
      </c>
      <c r="I87" s="655"/>
      <c r="J87" s="710">
        <f>H87/DAY(B2)</f>
        <v>0.5607142857141818</v>
      </c>
      <c r="K87" s="736"/>
      <c r="L87" s="737"/>
      <c r="N87" s="1106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151735.19</v>
      </c>
      <c r="F88" s="753">
        <v>151758.32999999999</v>
      </c>
      <c r="G88" s="708">
        <f t="shared" si="7"/>
        <v>23.139999999984866</v>
      </c>
      <c r="H88" s="708">
        <f t="shared" si="8"/>
        <v>23.139999999984866</v>
      </c>
      <c r="I88" s="655"/>
      <c r="J88" s="710">
        <f>H88/DAY(B2)</f>
        <v>0.82642857142803094</v>
      </c>
      <c r="K88" s="736"/>
      <c r="L88" s="737"/>
      <c r="N88" s="1106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64717.3</v>
      </c>
      <c r="F89" s="753">
        <v>64760.9</v>
      </c>
      <c r="G89" s="708">
        <f t="shared" ref="G89:G90" si="9">F89-E89</f>
        <v>43.599999999998545</v>
      </c>
      <c r="H89" s="708">
        <f t="shared" ref="H89:H90" si="10">G89</f>
        <v>43.599999999998545</v>
      </c>
      <c r="I89" s="655"/>
      <c r="J89" s="710">
        <f>H89/DAY(B2)</f>
        <v>1.5571428571428052</v>
      </c>
      <c r="K89" s="736"/>
      <c r="L89" s="737"/>
      <c r="N89" s="1106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3272.3</v>
      </c>
      <c r="F90" s="753">
        <v>3272.4</v>
      </c>
      <c r="G90" s="708">
        <f t="shared" si="9"/>
        <v>9.9999999999909051E-2</v>
      </c>
      <c r="H90" s="708">
        <f t="shared" si="10"/>
        <v>9.9999999999909051E-2</v>
      </c>
      <c r="I90" s="655"/>
      <c r="J90" s="710">
        <f>H90/DAY(B2)</f>
        <v>3.571428571425323E-3</v>
      </c>
      <c r="K90" s="736"/>
      <c r="L90" s="737"/>
      <c r="N90" s="1106"/>
      <c r="O90" s="382"/>
    </row>
    <row r="91" spans="1:17" s="738" customFormat="1">
      <c r="A91" s="733" t="s">
        <v>365</v>
      </c>
      <c r="B91" s="734"/>
      <c r="C91" s="734"/>
      <c r="D91" s="735"/>
      <c r="E91" s="708">
        <f>'27'!F91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7" s="379" customFormat="1">
      <c r="A92" s="606" t="s">
        <v>205</v>
      </c>
      <c r="B92" s="1150"/>
      <c r="C92" s="1150"/>
      <c r="D92" s="472"/>
      <c r="E92" s="742"/>
      <c r="F92" s="742"/>
      <c r="G92" s="488"/>
      <c r="H92" s="472"/>
      <c r="I92" s="472"/>
      <c r="J92" s="551"/>
      <c r="K92" s="380"/>
      <c r="L92" s="378"/>
      <c r="N92" s="1106"/>
      <c r="O92" s="773"/>
      <c r="P92" s="773"/>
      <c r="Q92" s="773"/>
    </row>
    <row r="93" spans="1:17" ht="27.75">
      <c r="A93" s="1525" t="s">
        <v>206</v>
      </c>
      <c r="B93" s="1526"/>
      <c r="C93" s="1527"/>
      <c r="D93" s="523" t="s">
        <v>144</v>
      </c>
      <c r="E93" s="762">
        <f>'27'!F93</f>
        <v>244451</v>
      </c>
      <c r="F93" s="741">
        <v>244451</v>
      </c>
      <c r="G93" s="473">
        <f t="shared" ref="G93:G94" si="11">F93-E93</f>
        <v>0</v>
      </c>
      <c r="H93" s="460">
        <f>G93+'27'!H93</f>
        <v>-73</v>
      </c>
      <c r="I93" s="480"/>
      <c r="J93" s="552">
        <f>H93/DAY(B2)</f>
        <v>-2.6071428571428572</v>
      </c>
      <c r="K93" s="429"/>
      <c r="L93" s="377"/>
      <c r="N93" s="1106"/>
    </row>
    <row r="94" spans="1:17" ht="27.75">
      <c r="A94" s="1525" t="s">
        <v>207</v>
      </c>
      <c r="B94" s="1526"/>
      <c r="C94" s="1527"/>
      <c r="D94" s="523" t="s">
        <v>144</v>
      </c>
      <c r="E94" s="762">
        <f>'27'!F94</f>
        <v>183274</v>
      </c>
      <c r="F94" s="741">
        <v>183394</v>
      </c>
      <c r="G94" s="473">
        <f t="shared" si="11"/>
        <v>120</v>
      </c>
      <c r="H94" s="460">
        <f>G94+'27'!H94</f>
        <v>-137</v>
      </c>
      <c r="I94" s="480"/>
      <c r="J94" s="552">
        <f>H94/DAY(B2)</f>
        <v>-4.8928571428571432</v>
      </c>
      <c r="K94" s="380"/>
      <c r="L94" s="377"/>
      <c r="N94" s="1106"/>
    </row>
    <row r="95" spans="1:17">
      <c r="A95" s="1553" t="s">
        <v>208</v>
      </c>
      <c r="B95" s="1554"/>
      <c r="C95" s="1555"/>
      <c r="D95" s="523"/>
      <c r="E95" s="762">
        <f>'27'!F95</f>
        <v>0</v>
      </c>
      <c r="F95" s="741"/>
      <c r="G95" s="473">
        <f>G93+G94</f>
        <v>120</v>
      </c>
      <c r="H95" s="460">
        <f>G95+'27'!H95</f>
        <v>-357</v>
      </c>
      <c r="I95" s="480"/>
      <c r="J95" s="552">
        <f>H95/DAY(B2)</f>
        <v>-12.75</v>
      </c>
      <c r="K95" s="380"/>
      <c r="L95" s="377"/>
      <c r="N95" s="1106"/>
    </row>
    <row r="96" spans="1:17" ht="27.75">
      <c r="A96" s="1525" t="s">
        <v>209</v>
      </c>
      <c r="B96" s="1526"/>
      <c r="C96" s="1527"/>
      <c r="D96" s="523" t="s">
        <v>144</v>
      </c>
      <c r="E96" s="762">
        <f>'27'!F96</f>
        <v>412715</v>
      </c>
      <c r="F96" s="741">
        <v>412753</v>
      </c>
      <c r="G96" s="473">
        <f t="shared" ref="G96:G101" si="12">F96-E96</f>
        <v>38</v>
      </c>
      <c r="H96" s="460">
        <f>G96+'27'!H96</f>
        <v>-133</v>
      </c>
      <c r="I96" s="480"/>
      <c r="J96" s="552">
        <f>H96/DAY(B2)</f>
        <v>-4.75</v>
      </c>
      <c r="K96" s="380"/>
      <c r="L96" s="377"/>
      <c r="N96" s="1106"/>
    </row>
    <row r="97" spans="1:17" ht="27.75">
      <c r="A97" s="1144" t="s">
        <v>210</v>
      </c>
      <c r="B97" s="1145"/>
      <c r="C97" s="1145"/>
      <c r="D97" s="523" t="s">
        <v>144</v>
      </c>
      <c r="E97" s="762">
        <f>'27'!F97</f>
        <v>102318</v>
      </c>
      <c r="F97" s="741">
        <v>102327</v>
      </c>
      <c r="G97" s="473">
        <f t="shared" si="12"/>
        <v>9</v>
      </c>
      <c r="H97" s="460">
        <f>G97+'27'!H97</f>
        <v>-16</v>
      </c>
      <c r="I97" s="480"/>
      <c r="J97" s="552">
        <f>H97/DAY(B2)</f>
        <v>-0.5714285714285714</v>
      </c>
      <c r="K97" s="427"/>
      <c r="L97" s="377"/>
      <c r="N97" s="1106"/>
    </row>
    <row r="98" spans="1:17" ht="27.75">
      <c r="A98" s="1144" t="s">
        <v>211</v>
      </c>
      <c r="B98" s="1145"/>
      <c r="C98" s="1145"/>
      <c r="D98" s="523" t="s">
        <v>144</v>
      </c>
      <c r="E98" s="762">
        <f>'27'!F98</f>
        <v>97389</v>
      </c>
      <c r="F98" s="741">
        <v>97397</v>
      </c>
      <c r="G98" s="473">
        <f t="shared" si="12"/>
        <v>8</v>
      </c>
      <c r="H98" s="460">
        <f>G98+'27'!H98</f>
        <v>-30</v>
      </c>
      <c r="I98" s="480"/>
      <c r="J98" s="552">
        <f>H98/DAY(B2)</f>
        <v>-1.0714285714285714</v>
      </c>
      <c r="K98" s="432"/>
      <c r="L98" s="377"/>
      <c r="N98" s="1106"/>
    </row>
    <row r="99" spans="1:17" ht="27.75">
      <c r="A99" s="1144" t="s">
        <v>212</v>
      </c>
      <c r="B99" s="1145"/>
      <c r="C99" s="1145"/>
      <c r="D99" s="523" t="s">
        <v>144</v>
      </c>
      <c r="E99" s="762">
        <f>'27'!F99</f>
        <v>149516</v>
      </c>
      <c r="F99" s="741">
        <v>149519</v>
      </c>
      <c r="G99" s="473">
        <f t="shared" si="12"/>
        <v>3</v>
      </c>
      <c r="H99" s="460">
        <f>G99+'27'!H99</f>
        <v>-14</v>
      </c>
      <c r="I99" s="480"/>
      <c r="J99" s="552">
        <f>H99/DAY(B2)</f>
        <v>-0.5</v>
      </c>
      <c r="K99" s="380"/>
      <c r="L99" s="377"/>
      <c r="N99" s="1106"/>
    </row>
    <row r="100" spans="1:17" ht="27.75">
      <c r="A100" s="1144" t="s">
        <v>213</v>
      </c>
      <c r="B100" s="1145"/>
      <c r="C100" s="1145"/>
      <c r="D100" s="523" t="s">
        <v>144</v>
      </c>
      <c r="E100" s="762">
        <f>'27'!F100</f>
        <v>7173</v>
      </c>
      <c r="F100" s="741">
        <v>7178</v>
      </c>
      <c r="G100" s="473">
        <f t="shared" si="12"/>
        <v>5</v>
      </c>
      <c r="H100" s="460">
        <f>G100+'27'!H100</f>
        <v>-7</v>
      </c>
      <c r="I100" s="480"/>
      <c r="J100" s="552">
        <f>H100/DAY(B2)</f>
        <v>-0.25</v>
      </c>
      <c r="K100" s="380"/>
      <c r="L100" s="377"/>
      <c r="N100" s="1106"/>
    </row>
    <row r="101" spans="1:17" ht="27.75">
      <c r="A101" s="1144" t="s">
        <v>214</v>
      </c>
      <c r="B101" s="1145"/>
      <c r="C101" s="1145"/>
      <c r="D101" s="523" t="s">
        <v>144</v>
      </c>
      <c r="E101" s="762">
        <f>'27'!F101</f>
        <v>5126</v>
      </c>
      <c r="F101" s="741">
        <v>5130</v>
      </c>
      <c r="G101" s="473">
        <f t="shared" si="12"/>
        <v>4</v>
      </c>
      <c r="H101" s="460">
        <f>G101+'27'!H101</f>
        <v>-8</v>
      </c>
      <c r="I101" s="480"/>
      <c r="J101" s="552">
        <f>H101/DAY(B2)</f>
        <v>-0.2857142857142857</v>
      </c>
      <c r="K101" s="380"/>
      <c r="L101" s="377"/>
      <c r="N101" s="1106"/>
    </row>
    <row r="102" spans="1:17">
      <c r="A102" s="1553" t="s">
        <v>216</v>
      </c>
      <c r="B102" s="1554"/>
      <c r="C102" s="1555"/>
      <c r="D102" s="524"/>
      <c r="E102" s="486"/>
      <c r="F102" s="486"/>
      <c r="G102" s="525">
        <f>SUM(G96:G101)</f>
        <v>67</v>
      </c>
      <c r="H102" s="460">
        <f>G102+'27'!H102</f>
        <v>-208</v>
      </c>
      <c r="I102" s="526"/>
      <c r="J102" s="552">
        <f>H102/DAY(B2)</f>
        <v>-7.4285714285714288</v>
      </c>
      <c r="K102" s="380"/>
      <c r="L102" s="377"/>
      <c r="N102" s="1106"/>
    </row>
    <row r="103" spans="1:17" s="442" customFormat="1" ht="27">
      <c r="A103" s="607" t="s">
        <v>217</v>
      </c>
      <c r="B103" s="608"/>
      <c r="C103" s="608"/>
      <c r="D103" s="621"/>
      <c r="E103" s="768"/>
      <c r="F103" s="754"/>
      <c r="G103" s="529"/>
      <c r="H103" s="530"/>
      <c r="I103" s="531"/>
      <c r="J103" s="557"/>
      <c r="N103" s="1106"/>
      <c r="O103" s="773"/>
      <c r="P103" s="773"/>
      <c r="Q103" s="773"/>
    </row>
    <row r="104" spans="1:17" s="442" customFormat="1" ht="27">
      <c r="A104" s="1556" t="s">
        <v>218</v>
      </c>
      <c r="B104" s="1557"/>
      <c r="C104" s="573"/>
      <c r="D104" s="622"/>
      <c r="E104" s="533"/>
      <c r="F104" s="755"/>
      <c r="G104" s="532"/>
      <c r="H104" s="533"/>
      <c r="I104" s="532"/>
      <c r="J104" s="558"/>
      <c r="N104" s="1106"/>
      <c r="O104" s="773"/>
      <c r="P104" s="773"/>
      <c r="Q104" s="773"/>
    </row>
    <row r="105" spans="1:17" s="442" customFormat="1" ht="27">
      <c r="A105" s="1517" t="s">
        <v>219</v>
      </c>
      <c r="B105" s="1518"/>
      <c r="C105" s="1143"/>
      <c r="D105" s="622" t="s">
        <v>144</v>
      </c>
      <c r="E105" s="533">
        <f>'27'!F105</f>
        <v>7423</v>
      </c>
      <c r="F105" s="755">
        <v>7431</v>
      </c>
      <c r="G105" s="532">
        <f>F105-E105</f>
        <v>8</v>
      </c>
      <c r="H105" s="533">
        <f>SUM(G105+'1'!G76)</f>
        <v>65</v>
      </c>
      <c r="I105" s="532"/>
      <c r="J105" s="558">
        <f>H105/DAY(B2)</f>
        <v>2.3214285714285716</v>
      </c>
      <c r="N105" s="1106"/>
      <c r="O105" s="773"/>
      <c r="P105" s="773"/>
      <c r="Q105" s="773"/>
    </row>
    <row r="106" spans="1:17" s="442" customFormat="1" ht="27">
      <c r="A106" s="1517" t="s">
        <v>77</v>
      </c>
      <c r="B106" s="1518"/>
      <c r="C106" s="1143"/>
      <c r="D106" s="622" t="s">
        <v>144</v>
      </c>
      <c r="E106" s="533">
        <f>'27'!F106</f>
        <v>35819</v>
      </c>
      <c r="F106" s="663">
        <v>35819</v>
      </c>
      <c r="G106" s="532">
        <f t="shared" ref="G106" si="13">F106-E106</f>
        <v>0</v>
      </c>
      <c r="H106" s="533">
        <f>SUM(G106+'1'!G77)</f>
        <v>50</v>
      </c>
      <c r="I106" s="532"/>
      <c r="J106" s="558">
        <f>H106/DAY(B2)</f>
        <v>1.7857142857142858</v>
      </c>
      <c r="N106" s="1106"/>
      <c r="O106" s="773"/>
      <c r="P106" s="773"/>
      <c r="Q106" s="773"/>
    </row>
    <row r="107" spans="1:17" s="442" customFormat="1" ht="27">
      <c r="A107" s="1517" t="s">
        <v>78</v>
      </c>
      <c r="B107" s="1558"/>
      <c r="C107" s="1518"/>
      <c r="D107" s="622" t="s">
        <v>144</v>
      </c>
      <c r="E107" s="533">
        <f>'27'!F107</f>
        <v>19604</v>
      </c>
      <c r="F107" s="663">
        <v>19607</v>
      </c>
      <c r="G107" s="532">
        <f>F107-E107</f>
        <v>3</v>
      </c>
      <c r="H107" s="533">
        <f>SUM(G107+'1'!G78)</f>
        <v>127</v>
      </c>
      <c r="I107" s="532"/>
      <c r="J107" s="558">
        <f>H107/DAY(B2)</f>
        <v>4.5357142857142856</v>
      </c>
      <c r="N107" s="1106"/>
      <c r="O107" s="773"/>
      <c r="P107" s="773"/>
      <c r="Q107" s="773"/>
    </row>
    <row r="108" spans="1:17" s="442" customFormat="1" ht="27">
      <c r="A108" s="1519" t="s">
        <v>202</v>
      </c>
      <c r="B108" s="1520"/>
      <c r="C108" s="1143"/>
      <c r="D108" s="622"/>
      <c r="E108" s="533">
        <f>'27'!F108</f>
        <v>0</v>
      </c>
      <c r="F108" s="663"/>
      <c r="G108" s="532">
        <f>SUM(G105:G107)</f>
        <v>11</v>
      </c>
      <c r="H108" s="533">
        <f>SUM(G108+'1'!G79)</f>
        <v>200</v>
      </c>
      <c r="I108" s="532"/>
      <c r="J108" s="558">
        <f>H108/DAY(B2)</f>
        <v>7.1428571428571432</v>
      </c>
      <c r="N108" s="1106"/>
      <c r="O108" s="773"/>
      <c r="P108" s="773"/>
      <c r="Q108" s="773"/>
    </row>
    <row r="109" spans="1:17" s="442" customFormat="1" ht="27">
      <c r="A109" s="1523" t="s">
        <v>79</v>
      </c>
      <c r="B109" s="1524"/>
      <c r="C109" s="1143"/>
      <c r="D109" s="622" t="s">
        <v>144</v>
      </c>
      <c r="E109" s="533">
        <f>'27'!F109</f>
        <v>0</v>
      </c>
      <c r="F109" s="663"/>
      <c r="G109" s="532"/>
      <c r="H109" s="533"/>
      <c r="I109" s="532"/>
      <c r="J109" s="558"/>
      <c r="N109" s="1106"/>
      <c r="O109" s="773"/>
      <c r="P109" s="773"/>
      <c r="Q109" s="773"/>
    </row>
    <row r="110" spans="1:17" s="442" customFormat="1" ht="27">
      <c r="A110" s="1517" t="s">
        <v>220</v>
      </c>
      <c r="B110" s="1518"/>
      <c r="C110" s="1143"/>
      <c r="D110" s="622" t="s">
        <v>144</v>
      </c>
      <c r="E110" s="533">
        <f>'27'!F110</f>
        <v>60894</v>
      </c>
      <c r="F110" s="663">
        <v>60994</v>
      </c>
      <c r="G110" s="532">
        <f>F110-E110</f>
        <v>100</v>
      </c>
      <c r="H110" s="533">
        <f>SUM(G110+'1'!G81)</f>
        <v>181</v>
      </c>
      <c r="I110" s="532"/>
      <c r="J110" s="558">
        <f>H110/DAY(B2)</f>
        <v>6.4642857142857144</v>
      </c>
      <c r="N110" s="1106"/>
      <c r="O110" s="773"/>
      <c r="P110" s="773"/>
      <c r="Q110" s="773"/>
    </row>
    <row r="111" spans="1:17" s="442" customFormat="1" ht="27">
      <c r="A111" s="1517" t="s">
        <v>221</v>
      </c>
      <c r="B111" s="1518"/>
      <c r="C111" s="1143"/>
      <c r="D111" s="622" t="s">
        <v>144</v>
      </c>
      <c r="E111" s="533">
        <f>'27'!F111</f>
        <v>32213</v>
      </c>
      <c r="F111" s="663">
        <v>32213</v>
      </c>
      <c r="G111" s="532">
        <f t="shared" ref="G111:G112" si="14">F111-E111</f>
        <v>0</v>
      </c>
      <c r="H111" s="533">
        <f>SUM(G111+'1'!G82)</f>
        <v>12</v>
      </c>
      <c r="I111" s="532"/>
      <c r="J111" s="558">
        <f>H111/DAY(B2)</f>
        <v>0.42857142857142855</v>
      </c>
      <c r="N111" s="1106"/>
      <c r="O111" s="773"/>
      <c r="P111" s="773"/>
      <c r="Q111" s="773"/>
    </row>
    <row r="112" spans="1:17" s="442" customFormat="1" ht="27">
      <c r="A112" s="1517" t="s">
        <v>222</v>
      </c>
      <c r="B112" s="1518"/>
      <c r="C112" s="1143"/>
      <c r="D112" s="622" t="s">
        <v>144</v>
      </c>
      <c r="E112" s="533">
        <f>'27'!F112</f>
        <v>4363</v>
      </c>
      <c r="F112" s="663">
        <v>4363</v>
      </c>
      <c r="G112" s="534">
        <f t="shared" si="14"/>
        <v>0</v>
      </c>
      <c r="H112" s="533">
        <f>SUM(G112+'1'!G83)</f>
        <v>255</v>
      </c>
      <c r="I112" s="532"/>
      <c r="J112" s="558">
        <f>H112/DAY(B2)</f>
        <v>9.1071428571428577</v>
      </c>
      <c r="N112" s="1106"/>
      <c r="O112" s="773"/>
      <c r="P112" s="773"/>
      <c r="Q112" s="773"/>
    </row>
    <row r="113" spans="1:17" s="442" customFormat="1" ht="27">
      <c r="A113" s="1519" t="s">
        <v>110</v>
      </c>
      <c r="B113" s="1520"/>
      <c r="C113" s="1143"/>
      <c r="D113" s="622"/>
      <c r="E113" s="533">
        <f>'27'!F113</f>
        <v>0</v>
      </c>
      <c r="F113" s="663"/>
      <c r="G113" s="532">
        <f>SUM(G110:G112)</f>
        <v>100</v>
      </c>
      <c r="H113" s="533">
        <f>SUM(G113+'1'!G84)</f>
        <v>815</v>
      </c>
      <c r="I113" s="532"/>
      <c r="J113" s="558">
        <f>H113/DAY(B2)</f>
        <v>29.107142857142858</v>
      </c>
      <c r="N113" s="1106"/>
      <c r="O113" s="773"/>
      <c r="P113" s="773"/>
      <c r="Q113" s="773"/>
    </row>
    <row r="114" spans="1:17" s="442" customFormat="1" ht="27">
      <c r="A114" s="1523" t="s">
        <v>223</v>
      </c>
      <c r="B114" s="1524"/>
      <c r="C114" s="1143"/>
      <c r="D114" s="622"/>
      <c r="E114" s="533">
        <f>'27'!F114</f>
        <v>0</v>
      </c>
      <c r="F114" s="663"/>
      <c r="G114" s="532"/>
      <c r="H114" s="533"/>
      <c r="I114" s="532"/>
      <c r="J114" s="558">
        <f>H114/DAY(B2)</f>
        <v>0</v>
      </c>
      <c r="N114" s="1106"/>
      <c r="O114" s="773"/>
      <c r="P114" s="773"/>
      <c r="Q114" s="773"/>
    </row>
    <row r="115" spans="1:17" s="442" customFormat="1" ht="27">
      <c r="A115" s="1517" t="s">
        <v>224</v>
      </c>
      <c r="B115" s="1518"/>
      <c r="C115" s="574"/>
      <c r="D115" s="622" t="s">
        <v>144</v>
      </c>
      <c r="E115" s="533">
        <f>'27'!F115</f>
        <v>11245</v>
      </c>
      <c r="F115" s="663">
        <v>11249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0.14285714285714285</v>
      </c>
      <c r="N115" s="1106"/>
      <c r="O115" s="773"/>
      <c r="P115" s="773"/>
      <c r="Q115" s="773"/>
    </row>
    <row r="116" spans="1:17" s="442" customFormat="1" ht="27">
      <c r="A116" s="1517" t="s">
        <v>225</v>
      </c>
      <c r="B116" s="1518"/>
      <c r="C116" s="574"/>
      <c r="D116" s="622" t="s">
        <v>144</v>
      </c>
      <c r="E116" s="533">
        <f>'27'!F116</f>
        <v>8119</v>
      </c>
      <c r="F116" s="663">
        <v>8121</v>
      </c>
      <c r="G116" s="534">
        <f t="shared" ref="G116:G117" si="15">F116-E116</f>
        <v>2</v>
      </c>
      <c r="H116" s="533">
        <f>SUM(G116+'1'!G93)</f>
        <v>54</v>
      </c>
      <c r="I116" s="532"/>
      <c r="J116" s="558">
        <f>H116/DAY(B2)</f>
        <v>1.9285714285714286</v>
      </c>
      <c r="N116" s="1106"/>
      <c r="O116" s="773"/>
      <c r="P116" s="773"/>
      <c r="Q116" s="773"/>
    </row>
    <row r="117" spans="1:17" s="442" customFormat="1" ht="27">
      <c r="A117" s="1517" t="s">
        <v>226</v>
      </c>
      <c r="B117" s="1518"/>
      <c r="C117" s="574"/>
      <c r="D117" s="622" t="s">
        <v>144</v>
      </c>
      <c r="E117" s="536"/>
      <c r="F117" s="663"/>
      <c r="G117" s="534">
        <f t="shared" si="15"/>
        <v>0</v>
      </c>
      <c r="H117" s="533">
        <f>SUM(G117+'1'!G94)</f>
        <v>95</v>
      </c>
      <c r="I117" s="532"/>
      <c r="J117" s="558">
        <f>H117/DAY(B2)</f>
        <v>3.3928571428571428</v>
      </c>
      <c r="N117" s="1106"/>
      <c r="O117" s="773"/>
      <c r="P117" s="773"/>
      <c r="Q117" s="773"/>
    </row>
    <row r="118" spans="1:17" s="445" customFormat="1" ht="27">
      <c r="A118" s="1519" t="s">
        <v>202</v>
      </c>
      <c r="B118" s="1520"/>
      <c r="C118" s="574"/>
      <c r="D118" s="623"/>
      <c r="E118" s="536"/>
      <c r="F118" s="663"/>
      <c r="G118" s="534">
        <f>SUM(G115:G117)</f>
        <v>6</v>
      </c>
      <c r="H118" s="533">
        <f>SUM(G118+'1'!G96)</f>
        <v>78</v>
      </c>
      <c r="I118" s="534"/>
      <c r="J118" s="558">
        <f>H118/DAY(B2)</f>
        <v>2.7857142857142856</v>
      </c>
      <c r="N118" s="1106"/>
      <c r="O118" s="773"/>
      <c r="P118" s="773"/>
      <c r="Q118" s="774"/>
    </row>
    <row r="119" spans="1:17" s="446" customFormat="1" ht="27">
      <c r="A119" s="1513" t="s">
        <v>227</v>
      </c>
      <c r="B119" s="1514"/>
      <c r="C119" s="1141"/>
      <c r="D119" s="624" t="s">
        <v>144</v>
      </c>
      <c r="E119" s="536"/>
      <c r="F119" s="663"/>
      <c r="G119" s="536">
        <f>SUM(G19+G93)</f>
        <v>56</v>
      </c>
      <c r="H119" s="533">
        <f>SUM(G119+'1'!G97)</f>
        <v>68</v>
      </c>
      <c r="I119" s="535"/>
      <c r="J119" s="559">
        <f>H119/DAY(B2)</f>
        <v>2.4285714285714284</v>
      </c>
      <c r="N119" s="1106"/>
      <c r="O119" s="773"/>
      <c r="P119" s="773"/>
      <c r="Q119" s="774"/>
    </row>
    <row r="120" spans="1:17" s="446" customFormat="1" ht="27">
      <c r="A120" s="1513" t="s">
        <v>228</v>
      </c>
      <c r="B120" s="1514"/>
      <c r="C120" s="1141"/>
      <c r="D120" s="624" t="s">
        <v>144</v>
      </c>
      <c r="E120" s="536"/>
      <c r="F120" s="663"/>
      <c r="G120" s="536">
        <f>SUM(G96,G97,G98,G100,G101)</f>
        <v>64</v>
      </c>
      <c r="H120" s="533">
        <f>SUM(G120+'1'!G99)</f>
        <v>69</v>
      </c>
      <c r="I120" s="535"/>
      <c r="J120" s="559">
        <f>H120/DAY(B2)</f>
        <v>2.4642857142857144</v>
      </c>
      <c r="N120" s="1106"/>
      <c r="O120" s="773"/>
      <c r="P120" s="773"/>
      <c r="Q120" s="774"/>
    </row>
    <row r="121" spans="1:17" s="446" customFormat="1" ht="27">
      <c r="A121" s="1513" t="s">
        <v>229</v>
      </c>
      <c r="B121" s="1514"/>
      <c r="C121" s="1141"/>
      <c r="D121" s="624" t="s">
        <v>144</v>
      </c>
      <c r="E121" s="536"/>
      <c r="F121" s="663"/>
      <c r="G121" s="534">
        <f>SUM(G113)</f>
        <v>100</v>
      </c>
      <c r="H121" s="533">
        <f>SUM(G121+'1'!G101)</f>
        <v>106</v>
      </c>
      <c r="I121" s="535"/>
      <c r="J121" s="559">
        <f>H121/DAY(B2)</f>
        <v>3.7857142857142856</v>
      </c>
      <c r="N121" s="1106"/>
      <c r="O121" s="773"/>
      <c r="P121" s="773"/>
      <c r="Q121" s="774"/>
    </row>
    <row r="122" spans="1:17" s="442" customFormat="1" ht="27">
      <c r="A122" s="1515"/>
      <c r="B122" s="1516"/>
      <c r="C122" s="1142"/>
      <c r="D122" s="560"/>
      <c r="E122" s="769"/>
      <c r="F122" s="756"/>
      <c r="G122" s="560"/>
      <c r="H122" s="561"/>
      <c r="I122" s="560"/>
      <c r="J122" s="562"/>
      <c r="N122" s="1106"/>
      <c r="O122" s="773"/>
      <c r="P122" s="773"/>
      <c r="Q122" s="773"/>
    </row>
    <row r="123" spans="1:17">
      <c r="A123" s="1550" t="s">
        <v>230</v>
      </c>
      <c r="B123" s="1551"/>
      <c r="C123" s="1552"/>
      <c r="D123" s="472"/>
      <c r="E123" s="742"/>
      <c r="F123" s="742"/>
      <c r="G123" s="483"/>
      <c r="H123" s="483"/>
      <c r="I123" s="483"/>
      <c r="J123" s="563"/>
      <c r="K123" s="380"/>
      <c r="L123" s="377"/>
      <c r="N123" s="1106"/>
    </row>
    <row r="124" spans="1:17" ht="27.75">
      <c r="A124" s="1144" t="s">
        <v>231</v>
      </c>
      <c r="B124" s="1145"/>
      <c r="C124" s="1145"/>
      <c r="D124" s="523" t="s">
        <v>141</v>
      </c>
      <c r="E124" s="741">
        <f>'27'!F124</f>
        <v>825480.73</v>
      </c>
      <c r="F124" s="741">
        <v>825693.48</v>
      </c>
      <c r="G124" s="473">
        <f t="shared" ref="G124:G128" si="16">F124-E124</f>
        <v>212.75</v>
      </c>
      <c r="H124" s="460">
        <f>G124+'27'!H124</f>
        <v>-394.97999999998137</v>
      </c>
      <c r="I124" s="526"/>
      <c r="J124" s="552">
        <f>H124/DAY(B2)</f>
        <v>-14.106428571427907</v>
      </c>
      <c r="K124" s="380"/>
      <c r="L124" s="377"/>
      <c r="N124" s="1106"/>
    </row>
    <row r="125" spans="1:17" ht="27.75">
      <c r="A125" s="1144" t="s">
        <v>232</v>
      </c>
      <c r="B125" s="1145"/>
      <c r="C125" s="1145"/>
      <c r="D125" s="523" t="s">
        <v>141</v>
      </c>
      <c r="E125" s="741">
        <f>'27'!F125</f>
        <v>73583.399999999994</v>
      </c>
      <c r="F125" s="757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6"/>
    </row>
    <row r="126" spans="1:17" ht="27.75">
      <c r="A126" s="1504" t="s">
        <v>233</v>
      </c>
      <c r="B126" s="1505"/>
      <c r="C126" s="1506"/>
      <c r="D126" s="523" t="s">
        <v>141</v>
      </c>
      <c r="E126" s="741">
        <f>'27'!F126</f>
        <v>144467.22</v>
      </c>
      <c r="F126" s="741">
        <v>144542</v>
      </c>
      <c r="G126" s="473">
        <f t="shared" si="16"/>
        <v>74.779999999998836</v>
      </c>
      <c r="H126" s="460">
        <f>G126+'27'!H126</f>
        <v>-145.44000000000233</v>
      </c>
      <c r="I126" s="526"/>
      <c r="J126" s="552">
        <f>H126/DAY(B2)</f>
        <v>-5.1942857142857974</v>
      </c>
      <c r="K126" s="380"/>
      <c r="L126" s="377"/>
      <c r="N126" s="1106"/>
    </row>
    <row r="127" spans="1:17" ht="27.75">
      <c r="A127" s="609" t="s">
        <v>234</v>
      </c>
      <c r="B127" s="1145"/>
      <c r="C127" s="1145"/>
      <c r="D127" s="523" t="s">
        <v>141</v>
      </c>
      <c r="E127" s="741">
        <f>'27'!F127</f>
        <v>31404.2</v>
      </c>
      <c r="F127" s="757">
        <v>31404</v>
      </c>
      <c r="G127" s="473">
        <f t="shared" si="16"/>
        <v>-0.2000000000007276</v>
      </c>
      <c r="H127" s="460">
        <f>G127+'27'!H127</f>
        <v>0</v>
      </c>
      <c r="I127" s="526"/>
      <c r="J127" s="552">
        <f>H127/DAY(B2)</f>
        <v>0</v>
      </c>
      <c r="K127" s="380"/>
      <c r="L127" s="377"/>
      <c r="N127" s="1106"/>
    </row>
    <row r="128" spans="1:17" ht="27.75">
      <c r="A128" s="609" t="s">
        <v>235</v>
      </c>
      <c r="B128" s="1145"/>
      <c r="C128" s="1145"/>
      <c r="D128" s="523" t="s">
        <v>141</v>
      </c>
      <c r="E128" s="741">
        <f>'27'!F128</f>
        <v>8969.7000000000007</v>
      </c>
      <c r="F128" s="757">
        <v>8970</v>
      </c>
      <c r="G128" s="473">
        <f t="shared" si="16"/>
        <v>0.2999999999992724</v>
      </c>
      <c r="H128" s="460">
        <f>G128+'27'!H128</f>
        <v>0.2999999999992724</v>
      </c>
      <c r="I128" s="480"/>
      <c r="J128" s="552">
        <f>H128/DAY(B2)</f>
        <v>1.0714285714259728E-2</v>
      </c>
      <c r="K128" s="380"/>
      <c r="L128" s="377"/>
      <c r="N128" s="1106"/>
    </row>
    <row r="129" spans="1:17" s="281" customFormat="1" ht="27">
      <c r="A129" s="609" t="s">
        <v>236</v>
      </c>
      <c r="B129" s="1145"/>
      <c r="C129" s="1145"/>
      <c r="D129" s="523"/>
      <c r="E129" s="741"/>
      <c r="F129" s="741"/>
      <c r="G129" s="473">
        <f>G15-SUM(G124:G128)</f>
        <v>174.17099999998027</v>
      </c>
      <c r="H129" s="460"/>
      <c r="I129" s="480"/>
      <c r="J129" s="552"/>
      <c r="K129" s="364"/>
      <c r="L129" s="292"/>
      <c r="N129" s="1106"/>
      <c r="O129" s="773"/>
      <c r="P129" s="773"/>
      <c r="Q129" s="773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4" t="s">
        <v>238</v>
      </c>
      <c r="B131" s="1145"/>
      <c r="C131" s="1145"/>
      <c r="D131" s="523" t="s">
        <v>239</v>
      </c>
      <c r="E131" s="762">
        <f>'27'!F131</f>
        <v>0</v>
      </c>
      <c r="F131" s="741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4" t="s">
        <v>240</v>
      </c>
      <c r="B132" s="1145"/>
      <c r="C132" s="1145"/>
      <c r="D132" s="523" t="s">
        <v>239</v>
      </c>
      <c r="E132" s="762">
        <f>'27'!F132</f>
        <v>0</v>
      </c>
      <c r="F132" s="741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4" t="s">
        <v>241</v>
      </c>
      <c r="B133" s="1145"/>
      <c r="C133" s="1145"/>
      <c r="D133" s="523" t="s">
        <v>239</v>
      </c>
      <c r="E133" s="771">
        <f>'27'!F133</f>
        <v>39679.47</v>
      </c>
      <c r="F133" s="757">
        <v>39703.89</v>
      </c>
      <c r="G133" s="473">
        <f t="shared" si="17"/>
        <v>24.419999999998254</v>
      </c>
      <c r="H133" s="460">
        <f>G133+'27'!H133</f>
        <v>-42.590000000003783</v>
      </c>
      <c r="I133" s="480"/>
      <c r="J133" s="552">
        <f>H133/DAY(B2)</f>
        <v>-1.5210714285715636</v>
      </c>
    </row>
    <row r="134" spans="1:17" ht="27.75">
      <c r="A134" s="1144" t="s">
        <v>242</v>
      </c>
      <c r="B134" s="1145"/>
      <c r="C134" s="1145"/>
      <c r="D134" s="523" t="s">
        <v>239</v>
      </c>
      <c r="E134" s="771">
        <f>'27'!F134</f>
        <v>300</v>
      </c>
      <c r="F134" s="757">
        <v>300</v>
      </c>
      <c r="G134" s="473">
        <f t="shared" si="17"/>
        <v>0</v>
      </c>
      <c r="H134" s="460">
        <f>G134+'27'!H134</f>
        <v>0</v>
      </c>
      <c r="I134" s="480">
        <f>G131+G132+G133+G134</f>
        <v>24.419999999998254</v>
      </c>
      <c r="J134" s="552">
        <f>H134/DAY(B2)</f>
        <v>0</v>
      </c>
    </row>
    <row r="135" spans="1:17" ht="27.75">
      <c r="A135" s="1144" t="s">
        <v>243</v>
      </c>
      <c r="B135" s="1145"/>
      <c r="C135" s="1145"/>
      <c r="D135" s="523" t="s">
        <v>239</v>
      </c>
      <c r="E135" s="771">
        <f>'27'!F135</f>
        <v>41377.4</v>
      </c>
      <c r="F135" s="757">
        <v>41377</v>
      </c>
      <c r="G135" s="473">
        <f t="shared" si="17"/>
        <v>-0.40000000000145519</v>
      </c>
      <c r="H135" s="460">
        <f>G135+'27'!H135</f>
        <v>106</v>
      </c>
      <c r="I135" s="480"/>
      <c r="J135" s="552">
        <f>H135/DAY(B2)</f>
        <v>3.7857142857142856</v>
      </c>
      <c r="O135" s="773">
        <f>9-24</f>
        <v>-15</v>
      </c>
    </row>
    <row r="136" spans="1:17" ht="27.75">
      <c r="A136" s="1144" t="s">
        <v>244</v>
      </c>
      <c r="B136" s="1145"/>
      <c r="C136" s="1145"/>
      <c r="D136" s="523" t="s">
        <v>239</v>
      </c>
      <c r="E136" s="770">
        <f>'27'!F136</f>
        <v>32582.93</v>
      </c>
      <c r="F136" s="748">
        <v>32583.09</v>
      </c>
      <c r="G136" s="473">
        <f t="shared" si="17"/>
        <v>0.15999999999985448</v>
      </c>
      <c r="H136" s="460">
        <f>G136+'27'!H136</f>
        <v>13.159999999999854</v>
      </c>
      <c r="I136" s="480"/>
      <c r="J136" s="552">
        <f>H136/DAY(B2)</f>
        <v>0.46999999999999481</v>
      </c>
    </row>
    <row r="137" spans="1:17" ht="27.75">
      <c r="A137" s="1144" t="s">
        <v>245</v>
      </c>
      <c r="B137" s="1145"/>
      <c r="C137" s="1145"/>
      <c r="D137" s="523" t="s">
        <v>239</v>
      </c>
      <c r="E137" s="770">
        <f>'27'!F137</f>
        <v>22731.599999999999</v>
      </c>
      <c r="F137" s="748">
        <v>22732.06</v>
      </c>
      <c r="G137" s="473">
        <f t="shared" si="17"/>
        <v>0.46000000000276486</v>
      </c>
      <c r="H137" s="460">
        <f>G137+'27'!H137</f>
        <v>-7.5299999999988358</v>
      </c>
      <c r="I137" s="480">
        <f>G135+G136+G137</f>
        <v>0.22000000000116415</v>
      </c>
      <c r="J137" s="552">
        <f>H137/DAY(B2)</f>
        <v>-0.26892857142852983</v>
      </c>
    </row>
    <row r="138" spans="1:17" ht="27.75">
      <c r="A138" s="1144" t="s">
        <v>246</v>
      </c>
      <c r="B138" s="1145"/>
      <c r="C138" s="1145"/>
      <c r="D138" s="523" t="s">
        <v>239</v>
      </c>
      <c r="E138" s="770">
        <f>'27'!F138</f>
        <v>25051.49</v>
      </c>
      <c r="F138" s="748">
        <v>25051.49</v>
      </c>
      <c r="G138" s="473">
        <f t="shared" si="17"/>
        <v>0</v>
      </c>
      <c r="H138" s="460">
        <f>G138+'27'!H138</f>
        <v>8</v>
      </c>
      <c r="I138" s="480"/>
      <c r="J138" s="552">
        <f>H138/DAY(B2)</f>
        <v>0.2857142857142857</v>
      </c>
    </row>
    <row r="139" spans="1:17" ht="27.75">
      <c r="A139" s="1144" t="s">
        <v>247</v>
      </c>
      <c r="B139" s="1145"/>
      <c r="C139" s="1145"/>
      <c r="D139" s="523" t="s">
        <v>239</v>
      </c>
      <c r="E139" s="770">
        <f>'27'!F139</f>
        <v>70299.460000000006</v>
      </c>
      <c r="F139" s="748">
        <v>70306.759999999995</v>
      </c>
      <c r="G139" s="473">
        <f t="shared" si="17"/>
        <v>7.2999999999883585</v>
      </c>
      <c r="H139" s="460">
        <f>G139+'27'!H139</f>
        <v>26.529999999998836</v>
      </c>
      <c r="I139" s="480">
        <f>G138+G139</f>
        <v>7.2999999999883585</v>
      </c>
      <c r="J139" s="552">
        <f>H139/DAY(B2)</f>
        <v>0.94749999999995838</v>
      </c>
    </row>
    <row r="140" spans="1:17" ht="27.75">
      <c r="A140" s="1144" t="s">
        <v>248</v>
      </c>
      <c r="B140" s="1145"/>
      <c r="C140" s="1145"/>
      <c r="D140" s="523" t="s">
        <v>239</v>
      </c>
      <c r="E140" s="771">
        <f>'27'!F140</f>
        <v>1593.85</v>
      </c>
      <c r="F140" s="757">
        <v>1601.87</v>
      </c>
      <c r="G140" s="473">
        <f t="shared" si="17"/>
        <v>8.0199999999999818</v>
      </c>
      <c r="H140" s="460">
        <f>G140+'27'!H140</f>
        <v>-14.990000000000009</v>
      </c>
      <c r="I140" s="542"/>
      <c r="J140" s="552">
        <f>H140/DAY(B2)</f>
        <v>-0.5353571428571432</v>
      </c>
    </row>
    <row r="141" spans="1:17" ht="27.75">
      <c r="A141" s="1144" t="s">
        <v>249</v>
      </c>
      <c r="B141" s="1145"/>
      <c r="C141" s="1145"/>
      <c r="D141" s="523" t="s">
        <v>239</v>
      </c>
      <c r="E141" s="770">
        <f>'27'!F141</f>
        <v>4636.88</v>
      </c>
      <c r="F141" s="741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31" t="s">
        <v>250</v>
      </c>
      <c r="B142" s="1532"/>
      <c r="C142" s="1150"/>
      <c r="D142" s="472"/>
      <c r="E142" s="742"/>
      <c r="F142" s="742"/>
      <c r="G142" s="483"/>
      <c r="H142" s="483"/>
      <c r="I142" s="483"/>
      <c r="J142" s="563"/>
      <c r="K142" s="380"/>
      <c r="L142" s="377"/>
    </row>
    <row r="143" spans="1:17" ht="27.75">
      <c r="A143" s="1525" t="s">
        <v>251</v>
      </c>
      <c r="B143" s="1526"/>
      <c r="C143" s="1527"/>
      <c r="D143" s="523" t="s">
        <v>132</v>
      </c>
      <c r="E143" s="460"/>
      <c r="F143" s="460"/>
      <c r="G143" s="460">
        <f>G35+G43+G49+G57</f>
        <v>4575.9299999999766</v>
      </c>
      <c r="H143" s="460">
        <f>G143+'27'!H143</f>
        <v>-9287.6900000000187</v>
      </c>
      <c r="I143" s="480"/>
      <c r="J143" s="552">
        <f>H143/DAY(B2)</f>
        <v>-331.70321428571498</v>
      </c>
      <c r="K143" s="380"/>
      <c r="L143" s="377"/>
    </row>
    <row r="144" spans="1:17" ht="27.75">
      <c r="A144" s="1525" t="s">
        <v>252</v>
      </c>
      <c r="B144" s="1526"/>
      <c r="C144" s="1527"/>
      <c r="D144" s="523" t="s">
        <v>24</v>
      </c>
      <c r="E144" s="470"/>
      <c r="F144" s="470"/>
      <c r="G144" s="543">
        <f>G143/G7</f>
        <v>0.25443035863219221</v>
      </c>
      <c r="H144" s="460">
        <f>G144+'27'!H144</f>
        <v>7.0905595344131971</v>
      </c>
      <c r="I144" s="544"/>
      <c r="J144" s="552">
        <f>H144/DAY(B2)</f>
        <v>0.25323426908618563</v>
      </c>
      <c r="K144" s="380"/>
      <c r="L144" s="377"/>
    </row>
    <row r="145" spans="1:12" ht="27.75">
      <c r="A145" s="1525" t="s">
        <v>253</v>
      </c>
      <c r="B145" s="1526"/>
      <c r="C145" s="1527"/>
      <c r="D145" s="523" t="s">
        <v>132</v>
      </c>
      <c r="E145" s="460"/>
      <c r="F145" s="460"/>
      <c r="G145" s="460">
        <f>G41+G42+G55+G56</f>
        <v>5618.8030000000144</v>
      </c>
      <c r="H145" s="460">
        <f>G145+'27'!H145</f>
        <v>336213.27000000008</v>
      </c>
      <c r="I145" s="480"/>
      <c r="J145" s="552">
        <f>H145/DAY(B2)</f>
        <v>12007.616785714288</v>
      </c>
      <c r="K145" s="380"/>
      <c r="L145" s="377"/>
    </row>
    <row r="146" spans="1:12" ht="27.75">
      <c r="A146" s="1525" t="s">
        <v>254</v>
      </c>
      <c r="B146" s="1526"/>
      <c r="C146" s="1527"/>
      <c r="D146" s="523" t="s">
        <v>24</v>
      </c>
      <c r="E146" s="460"/>
      <c r="F146" s="460"/>
      <c r="G146" s="543">
        <f>G145/G7</f>
        <v>0.31241606894634499</v>
      </c>
      <c r="H146" s="460">
        <f>G146+'27'!H146</f>
        <v>8.3424197174183305</v>
      </c>
      <c r="I146" s="544"/>
      <c r="J146" s="552">
        <f>H146/DAY(B2)</f>
        <v>0.29794356133636896</v>
      </c>
      <c r="K146" s="380"/>
      <c r="L146" s="377"/>
    </row>
    <row r="147" spans="1:12" ht="27.75">
      <c r="A147" s="1525" t="s">
        <v>255</v>
      </c>
      <c r="B147" s="1526"/>
      <c r="C147" s="1527"/>
      <c r="D147" s="523" t="s">
        <v>132</v>
      </c>
      <c r="E147" s="460"/>
      <c r="F147" s="460"/>
      <c r="G147" s="460">
        <f>G39+G53</f>
        <v>3434.7400000000198</v>
      </c>
      <c r="H147" s="460">
        <f>G147+'27'!H147</f>
        <v>10688.420000000013</v>
      </c>
      <c r="I147" s="545"/>
      <c r="J147" s="552">
        <f>H147/DAY(B2)</f>
        <v>381.72928571428616</v>
      </c>
      <c r="K147" s="380"/>
      <c r="L147" s="377"/>
    </row>
    <row r="148" spans="1:12" ht="27.75">
      <c r="A148" s="1525" t="s">
        <v>256</v>
      </c>
      <c r="B148" s="1526"/>
      <c r="C148" s="1527"/>
      <c r="D148" s="523" t="s">
        <v>24</v>
      </c>
      <c r="E148" s="460"/>
      <c r="F148" s="460"/>
      <c r="G148" s="543">
        <f>G147/G7</f>
        <v>0.1909780372532677</v>
      </c>
      <c r="H148" s="460">
        <f>G148+'27'!H148</f>
        <v>4.2660822433217227</v>
      </c>
      <c r="I148" s="545"/>
      <c r="J148" s="552">
        <f>H148/DAY(B2)</f>
        <v>0.15236008011863295</v>
      </c>
    </row>
    <row r="149" spans="1:12" ht="27.75">
      <c r="A149" s="1525" t="s">
        <v>257</v>
      </c>
      <c r="B149" s="1526"/>
      <c r="C149" s="1527"/>
      <c r="D149" s="523" t="s">
        <v>183</v>
      </c>
      <c r="E149" s="460"/>
      <c r="F149" s="460"/>
      <c r="G149" s="460">
        <f>G38+G52</f>
        <v>1391.2400000000052</v>
      </c>
      <c r="H149" s="460">
        <f>G149+'27'!H149</f>
        <v>-2704.5800000000454</v>
      </c>
      <c r="I149" s="480"/>
      <c r="J149" s="552">
        <f>H149/DAY(B2)</f>
        <v>-96.592142857144481</v>
      </c>
      <c r="K149" s="381"/>
    </row>
    <row r="150" spans="1:12" ht="27.75">
      <c r="A150" s="1525" t="s">
        <v>258</v>
      </c>
      <c r="B150" s="1526"/>
      <c r="C150" s="1527"/>
      <c r="D150" s="523" t="s">
        <v>24</v>
      </c>
      <c r="E150" s="460"/>
      <c r="F150" s="460"/>
      <c r="G150" s="543">
        <f>G149/G7</f>
        <v>7.7355574089519333E-2</v>
      </c>
      <c r="H150" s="460">
        <f>G150+'27'!H150</f>
        <v>2.0074994229903922</v>
      </c>
      <c r="I150" s="545"/>
      <c r="J150" s="552">
        <f>H150/DAY(B2)</f>
        <v>7.1696407963942582E-2</v>
      </c>
    </row>
    <row r="151" spans="1:12" ht="27.75">
      <c r="A151" s="1525" t="s">
        <v>259</v>
      </c>
      <c r="B151" s="1526"/>
      <c r="C151" s="1527"/>
      <c r="D151" s="523" t="s">
        <v>183</v>
      </c>
      <c r="E151" s="460"/>
      <c r="F151" s="460"/>
      <c r="G151" s="460">
        <f>G36+G50</f>
        <v>1361.5599999999977</v>
      </c>
      <c r="H151" s="460">
        <f>G151+'27'!H151</f>
        <v>-3557.6199999999953</v>
      </c>
      <c r="I151" s="545"/>
      <c r="J151" s="552">
        <f>H151/DAY(B2)</f>
        <v>-127.05785714285697</v>
      </c>
    </row>
    <row r="152" spans="1:12" ht="27.75">
      <c r="A152" s="1525" t="s">
        <v>260</v>
      </c>
      <c r="B152" s="1526"/>
      <c r="C152" s="1527"/>
      <c r="D152" s="523" t="s">
        <v>24</v>
      </c>
      <c r="E152" s="460"/>
      <c r="F152" s="460"/>
      <c r="G152" s="543">
        <f>G151/G7</f>
        <v>7.5705309980539204E-2</v>
      </c>
      <c r="H152" s="460">
        <f>G152+'27'!H152</f>
        <v>2.0569646052433876</v>
      </c>
      <c r="I152" s="480"/>
      <c r="J152" s="552">
        <f>H152/DAY(B2)</f>
        <v>7.3463021615835275E-2</v>
      </c>
    </row>
    <row r="153" spans="1:12" ht="27.75">
      <c r="A153" s="1525" t="s">
        <v>261</v>
      </c>
      <c r="B153" s="1526"/>
      <c r="C153" s="1527"/>
      <c r="D153" s="523" t="s">
        <v>183</v>
      </c>
      <c r="E153" s="460"/>
      <c r="F153" s="460"/>
      <c r="G153" s="460">
        <f>G37+G51</f>
        <v>1197.9000000000087</v>
      </c>
      <c r="H153" s="460">
        <f>G153+'27'!H153</f>
        <v>-2571.8899999999994</v>
      </c>
      <c r="I153" s="480"/>
      <c r="J153" s="552">
        <f>H153/DAY(B2)</f>
        <v>-91.853214285714259</v>
      </c>
    </row>
    <row r="154" spans="1:12" ht="28.5" thickBot="1">
      <c r="A154" s="1528" t="s">
        <v>262</v>
      </c>
      <c r="B154" s="1529"/>
      <c r="C154" s="1530"/>
      <c r="D154" s="625" t="s">
        <v>24</v>
      </c>
      <c r="E154" s="567"/>
      <c r="F154" s="567"/>
      <c r="G154" s="566">
        <f>G153/G7</f>
        <v>6.6605504587156444E-2</v>
      </c>
      <c r="H154" s="460">
        <f>G154+'27'!H154</f>
        <v>2.0148743991084381</v>
      </c>
      <c r="I154" s="568"/>
      <c r="J154" s="569">
        <f>H154/DAY(B2)</f>
        <v>7.1959799968158503E-2</v>
      </c>
    </row>
    <row r="155" spans="1:12">
      <c r="A155" s="466"/>
      <c r="B155" s="456"/>
      <c r="C155" s="456"/>
      <c r="D155" s="546"/>
      <c r="E155" s="548"/>
      <c r="F155" s="758"/>
      <c r="G155" s="546"/>
      <c r="H155" s="547"/>
      <c r="I155" s="546"/>
      <c r="J155" s="548"/>
    </row>
    <row r="161" spans="1:7">
      <c r="A161" s="788" t="s">
        <v>263</v>
      </c>
      <c r="B161" s="789"/>
      <c r="C161" s="789"/>
      <c r="D161" s="511" t="s">
        <v>187</v>
      </c>
      <c r="E161" s="770">
        <f>'27'!F161</f>
        <v>35692.58</v>
      </c>
      <c r="F161" s="661">
        <v>35773</v>
      </c>
      <c r="G161" s="473">
        <f t="shared" ref="G161:G164" si="18">F161-E161</f>
        <v>80.419999999998254</v>
      </c>
    </row>
    <row r="162" spans="1:7">
      <c r="A162" s="788" t="s">
        <v>264</v>
      </c>
      <c r="B162" s="789"/>
      <c r="C162" s="789"/>
      <c r="D162" s="511" t="s">
        <v>187</v>
      </c>
      <c r="E162" s="770">
        <f>'27'!F162</f>
        <v>80965.83</v>
      </c>
      <c r="F162" s="661">
        <v>81442.87</v>
      </c>
      <c r="G162" s="473">
        <f t="shared" si="18"/>
        <v>477.0399999999936</v>
      </c>
    </row>
    <row r="163" spans="1:7">
      <c r="A163" s="788" t="s">
        <v>265</v>
      </c>
      <c r="B163" s="789"/>
      <c r="C163" s="789"/>
      <c r="D163" s="511" t="s">
        <v>187</v>
      </c>
      <c r="E163" s="770">
        <f>'27'!F163</f>
        <v>36974.61</v>
      </c>
      <c r="F163" s="661">
        <v>37287</v>
      </c>
      <c r="G163" s="473">
        <f t="shared" si="18"/>
        <v>312.38999999999942</v>
      </c>
    </row>
    <row r="164" spans="1:7">
      <c r="A164" s="788" t="s">
        <v>266</v>
      </c>
      <c r="B164" s="789"/>
      <c r="C164" s="789"/>
      <c r="D164" s="511" t="s">
        <v>187</v>
      </c>
      <c r="E164" s="770">
        <f>'27'!F164</f>
        <v>6156.08</v>
      </c>
      <c r="F164" s="661">
        <v>6176.84</v>
      </c>
      <c r="G164" s="473">
        <f t="shared" si="18"/>
        <v>20.760000000000218</v>
      </c>
    </row>
    <row r="165" spans="1:7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90" t="s">
        <v>188</v>
      </c>
      <c r="B166" s="604"/>
      <c r="C166" s="604"/>
      <c r="D166" s="511" t="s">
        <v>187</v>
      </c>
      <c r="E166" s="514">
        <f t="shared" ref="E166:E172" si="20">E63</f>
        <v>2344.29</v>
      </c>
      <c r="F166" s="514">
        <f t="shared" ref="F166:F172" si="21">F63</f>
        <v>2350.3000000000002</v>
      </c>
      <c r="G166" s="473">
        <f t="shared" si="19"/>
        <v>6.0100000000002183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si="20"/>
        <v>152305.20000000001</v>
      </c>
      <c r="F167" s="514">
        <f t="shared" si="21"/>
        <v>152738.75</v>
      </c>
      <c r="G167" s="473">
        <f t="shared" si="19"/>
        <v>433.54999999998836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si="20"/>
        <v>153943.04000000001</v>
      </c>
      <c r="F168" s="514">
        <f t="shared" si="21"/>
        <v>154203.07</v>
      </c>
      <c r="G168" s="473">
        <f t="shared" si="19"/>
        <v>260.02999999999884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si="20"/>
        <v>47716.65</v>
      </c>
      <c r="F169" s="514">
        <f t="shared" si="21"/>
        <v>48032.37</v>
      </c>
      <c r="G169" s="473">
        <f t="shared" si="19"/>
        <v>315.72000000000116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si="20"/>
        <v>242354.53</v>
      </c>
      <c r="F170" s="514">
        <f t="shared" si="21"/>
        <v>242687.95</v>
      </c>
      <c r="G170" s="473">
        <f t="shared" si="19"/>
        <v>333.42000000001281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si="20"/>
        <v>78766.350000000006</v>
      </c>
      <c r="F172" s="514">
        <f t="shared" si="21"/>
        <v>78814.97</v>
      </c>
      <c r="G172" s="473">
        <f t="shared" si="19"/>
        <v>48.619999999995343</v>
      </c>
    </row>
    <row r="173" spans="1:7">
      <c r="G173" s="539">
        <f>SUM(G161:G172)</f>
        <v>2287.9599999999882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topLeftCell="A57" zoomScale="55" zoomScaleNormal="78" zoomScaleSheetLayoutView="55" workbookViewId="0">
      <selection activeCell="F28" activeCellId="1" sqref="F28 F2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54" s="281" customFormat="1" ht="27">
      <c r="A2" s="575" t="s">
        <v>362</v>
      </c>
      <c r="B2" s="1036">
        <v>44315</v>
      </c>
      <c r="C2" s="1146" t="s">
        <v>69</v>
      </c>
      <c r="D2" s="611">
        <v>0.67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6" t="s">
        <v>120</v>
      </c>
      <c r="D3" s="612">
        <v>28</v>
      </c>
      <c r="E3" s="1542" t="s">
        <v>121</v>
      </c>
      <c r="F3" s="1543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6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536" t="s">
        <v>130</v>
      </c>
      <c r="B6" s="1537"/>
      <c r="C6" s="1538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5692742</v>
      </c>
      <c r="F7" s="460">
        <v>5708695</v>
      </c>
      <c r="G7" s="681">
        <f>F7-E7</f>
        <v>15953</v>
      </c>
      <c r="H7" s="682">
        <f>G7+'28'!H7</f>
        <v>5863718</v>
      </c>
      <c r="I7" s="683">
        <f>'1'!I7</f>
        <v>12000</v>
      </c>
      <c r="J7" s="684">
        <f>H7/DAY(B2)</f>
        <v>202197.1724137931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5726367</v>
      </c>
      <c r="F8" s="740">
        <v>5742402</v>
      </c>
      <c r="G8" s="692">
        <f>F8-E8</f>
        <v>16035</v>
      </c>
      <c r="H8" s="682">
        <f>G8+'28'!H8</f>
        <v>5898161</v>
      </c>
      <c r="I8" s="689"/>
      <c r="J8" s="684">
        <f>H8/DAY(B2)</f>
        <v>203384.86206896551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957140.95</v>
      </c>
      <c r="F9" s="741">
        <v>972579.91</v>
      </c>
      <c r="G9" s="705">
        <f t="shared" ref="G9:G12" si="0">F9-E9</f>
        <v>15438.960000000079</v>
      </c>
      <c r="H9" s="682">
        <f>G9+'28'!H9</f>
        <v>-18134.089999999967</v>
      </c>
      <c r="I9" s="693">
        <f>I7-J7</f>
        <v>-190197.1724137931</v>
      </c>
      <c r="J9" s="684">
        <f>H9/DAY(B2)</f>
        <v>-625.31344827586099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1" t="s">
        <v>132</v>
      </c>
      <c r="E12" s="1095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1"/>
      <c r="E13" s="1095"/>
      <c r="F13" s="460"/>
      <c r="G13" s="697">
        <f>G9+G10+G11+G12</f>
        <v>15438.960000000079</v>
      </c>
      <c r="H13" s="1095">
        <f>G13+'28'!H13</f>
        <v>-32655.089999999967</v>
      </c>
      <c r="I13" s="1096">
        <f>G7-G13</f>
        <v>514.03999999992084</v>
      </c>
      <c r="J13" s="1097">
        <f>H13/DAY(B2)</f>
        <v>-1126.0375862068954</v>
      </c>
      <c r="K13" s="428"/>
      <c r="L13" s="377"/>
    </row>
    <row r="14" spans="1:54">
      <c r="A14" s="1539" t="s">
        <v>139</v>
      </c>
      <c r="B14" s="1540"/>
      <c r="C14" s="1541"/>
      <c r="D14" s="1098"/>
      <c r="E14" s="1102"/>
      <c r="F14" s="742"/>
      <c r="G14" s="483"/>
      <c r="H14" s="1098"/>
      <c r="I14" s="1098"/>
      <c r="J14" s="1099"/>
      <c r="K14" s="429"/>
      <c r="L14" s="377"/>
    </row>
    <row r="15" spans="1:54">
      <c r="A15" s="668" t="s">
        <v>140</v>
      </c>
      <c r="B15" s="669"/>
      <c r="C15" s="669"/>
      <c r="D15" s="1103" t="s">
        <v>141</v>
      </c>
      <c r="E15" s="1104">
        <f>'28'!F15</f>
        <v>1669537.26</v>
      </c>
      <c r="F15" s="743">
        <v>1670180.29</v>
      </c>
      <c r="G15" s="667">
        <f>(F15-E15)</f>
        <v>643.03000000002794</v>
      </c>
      <c r="H15" s="1091">
        <f>G15+'28'!H15</f>
        <v>-476.70999999996275</v>
      </c>
      <c r="I15" s="1092">
        <f>'1'!I15</f>
        <v>800</v>
      </c>
      <c r="J15" s="1093">
        <f>H15/DAY(B2)</f>
        <v>-16.43827586206768</v>
      </c>
      <c r="K15" s="428"/>
      <c r="L15" s="377"/>
    </row>
    <row r="16" spans="1:54">
      <c r="A16" s="676"/>
      <c r="B16" s="677"/>
      <c r="C16" s="677"/>
      <c r="D16" s="1103"/>
      <c r="E16" s="1104"/>
      <c r="F16" s="743"/>
      <c r="G16" s="672"/>
      <c r="H16" s="1091"/>
      <c r="I16" s="1094">
        <f>I15-J15</f>
        <v>816.43827586206771</v>
      </c>
      <c r="J16" s="1093"/>
      <c r="K16" s="428"/>
      <c r="L16" s="377"/>
    </row>
    <row r="17" spans="1:15">
      <c r="A17" s="1539" t="s">
        <v>142</v>
      </c>
      <c r="B17" s="1540"/>
      <c r="C17" s="1541"/>
      <c r="D17" s="1098"/>
      <c r="E17" s="1102"/>
      <c r="F17" s="742"/>
      <c r="G17" s="488"/>
      <c r="H17" s="1098"/>
      <c r="I17" s="1098"/>
      <c r="J17" s="1099"/>
      <c r="K17" s="428"/>
      <c r="L17" s="377"/>
    </row>
    <row r="18" spans="1:15" ht="27.75">
      <c r="A18" s="1565" t="s">
        <v>143</v>
      </c>
      <c r="B18" s="1566"/>
      <c r="C18" s="1567"/>
      <c r="D18" s="638" t="s">
        <v>144</v>
      </c>
      <c r="E18" s="761">
        <f>'28'!F18</f>
        <v>6</v>
      </c>
      <c r="F18" s="741">
        <v>2</v>
      </c>
      <c r="G18" s="697">
        <f>F18*10</f>
        <v>20</v>
      </c>
      <c r="H18" s="1095">
        <f>G18+'28'!H18</f>
        <v>1500</v>
      </c>
      <c r="I18" s="1100">
        <f>'1'!I18</f>
        <v>65</v>
      </c>
      <c r="J18" s="1097">
        <f>H18/DAY(B2)</f>
        <v>51.724137931034484</v>
      </c>
      <c r="K18" s="428"/>
      <c r="L18" s="377"/>
    </row>
    <row r="19" spans="1:15" ht="27.75">
      <c r="A19" s="1565" t="s">
        <v>71</v>
      </c>
      <c r="B19" s="1566"/>
      <c r="C19" s="1567"/>
      <c r="D19" s="638" t="s">
        <v>144</v>
      </c>
      <c r="E19" s="761">
        <f>'28'!F19</f>
        <v>137703</v>
      </c>
      <c r="F19" s="741">
        <v>137758</v>
      </c>
      <c r="G19" s="692">
        <f t="shared" ref="G19" si="1">F19-E19</f>
        <v>55</v>
      </c>
      <c r="H19" s="682">
        <f>G19+'28'!H19</f>
        <v>-54</v>
      </c>
      <c r="I19" s="699"/>
      <c r="J19" s="684">
        <f>H19/DAY(B2)</f>
        <v>-1.8620689655172413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75</v>
      </c>
      <c r="H20" s="682">
        <f>G20+'28'!H20</f>
        <v>1482</v>
      </c>
      <c r="I20" s="701">
        <f>I18-J20</f>
        <v>13.896551724137929</v>
      </c>
      <c r="J20" s="684">
        <f>H20/DAY(B2)</f>
        <v>51.103448275862071</v>
      </c>
      <c r="K20" s="428"/>
      <c r="L20" s="377"/>
    </row>
    <row r="21" spans="1:15">
      <c r="A21" s="1539" t="s">
        <v>146</v>
      </c>
      <c r="B21" s="1540"/>
      <c r="C21" s="1541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4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4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544" t="s">
        <v>151</v>
      </c>
      <c r="B25" s="1545"/>
      <c r="C25" s="1546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16035</v>
      </c>
      <c r="F27" s="501">
        <v>9</v>
      </c>
      <c r="G27" s="502">
        <f>E27*F27</f>
        <v>144315</v>
      </c>
      <c r="H27" s="460">
        <f>G27+'28'!H27</f>
        <v>53083449</v>
      </c>
      <c r="I27" s="503"/>
      <c r="J27" s="552">
        <f>H27/DAY(B2)</f>
        <v>1830463.7586206896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643.03000000002794</v>
      </c>
      <c r="F28" s="501">
        <v>49</v>
      </c>
      <c r="G28" s="502">
        <f>E28*F28</f>
        <v>31508.470000001369</v>
      </c>
      <c r="H28" s="460">
        <f>G28+'28'!H28</f>
        <v>-20573.139999998151</v>
      </c>
      <c r="I28" s="505"/>
      <c r="J28" s="552">
        <f>H28/DAY(B2)</f>
        <v>-709.41862068959142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55</v>
      </c>
      <c r="F30" s="702">
        <v>134</v>
      </c>
      <c r="G30" s="502">
        <f>E30*F30</f>
        <v>7370</v>
      </c>
      <c r="H30" s="460">
        <f>G30+'28'!H30</f>
        <v>-7236</v>
      </c>
      <c r="I30" s="505"/>
      <c r="J30" s="552">
        <f>H30/DAY(B2)</f>
        <v>-249.51724137931035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20</v>
      </c>
      <c r="F31" s="702">
        <v>80</v>
      </c>
      <c r="G31" s="502">
        <f>E31*F31</f>
        <v>1600</v>
      </c>
      <c r="H31" s="460">
        <f>G31+'28'!H31</f>
        <v>120000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184793.47000000137</v>
      </c>
      <c r="H32" s="460">
        <f>G32+'28'!H32</f>
        <v>53264649.859999992</v>
      </c>
      <c r="I32" s="509"/>
      <c r="J32" s="552">
        <f>H32/DAY(B2)</f>
        <v>1836712.0641379307</v>
      </c>
      <c r="K32" s="373"/>
      <c r="L32" s="443"/>
      <c r="N32" s="773"/>
      <c r="O32" s="773"/>
    </row>
    <row r="33" spans="1:15" ht="25.5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</row>
    <row r="34" spans="1:15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881971.99</v>
      </c>
      <c r="F35" s="745">
        <v>884026.03</v>
      </c>
      <c r="G35" s="473">
        <f t="shared" ref="G35:G46" si="3">F35-E35</f>
        <v>2054.0400000000373</v>
      </c>
      <c r="H35" s="460">
        <f>G35+'28'!H35</f>
        <v>-2432.9699999999721</v>
      </c>
      <c r="I35" s="455"/>
      <c r="J35" s="552">
        <f>H35/DAY(B2)</f>
        <v>-83.895517241378343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343442.95</v>
      </c>
      <c r="F36" s="745">
        <v>343892.67</v>
      </c>
      <c r="G36" s="473">
        <f t="shared" si="3"/>
        <v>449.71999999997206</v>
      </c>
      <c r="H36" s="460">
        <f>G36+'28'!H36</f>
        <v>-715.3300000000163</v>
      </c>
      <c r="I36" s="455"/>
      <c r="J36" s="552">
        <f>H36/DAY(B2)</f>
        <v>-24.666551724138493</v>
      </c>
      <c r="K36" s="428"/>
      <c r="L36" s="377"/>
    </row>
    <row r="37" spans="1:15" s="441" customFormat="1">
      <c r="A37" s="1107" t="s">
        <v>166</v>
      </c>
      <c r="B37" s="1111"/>
      <c r="C37" s="1111"/>
      <c r="D37" s="627" t="s">
        <v>132</v>
      </c>
      <c r="E37" s="746">
        <f>'28'!F37</f>
        <v>92653.24</v>
      </c>
      <c r="F37" s="746">
        <v>93853.95</v>
      </c>
      <c r="G37" s="655">
        <f t="shared" si="3"/>
        <v>1200.7099999999919</v>
      </c>
      <c r="H37" s="708">
        <f>G37+'28'!H37</f>
        <v>-1371.0500000000029</v>
      </c>
      <c r="I37" s="709"/>
      <c r="J37" s="710">
        <f>H37/DAY(B2)</f>
        <v>-47.27758620689665</v>
      </c>
      <c r="K37" s="1109"/>
      <c r="L37" s="1110"/>
      <c r="N37" s="774"/>
      <c r="O37" s="774"/>
    </row>
    <row r="38" spans="1:15" s="441" customFormat="1">
      <c r="A38" s="1107" t="s">
        <v>167</v>
      </c>
      <c r="B38" s="1111"/>
      <c r="C38" s="1111"/>
      <c r="D38" s="627" t="s">
        <v>132</v>
      </c>
      <c r="E38" s="746">
        <f>'28'!F38</f>
        <v>116891.35</v>
      </c>
      <c r="F38" s="1112">
        <v>118139.24</v>
      </c>
      <c r="G38" s="655">
        <f t="shared" si="3"/>
        <v>1247.8899999999994</v>
      </c>
      <c r="H38" s="708">
        <f>G38+'28'!H38</f>
        <v>-1456.7599999999948</v>
      </c>
      <c r="I38" s="709"/>
      <c r="J38" s="710">
        <f>H38/DAY(B2)</f>
        <v>-50.233103448275685</v>
      </c>
      <c r="K38" s="1109"/>
      <c r="L38" s="1110"/>
      <c r="N38" s="774"/>
      <c r="O38" s="774"/>
    </row>
    <row r="39" spans="1:15" s="441" customFormat="1">
      <c r="A39" s="1107" t="s">
        <v>168</v>
      </c>
      <c r="B39" s="1111"/>
      <c r="C39" s="1111"/>
      <c r="D39" s="627" t="s">
        <v>132</v>
      </c>
      <c r="E39" s="746">
        <f>'28'!F39</f>
        <v>242505.27</v>
      </c>
      <c r="F39" s="746">
        <v>244460.45</v>
      </c>
      <c r="G39" s="655">
        <f t="shared" si="3"/>
        <v>1955.1800000000221</v>
      </c>
      <c r="H39" s="708">
        <f>G39+'28'!H39</f>
        <v>-2192.5499999999884</v>
      </c>
      <c r="I39" s="709"/>
      <c r="J39" s="710">
        <f>H39/DAY(B2)</f>
        <v>-75.605172413792701</v>
      </c>
      <c r="K39" s="1109"/>
      <c r="L39" s="1110"/>
      <c r="N39" s="774"/>
      <c r="O39" s="774"/>
    </row>
    <row r="40" spans="1:15" s="441" customFormat="1">
      <c r="A40" s="1113" t="s">
        <v>169</v>
      </c>
      <c r="B40" s="1114"/>
      <c r="C40" s="1114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-1.8179902028236938E-14</v>
      </c>
      <c r="I40" s="709"/>
      <c r="J40" s="710">
        <f>H40/DAY(B2)</f>
        <v>-6.2689317338748059E-16</v>
      </c>
      <c r="K40" s="1115"/>
      <c r="L40" s="1110"/>
      <c r="N40" s="774"/>
      <c r="O40" s="774"/>
    </row>
    <row r="41" spans="1:15" s="441" customFormat="1">
      <c r="A41" s="1107" t="s">
        <v>170</v>
      </c>
      <c r="B41" s="1111"/>
      <c r="C41" s="1111"/>
      <c r="D41" s="627" t="s">
        <v>132</v>
      </c>
      <c r="E41" s="746">
        <f>'28'!F41</f>
        <v>172691.47</v>
      </c>
      <c r="F41" s="746">
        <v>177616.67</v>
      </c>
      <c r="G41" s="655">
        <f>F41-E41</f>
        <v>4925.2000000000116</v>
      </c>
      <c r="H41" s="708">
        <f>G41+'28'!H41</f>
        <v>-3911.3299999999872</v>
      </c>
      <c r="I41" s="709"/>
      <c r="J41" s="710">
        <f>H41/DAY(B2)</f>
        <v>-134.87344827586162</v>
      </c>
      <c r="K41" s="1109"/>
      <c r="L41" s="1110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59200</v>
      </c>
      <c r="F42" s="745">
        <v>59200</v>
      </c>
      <c r="G42" s="473">
        <f t="shared" si="3"/>
        <v>0</v>
      </c>
      <c r="H42" s="460">
        <f>G42+'28'!H42</f>
        <v>0</v>
      </c>
      <c r="I42" s="455"/>
      <c r="J42" s="552">
        <f>H42/DAY(B2)</f>
        <v>0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969445.99</v>
      </c>
      <c r="F43" s="745">
        <v>971519.51</v>
      </c>
      <c r="G43" s="473">
        <f t="shared" si="3"/>
        <v>2073.5200000000186</v>
      </c>
      <c r="H43" s="460">
        <f>G43+'28'!H43</f>
        <v>-2438.4899999999907</v>
      </c>
      <c r="I43" s="455"/>
      <c r="J43" s="552">
        <f>H43/DAY(B2)</f>
        <v>-84.085862068965199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13906.260000000053</v>
      </c>
      <c r="H47" s="460">
        <f>G47+'28'!H47</f>
        <v>-13717.039999999935</v>
      </c>
      <c r="I47" s="455"/>
      <c r="J47" s="552">
        <f>H47/DAY(B2)</f>
        <v>-473.0013793103426</v>
      </c>
      <c r="K47" s="428"/>
      <c r="L47" s="377"/>
    </row>
    <row r="48" spans="1:15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7" t="s">
        <v>164</v>
      </c>
      <c r="B49" s="1108"/>
      <c r="C49" s="1108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</v>
      </c>
      <c r="I49" s="709"/>
      <c r="J49" s="710">
        <f>H49/DAY(B2)</f>
        <v>0</v>
      </c>
      <c r="K49" s="1109"/>
      <c r="L49" s="1110"/>
      <c r="N49" s="774"/>
      <c r="O49" s="774"/>
    </row>
    <row r="50" spans="1:15" s="441" customFormat="1">
      <c r="A50" s="1107" t="s">
        <v>178</v>
      </c>
      <c r="B50" s="1108" t="s">
        <v>278</v>
      </c>
      <c r="C50" s="1108"/>
      <c r="D50" s="627" t="s">
        <v>132</v>
      </c>
      <c r="E50" s="746">
        <f>'28'!F50</f>
        <v>472143.43</v>
      </c>
      <c r="F50" s="746">
        <v>473153.27</v>
      </c>
      <c r="G50" s="655">
        <f t="shared" si="4"/>
        <v>1009.8400000000256</v>
      </c>
      <c r="H50" s="708">
        <f>G50+'28'!H50</f>
        <v>-2321.7299999999814</v>
      </c>
      <c r="I50" s="709"/>
      <c r="J50" s="710">
        <f>H50/DAY(B2)</f>
        <v>-80.059655172413144</v>
      </c>
      <c r="K50" s="1109"/>
      <c r="L50" s="1110"/>
      <c r="N50" s="774"/>
      <c r="O50" s="774"/>
    </row>
    <row r="51" spans="1:15" s="441" customFormat="1">
      <c r="A51" s="1107" t="s">
        <v>166</v>
      </c>
      <c r="B51" s="1108"/>
      <c r="C51" s="1108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09"/>
      <c r="L51" s="1110"/>
      <c r="N51" s="774"/>
      <c r="O51" s="774"/>
    </row>
    <row r="52" spans="1:15" s="441" customFormat="1">
      <c r="A52" s="1107" t="s">
        <v>179</v>
      </c>
      <c r="B52" s="1108"/>
      <c r="C52" s="1108"/>
      <c r="D52" s="627" t="s">
        <v>132</v>
      </c>
      <c r="E52" s="746">
        <f>'28'!F52</f>
        <v>539606.06999999995</v>
      </c>
      <c r="F52" s="746">
        <v>539606.06999999995</v>
      </c>
      <c r="G52" s="655">
        <f t="shared" si="4"/>
        <v>0</v>
      </c>
      <c r="H52" s="708">
        <f>G52+'28'!H52</f>
        <v>0</v>
      </c>
      <c r="I52" s="709"/>
      <c r="J52" s="710">
        <f>H52/DAY(B2)</f>
        <v>0</v>
      </c>
      <c r="K52" s="1109"/>
      <c r="L52" s="1110"/>
      <c r="N52" s="774"/>
      <c r="O52" s="774"/>
    </row>
    <row r="53" spans="1:15" s="441" customFormat="1">
      <c r="A53" s="1107" t="s">
        <v>168</v>
      </c>
      <c r="B53" s="1108"/>
      <c r="C53" s="1108"/>
      <c r="D53" s="627" t="s">
        <v>132</v>
      </c>
      <c r="E53" s="746">
        <f>'28'!F53</f>
        <v>415202.15</v>
      </c>
      <c r="F53" s="746">
        <v>415735.79</v>
      </c>
      <c r="G53" s="655">
        <f t="shared" si="4"/>
        <v>533.63999999995576</v>
      </c>
      <c r="H53" s="708">
        <f>G53+'28'!H53</f>
        <v>14846.789999999979</v>
      </c>
      <c r="I53" s="709"/>
      <c r="J53" s="710">
        <f>H53/DAY(B2)</f>
        <v>511.95827586206826</v>
      </c>
      <c r="K53" s="1109"/>
      <c r="L53" s="1110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11235.95</v>
      </c>
      <c r="F54" s="745">
        <v>11307.45</v>
      </c>
      <c r="G54" s="473">
        <f t="shared" si="4"/>
        <v>71.5</v>
      </c>
      <c r="H54" s="460">
        <f>G54+'28'!H54</f>
        <v>3545.4500000000007</v>
      </c>
      <c r="I54" s="455"/>
      <c r="J54" s="552">
        <f>H54/DAY(B2)</f>
        <v>122.25689655172417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345059</v>
      </c>
      <c r="F55" s="746">
        <v>345059</v>
      </c>
      <c r="G55" s="655">
        <f t="shared" si="4"/>
        <v>0</v>
      </c>
      <c r="H55" s="708">
        <f>G55+'28'!H55</f>
        <v>345059</v>
      </c>
      <c r="I55" s="709"/>
      <c r="J55" s="710">
        <f>H55/DAY(B2)</f>
        <v>11898.586206896553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589279.27</v>
      </c>
      <c r="F56" s="746">
        <v>589288.47</v>
      </c>
      <c r="G56" s="473">
        <f t="shared" si="4"/>
        <v>9.1999999999534339</v>
      </c>
      <c r="H56" s="460">
        <f>G56+'28'!H56</f>
        <v>0.10999999998603016</v>
      </c>
      <c r="I56" s="455"/>
      <c r="J56" s="552">
        <f>H56/DAY(B2)</f>
        <v>3.7931034477941437E-3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7711.33</v>
      </c>
      <c r="F57" s="745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46477.78</v>
      </c>
      <c r="F58" s="746">
        <v>46666.81</v>
      </c>
      <c r="G58" s="473">
        <f t="shared" si="4"/>
        <v>189.02999999999884</v>
      </c>
      <c r="H58" s="460">
        <f>G58+'28'!H58</f>
        <v>-50.190000000002328</v>
      </c>
      <c r="I58" s="455"/>
      <c r="J58" s="552">
        <f>H58/DAY(B2)</f>
        <v>-1.7306896551724942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1812.8799999999337</v>
      </c>
      <c r="H59" s="460">
        <f>G59+'28'!H59</f>
        <v>361079.37</v>
      </c>
      <c r="I59" s="455">
        <f>G7-G60</f>
        <v>233.86000000001332</v>
      </c>
      <c r="J59" s="552">
        <f>H59/DAY(B2)</f>
        <v>12451.012758620689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15719.139999999987</v>
      </c>
      <c r="H60" s="460">
        <f>G60+'28'!H60</f>
        <v>348946.22000000003</v>
      </c>
      <c r="I60" s="455">
        <f>G13-G60</f>
        <v>-280.17999999990752</v>
      </c>
      <c r="J60" s="552">
        <f>H60/DAY(B2)</f>
        <v>12032.628275862069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2350.3000000000002</v>
      </c>
      <c r="F63" s="514">
        <v>2355.71</v>
      </c>
      <c r="G63" s="473">
        <f t="shared" si="5"/>
        <v>5.4099999999998545</v>
      </c>
      <c r="H63" s="460">
        <f>G63+'28'!H63</f>
        <v>-3.2899999999999636</v>
      </c>
      <c r="I63" s="515"/>
      <c r="J63" s="552">
        <f>H63/DAY(B2)</f>
        <v>-0.11344827586206771</v>
      </c>
      <c r="K63" s="428"/>
      <c r="L63" s="377"/>
    </row>
    <row r="64" spans="1:15" ht="27.75">
      <c r="A64" s="1504" t="s">
        <v>99</v>
      </c>
      <c r="B64" s="1505"/>
      <c r="C64" s="1506"/>
      <c r="D64" s="523" t="s">
        <v>187</v>
      </c>
      <c r="E64" s="514">
        <f>'28'!F64</f>
        <v>152738.75</v>
      </c>
      <c r="F64" s="741">
        <v>153063.73000000001</v>
      </c>
      <c r="G64" s="473">
        <f t="shared" si="5"/>
        <v>324.98000000001048</v>
      </c>
      <c r="H64" s="460">
        <f>G64+'28'!H64</f>
        <v>-235.26999999998952</v>
      </c>
      <c r="I64" s="480"/>
      <c r="J64" s="552">
        <f>H64/DAY(B2)</f>
        <v>-8.1127586206892932</v>
      </c>
      <c r="K64" s="428"/>
      <c r="L64" s="377"/>
    </row>
    <row r="65" spans="1:12" ht="27.75">
      <c r="A65" s="1504" t="s">
        <v>100</v>
      </c>
      <c r="B65" s="1505"/>
      <c r="C65" s="1506"/>
      <c r="D65" s="523" t="s">
        <v>187</v>
      </c>
      <c r="E65" s="514">
        <f>'28'!F65</f>
        <v>154203.07</v>
      </c>
      <c r="F65" s="748">
        <v>154390.29999999999</v>
      </c>
      <c r="G65" s="473">
        <f t="shared" si="5"/>
        <v>187.22999999998137</v>
      </c>
      <c r="H65" s="460">
        <f>G65+'28'!H65</f>
        <v>-208.70000000001164</v>
      </c>
      <c r="I65" s="489"/>
      <c r="J65" s="552">
        <f>H65/DAY(B2)</f>
        <v>-7.1965517241383328</v>
      </c>
      <c r="K65" s="428"/>
      <c r="L65" s="377"/>
    </row>
    <row r="66" spans="1:12" ht="27.75">
      <c r="A66" s="1504" t="s">
        <v>101</v>
      </c>
      <c r="B66" s="1505"/>
      <c r="C66" s="1506"/>
      <c r="D66" s="523" t="s">
        <v>187</v>
      </c>
      <c r="E66" s="514">
        <f>'28'!F66</f>
        <v>48032.37</v>
      </c>
      <c r="F66" s="741">
        <v>48305.58</v>
      </c>
      <c r="G66" s="473">
        <f t="shared" si="5"/>
        <v>273.20999999999913</v>
      </c>
      <c r="H66" s="460">
        <f>G66+'28'!H66</f>
        <v>-265.41999999999825</v>
      </c>
      <c r="I66" s="480"/>
      <c r="J66" s="552">
        <f>H66/DAY(B2)</f>
        <v>-9.1524137931033884</v>
      </c>
      <c r="K66" s="428"/>
      <c r="L66" s="377"/>
    </row>
    <row r="67" spans="1:12" ht="27.75">
      <c r="A67" s="1504" t="s">
        <v>102</v>
      </c>
      <c r="B67" s="1505"/>
      <c r="C67" s="1506"/>
      <c r="D67" s="523" t="s">
        <v>187</v>
      </c>
      <c r="E67" s="514">
        <f>'28'!F67</f>
        <v>242687.95</v>
      </c>
      <c r="F67" s="741">
        <v>242893.27</v>
      </c>
      <c r="G67" s="473">
        <f t="shared" si="5"/>
        <v>205.31999999997788</v>
      </c>
      <c r="H67" s="460">
        <f>G67+'28'!H67</f>
        <v>-280.73000000001048</v>
      </c>
      <c r="I67" s="489"/>
      <c r="J67" s="552">
        <f>H67/DAY(B2)</f>
        <v>-9.680344827586568</v>
      </c>
      <c r="K67" s="429"/>
      <c r="L67" s="377"/>
    </row>
    <row r="68" spans="1:12" ht="27.75">
      <c r="A68" s="1504" t="s">
        <v>103</v>
      </c>
      <c r="B68" s="1505"/>
      <c r="C68" s="1506"/>
      <c r="D68" s="523" t="s">
        <v>187</v>
      </c>
      <c r="E68" s="514">
        <f>'28'!F68</f>
        <v>85321</v>
      </c>
      <c r="F68" s="741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04" t="s">
        <v>104</v>
      </c>
      <c r="B69" s="1505"/>
      <c r="C69" s="1506"/>
      <c r="D69" s="523" t="s">
        <v>187</v>
      </c>
      <c r="E69" s="514">
        <f>'28'!F69</f>
        <v>78814.97</v>
      </c>
      <c r="F69" s="741">
        <v>78874.87</v>
      </c>
      <c r="G69" s="473">
        <f t="shared" si="5"/>
        <v>59.899999999994179</v>
      </c>
      <c r="H69" s="460">
        <f>G69+'28'!H69</f>
        <v>-119.13000000000466</v>
      </c>
      <c r="I69" s="516"/>
      <c r="J69" s="552">
        <f>H69/DAY(B2)</f>
        <v>-4.1079310344829194</v>
      </c>
      <c r="K69" s="431"/>
      <c r="L69" s="377"/>
    </row>
    <row r="70" spans="1:12" ht="27.75">
      <c r="A70" s="1510" t="s">
        <v>189</v>
      </c>
      <c r="B70" s="1511"/>
      <c r="C70" s="1512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</row>
    <row r="72" spans="1:12" ht="27.75">
      <c r="A72" s="1504" t="s">
        <v>191</v>
      </c>
      <c r="B72" s="1505"/>
      <c r="C72" s="1506"/>
      <c r="D72" s="523" t="s">
        <v>187</v>
      </c>
      <c r="E72" s="766">
        <f>'28'!F72</f>
        <v>855415</v>
      </c>
      <c r="F72" s="750">
        <v>855444</v>
      </c>
      <c r="G72" s="473">
        <f t="shared" ref="G72:G84" si="6">F72-E72</f>
        <v>29</v>
      </c>
      <c r="H72" s="460">
        <f>G72+'28'!H72</f>
        <v>-28</v>
      </c>
      <c r="I72" s="480"/>
      <c r="J72" s="552">
        <f>H72/DAY(B2)</f>
        <v>-0.96551724137931039</v>
      </c>
      <c r="K72" s="431"/>
      <c r="L72" s="377"/>
    </row>
    <row r="73" spans="1:12" ht="27.75">
      <c r="A73" s="1504" t="s">
        <v>192</v>
      </c>
      <c r="B73" s="1505"/>
      <c r="C73" s="1506"/>
      <c r="D73" s="523" t="s">
        <v>187</v>
      </c>
      <c r="E73" s="766">
        <f>'28'!F73</f>
        <v>885870</v>
      </c>
      <c r="F73" s="751">
        <v>885871</v>
      </c>
      <c r="G73" s="655">
        <f>F73-E73</f>
        <v>1</v>
      </c>
      <c r="H73" s="460">
        <f>G73+'28'!H73</f>
        <v>175</v>
      </c>
      <c r="I73" s="480"/>
      <c r="J73" s="552">
        <f>H73/DAY(B2)</f>
        <v>6.0344827586206895</v>
      </c>
      <c r="K73" s="430"/>
      <c r="L73" s="377"/>
    </row>
    <row r="74" spans="1:12" ht="27.75">
      <c r="A74" s="1504" t="s">
        <v>193</v>
      </c>
      <c r="B74" s="1505"/>
      <c r="C74" s="1506"/>
      <c r="D74" s="523" t="s">
        <v>187</v>
      </c>
      <c r="E74" s="766">
        <f>'28'!F74</f>
        <v>2217.91</v>
      </c>
      <c r="F74" s="751">
        <v>2248.48</v>
      </c>
      <c r="G74" s="473">
        <f t="shared" si="6"/>
        <v>30.570000000000164</v>
      </c>
      <c r="H74" s="460">
        <f>G74+'28'!H74</f>
        <v>-30.519999999999982</v>
      </c>
      <c r="I74" s="480"/>
      <c r="J74" s="552">
        <f>H74/DAY(B2)</f>
        <v>-1.0524137931034476</v>
      </c>
      <c r="K74" s="431"/>
      <c r="L74" s="377"/>
    </row>
    <row r="75" spans="1:12" ht="27.75">
      <c r="A75" s="1501" t="s">
        <v>194</v>
      </c>
      <c r="B75" s="1502"/>
      <c r="C75" s="1503"/>
      <c r="D75" s="523" t="s">
        <v>187</v>
      </c>
      <c r="E75" s="766">
        <f>'28'!F75</f>
        <v>10859.04</v>
      </c>
      <c r="F75" s="751">
        <v>10911.43</v>
      </c>
      <c r="G75" s="473">
        <f t="shared" si="6"/>
        <v>52.389999999999418</v>
      </c>
      <c r="H75" s="460">
        <f>G75+'28'!H75</f>
        <v>-58.569999999999709</v>
      </c>
      <c r="I75" s="480"/>
      <c r="J75" s="552">
        <f>H75/DAY(B2)</f>
        <v>-2.019655172413783</v>
      </c>
      <c r="K75" s="430"/>
      <c r="L75" s="377"/>
    </row>
    <row r="76" spans="1:12" ht="27.75">
      <c r="A76" s="1501" t="s">
        <v>195</v>
      </c>
      <c r="B76" s="1502"/>
      <c r="C76" s="1503"/>
      <c r="D76" s="523" t="s">
        <v>187</v>
      </c>
      <c r="E76" s="766">
        <f>'28'!F76</f>
        <v>5608.71</v>
      </c>
      <c r="F76" s="751">
        <v>5659.36</v>
      </c>
      <c r="G76" s="473">
        <f t="shared" si="6"/>
        <v>50.649999999999636</v>
      </c>
      <c r="H76" s="460">
        <f>G76+'28'!H76</f>
        <v>-57.590000000001055</v>
      </c>
      <c r="I76" s="505"/>
      <c r="J76" s="552">
        <f>H76/DAY(B2)</f>
        <v>-1.9858620689655537</v>
      </c>
      <c r="K76" s="430"/>
      <c r="L76" s="377"/>
    </row>
    <row r="77" spans="1:12" ht="27.75">
      <c r="A77" s="1504" t="s">
        <v>196</v>
      </c>
      <c r="B77" s="1505"/>
      <c r="C77" s="1506"/>
      <c r="D77" s="523" t="s">
        <v>187</v>
      </c>
      <c r="E77" s="766">
        <f>'28'!F77</f>
        <v>701463</v>
      </c>
      <c r="F77" s="751">
        <v>701513</v>
      </c>
      <c r="G77" s="655">
        <f t="shared" si="6"/>
        <v>50</v>
      </c>
      <c r="H77" s="460">
        <f>G77+'28'!H77</f>
        <v>-49</v>
      </c>
      <c r="I77" s="505"/>
      <c r="J77" s="552">
        <f>H77/DAY(B2)</f>
        <v>-1.6896551724137931</v>
      </c>
      <c r="K77" s="430"/>
      <c r="L77" s="377"/>
    </row>
    <row r="78" spans="1:12" ht="27.75">
      <c r="A78" s="1147" t="s">
        <v>197</v>
      </c>
      <c r="B78" s="1120"/>
      <c r="C78" s="1120"/>
      <c r="D78" s="523" t="s">
        <v>187</v>
      </c>
      <c r="E78" s="766">
        <f>'28'!F78</f>
        <v>669728</v>
      </c>
      <c r="F78" s="751">
        <v>669798</v>
      </c>
      <c r="G78" s="655">
        <f t="shared" si="6"/>
        <v>70</v>
      </c>
      <c r="H78" s="460">
        <f>G78+'28'!H78</f>
        <v>-227</v>
      </c>
      <c r="I78" s="505"/>
      <c r="J78" s="552">
        <f>H78/DAY(B2)</f>
        <v>-7.8275862068965516</v>
      </c>
      <c r="K78" s="430"/>
      <c r="L78" s="377"/>
    </row>
    <row r="79" spans="1:12" ht="27.75">
      <c r="A79" s="1501" t="s">
        <v>92</v>
      </c>
      <c r="B79" s="1502"/>
      <c r="C79" s="1503"/>
      <c r="D79" s="524" t="s">
        <v>187</v>
      </c>
      <c r="E79" s="766">
        <f>'28'!F79</f>
        <v>826413</v>
      </c>
      <c r="F79" s="752">
        <v>826590</v>
      </c>
      <c r="G79" s="473">
        <f t="shared" si="6"/>
        <v>177</v>
      </c>
      <c r="H79" s="460">
        <f>G79+'28'!H79</f>
        <v>-1141</v>
      </c>
      <c r="I79" s="505"/>
      <c r="J79" s="552">
        <f>H79/DAY(B2)</f>
        <v>-39.344827586206897</v>
      </c>
      <c r="K79" s="430"/>
      <c r="L79" s="377"/>
    </row>
    <row r="80" spans="1:12" ht="27.75">
      <c r="A80" s="1501" t="s">
        <v>198</v>
      </c>
      <c r="B80" s="1502"/>
      <c r="C80" s="1503"/>
      <c r="D80" s="524" t="s">
        <v>187</v>
      </c>
      <c r="E80" s="766">
        <f>'28'!F80</f>
        <v>515972.12</v>
      </c>
      <c r="F80" s="751">
        <v>516357.24</v>
      </c>
      <c r="G80" s="473">
        <f t="shared" si="6"/>
        <v>385.11999999999534</v>
      </c>
      <c r="H80" s="460">
        <f>G80+'28'!H80</f>
        <v>-3103.7600000000093</v>
      </c>
      <c r="I80" s="505"/>
      <c r="J80" s="552">
        <f>H80/DAY(B2)</f>
        <v>-107.02620689655204</v>
      </c>
      <c r="K80" s="430"/>
      <c r="L80" s="377"/>
    </row>
    <row r="81" spans="1:15" ht="27.75">
      <c r="A81" s="1501" t="s">
        <v>199</v>
      </c>
      <c r="B81" s="1502"/>
      <c r="C81" s="1503"/>
      <c r="D81" s="524" t="s">
        <v>187</v>
      </c>
      <c r="E81" s="766">
        <f>'28'!F81</f>
        <v>636330</v>
      </c>
      <c r="F81" s="751">
        <v>636404.12</v>
      </c>
      <c r="G81" s="473">
        <f t="shared" si="6"/>
        <v>74.119999999995343</v>
      </c>
      <c r="H81" s="460">
        <f>G81+'28'!H81</f>
        <v>-73.880000000004657</v>
      </c>
      <c r="I81" s="505"/>
      <c r="J81" s="552">
        <f>H81/DAY(B2)</f>
        <v>-2.5475862068967121</v>
      </c>
      <c r="K81" s="430"/>
      <c r="L81" s="377"/>
    </row>
    <row r="82" spans="1:15" ht="27.75">
      <c r="A82" s="1501" t="s">
        <v>93</v>
      </c>
      <c r="B82" s="1502"/>
      <c r="C82" s="1503"/>
      <c r="D82" s="485" t="s">
        <v>132</v>
      </c>
      <c r="E82" s="766">
        <f>'28'!F82</f>
        <v>107558.57</v>
      </c>
      <c r="F82" s="748">
        <v>107569.60000000001</v>
      </c>
      <c r="G82" s="473">
        <f t="shared" si="6"/>
        <v>11.029999999998836</v>
      </c>
      <c r="H82" s="460">
        <f>G82+'28'!H82</f>
        <v>-42.399999999994179</v>
      </c>
      <c r="I82" s="486"/>
      <c r="J82" s="552">
        <f>H82/DAY(B2)</f>
        <v>-1.4620689655170407</v>
      </c>
      <c r="K82" s="430"/>
      <c r="L82" s="377"/>
    </row>
    <row r="83" spans="1:15" ht="27.75">
      <c r="A83" s="1501" t="s">
        <v>200</v>
      </c>
      <c r="B83" s="1502"/>
      <c r="C83" s="1503"/>
      <c r="D83" s="620" t="s">
        <v>132</v>
      </c>
      <c r="E83" s="766">
        <f>'28'!F83</f>
        <v>14325</v>
      </c>
      <c r="F83" s="470">
        <v>14522</v>
      </c>
      <c r="G83" s="473">
        <f t="shared" si="6"/>
        <v>197</v>
      </c>
      <c r="H83" s="460">
        <f>G83+'28'!H83</f>
        <v>-249</v>
      </c>
      <c r="I83" s="481"/>
      <c r="J83" s="552">
        <f>H83/DAY(B2)</f>
        <v>-8.5862068965517242</v>
      </c>
      <c r="K83" s="429"/>
      <c r="L83" s="377"/>
    </row>
    <row r="84" spans="1:15">
      <c r="A84" s="1148" t="s">
        <v>201</v>
      </c>
      <c r="B84" s="571"/>
      <c r="C84" s="571"/>
      <c r="D84" s="478" t="s">
        <v>132</v>
      </c>
      <c r="E84" s="766">
        <f>'28'!F84</f>
        <v>478694</v>
      </c>
      <c r="F84" s="708">
        <v>479363</v>
      </c>
      <c r="G84" s="473">
        <f t="shared" si="6"/>
        <v>669</v>
      </c>
      <c r="H84" s="460">
        <f>G84+'28'!H84</f>
        <v>-770</v>
      </c>
      <c r="I84" s="481"/>
      <c r="J84" s="552">
        <f>H84/DAY(B2)</f>
        <v>-26.551724137931036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1796.8799999999887</v>
      </c>
      <c r="H85" s="460">
        <f>G85+'28'!H85</f>
        <v>-2146.7700000000082</v>
      </c>
      <c r="I85" s="481"/>
      <c r="J85" s="552">
        <f>H85/DAY(B2)</f>
        <v>-74.026551724138216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458937.88</v>
      </c>
      <c r="F86" s="753">
        <v>459096.76</v>
      </c>
      <c r="G86" s="708">
        <f t="shared" ref="G86:G90" si="7">F86-E86</f>
        <v>158.88000000000466</v>
      </c>
      <c r="H86" s="708">
        <f t="shared" ref="H86:H88" si="8">G86</f>
        <v>158.88000000000466</v>
      </c>
      <c r="I86" s="655"/>
      <c r="J86" s="710">
        <f>H86/DAY(B2)</f>
        <v>5.4786206896553331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80890.2</v>
      </c>
      <c r="F87" s="753">
        <v>80905</v>
      </c>
      <c r="G87" s="708">
        <f t="shared" si="7"/>
        <v>14.80000000000291</v>
      </c>
      <c r="H87" s="708">
        <f t="shared" si="8"/>
        <v>14.80000000000291</v>
      </c>
      <c r="I87" s="655"/>
      <c r="J87" s="710">
        <f>H87/DAY(B2)</f>
        <v>0.51034482758630728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151758.32999999999</v>
      </c>
      <c r="F88" s="753">
        <v>151781</v>
      </c>
      <c r="G88" s="708">
        <f t="shared" si="7"/>
        <v>22.670000000012806</v>
      </c>
      <c r="H88" s="708">
        <f t="shared" si="8"/>
        <v>22.670000000012806</v>
      </c>
      <c r="I88" s="655"/>
      <c r="J88" s="710">
        <f>H88/DAY(B2)</f>
        <v>0.7817241379314761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64760.9</v>
      </c>
      <c r="F89" s="650">
        <v>64803.8</v>
      </c>
      <c r="G89" s="708">
        <f t="shared" si="7"/>
        <v>42.900000000001455</v>
      </c>
      <c r="H89" s="708">
        <f>G89</f>
        <v>42.900000000001455</v>
      </c>
      <c r="I89" s="655"/>
      <c r="J89" s="710">
        <f>H89/DAY(B2)</f>
        <v>1.4793103448276363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3272.4</v>
      </c>
      <c r="F90" s="650">
        <v>3272.4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738" customFormat="1">
      <c r="A91" s="733" t="s">
        <v>365</v>
      </c>
      <c r="B91" s="734"/>
      <c r="C91" s="734"/>
      <c r="D91" s="735"/>
      <c r="E91" s="708">
        <f>'28'!F91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>
      <c r="A92" s="606" t="s">
        <v>205</v>
      </c>
      <c r="B92" s="1150"/>
      <c r="C92" s="1150"/>
      <c r="D92" s="472"/>
      <c r="E92" s="742"/>
      <c r="F92" s="742"/>
      <c r="G92" s="488"/>
      <c r="H92" s="472"/>
      <c r="I92" s="472"/>
      <c r="J92" s="551"/>
      <c r="K92" s="380"/>
      <c r="L92" s="378"/>
      <c r="N92" s="773"/>
      <c r="O92" s="773"/>
    </row>
    <row r="93" spans="1:15" ht="27.75">
      <c r="A93" s="1525" t="s">
        <v>206</v>
      </c>
      <c r="B93" s="1526"/>
      <c r="C93" s="1527"/>
      <c r="D93" s="523" t="s">
        <v>144</v>
      </c>
      <c r="E93" s="762">
        <f>'28'!F93</f>
        <v>244451</v>
      </c>
      <c r="F93" s="741">
        <v>244468</v>
      </c>
      <c r="G93" s="473">
        <f>F93-E93</f>
        <v>17</v>
      </c>
      <c r="H93" s="460">
        <f>G93+'28'!H93</f>
        <v>-56</v>
      </c>
      <c r="I93" s="480"/>
      <c r="J93" s="552">
        <f>H93/DAY(B2)</f>
        <v>-1.9310344827586208</v>
      </c>
      <c r="K93" s="429"/>
      <c r="L93" s="377"/>
    </row>
    <row r="94" spans="1:15" ht="27.75">
      <c r="A94" s="1525" t="s">
        <v>207</v>
      </c>
      <c r="B94" s="1526"/>
      <c r="C94" s="1527"/>
      <c r="D94" s="523" t="s">
        <v>144</v>
      </c>
      <c r="E94" s="762">
        <f>'28'!F94</f>
        <v>183394</v>
      </c>
      <c r="F94" s="741">
        <v>183446</v>
      </c>
      <c r="G94" s="473">
        <f>F94-E94</f>
        <v>52</v>
      </c>
      <c r="H94" s="460">
        <f>G94+'28'!H94</f>
        <v>-85</v>
      </c>
      <c r="I94" s="480"/>
      <c r="J94" s="552">
        <f>H94/DAY(B2)</f>
        <v>-2.9310344827586206</v>
      </c>
      <c r="K94" s="380"/>
      <c r="L94" s="377"/>
    </row>
    <row r="95" spans="1:15">
      <c r="A95" s="1553" t="s">
        <v>208</v>
      </c>
      <c r="B95" s="1554"/>
      <c r="C95" s="1555"/>
      <c r="D95" s="523"/>
      <c r="E95" s="762"/>
      <c r="F95" s="741"/>
      <c r="G95" s="473">
        <f>G93+G94</f>
        <v>69</v>
      </c>
      <c r="H95" s="460">
        <f>G95+'28'!H95</f>
        <v>-288</v>
      </c>
      <c r="I95" s="480"/>
      <c r="J95" s="552">
        <f>H95/DAY(B2)</f>
        <v>-9.931034482758621</v>
      </c>
      <c r="K95" s="380"/>
      <c r="L95" s="377"/>
    </row>
    <row r="96" spans="1:15" ht="27.75">
      <c r="A96" s="1525" t="s">
        <v>209</v>
      </c>
      <c r="B96" s="1526"/>
      <c r="C96" s="1527"/>
      <c r="D96" s="523" t="s">
        <v>144</v>
      </c>
      <c r="E96" s="762">
        <f>'28'!F96</f>
        <v>412753</v>
      </c>
      <c r="F96" s="741">
        <v>412812</v>
      </c>
      <c r="G96" s="473">
        <f t="shared" ref="G96:G101" si="9">F96-E96</f>
        <v>59</v>
      </c>
      <c r="H96" s="460">
        <f>G96+'28'!H96</f>
        <v>-74</v>
      </c>
      <c r="I96" s="480"/>
      <c r="J96" s="552">
        <f>H96/DAY(B2)</f>
        <v>-2.5517241379310347</v>
      </c>
      <c r="K96" s="380"/>
      <c r="L96" s="377"/>
    </row>
    <row r="97" spans="1:15" ht="27.75">
      <c r="A97" s="1144" t="s">
        <v>210</v>
      </c>
      <c r="B97" s="1145"/>
      <c r="C97" s="1145"/>
      <c r="D97" s="523" t="s">
        <v>144</v>
      </c>
      <c r="E97" s="762">
        <f>'28'!F97</f>
        <v>102327</v>
      </c>
      <c r="F97" s="741">
        <v>102333</v>
      </c>
      <c r="G97" s="473">
        <f t="shared" si="9"/>
        <v>6</v>
      </c>
      <c r="H97" s="460">
        <f>G97+'28'!H97</f>
        <v>-10</v>
      </c>
      <c r="I97" s="480"/>
      <c r="J97" s="552">
        <f>H97/DAY(B2)</f>
        <v>-0.34482758620689657</v>
      </c>
      <c r="K97" s="427"/>
      <c r="L97" s="377"/>
    </row>
    <row r="98" spans="1:15" ht="27.75">
      <c r="A98" s="1144" t="s">
        <v>211</v>
      </c>
      <c r="B98" s="1145"/>
      <c r="C98" s="1145"/>
      <c r="D98" s="523" t="s">
        <v>144</v>
      </c>
      <c r="E98" s="762">
        <f>'28'!F98</f>
        <v>97397</v>
      </c>
      <c r="F98" s="741">
        <v>97411</v>
      </c>
      <c r="G98" s="473">
        <f t="shared" si="9"/>
        <v>14</v>
      </c>
      <c r="H98" s="460">
        <f>G98+'28'!H98</f>
        <v>-16</v>
      </c>
      <c r="I98" s="480"/>
      <c r="J98" s="552">
        <f>H98/DAY(B2)</f>
        <v>-0.55172413793103448</v>
      </c>
      <c r="K98" s="432"/>
      <c r="L98" s="377"/>
    </row>
    <row r="99" spans="1:15" ht="27.75">
      <c r="A99" s="1144" t="s">
        <v>212</v>
      </c>
      <c r="B99" s="1145"/>
      <c r="C99" s="1145"/>
      <c r="D99" s="523" t="s">
        <v>144</v>
      </c>
      <c r="E99" s="762">
        <f>'28'!F99</f>
        <v>149519</v>
      </c>
      <c r="F99" s="741">
        <v>149525</v>
      </c>
      <c r="G99" s="473">
        <f t="shared" si="9"/>
        <v>6</v>
      </c>
      <c r="H99" s="460">
        <f>G99+'28'!H99</f>
        <v>-8</v>
      </c>
      <c r="I99" s="480"/>
      <c r="J99" s="552">
        <f>H99/DAY(B2)</f>
        <v>-0.27586206896551724</v>
      </c>
      <c r="K99" s="380"/>
      <c r="L99" s="377"/>
    </row>
    <row r="100" spans="1:15" ht="27.75">
      <c r="A100" s="1144" t="s">
        <v>213</v>
      </c>
      <c r="B100" s="1145"/>
      <c r="C100" s="1145"/>
      <c r="D100" s="523" t="s">
        <v>144</v>
      </c>
      <c r="E100" s="762">
        <f>'28'!F100</f>
        <v>7178</v>
      </c>
      <c r="F100" s="741">
        <v>7181</v>
      </c>
      <c r="G100" s="473">
        <f t="shared" si="9"/>
        <v>3</v>
      </c>
      <c r="H100" s="460">
        <f>G100+'28'!H100</f>
        <v>-4</v>
      </c>
      <c r="I100" s="480"/>
      <c r="J100" s="552">
        <f>H100/DAY(B2)</f>
        <v>-0.13793103448275862</v>
      </c>
      <c r="K100" s="380"/>
      <c r="L100" s="377"/>
    </row>
    <row r="101" spans="1:15" ht="27.75">
      <c r="A101" s="1144" t="s">
        <v>214</v>
      </c>
      <c r="B101" s="1145"/>
      <c r="C101" s="1145"/>
      <c r="D101" s="523" t="s">
        <v>144</v>
      </c>
      <c r="E101" s="762">
        <f>'28'!F101</f>
        <v>5130</v>
      </c>
      <c r="F101" s="741">
        <v>5133</v>
      </c>
      <c r="G101" s="473">
        <f t="shared" si="9"/>
        <v>3</v>
      </c>
      <c r="H101" s="460">
        <f>G101+'28'!H101</f>
        <v>-5</v>
      </c>
      <c r="I101" s="480"/>
      <c r="J101" s="552">
        <f>H101/DAY(B2)</f>
        <v>-0.17241379310344829</v>
      </c>
      <c r="K101" s="380"/>
      <c r="L101" s="377"/>
    </row>
    <row r="102" spans="1:15">
      <c r="A102" s="1553" t="s">
        <v>216</v>
      </c>
      <c r="B102" s="1554"/>
      <c r="C102" s="1555"/>
      <c r="D102" s="524"/>
      <c r="E102" s="486"/>
      <c r="F102" s="486"/>
      <c r="G102" s="525">
        <f>SUM(G96:G101)</f>
        <v>91</v>
      </c>
      <c r="H102" s="460">
        <f>G102+'28'!H102</f>
        <v>-117</v>
      </c>
      <c r="I102" s="526"/>
      <c r="J102" s="552">
        <f>H102/DAY(B2)</f>
        <v>-4.0344827586206895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8"/>
      <c r="F103" s="754"/>
      <c r="G103" s="529"/>
      <c r="H103" s="530"/>
      <c r="I103" s="531"/>
      <c r="J103" s="557"/>
      <c r="N103" s="773"/>
      <c r="O103" s="773"/>
    </row>
    <row r="104" spans="1:15" s="442" customFormat="1" ht="27">
      <c r="A104" s="1556" t="s">
        <v>218</v>
      </c>
      <c r="B104" s="1557"/>
      <c r="C104" s="573"/>
      <c r="D104" s="622"/>
      <c r="E104" s="533"/>
      <c r="F104" s="755"/>
      <c r="G104" s="532"/>
      <c r="H104" s="533"/>
      <c r="I104" s="532"/>
      <c r="J104" s="558"/>
      <c r="N104" s="773"/>
      <c r="O104" s="773"/>
    </row>
    <row r="105" spans="1:15" s="442" customFormat="1" ht="27">
      <c r="A105" s="1517" t="s">
        <v>219</v>
      </c>
      <c r="B105" s="1518"/>
      <c r="C105" s="1143"/>
      <c r="D105" s="622" t="s">
        <v>144</v>
      </c>
      <c r="E105" s="533">
        <f>'28'!F105</f>
        <v>7431</v>
      </c>
      <c r="F105" s="755">
        <v>7431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3"/>
      <c r="O105" s="773"/>
    </row>
    <row r="106" spans="1:15" s="442" customFormat="1" ht="27">
      <c r="A106" s="1517" t="s">
        <v>77</v>
      </c>
      <c r="B106" s="1518"/>
      <c r="C106" s="1143"/>
      <c r="D106" s="622" t="s">
        <v>144</v>
      </c>
      <c r="E106" s="533">
        <f>'28'!F106</f>
        <v>35819</v>
      </c>
      <c r="F106" s="663">
        <v>35828</v>
      </c>
      <c r="G106" s="532">
        <f t="shared" ref="G106:G107" si="10">F106-E106</f>
        <v>9</v>
      </c>
      <c r="H106" s="533">
        <f>SUM(G106+'1'!G77)</f>
        <v>59</v>
      </c>
      <c r="I106" s="532"/>
      <c r="J106" s="558">
        <f>H106/DAY(B2)</f>
        <v>2.0344827586206895</v>
      </c>
      <c r="N106" s="773"/>
      <c r="O106" s="773"/>
    </row>
    <row r="107" spans="1:15" s="442" customFormat="1" ht="27">
      <c r="A107" s="1517" t="s">
        <v>78</v>
      </c>
      <c r="B107" s="1558"/>
      <c r="C107" s="1518"/>
      <c r="D107" s="622" t="s">
        <v>144</v>
      </c>
      <c r="E107" s="533">
        <f>'28'!F107</f>
        <v>19607</v>
      </c>
      <c r="F107" s="663">
        <v>19614</v>
      </c>
      <c r="G107" s="532">
        <f t="shared" si="10"/>
        <v>7</v>
      </c>
      <c r="H107" s="533">
        <f>SUM(G107+'1'!G78)</f>
        <v>131</v>
      </c>
      <c r="I107" s="532"/>
      <c r="J107" s="558">
        <f>H107/DAY(B2)</f>
        <v>4.5172413793103452</v>
      </c>
      <c r="N107" s="773"/>
      <c r="O107" s="773"/>
    </row>
    <row r="108" spans="1:15" s="442" customFormat="1" ht="27">
      <c r="A108" s="1519" t="s">
        <v>202</v>
      </c>
      <c r="B108" s="1520"/>
      <c r="C108" s="1143"/>
      <c r="D108" s="622"/>
      <c r="E108" s="533">
        <f>'28'!F108</f>
        <v>0</v>
      </c>
      <c r="F108" s="663"/>
      <c r="G108" s="532">
        <f>SUM(G105:G107)</f>
        <v>16</v>
      </c>
      <c r="H108" s="533">
        <f>SUM(G108+'1'!G79)</f>
        <v>205</v>
      </c>
      <c r="I108" s="532"/>
      <c r="J108" s="558">
        <f>H108/DAY(B2)</f>
        <v>7.068965517241379</v>
      </c>
      <c r="N108" s="773"/>
      <c r="O108" s="773"/>
    </row>
    <row r="109" spans="1:15" s="442" customFormat="1" ht="27">
      <c r="A109" s="1523" t="s">
        <v>79</v>
      </c>
      <c r="B109" s="1524"/>
      <c r="C109" s="1143"/>
      <c r="D109" s="622" t="s">
        <v>144</v>
      </c>
      <c r="E109" s="533">
        <f>'28'!F109</f>
        <v>0</v>
      </c>
      <c r="F109" s="663"/>
      <c r="G109" s="532"/>
      <c r="H109" s="533"/>
      <c r="I109" s="532"/>
      <c r="J109" s="558"/>
      <c r="N109" s="773"/>
      <c r="O109" s="773"/>
    </row>
    <row r="110" spans="1:15" s="442" customFormat="1" ht="27">
      <c r="A110" s="1517" t="s">
        <v>220</v>
      </c>
      <c r="B110" s="1518"/>
      <c r="C110" s="1143"/>
      <c r="D110" s="622" t="s">
        <v>144</v>
      </c>
      <c r="E110" s="533">
        <f>'28'!F110</f>
        <v>60994</v>
      </c>
      <c r="F110" s="663">
        <v>61077</v>
      </c>
      <c r="G110" s="532">
        <f>F110-E110</f>
        <v>83</v>
      </c>
      <c r="H110" s="533">
        <f>SUM(G110+'1'!G81)</f>
        <v>164</v>
      </c>
      <c r="I110" s="532"/>
      <c r="J110" s="558">
        <f>H110/DAY(B2)</f>
        <v>5.6551724137931032</v>
      </c>
      <c r="N110" s="773"/>
      <c r="O110" s="773"/>
    </row>
    <row r="111" spans="1:15" s="442" customFormat="1" ht="27">
      <c r="A111" s="1517" t="s">
        <v>221</v>
      </c>
      <c r="B111" s="1518"/>
      <c r="C111" s="1143"/>
      <c r="D111" s="622" t="s">
        <v>144</v>
      </c>
      <c r="E111" s="533">
        <f>'28'!F111</f>
        <v>32213</v>
      </c>
      <c r="F111" s="663">
        <v>32235</v>
      </c>
      <c r="G111" s="532">
        <f t="shared" ref="G111:G112" si="11">F111-E111</f>
        <v>22</v>
      </c>
      <c r="H111" s="533">
        <f>SUM(G111+'1'!G82)</f>
        <v>34</v>
      </c>
      <c r="I111" s="532"/>
      <c r="J111" s="558">
        <f>H111/DAY(B2)</f>
        <v>1.1724137931034482</v>
      </c>
      <c r="N111" s="773"/>
      <c r="O111" s="773"/>
    </row>
    <row r="112" spans="1:15" s="442" customFormat="1" ht="27">
      <c r="A112" s="1517" t="s">
        <v>222</v>
      </c>
      <c r="B112" s="1518"/>
      <c r="C112" s="1143"/>
      <c r="D112" s="622" t="s">
        <v>144</v>
      </c>
      <c r="E112" s="533">
        <f>'28'!F112</f>
        <v>4363</v>
      </c>
      <c r="F112" s="663">
        <v>4368</v>
      </c>
      <c r="G112" s="534">
        <f t="shared" si="11"/>
        <v>5</v>
      </c>
      <c r="H112" s="533">
        <f>SUM(G112+'1'!G83)</f>
        <v>260</v>
      </c>
      <c r="I112" s="532"/>
      <c r="J112" s="558">
        <f>H112/DAY(B2)</f>
        <v>8.9655172413793096</v>
      </c>
      <c r="N112" s="773"/>
      <c r="O112" s="773"/>
    </row>
    <row r="113" spans="1:15" s="442" customFormat="1" ht="27">
      <c r="A113" s="1519" t="s">
        <v>110</v>
      </c>
      <c r="B113" s="1520"/>
      <c r="C113" s="1143"/>
      <c r="D113" s="622"/>
      <c r="E113" s="533">
        <f>'28'!F113</f>
        <v>0</v>
      </c>
      <c r="F113" s="663"/>
      <c r="G113" s="532">
        <f>SUM(G110:G112)</f>
        <v>110</v>
      </c>
      <c r="H113" s="533">
        <f>SUM(G113+'1'!G84)</f>
        <v>825</v>
      </c>
      <c r="I113" s="532"/>
      <c r="J113" s="558">
        <f>H113/DAY(B2)</f>
        <v>28.448275862068964</v>
      </c>
      <c r="N113" s="773"/>
      <c r="O113" s="773"/>
    </row>
    <row r="114" spans="1:15" s="442" customFormat="1" ht="27">
      <c r="A114" s="1523" t="s">
        <v>223</v>
      </c>
      <c r="B114" s="1524"/>
      <c r="C114" s="1143"/>
      <c r="D114" s="622"/>
      <c r="E114" s="533">
        <f>'28'!F114</f>
        <v>0</v>
      </c>
      <c r="F114" s="663"/>
      <c r="G114" s="532"/>
      <c r="H114" s="533"/>
      <c r="I114" s="532"/>
      <c r="J114" s="558">
        <f>H114/DAY(B2)</f>
        <v>0</v>
      </c>
      <c r="N114" s="773"/>
      <c r="O114" s="773"/>
    </row>
    <row r="115" spans="1:15" s="442" customFormat="1" ht="27">
      <c r="A115" s="1517" t="s">
        <v>224</v>
      </c>
      <c r="B115" s="1518"/>
      <c r="C115" s="574"/>
      <c r="D115" s="622" t="s">
        <v>144</v>
      </c>
      <c r="E115" s="533">
        <f>'28'!F115</f>
        <v>11249</v>
      </c>
      <c r="F115" s="663">
        <v>11254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0.17241379310344829</v>
      </c>
      <c r="N115" s="773"/>
      <c r="O115" s="773"/>
    </row>
    <row r="116" spans="1:15" s="442" customFormat="1" ht="27">
      <c r="A116" s="1517" t="s">
        <v>225</v>
      </c>
      <c r="B116" s="1518"/>
      <c r="C116" s="574"/>
      <c r="D116" s="622" t="s">
        <v>144</v>
      </c>
      <c r="E116" s="533">
        <f>'28'!F116</f>
        <v>8121</v>
      </c>
      <c r="F116" s="663">
        <v>8123</v>
      </c>
      <c r="G116" s="534">
        <f t="shared" ref="G116:G117" si="12">F116-E116</f>
        <v>2</v>
      </c>
      <c r="H116" s="533">
        <f>SUM(G116+'1'!G93)</f>
        <v>54</v>
      </c>
      <c r="I116" s="532"/>
      <c r="J116" s="558">
        <f>H116/DAY(B2)</f>
        <v>1.8620689655172413</v>
      </c>
      <c r="N116" s="773"/>
      <c r="O116" s="773"/>
    </row>
    <row r="117" spans="1:15" s="442" customFormat="1" ht="27">
      <c r="A117" s="1517" t="s">
        <v>226</v>
      </c>
      <c r="B117" s="1518"/>
      <c r="C117" s="574"/>
      <c r="D117" s="622" t="s">
        <v>144</v>
      </c>
      <c r="E117" s="536"/>
      <c r="F117" s="663"/>
      <c r="G117" s="534">
        <f t="shared" si="12"/>
        <v>0</v>
      </c>
      <c r="H117" s="533">
        <f>SUM(G117+'1'!G94)</f>
        <v>95</v>
      </c>
      <c r="I117" s="532"/>
      <c r="J117" s="558">
        <f>H117/DAY(B2)</f>
        <v>3.2758620689655173</v>
      </c>
      <c r="N117" s="773"/>
      <c r="O117" s="773"/>
    </row>
    <row r="118" spans="1:15" s="445" customFormat="1" ht="27">
      <c r="A118" s="1519" t="s">
        <v>202</v>
      </c>
      <c r="B118" s="1520"/>
      <c r="C118" s="574"/>
      <c r="D118" s="623"/>
      <c r="E118" s="536"/>
      <c r="F118" s="663"/>
      <c r="G118" s="534">
        <f>SUM(G115:G117)</f>
        <v>7</v>
      </c>
      <c r="H118" s="533">
        <f>SUM(G118+'1'!G96)</f>
        <v>79</v>
      </c>
      <c r="I118" s="534"/>
      <c r="J118" s="558">
        <f>H118/DAY(B2)</f>
        <v>2.7241379310344827</v>
      </c>
      <c r="N118" s="773"/>
      <c r="O118" s="774"/>
    </row>
    <row r="119" spans="1:15" s="446" customFormat="1" ht="27">
      <c r="A119" s="1513" t="s">
        <v>227</v>
      </c>
      <c r="B119" s="1514"/>
      <c r="C119" s="1141"/>
      <c r="D119" s="624" t="s">
        <v>144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2.896551724137931</v>
      </c>
      <c r="N119" s="773"/>
      <c r="O119" s="774"/>
    </row>
    <row r="120" spans="1:15" s="446" customFormat="1" ht="27">
      <c r="A120" s="1513" t="s">
        <v>228</v>
      </c>
      <c r="B120" s="1514"/>
      <c r="C120" s="1141"/>
      <c r="D120" s="624" t="s">
        <v>144</v>
      </c>
      <c r="E120" s="536"/>
      <c r="F120" s="663"/>
      <c r="G120" s="536">
        <f>SUM(G96,G97,G98,G100,G101)</f>
        <v>85</v>
      </c>
      <c r="H120" s="533">
        <f>SUM(G120+'1'!G99)</f>
        <v>90</v>
      </c>
      <c r="I120" s="535"/>
      <c r="J120" s="559">
        <f>H120/DAY(B2)</f>
        <v>3.103448275862069</v>
      </c>
      <c r="N120" s="773"/>
      <c r="O120" s="774"/>
    </row>
    <row r="121" spans="1:15" s="446" customFormat="1" ht="27">
      <c r="A121" s="1513" t="s">
        <v>229</v>
      </c>
      <c r="B121" s="1514"/>
      <c r="C121" s="1141"/>
      <c r="D121" s="624" t="s">
        <v>144</v>
      </c>
      <c r="E121" s="536"/>
      <c r="F121" s="663"/>
      <c r="G121" s="534">
        <f>SUM(G113)</f>
        <v>110</v>
      </c>
      <c r="H121" s="533">
        <f>SUM(G121+'1'!G101)</f>
        <v>116</v>
      </c>
      <c r="I121" s="535"/>
      <c r="J121" s="559">
        <f>H121/DAY(B2)</f>
        <v>4</v>
      </c>
      <c r="N121" s="773"/>
      <c r="O121" s="774"/>
    </row>
    <row r="122" spans="1:15" s="442" customFormat="1" ht="27">
      <c r="A122" s="1515"/>
      <c r="B122" s="1516"/>
      <c r="C122" s="1142"/>
      <c r="D122" s="560"/>
      <c r="E122" s="769"/>
      <c r="F122" s="756"/>
      <c r="G122" s="560"/>
      <c r="H122" s="561"/>
      <c r="I122" s="560"/>
      <c r="J122" s="562"/>
      <c r="N122" s="773"/>
      <c r="O122" s="773"/>
    </row>
    <row r="123" spans="1:15">
      <c r="A123" s="1550" t="s">
        <v>230</v>
      </c>
      <c r="B123" s="1551"/>
      <c r="C123" s="1552"/>
      <c r="D123" s="472"/>
      <c r="E123" s="742"/>
      <c r="F123" s="742"/>
      <c r="G123" s="483"/>
      <c r="H123" s="483"/>
      <c r="I123" s="483"/>
      <c r="J123" s="563"/>
      <c r="K123" s="380"/>
      <c r="L123" s="377"/>
    </row>
    <row r="124" spans="1:15" ht="27.75">
      <c r="A124" s="1144" t="s">
        <v>231</v>
      </c>
      <c r="B124" s="1145"/>
      <c r="C124" s="1145"/>
      <c r="D124" s="523" t="s">
        <v>141</v>
      </c>
      <c r="E124" s="741">
        <f>'28'!F124</f>
        <v>825693.48</v>
      </c>
      <c r="F124" s="741">
        <v>825896.04</v>
      </c>
      <c r="G124" s="473">
        <f t="shared" ref="G124:G128" si="13">F124-E124</f>
        <v>202.56000000005588</v>
      </c>
      <c r="H124" s="460">
        <f>G124+'28'!H124</f>
        <v>-192.41999999992549</v>
      </c>
      <c r="I124" s="526"/>
      <c r="J124" s="552">
        <f>H124/DAY(B2)</f>
        <v>-6.6351724137905341</v>
      </c>
      <c r="K124" s="380"/>
      <c r="L124" s="377"/>
    </row>
    <row r="125" spans="1:15" ht="27.75">
      <c r="A125" s="1144" t="s">
        <v>232</v>
      </c>
      <c r="B125" s="1145"/>
      <c r="C125" s="1145"/>
      <c r="D125" s="523" t="s">
        <v>141</v>
      </c>
      <c r="E125" s="741">
        <f>'28'!F125</f>
        <v>73583.399999999994</v>
      </c>
      <c r="F125" s="757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04" t="s">
        <v>233</v>
      </c>
      <c r="B126" s="1505"/>
      <c r="C126" s="1506"/>
      <c r="D126" s="523" t="s">
        <v>141</v>
      </c>
      <c r="E126" s="741">
        <f>'28'!F126</f>
        <v>144542</v>
      </c>
      <c r="F126" s="741">
        <v>144610</v>
      </c>
      <c r="G126" s="473">
        <f t="shared" si="13"/>
        <v>68</v>
      </c>
      <c r="H126" s="460">
        <f>G126+'28'!H126</f>
        <v>-77.440000000002328</v>
      </c>
      <c r="I126" s="526"/>
      <c r="J126" s="552">
        <f>H126/DAY(B2)</f>
        <v>-2.6703448275862871</v>
      </c>
      <c r="K126" s="380"/>
      <c r="L126" s="377"/>
    </row>
    <row r="127" spans="1:15" ht="27.75">
      <c r="A127" s="609" t="s">
        <v>234</v>
      </c>
      <c r="B127" s="1145"/>
      <c r="C127" s="1145"/>
      <c r="D127" s="523" t="s">
        <v>141</v>
      </c>
      <c r="E127" s="741">
        <f>'28'!F127</f>
        <v>31404</v>
      </c>
      <c r="F127" s="757">
        <v>31404</v>
      </c>
      <c r="G127" s="473">
        <f t="shared" si="13"/>
        <v>0</v>
      </c>
      <c r="H127" s="460">
        <f>G127+'28'!H127</f>
        <v>0</v>
      </c>
      <c r="I127" s="526"/>
      <c r="J127" s="552">
        <f>H127/DAY(B2)</f>
        <v>0</v>
      </c>
      <c r="K127" s="380"/>
      <c r="L127" s="377"/>
    </row>
    <row r="128" spans="1:15" ht="27.75">
      <c r="A128" s="609" t="s">
        <v>235</v>
      </c>
      <c r="B128" s="1145"/>
      <c r="C128" s="1145"/>
      <c r="D128" s="523" t="s">
        <v>141</v>
      </c>
      <c r="E128" s="741">
        <f>'28'!F128</f>
        <v>8970</v>
      </c>
      <c r="F128" s="757">
        <v>8969.7000000000007</v>
      </c>
      <c r="G128" s="473">
        <f t="shared" si="13"/>
        <v>-0.2999999999992724</v>
      </c>
      <c r="H128" s="460">
        <f>G128+'28'!H128</f>
        <v>0</v>
      </c>
      <c r="I128" s="480"/>
      <c r="J128" s="552">
        <f>H128/DAY(B2)</f>
        <v>0</v>
      </c>
      <c r="K128" s="380"/>
      <c r="L128" s="377"/>
    </row>
    <row r="129" spans="1:15" s="281" customFormat="1" ht="27">
      <c r="A129" s="609" t="s">
        <v>236</v>
      </c>
      <c r="B129" s="1145"/>
      <c r="C129" s="1145"/>
      <c r="D129" s="523"/>
      <c r="E129" s="741"/>
      <c r="F129" s="741"/>
      <c r="G129" s="473">
        <f>G15-SUM(G124:G128)</f>
        <v>373.16999999996551</v>
      </c>
      <c r="H129" s="460"/>
      <c r="I129" s="480"/>
      <c r="J129" s="552"/>
      <c r="K129" s="364"/>
      <c r="L129" s="292"/>
      <c r="N129" s="773"/>
      <c r="O129" s="773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4" t="s">
        <v>238</v>
      </c>
      <c r="B131" s="1145"/>
      <c r="C131" s="1145"/>
      <c r="D131" s="523" t="s">
        <v>239</v>
      </c>
      <c r="E131" s="762">
        <f>'28'!F131</f>
        <v>0</v>
      </c>
      <c r="F131" s="741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4" t="s">
        <v>240</v>
      </c>
      <c r="B132" s="1145"/>
      <c r="C132" s="1145"/>
      <c r="D132" s="523" t="s">
        <v>239</v>
      </c>
      <c r="E132" s="762">
        <f>'28'!F132</f>
        <v>0</v>
      </c>
      <c r="F132" s="741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4" t="s">
        <v>241</v>
      </c>
      <c r="B133" s="1145"/>
      <c r="C133" s="1145"/>
      <c r="D133" s="523" t="s">
        <v>239</v>
      </c>
      <c r="E133" s="771">
        <f>'28'!F133</f>
        <v>39703.89</v>
      </c>
      <c r="F133" s="757">
        <v>39728.32</v>
      </c>
      <c r="G133" s="473">
        <f t="shared" si="14"/>
        <v>24.430000000000291</v>
      </c>
      <c r="H133" s="460">
        <f>G133+'28'!H133</f>
        <v>-18.160000000003492</v>
      </c>
      <c r="I133" s="480"/>
      <c r="J133" s="552">
        <f>H133/DAY(B2)</f>
        <v>-0.62620689655184458</v>
      </c>
    </row>
    <row r="134" spans="1:15" ht="27.75">
      <c r="A134" s="1144" t="s">
        <v>242</v>
      </c>
      <c r="B134" s="1145"/>
      <c r="C134" s="1145"/>
      <c r="D134" s="523" t="s">
        <v>239</v>
      </c>
      <c r="E134" s="771">
        <f>'28'!F134</f>
        <v>300</v>
      </c>
      <c r="F134" s="757">
        <v>300</v>
      </c>
      <c r="G134" s="473">
        <f t="shared" si="14"/>
        <v>0</v>
      </c>
      <c r="H134" s="460">
        <f>G134+'28'!H134</f>
        <v>0</v>
      </c>
      <c r="I134" s="480">
        <f>G131+G132+G133+G134</f>
        <v>24.430000000000291</v>
      </c>
      <c r="J134" s="552">
        <f>H134/DAY(B2)</f>
        <v>0</v>
      </c>
    </row>
    <row r="135" spans="1:15" ht="27.75">
      <c r="A135" s="1144" t="s">
        <v>243</v>
      </c>
      <c r="B135" s="1145"/>
      <c r="C135" s="1145"/>
      <c r="D135" s="523" t="s">
        <v>239</v>
      </c>
      <c r="E135" s="771">
        <f>'28'!F135</f>
        <v>41377</v>
      </c>
      <c r="F135" s="757">
        <v>41377</v>
      </c>
      <c r="G135" s="473">
        <f t="shared" si="14"/>
        <v>0</v>
      </c>
      <c r="H135" s="460">
        <f>G135+'28'!H135</f>
        <v>106</v>
      </c>
      <c r="I135" s="480"/>
      <c r="J135" s="552">
        <f>H135/DAY(B2)</f>
        <v>3.6551724137931036</v>
      </c>
    </row>
    <row r="136" spans="1:15" ht="27.75">
      <c r="A136" s="1144" t="s">
        <v>244</v>
      </c>
      <c r="B136" s="1145"/>
      <c r="C136" s="1145"/>
      <c r="D136" s="523" t="s">
        <v>239</v>
      </c>
      <c r="E136" s="767">
        <f>'28'!F136</f>
        <v>32583.09</v>
      </c>
      <c r="F136" s="744">
        <v>32583</v>
      </c>
      <c r="G136" s="473">
        <f t="shared" si="14"/>
        <v>-9.0000000000145519E-2</v>
      </c>
      <c r="H136" s="460">
        <f>G136+'28'!H136</f>
        <v>13.069999999999709</v>
      </c>
      <c r="I136" s="480"/>
      <c r="J136" s="552">
        <f>H136/DAY(B2)</f>
        <v>0.45068965517240378</v>
      </c>
    </row>
    <row r="137" spans="1:15" ht="27.75">
      <c r="A137" s="1144" t="s">
        <v>245</v>
      </c>
      <c r="B137" s="1145"/>
      <c r="C137" s="1145"/>
      <c r="D137" s="523" t="s">
        <v>239</v>
      </c>
      <c r="E137" s="770">
        <f>'28'!F137</f>
        <v>22732.06</v>
      </c>
      <c r="F137" s="748">
        <v>22739.59</v>
      </c>
      <c r="G137" s="473">
        <f t="shared" si="14"/>
        <v>7.5299999999988358</v>
      </c>
      <c r="H137" s="460">
        <f>G137+'28'!H137</f>
        <v>0</v>
      </c>
      <c r="I137" s="480">
        <f>G135+G136+G137</f>
        <v>7.4399999999986903</v>
      </c>
      <c r="J137" s="552">
        <f>H137/DAY(B2)</f>
        <v>0</v>
      </c>
    </row>
    <row r="138" spans="1:15" ht="27.75">
      <c r="A138" s="1144" t="s">
        <v>246</v>
      </c>
      <c r="B138" s="1145"/>
      <c r="C138" s="1145"/>
      <c r="D138" s="523" t="s">
        <v>239</v>
      </c>
      <c r="E138" s="770">
        <f>'28'!F138</f>
        <v>25051.49</v>
      </c>
      <c r="F138" s="748">
        <v>25051.59</v>
      </c>
      <c r="G138" s="473">
        <f t="shared" si="14"/>
        <v>9.9999999998544808E-2</v>
      </c>
      <c r="H138" s="460">
        <f>G138+'28'!H138</f>
        <v>8.0999999999985448</v>
      </c>
      <c r="I138" s="480"/>
      <c r="J138" s="552">
        <f>H138/DAY(B2)</f>
        <v>0.27931034482753603</v>
      </c>
    </row>
    <row r="139" spans="1:15" ht="27.75">
      <c r="A139" s="1144" t="s">
        <v>247</v>
      </c>
      <c r="B139" s="1145"/>
      <c r="C139" s="1145"/>
      <c r="D139" s="523" t="s">
        <v>239</v>
      </c>
      <c r="E139" s="770">
        <f>'28'!F139</f>
        <v>70306.759999999995</v>
      </c>
      <c r="F139" s="748">
        <v>70306.759999999995</v>
      </c>
      <c r="G139" s="473">
        <f t="shared" si="14"/>
        <v>0</v>
      </c>
      <c r="H139" s="460">
        <f>G139+'28'!H139</f>
        <v>26.529999999998836</v>
      </c>
      <c r="I139" s="480">
        <f>G138+G139</f>
        <v>9.9999999998544808E-2</v>
      </c>
      <c r="J139" s="552">
        <f>H139/DAY(B2)</f>
        <v>0.91482758620685645</v>
      </c>
    </row>
    <row r="140" spans="1:15" ht="27.75">
      <c r="A140" s="1144" t="s">
        <v>248</v>
      </c>
      <c r="B140" s="1145"/>
      <c r="C140" s="1145"/>
      <c r="D140" s="523" t="s">
        <v>239</v>
      </c>
      <c r="E140" s="771">
        <f>'28'!F140</f>
        <v>1601.87</v>
      </c>
      <c r="F140" s="757">
        <v>1609.55</v>
      </c>
      <c r="G140" s="473">
        <f t="shared" si="14"/>
        <v>7.6800000000000637</v>
      </c>
      <c r="H140" s="460">
        <f>G140+'28'!H140</f>
        <v>-7.3099999999999454</v>
      </c>
      <c r="I140" s="542"/>
      <c r="J140" s="552">
        <f>H140/DAY(B2)</f>
        <v>-0.25206896551723951</v>
      </c>
    </row>
    <row r="141" spans="1:15" ht="27.75">
      <c r="A141" s="1144" t="s">
        <v>249</v>
      </c>
      <c r="B141" s="1145"/>
      <c r="C141" s="1145"/>
      <c r="D141" s="523" t="s">
        <v>239</v>
      </c>
      <c r="E141" s="770">
        <f>'28'!F141</f>
        <v>4636.88</v>
      </c>
      <c r="F141" s="741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31" t="s">
        <v>250</v>
      </c>
      <c r="B142" s="1532"/>
      <c r="C142" s="1150"/>
      <c r="D142" s="472"/>
      <c r="E142" s="742"/>
      <c r="F142" s="742"/>
      <c r="G142" s="483"/>
      <c r="H142" s="483"/>
      <c r="I142" s="483"/>
      <c r="J142" s="563"/>
      <c r="K142" s="380"/>
      <c r="L142" s="377"/>
    </row>
    <row r="143" spans="1:15" ht="27.75">
      <c r="A143" s="1525" t="s">
        <v>251</v>
      </c>
      <c r="B143" s="1526"/>
      <c r="C143" s="1527"/>
      <c r="D143" s="523" t="s">
        <v>132</v>
      </c>
      <c r="E143" s="460"/>
      <c r="F143" s="460"/>
      <c r="G143" s="460">
        <f>G35+G43+G49+G57</f>
        <v>4127.230000000056</v>
      </c>
      <c r="H143" s="460">
        <f>G143+'28'!H143</f>
        <v>-5160.4599999999627</v>
      </c>
      <c r="I143" s="480"/>
      <c r="J143" s="552">
        <f>H143/DAY(B2)</f>
        <v>-177.94689655172286</v>
      </c>
      <c r="K143" s="380"/>
      <c r="L143" s="377"/>
    </row>
    <row r="144" spans="1:15" ht="27.75">
      <c r="A144" s="1525" t="s">
        <v>252</v>
      </c>
      <c r="B144" s="1526"/>
      <c r="C144" s="1527"/>
      <c r="D144" s="523" t="s">
        <v>24</v>
      </c>
      <c r="E144" s="470"/>
      <c r="F144" s="470"/>
      <c r="G144" s="543">
        <f>G143/G7</f>
        <v>0.25871184103303807</v>
      </c>
      <c r="H144" s="460">
        <f>G144+'28'!H144</f>
        <v>7.3492713754462349</v>
      </c>
      <c r="I144" s="544"/>
      <c r="J144" s="552">
        <f>H144/DAY(B2)</f>
        <v>0.25342315087745637</v>
      </c>
      <c r="K144" s="380"/>
      <c r="L144" s="377"/>
    </row>
    <row r="145" spans="1:12" ht="27.75">
      <c r="A145" s="1525" t="s">
        <v>253</v>
      </c>
      <c r="B145" s="1526"/>
      <c r="C145" s="1527"/>
      <c r="D145" s="523" t="s">
        <v>132</v>
      </c>
      <c r="E145" s="460"/>
      <c r="F145" s="460"/>
      <c r="G145" s="460">
        <f>G41+G42+G55+G56</f>
        <v>4934.3999999999651</v>
      </c>
      <c r="H145" s="460">
        <f>G145+'28'!H145</f>
        <v>341147.67000000004</v>
      </c>
      <c r="I145" s="480"/>
      <c r="J145" s="552">
        <f>H145/DAY(B2)</f>
        <v>11763.712758620692</v>
      </c>
      <c r="K145" s="380"/>
      <c r="L145" s="377"/>
    </row>
    <row r="146" spans="1:12" ht="27.75">
      <c r="A146" s="1525" t="s">
        <v>254</v>
      </c>
      <c r="B146" s="1526"/>
      <c r="C146" s="1527"/>
      <c r="D146" s="523" t="s">
        <v>24</v>
      </c>
      <c r="E146" s="460"/>
      <c r="F146" s="460"/>
      <c r="G146" s="543">
        <f>G145/G7</f>
        <v>0.30930859399485772</v>
      </c>
      <c r="H146" s="460">
        <f>G146+'28'!H146</f>
        <v>8.6517283114131889</v>
      </c>
      <c r="I146" s="544"/>
      <c r="J146" s="552">
        <f>H146/DAY(B2)</f>
        <v>0.29833545901424791</v>
      </c>
      <c r="K146" s="380"/>
      <c r="L146" s="377"/>
    </row>
    <row r="147" spans="1:12" ht="27.75">
      <c r="A147" s="1525" t="s">
        <v>255</v>
      </c>
      <c r="B147" s="1526"/>
      <c r="C147" s="1527"/>
      <c r="D147" s="523" t="s">
        <v>132</v>
      </c>
      <c r="E147" s="460"/>
      <c r="F147" s="460"/>
      <c r="G147" s="460">
        <f>G39+G53</f>
        <v>2488.8199999999779</v>
      </c>
      <c r="H147" s="460">
        <f>G147+'28'!H147</f>
        <v>13177.239999999991</v>
      </c>
      <c r="I147" s="545"/>
      <c r="J147" s="552">
        <f>H147/DAY(B2)</f>
        <v>454.38758620689623</v>
      </c>
      <c r="K147" s="380"/>
      <c r="L147" s="377"/>
    </row>
    <row r="148" spans="1:12" ht="27.75">
      <c r="A148" s="1525" t="s">
        <v>256</v>
      </c>
      <c r="B148" s="1526"/>
      <c r="C148" s="1527"/>
      <c r="D148" s="523" t="s">
        <v>24</v>
      </c>
      <c r="E148" s="460"/>
      <c r="F148" s="460"/>
      <c r="G148" s="543">
        <f>G147/G7</f>
        <v>0.15600952798846474</v>
      </c>
      <c r="H148" s="460">
        <f>G148+'28'!H148</f>
        <v>4.4220917713101873</v>
      </c>
      <c r="I148" s="545"/>
      <c r="J148" s="552">
        <f>H148/DAY(B2)</f>
        <v>0.15248592314862713</v>
      </c>
    </row>
    <row r="149" spans="1:12" ht="27.75">
      <c r="A149" s="1525" t="s">
        <v>257</v>
      </c>
      <c r="B149" s="1526"/>
      <c r="C149" s="1527"/>
      <c r="D149" s="523" t="s">
        <v>183</v>
      </c>
      <c r="E149" s="460"/>
      <c r="F149" s="460"/>
      <c r="G149" s="460">
        <f>G38+G52</f>
        <v>1247.8899999999994</v>
      </c>
      <c r="H149" s="460">
        <f>G149+'28'!H149</f>
        <v>-1456.690000000046</v>
      </c>
      <c r="I149" s="480"/>
      <c r="J149" s="552">
        <f>H149/DAY(B2)</f>
        <v>-50.230689655173997</v>
      </c>
      <c r="K149" s="381"/>
    </row>
    <row r="150" spans="1:12" ht="27.75">
      <c r="A150" s="1525" t="s">
        <v>258</v>
      </c>
      <c r="B150" s="1526"/>
      <c r="C150" s="1527"/>
      <c r="D150" s="523" t="s">
        <v>24</v>
      </c>
      <c r="E150" s="460"/>
      <c r="F150" s="460"/>
      <c r="G150" s="543">
        <f>G149/G7</f>
        <v>7.8222904782799432E-2</v>
      </c>
      <c r="H150" s="460">
        <f>G150+'28'!H150</f>
        <v>2.0857223277731918</v>
      </c>
      <c r="I150" s="545"/>
      <c r="J150" s="552">
        <f>H150/DAY(B2)</f>
        <v>7.192145957838593E-2</v>
      </c>
    </row>
    <row r="151" spans="1:12" ht="27.75">
      <c r="A151" s="1525" t="s">
        <v>259</v>
      </c>
      <c r="B151" s="1526"/>
      <c r="C151" s="1527"/>
      <c r="D151" s="523" t="s">
        <v>183</v>
      </c>
      <c r="E151" s="460"/>
      <c r="F151" s="460"/>
      <c r="G151" s="460">
        <f>G36+G50</f>
        <v>1459.5599999999977</v>
      </c>
      <c r="H151" s="460">
        <f>G151+'28'!H151</f>
        <v>-2098.0599999999977</v>
      </c>
      <c r="I151" s="545"/>
      <c r="J151" s="552">
        <f>H151/DAY(B2)</f>
        <v>-72.346896551724058</v>
      </c>
    </row>
    <row r="152" spans="1:12" ht="27.75">
      <c r="A152" s="1525" t="s">
        <v>260</v>
      </c>
      <c r="B152" s="1526"/>
      <c r="C152" s="1527"/>
      <c r="D152" s="523" t="s">
        <v>24</v>
      </c>
      <c r="E152" s="460"/>
      <c r="F152" s="460"/>
      <c r="G152" s="543">
        <f>G151/G7</f>
        <v>9.14912555632168E-2</v>
      </c>
      <c r="H152" s="460">
        <f>G152+'28'!H152</f>
        <v>2.1484558608066044</v>
      </c>
      <c r="I152" s="480"/>
      <c r="J152" s="552">
        <f>H152/DAY(B2)</f>
        <v>7.4084684855400151E-2</v>
      </c>
    </row>
    <row r="153" spans="1:12" ht="27.75">
      <c r="A153" s="1525" t="s">
        <v>261</v>
      </c>
      <c r="B153" s="1526"/>
      <c r="C153" s="1527"/>
      <c r="D153" s="523" t="s">
        <v>183</v>
      </c>
      <c r="E153" s="460"/>
      <c r="F153" s="460"/>
      <c r="G153" s="460">
        <f>G37+G51</f>
        <v>1200.7099999999919</v>
      </c>
      <c r="H153" s="460">
        <f>G153+'28'!H153</f>
        <v>-1371.1800000000076</v>
      </c>
      <c r="I153" s="480"/>
      <c r="J153" s="552">
        <f>H153/DAY(B2)</f>
        <v>-47.282068965517503</v>
      </c>
    </row>
    <row r="154" spans="1:12" ht="28.5" thickBot="1">
      <c r="A154" s="1528" t="s">
        <v>262</v>
      </c>
      <c r="B154" s="1529"/>
      <c r="C154" s="1530"/>
      <c r="D154" s="625" t="s">
        <v>24</v>
      </c>
      <c r="E154" s="567"/>
      <c r="F154" s="567"/>
      <c r="G154" s="566">
        <f>G153/G7</f>
        <v>7.5265467310223266E-2</v>
      </c>
      <c r="H154" s="460">
        <f>G154+'28'!H154</f>
        <v>2.0901398664186615</v>
      </c>
      <c r="I154" s="568"/>
      <c r="J154" s="569">
        <f>H154/DAY(B2)</f>
        <v>7.2073788497195229E-2</v>
      </c>
    </row>
    <row r="155" spans="1:12">
      <c r="A155" s="466"/>
      <c r="B155" s="456"/>
      <c r="C155" s="456"/>
      <c r="D155" s="546"/>
      <c r="E155" s="548"/>
      <c r="F155" s="758"/>
      <c r="G155" s="546"/>
      <c r="H155" s="547"/>
      <c r="I155" s="546"/>
      <c r="J155" s="548"/>
    </row>
    <row r="161" spans="1:7">
      <c r="A161" s="798" t="s">
        <v>263</v>
      </c>
      <c r="B161" s="799"/>
      <c r="C161" s="799"/>
      <c r="D161" s="620" t="s">
        <v>187</v>
      </c>
      <c r="E161" s="767">
        <f>'28'!F161</f>
        <v>35773</v>
      </c>
      <c r="F161" s="807">
        <v>35854.19</v>
      </c>
      <c r="G161" s="473">
        <f t="shared" ref="G161:G164" si="15">F161-E161</f>
        <v>81.190000000002328</v>
      </c>
    </row>
    <row r="162" spans="1:7">
      <c r="A162" s="798" t="s">
        <v>264</v>
      </c>
      <c r="B162" s="799"/>
      <c r="C162" s="799"/>
      <c r="D162" s="620" t="s">
        <v>187</v>
      </c>
      <c r="E162" s="767">
        <f>'28'!F162</f>
        <v>81442.87</v>
      </c>
      <c r="F162" s="807">
        <v>81901.69</v>
      </c>
      <c r="G162" s="473">
        <f t="shared" si="15"/>
        <v>458.82000000000698</v>
      </c>
    </row>
    <row r="163" spans="1:7">
      <c r="A163" s="798" t="s">
        <v>265</v>
      </c>
      <c r="B163" s="799"/>
      <c r="C163" s="799"/>
      <c r="D163" s="620" t="s">
        <v>187</v>
      </c>
      <c r="E163" s="767">
        <f>'28'!F163</f>
        <v>37287</v>
      </c>
      <c r="F163" s="807">
        <v>37630</v>
      </c>
      <c r="G163" s="473">
        <f t="shared" si="15"/>
        <v>343</v>
      </c>
    </row>
    <row r="164" spans="1:7">
      <c r="A164" s="798" t="s">
        <v>266</v>
      </c>
      <c r="B164" s="799"/>
      <c r="C164" s="799"/>
      <c r="D164" s="620" t="s">
        <v>187</v>
      </c>
      <c r="E164" s="767">
        <f>'28'!F164</f>
        <v>6176.84</v>
      </c>
      <c r="F164" s="807">
        <v>6201.66</v>
      </c>
      <c r="G164" s="473">
        <f t="shared" si="15"/>
        <v>24.819999999999709</v>
      </c>
    </row>
    <row r="165" spans="1:7">
      <c r="A165" s="800" t="s">
        <v>98</v>
      </c>
      <c r="B165" s="801"/>
      <c r="C165" s="801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800" t="s">
        <v>188</v>
      </c>
      <c r="B166" s="801"/>
      <c r="C166" s="801"/>
      <c r="D166" s="620" t="s">
        <v>187</v>
      </c>
      <c r="E166" s="514">
        <f t="shared" ref="E166:E172" si="17">E63</f>
        <v>2350.3000000000002</v>
      </c>
      <c r="F166" s="514">
        <f t="shared" ref="F166:F172" si="18">F63</f>
        <v>2355.71</v>
      </c>
      <c r="G166" s="473">
        <f t="shared" si="16"/>
        <v>5.4099999999998545</v>
      </c>
    </row>
    <row r="167" spans="1:7" ht="27.75">
      <c r="A167" s="1570" t="s">
        <v>99</v>
      </c>
      <c r="B167" s="1570"/>
      <c r="C167" s="1570"/>
      <c r="D167" s="524" t="s">
        <v>187</v>
      </c>
      <c r="E167" s="514">
        <f t="shared" si="17"/>
        <v>152738.75</v>
      </c>
      <c r="F167" s="514">
        <f t="shared" si="18"/>
        <v>153063.73000000001</v>
      </c>
      <c r="G167" s="473">
        <f t="shared" si="16"/>
        <v>324.98000000001048</v>
      </c>
    </row>
    <row r="168" spans="1:7" ht="27.75">
      <c r="A168" s="1570" t="s">
        <v>100</v>
      </c>
      <c r="B168" s="1570"/>
      <c r="C168" s="1570"/>
      <c r="D168" s="524" t="s">
        <v>187</v>
      </c>
      <c r="E168" s="514">
        <f t="shared" si="17"/>
        <v>154203.07</v>
      </c>
      <c r="F168" s="514">
        <f t="shared" si="18"/>
        <v>154390.29999999999</v>
      </c>
      <c r="G168" s="473">
        <f t="shared" si="16"/>
        <v>187.22999999998137</v>
      </c>
    </row>
    <row r="169" spans="1:7" ht="27.75">
      <c r="A169" s="1570" t="s">
        <v>101</v>
      </c>
      <c r="B169" s="1570"/>
      <c r="C169" s="1570"/>
      <c r="D169" s="524" t="s">
        <v>187</v>
      </c>
      <c r="E169" s="514">
        <f t="shared" si="17"/>
        <v>48032.37</v>
      </c>
      <c r="F169" s="514">
        <f t="shared" si="18"/>
        <v>48305.58</v>
      </c>
      <c r="G169" s="473">
        <f t="shared" si="16"/>
        <v>273.20999999999913</v>
      </c>
    </row>
    <row r="170" spans="1:7" ht="27.75">
      <c r="A170" s="1570" t="s">
        <v>102</v>
      </c>
      <c r="B170" s="1570"/>
      <c r="C170" s="1570"/>
      <c r="D170" s="524" t="s">
        <v>187</v>
      </c>
      <c r="E170" s="514">
        <f t="shared" si="17"/>
        <v>242687.95</v>
      </c>
      <c r="F170" s="514">
        <f t="shared" si="18"/>
        <v>242893.27</v>
      </c>
      <c r="G170" s="473">
        <f t="shared" si="16"/>
        <v>205.31999999997788</v>
      </c>
    </row>
    <row r="171" spans="1:7" ht="27.75">
      <c r="A171" s="1570" t="s">
        <v>103</v>
      </c>
      <c r="B171" s="1570"/>
      <c r="C171" s="1570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70" t="s">
        <v>104</v>
      </c>
      <c r="B172" s="1570"/>
      <c r="C172" s="1570"/>
      <c r="D172" s="524" t="s">
        <v>187</v>
      </c>
      <c r="E172" s="514">
        <f t="shared" si="17"/>
        <v>78814.97</v>
      </c>
      <c r="F172" s="514">
        <f t="shared" si="18"/>
        <v>78874.87</v>
      </c>
      <c r="G172" s="473">
        <f t="shared" si="16"/>
        <v>59.899999999994179</v>
      </c>
    </row>
    <row r="173" spans="1:7">
      <c r="A173" s="802"/>
      <c r="B173" s="803"/>
      <c r="C173" s="803"/>
      <c r="D173" s="804"/>
      <c r="E173" s="806"/>
      <c r="F173" s="1034"/>
      <c r="G173" s="806">
        <f>SUM(G161:G172)</f>
        <v>1963.8799999999719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topLeftCell="A67" zoomScale="60" zoomScaleNormal="55" workbookViewId="0">
      <selection activeCell="F28" activeCellId="1" sqref="F28 F2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344</v>
      </c>
      <c r="B2" s="1116">
        <v>43951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6" t="s">
        <v>120</v>
      </c>
      <c r="D3" s="612">
        <v>30</v>
      </c>
      <c r="E3" s="1653" t="s">
        <v>121</v>
      </c>
      <c r="F3" s="1653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363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54" t="s">
        <v>130</v>
      </c>
      <c r="B6" s="1655"/>
      <c r="C6" s="1655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5708695</v>
      </c>
      <c r="F7" s="455">
        <v>5727433</v>
      </c>
      <c r="G7" s="777">
        <f>F7-E7</f>
        <v>18738</v>
      </c>
      <c r="H7" s="460">
        <f>G7+'29'!H7</f>
        <v>5882456</v>
      </c>
      <c r="I7" s="474">
        <f>'1'!I7</f>
        <v>12000</v>
      </c>
      <c r="J7" s="552">
        <f>H7/DAY(B2)</f>
        <v>196081.86666666667</v>
      </c>
      <c r="K7" s="549">
        <v>1375467</v>
      </c>
      <c r="L7" s="377"/>
      <c r="N7" s="440">
        <f>F7-'1'!E7</f>
        <v>0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5742402</v>
      </c>
      <c r="F8" s="475">
        <v>5761244</v>
      </c>
      <c r="G8" s="476">
        <f>F8-E8</f>
        <v>18842</v>
      </c>
      <c r="H8" s="460">
        <f>G8+'29'!H8</f>
        <v>5917003</v>
      </c>
      <c r="I8" s="477"/>
      <c r="J8" s="552">
        <f>H8/DAY(B2)</f>
        <v>197233.43333333332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972579.91</v>
      </c>
      <c r="F9" s="478">
        <v>990714</v>
      </c>
      <c r="G9" s="473">
        <f t="shared" ref="G9:G12" si="0">F9-E9</f>
        <v>18134.089999999967</v>
      </c>
      <c r="H9" s="460">
        <f>G9+'29'!H9</f>
        <v>0</v>
      </c>
      <c r="I9" s="479">
        <f>I7-J7</f>
        <v>-184081.86666666667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18134.089999999967</v>
      </c>
      <c r="H13" s="460">
        <f>G13+'29'!H13</f>
        <v>-14521</v>
      </c>
      <c r="I13" s="482">
        <f>G7-G13</f>
        <v>603.9100000000326</v>
      </c>
      <c r="J13" s="552">
        <f>H13/DAY(B2)</f>
        <v>-484.03333333333336</v>
      </c>
      <c r="K13" s="428"/>
      <c r="L13" s="377"/>
      <c r="N13" s="440">
        <f>F13-'1'!E13</f>
        <v>0</v>
      </c>
      <c r="O13" s="808"/>
    </row>
    <row r="14" spans="1:15" ht="29.25">
      <c r="A14" s="1656" t="s">
        <v>139</v>
      </c>
      <c r="B14" s="1657"/>
      <c r="C14" s="1657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'29'!F15</f>
        <v>1670180.29</v>
      </c>
      <c r="F15" s="522">
        <v>1670657</v>
      </c>
      <c r="G15" s="777">
        <f>(F15-E15)</f>
        <v>476.70999999996275</v>
      </c>
      <c r="H15" s="460">
        <f>G15+'29'!H15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808"/>
    </row>
    <row r="17" spans="1:15" ht="29.25">
      <c r="A17" s="1656" t="s">
        <v>142</v>
      </c>
      <c r="B17" s="1657"/>
      <c r="C17" s="1657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651" t="s">
        <v>143</v>
      </c>
      <c r="B18" s="1652"/>
      <c r="C18" s="1652"/>
      <c r="D18" s="523" t="s">
        <v>144</v>
      </c>
      <c r="E18" s="455">
        <f>'29'!F18</f>
        <v>2</v>
      </c>
      <c r="F18" s="484">
        <v>6</v>
      </c>
      <c r="G18" s="481">
        <f>F18*10</f>
        <v>60</v>
      </c>
      <c r="H18" s="460">
        <f>G18+'29'!H18</f>
        <v>1560</v>
      </c>
      <c r="I18" s="474">
        <f>'1'!I18</f>
        <v>65</v>
      </c>
      <c r="J18" s="552">
        <f>H18/DAY(B2)</f>
        <v>52</v>
      </c>
      <c r="K18" s="428"/>
      <c r="L18" s="377"/>
      <c r="N18" s="440">
        <f>F18-'1'!E18</f>
        <v>0</v>
      </c>
      <c r="O18" s="808"/>
    </row>
    <row r="19" spans="1:15" ht="27.75">
      <c r="A19" s="1651" t="s">
        <v>71</v>
      </c>
      <c r="B19" s="1652"/>
      <c r="C19" s="1652"/>
      <c r="D19" s="523" t="s">
        <v>144</v>
      </c>
      <c r="E19" s="455">
        <f>'29'!F19</f>
        <v>137758</v>
      </c>
      <c r="F19" s="484">
        <v>137812</v>
      </c>
      <c r="G19" s="473">
        <f t="shared" ref="G19" si="1">F19-E19</f>
        <v>54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114</v>
      </c>
      <c r="H20" s="460">
        <f>G20+'29'!H20</f>
        <v>1596</v>
      </c>
      <c r="I20" s="492">
        <f>I18-J20</f>
        <v>11.799999999999997</v>
      </c>
      <c r="J20" s="552">
        <f>H20/DAY(B2)</f>
        <v>53.2</v>
      </c>
      <c r="K20" s="428"/>
      <c r="L20" s="377"/>
      <c r="N20" s="440">
        <f>F20-'1'!E20</f>
        <v>0</v>
      </c>
      <c r="O20" s="808"/>
    </row>
    <row r="21" spans="1:15" ht="29.25">
      <c r="A21" s="1656" t="s">
        <v>146</v>
      </c>
      <c r="B21" s="1657"/>
      <c r="C21" s="1657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4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-1680</v>
      </c>
      <c r="O22" s="808"/>
    </row>
    <row r="23" spans="1:15" ht="21.95" customHeight="1">
      <c r="A23" s="1144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-1680</v>
      </c>
      <c r="O24" s="808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18842</v>
      </c>
      <c r="F27" s="501">
        <v>9</v>
      </c>
      <c r="G27" s="1028">
        <f>E27*F27</f>
        <v>169578</v>
      </c>
      <c r="H27" s="460">
        <f>G27+'29'!H27</f>
        <v>53253027</v>
      </c>
      <c r="I27" s="503"/>
      <c r="J27" s="552">
        <f>H27/DAY(B2)</f>
        <v>1775100.9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476.70999999996275</v>
      </c>
      <c r="F28" s="501">
        <v>49</v>
      </c>
      <c r="G28" s="1028">
        <f>E28*F28</f>
        <v>23358.789999998175</v>
      </c>
      <c r="H28" s="460">
        <f>G28+'29'!H28</f>
        <v>2785.6500000000233</v>
      </c>
      <c r="I28" s="505"/>
      <c r="J28" s="552">
        <f>H28/DAY(B2)</f>
        <v>92.855000000000771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54</v>
      </c>
      <c r="F30" s="501">
        <v>134</v>
      </c>
      <c r="G30" s="1028">
        <f>E30*F30</f>
        <v>7236</v>
      </c>
      <c r="H30" s="460">
        <f>G30+'29'!H30</f>
        <v>0</v>
      </c>
      <c r="I30" s="505"/>
      <c r="J30" s="552">
        <f>H30/DAY(B2)</f>
        <v>0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1028">
        <f>E31*F31</f>
        <v>4800</v>
      </c>
      <c r="H31" s="460">
        <f>G31+'29'!H31</f>
        <v>124800</v>
      </c>
      <c r="I31" s="505"/>
      <c r="J31" s="552">
        <f>H31/DAY(B2)</f>
        <v>4160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204972.78999999817</v>
      </c>
      <c r="H32" s="460">
        <f>G32+'29'!H32</f>
        <v>53469622.649999991</v>
      </c>
      <c r="I32" s="509"/>
      <c r="J32" s="552">
        <f>H32/DAY(B2)</f>
        <v>1782320.7549999997</v>
      </c>
      <c r="K32" s="373"/>
      <c r="L32" s="443"/>
      <c r="N32" s="440"/>
      <c r="O32" s="808"/>
    </row>
    <row r="33" spans="1:15" ht="25.5">
      <c r="A33" s="1661" t="s">
        <v>162</v>
      </c>
      <c r="B33" s="1662"/>
      <c r="C33" s="1662"/>
      <c r="D33" s="1662"/>
      <c r="E33" s="1662"/>
      <c r="F33" s="1662"/>
      <c r="G33" s="1662"/>
      <c r="H33" s="1662"/>
      <c r="I33" s="1662"/>
      <c r="J33" s="1663"/>
      <c r="K33" s="428"/>
      <c r="L33" s="377"/>
      <c r="N33" s="440"/>
      <c r="O33" s="808"/>
    </row>
    <row r="34" spans="1:15" ht="21.95" customHeight="1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884026.03</v>
      </c>
      <c r="F35" s="510">
        <v>886459</v>
      </c>
      <c r="G35" s="473">
        <f t="shared" ref="G35:G46" si="3">F35-E35</f>
        <v>2432.9699999999721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343892.67</v>
      </c>
      <c r="F36" s="510">
        <v>344608</v>
      </c>
      <c r="G36" s="473">
        <f t="shared" si="3"/>
        <v>715.3300000000163</v>
      </c>
      <c r="H36" s="460">
        <f>G36+'29'!H36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93853.95</v>
      </c>
      <c r="F37" s="510">
        <v>95225</v>
      </c>
      <c r="G37" s="473">
        <f t="shared" si="3"/>
        <v>1371.0500000000029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118139.24</v>
      </c>
      <c r="F38" s="469">
        <v>119596</v>
      </c>
      <c r="G38" s="473">
        <f t="shared" si="3"/>
        <v>1456.7599999999948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244460.45</v>
      </c>
      <c r="F39" s="510">
        <v>246653</v>
      </c>
      <c r="G39" s="473">
        <f t="shared" si="3"/>
        <v>2192.5499999999884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-1.8179902028236938E-14</v>
      </c>
      <c r="I40" s="455"/>
      <c r="J40" s="552">
        <f>H40/DAY(B2)</f>
        <v>-6.0599673427456458E-16</v>
      </c>
      <c r="K40" s="429"/>
      <c r="L40" s="377"/>
      <c r="N40" s="440">
        <f>F40-'1'!E40</f>
        <v>0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177616.67</v>
      </c>
      <c r="F41" s="510">
        <v>181528</v>
      </c>
      <c r="G41" s="473">
        <f t="shared" si="3"/>
        <v>3911.3299999999872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59200</v>
      </c>
      <c r="F42" s="510">
        <v>59200</v>
      </c>
      <c r="G42" s="473">
        <f t="shared" si="3"/>
        <v>0</v>
      </c>
      <c r="H42" s="460">
        <f>G42+'29'!H42</f>
        <v>0</v>
      </c>
      <c r="I42" s="455"/>
      <c r="J42" s="552">
        <f>H42/DAY(B2)</f>
        <v>0</v>
      </c>
      <c r="K42" s="428"/>
      <c r="L42" s="377"/>
      <c r="N42" s="440">
        <f>F42-'1'!E42</f>
        <v>0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971519.51</v>
      </c>
      <c r="F43" s="510">
        <v>973958</v>
      </c>
      <c r="G43" s="473">
        <f t="shared" si="3"/>
        <v>2438.4899999999907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14518.479999999952</v>
      </c>
      <c r="H47" s="460">
        <f>G47+'29'!H47</f>
        <v>801.44000000001688</v>
      </c>
      <c r="I47" s="455"/>
      <c r="J47" s="552">
        <f>H47/DAY(B2)</f>
        <v>26.714666666667231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473153.27</v>
      </c>
      <c r="F50" s="510">
        <v>474536</v>
      </c>
      <c r="G50" s="473">
        <f t="shared" si="4"/>
        <v>1382.7299999999814</v>
      </c>
      <c r="H50" s="460">
        <f>G50+'29'!H50</f>
        <v>-939</v>
      </c>
      <c r="I50" s="455"/>
      <c r="J50" s="552">
        <f>H50/DAY(B2)</f>
        <v>-31.3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415735.79</v>
      </c>
      <c r="F53" s="510">
        <v>416311</v>
      </c>
      <c r="G53" s="473">
        <f t="shared" si="4"/>
        <v>575.21000000002095</v>
      </c>
      <c r="H53" s="460">
        <f>G53+'29'!H53</f>
        <v>15422</v>
      </c>
      <c r="I53" s="455"/>
      <c r="J53" s="552">
        <f>H53/DAY(B2)</f>
        <v>514.06666666666672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11307.45</v>
      </c>
      <c r="F54" s="510">
        <v>11378</v>
      </c>
      <c r="G54" s="473">
        <f t="shared" si="4"/>
        <v>70.549999999999272</v>
      </c>
      <c r="H54" s="460">
        <f>G54+'29'!H54</f>
        <v>3616</v>
      </c>
      <c r="I54" s="455"/>
      <c r="J54" s="552">
        <f>H54/DAY(B2)</f>
        <v>120.53333333333333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345059</v>
      </c>
      <c r="F55" s="1060">
        <v>346926</v>
      </c>
      <c r="G55" s="473">
        <f t="shared" si="4"/>
        <v>1867</v>
      </c>
      <c r="H55" s="460">
        <f>G55+'29'!H55</f>
        <v>346926</v>
      </c>
      <c r="I55" s="455"/>
      <c r="J55" s="552">
        <f>H55/DAY(B2)</f>
        <v>11564.2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589288.47</v>
      </c>
      <c r="F56" s="510">
        <v>589288.47</v>
      </c>
      <c r="G56" s="473">
        <f t="shared" si="4"/>
        <v>0</v>
      </c>
      <c r="H56" s="460">
        <f>G56+'29'!H56</f>
        <v>0.10999999998603016</v>
      </c>
      <c r="I56" s="455"/>
      <c r="J56" s="552">
        <f>H56/DAY(B2)</f>
        <v>3.6666666662010052E-3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46666.81</v>
      </c>
      <c r="F58" s="510">
        <v>46668</v>
      </c>
      <c r="G58" s="473">
        <f t="shared" si="4"/>
        <v>1.1900000000023283</v>
      </c>
      <c r="H58" s="460">
        <f>G58+'29'!H58</f>
        <v>-49</v>
      </c>
      <c r="I58" s="455"/>
      <c r="J58" s="552">
        <f>H58/DAY(B2)</f>
        <v>-1.6333333333333333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3896.7400000000598</v>
      </c>
      <c r="H59" s="460">
        <f>G59+'29'!H59</f>
        <v>364976.11000000004</v>
      </c>
      <c r="I59" s="455">
        <f>G7-G60</f>
        <v>322.77999999998792</v>
      </c>
      <c r="J59" s="552">
        <f>H59/DAY(B2)</f>
        <v>12165.870333333334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18415.220000000012</v>
      </c>
      <c r="H60" s="460">
        <f>G60+'29'!H60</f>
        <v>367361.44000000006</v>
      </c>
      <c r="I60" s="455">
        <f>G13-G60</f>
        <v>-281.13000000004467</v>
      </c>
      <c r="J60" s="552">
        <f>H60/DAY(B2)</f>
        <v>12245.381333333335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2355.71</v>
      </c>
      <c r="F63" s="514">
        <v>2359</v>
      </c>
      <c r="G63" s="473">
        <f t="shared" si="5"/>
        <v>3.2899999999999636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8"/>
    </row>
    <row r="64" spans="1:15" ht="27.75">
      <c r="A64" s="1664" t="s">
        <v>99</v>
      </c>
      <c r="B64" s="1500"/>
      <c r="C64" s="1500"/>
      <c r="D64" s="523" t="s">
        <v>187</v>
      </c>
      <c r="E64" s="455">
        <f>'29'!F64</f>
        <v>153063.73000000001</v>
      </c>
      <c r="F64" s="484">
        <v>153299</v>
      </c>
      <c r="G64" s="473">
        <f t="shared" si="5"/>
        <v>235.26999999998952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8"/>
    </row>
    <row r="65" spans="1:15" ht="27.75">
      <c r="A65" s="1664" t="s">
        <v>100</v>
      </c>
      <c r="B65" s="1500"/>
      <c r="C65" s="1500"/>
      <c r="D65" s="523" t="s">
        <v>187</v>
      </c>
      <c r="E65" s="455">
        <f>'29'!F65</f>
        <v>154390.29999999999</v>
      </c>
      <c r="F65" s="484">
        <v>154599</v>
      </c>
      <c r="G65" s="473">
        <f t="shared" si="5"/>
        <v>208.70000000001164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8"/>
    </row>
    <row r="66" spans="1:15" ht="27.75">
      <c r="A66" s="1664" t="s">
        <v>101</v>
      </c>
      <c r="B66" s="1500"/>
      <c r="C66" s="1500"/>
      <c r="D66" s="523" t="s">
        <v>187</v>
      </c>
      <c r="E66" s="455">
        <f>'29'!F66</f>
        <v>48305.58</v>
      </c>
      <c r="F66" s="484">
        <v>48571</v>
      </c>
      <c r="G66" s="473">
        <f t="shared" si="5"/>
        <v>265.41999999999825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8"/>
    </row>
    <row r="67" spans="1:15" ht="27.75">
      <c r="A67" s="1664" t="s">
        <v>102</v>
      </c>
      <c r="B67" s="1500"/>
      <c r="C67" s="1500"/>
      <c r="D67" s="523" t="s">
        <v>187</v>
      </c>
      <c r="E67" s="455">
        <f>'29'!F67</f>
        <v>242893.27</v>
      </c>
      <c r="F67" s="484">
        <v>243174</v>
      </c>
      <c r="G67" s="473">
        <f t="shared" si="5"/>
        <v>280.73000000001048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8"/>
    </row>
    <row r="68" spans="1:15" ht="27.75">
      <c r="A68" s="1664" t="s">
        <v>103</v>
      </c>
      <c r="B68" s="1500"/>
      <c r="C68" s="1500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8"/>
    </row>
    <row r="69" spans="1:15" ht="27.75">
      <c r="A69" s="1664" t="s">
        <v>104</v>
      </c>
      <c r="B69" s="1500"/>
      <c r="C69" s="1500"/>
      <c r="D69" s="523" t="s">
        <v>187</v>
      </c>
      <c r="E69" s="455">
        <f>'29'!F69</f>
        <v>78874.87</v>
      </c>
      <c r="F69" s="484">
        <v>78994</v>
      </c>
      <c r="G69" s="473">
        <f t="shared" si="5"/>
        <v>119.13000000000466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8"/>
    </row>
    <row r="70" spans="1:15" ht="27.75">
      <c r="A70" s="1665" t="s">
        <v>189</v>
      </c>
      <c r="B70" s="1570"/>
      <c r="C70" s="1570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658" t="s">
        <v>190</v>
      </c>
      <c r="B71" s="1659"/>
      <c r="C71" s="1659"/>
      <c r="D71" s="1659"/>
      <c r="E71" s="1659"/>
      <c r="F71" s="1659"/>
      <c r="G71" s="1659"/>
      <c r="H71" s="1659"/>
      <c r="I71" s="1659"/>
      <c r="J71" s="1660"/>
      <c r="K71" s="430"/>
      <c r="L71" s="377"/>
      <c r="O71" s="808"/>
    </row>
    <row r="72" spans="1:15" ht="27.75">
      <c r="A72" s="1664" t="s">
        <v>191</v>
      </c>
      <c r="B72" s="1500"/>
      <c r="C72" s="1500"/>
      <c r="D72" s="523" t="s">
        <v>187</v>
      </c>
      <c r="E72" s="455">
        <f>'29'!F72</f>
        <v>855444</v>
      </c>
      <c r="F72" s="519">
        <v>855461</v>
      </c>
      <c r="G72" s="473">
        <f t="shared" ref="G72:G84" si="6">F72-E72</f>
        <v>17</v>
      </c>
      <c r="H72" s="460">
        <f>G72+'29'!H72</f>
        <v>-11</v>
      </c>
      <c r="I72" s="480"/>
      <c r="J72" s="552">
        <f>H72/DAY(B2)</f>
        <v>-0.36666666666666664</v>
      </c>
      <c r="K72" s="431"/>
      <c r="L72" s="377"/>
      <c r="O72" s="808"/>
    </row>
    <row r="73" spans="1:15" ht="27.75">
      <c r="A73" s="1664" t="s">
        <v>192</v>
      </c>
      <c r="B73" s="1500"/>
      <c r="C73" s="1500"/>
      <c r="D73" s="523" t="s">
        <v>187</v>
      </c>
      <c r="E73" s="455">
        <f>'29'!F73</f>
        <v>885871</v>
      </c>
      <c r="F73" s="520">
        <v>885876</v>
      </c>
      <c r="G73" s="473">
        <f t="shared" si="6"/>
        <v>5</v>
      </c>
      <c r="H73" s="460">
        <f>G73+'29'!H73</f>
        <v>180</v>
      </c>
      <c r="I73" s="480"/>
      <c r="J73" s="552">
        <f>H73/DAY(B2)</f>
        <v>6</v>
      </c>
      <c r="K73" s="430"/>
      <c r="L73" s="377"/>
      <c r="O73" s="808"/>
    </row>
    <row r="74" spans="1:15" ht="27.75">
      <c r="A74" s="1664" t="s">
        <v>193</v>
      </c>
      <c r="B74" s="1500"/>
      <c r="C74" s="1500"/>
      <c r="D74" s="523" t="s">
        <v>187</v>
      </c>
      <c r="E74" s="455">
        <f>'29'!F74</f>
        <v>2248.48</v>
      </c>
      <c r="F74" s="521">
        <v>2279</v>
      </c>
      <c r="G74" s="473">
        <f t="shared" si="6"/>
        <v>30.519999999999982</v>
      </c>
      <c r="H74" s="460">
        <f>G74+'29'!H74</f>
        <v>0</v>
      </c>
      <c r="I74" s="480"/>
      <c r="J74" s="552">
        <f>H74/DAY(B2)</f>
        <v>0</v>
      </c>
      <c r="K74" s="431"/>
      <c r="L74" s="377"/>
      <c r="O74" s="808"/>
    </row>
    <row r="75" spans="1:15" ht="27.75">
      <c r="A75" s="1666" t="s">
        <v>194</v>
      </c>
      <c r="B75" s="1667"/>
      <c r="C75" s="1667"/>
      <c r="D75" s="523" t="s">
        <v>187</v>
      </c>
      <c r="E75" s="455">
        <f>'29'!F75</f>
        <v>10911.43</v>
      </c>
      <c r="F75" s="521">
        <v>10970</v>
      </c>
      <c r="G75" s="473">
        <f t="shared" si="6"/>
        <v>58.569999999999709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8"/>
    </row>
    <row r="76" spans="1:15" ht="27.75">
      <c r="A76" s="1666" t="s">
        <v>195</v>
      </c>
      <c r="B76" s="1667"/>
      <c r="C76" s="1667"/>
      <c r="D76" s="523" t="s">
        <v>187</v>
      </c>
      <c r="E76" s="455">
        <f>'29'!F76</f>
        <v>5659.36</v>
      </c>
      <c r="F76" s="520">
        <v>5709</v>
      </c>
      <c r="G76" s="473">
        <f t="shared" si="6"/>
        <v>49.640000000000327</v>
      </c>
      <c r="H76" s="460">
        <f>G76+'29'!H76</f>
        <v>-7.9500000000007276</v>
      </c>
      <c r="I76" s="505"/>
      <c r="J76" s="552">
        <f>H76/DAY(B2)</f>
        <v>-0.26500000000002427</v>
      </c>
      <c r="K76" s="430"/>
      <c r="L76" s="377"/>
      <c r="O76" s="808"/>
    </row>
    <row r="77" spans="1:15" ht="27.75">
      <c r="A77" s="1664" t="s">
        <v>196</v>
      </c>
      <c r="B77" s="1500"/>
      <c r="C77" s="1500"/>
      <c r="D77" s="523" t="s">
        <v>187</v>
      </c>
      <c r="E77" s="455">
        <f>'29'!F77</f>
        <v>701513</v>
      </c>
      <c r="F77" s="521">
        <v>701562</v>
      </c>
      <c r="G77" s="473">
        <f t="shared" si="6"/>
        <v>49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8"/>
    </row>
    <row r="78" spans="1:15" ht="27.75">
      <c r="A78" s="1147" t="s">
        <v>197</v>
      </c>
      <c r="B78" s="1120"/>
      <c r="C78" s="1120"/>
      <c r="D78" s="523" t="s">
        <v>187</v>
      </c>
      <c r="E78" s="455">
        <f>'29'!F78</f>
        <v>669798</v>
      </c>
      <c r="F78" s="521">
        <v>670025</v>
      </c>
      <c r="G78" s="473">
        <f t="shared" si="6"/>
        <v>227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8"/>
    </row>
    <row r="79" spans="1:15" ht="27.75">
      <c r="A79" s="1666" t="s">
        <v>92</v>
      </c>
      <c r="B79" s="1667"/>
      <c r="C79" s="1667"/>
      <c r="D79" s="524" t="s">
        <v>187</v>
      </c>
      <c r="E79" s="455">
        <f>'29'!F79</f>
        <v>826590</v>
      </c>
      <c r="F79" s="521">
        <v>826784</v>
      </c>
      <c r="G79" s="473">
        <f t="shared" si="6"/>
        <v>194</v>
      </c>
      <c r="H79" s="460">
        <f>G79+'29'!H79</f>
        <v>-947</v>
      </c>
      <c r="I79" s="505"/>
      <c r="J79" s="552">
        <f>H79/DAY(B2)</f>
        <v>-31.566666666666666</v>
      </c>
      <c r="K79" s="430"/>
      <c r="L79" s="377"/>
      <c r="O79" s="808"/>
    </row>
    <row r="80" spans="1:15" ht="27.75">
      <c r="A80" s="1666" t="s">
        <v>198</v>
      </c>
      <c r="B80" s="1667"/>
      <c r="C80" s="1667"/>
      <c r="D80" s="524" t="s">
        <v>187</v>
      </c>
      <c r="E80" s="455">
        <f>'29'!F80</f>
        <v>516357.24</v>
      </c>
      <c r="F80" s="520">
        <v>516738</v>
      </c>
      <c r="G80" s="473">
        <f t="shared" si="6"/>
        <v>380.76000000000931</v>
      </c>
      <c r="H80" s="460">
        <f>G80+'29'!H80</f>
        <v>-2723</v>
      </c>
      <c r="I80" s="505"/>
      <c r="J80" s="552">
        <f>H80/DAY(B2)</f>
        <v>-90.766666666666666</v>
      </c>
      <c r="K80" s="430"/>
      <c r="L80" s="377"/>
      <c r="O80" s="808"/>
    </row>
    <row r="81" spans="1:15" ht="27.75">
      <c r="A81" s="1666" t="s">
        <v>199</v>
      </c>
      <c r="B81" s="1667"/>
      <c r="C81" s="1667"/>
      <c r="D81" s="524" t="s">
        <v>187</v>
      </c>
      <c r="E81" s="455">
        <f>'29'!F81</f>
        <v>636404.12</v>
      </c>
      <c r="F81" s="520">
        <v>636478</v>
      </c>
      <c r="G81" s="473">
        <f t="shared" si="6"/>
        <v>73.880000000004657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8"/>
    </row>
    <row r="82" spans="1:15" ht="27.75">
      <c r="A82" s="1666" t="s">
        <v>93</v>
      </c>
      <c r="B82" s="1667"/>
      <c r="C82" s="1667"/>
      <c r="D82" s="485" t="s">
        <v>132</v>
      </c>
      <c r="E82" s="455">
        <f>'29'!F82</f>
        <v>107569.60000000001</v>
      </c>
      <c r="F82" s="522">
        <v>107612</v>
      </c>
      <c r="G82" s="473">
        <f t="shared" si="6"/>
        <v>42.399999999994179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8"/>
    </row>
    <row r="83" spans="1:15" ht="27.75">
      <c r="A83" s="1666" t="s">
        <v>200</v>
      </c>
      <c r="B83" s="1667"/>
      <c r="C83" s="1667"/>
      <c r="D83" s="620" t="s">
        <v>132</v>
      </c>
      <c r="E83" s="455">
        <f>'29'!F83</f>
        <v>14522</v>
      </c>
      <c r="F83" s="511">
        <v>14771</v>
      </c>
      <c r="G83" s="473">
        <f t="shared" si="6"/>
        <v>249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8"/>
    </row>
    <row r="84" spans="1:15" ht="29.25">
      <c r="A84" s="1148" t="s">
        <v>201</v>
      </c>
      <c r="B84" s="571"/>
      <c r="C84" s="571"/>
      <c r="D84" s="478" t="s">
        <v>132</v>
      </c>
      <c r="E84" s="455">
        <f>'29'!F84</f>
        <v>479363</v>
      </c>
      <c r="F84" s="523">
        <v>480133</v>
      </c>
      <c r="G84" s="473">
        <f t="shared" si="6"/>
        <v>770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2146.7700000000082</v>
      </c>
      <c r="H85" s="460">
        <f>G85+'29'!H85</f>
        <v>0</v>
      </c>
      <c r="I85" s="481"/>
      <c r="J85" s="552">
        <f>H85/DAY(B2)</f>
        <v>0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459096.76</v>
      </c>
      <c r="F86" s="650">
        <v>459267</v>
      </c>
      <c r="G86" s="708">
        <f t="shared" ref="G86:G90" si="7">F86-E86</f>
        <v>170.23999999999069</v>
      </c>
      <c r="H86" s="460">
        <f>G86+'29'!H86</f>
        <v>329.11999999999534</v>
      </c>
      <c r="I86" s="655"/>
      <c r="J86" s="710">
        <f>H86/DAY(B2)</f>
        <v>10.970666666666512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80905</v>
      </c>
      <c r="F87" s="650">
        <v>80919</v>
      </c>
      <c r="G87" s="708">
        <f t="shared" si="7"/>
        <v>14</v>
      </c>
      <c r="H87" s="460">
        <f>G87+'29'!H87</f>
        <v>28.80000000000291</v>
      </c>
      <c r="I87" s="655"/>
      <c r="J87" s="710">
        <f>H87/DAY(B2)</f>
        <v>0.960000000000097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151781</v>
      </c>
      <c r="F88" s="650">
        <v>151805</v>
      </c>
      <c r="G88" s="708">
        <f t="shared" si="7"/>
        <v>24</v>
      </c>
      <c r="H88" s="460">
        <f>G88+'29'!H88</f>
        <v>46.670000000012806</v>
      </c>
      <c r="I88" s="655"/>
      <c r="J88" s="710">
        <f>H88/DAY(B2)</f>
        <v>1.5556666666670935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64803.8</v>
      </c>
      <c r="F89" s="650">
        <v>64834</v>
      </c>
      <c r="G89" s="708">
        <f t="shared" si="7"/>
        <v>30.19999999999709</v>
      </c>
      <c r="H89" s="460">
        <f>G89+'29'!H89</f>
        <v>73.099999999998545</v>
      </c>
      <c r="I89" s="655"/>
      <c r="J89" s="710">
        <f>H89/DAY(B2)</f>
        <v>2.4366666666666181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3272.4</v>
      </c>
      <c r="F90" s="650">
        <v>3272</v>
      </c>
      <c r="G90" s="708">
        <f t="shared" si="7"/>
        <v>-0.40000000000009095</v>
      </c>
      <c r="H90" s="460">
        <f>G90+'29'!H90</f>
        <v>-0.40000000000009095</v>
      </c>
      <c r="I90" s="655"/>
      <c r="J90" s="710">
        <f>H90/DAY(B2)</f>
        <v>-1.3333333333336365E-2</v>
      </c>
      <c r="K90" s="736"/>
      <c r="L90" s="737"/>
      <c r="N90" s="781"/>
      <c r="O90" s="808"/>
    </row>
    <row r="91" spans="1:15" s="738" customFormat="1" ht="29.25">
      <c r="A91" s="733" t="s">
        <v>365</v>
      </c>
      <c r="B91" s="734"/>
      <c r="C91" s="734"/>
      <c r="D91" s="735"/>
      <c r="E91" s="455">
        <f>'29'!F91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 ht="29.25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O92" s="808"/>
    </row>
    <row r="93" spans="1:15" ht="27.75">
      <c r="A93" s="1651" t="s">
        <v>206</v>
      </c>
      <c r="B93" s="1652"/>
      <c r="C93" s="1652"/>
      <c r="D93" s="523" t="s">
        <v>144</v>
      </c>
      <c r="E93" s="455">
        <f>'29'!F93</f>
        <v>244468</v>
      </c>
      <c r="F93" s="484">
        <v>244524</v>
      </c>
      <c r="G93" s="473">
        <f t="shared" ref="G93:G94" si="8">F93-E93</f>
        <v>56</v>
      </c>
      <c r="H93" s="460">
        <f>G93+'29'!H93</f>
        <v>0</v>
      </c>
      <c r="I93" s="480"/>
      <c r="J93" s="552">
        <f>H93/DAY(B2)</f>
        <v>0</v>
      </c>
      <c r="K93" s="429"/>
      <c r="L93" s="377"/>
      <c r="O93" s="808"/>
    </row>
    <row r="94" spans="1:15" ht="27.75">
      <c r="A94" s="1651" t="s">
        <v>207</v>
      </c>
      <c r="B94" s="1652"/>
      <c r="C94" s="1652"/>
      <c r="D94" s="523" t="s">
        <v>144</v>
      </c>
      <c r="E94" s="455">
        <f>'29'!F94</f>
        <v>183446</v>
      </c>
      <c r="F94" s="484">
        <v>183531</v>
      </c>
      <c r="G94" s="473">
        <f t="shared" si="8"/>
        <v>85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8"/>
    </row>
    <row r="95" spans="1:15" ht="29.25">
      <c r="A95" s="1668" t="s">
        <v>208</v>
      </c>
      <c r="B95" s="1669"/>
      <c r="C95" s="1669"/>
      <c r="D95" s="523"/>
      <c r="E95" s="455"/>
      <c r="F95" s="484"/>
      <c r="G95" s="473">
        <f>G93+G94</f>
        <v>141</v>
      </c>
      <c r="H95" s="460">
        <f>G95+'29'!H95</f>
        <v>-147</v>
      </c>
      <c r="I95" s="480"/>
      <c r="J95" s="552">
        <f>H95/DAY(B2)</f>
        <v>-4.9000000000000004</v>
      </c>
      <c r="K95" s="380"/>
      <c r="L95" s="377"/>
      <c r="O95" s="808"/>
    </row>
    <row r="96" spans="1:15" ht="27.75">
      <c r="A96" s="1651" t="s">
        <v>209</v>
      </c>
      <c r="B96" s="1652"/>
      <c r="C96" s="1652"/>
      <c r="D96" s="523" t="s">
        <v>144</v>
      </c>
      <c r="E96" s="455">
        <f>'29'!F96</f>
        <v>412812</v>
      </c>
      <c r="F96" s="484">
        <v>412886</v>
      </c>
      <c r="G96" s="473">
        <f t="shared" ref="G96:G100" si="9">F96-E96</f>
        <v>74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8"/>
    </row>
    <row r="97" spans="1:15" ht="27.75">
      <c r="A97" s="1144" t="s">
        <v>210</v>
      </c>
      <c r="B97" s="1145"/>
      <c r="C97" s="1145"/>
      <c r="D97" s="523" t="s">
        <v>144</v>
      </c>
      <c r="E97" s="455">
        <f>'29'!F97</f>
        <v>102333</v>
      </c>
      <c r="F97" s="484">
        <v>102343</v>
      </c>
      <c r="G97" s="473">
        <f t="shared" si="9"/>
        <v>10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8"/>
    </row>
    <row r="98" spans="1:15" ht="27.75">
      <c r="A98" s="1144" t="s">
        <v>211</v>
      </c>
      <c r="B98" s="1145"/>
      <c r="C98" s="1145"/>
      <c r="D98" s="523" t="s">
        <v>144</v>
      </c>
      <c r="E98" s="455">
        <f>'29'!F98</f>
        <v>97411</v>
      </c>
      <c r="F98" s="484">
        <v>97427</v>
      </c>
      <c r="G98" s="473">
        <f t="shared" si="9"/>
        <v>16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8"/>
    </row>
    <row r="99" spans="1:15" ht="27.75">
      <c r="A99" s="1144" t="s">
        <v>212</v>
      </c>
      <c r="B99" s="1145"/>
      <c r="C99" s="1145"/>
      <c r="D99" s="523" t="s">
        <v>144</v>
      </c>
      <c r="E99" s="455">
        <f>'29'!F99</f>
        <v>149525</v>
      </c>
      <c r="F99" s="484">
        <v>149533</v>
      </c>
      <c r="G99" s="473">
        <f t="shared" si="9"/>
        <v>8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8"/>
    </row>
    <row r="100" spans="1:15" ht="27.75">
      <c r="A100" s="1144" t="s">
        <v>213</v>
      </c>
      <c r="B100" s="1145"/>
      <c r="C100" s="1145"/>
      <c r="D100" s="523" t="s">
        <v>144</v>
      </c>
      <c r="E100" s="455">
        <f>'29'!F100</f>
        <v>7181</v>
      </c>
      <c r="F100" s="484">
        <v>7185</v>
      </c>
      <c r="G100" s="473">
        <f t="shared" si="9"/>
        <v>4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8"/>
    </row>
    <row r="101" spans="1:15" ht="27.75">
      <c r="A101" s="1144" t="s">
        <v>214</v>
      </c>
      <c r="B101" s="1145"/>
      <c r="C101" s="1145"/>
      <c r="D101" s="523" t="s">
        <v>144</v>
      </c>
      <c r="E101" s="455">
        <f>'29'!F101</f>
        <v>5133</v>
      </c>
      <c r="F101" s="484">
        <v>5138</v>
      </c>
      <c r="G101" s="473">
        <f>F101-E101</f>
        <v>5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8"/>
    </row>
    <row r="102" spans="1:15" ht="29.25">
      <c r="A102" s="1668" t="s">
        <v>216</v>
      </c>
      <c r="B102" s="1669"/>
      <c r="C102" s="1669"/>
      <c r="D102" s="524"/>
      <c r="E102" s="524"/>
      <c r="F102" s="524"/>
      <c r="G102" s="525">
        <f>SUM(G96:G101)</f>
        <v>117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8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8"/>
    </row>
    <row r="104" spans="1:15" s="442" customFormat="1" ht="27.75">
      <c r="A104" s="1674" t="s">
        <v>218</v>
      </c>
      <c r="B104" s="1675"/>
      <c r="C104" s="573"/>
      <c r="D104" s="622"/>
      <c r="E104" s="532"/>
      <c r="F104" s="532"/>
      <c r="G104" s="532"/>
      <c r="H104" s="533"/>
      <c r="I104" s="532"/>
      <c r="J104" s="558"/>
      <c r="O104" s="808"/>
    </row>
    <row r="105" spans="1:15" s="442" customFormat="1" ht="27.75">
      <c r="A105" s="1649" t="s">
        <v>219</v>
      </c>
      <c r="B105" s="1650"/>
      <c r="C105" s="1142"/>
      <c r="D105" s="622" t="s">
        <v>144</v>
      </c>
      <c r="E105" s="532">
        <f>'29'!F105</f>
        <v>7431</v>
      </c>
      <c r="F105" s="532">
        <v>7431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8"/>
    </row>
    <row r="106" spans="1:15" s="442" customFormat="1" ht="27.75">
      <c r="A106" s="1649" t="s">
        <v>77</v>
      </c>
      <c r="B106" s="1650"/>
      <c r="C106" s="1142"/>
      <c r="D106" s="622" t="s">
        <v>144</v>
      </c>
      <c r="E106" s="532">
        <f>'29'!F106</f>
        <v>35828</v>
      </c>
      <c r="F106" s="534">
        <v>35828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8"/>
    </row>
    <row r="107" spans="1:15" s="442" customFormat="1" ht="27.75">
      <c r="A107" s="1649" t="s">
        <v>78</v>
      </c>
      <c r="B107" s="1650"/>
      <c r="C107" s="1650"/>
      <c r="D107" s="622" t="s">
        <v>144</v>
      </c>
      <c r="E107" s="532">
        <f>'29'!F107</f>
        <v>19614</v>
      </c>
      <c r="F107" s="532">
        <v>19617</v>
      </c>
      <c r="G107" s="532">
        <f t="shared" si="10"/>
        <v>3</v>
      </c>
      <c r="H107" s="460">
        <f>G107+'29'!H107</f>
        <v>134</v>
      </c>
      <c r="I107" s="532"/>
      <c r="J107" s="558">
        <f>H107/DAY(B2)</f>
        <v>4.4666666666666668</v>
      </c>
      <c r="O107" s="808"/>
    </row>
    <row r="108" spans="1:15" s="442" customFormat="1" ht="27.75">
      <c r="A108" s="1639" t="s">
        <v>202</v>
      </c>
      <c r="B108" s="1640"/>
      <c r="C108" s="1142"/>
      <c r="D108" s="622"/>
      <c r="E108" s="532"/>
      <c r="F108" s="532"/>
      <c r="G108" s="532">
        <f>SUM(G105:G107)</f>
        <v>3</v>
      </c>
      <c r="H108" s="460">
        <f>G108+'29'!H108</f>
        <v>208</v>
      </c>
      <c r="I108" s="532"/>
      <c r="J108" s="558">
        <f>H108/DAY(B2)</f>
        <v>6.9333333333333336</v>
      </c>
      <c r="O108" s="808"/>
    </row>
    <row r="109" spans="1:15" s="442" customFormat="1" ht="27.75">
      <c r="A109" s="1647" t="s">
        <v>79</v>
      </c>
      <c r="B109" s="1648"/>
      <c r="C109" s="1142"/>
      <c r="D109" s="622" t="s">
        <v>144</v>
      </c>
      <c r="E109" s="532"/>
      <c r="F109" s="532"/>
      <c r="G109" s="532"/>
      <c r="H109" s="533"/>
      <c r="I109" s="532"/>
      <c r="J109" s="558"/>
      <c r="O109" s="808"/>
    </row>
    <row r="110" spans="1:15" s="442" customFormat="1" ht="27.75">
      <c r="A110" s="1649" t="s">
        <v>220</v>
      </c>
      <c r="B110" s="1650"/>
      <c r="C110" s="1142"/>
      <c r="D110" s="622" t="s">
        <v>144</v>
      </c>
      <c r="E110" s="532">
        <f>'29'!F110</f>
        <v>61077</v>
      </c>
      <c r="F110" s="532">
        <v>61174</v>
      </c>
      <c r="G110" s="532">
        <f>F110-E110</f>
        <v>97</v>
      </c>
      <c r="H110" s="460">
        <f>G110+'29'!H110</f>
        <v>261</v>
      </c>
      <c r="I110" s="532"/>
      <c r="J110" s="558">
        <f>H110/DAY(B2)</f>
        <v>8.6999999999999993</v>
      </c>
      <c r="O110" s="808"/>
    </row>
    <row r="111" spans="1:15" s="442" customFormat="1" ht="27.75">
      <c r="A111" s="1649" t="s">
        <v>221</v>
      </c>
      <c r="B111" s="1650"/>
      <c r="C111" s="1142"/>
      <c r="D111" s="622" t="s">
        <v>144</v>
      </c>
      <c r="E111" s="532">
        <f>'29'!F111</f>
        <v>32235</v>
      </c>
      <c r="F111" s="532">
        <v>32235</v>
      </c>
      <c r="G111" s="532">
        <f t="shared" ref="G111:G112" si="11">F111-E111</f>
        <v>0</v>
      </c>
      <c r="H111" s="460">
        <f>G111+'29'!H111</f>
        <v>34</v>
      </c>
      <c r="I111" s="532"/>
      <c r="J111" s="558">
        <f>H111/DAY(B2)</f>
        <v>1.1333333333333333</v>
      </c>
      <c r="O111" s="808"/>
    </row>
    <row r="112" spans="1:15" s="442" customFormat="1" ht="27.75">
      <c r="A112" s="1649" t="s">
        <v>222</v>
      </c>
      <c r="B112" s="1650"/>
      <c r="C112" s="1142"/>
      <c r="D112" s="622" t="s">
        <v>144</v>
      </c>
      <c r="E112" s="532">
        <f>'29'!F112</f>
        <v>4368</v>
      </c>
      <c r="F112" s="532">
        <v>4368</v>
      </c>
      <c r="G112" s="532">
        <f t="shared" si="11"/>
        <v>0</v>
      </c>
      <c r="H112" s="460">
        <f>G112+'29'!H112</f>
        <v>260</v>
      </c>
      <c r="I112" s="532"/>
      <c r="J112" s="558">
        <f>H112/DAY(B2)</f>
        <v>8.6666666666666661</v>
      </c>
      <c r="O112" s="808"/>
    </row>
    <row r="113" spans="1:15" s="442" customFormat="1" ht="27.75">
      <c r="A113" s="1645" t="s">
        <v>110</v>
      </c>
      <c r="B113" s="1646"/>
      <c r="C113" s="1142"/>
      <c r="D113" s="622"/>
      <c r="E113" s="532"/>
      <c r="F113" s="532"/>
      <c r="G113" s="532">
        <f>SUM(G110:G112)</f>
        <v>97</v>
      </c>
      <c r="H113" s="460">
        <f>G113+'29'!H113</f>
        <v>922</v>
      </c>
      <c r="I113" s="532"/>
      <c r="J113" s="558">
        <f>H113/DAY(B2)</f>
        <v>30.733333333333334</v>
      </c>
      <c r="O113" s="808"/>
    </row>
    <row r="114" spans="1:15" s="442" customFormat="1" ht="27.75">
      <c r="A114" s="1647" t="s">
        <v>223</v>
      </c>
      <c r="B114" s="1648"/>
      <c r="C114" s="1142"/>
      <c r="D114" s="622"/>
      <c r="E114" s="532"/>
      <c r="F114" s="532"/>
      <c r="G114" s="532"/>
      <c r="H114" s="533"/>
      <c r="I114" s="532"/>
      <c r="J114" s="558">
        <f>H114/DAY(B2)</f>
        <v>0</v>
      </c>
      <c r="O114" s="808"/>
    </row>
    <row r="115" spans="1:15" s="442" customFormat="1" ht="27.75">
      <c r="A115" s="1649" t="s">
        <v>224</v>
      </c>
      <c r="B115" s="1650"/>
      <c r="C115" s="574"/>
      <c r="D115" s="622" t="s">
        <v>144</v>
      </c>
      <c r="E115" s="532">
        <f>'29'!F115</f>
        <v>11254</v>
      </c>
      <c r="F115" s="534">
        <v>11259</v>
      </c>
      <c r="G115" s="534">
        <f>F115-E115</f>
        <v>5</v>
      </c>
      <c r="H115" s="460">
        <f>G115+'29'!H115</f>
        <v>10</v>
      </c>
      <c r="I115" s="532"/>
      <c r="J115" s="558">
        <f>H115/DAY(B2)</f>
        <v>0.33333333333333331</v>
      </c>
      <c r="O115" s="808"/>
    </row>
    <row r="116" spans="1:15" s="442" customFormat="1" ht="27.75">
      <c r="A116" s="1649" t="s">
        <v>225</v>
      </c>
      <c r="B116" s="1650"/>
      <c r="C116" s="574"/>
      <c r="D116" s="622" t="s">
        <v>144</v>
      </c>
      <c r="E116" s="532">
        <f>'29'!F116</f>
        <v>8123</v>
      </c>
      <c r="F116" s="534">
        <v>8126</v>
      </c>
      <c r="G116" s="534">
        <f t="shared" ref="G116:G117" si="12">F116-E116</f>
        <v>3</v>
      </c>
      <c r="H116" s="460">
        <f>G116+'29'!H116</f>
        <v>57</v>
      </c>
      <c r="I116" s="532"/>
      <c r="J116" s="558">
        <f>H116/DAY(B2)</f>
        <v>1.9</v>
      </c>
      <c r="O116" s="808"/>
    </row>
    <row r="117" spans="1:15" s="442" customFormat="1" ht="27.75">
      <c r="A117" s="1649" t="s">
        <v>226</v>
      </c>
      <c r="B117" s="1650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95</v>
      </c>
      <c r="I117" s="532"/>
      <c r="J117" s="558">
        <f>H117/DAY(B2)</f>
        <v>3.1666666666666665</v>
      </c>
      <c r="O117" s="808"/>
    </row>
    <row r="118" spans="1:15" s="445" customFormat="1" ht="27.75">
      <c r="A118" s="1639" t="s">
        <v>202</v>
      </c>
      <c r="B118" s="1640"/>
      <c r="C118" s="574"/>
      <c r="D118" s="623"/>
      <c r="E118" s="534"/>
      <c r="F118" s="534"/>
      <c r="G118" s="534">
        <f>SUM(G115:G117)</f>
        <v>8</v>
      </c>
      <c r="H118" s="460">
        <f>G118+'29'!H118</f>
        <v>87</v>
      </c>
      <c r="I118" s="534"/>
      <c r="J118" s="558">
        <f>H118/DAY(B2)</f>
        <v>2.9</v>
      </c>
      <c r="O118" s="808"/>
    </row>
    <row r="119" spans="1:15" s="446" customFormat="1" ht="27.75">
      <c r="A119" s="1641" t="s">
        <v>227</v>
      </c>
      <c r="B119" s="1642"/>
      <c r="C119" s="1141"/>
      <c r="D119" s="624" t="s">
        <v>144</v>
      </c>
      <c r="E119" s="535"/>
      <c r="F119" s="536"/>
      <c r="G119" s="536">
        <f>SUM(G19+G93)</f>
        <v>110</v>
      </c>
      <c r="H119" s="460">
        <f>G119+'29'!H119</f>
        <v>194</v>
      </c>
      <c r="I119" s="535"/>
      <c r="J119" s="559">
        <f>H119/DAY(B2)</f>
        <v>6.4666666666666668</v>
      </c>
      <c r="O119" s="808"/>
    </row>
    <row r="120" spans="1:15" s="446" customFormat="1" ht="27.75">
      <c r="A120" s="1641" t="s">
        <v>228</v>
      </c>
      <c r="B120" s="1642"/>
      <c r="C120" s="1141"/>
      <c r="D120" s="624" t="s">
        <v>144</v>
      </c>
      <c r="E120" s="535"/>
      <c r="F120" s="536"/>
      <c r="G120" s="536">
        <f>SUM(G96,G97,G98,G100,G101)</f>
        <v>109</v>
      </c>
      <c r="H120" s="460">
        <f>G120+'29'!H120</f>
        <v>199</v>
      </c>
      <c r="I120" s="535"/>
      <c r="J120" s="559">
        <f>H120/DAY(B2)</f>
        <v>6.6333333333333337</v>
      </c>
      <c r="O120" s="808"/>
    </row>
    <row r="121" spans="1:15" s="446" customFormat="1" ht="27.75">
      <c r="A121" s="1641" t="s">
        <v>229</v>
      </c>
      <c r="B121" s="1642"/>
      <c r="C121" s="1141"/>
      <c r="D121" s="624" t="s">
        <v>144</v>
      </c>
      <c r="E121" s="535"/>
      <c r="F121" s="534"/>
      <c r="G121" s="534">
        <f>SUM(G113)</f>
        <v>97</v>
      </c>
      <c r="H121" s="460">
        <f>G121+'29'!H121</f>
        <v>213</v>
      </c>
      <c r="I121" s="535"/>
      <c r="J121" s="559">
        <f>H121/DAY(B2)</f>
        <v>7.1</v>
      </c>
      <c r="O121" s="808"/>
    </row>
    <row r="122" spans="1:15" s="442" customFormat="1" ht="27.75">
      <c r="A122" s="1643"/>
      <c r="B122" s="1644"/>
      <c r="C122" s="1142"/>
      <c r="D122" s="560"/>
      <c r="E122" s="560"/>
      <c r="F122" s="560"/>
      <c r="G122" s="560"/>
      <c r="H122" s="561"/>
      <c r="I122" s="560"/>
      <c r="J122" s="562"/>
      <c r="O122" s="808"/>
    </row>
    <row r="123" spans="1:15" ht="29.25">
      <c r="A123" s="1670" t="s">
        <v>230</v>
      </c>
      <c r="B123" s="1671"/>
      <c r="C123" s="1671"/>
      <c r="D123" s="472"/>
      <c r="E123" s="472"/>
      <c r="F123" s="472"/>
      <c r="G123" s="483"/>
      <c r="H123" s="483"/>
      <c r="I123" s="483"/>
      <c r="J123" s="563"/>
      <c r="K123" s="380"/>
      <c r="L123" s="377"/>
      <c r="O123" s="808"/>
    </row>
    <row r="124" spans="1:15" ht="21.95" customHeight="1">
      <c r="A124" s="1144" t="s">
        <v>231</v>
      </c>
      <c r="B124" s="1145"/>
      <c r="C124" s="1145"/>
      <c r="D124" s="523" t="s">
        <v>141</v>
      </c>
      <c r="E124" s="455">
        <f>'29'!F124</f>
        <v>825896.04</v>
      </c>
      <c r="F124" s="478">
        <v>826088.46</v>
      </c>
      <c r="G124" s="473">
        <f t="shared" ref="G124:G128" si="13">F124-E124</f>
        <v>192.41999999992549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144" t="s">
        <v>232</v>
      </c>
      <c r="B125" s="1145"/>
      <c r="C125" s="1145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8"/>
    </row>
    <row r="126" spans="1:15" ht="21.95" customHeight="1">
      <c r="A126" s="1664" t="s">
        <v>233</v>
      </c>
      <c r="B126" s="1500"/>
      <c r="C126" s="1500"/>
      <c r="D126" s="523" t="s">
        <v>141</v>
      </c>
      <c r="E126" s="455">
        <f>'29'!F126</f>
        <v>144610</v>
      </c>
      <c r="F126" s="478">
        <v>144687.44</v>
      </c>
      <c r="G126" s="473">
        <f t="shared" si="13"/>
        <v>77.440000000002328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8"/>
    </row>
    <row r="127" spans="1:15" ht="21.95" customHeight="1">
      <c r="A127" s="609" t="s">
        <v>234</v>
      </c>
      <c r="B127" s="1145"/>
      <c r="C127" s="1145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8"/>
    </row>
    <row r="128" spans="1:15" ht="21.95" customHeight="1">
      <c r="A128" s="609" t="s">
        <v>235</v>
      </c>
      <c r="B128" s="1145"/>
      <c r="C128" s="1145"/>
      <c r="D128" s="523" t="s">
        <v>141</v>
      </c>
      <c r="E128" s="455">
        <f>'29'!F128</f>
        <v>8969.7000000000007</v>
      </c>
      <c r="F128" s="478">
        <v>8969.7000000000007</v>
      </c>
      <c r="G128" s="473">
        <f t="shared" si="13"/>
        <v>0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8"/>
    </row>
    <row r="129" spans="1:15" s="281" customFormat="1" ht="21.75" customHeight="1">
      <c r="A129" s="609" t="s">
        <v>236</v>
      </c>
      <c r="B129" s="1145"/>
      <c r="C129" s="1145"/>
      <c r="D129" s="523"/>
      <c r="E129" s="455"/>
      <c r="F129" s="478"/>
      <c r="G129" s="473">
        <f>G15-SUM(G124:G128)</f>
        <v>206.45000000004075</v>
      </c>
      <c r="H129" s="460"/>
      <c r="I129" s="480"/>
      <c r="J129" s="552"/>
      <c r="K129" s="364"/>
      <c r="L129" s="292"/>
      <c r="O129" s="808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8"/>
    </row>
    <row r="131" spans="1:15" ht="27.75">
      <c r="A131" s="1144" t="s">
        <v>238</v>
      </c>
      <c r="B131" s="1145"/>
      <c r="C131" s="1145"/>
      <c r="D131" s="523" t="s">
        <v>239</v>
      </c>
      <c r="E131" s="455">
        <f>'29'!F131</f>
        <v>0</v>
      </c>
      <c r="F131" s="484"/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4" t="s">
        <v>240</v>
      </c>
      <c r="B132" s="1145"/>
      <c r="C132" s="1145"/>
      <c r="D132" s="523" t="s">
        <v>239</v>
      </c>
      <c r="E132" s="455">
        <f>'29'!F132</f>
        <v>0</v>
      </c>
      <c r="F132" s="484"/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8"/>
    </row>
    <row r="133" spans="1:15" ht="27.75">
      <c r="A133" s="1144" t="s">
        <v>241</v>
      </c>
      <c r="B133" s="1145"/>
      <c r="C133" s="1145"/>
      <c r="D133" s="523" t="s">
        <v>239</v>
      </c>
      <c r="E133" s="455">
        <f>'29'!F133</f>
        <v>39728.32</v>
      </c>
      <c r="F133" s="541">
        <v>39746.480000000003</v>
      </c>
      <c r="G133" s="473">
        <f t="shared" si="14"/>
        <v>18.160000000003492</v>
      </c>
      <c r="H133" s="460">
        <f>G133+'29'!H133</f>
        <v>0</v>
      </c>
      <c r="I133" s="480"/>
      <c r="J133" s="552">
        <f>H133/DAY(B2)</f>
        <v>0</v>
      </c>
      <c r="O133" s="808"/>
    </row>
    <row r="134" spans="1:15" ht="27.75">
      <c r="A134" s="1144" t="s">
        <v>242</v>
      </c>
      <c r="B134" s="1145"/>
      <c r="C134" s="1145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18.160000000003492</v>
      </c>
      <c r="J134" s="552">
        <f>H134/DAY(B2)</f>
        <v>0</v>
      </c>
      <c r="O134" s="808"/>
    </row>
    <row r="135" spans="1:15" ht="27.75">
      <c r="A135" s="1144" t="s">
        <v>243</v>
      </c>
      <c r="B135" s="1145"/>
      <c r="C135" s="1145"/>
      <c r="D135" s="523" t="s">
        <v>239</v>
      </c>
      <c r="E135" s="455">
        <f>'29'!F135</f>
        <v>41377</v>
      </c>
      <c r="F135" s="541">
        <v>41385</v>
      </c>
      <c r="G135" s="473">
        <f t="shared" si="14"/>
        <v>8</v>
      </c>
      <c r="H135" s="460">
        <f>G135+'29'!H135</f>
        <v>114</v>
      </c>
      <c r="I135" s="480"/>
      <c r="J135" s="552">
        <f>H135/DAY(B2)</f>
        <v>3.8</v>
      </c>
      <c r="O135" s="808"/>
    </row>
    <row r="136" spans="1:15" ht="27.75">
      <c r="A136" s="1144" t="s">
        <v>244</v>
      </c>
      <c r="B136" s="1145"/>
      <c r="C136" s="1145"/>
      <c r="D136" s="523" t="s">
        <v>239</v>
      </c>
      <c r="E136" s="455">
        <f>'29'!F136</f>
        <v>32583</v>
      </c>
      <c r="F136" s="541">
        <v>32583</v>
      </c>
      <c r="G136" s="473">
        <f t="shared" si="14"/>
        <v>0</v>
      </c>
      <c r="H136" s="460">
        <f>G136+'29'!H136</f>
        <v>13.069999999999709</v>
      </c>
      <c r="I136" s="480"/>
      <c r="J136" s="552">
        <f>H136/DAY(B2)</f>
        <v>0.43566666666665699</v>
      </c>
      <c r="O136" s="808"/>
    </row>
    <row r="137" spans="1:15" ht="27.75">
      <c r="A137" s="1144" t="s">
        <v>245</v>
      </c>
      <c r="B137" s="1145"/>
      <c r="C137" s="1145"/>
      <c r="D137" s="523" t="s">
        <v>239</v>
      </c>
      <c r="E137" s="455">
        <f>'29'!F137</f>
        <v>22739.59</v>
      </c>
      <c r="F137" s="541">
        <v>22739.59</v>
      </c>
      <c r="G137" s="473">
        <f t="shared" si="14"/>
        <v>0</v>
      </c>
      <c r="H137" s="460">
        <f>G137+'29'!H137</f>
        <v>0</v>
      </c>
      <c r="I137" s="480">
        <f>G135+G136+G137</f>
        <v>8</v>
      </c>
      <c r="J137" s="552">
        <f>H137/DAY(B2)</f>
        <v>0</v>
      </c>
      <c r="O137" s="808"/>
    </row>
    <row r="138" spans="1:15" ht="27.75">
      <c r="A138" s="1144" t="s">
        <v>246</v>
      </c>
      <c r="B138" s="1145"/>
      <c r="C138" s="1145"/>
      <c r="D138" s="523" t="s">
        <v>239</v>
      </c>
      <c r="E138" s="455">
        <f>'29'!F138</f>
        <v>25051.59</v>
      </c>
      <c r="F138" s="541">
        <v>25051.59</v>
      </c>
      <c r="G138" s="473">
        <f t="shared" si="14"/>
        <v>0</v>
      </c>
      <c r="H138" s="460">
        <f>G138+'29'!H138</f>
        <v>8.0999999999985448</v>
      </c>
      <c r="I138" s="480"/>
      <c r="J138" s="552">
        <f>H138/DAY(B2)</f>
        <v>0.2699999999999515</v>
      </c>
      <c r="O138" s="808"/>
    </row>
    <row r="139" spans="1:15" ht="27.75">
      <c r="A139" s="1144" t="s">
        <v>247</v>
      </c>
      <c r="B139" s="1145"/>
      <c r="C139" s="1145"/>
      <c r="D139" s="523" t="s">
        <v>239</v>
      </c>
      <c r="E139" s="455">
        <f>'29'!F139</f>
        <v>70306.759999999995</v>
      </c>
      <c r="F139" s="541">
        <v>70315.81</v>
      </c>
      <c r="G139" s="473">
        <f t="shared" si="14"/>
        <v>9.0500000000029104</v>
      </c>
      <c r="H139" s="460">
        <f>G139+'29'!H139</f>
        <v>35.580000000001746</v>
      </c>
      <c r="I139" s="480">
        <f>G138+G139</f>
        <v>9.0500000000029104</v>
      </c>
      <c r="J139" s="552">
        <f>H139/DAY(B2)</f>
        <v>1.1860000000000581</v>
      </c>
      <c r="O139" s="808"/>
    </row>
    <row r="140" spans="1:15" ht="27.75">
      <c r="A140" s="1144" t="s">
        <v>248</v>
      </c>
      <c r="B140" s="1145"/>
      <c r="C140" s="1145"/>
      <c r="D140" s="523" t="s">
        <v>239</v>
      </c>
      <c r="E140" s="455">
        <f>'29'!F140</f>
        <v>1609.55</v>
      </c>
      <c r="F140" s="484">
        <v>1616.86</v>
      </c>
      <c r="G140" s="473">
        <f t="shared" si="14"/>
        <v>7.3099999999999454</v>
      </c>
      <c r="H140" s="460">
        <f>G140+'29'!H140</f>
        <v>0</v>
      </c>
      <c r="I140" s="542"/>
      <c r="J140" s="552">
        <f>H140/DAY(B2)</f>
        <v>0</v>
      </c>
      <c r="O140" s="808"/>
    </row>
    <row r="141" spans="1:15" ht="27.75">
      <c r="A141" s="1144" t="s">
        <v>249</v>
      </c>
      <c r="B141" s="1145"/>
      <c r="C141" s="1145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8"/>
    </row>
    <row r="142" spans="1:15" ht="21.95" customHeight="1">
      <c r="A142" s="1672" t="s">
        <v>250</v>
      </c>
      <c r="B142" s="1673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O142" s="808"/>
    </row>
    <row r="143" spans="1:15" ht="21.95" customHeight="1">
      <c r="A143" s="1651" t="s">
        <v>251</v>
      </c>
      <c r="B143" s="1652"/>
      <c r="C143" s="1652"/>
      <c r="D143" s="523" t="s">
        <v>132</v>
      </c>
      <c r="E143" s="523"/>
      <c r="F143" s="523"/>
      <c r="G143" s="460">
        <f>G35+G43+G49+G57</f>
        <v>4871.4599999999627</v>
      </c>
      <c r="H143" s="460">
        <f>G143+'29'!H143</f>
        <v>-289</v>
      </c>
      <c r="I143" s="480"/>
      <c r="J143" s="552">
        <f>H143/DAY(B2)</f>
        <v>-9.6333333333333329</v>
      </c>
      <c r="K143" s="380"/>
      <c r="L143" s="377"/>
      <c r="O143" s="808"/>
    </row>
    <row r="144" spans="1:15" ht="21.95" customHeight="1">
      <c r="A144" s="1651" t="s">
        <v>252</v>
      </c>
      <c r="B144" s="1652"/>
      <c r="C144" s="1652"/>
      <c r="D144" s="523" t="s">
        <v>24</v>
      </c>
      <c r="E144" s="511"/>
      <c r="F144" s="511"/>
      <c r="G144" s="543">
        <f>G143/G7</f>
        <v>0.2599775856548171</v>
      </c>
      <c r="H144" s="460">
        <f>G144+'29'!H144</f>
        <v>7.6092489611010521</v>
      </c>
      <c r="I144" s="544"/>
      <c r="J144" s="552">
        <f>H144/DAY(B2)</f>
        <v>0.25364163203670176</v>
      </c>
      <c r="K144" s="380"/>
      <c r="L144" s="377"/>
      <c r="O144" s="808"/>
    </row>
    <row r="145" spans="1:15" ht="21.95" customHeight="1">
      <c r="A145" s="1651" t="s">
        <v>253</v>
      </c>
      <c r="B145" s="1652"/>
      <c r="C145" s="1652"/>
      <c r="D145" s="523" t="s">
        <v>132</v>
      </c>
      <c r="E145" s="455"/>
      <c r="F145" s="455"/>
      <c r="G145" s="460">
        <f>G41+G42+G55+G56</f>
        <v>5778.3299999999872</v>
      </c>
      <c r="H145" s="460">
        <f>G145+'29'!H145</f>
        <v>346926</v>
      </c>
      <c r="I145" s="480"/>
      <c r="J145" s="552">
        <f>H145/DAY(B2)</f>
        <v>11564.2</v>
      </c>
      <c r="K145" s="380"/>
      <c r="L145" s="377"/>
      <c r="O145" s="808"/>
    </row>
    <row r="146" spans="1:15" ht="21.95" customHeight="1">
      <c r="A146" s="1651" t="s">
        <v>254</v>
      </c>
      <c r="B146" s="1652"/>
      <c r="C146" s="1652"/>
      <c r="D146" s="523" t="s">
        <v>24</v>
      </c>
      <c r="E146" s="455"/>
      <c r="F146" s="455"/>
      <c r="G146" s="543">
        <f>G145/G7</f>
        <v>0.30837495997438291</v>
      </c>
      <c r="H146" s="460">
        <f>G146+'29'!H146</f>
        <v>8.9601032713875721</v>
      </c>
      <c r="I146" s="544"/>
      <c r="J146" s="552">
        <f>H146/DAY(B2)</f>
        <v>0.29867010904625241</v>
      </c>
      <c r="K146" s="380"/>
      <c r="L146" s="377"/>
      <c r="O146" s="808"/>
    </row>
    <row r="147" spans="1:15" ht="21.95" customHeight="1">
      <c r="A147" s="1651" t="s">
        <v>255</v>
      </c>
      <c r="B147" s="1652"/>
      <c r="C147" s="1652"/>
      <c r="D147" s="523" t="s">
        <v>132</v>
      </c>
      <c r="E147" s="455"/>
      <c r="F147" s="455"/>
      <c r="G147" s="460">
        <f>G39+G53</f>
        <v>2767.7600000000093</v>
      </c>
      <c r="H147" s="460">
        <f>G147+'29'!H147</f>
        <v>15945</v>
      </c>
      <c r="I147" s="545"/>
      <c r="J147" s="552">
        <f>H147/DAY(B2)</f>
        <v>531.5</v>
      </c>
      <c r="K147" s="380"/>
      <c r="L147" s="377"/>
      <c r="O147" s="808"/>
    </row>
    <row r="148" spans="1:15" ht="21.95" customHeight="1">
      <c r="A148" s="1651" t="s">
        <v>256</v>
      </c>
      <c r="B148" s="1652"/>
      <c r="C148" s="1652"/>
      <c r="D148" s="523" t="s">
        <v>24</v>
      </c>
      <c r="E148" s="455"/>
      <c r="F148" s="455"/>
      <c r="G148" s="543">
        <f>G147/G7</f>
        <v>0.14770840004269448</v>
      </c>
      <c r="H148" s="460">
        <f>G148+'29'!H148</f>
        <v>4.569800171352882</v>
      </c>
      <c r="I148" s="545"/>
      <c r="J148" s="552">
        <f>H148/DAY(B2)</f>
        <v>0.1523266723784294</v>
      </c>
      <c r="O148" s="808"/>
    </row>
    <row r="149" spans="1:15" ht="21.95" customHeight="1">
      <c r="A149" s="1651" t="s">
        <v>257</v>
      </c>
      <c r="B149" s="1652"/>
      <c r="C149" s="1652"/>
      <c r="D149" s="523" t="s">
        <v>183</v>
      </c>
      <c r="E149" s="455"/>
      <c r="F149" s="455"/>
      <c r="G149" s="460">
        <f>G38+G52</f>
        <v>1456.690000000046</v>
      </c>
      <c r="H149" s="460">
        <f>G149+'29'!H149</f>
        <v>0</v>
      </c>
      <c r="I149" s="480"/>
      <c r="J149" s="552">
        <f>H149/DAY(B2)</f>
        <v>0</v>
      </c>
      <c r="K149" s="381"/>
      <c r="O149" s="808"/>
    </row>
    <row r="150" spans="1:15" ht="21.95" customHeight="1">
      <c r="A150" s="1651" t="s">
        <v>258</v>
      </c>
      <c r="B150" s="1652"/>
      <c r="C150" s="1652"/>
      <c r="D150" s="523" t="s">
        <v>24</v>
      </c>
      <c r="E150" s="455"/>
      <c r="F150" s="455"/>
      <c r="G150" s="543">
        <f>G149/G7</f>
        <v>7.7739886860926782E-2</v>
      </c>
      <c r="H150" s="460">
        <f>G150+'29'!H150</f>
        <v>2.1634622146341185</v>
      </c>
      <c r="I150" s="545"/>
      <c r="J150" s="552">
        <f>H150/DAY(B2)</f>
        <v>7.2115407154470609E-2</v>
      </c>
      <c r="O150" s="808"/>
    </row>
    <row r="151" spans="1:15" ht="21.95" customHeight="1">
      <c r="A151" s="1651" t="s">
        <v>259</v>
      </c>
      <c r="B151" s="1652"/>
      <c r="C151" s="1652"/>
      <c r="D151" s="523" t="s">
        <v>183</v>
      </c>
      <c r="E151" s="455"/>
      <c r="F151" s="455"/>
      <c r="G151" s="460">
        <f>G36+G50</f>
        <v>2098.0599999999977</v>
      </c>
      <c r="H151" s="460">
        <f>G151+'29'!H151</f>
        <v>0</v>
      </c>
      <c r="I151" s="545"/>
      <c r="J151" s="552">
        <f>H151/DAY(B2)</f>
        <v>0</v>
      </c>
      <c r="O151" s="808"/>
    </row>
    <row r="152" spans="1:15" ht="21.95" customHeight="1">
      <c r="A152" s="1651" t="s">
        <v>260</v>
      </c>
      <c r="B152" s="1652"/>
      <c r="C152" s="1652"/>
      <c r="D152" s="523" t="s">
        <v>24</v>
      </c>
      <c r="E152" s="455"/>
      <c r="F152" s="455"/>
      <c r="G152" s="543">
        <f>G151/G7</f>
        <v>0.11196819297683838</v>
      </c>
      <c r="H152" s="460">
        <f>G152+'29'!H152</f>
        <v>2.260424053783443</v>
      </c>
      <c r="I152" s="480"/>
      <c r="J152" s="552">
        <f>H152/DAY(B2)</f>
        <v>7.5347468459448105E-2</v>
      </c>
      <c r="O152" s="808"/>
    </row>
    <row r="153" spans="1:15" ht="27.75">
      <c r="A153" s="1651" t="s">
        <v>261</v>
      </c>
      <c r="B153" s="1652"/>
      <c r="C153" s="1652"/>
      <c r="D153" s="523" t="s">
        <v>183</v>
      </c>
      <c r="E153" s="455"/>
      <c r="F153" s="455"/>
      <c r="G153" s="460">
        <f>G37+G51</f>
        <v>1371.1800000000076</v>
      </c>
      <c r="H153" s="460">
        <f>G153+'29'!H153</f>
        <v>0</v>
      </c>
      <c r="I153" s="480"/>
      <c r="J153" s="552">
        <f>H153/DAY(B2)</f>
        <v>0</v>
      </c>
      <c r="O153" s="808"/>
    </row>
    <row r="154" spans="1:15" ht="28.5" thickBot="1">
      <c r="A154" s="1676" t="s">
        <v>262</v>
      </c>
      <c r="B154" s="1677"/>
      <c r="C154" s="1677"/>
      <c r="D154" s="625" t="s">
        <v>24</v>
      </c>
      <c r="E154" s="565"/>
      <c r="F154" s="565"/>
      <c r="G154" s="566">
        <f>G153/G7</f>
        <v>7.3176432917067324E-2</v>
      </c>
      <c r="H154" s="567">
        <f>G154+'29'!H154</f>
        <v>2.1633162993357287</v>
      </c>
      <c r="I154" s="568"/>
      <c r="J154" s="569">
        <f>H154/DAY(B2)</f>
        <v>7.2110543311190961E-2</v>
      </c>
      <c r="O154" s="808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8" t="s">
        <v>263</v>
      </c>
      <c r="B161" s="789"/>
      <c r="C161" s="789"/>
      <c r="D161" s="511" t="s">
        <v>187</v>
      </c>
      <c r="E161" s="455">
        <f>'29'!F161</f>
        <v>35854.19</v>
      </c>
      <c r="F161" s="661">
        <v>35932</v>
      </c>
      <c r="G161" s="473">
        <f t="shared" ref="G161:G164" si="15">F161-E161</f>
        <v>77.809999999997672</v>
      </c>
    </row>
    <row r="162" spans="1:7" ht="21.95" customHeight="1">
      <c r="A162" s="788" t="s">
        <v>264</v>
      </c>
      <c r="B162" s="789"/>
      <c r="C162" s="789"/>
      <c r="D162" s="511" t="s">
        <v>187</v>
      </c>
      <c r="E162" s="455">
        <f>'29'!F162</f>
        <v>81901.69</v>
      </c>
      <c r="F162" s="661">
        <v>82358</v>
      </c>
      <c r="G162" s="473">
        <f t="shared" si="15"/>
        <v>456.30999999999767</v>
      </c>
    </row>
    <row r="163" spans="1:7" ht="21.95" customHeight="1">
      <c r="A163" s="788" t="s">
        <v>265</v>
      </c>
      <c r="B163" s="789"/>
      <c r="C163" s="789"/>
      <c r="D163" s="511" t="s">
        <v>187</v>
      </c>
      <c r="E163" s="455">
        <f>'29'!F163</f>
        <v>37630</v>
      </c>
      <c r="F163" s="661">
        <v>38300</v>
      </c>
      <c r="G163" s="473">
        <f t="shared" si="15"/>
        <v>670</v>
      </c>
    </row>
    <row r="164" spans="1:7" ht="21.95" customHeight="1">
      <c r="A164" s="788" t="s">
        <v>266</v>
      </c>
      <c r="B164" s="789"/>
      <c r="C164" s="789"/>
      <c r="D164" s="511" t="s">
        <v>187</v>
      </c>
      <c r="E164" s="455">
        <f>'29'!F164</f>
        <v>6201.66</v>
      </c>
      <c r="F164" s="661">
        <v>6219</v>
      </c>
      <c r="G164" s="473">
        <f t="shared" si="15"/>
        <v>17.340000000000146</v>
      </c>
    </row>
    <row r="165" spans="1:7" ht="21.95" customHeight="1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90" t="s">
        <v>188</v>
      </c>
      <c r="B166" s="604"/>
      <c r="C166" s="604"/>
      <c r="D166" s="511" t="s">
        <v>187</v>
      </c>
      <c r="E166" s="514">
        <f t="shared" ref="E166:E172" si="17">E63</f>
        <v>2355.71</v>
      </c>
      <c r="F166" s="514">
        <f t="shared" ref="F166:F172" si="18">F63</f>
        <v>2359</v>
      </c>
      <c r="G166" s="473">
        <f t="shared" si="16"/>
        <v>3.2899999999999636</v>
      </c>
    </row>
    <row r="167" spans="1:7" ht="21.95" customHeight="1">
      <c r="A167" s="1500" t="s">
        <v>99</v>
      </c>
      <c r="B167" s="1500"/>
      <c r="C167" s="1500"/>
      <c r="D167" s="523" t="s">
        <v>187</v>
      </c>
      <c r="E167" s="514">
        <f t="shared" si="17"/>
        <v>153063.73000000001</v>
      </c>
      <c r="F167" s="514">
        <f t="shared" si="18"/>
        <v>153299</v>
      </c>
      <c r="G167" s="473">
        <f t="shared" si="16"/>
        <v>235.26999999998952</v>
      </c>
    </row>
    <row r="168" spans="1:7" ht="21.95" customHeight="1">
      <c r="A168" s="1500" t="s">
        <v>100</v>
      </c>
      <c r="B168" s="1500"/>
      <c r="C168" s="1500"/>
      <c r="D168" s="523" t="s">
        <v>187</v>
      </c>
      <c r="E168" s="514">
        <f t="shared" si="17"/>
        <v>154390.29999999999</v>
      </c>
      <c r="F168" s="514">
        <f t="shared" si="18"/>
        <v>154599</v>
      </c>
      <c r="G168" s="473">
        <f t="shared" si="16"/>
        <v>208.70000000001164</v>
      </c>
    </row>
    <row r="169" spans="1:7" ht="21.95" customHeight="1">
      <c r="A169" s="1500" t="s">
        <v>101</v>
      </c>
      <c r="B169" s="1500"/>
      <c r="C169" s="1500"/>
      <c r="D169" s="523" t="s">
        <v>187</v>
      </c>
      <c r="E169" s="514">
        <f t="shared" si="17"/>
        <v>48305.58</v>
      </c>
      <c r="F169" s="514">
        <f t="shared" si="18"/>
        <v>48571</v>
      </c>
      <c r="G169" s="473">
        <f t="shared" si="16"/>
        <v>265.41999999999825</v>
      </c>
    </row>
    <row r="170" spans="1:7" ht="21.95" customHeight="1">
      <c r="A170" s="1500" t="s">
        <v>102</v>
      </c>
      <c r="B170" s="1500"/>
      <c r="C170" s="1500"/>
      <c r="D170" s="523" t="s">
        <v>187</v>
      </c>
      <c r="E170" s="514">
        <f t="shared" si="17"/>
        <v>242893.27</v>
      </c>
      <c r="F170" s="514">
        <f t="shared" si="18"/>
        <v>243174</v>
      </c>
      <c r="G170" s="473">
        <f t="shared" si="16"/>
        <v>280.73000000001048</v>
      </c>
    </row>
    <row r="171" spans="1:7" ht="21.95" customHeight="1">
      <c r="A171" s="1500" t="s">
        <v>103</v>
      </c>
      <c r="B171" s="1500"/>
      <c r="C171" s="1500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1.95" customHeight="1">
      <c r="A172" s="1500" t="s">
        <v>104</v>
      </c>
      <c r="B172" s="1500"/>
      <c r="C172" s="1500"/>
      <c r="D172" s="523" t="s">
        <v>187</v>
      </c>
      <c r="E172" s="514">
        <f t="shared" si="17"/>
        <v>78874.87</v>
      </c>
      <c r="F172" s="514">
        <f t="shared" si="18"/>
        <v>78994</v>
      </c>
      <c r="G172" s="473">
        <f t="shared" si="16"/>
        <v>119.13000000000466</v>
      </c>
    </row>
    <row r="173" spans="1:7" ht="21.95" customHeight="1">
      <c r="G173" s="538">
        <f>SUM(G161:G172)</f>
        <v>2334.00000000001</v>
      </c>
    </row>
  </sheetData>
  <mergeCells count="74">
    <mergeCell ref="A154:C154"/>
    <mergeCell ref="A148:C148"/>
    <mergeCell ref="A149:C149"/>
    <mergeCell ref="A150:C150"/>
    <mergeCell ref="A151:C151"/>
    <mergeCell ref="A152:C152"/>
    <mergeCell ref="A153:C15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zoomScale="55" zoomScaleNormal="75" zoomScaleSheetLayoutView="55" workbookViewId="0">
      <selection activeCell="F28" activeCellId="1" sqref="F28 F2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33" t="s">
        <v>117</v>
      </c>
      <c r="B1" s="1534"/>
      <c r="C1" s="1534"/>
      <c r="D1" s="1534"/>
      <c r="E1" s="1534"/>
      <c r="F1" s="1534"/>
      <c r="G1" s="1534"/>
      <c r="H1" s="1534"/>
      <c r="I1" s="1534"/>
      <c r="J1" s="1535"/>
    </row>
    <row r="2" spans="1:15" s="281" customFormat="1" ht="27">
      <c r="A2" s="575" t="s">
        <v>343</v>
      </c>
      <c r="B2" s="1116">
        <v>44286</v>
      </c>
      <c r="C2" s="1146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42" t="s">
        <v>121</v>
      </c>
      <c r="F3" s="154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36" t="s">
        <v>130</v>
      </c>
      <c r="B6" s="1537"/>
      <c r="C6" s="153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5727433</v>
      </c>
      <c r="F7" s="455">
        <v>5113923</v>
      </c>
      <c r="G7" s="473">
        <f>F7-E7</f>
        <v>-613510</v>
      </c>
      <c r="H7" s="460">
        <f>G7+'30'!H7</f>
        <v>5268946</v>
      </c>
      <c r="I7" s="474">
        <f>'1'!I7</f>
        <v>12000</v>
      </c>
      <c r="J7" s="552">
        <f>H7/DAY(B2)</f>
        <v>169966</v>
      </c>
      <c r="K7" s="549">
        <v>1375467</v>
      </c>
      <c r="L7" s="377"/>
      <c r="N7" s="440">
        <f>F7-'1'!E7</f>
        <v>-613510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5761244</v>
      </c>
      <c r="F8" s="475">
        <v>5145318</v>
      </c>
      <c r="G8" s="476">
        <f>F8-E8</f>
        <v>-615926</v>
      </c>
      <c r="H8" s="460">
        <f>G8+'30'!H8</f>
        <v>5301077</v>
      </c>
      <c r="I8" s="477"/>
      <c r="J8" s="552">
        <f>H8/DAY(B2)</f>
        <v>171002.48387096773</v>
      </c>
      <c r="K8" s="549">
        <v>1715917</v>
      </c>
      <c r="L8" s="425">
        <v>1728480</v>
      </c>
      <c r="M8" s="440">
        <f>L8-K8</f>
        <v>12563</v>
      </c>
      <c r="N8" s="440">
        <f>F8-'1'!E8</f>
        <v>-615926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990714</v>
      </c>
      <c r="F9" s="478">
        <v>396069</v>
      </c>
      <c r="G9" s="473">
        <f>F9-E9</f>
        <v>-594645</v>
      </c>
      <c r="H9" s="460">
        <f>G9+'30'!H9</f>
        <v>-594645</v>
      </c>
      <c r="I9" s="479">
        <f>I7-J7</f>
        <v>-157966</v>
      </c>
      <c r="J9" s="552">
        <f>H9/DAY(B2)</f>
        <v>-19182.096774193549</v>
      </c>
      <c r="K9" s="428">
        <f>K8-100</f>
        <v>1715817</v>
      </c>
      <c r="L9" s="377"/>
      <c r="N9" s="440">
        <f>F9-'1'!E9</f>
        <v>-594645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-594645</v>
      </c>
      <c r="H13" s="460">
        <f>G13+'30'!H13</f>
        <v>-609166</v>
      </c>
      <c r="I13" s="482">
        <f>G7-G13</f>
        <v>-18865</v>
      </c>
      <c r="J13" s="552">
        <f>H13/DAY(B2)</f>
        <v>-19650.516129032258</v>
      </c>
      <c r="K13" s="428"/>
      <c r="L13" s="377"/>
      <c r="N13" s="440">
        <f>F13-'1'!E13</f>
        <v>0</v>
      </c>
      <c r="O13" s="382"/>
    </row>
    <row r="14" spans="1:15" ht="29.25">
      <c r="A14" s="1539" t="s">
        <v>139</v>
      </c>
      <c r="B14" s="1540"/>
      <c r="C14" s="1541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'30'!F15</f>
        <v>1670657</v>
      </c>
      <c r="F15" s="484">
        <v>1646689</v>
      </c>
      <c r="G15" s="473">
        <f>(F15-E15)</f>
        <v>-23968</v>
      </c>
      <c r="H15" s="460">
        <f>G15+'30'!H15</f>
        <v>-23968</v>
      </c>
      <c r="I15" s="474">
        <f>'1'!I15</f>
        <v>800</v>
      </c>
      <c r="J15" s="552">
        <f>H15/DAY(B2)</f>
        <v>-773.16129032258061</v>
      </c>
      <c r="K15" s="428"/>
      <c r="L15" s="377"/>
      <c r="N15" s="440">
        <f>F15-'1'!E15</f>
        <v>-23968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1573.1612903225805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39" t="s">
        <v>142</v>
      </c>
      <c r="B17" s="1540"/>
      <c r="C17" s="1541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25" t="s">
        <v>143</v>
      </c>
      <c r="B18" s="1526"/>
      <c r="C18" s="1527"/>
      <c r="D18" s="523" t="s">
        <v>144</v>
      </c>
      <c r="E18" s="455">
        <f>'30'!F18</f>
        <v>6</v>
      </c>
      <c r="F18" s="484">
        <v>15</v>
      </c>
      <c r="G18" s="481">
        <f>F18*10</f>
        <v>150</v>
      </c>
      <c r="H18" s="460">
        <f>G18+'30'!H18</f>
        <v>1710</v>
      </c>
      <c r="I18" s="474">
        <f>'1'!I18</f>
        <v>65</v>
      </c>
      <c r="J18" s="552">
        <f>H18/DAY(B2)</f>
        <v>55.161290322580648</v>
      </c>
      <c r="K18" s="428"/>
      <c r="L18" s="377"/>
      <c r="N18" s="440">
        <f>F18-'1'!E18</f>
        <v>9</v>
      </c>
      <c r="O18" s="382"/>
    </row>
    <row r="19" spans="1:15" ht="27.75">
      <c r="A19" s="1525" t="s">
        <v>71</v>
      </c>
      <c r="B19" s="1526"/>
      <c r="C19" s="1527"/>
      <c r="D19" s="523" t="s">
        <v>144</v>
      </c>
      <c r="E19" s="455">
        <f>'30'!F19</f>
        <v>137812</v>
      </c>
      <c r="F19" s="484">
        <v>136090</v>
      </c>
      <c r="G19" s="473">
        <f t="shared" ref="G19" si="1">F19-E19</f>
        <v>-1722</v>
      </c>
      <c r="H19" s="460">
        <f>G19+'30'!H19</f>
        <v>-1722</v>
      </c>
      <c r="I19" s="489"/>
      <c r="J19" s="552">
        <f>H19/DAY(B2)</f>
        <v>-55.548387096774192</v>
      </c>
      <c r="K19" s="428"/>
      <c r="L19" s="377"/>
      <c r="N19" s="440">
        <f>F19-'1'!E19</f>
        <v>-1722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-1572</v>
      </c>
      <c r="H20" s="460">
        <f>G20+'30'!H20</f>
        <v>24</v>
      </c>
      <c r="I20" s="492">
        <f>I18-J20</f>
        <v>64.225806451612897</v>
      </c>
      <c r="J20" s="552">
        <f>H20/DAY(B2)</f>
        <v>0.77419354838709675</v>
      </c>
      <c r="K20" s="428"/>
      <c r="L20" s="377"/>
      <c r="N20" s="440">
        <f>F20-'1'!E20</f>
        <v>0</v>
      </c>
      <c r="O20" s="382"/>
    </row>
    <row r="21" spans="1:15" ht="29.25">
      <c r="A21" s="1539" t="s">
        <v>146</v>
      </c>
      <c r="B21" s="1540"/>
      <c r="C21" s="1541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4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-1680</v>
      </c>
      <c r="O22" s="382"/>
    </row>
    <row r="23" spans="1:15" ht="29.25">
      <c r="A23" s="1144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-1680</v>
      </c>
      <c r="O24" s="382"/>
    </row>
    <row r="25" spans="1:15" s="442" customFormat="1" ht="27">
      <c r="A25" s="1544" t="s">
        <v>151</v>
      </c>
      <c r="B25" s="1545"/>
      <c r="C25" s="154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-615926</v>
      </c>
      <c r="F27" s="501">
        <v>0</v>
      </c>
      <c r="G27" s="502">
        <f>E27*F27</f>
        <v>0</v>
      </c>
      <c r="H27" s="460">
        <f>G27+'30'!H27</f>
        <v>53253027</v>
      </c>
      <c r="I27" s="503"/>
      <c r="J27" s="552">
        <f>H27/DAY(B2)</f>
        <v>1717839.5806451612</v>
      </c>
      <c r="K27" s="373"/>
      <c r="L27" s="443"/>
      <c r="N27" s="440">
        <f>F27-'1'!E27</f>
        <v>-16053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-23968</v>
      </c>
      <c r="F28" s="501">
        <v>49</v>
      </c>
      <c r="G28" s="502">
        <f>E28*F28</f>
        <v>-1174432</v>
      </c>
      <c r="H28" s="460">
        <f>G28+'30'!H28</f>
        <v>-1171646.3500000001</v>
      </c>
      <c r="I28" s="505"/>
      <c r="J28" s="552">
        <f>H28/DAY(B2)</f>
        <v>-37795.043548387097</v>
      </c>
      <c r="K28" s="373"/>
      <c r="L28" s="443"/>
      <c r="N28" s="440">
        <f>F28-'1'!E28</f>
        <v>-285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-1722</v>
      </c>
      <c r="F30" s="501">
        <v>134</v>
      </c>
      <c r="G30" s="502">
        <f>E30*F30</f>
        <v>-230748</v>
      </c>
      <c r="H30" s="460">
        <f>G30+'30'!H30</f>
        <v>-230748</v>
      </c>
      <c r="I30" s="505"/>
      <c r="J30" s="552">
        <f>H30/DAY(B2)</f>
        <v>-7443.4838709677415</v>
      </c>
      <c r="K30" s="373"/>
      <c r="L30" s="443"/>
      <c r="N30" s="440">
        <f>F30-'1'!E30</f>
        <v>78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136800</v>
      </c>
      <c r="I31" s="505"/>
      <c r="J31" s="552">
        <f>H31/DAY(B2)</f>
        <v>4412.9032258064517</v>
      </c>
      <c r="K31" s="373"/>
      <c r="L31" s="443"/>
      <c r="N31" s="440">
        <f>F31-'1'!E31</f>
        <v>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-1393180</v>
      </c>
      <c r="H32" s="460">
        <f>G32+'30'!H32</f>
        <v>52076442.649999991</v>
      </c>
      <c r="I32" s="509"/>
      <c r="J32" s="552">
        <f>H32/DAY(B2)</f>
        <v>1679885.2467741934</v>
      </c>
      <c r="K32" s="373"/>
      <c r="L32" s="443"/>
      <c r="N32" s="440">
        <f>F32-'1'!E32</f>
        <v>0</v>
      </c>
      <c r="O32" s="382"/>
    </row>
    <row r="33" spans="1:15" ht="25.5" customHeight="1">
      <c r="A33" s="1547" t="s">
        <v>162</v>
      </c>
      <c r="B33" s="1548"/>
      <c r="C33" s="1548"/>
      <c r="D33" s="1548"/>
      <c r="E33" s="1548"/>
      <c r="F33" s="1548"/>
      <c r="G33" s="1548"/>
      <c r="H33" s="1548"/>
      <c r="I33" s="1548"/>
      <c r="J33" s="1549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886459</v>
      </c>
      <c r="F35" s="510">
        <v>798389</v>
      </c>
      <c r="G35" s="473">
        <f t="shared" ref="G35:G46" si="3">F35-E35</f>
        <v>-88070</v>
      </c>
      <c r="H35" s="460">
        <f>G35+'30'!H35</f>
        <v>-88070</v>
      </c>
      <c r="I35" s="455"/>
      <c r="J35" s="552">
        <f>H35/DAY(B2)</f>
        <v>-2840.9677419354839</v>
      </c>
      <c r="K35" s="428"/>
      <c r="L35" s="377"/>
      <c r="N35" s="440">
        <f>F35-'1'!E35</f>
        <v>-88070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344608</v>
      </c>
      <c r="F36" s="510">
        <v>317436</v>
      </c>
      <c r="G36" s="473">
        <f t="shared" si="3"/>
        <v>-27172</v>
      </c>
      <c r="H36" s="460">
        <f>G36+'30'!H36</f>
        <v>-27172</v>
      </c>
      <c r="I36" s="455"/>
      <c r="J36" s="552">
        <f>H36/DAY(B2)</f>
        <v>-876.51612903225805</v>
      </c>
      <c r="K36" s="428"/>
      <c r="L36" s="377"/>
      <c r="N36" s="440">
        <f>F36-'1'!E36</f>
        <v>-27172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95225</v>
      </c>
      <c r="F37" s="510">
        <v>54797</v>
      </c>
      <c r="G37" s="473">
        <f t="shared" si="3"/>
        <v>-40428</v>
      </c>
      <c r="H37" s="460">
        <f>G37+'30'!H37</f>
        <v>-40428</v>
      </c>
      <c r="I37" s="455"/>
      <c r="J37" s="552">
        <f>H37/DAY(B2)</f>
        <v>-1304.1290322580646</v>
      </c>
      <c r="K37" s="428"/>
      <c r="L37" s="377"/>
      <c r="N37" s="440">
        <f>F37-'1'!E37</f>
        <v>-40428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1893</v>
      </c>
      <c r="I38" s="455"/>
      <c r="J38" s="552">
        <f>H38/DAY(B2)</f>
        <v>61.064516129032256</v>
      </c>
      <c r="K38" s="428"/>
      <c r="L38" s="377"/>
      <c r="N38" s="440">
        <f>F38-'1'!E38</f>
        <v>-47288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246653</v>
      </c>
      <c r="F39" s="510">
        <v>152822</v>
      </c>
      <c r="G39" s="473">
        <f t="shared" si="3"/>
        <v>-93831</v>
      </c>
      <c r="H39" s="460">
        <f>G39+'30'!H39</f>
        <v>-93831</v>
      </c>
      <c r="I39" s="455"/>
      <c r="J39" s="552">
        <f>H39/DAY(B2)</f>
        <v>-3026.8064516129034</v>
      </c>
      <c r="K39" s="428"/>
      <c r="L39" s="377"/>
      <c r="N39" s="440">
        <f>F39-'1'!E39</f>
        <v>-93831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-1.8179902028236938E-14</v>
      </c>
      <c r="I40" s="455"/>
      <c r="J40" s="552">
        <f>H40/DAY(B2)</f>
        <v>-5.864484525237722E-16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181528</v>
      </c>
      <c r="F41" s="510">
        <v>133141</v>
      </c>
      <c r="G41" s="473">
        <f t="shared" si="3"/>
        <v>-48387</v>
      </c>
      <c r="H41" s="460">
        <f>G41+'30'!H41</f>
        <v>-48387</v>
      </c>
      <c r="I41" s="455"/>
      <c r="J41" s="552">
        <f>H41/DAY(B2)</f>
        <v>-1560.8709677419354</v>
      </c>
      <c r="K41" s="428"/>
      <c r="L41" s="377"/>
      <c r="N41" s="440">
        <f>F41-'1'!E41</f>
        <v>-48387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59200</v>
      </c>
      <c r="F42" s="510">
        <v>59128.160000000003</v>
      </c>
      <c r="G42" s="473">
        <f t="shared" si="3"/>
        <v>-71.839999999996508</v>
      </c>
      <c r="H42" s="460">
        <f>G42+'30'!H42</f>
        <v>-71.839999999996508</v>
      </c>
      <c r="I42" s="455"/>
      <c r="J42" s="552">
        <f>H42/DAY(B2)</f>
        <v>-2.3174193548385968</v>
      </c>
      <c r="K42" s="428"/>
      <c r="L42" s="377"/>
      <c r="N42" s="440">
        <f>H42-'1'!E42</f>
        <v>-59271.839999999997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973958</v>
      </c>
      <c r="F43" s="510">
        <v>902048</v>
      </c>
      <c r="G43" s="473">
        <f t="shared" si="3"/>
        <v>-71910</v>
      </c>
      <c r="H43" s="460">
        <f>G43+'30'!H43</f>
        <v>-71910</v>
      </c>
      <c r="I43" s="455"/>
      <c r="J43" s="552">
        <f>H43/DAY(B2)</f>
        <v>-2319.6774193548385</v>
      </c>
      <c r="K43" s="428"/>
      <c r="L43" s="377"/>
      <c r="N43" s="440">
        <f>H43-'1'!E43</f>
        <v>-1045868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-367976.83999999997</v>
      </c>
      <c r="H47" s="460">
        <f>G47+'30'!H47</f>
        <v>-367175.39999999997</v>
      </c>
      <c r="I47" s="455"/>
      <c r="J47" s="552">
        <f>H47/DAY(B2)</f>
        <v>-11844.367741935483</v>
      </c>
      <c r="K47" s="428"/>
      <c r="L47" s="377"/>
      <c r="N47" s="440">
        <f>H47-'1'!E47</f>
        <v>-367175.39999999997</v>
      </c>
      <c r="O47" s="382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474536</v>
      </c>
      <c r="F50" s="510">
        <v>441232</v>
      </c>
      <c r="G50" s="473">
        <f t="shared" si="4"/>
        <v>-33304</v>
      </c>
      <c r="H50" s="460">
        <f>G50+'30'!H50</f>
        <v>-34243</v>
      </c>
      <c r="I50" s="455"/>
      <c r="J50" s="552">
        <f>H50/DAY(B2)</f>
        <v>-1104.6129032258063</v>
      </c>
      <c r="K50" s="428"/>
      <c r="L50" s="377"/>
      <c r="N50" s="440">
        <f>H50-'1'!E50</f>
        <v>-508779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539608</v>
      </c>
      <c r="G52" s="473">
        <f t="shared" si="4"/>
        <v>2</v>
      </c>
      <c r="H52" s="460">
        <f>G52+'30'!H52</f>
        <v>1.9300000000512227</v>
      </c>
      <c r="I52" s="455"/>
      <c r="J52" s="552">
        <f>H52/DAY(B2)</f>
        <v>6.2258064517781382E-2</v>
      </c>
      <c r="K52" s="428"/>
      <c r="L52" s="377"/>
      <c r="N52" s="440">
        <f>H52-'1'!E52</f>
        <v>-539604.06999999995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416311</v>
      </c>
      <c r="F53" s="510">
        <v>401264</v>
      </c>
      <c r="G53" s="473">
        <f t="shared" si="4"/>
        <v>-15047</v>
      </c>
      <c r="H53" s="460">
        <f>G53+'30'!H53</f>
        <v>375</v>
      </c>
      <c r="I53" s="455"/>
      <c r="J53" s="552">
        <f>H53/DAY(B2)</f>
        <v>12.096774193548388</v>
      </c>
      <c r="K53" s="428"/>
      <c r="L53" s="377"/>
      <c r="N53" s="440">
        <f>H53-'1'!E53</f>
        <v>-415936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11378</v>
      </c>
      <c r="F54" s="510">
        <v>9166</v>
      </c>
      <c r="G54" s="473">
        <f t="shared" si="4"/>
        <v>-2212</v>
      </c>
      <c r="H54" s="460">
        <f>G54+'30'!H54</f>
        <v>1404</v>
      </c>
      <c r="I54" s="455"/>
      <c r="J54" s="552">
        <f>H54/DAY(B2)</f>
        <v>45.29032258064516</v>
      </c>
      <c r="K54" s="428"/>
      <c r="L54" s="377"/>
      <c r="N54" s="440">
        <f>H54-'1'!E54</f>
        <v>-9974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346926</v>
      </c>
      <c r="F55" s="510">
        <v>216097</v>
      </c>
      <c r="G55" s="473">
        <f t="shared" si="4"/>
        <v>-130829</v>
      </c>
      <c r="H55" s="460">
        <f>G55+'30'!H55</f>
        <v>216097</v>
      </c>
      <c r="I55" s="455"/>
      <c r="J55" s="552">
        <f>H55/DAY(B2)</f>
        <v>6970.8709677419356</v>
      </c>
      <c r="K55" s="428"/>
      <c r="L55" s="377"/>
      <c r="N55" s="440">
        <f>H55-'1'!E55</f>
        <v>-130829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589288.47</v>
      </c>
      <c r="F56" s="510">
        <v>588967</v>
      </c>
      <c r="G56" s="473">
        <f t="shared" si="4"/>
        <v>-321.46999999997206</v>
      </c>
      <c r="H56" s="460">
        <f>G56+'30'!H56</f>
        <v>-321.35999999998603</v>
      </c>
      <c r="I56" s="455"/>
      <c r="J56" s="552">
        <f>H56/DAY(B2)</f>
        <v>-10.366451612902775</v>
      </c>
      <c r="K56" s="427"/>
      <c r="L56" s="377"/>
      <c r="N56" s="440">
        <f>H56-'1'!E56</f>
        <v>-589609.82999999996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46668</v>
      </c>
      <c r="F58" s="510">
        <v>41547</v>
      </c>
      <c r="G58" s="473">
        <f t="shared" si="4"/>
        <v>-5121</v>
      </c>
      <c r="H58" s="460">
        <f>G58+'30'!H58</f>
        <v>-5170</v>
      </c>
      <c r="I58" s="455"/>
      <c r="J58" s="552">
        <f>H58/DAY(B2)</f>
        <v>-166.7741935483871</v>
      </c>
      <c r="K58" s="428"/>
      <c r="L58" s="377"/>
      <c r="N58" s="440">
        <f>H58-'1'!E58</f>
        <v>-51838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-186832.59999999998</v>
      </c>
      <c r="H59" s="460">
        <f>G59+'30'!H59</f>
        <v>178143.51000000007</v>
      </c>
      <c r="I59" s="455">
        <f>G7-G60</f>
        <v>-58700.560000000056</v>
      </c>
      <c r="J59" s="552">
        <f>H59/DAY(B2)</f>
        <v>5746.5648387096799</v>
      </c>
      <c r="K59" s="428"/>
      <c r="L59" s="377"/>
      <c r="N59" s="440">
        <f>H59-'1'!E59</f>
        <v>178143.51000000007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-554809.43999999994</v>
      </c>
      <c r="H60" s="460">
        <f>G60+'30'!H60</f>
        <v>-187447.99999999988</v>
      </c>
      <c r="I60" s="455">
        <f>G13-G60</f>
        <v>-39835.560000000056</v>
      </c>
      <c r="J60" s="552">
        <f>H60/DAY(B2)</f>
        <v>-6046.7096774193515</v>
      </c>
      <c r="K60" s="428"/>
      <c r="L60" s="377"/>
      <c r="N60" s="440">
        <f>H60-'1'!E60</f>
        <v>-187447.99999999988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-20418.818000000003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2359</v>
      </c>
      <c r="F63" s="514">
        <v>2096</v>
      </c>
      <c r="G63" s="473">
        <f t="shared" si="5"/>
        <v>-263</v>
      </c>
      <c r="H63" s="460">
        <f>G63+'30'!H63</f>
        <v>-263</v>
      </c>
      <c r="I63" s="515"/>
      <c r="J63" s="552">
        <f>H63/DAY(B2)</f>
        <v>-8.4838709677419359</v>
      </c>
      <c r="K63" s="428"/>
      <c r="L63" s="377"/>
      <c r="N63" s="440">
        <f>H63-'1'!E63</f>
        <v>-2622</v>
      </c>
      <c r="O63" s="382"/>
    </row>
    <row r="64" spans="1:15" ht="27.75">
      <c r="A64" s="1504" t="s">
        <v>99</v>
      </c>
      <c r="B64" s="1505"/>
      <c r="C64" s="1506"/>
      <c r="D64" s="523" t="s">
        <v>187</v>
      </c>
      <c r="E64" s="455">
        <f>'30'!F64</f>
        <v>153299</v>
      </c>
      <c r="F64" s="484">
        <v>139180</v>
      </c>
      <c r="G64" s="473">
        <f t="shared" si="5"/>
        <v>-14119</v>
      </c>
      <c r="H64" s="460">
        <f>G64+'30'!H64</f>
        <v>-14119</v>
      </c>
      <c r="I64" s="480"/>
      <c r="J64" s="552">
        <f>H64/DAY(B2)</f>
        <v>-455.45161290322579</v>
      </c>
      <c r="K64" s="428"/>
      <c r="L64" s="377"/>
      <c r="N64" s="440">
        <f>H64-'1'!E64</f>
        <v>-167418</v>
      </c>
      <c r="O64" s="382"/>
    </row>
    <row r="65" spans="1:15" ht="27.75">
      <c r="A65" s="1504" t="s">
        <v>100</v>
      </c>
      <c r="B65" s="1505"/>
      <c r="C65" s="1506"/>
      <c r="D65" s="523" t="s">
        <v>187</v>
      </c>
      <c r="E65" s="455">
        <f>'30'!F65</f>
        <v>154599</v>
      </c>
      <c r="F65" s="484">
        <v>144205</v>
      </c>
      <c r="G65" s="473">
        <f t="shared" si="5"/>
        <v>-10394</v>
      </c>
      <c r="H65" s="460">
        <f>G65+'30'!H65</f>
        <v>-10394</v>
      </c>
      <c r="I65" s="489"/>
      <c r="J65" s="552">
        <f>H65/DAY(B2)</f>
        <v>-335.29032258064518</v>
      </c>
      <c r="K65" s="428"/>
      <c r="L65" s="377"/>
      <c r="N65" s="440">
        <f>H65-'1'!E65</f>
        <v>-164993</v>
      </c>
      <c r="O65" s="382"/>
    </row>
    <row r="66" spans="1:15" ht="27.75">
      <c r="A66" s="1504" t="s">
        <v>101</v>
      </c>
      <c r="B66" s="1505"/>
      <c r="C66" s="1506"/>
      <c r="D66" s="523" t="s">
        <v>187</v>
      </c>
      <c r="E66" s="455">
        <f>'30'!F66</f>
        <v>48571</v>
      </c>
      <c r="F66" s="484">
        <v>37208</v>
      </c>
      <c r="G66" s="473">
        <f t="shared" si="5"/>
        <v>-11363</v>
      </c>
      <c r="H66" s="460">
        <f>G66+'30'!H66</f>
        <v>-11363</v>
      </c>
      <c r="I66" s="480"/>
      <c r="J66" s="552">
        <f>H66/DAY(B2)</f>
        <v>-366.54838709677421</v>
      </c>
      <c r="K66" s="428"/>
      <c r="L66" s="377"/>
      <c r="N66" s="440">
        <f>H66-'1'!E66</f>
        <v>-59934</v>
      </c>
      <c r="O66" s="382"/>
    </row>
    <row r="67" spans="1:15" ht="27.75">
      <c r="A67" s="1504" t="s">
        <v>102</v>
      </c>
      <c r="B67" s="1505"/>
      <c r="C67" s="1506"/>
      <c r="D67" s="523" t="s">
        <v>187</v>
      </c>
      <c r="E67" s="455">
        <f>'30'!F67</f>
        <v>243174</v>
      </c>
      <c r="F67" s="484">
        <v>229100</v>
      </c>
      <c r="G67" s="473">
        <f t="shared" si="5"/>
        <v>-14074</v>
      </c>
      <c r="H67" s="460">
        <f>G67+'30'!H67</f>
        <v>-14074</v>
      </c>
      <c r="I67" s="489"/>
      <c r="J67" s="552">
        <f>H67/DAY(B2)</f>
        <v>-454</v>
      </c>
      <c r="K67" s="429"/>
      <c r="L67" s="377"/>
      <c r="N67" s="440">
        <f>H67-'1'!E67</f>
        <v>-257248</v>
      </c>
      <c r="O67" s="382"/>
    </row>
    <row r="68" spans="1:15" ht="27.75">
      <c r="A68" s="1504" t="s">
        <v>103</v>
      </c>
      <c r="B68" s="1505"/>
      <c r="C68" s="1506"/>
      <c r="D68" s="523" t="s">
        <v>187</v>
      </c>
      <c r="E68" s="455">
        <f>'30'!F68</f>
        <v>85321</v>
      </c>
      <c r="F68" s="484">
        <v>83087</v>
      </c>
      <c r="G68" s="473">
        <f t="shared" si="5"/>
        <v>-2234</v>
      </c>
      <c r="H68" s="460">
        <f>G68+'30'!H68</f>
        <v>-2234</v>
      </c>
      <c r="I68" s="516"/>
      <c r="J68" s="552">
        <f>H68/DAY(B2)</f>
        <v>-72.064516129032256</v>
      </c>
      <c r="K68" s="430"/>
      <c r="L68" s="377"/>
      <c r="N68" s="440">
        <f>H68-'1'!E68</f>
        <v>-87555</v>
      </c>
      <c r="O68" s="382"/>
    </row>
    <row r="69" spans="1:15" ht="27.75">
      <c r="A69" s="1504" t="s">
        <v>104</v>
      </c>
      <c r="B69" s="1505"/>
      <c r="C69" s="1506"/>
      <c r="D69" s="523" t="s">
        <v>187</v>
      </c>
      <c r="E69" s="455">
        <f>'30'!F69</f>
        <v>78994</v>
      </c>
      <c r="F69" s="484">
        <v>74329</v>
      </c>
      <c r="G69" s="473">
        <f t="shared" si="5"/>
        <v>-4665</v>
      </c>
      <c r="H69" s="460">
        <f>G69+'30'!H69</f>
        <v>-4665</v>
      </c>
      <c r="I69" s="516"/>
      <c r="J69" s="552">
        <f>H69/DAY(B2)</f>
        <v>-150.48387096774192</v>
      </c>
      <c r="K69" s="431"/>
      <c r="L69" s="377"/>
      <c r="N69" s="440">
        <f>H69-'1'!E69</f>
        <v>-83659</v>
      </c>
      <c r="O69" s="382"/>
    </row>
    <row r="70" spans="1:15" ht="27.75">
      <c r="A70" s="1510" t="s">
        <v>189</v>
      </c>
      <c r="B70" s="1511"/>
      <c r="C70" s="1512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07" t="s">
        <v>190</v>
      </c>
      <c r="B71" s="1508"/>
      <c r="C71" s="1508"/>
      <c r="D71" s="1508"/>
      <c r="E71" s="1508"/>
      <c r="F71" s="1508"/>
      <c r="G71" s="1508"/>
      <c r="H71" s="1508"/>
      <c r="I71" s="1508"/>
      <c r="J71" s="1509"/>
      <c r="K71" s="430"/>
      <c r="L71" s="377"/>
      <c r="N71" s="440">
        <f>H71-'1'!E71</f>
        <v>0</v>
      </c>
      <c r="O71" s="382"/>
    </row>
    <row r="72" spans="1:15" ht="27.75">
      <c r="A72" s="1504" t="s">
        <v>191</v>
      </c>
      <c r="B72" s="1505"/>
      <c r="C72" s="1506"/>
      <c r="D72" s="523" t="s">
        <v>187</v>
      </c>
      <c r="E72" s="455">
        <f>'30'!F72</f>
        <v>855461</v>
      </c>
      <c r="F72" s="519">
        <v>853179</v>
      </c>
      <c r="G72" s="473">
        <f t="shared" ref="G72:G84" si="6">F72-E72</f>
        <v>-2282</v>
      </c>
      <c r="H72" s="460">
        <f>G72+'30'!H72</f>
        <v>-2293</v>
      </c>
      <c r="I72" s="480"/>
      <c r="J72" s="552">
        <f>H72/DAY(B2)</f>
        <v>-73.967741935483872</v>
      </c>
      <c r="K72" s="431"/>
      <c r="L72" s="377"/>
      <c r="N72" s="440">
        <f>H72-'1'!E72</f>
        <v>-857754</v>
      </c>
      <c r="O72" s="382"/>
    </row>
    <row r="73" spans="1:15" ht="27.75">
      <c r="A73" s="1504" t="s">
        <v>192</v>
      </c>
      <c r="B73" s="1505"/>
      <c r="C73" s="1506"/>
      <c r="D73" s="523" t="s">
        <v>187</v>
      </c>
      <c r="E73" s="455">
        <f>'30'!F73</f>
        <v>885876</v>
      </c>
      <c r="F73" s="520">
        <v>885800</v>
      </c>
      <c r="G73" s="473">
        <f t="shared" si="6"/>
        <v>-76</v>
      </c>
      <c r="H73" s="460">
        <f>G73+'30'!H73</f>
        <v>104</v>
      </c>
      <c r="I73" s="480"/>
      <c r="J73" s="552">
        <f>H73/DAY(B2)</f>
        <v>3.3548387096774195</v>
      </c>
      <c r="K73" s="430"/>
      <c r="L73" s="377"/>
      <c r="N73" s="440">
        <f>H73-'1'!E73</f>
        <v>-885772</v>
      </c>
      <c r="O73" s="382"/>
    </row>
    <row r="74" spans="1:15" ht="27.75">
      <c r="A74" s="1504" t="s">
        <v>193</v>
      </c>
      <c r="B74" s="1505"/>
      <c r="C74" s="1506"/>
      <c r="D74" s="523" t="s">
        <v>187</v>
      </c>
      <c r="E74" s="455">
        <f>'30'!F74</f>
        <v>2279</v>
      </c>
      <c r="F74" s="521">
        <v>1370</v>
      </c>
      <c r="G74" s="473">
        <f t="shared" si="6"/>
        <v>-909</v>
      </c>
      <c r="H74" s="460">
        <f>G74+'30'!H74</f>
        <v>-909</v>
      </c>
      <c r="I74" s="480"/>
      <c r="J74" s="552">
        <f>H74/DAY(B2)</f>
        <v>-29.322580645161292</v>
      </c>
      <c r="K74" s="431"/>
      <c r="L74" s="377"/>
      <c r="N74" s="440">
        <f>H74-'1'!E74</f>
        <v>-3188</v>
      </c>
      <c r="O74" s="382"/>
    </row>
    <row r="75" spans="1:15" ht="27.75">
      <c r="A75" s="1501" t="s">
        <v>194</v>
      </c>
      <c r="B75" s="1502"/>
      <c r="C75" s="1503"/>
      <c r="D75" s="523" t="s">
        <v>187</v>
      </c>
      <c r="E75" s="455">
        <f>'30'!F75</f>
        <v>10970</v>
      </c>
      <c r="F75" s="521">
        <v>8680</v>
      </c>
      <c r="G75" s="473">
        <f t="shared" si="6"/>
        <v>-2290</v>
      </c>
      <c r="H75" s="460">
        <f>G75+'30'!H75</f>
        <v>-2290</v>
      </c>
      <c r="I75" s="480"/>
      <c r="J75" s="552">
        <f>H75/DAY(B2)</f>
        <v>-73.870967741935488</v>
      </c>
      <c r="K75" s="430"/>
      <c r="L75" s="377"/>
      <c r="N75" s="440">
        <f>H75-'1'!E75</f>
        <v>-13260</v>
      </c>
      <c r="O75" s="382"/>
    </row>
    <row r="76" spans="1:15" ht="27.75">
      <c r="A76" s="1501" t="s">
        <v>195</v>
      </c>
      <c r="B76" s="1502"/>
      <c r="C76" s="1503"/>
      <c r="D76" s="523" t="s">
        <v>187</v>
      </c>
      <c r="E76" s="455">
        <f>'30'!F76</f>
        <v>5709</v>
      </c>
      <c r="F76" s="520">
        <v>4037</v>
      </c>
      <c r="G76" s="473">
        <f t="shared" si="6"/>
        <v>-1672</v>
      </c>
      <c r="H76" s="460">
        <f>G76+'30'!H76</f>
        <v>-1679.9500000000007</v>
      </c>
      <c r="I76" s="505"/>
      <c r="J76" s="552">
        <f>H76/DAY(B2)</f>
        <v>-54.191935483870992</v>
      </c>
      <c r="K76" s="430"/>
      <c r="L76" s="377"/>
      <c r="N76" s="440">
        <f>H76-'1'!E76</f>
        <v>-7388.9500000000007</v>
      </c>
      <c r="O76" s="382"/>
    </row>
    <row r="77" spans="1:15" ht="27.75">
      <c r="A77" s="1504" t="s">
        <v>196</v>
      </c>
      <c r="B77" s="1505"/>
      <c r="C77" s="1506"/>
      <c r="D77" s="523" t="s">
        <v>187</v>
      </c>
      <c r="E77" s="455">
        <f>'30'!F77</f>
        <v>701562</v>
      </c>
      <c r="F77" s="521">
        <v>700214</v>
      </c>
      <c r="G77" s="473">
        <f t="shared" si="6"/>
        <v>-1348</v>
      </c>
      <c r="H77" s="460">
        <f>G77+'30'!H77</f>
        <v>-1348</v>
      </c>
      <c r="I77" s="505"/>
      <c r="J77" s="552">
        <f>H77/DAY(B2)</f>
        <v>-43.483870967741936</v>
      </c>
      <c r="K77" s="430"/>
      <c r="L77" s="377"/>
      <c r="N77" s="440">
        <f>H77-'1'!E77</f>
        <v>-702910</v>
      </c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455">
        <f>'30'!F78</f>
        <v>670025</v>
      </c>
      <c r="F78" s="521">
        <v>665380</v>
      </c>
      <c r="G78" s="473">
        <f t="shared" si="6"/>
        <v>-4645</v>
      </c>
      <c r="H78" s="460">
        <f>G78+'30'!H78</f>
        <v>-4645</v>
      </c>
      <c r="I78" s="505"/>
      <c r="J78" s="552">
        <f>H78/DAY(B2)</f>
        <v>-149.83870967741936</v>
      </c>
      <c r="K78" s="430"/>
      <c r="L78" s="377"/>
      <c r="N78" s="440">
        <f>H78-'1'!E78</f>
        <v>-674670</v>
      </c>
      <c r="O78" s="382"/>
    </row>
    <row r="79" spans="1:15" ht="27.75">
      <c r="A79" s="1501" t="s">
        <v>92</v>
      </c>
      <c r="B79" s="1502"/>
      <c r="C79" s="1503"/>
      <c r="D79" s="524" t="s">
        <v>187</v>
      </c>
      <c r="E79" s="455">
        <f>'30'!F79</f>
        <v>826784</v>
      </c>
      <c r="F79" s="521">
        <v>821213</v>
      </c>
      <c r="G79" s="473">
        <f t="shared" si="6"/>
        <v>-5571</v>
      </c>
      <c r="H79" s="460">
        <f>G79+'30'!H79</f>
        <v>-6518</v>
      </c>
      <c r="I79" s="505"/>
      <c r="J79" s="552">
        <f>H79/DAY(B2)</f>
        <v>-210.25806451612902</v>
      </c>
      <c r="K79" s="430"/>
      <c r="L79" s="377"/>
      <c r="N79" s="440">
        <f>H79-'1'!E79</f>
        <v>-833302</v>
      </c>
      <c r="O79" s="382"/>
    </row>
    <row r="80" spans="1:15" ht="27.75">
      <c r="A80" s="1501" t="s">
        <v>198</v>
      </c>
      <c r="B80" s="1502"/>
      <c r="C80" s="1503"/>
      <c r="D80" s="524" t="s">
        <v>187</v>
      </c>
      <c r="E80" s="455">
        <f>'30'!F80</f>
        <v>516738</v>
      </c>
      <c r="F80" s="520">
        <v>505699</v>
      </c>
      <c r="G80" s="473">
        <f t="shared" si="6"/>
        <v>-11039</v>
      </c>
      <c r="H80" s="460">
        <f>G80+'30'!H80</f>
        <v>-13762</v>
      </c>
      <c r="I80" s="505"/>
      <c r="J80" s="552">
        <f>H80/DAY(B2)</f>
        <v>-443.93548387096774</v>
      </c>
      <c r="K80" s="430"/>
      <c r="L80" s="377"/>
      <c r="N80" s="440">
        <f>H80-'1'!E80</f>
        <v>-530500</v>
      </c>
      <c r="O80" s="382"/>
    </row>
    <row r="81" spans="1:15" ht="27.75">
      <c r="A81" s="1501" t="s">
        <v>199</v>
      </c>
      <c r="B81" s="1502"/>
      <c r="C81" s="1503"/>
      <c r="D81" s="524" t="s">
        <v>187</v>
      </c>
      <c r="E81" s="455">
        <f>'30'!F81</f>
        <v>636478</v>
      </c>
      <c r="F81" s="520">
        <v>630185</v>
      </c>
      <c r="G81" s="473">
        <f t="shared" si="6"/>
        <v>-6293</v>
      </c>
      <c r="H81" s="460">
        <f>G81+'30'!H81</f>
        <v>-6293</v>
      </c>
      <c r="I81" s="505"/>
      <c r="J81" s="552">
        <f>H81/DAY(B2)</f>
        <v>-203</v>
      </c>
      <c r="K81" s="430"/>
      <c r="L81" s="377"/>
      <c r="N81" s="440">
        <f>H81-'1'!E81</f>
        <v>-642771</v>
      </c>
      <c r="O81" s="382"/>
    </row>
    <row r="82" spans="1:15" ht="27.75">
      <c r="A82" s="1501" t="s">
        <v>93</v>
      </c>
      <c r="B82" s="1502"/>
      <c r="C82" s="1503"/>
      <c r="D82" s="485" t="s">
        <v>132</v>
      </c>
      <c r="E82" s="455">
        <f>'30'!F82</f>
        <v>107612</v>
      </c>
      <c r="F82" s="522">
        <v>106895</v>
      </c>
      <c r="G82" s="473">
        <f t="shared" si="6"/>
        <v>-717</v>
      </c>
      <c r="H82" s="460">
        <f>G82+'30'!H82</f>
        <v>-717</v>
      </c>
      <c r="I82" s="486"/>
      <c r="J82" s="552">
        <f>H82/DAY(B2)</f>
        <v>-23.129032258064516</v>
      </c>
      <c r="K82" s="430"/>
      <c r="L82" s="377"/>
      <c r="N82" s="440">
        <f>H82-'1'!E82</f>
        <v>-108329</v>
      </c>
      <c r="O82" s="382"/>
    </row>
    <row r="83" spans="1:15" ht="27.75">
      <c r="A83" s="1501" t="s">
        <v>200</v>
      </c>
      <c r="B83" s="1502"/>
      <c r="C83" s="1503"/>
      <c r="D83" s="620" t="s">
        <v>132</v>
      </c>
      <c r="E83" s="455">
        <f>'30'!F83</f>
        <v>14771</v>
      </c>
      <c r="F83" s="511">
        <v>7057</v>
      </c>
      <c r="G83" s="473">
        <f t="shared" si="6"/>
        <v>-7714</v>
      </c>
      <c r="H83" s="460">
        <f>G83+'30'!H83</f>
        <v>-7714</v>
      </c>
      <c r="I83" s="481"/>
      <c r="J83" s="552">
        <f>H83/DAY(B2)</f>
        <v>-248.83870967741936</v>
      </c>
      <c r="K83" s="429"/>
      <c r="L83" s="377"/>
      <c r="N83" s="440">
        <f>H83-'1'!E83</f>
        <v>-22485</v>
      </c>
      <c r="O83" s="382"/>
    </row>
    <row r="84" spans="1:15" ht="29.25">
      <c r="A84" s="1148" t="s">
        <v>201</v>
      </c>
      <c r="B84" s="571"/>
      <c r="C84" s="571"/>
      <c r="D84" s="478" t="s">
        <v>132</v>
      </c>
      <c r="E84" s="455">
        <f>'30'!F84</f>
        <v>480133</v>
      </c>
      <c r="F84" s="627">
        <v>454684</v>
      </c>
      <c r="G84" s="473">
        <f t="shared" si="6"/>
        <v>-25449</v>
      </c>
      <c r="H84" s="460">
        <f>G84+'30'!H84</f>
        <v>-25449</v>
      </c>
      <c r="I84" s="481"/>
      <c r="J84" s="552">
        <f>H84/DAY(B2)</f>
        <v>-820.93548387096769</v>
      </c>
      <c r="K84" s="380"/>
      <c r="L84" s="377"/>
      <c r="N84" s="440">
        <f>H84-'1'!E84</f>
        <v>-505582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-70005</v>
      </c>
      <c r="H85" s="460">
        <f>G85+'30'!H85</f>
        <v>-70005</v>
      </c>
      <c r="I85" s="481"/>
      <c r="J85" s="552">
        <f>H85/DAY(B2)</f>
        <v>-2258.2258064516127</v>
      </c>
      <c r="K85" s="380"/>
      <c r="L85" s="378"/>
      <c r="N85" s="440">
        <f>H85-'1'!E85</f>
        <v>-70005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459267</v>
      </c>
      <c r="F86" s="650">
        <v>454581</v>
      </c>
      <c r="G86" s="708">
        <f t="shared" ref="G86" si="7">F86-E86</f>
        <v>-4686</v>
      </c>
      <c r="H86" s="460">
        <f>G86+'30'!H86</f>
        <v>-4356.8800000000047</v>
      </c>
      <c r="I86" s="655"/>
      <c r="J86" s="710">
        <f>H86/DAY(B2)</f>
        <v>-140.54451612903242</v>
      </c>
      <c r="K86" s="736"/>
      <c r="L86" s="737"/>
      <c r="N86" s="440">
        <f>H86-'1'!E86</f>
        <v>-463623.88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80919</v>
      </c>
      <c r="F87" s="650">
        <v>80185</v>
      </c>
      <c r="G87" s="708">
        <f t="shared" ref="G87:G90" si="8">F87-E87</f>
        <v>-734</v>
      </c>
      <c r="H87" s="460">
        <f>G87+'30'!H87</f>
        <v>-705.19999999999709</v>
      </c>
      <c r="I87" s="655"/>
      <c r="J87" s="710">
        <f>H87/DAY(B2)</f>
        <v>-22.748387096774099</v>
      </c>
      <c r="K87" s="736"/>
      <c r="L87" s="737"/>
      <c r="N87" s="440">
        <f>H87-'1'!E87</f>
        <v>-81624.2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151805</v>
      </c>
      <c r="F88" s="650">
        <v>150599</v>
      </c>
      <c r="G88" s="708">
        <f t="shared" si="8"/>
        <v>-1206</v>
      </c>
      <c r="H88" s="460">
        <f>G88+'30'!H88</f>
        <v>-1159.3299999999872</v>
      </c>
      <c r="I88" s="655"/>
      <c r="J88" s="710">
        <f>H88/DAY(B2)</f>
        <v>-37.397741935483459</v>
      </c>
      <c r="K88" s="736"/>
      <c r="L88" s="737"/>
      <c r="N88" s="440">
        <f>H88-'1'!E88</f>
        <v>-152964.32999999999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64834</v>
      </c>
      <c r="F89" s="650">
        <v>63554</v>
      </c>
      <c r="G89" s="708">
        <f t="shared" si="8"/>
        <v>-1280</v>
      </c>
      <c r="H89" s="460">
        <f>G89+'30'!H89</f>
        <v>-1206.9000000000015</v>
      </c>
      <c r="I89" s="655"/>
      <c r="J89" s="710">
        <f>H89/DAY(B2)</f>
        <v>-38.932258064516176</v>
      </c>
      <c r="K89" s="736"/>
      <c r="L89" s="737"/>
      <c r="N89" s="440">
        <f>H89-'1'!E89</f>
        <v>-66040.899999999994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3272</v>
      </c>
      <c r="F90" s="650">
        <v>3270</v>
      </c>
      <c r="G90" s="708">
        <f t="shared" si="8"/>
        <v>-2</v>
      </c>
      <c r="H90" s="460">
        <f>G90+'30'!H90</f>
        <v>-2.4000000000000909</v>
      </c>
      <c r="I90" s="655"/>
      <c r="J90" s="710">
        <f>H90/DAY(B2)</f>
        <v>-7.7419354838712609E-2</v>
      </c>
      <c r="K90" s="736"/>
      <c r="L90" s="737"/>
      <c r="N90" s="440">
        <f>H90-'1'!E90</f>
        <v>-3274.4</v>
      </c>
      <c r="O90" s="382"/>
    </row>
    <row r="91" spans="1:15" s="738" customFormat="1" ht="29.25">
      <c r="A91" s="733" t="s">
        <v>365</v>
      </c>
      <c r="B91" s="734"/>
      <c r="C91" s="734"/>
      <c r="D91" s="735"/>
      <c r="E91" s="455">
        <f>'30'!F91</f>
        <v>0</v>
      </c>
      <c r="F91" s="650"/>
      <c r="G91" s="708"/>
      <c r="H91" s="708"/>
      <c r="I91" s="655"/>
      <c r="J91" s="710"/>
      <c r="K91" s="736"/>
      <c r="L91" s="737"/>
      <c r="N91" s="781"/>
      <c r="O91" s="382"/>
    </row>
    <row r="92" spans="1:15" s="379" customFormat="1" ht="29.25">
      <c r="A92" s="606" t="s">
        <v>205</v>
      </c>
      <c r="B92" s="1150"/>
      <c r="C92" s="1150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25" t="s">
        <v>206</v>
      </c>
      <c r="B93" s="1526"/>
      <c r="C93" s="1527"/>
      <c r="D93" s="523" t="s">
        <v>144</v>
      </c>
      <c r="E93" s="455">
        <f>'30'!F93</f>
        <v>244524</v>
      </c>
      <c r="F93" s="484">
        <v>242646</v>
      </c>
      <c r="G93" s="473">
        <f t="shared" ref="G93:G94" si="9">F93-E93</f>
        <v>-1878</v>
      </c>
      <c r="H93" s="460">
        <f>G93+'30'!H93</f>
        <v>-1878</v>
      </c>
      <c r="I93" s="480"/>
      <c r="J93" s="552">
        <f>H93/DAY(B2)</f>
        <v>-60.58064516129032</v>
      </c>
      <c r="K93" s="429"/>
      <c r="L93" s="377"/>
      <c r="N93" s="440">
        <f>H93-'1'!E93</f>
        <v>-246402</v>
      </c>
      <c r="O93" s="382"/>
    </row>
    <row r="94" spans="1:15" ht="27.75">
      <c r="A94" s="1525" t="s">
        <v>207</v>
      </c>
      <c r="B94" s="1526"/>
      <c r="C94" s="1527"/>
      <c r="D94" s="523" t="s">
        <v>144</v>
      </c>
      <c r="E94" s="455">
        <f>'30'!F94</f>
        <v>183531</v>
      </c>
      <c r="F94" s="484">
        <v>179679</v>
      </c>
      <c r="G94" s="473">
        <f t="shared" si="9"/>
        <v>-3852</v>
      </c>
      <c r="H94" s="460">
        <f>G94+'30'!H94</f>
        <v>-3852</v>
      </c>
      <c r="I94" s="480"/>
      <c r="J94" s="552">
        <f>H94/DAY(B2)</f>
        <v>-124.25806451612904</v>
      </c>
      <c r="K94" s="380"/>
      <c r="L94" s="377"/>
      <c r="N94" s="440">
        <f>H94-'1'!E94</f>
        <v>-187383</v>
      </c>
      <c r="O94" s="382"/>
    </row>
    <row r="95" spans="1:15" ht="29.25">
      <c r="A95" s="1553" t="s">
        <v>208</v>
      </c>
      <c r="B95" s="1554"/>
      <c r="C95" s="1555"/>
      <c r="D95" s="523"/>
      <c r="E95" s="484"/>
      <c r="F95" s="484"/>
      <c r="G95" s="473">
        <f>G93+G94</f>
        <v>-5730</v>
      </c>
      <c r="H95" s="460">
        <f>G95+'30'!H95</f>
        <v>-5877</v>
      </c>
      <c r="I95" s="480"/>
      <c r="J95" s="552">
        <f>H95/DAY(B2)</f>
        <v>-189.58064516129033</v>
      </c>
      <c r="K95" s="380"/>
      <c r="L95" s="377"/>
      <c r="N95" s="440">
        <f>H95-'1'!E95</f>
        <v>-5877</v>
      </c>
      <c r="O95" s="382"/>
    </row>
    <row r="96" spans="1:15" ht="27.75">
      <c r="A96" s="1525" t="s">
        <v>209</v>
      </c>
      <c r="B96" s="1526"/>
      <c r="C96" s="1527"/>
      <c r="D96" s="523" t="s">
        <v>144</v>
      </c>
      <c r="E96" s="455">
        <f>'30'!F96</f>
        <v>412886</v>
      </c>
      <c r="F96" s="484">
        <v>410785</v>
      </c>
      <c r="G96" s="473">
        <f t="shared" ref="G96:G101" si="10">F96-E96</f>
        <v>-2101</v>
      </c>
      <c r="H96" s="460">
        <f>G96+'30'!H96</f>
        <v>-2101</v>
      </c>
      <c r="I96" s="480"/>
      <c r="J96" s="552">
        <f>H96/DAY(B2)</f>
        <v>-67.774193548387103</v>
      </c>
      <c r="K96" s="380"/>
      <c r="L96" s="377"/>
      <c r="N96" s="440">
        <f>H96-'1'!E96</f>
        <v>-414987</v>
      </c>
      <c r="O96" s="382"/>
    </row>
    <row r="97" spans="1:15" ht="27.75">
      <c r="A97" s="1144" t="s">
        <v>210</v>
      </c>
      <c r="B97" s="1145"/>
      <c r="C97" s="1145"/>
      <c r="D97" s="523" t="s">
        <v>144</v>
      </c>
      <c r="E97" s="455">
        <f>'30'!F97</f>
        <v>102343</v>
      </c>
      <c r="F97" s="484">
        <v>101831</v>
      </c>
      <c r="G97" s="473">
        <f t="shared" si="10"/>
        <v>-512</v>
      </c>
      <c r="H97" s="460">
        <f>G97+'30'!H97</f>
        <v>-512</v>
      </c>
      <c r="I97" s="480"/>
      <c r="J97" s="552">
        <f>H97/DAY(B2)</f>
        <v>-16.516129032258064</v>
      </c>
      <c r="K97" s="427"/>
      <c r="L97" s="377"/>
      <c r="N97" s="440">
        <f>H97-'1'!E97</f>
        <v>-102855</v>
      </c>
      <c r="O97" s="382"/>
    </row>
    <row r="98" spans="1:15" ht="27.75">
      <c r="A98" s="1144" t="s">
        <v>211</v>
      </c>
      <c r="B98" s="1145"/>
      <c r="C98" s="1145"/>
      <c r="D98" s="523" t="s">
        <v>144</v>
      </c>
      <c r="E98" s="455">
        <f>'30'!F98</f>
        <v>97427</v>
      </c>
      <c r="F98" s="484">
        <v>96928</v>
      </c>
      <c r="G98" s="473">
        <f t="shared" si="10"/>
        <v>-499</v>
      </c>
      <c r="H98" s="460">
        <f>G98+'30'!H98</f>
        <v>-499</v>
      </c>
      <c r="I98" s="480"/>
      <c r="J98" s="552">
        <f>H98/DAY(B2)</f>
        <v>-16.096774193548388</v>
      </c>
      <c r="K98" s="432"/>
      <c r="L98" s="377"/>
      <c r="N98" s="440">
        <f>H98-'1'!E98</f>
        <v>-97926</v>
      </c>
      <c r="O98" s="382"/>
    </row>
    <row r="99" spans="1:15" ht="27.75">
      <c r="A99" s="1144" t="s">
        <v>212</v>
      </c>
      <c r="B99" s="1145"/>
      <c r="C99" s="1145"/>
      <c r="D99" s="523" t="s">
        <v>144</v>
      </c>
      <c r="E99" s="455">
        <f>'30'!F99</f>
        <v>149533</v>
      </c>
      <c r="F99" s="484">
        <v>148909</v>
      </c>
      <c r="G99" s="473">
        <f t="shared" si="10"/>
        <v>-624</v>
      </c>
      <c r="H99" s="460">
        <f>G99+'30'!H99</f>
        <v>-624</v>
      </c>
      <c r="I99" s="480"/>
      <c r="J99" s="552">
        <f>H99/DAY(B2)</f>
        <v>-20.129032258064516</v>
      </c>
      <c r="K99" s="380"/>
      <c r="L99" s="377"/>
      <c r="N99" s="440">
        <f>H99-'1'!E99</f>
        <v>-150157</v>
      </c>
      <c r="O99" s="382"/>
    </row>
    <row r="100" spans="1:15" ht="27.75">
      <c r="A100" s="1144" t="s">
        <v>213</v>
      </c>
      <c r="B100" s="1145"/>
      <c r="C100" s="1145"/>
      <c r="D100" s="523" t="s">
        <v>144</v>
      </c>
      <c r="E100" s="455">
        <f>'30'!F100</f>
        <v>7185</v>
      </c>
      <c r="F100" s="484">
        <v>6855</v>
      </c>
      <c r="G100" s="473">
        <f t="shared" si="10"/>
        <v>-330</v>
      </c>
      <c r="H100" s="460">
        <f>G100+'30'!H100</f>
        <v>-330</v>
      </c>
      <c r="I100" s="480"/>
      <c r="J100" s="552">
        <f>H100/DAY(B2)</f>
        <v>-10.64516129032258</v>
      </c>
      <c r="K100" s="380"/>
      <c r="L100" s="377"/>
      <c r="N100" s="440">
        <f>H100-'1'!E100</f>
        <v>-7515</v>
      </c>
      <c r="O100" s="382"/>
    </row>
    <row r="101" spans="1:15" ht="27.75">
      <c r="A101" s="1144" t="s">
        <v>214</v>
      </c>
      <c r="B101" s="1145"/>
      <c r="C101" s="1145"/>
      <c r="D101" s="523" t="s">
        <v>144</v>
      </c>
      <c r="E101" s="455">
        <f>'30'!F101</f>
        <v>5138</v>
      </c>
      <c r="F101" s="484">
        <v>4943</v>
      </c>
      <c r="G101" s="473">
        <f t="shared" si="10"/>
        <v>-195</v>
      </c>
      <c r="H101" s="460">
        <f>G101+'30'!H101</f>
        <v>-195</v>
      </c>
      <c r="I101" s="480"/>
      <c r="J101" s="552">
        <f>H101/DAY(B2)</f>
        <v>-6.290322580645161</v>
      </c>
      <c r="K101" s="380"/>
      <c r="L101" s="377"/>
      <c r="N101" s="440">
        <f>H101-'1'!E101</f>
        <v>-5333</v>
      </c>
      <c r="O101" s="382"/>
    </row>
    <row r="102" spans="1:15" ht="29.25">
      <c r="A102" s="1553" t="s">
        <v>216</v>
      </c>
      <c r="B102" s="1554"/>
      <c r="C102" s="1555"/>
      <c r="D102" s="524"/>
      <c r="E102" s="524"/>
      <c r="F102" s="524"/>
      <c r="G102" s="525">
        <f>SUM(G96:G101)</f>
        <v>-4261</v>
      </c>
      <c r="H102" s="460">
        <f>G102+'30'!H102</f>
        <v>-4261</v>
      </c>
      <c r="I102" s="526"/>
      <c r="J102" s="552">
        <f>H102/DAY(B2)</f>
        <v>-137.45161290322579</v>
      </c>
      <c r="K102" s="380"/>
      <c r="L102" s="377"/>
      <c r="N102" s="440">
        <f>H102-'1'!E102</f>
        <v>-4261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56" t="s">
        <v>218</v>
      </c>
      <c r="B104" s="1557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17" t="s">
        <v>219</v>
      </c>
      <c r="B105" s="1518"/>
      <c r="C105" s="1142"/>
      <c r="D105" s="622" t="s">
        <v>144</v>
      </c>
      <c r="E105" s="532">
        <f>'30'!F105</f>
        <v>7431</v>
      </c>
      <c r="F105" s="532">
        <v>7325</v>
      </c>
      <c r="G105" s="532">
        <f>F105-E105</f>
        <v>-106</v>
      </c>
      <c r="H105" s="460">
        <f>G105+'30'!H105</f>
        <v>-49</v>
      </c>
      <c r="I105" s="532"/>
      <c r="J105" s="558">
        <f>H105/DAY(B2)</f>
        <v>-1.5806451612903225</v>
      </c>
      <c r="N105" s="440">
        <f>H105-'1'!E105</f>
        <v>-7480</v>
      </c>
      <c r="O105" s="382"/>
    </row>
    <row r="106" spans="1:15" s="442" customFormat="1" ht="27.75">
      <c r="A106" s="1517" t="s">
        <v>77</v>
      </c>
      <c r="B106" s="1518"/>
      <c r="C106" s="1142"/>
      <c r="D106" s="622" t="s">
        <v>144</v>
      </c>
      <c r="E106" s="532">
        <f>'30'!F106</f>
        <v>35828</v>
      </c>
      <c r="F106" s="534">
        <v>35656</v>
      </c>
      <c r="G106" s="532">
        <f t="shared" ref="G106:G107" si="11">F106-E106</f>
        <v>-172</v>
      </c>
      <c r="H106" s="460">
        <f>G106+'30'!H106</f>
        <v>-113</v>
      </c>
      <c r="I106" s="532"/>
      <c r="J106" s="558">
        <f>H106/DAY(B2)</f>
        <v>-3.6451612903225805</v>
      </c>
      <c r="N106" s="440">
        <f>H106-'1'!E106</f>
        <v>-35941</v>
      </c>
      <c r="O106" s="382"/>
    </row>
    <row r="107" spans="1:15" s="442" customFormat="1" ht="27.75">
      <c r="A107" s="1517" t="s">
        <v>78</v>
      </c>
      <c r="B107" s="1558"/>
      <c r="C107" s="1518"/>
      <c r="D107" s="622" t="s">
        <v>144</v>
      </c>
      <c r="E107" s="532">
        <f>'30'!F107</f>
        <v>19617</v>
      </c>
      <c r="F107" s="532">
        <v>19418</v>
      </c>
      <c r="G107" s="532">
        <f t="shared" si="11"/>
        <v>-199</v>
      </c>
      <c r="H107" s="460">
        <f>G107+'30'!H107</f>
        <v>-65</v>
      </c>
      <c r="I107" s="532"/>
      <c r="J107" s="558">
        <f>H107/DAY(B2)</f>
        <v>-2.096774193548387</v>
      </c>
      <c r="N107" s="440">
        <f>H107-'1'!E107</f>
        <v>-19682</v>
      </c>
      <c r="O107" s="382"/>
    </row>
    <row r="108" spans="1:15" s="442" customFormat="1" ht="27.75">
      <c r="A108" s="1519" t="s">
        <v>202</v>
      </c>
      <c r="B108" s="1520"/>
      <c r="C108" s="1142"/>
      <c r="D108" s="622"/>
      <c r="E108" s="532"/>
      <c r="F108" s="532"/>
      <c r="G108" s="532">
        <f>SUM(G105:G107)</f>
        <v>-477</v>
      </c>
      <c r="H108" s="460">
        <f>G108+'30'!H108</f>
        <v>-269</v>
      </c>
      <c r="I108" s="532"/>
      <c r="J108" s="558">
        <f>H108/DAY(B2)</f>
        <v>-8.67741935483871</v>
      </c>
      <c r="N108" s="440">
        <f>H108-'1'!E108</f>
        <v>-269</v>
      </c>
      <c r="O108" s="382"/>
    </row>
    <row r="109" spans="1:15" s="442" customFormat="1" ht="27.75">
      <c r="A109" s="1523" t="s">
        <v>79</v>
      </c>
      <c r="B109" s="1524"/>
      <c r="C109" s="1142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17" t="s">
        <v>220</v>
      </c>
      <c r="B110" s="1518"/>
      <c r="C110" s="1142"/>
      <c r="D110" s="622" t="s">
        <v>144</v>
      </c>
      <c r="E110" s="532">
        <f>'30'!F110</f>
        <v>61174</v>
      </c>
      <c r="F110" s="532">
        <v>58873</v>
      </c>
      <c r="G110" s="532">
        <f>F110-E110</f>
        <v>-2301</v>
      </c>
      <c r="H110" s="460">
        <f>G110+'30'!H110</f>
        <v>-2040</v>
      </c>
      <c r="I110" s="532"/>
      <c r="J110" s="558">
        <f>H110/DAY(B2)</f>
        <v>-65.806451612903231</v>
      </c>
      <c r="N110" s="440">
        <f>H110-'1'!E110</f>
        <v>-63214</v>
      </c>
      <c r="O110" s="382"/>
    </row>
    <row r="111" spans="1:15" s="442" customFormat="1" ht="27.75">
      <c r="A111" s="1517" t="s">
        <v>221</v>
      </c>
      <c r="B111" s="1518"/>
      <c r="C111" s="1142"/>
      <c r="D111" s="622" t="s">
        <v>144</v>
      </c>
      <c r="E111" s="532">
        <f>'30'!F111</f>
        <v>32235</v>
      </c>
      <c r="F111" s="532">
        <v>31646</v>
      </c>
      <c r="G111" s="532">
        <f t="shared" ref="G111:G112" si="12">F111-E111</f>
        <v>-589</v>
      </c>
      <c r="H111" s="460">
        <f>G111+'30'!H111</f>
        <v>-555</v>
      </c>
      <c r="I111" s="532"/>
      <c r="J111" s="558">
        <f>H111/DAY(B2)</f>
        <v>-17.903225806451612</v>
      </c>
      <c r="N111" s="440">
        <f>H111-'1'!E111</f>
        <v>-32790</v>
      </c>
      <c r="O111" s="382"/>
    </row>
    <row r="112" spans="1:15" s="442" customFormat="1" ht="27.75">
      <c r="A112" s="1517" t="s">
        <v>222</v>
      </c>
      <c r="B112" s="1518"/>
      <c r="C112" s="1142"/>
      <c r="D112" s="622" t="s">
        <v>144</v>
      </c>
      <c r="E112" s="532">
        <f>'30'!F112</f>
        <v>4368</v>
      </c>
      <c r="F112" s="532">
        <v>4156</v>
      </c>
      <c r="G112" s="532">
        <f t="shared" si="12"/>
        <v>-212</v>
      </c>
      <c r="H112" s="460">
        <f>G112+'30'!H112</f>
        <v>48</v>
      </c>
      <c r="I112" s="532"/>
      <c r="J112" s="558">
        <f>H112/DAY(B2)</f>
        <v>1.5483870967741935</v>
      </c>
      <c r="N112" s="440">
        <f>H112-'1'!E112</f>
        <v>-4320</v>
      </c>
      <c r="O112" s="382"/>
    </row>
    <row r="113" spans="1:15" s="442" customFormat="1" ht="27.75">
      <c r="A113" s="1521" t="s">
        <v>110</v>
      </c>
      <c r="B113" s="1522"/>
      <c r="C113" s="1142"/>
      <c r="D113" s="622"/>
      <c r="E113" s="532"/>
      <c r="F113" s="532"/>
      <c r="G113" s="532">
        <f>SUM(G110:G112)</f>
        <v>-3102</v>
      </c>
      <c r="H113" s="460">
        <f>G113+'30'!H113</f>
        <v>-2180</v>
      </c>
      <c r="I113" s="532"/>
      <c r="J113" s="558">
        <f>H113/DAY(B2)</f>
        <v>-70.322580645161295</v>
      </c>
      <c r="N113" s="440">
        <f>H113-'1'!E113</f>
        <v>-2180</v>
      </c>
      <c r="O113" s="382"/>
    </row>
    <row r="114" spans="1:15" s="442" customFormat="1" ht="27.75">
      <c r="A114" s="1523" t="s">
        <v>223</v>
      </c>
      <c r="B114" s="1524"/>
      <c r="C114" s="1142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17" t="s">
        <v>224</v>
      </c>
      <c r="B115" s="1518"/>
      <c r="C115" s="574"/>
      <c r="D115" s="622" t="s">
        <v>144</v>
      </c>
      <c r="E115" s="532">
        <f>'30'!F115</f>
        <v>11259</v>
      </c>
      <c r="F115" s="534">
        <v>10857</v>
      </c>
      <c r="G115" s="534">
        <f>F115-E115</f>
        <v>-402</v>
      </c>
      <c r="H115" s="460">
        <f>G115+'30'!H115</f>
        <v>-392</v>
      </c>
      <c r="I115" s="532"/>
      <c r="J115" s="558">
        <f>H115/DAY(B2)</f>
        <v>-12.64516129032258</v>
      </c>
      <c r="N115" s="440">
        <f>H115-'1'!E115</f>
        <v>-11651</v>
      </c>
      <c r="O115" s="382"/>
    </row>
    <row r="116" spans="1:15" s="442" customFormat="1" ht="27.75">
      <c r="A116" s="1517" t="s">
        <v>225</v>
      </c>
      <c r="B116" s="1518"/>
      <c r="C116" s="574"/>
      <c r="D116" s="622" t="s">
        <v>144</v>
      </c>
      <c r="E116" s="532">
        <f>'30'!F116</f>
        <v>8126</v>
      </c>
      <c r="F116" s="534">
        <v>7975</v>
      </c>
      <c r="G116" s="534">
        <f t="shared" ref="G116:G117" si="13">F116-E116</f>
        <v>-151</v>
      </c>
      <c r="H116" s="460">
        <f>G116+'30'!H116</f>
        <v>-94</v>
      </c>
      <c r="I116" s="532"/>
      <c r="J116" s="558">
        <f>H116/DAY(B2)</f>
        <v>-3.032258064516129</v>
      </c>
      <c r="N116" s="440">
        <f>H116-'1'!E116</f>
        <v>-8220</v>
      </c>
      <c r="O116" s="382"/>
    </row>
    <row r="117" spans="1:15" s="442" customFormat="1" ht="27.75">
      <c r="A117" s="1517" t="s">
        <v>226</v>
      </c>
      <c r="B117" s="1518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95</v>
      </c>
      <c r="I117" s="532"/>
      <c r="J117" s="558">
        <f>H117/DAY(B2)</f>
        <v>3.064516129032258</v>
      </c>
      <c r="N117" s="440">
        <f>H117-'1'!E117</f>
        <v>95</v>
      </c>
      <c r="O117" s="382"/>
    </row>
    <row r="118" spans="1:15" s="445" customFormat="1" ht="27.75">
      <c r="A118" s="1519" t="s">
        <v>202</v>
      </c>
      <c r="B118" s="1520"/>
      <c r="C118" s="574"/>
      <c r="D118" s="623"/>
      <c r="E118" s="534"/>
      <c r="F118" s="534"/>
      <c r="G118" s="534">
        <f>SUM(G115:G117)</f>
        <v>-553</v>
      </c>
      <c r="H118" s="460">
        <f>G118+'30'!H118</f>
        <v>-466</v>
      </c>
      <c r="I118" s="534"/>
      <c r="J118" s="558">
        <f>H118/DAY(B2)</f>
        <v>-15.03225806451613</v>
      </c>
      <c r="N118" s="440">
        <f>H118-'1'!E118</f>
        <v>-466</v>
      </c>
      <c r="O118" s="382"/>
    </row>
    <row r="119" spans="1:15" s="446" customFormat="1" ht="27.75">
      <c r="A119" s="1513" t="s">
        <v>227</v>
      </c>
      <c r="B119" s="1514"/>
      <c r="C119" s="1141"/>
      <c r="D119" s="624" t="s">
        <v>144</v>
      </c>
      <c r="E119" s="536"/>
      <c r="F119" s="536"/>
      <c r="G119" s="536">
        <f>SUM(G19+G93)</f>
        <v>-3600</v>
      </c>
      <c r="H119" s="460">
        <f>G119+'30'!H119</f>
        <v>-3406</v>
      </c>
      <c r="I119" s="535"/>
      <c r="J119" s="559">
        <f>H119/DAY(B2)</f>
        <v>-109.87096774193549</v>
      </c>
      <c r="N119" s="440">
        <f>H119-'1'!E119</f>
        <v>-3406</v>
      </c>
      <c r="O119" s="382"/>
    </row>
    <row r="120" spans="1:15" s="446" customFormat="1" ht="27.75">
      <c r="A120" s="1513" t="s">
        <v>228</v>
      </c>
      <c r="B120" s="1514"/>
      <c r="C120" s="1141"/>
      <c r="D120" s="624" t="s">
        <v>144</v>
      </c>
      <c r="E120" s="536"/>
      <c r="F120" s="536"/>
      <c r="G120" s="536">
        <f>SUM(G96,G97,G98,G100,G101)</f>
        <v>-3637</v>
      </c>
      <c r="H120" s="460">
        <f>G120+'30'!H120</f>
        <v>-3438</v>
      </c>
      <c r="I120" s="535"/>
      <c r="J120" s="559">
        <f>H120/DAY(B2)</f>
        <v>-110.90322580645162</v>
      </c>
      <c r="N120" s="440">
        <f>H120-'1'!E120</f>
        <v>-3438</v>
      </c>
      <c r="O120" s="382"/>
    </row>
    <row r="121" spans="1:15" s="446" customFormat="1" ht="27.75">
      <c r="A121" s="1513" t="s">
        <v>229</v>
      </c>
      <c r="B121" s="1514"/>
      <c r="C121" s="1141"/>
      <c r="D121" s="624" t="s">
        <v>144</v>
      </c>
      <c r="E121" s="534"/>
      <c r="F121" s="534"/>
      <c r="G121" s="534">
        <f>SUM(G113)</f>
        <v>-3102</v>
      </c>
      <c r="H121" s="460">
        <f>G121+'30'!H121</f>
        <v>-2889</v>
      </c>
      <c r="I121" s="535"/>
      <c r="J121" s="559">
        <f>H121/DAY(B2)</f>
        <v>-93.193548387096769</v>
      </c>
      <c r="N121" s="440">
        <f>H121-'1'!E121</f>
        <v>-2889</v>
      </c>
      <c r="O121" s="382"/>
    </row>
    <row r="122" spans="1:15" s="442" customFormat="1" ht="27.75">
      <c r="A122" s="1515"/>
      <c r="B122" s="1516"/>
      <c r="C122" s="1142"/>
      <c r="D122" s="560"/>
      <c r="E122" s="560" t="s">
        <v>215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50" t="s">
        <v>230</v>
      </c>
      <c r="B123" s="1551"/>
      <c r="C123" s="1552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4" t="s">
        <v>231</v>
      </c>
      <c r="B124" s="1145"/>
      <c r="C124" s="1145"/>
      <c r="D124" s="523" t="s">
        <v>141</v>
      </c>
      <c r="E124" s="455">
        <f>'30'!F124</f>
        <v>826088.46</v>
      </c>
      <c r="F124" s="478">
        <v>818810</v>
      </c>
      <c r="G124" s="473">
        <f t="shared" ref="G124:G128" si="14">F124-E124</f>
        <v>-7278.4599999999627</v>
      </c>
      <c r="H124" s="460">
        <f>G124+'30'!H124</f>
        <v>-7278.4599999999627</v>
      </c>
      <c r="I124" s="526"/>
      <c r="J124" s="552">
        <f>H124/DAY(B2)</f>
        <v>-234.78903225806332</v>
      </c>
      <c r="K124" s="380"/>
      <c r="L124" s="377"/>
      <c r="N124" s="440">
        <f>H124-'1'!E124</f>
        <v>-833366.91999999993</v>
      </c>
      <c r="O124" s="382"/>
    </row>
    <row r="125" spans="1:15" ht="27.75">
      <c r="A125" s="1144" t="s">
        <v>232</v>
      </c>
      <c r="B125" s="1145"/>
      <c r="C125" s="1145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04" t="s">
        <v>233</v>
      </c>
      <c r="B126" s="1505"/>
      <c r="C126" s="1506"/>
      <c r="D126" s="523" t="s">
        <v>141</v>
      </c>
      <c r="E126" s="455">
        <f>'30'!F126</f>
        <v>144687.44</v>
      </c>
      <c r="F126" s="478">
        <v>142136</v>
      </c>
      <c r="G126" s="473">
        <f t="shared" si="14"/>
        <v>-2551.4400000000023</v>
      </c>
      <c r="H126" s="460">
        <f>G126+'30'!H126</f>
        <v>-2551.4400000000023</v>
      </c>
      <c r="I126" s="526"/>
      <c r="J126" s="552">
        <f>H126/DAY(B2)</f>
        <v>-82.304516129032336</v>
      </c>
      <c r="K126" s="380"/>
      <c r="L126" s="377"/>
      <c r="N126" s="440">
        <f>H126-'1'!E126</f>
        <v>-147238.88</v>
      </c>
      <c r="O126" s="382"/>
    </row>
    <row r="127" spans="1:15" ht="27.75">
      <c r="A127" s="609" t="s">
        <v>234</v>
      </c>
      <c r="B127" s="1145"/>
      <c r="C127" s="1145"/>
      <c r="D127" s="523" t="s">
        <v>141</v>
      </c>
      <c r="E127" s="455">
        <f>'30'!F127</f>
        <v>31404</v>
      </c>
      <c r="F127" s="626">
        <v>59888</v>
      </c>
      <c r="G127" s="473">
        <f t="shared" si="14"/>
        <v>28484</v>
      </c>
      <c r="H127" s="460">
        <f>G127+'30'!H127</f>
        <v>28484</v>
      </c>
      <c r="I127" s="526"/>
      <c r="J127" s="552">
        <f>H127/DAY(B2)</f>
        <v>918.83870967741939</v>
      </c>
      <c r="K127" s="380"/>
      <c r="L127" s="377"/>
      <c r="N127" s="440">
        <f>H127-'1'!E127</f>
        <v>-2920</v>
      </c>
      <c r="O127" s="382"/>
    </row>
    <row r="128" spans="1:15" ht="27.75">
      <c r="A128" s="609" t="s">
        <v>235</v>
      </c>
      <c r="B128" s="1145"/>
      <c r="C128" s="1145"/>
      <c r="D128" s="523" t="s">
        <v>141</v>
      </c>
      <c r="E128" s="455">
        <f>'30'!F128</f>
        <v>8969.7000000000007</v>
      </c>
      <c r="F128" s="626">
        <v>8962</v>
      </c>
      <c r="G128" s="473">
        <f t="shared" si="14"/>
        <v>-7.7000000000007276</v>
      </c>
      <c r="H128" s="460">
        <f>G128+'30'!H128</f>
        <v>-7.7000000000007276</v>
      </c>
      <c r="I128" s="480"/>
      <c r="J128" s="552">
        <f>H128/DAY(B2)</f>
        <v>-0.24838709677421703</v>
      </c>
      <c r="K128" s="380"/>
      <c r="L128" s="377"/>
      <c r="N128" s="440">
        <f>H128-'1'!E128</f>
        <v>-8977.4000000000015</v>
      </c>
      <c r="O128" s="382"/>
    </row>
    <row r="129" spans="1:15" s="281" customFormat="1" ht="27.75">
      <c r="A129" s="609" t="s">
        <v>236</v>
      </c>
      <c r="B129" s="1145"/>
      <c r="C129" s="1145"/>
      <c r="D129" s="523"/>
      <c r="E129" s="478"/>
      <c r="F129" s="478"/>
      <c r="G129" s="473">
        <f>G15-SUM(G124:G128)</f>
        <v>-42614.400000000038</v>
      </c>
      <c r="H129" s="460">
        <f>G129+'30'!H129</f>
        <v>-42614.400000000038</v>
      </c>
      <c r="I129" s="480"/>
      <c r="J129" s="552"/>
      <c r="K129" s="364"/>
      <c r="L129" s="292"/>
      <c r="N129" s="440">
        <f>H129-'1'!E129</f>
        <v>-42614.400000000038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4" t="s">
        <v>238</v>
      </c>
      <c r="B131" s="1145"/>
      <c r="C131" s="1145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4" t="s">
        <v>240</v>
      </c>
      <c r="B132" s="1145"/>
      <c r="C132" s="1145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4" t="s">
        <v>241</v>
      </c>
      <c r="B133" s="1145"/>
      <c r="C133" s="1145"/>
      <c r="D133" s="523" t="s">
        <v>239</v>
      </c>
      <c r="E133" s="455">
        <f>'30'!F133</f>
        <v>39746.480000000003</v>
      </c>
      <c r="F133" s="541">
        <v>39533</v>
      </c>
      <c r="G133" s="473">
        <f t="shared" si="15"/>
        <v>-213.4800000000032</v>
      </c>
      <c r="H133" s="460">
        <f>G133+'30'!H133</f>
        <v>-213.4800000000032</v>
      </c>
      <c r="I133" s="480"/>
      <c r="J133" s="552">
        <f>H133/DAY(B2)</f>
        <v>-6.8864516129033291</v>
      </c>
      <c r="O133" s="382"/>
    </row>
    <row r="134" spans="1:15" ht="27.75">
      <c r="A134" s="1144" t="s">
        <v>242</v>
      </c>
      <c r="B134" s="1145"/>
      <c r="C134" s="1145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-213.4800000000032</v>
      </c>
      <c r="J134" s="552">
        <f>H134/DAY(B2)</f>
        <v>0</v>
      </c>
      <c r="O134" s="382"/>
    </row>
    <row r="135" spans="1:15" ht="27.75">
      <c r="A135" s="1144" t="s">
        <v>243</v>
      </c>
      <c r="B135" s="1145"/>
      <c r="C135" s="1145"/>
      <c r="D135" s="523" t="s">
        <v>239</v>
      </c>
      <c r="E135" s="455">
        <f>'30'!F135</f>
        <v>41385</v>
      </c>
      <c r="F135" s="541">
        <v>40839</v>
      </c>
      <c r="G135" s="473">
        <f t="shared" si="15"/>
        <v>-546</v>
      </c>
      <c r="H135" s="460">
        <f>G135+'30'!H135</f>
        <v>-432</v>
      </c>
      <c r="I135" s="480"/>
      <c r="J135" s="552">
        <f>H135/DAY(B2)</f>
        <v>-13.935483870967742</v>
      </c>
      <c r="O135" s="382"/>
    </row>
    <row r="136" spans="1:15" ht="27.75">
      <c r="A136" s="1144" t="s">
        <v>244</v>
      </c>
      <c r="B136" s="1145"/>
      <c r="C136" s="1145"/>
      <c r="D136" s="523" t="s">
        <v>239</v>
      </c>
      <c r="E136" s="455">
        <f>'30'!F136</f>
        <v>32583</v>
      </c>
      <c r="F136" s="541">
        <v>32583</v>
      </c>
      <c r="G136" s="473">
        <f t="shared" si="15"/>
        <v>0</v>
      </c>
      <c r="H136" s="460">
        <f>G136+'30'!H136</f>
        <v>13.069999999999709</v>
      </c>
      <c r="I136" s="480"/>
      <c r="J136" s="552">
        <f>H136/DAY(B2)</f>
        <v>0.42161290322579709</v>
      </c>
      <c r="O136" s="382"/>
    </row>
    <row r="137" spans="1:15" ht="27.75">
      <c r="A137" s="1144" t="s">
        <v>245</v>
      </c>
      <c r="B137" s="1145"/>
      <c r="C137" s="1145"/>
      <c r="D137" s="523" t="s">
        <v>239</v>
      </c>
      <c r="E137" s="455">
        <f>'30'!F137</f>
        <v>22739.59</v>
      </c>
      <c r="F137" s="541">
        <v>22488.65</v>
      </c>
      <c r="G137" s="473">
        <f t="shared" si="15"/>
        <v>-250.93999999999869</v>
      </c>
      <c r="H137" s="460">
        <f>G137+'30'!H137</f>
        <v>-250.93999999999869</v>
      </c>
      <c r="I137" s="480">
        <f>G135+G136+G137</f>
        <v>-796.93999999999869</v>
      </c>
      <c r="J137" s="552">
        <f>H137/DAY(B2)</f>
        <v>-8.0948387096773775</v>
      </c>
      <c r="O137" s="382"/>
    </row>
    <row r="138" spans="1:15" ht="27.75">
      <c r="A138" s="1144" t="s">
        <v>246</v>
      </c>
      <c r="B138" s="1145"/>
      <c r="C138" s="1145"/>
      <c r="D138" s="523" t="s">
        <v>239</v>
      </c>
      <c r="E138" s="455">
        <f>'30'!F138</f>
        <v>25051.59</v>
      </c>
      <c r="F138" s="541">
        <v>25048.79</v>
      </c>
      <c r="G138" s="473">
        <f t="shared" si="15"/>
        <v>-2.7999999999992724</v>
      </c>
      <c r="H138" s="460">
        <f>G138+'30'!H138</f>
        <v>5.2999999999992724</v>
      </c>
      <c r="I138" s="480"/>
      <c r="J138" s="552">
        <f>H138/DAY(B2)</f>
        <v>0.17096774193546041</v>
      </c>
      <c r="O138" s="382"/>
    </row>
    <row r="139" spans="1:15" ht="27.75">
      <c r="A139" s="1144" t="s">
        <v>247</v>
      </c>
      <c r="B139" s="1145"/>
      <c r="C139" s="1145"/>
      <c r="D139" s="523" t="s">
        <v>239</v>
      </c>
      <c r="E139" s="455">
        <f>'30'!F139</f>
        <v>70315.81</v>
      </c>
      <c r="F139" s="541">
        <v>70254.03</v>
      </c>
      <c r="G139" s="473">
        <f t="shared" si="15"/>
        <v>-61.779999999998836</v>
      </c>
      <c r="H139" s="460">
        <f>G139+'30'!H139</f>
        <v>-26.19999999999709</v>
      </c>
      <c r="I139" s="480">
        <f>G138+G139</f>
        <v>-64.579999999998108</v>
      </c>
      <c r="J139" s="552">
        <f>H139/DAY(B2)</f>
        <v>-0.84516129032248677</v>
      </c>
      <c r="O139" s="382"/>
    </row>
    <row r="140" spans="1:15" ht="27.75">
      <c r="A140" s="1144" t="s">
        <v>248</v>
      </c>
      <c r="B140" s="1145"/>
      <c r="C140" s="1145"/>
      <c r="D140" s="523" t="s">
        <v>239</v>
      </c>
      <c r="E140" s="455">
        <f>'30'!F140</f>
        <v>1616.86</v>
      </c>
      <c r="F140" s="484">
        <v>1536.52</v>
      </c>
      <c r="G140" s="473">
        <f t="shared" si="15"/>
        <v>-80.339999999999918</v>
      </c>
      <c r="H140" s="460">
        <f>G140+'30'!H140</f>
        <v>-80.339999999999918</v>
      </c>
      <c r="I140" s="542"/>
      <c r="J140" s="552">
        <f>H140/DAY(B2)</f>
        <v>-2.591612903225804</v>
      </c>
      <c r="O140" s="382"/>
    </row>
    <row r="141" spans="1:15" ht="27.75">
      <c r="A141" s="1144" t="s">
        <v>249</v>
      </c>
      <c r="B141" s="1145"/>
      <c r="C141" s="1145"/>
      <c r="D141" s="523" t="s">
        <v>239</v>
      </c>
      <c r="E141" s="455">
        <f>'30'!F141</f>
        <v>4637</v>
      </c>
      <c r="F141" s="484">
        <v>4468.54</v>
      </c>
      <c r="G141" s="473">
        <f t="shared" si="15"/>
        <v>-168.46000000000004</v>
      </c>
      <c r="H141" s="460">
        <f>G141+'30'!H141</f>
        <v>-168.46000000000004</v>
      </c>
      <c r="I141" s="542"/>
      <c r="J141" s="552">
        <f>H141/DAY(B2)</f>
        <v>-5.434193548387098</v>
      </c>
      <c r="O141" s="382"/>
    </row>
    <row r="142" spans="1:15" ht="29.25">
      <c r="A142" s="1531" t="s">
        <v>250</v>
      </c>
      <c r="B142" s="1532"/>
      <c r="C142" s="1150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25" t="s">
        <v>251</v>
      </c>
      <c r="B143" s="1526"/>
      <c r="C143" s="1527"/>
      <c r="D143" s="523" t="s">
        <v>132</v>
      </c>
      <c r="E143" s="523"/>
      <c r="F143" s="523"/>
      <c r="G143" s="460">
        <f>G35+G43+G49+G57</f>
        <v>-159980.13</v>
      </c>
      <c r="H143" s="460">
        <f>G143+'30'!H143</f>
        <v>-160269.13</v>
      </c>
      <c r="I143" s="480"/>
      <c r="J143" s="552">
        <f>H143/DAY(B2)</f>
        <v>-5169.9719354838708</v>
      </c>
      <c r="K143" s="380"/>
      <c r="L143" s="377"/>
      <c r="O143" s="382"/>
    </row>
    <row r="144" spans="1:15" ht="27.75">
      <c r="A144" s="1525" t="s">
        <v>252</v>
      </c>
      <c r="B144" s="1526"/>
      <c r="C144" s="1527"/>
      <c r="D144" s="523" t="s">
        <v>24</v>
      </c>
      <c r="E144" s="511"/>
      <c r="F144" s="511"/>
      <c r="G144" s="543">
        <f>G143/G7</f>
        <v>0.26076205766817168</v>
      </c>
      <c r="H144" s="460">
        <f>G144+'30'!H144</f>
        <v>7.8700110187692234</v>
      </c>
      <c r="I144" s="544"/>
      <c r="J144" s="552">
        <f>H144/DAY(B2)</f>
        <v>0.253871323186104</v>
      </c>
      <c r="K144" s="380"/>
      <c r="L144" s="377"/>
      <c r="O144" s="382"/>
    </row>
    <row r="145" spans="1:15" ht="27.75">
      <c r="A145" s="1525" t="s">
        <v>253</v>
      </c>
      <c r="B145" s="1526"/>
      <c r="C145" s="1527"/>
      <c r="D145" s="523" t="s">
        <v>132</v>
      </c>
      <c r="E145" s="455"/>
      <c r="F145" s="455"/>
      <c r="G145" s="460">
        <f>G41+G42+G55+G56</f>
        <v>-179609.30999999997</v>
      </c>
      <c r="H145" s="460">
        <f>G145+'30'!H145</f>
        <v>167316.69000000003</v>
      </c>
      <c r="I145" s="480"/>
      <c r="J145" s="552">
        <f>H145/DAY(B2)</f>
        <v>5397.3125806451626</v>
      </c>
      <c r="K145" s="380"/>
      <c r="L145" s="377"/>
      <c r="O145" s="382"/>
    </row>
    <row r="146" spans="1:15" ht="27.75">
      <c r="A146" s="1525" t="s">
        <v>254</v>
      </c>
      <c r="B146" s="1526"/>
      <c r="C146" s="1527"/>
      <c r="D146" s="523" t="s">
        <v>24</v>
      </c>
      <c r="E146" s="455"/>
      <c r="F146" s="455"/>
      <c r="G146" s="543">
        <f>G145/G7</f>
        <v>0.29275693957718696</v>
      </c>
      <c r="H146" s="460">
        <f>G146+'30'!H146</f>
        <v>9.2528602109647586</v>
      </c>
      <c r="I146" s="544"/>
      <c r="J146" s="552">
        <f>H146/DAY(B2)</f>
        <v>0.2984793616440245</v>
      </c>
      <c r="K146" s="380"/>
      <c r="L146" s="377"/>
      <c r="O146" s="382"/>
    </row>
    <row r="147" spans="1:15" ht="27.75">
      <c r="A147" s="1525" t="s">
        <v>255</v>
      </c>
      <c r="B147" s="1526"/>
      <c r="C147" s="1527"/>
      <c r="D147" s="523" t="s">
        <v>132</v>
      </c>
      <c r="E147" s="455"/>
      <c r="F147" s="455"/>
      <c r="G147" s="460">
        <f>G39+G53</f>
        <v>-108878</v>
      </c>
      <c r="H147" s="460">
        <f>G147+'30'!H147</f>
        <v>-92933</v>
      </c>
      <c r="I147" s="545"/>
      <c r="J147" s="552">
        <f>H147/DAY(B2)</f>
        <v>-2997.8387096774195</v>
      </c>
      <c r="K147" s="380"/>
      <c r="L147" s="377"/>
      <c r="O147" s="382"/>
    </row>
    <row r="148" spans="1:15" ht="27.75">
      <c r="A148" s="1525" t="s">
        <v>256</v>
      </c>
      <c r="B148" s="1526"/>
      <c r="C148" s="1527"/>
      <c r="D148" s="523" t="s">
        <v>24</v>
      </c>
      <c r="E148" s="455"/>
      <c r="F148" s="455"/>
      <c r="G148" s="543">
        <f>G147/G7</f>
        <v>0.17746735994523316</v>
      </c>
      <c r="H148" s="460">
        <f>G148+'30'!H148</f>
        <v>4.7472675312981147</v>
      </c>
      <c r="I148" s="545"/>
      <c r="J148" s="552">
        <f>H148/DAY(B2)</f>
        <v>0.15313766229993919</v>
      </c>
      <c r="O148" s="382"/>
    </row>
    <row r="149" spans="1:15" ht="27.75">
      <c r="A149" s="1525" t="s">
        <v>257</v>
      </c>
      <c r="B149" s="1526"/>
      <c r="C149" s="1527"/>
      <c r="D149" s="523" t="s">
        <v>183</v>
      </c>
      <c r="E149" s="455"/>
      <c r="F149" s="455"/>
      <c r="G149" s="460">
        <f>G38+G52</f>
        <v>1895</v>
      </c>
      <c r="H149" s="460">
        <f>G149+'30'!H149</f>
        <v>1895</v>
      </c>
      <c r="I149" s="480"/>
      <c r="J149" s="552">
        <f>H149/DAY(B2)</f>
        <v>61.12903225806452</v>
      </c>
      <c r="K149" s="381"/>
      <c r="O149" s="382"/>
    </row>
    <row r="150" spans="1:15" ht="27.75">
      <c r="A150" s="1525" t="s">
        <v>258</v>
      </c>
      <c r="B150" s="1526"/>
      <c r="C150" s="1527"/>
      <c r="D150" s="523" t="s">
        <v>24</v>
      </c>
      <c r="E150" s="455"/>
      <c r="F150" s="455"/>
      <c r="G150" s="543">
        <f>G149/G7</f>
        <v>-3.0887842088963505E-3</v>
      </c>
      <c r="H150" s="460">
        <f>G150+'30'!H150</f>
        <v>2.160373430425222</v>
      </c>
      <c r="I150" s="545"/>
      <c r="J150" s="552">
        <f>H150/DAY(B2)</f>
        <v>6.968946549758781E-2</v>
      </c>
      <c r="O150" s="382"/>
    </row>
    <row r="151" spans="1:15" ht="27.75">
      <c r="A151" s="1525" t="s">
        <v>259</v>
      </c>
      <c r="B151" s="1526"/>
      <c r="C151" s="1527"/>
      <c r="D151" s="523" t="s">
        <v>183</v>
      </c>
      <c r="E151" s="455"/>
      <c r="F151" s="455"/>
      <c r="G151" s="460">
        <f>G36+G50</f>
        <v>-60476</v>
      </c>
      <c r="H151" s="460">
        <f>G151+'30'!H151</f>
        <v>-60476</v>
      </c>
      <c r="I151" s="545"/>
      <c r="J151" s="552">
        <f>H151/DAY(B2)</f>
        <v>-1950.8387096774193</v>
      </c>
      <c r="O151" s="382"/>
    </row>
    <row r="152" spans="1:15" ht="27.75">
      <c r="A152" s="1525" t="s">
        <v>260</v>
      </c>
      <c r="B152" s="1526"/>
      <c r="C152" s="1527"/>
      <c r="D152" s="523" t="s">
        <v>24</v>
      </c>
      <c r="E152" s="455"/>
      <c r="F152" s="455"/>
      <c r="G152" s="543">
        <f>G151/G7</f>
        <v>9.8573780378477943E-2</v>
      </c>
      <c r="H152" s="460">
        <f>G152+'30'!H152</f>
        <v>2.3589978341619209</v>
      </c>
      <c r="I152" s="480"/>
      <c r="J152" s="552">
        <f>H152/DAY(B2)</f>
        <v>7.6096704327803896E-2</v>
      </c>
      <c r="O152" s="382"/>
    </row>
    <row r="153" spans="1:15" ht="27.75">
      <c r="A153" s="1525" t="s">
        <v>261</v>
      </c>
      <c r="B153" s="1526"/>
      <c r="C153" s="1527"/>
      <c r="D153" s="523" t="s">
        <v>183</v>
      </c>
      <c r="E153" s="455"/>
      <c r="F153" s="455"/>
      <c r="G153" s="460">
        <f>G37+G51</f>
        <v>-40428</v>
      </c>
      <c r="H153" s="460">
        <f>G153+'30'!H153</f>
        <v>-40428</v>
      </c>
      <c r="I153" s="480"/>
      <c r="J153" s="552">
        <f>H153/DAY(B2)</f>
        <v>-1304.1290322580646</v>
      </c>
      <c r="O153" s="382"/>
    </row>
    <row r="154" spans="1:15" ht="28.5" thickBot="1">
      <c r="A154" s="1528" t="s">
        <v>262</v>
      </c>
      <c r="B154" s="1529"/>
      <c r="C154" s="1530"/>
      <c r="D154" s="625" t="s">
        <v>24</v>
      </c>
      <c r="E154" s="565"/>
      <c r="F154" s="565"/>
      <c r="G154" s="566">
        <f>G153/G7</f>
        <v>6.5896236410164469E-2</v>
      </c>
      <c r="H154" s="460">
        <f>G154+'30'!H154</f>
        <v>2.229212535745893</v>
      </c>
      <c r="I154" s="568"/>
      <c r="J154" s="569">
        <f>H154/DAY(B2)</f>
        <v>7.1910081798254616E-2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8" t="s">
        <v>263</v>
      </c>
      <c r="B161" s="789"/>
      <c r="C161" s="789"/>
      <c r="D161" s="511" t="s">
        <v>187</v>
      </c>
      <c r="E161" s="455">
        <f>'30'!F161</f>
        <v>35932</v>
      </c>
      <c r="F161" s="661">
        <v>33432</v>
      </c>
      <c r="G161" s="473">
        <f t="shared" ref="G161:G164" si="16">F161-E161</f>
        <v>-2500</v>
      </c>
    </row>
    <row r="162" spans="1:7" ht="29.25">
      <c r="A162" s="788" t="s">
        <v>264</v>
      </c>
      <c r="B162" s="789"/>
      <c r="C162" s="789"/>
      <c r="D162" s="511" t="s">
        <v>187</v>
      </c>
      <c r="E162" s="455">
        <f>'30'!F162</f>
        <v>82358</v>
      </c>
      <c r="F162" s="661">
        <v>68638</v>
      </c>
      <c r="G162" s="473">
        <f t="shared" si="16"/>
        <v>-13720</v>
      </c>
    </row>
    <row r="163" spans="1:7" ht="29.25">
      <c r="A163" s="788" t="s">
        <v>265</v>
      </c>
      <c r="B163" s="789"/>
      <c r="C163" s="789"/>
      <c r="D163" s="511" t="s">
        <v>187</v>
      </c>
      <c r="E163" s="455">
        <f>'30'!F163</f>
        <v>38300</v>
      </c>
      <c r="F163" s="661">
        <v>29319</v>
      </c>
      <c r="G163" s="473">
        <f t="shared" si="16"/>
        <v>-8981</v>
      </c>
    </row>
    <row r="164" spans="1:7" ht="29.25">
      <c r="A164" s="788" t="s">
        <v>266</v>
      </c>
      <c r="B164" s="789"/>
      <c r="C164" s="789"/>
      <c r="D164" s="511" t="s">
        <v>187</v>
      </c>
      <c r="E164" s="455">
        <f>'30'!F164</f>
        <v>6219</v>
      </c>
      <c r="F164" s="661">
        <v>5790</v>
      </c>
      <c r="G164" s="473">
        <f t="shared" si="16"/>
        <v>-429</v>
      </c>
    </row>
    <row r="165" spans="1:7" ht="29.25">
      <c r="A165" s="790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90" t="s">
        <v>188</v>
      </c>
      <c r="B166" s="604"/>
      <c r="C166" s="604"/>
      <c r="D166" s="511" t="s">
        <v>187</v>
      </c>
      <c r="E166" s="514">
        <f t="shared" ref="E166:E172" si="18">E63</f>
        <v>2359</v>
      </c>
      <c r="F166" s="514">
        <f t="shared" ref="F166:F172" si="19">F63</f>
        <v>2096</v>
      </c>
      <c r="G166" s="473">
        <f t="shared" si="17"/>
        <v>-263</v>
      </c>
    </row>
    <row r="167" spans="1:7" ht="27.75">
      <c r="A167" s="1500" t="s">
        <v>99</v>
      </c>
      <c r="B167" s="1500"/>
      <c r="C167" s="1500"/>
      <c r="D167" s="523" t="s">
        <v>187</v>
      </c>
      <c r="E167" s="514">
        <f t="shared" si="18"/>
        <v>153299</v>
      </c>
      <c r="F167" s="514">
        <f t="shared" si="19"/>
        <v>139180</v>
      </c>
      <c r="G167" s="473">
        <f t="shared" si="17"/>
        <v>-14119</v>
      </c>
    </row>
    <row r="168" spans="1:7" ht="27.75">
      <c r="A168" s="1500" t="s">
        <v>100</v>
      </c>
      <c r="B168" s="1500"/>
      <c r="C168" s="1500"/>
      <c r="D168" s="523" t="s">
        <v>187</v>
      </c>
      <c r="E168" s="514">
        <f t="shared" si="18"/>
        <v>154599</v>
      </c>
      <c r="F168" s="514">
        <f t="shared" si="19"/>
        <v>144205</v>
      </c>
      <c r="G168" s="473">
        <f t="shared" si="17"/>
        <v>-10394</v>
      </c>
    </row>
    <row r="169" spans="1:7" ht="27.75">
      <c r="A169" s="1500" t="s">
        <v>101</v>
      </c>
      <c r="B169" s="1500"/>
      <c r="C169" s="1500"/>
      <c r="D169" s="523" t="s">
        <v>187</v>
      </c>
      <c r="E169" s="514">
        <f t="shared" si="18"/>
        <v>48571</v>
      </c>
      <c r="F169" s="514">
        <f t="shared" si="19"/>
        <v>37208</v>
      </c>
      <c r="G169" s="473">
        <f t="shared" si="17"/>
        <v>-11363</v>
      </c>
    </row>
    <row r="170" spans="1:7" ht="27.75">
      <c r="A170" s="1500" t="s">
        <v>102</v>
      </c>
      <c r="B170" s="1500"/>
      <c r="C170" s="1500"/>
      <c r="D170" s="523" t="s">
        <v>187</v>
      </c>
      <c r="E170" s="514">
        <f t="shared" si="18"/>
        <v>243174</v>
      </c>
      <c r="F170" s="514">
        <f t="shared" si="19"/>
        <v>229100</v>
      </c>
      <c r="G170" s="473">
        <f t="shared" si="17"/>
        <v>-14074</v>
      </c>
    </row>
    <row r="171" spans="1:7" ht="27.75">
      <c r="A171" s="1500" t="s">
        <v>103</v>
      </c>
      <c r="B171" s="1500"/>
      <c r="C171" s="1500"/>
      <c r="D171" s="523" t="s">
        <v>187</v>
      </c>
      <c r="E171" s="514">
        <f t="shared" si="18"/>
        <v>85321</v>
      </c>
      <c r="F171" s="514">
        <f t="shared" si="19"/>
        <v>83087</v>
      </c>
      <c r="G171" s="473">
        <f t="shared" si="17"/>
        <v>-2234</v>
      </c>
    </row>
    <row r="172" spans="1:7" ht="27.75">
      <c r="A172" s="1500" t="s">
        <v>104</v>
      </c>
      <c r="B172" s="1500"/>
      <c r="C172" s="1500"/>
      <c r="D172" s="523" t="s">
        <v>187</v>
      </c>
      <c r="E172" s="514">
        <f t="shared" si="18"/>
        <v>78994</v>
      </c>
      <c r="F172" s="514">
        <f t="shared" si="19"/>
        <v>74329</v>
      </c>
      <c r="G172" s="473">
        <f t="shared" si="17"/>
        <v>-4665</v>
      </c>
    </row>
    <row r="173" spans="1:7" ht="29.25">
      <c r="G173" s="539">
        <f>SUM(G161:G172)</f>
        <v>-82742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81"/>
      <c r="B1" s="1481"/>
      <c r="C1" s="1481"/>
      <c r="D1" s="1481"/>
      <c r="E1" s="1481"/>
      <c r="F1" s="1481"/>
      <c r="G1" s="1481"/>
      <c r="H1" s="1481"/>
      <c r="I1" s="1481"/>
      <c r="J1" s="1481"/>
      <c r="K1" s="1481"/>
      <c r="L1" s="1481"/>
      <c r="M1" s="1481"/>
      <c r="N1" s="1481"/>
      <c r="O1" s="1481"/>
    </row>
    <row r="2" spans="1:15" ht="28.5" customHeight="1">
      <c r="A2" s="1" t="s">
        <v>0</v>
      </c>
      <c r="B2" s="1" t="s">
        <v>0</v>
      </c>
      <c r="C2" s="1118" t="s">
        <v>1</v>
      </c>
      <c r="D2" s="4" t="s">
        <v>4</v>
      </c>
      <c r="E2" s="1483" t="s">
        <v>7</v>
      </c>
      <c r="F2" s="1483"/>
      <c r="G2" s="1483"/>
      <c r="H2" s="1489" t="s">
        <v>15</v>
      </c>
      <c r="I2" s="1489"/>
      <c r="J2" s="1489"/>
      <c r="K2" s="1118" t="s">
        <v>16</v>
      </c>
      <c r="L2" s="1489" t="s">
        <v>17</v>
      </c>
      <c r="M2" s="1489"/>
      <c r="N2" s="1489"/>
      <c r="O2" s="1118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5777297</v>
      </c>
      <c r="E4" s="19">
        <f>'1'!G97</f>
        <v>12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82</v>
      </c>
      <c r="J4" s="19">
        <f>'1'!G70</f>
        <v>0</v>
      </c>
      <c r="K4" s="23">
        <f>H4+I4</f>
        <v>82</v>
      </c>
      <c r="L4" s="19">
        <f>'1'!G71</f>
        <v>0</v>
      </c>
      <c r="M4" s="19">
        <f>'1'!G72</f>
        <v>17</v>
      </c>
      <c r="N4" s="19">
        <v>0</v>
      </c>
      <c r="O4" s="23">
        <f>L4+M4+N4</f>
        <v>17</v>
      </c>
    </row>
    <row r="5" spans="1:15">
      <c r="A5" s="16">
        <v>2</v>
      </c>
      <c r="B5" s="26">
        <v>2</v>
      </c>
      <c r="C5" s="26"/>
      <c r="D5" s="19">
        <f>'2'!F8</f>
        <v>5793328</v>
      </c>
      <c r="E5" s="19">
        <f>'2'!G96</f>
        <v>42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93</v>
      </c>
      <c r="J5" s="19">
        <f>'2'!G70</f>
        <v>0</v>
      </c>
      <c r="K5" s="23">
        <f t="shared" ref="K5:K18" si="1">H5+I5</f>
        <v>93</v>
      </c>
      <c r="L5" s="19">
        <f>'2'!G71</f>
        <v>0</v>
      </c>
      <c r="M5" s="19">
        <f>'2'!G72</f>
        <v>15</v>
      </c>
      <c r="N5" s="19">
        <v>0</v>
      </c>
      <c r="O5" s="23">
        <f t="shared" ref="O5:O18" si="2">L5+M5+N5</f>
        <v>15</v>
      </c>
    </row>
    <row r="6" spans="1:15">
      <c r="A6" s="16">
        <v>3</v>
      </c>
      <c r="B6" s="26">
        <v>3</v>
      </c>
      <c r="C6" s="26"/>
      <c r="D6" s="19">
        <f>'4'!F8</f>
        <v>5825643</v>
      </c>
      <c r="E6" s="19">
        <f>'3'!G96</f>
        <v>61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78</v>
      </c>
      <c r="J6" s="19">
        <f>'4'!G70</f>
        <v>0</v>
      </c>
      <c r="K6" s="23">
        <f t="shared" si="1"/>
        <v>78</v>
      </c>
      <c r="L6" s="19">
        <f>'4'!G71</f>
        <v>0</v>
      </c>
      <c r="M6" s="19">
        <f>'4'!G72</f>
        <v>17</v>
      </c>
      <c r="N6" s="19">
        <v>0</v>
      </c>
      <c r="O6" s="23">
        <f t="shared" si="2"/>
        <v>17</v>
      </c>
    </row>
    <row r="7" spans="1:15">
      <c r="A7" s="16">
        <v>4</v>
      </c>
      <c r="B7" s="27">
        <v>4</v>
      </c>
      <c r="C7" s="27"/>
      <c r="D7" s="19">
        <f>'3'!F8</f>
        <v>5809417</v>
      </c>
      <c r="E7" s="19">
        <f>'4'!G96</f>
        <v>62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85</v>
      </c>
      <c r="J7" s="19">
        <f>'3'!G70</f>
        <v>0</v>
      </c>
      <c r="K7" s="23">
        <f t="shared" si="1"/>
        <v>85</v>
      </c>
      <c r="L7" s="19">
        <f>'3'!G71</f>
        <v>0</v>
      </c>
      <c r="M7" s="19">
        <f>'3'!G72</f>
        <v>15</v>
      </c>
      <c r="N7" s="19">
        <v>0</v>
      </c>
      <c r="O7" s="23">
        <f t="shared" si="2"/>
        <v>15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5857109</v>
      </c>
      <c r="E9" s="19">
        <f>'6'!G96</f>
        <v>39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41</v>
      </c>
      <c r="J9" s="19">
        <f>'6'!G70</f>
        <v>0</v>
      </c>
      <c r="K9" s="23">
        <f t="shared" si="1"/>
        <v>41</v>
      </c>
      <c r="L9" s="19">
        <f>'6'!G71</f>
        <v>0</v>
      </c>
      <c r="M9" s="19">
        <f>'6'!G72</f>
        <v>31</v>
      </c>
      <c r="N9" s="19">
        <v>0</v>
      </c>
      <c r="O9" s="23">
        <f t="shared" si="2"/>
        <v>31</v>
      </c>
    </row>
    <row r="10" spans="1:15">
      <c r="A10" s="16">
        <v>7</v>
      </c>
      <c r="B10" s="26">
        <v>7</v>
      </c>
      <c r="C10" s="27"/>
      <c r="D10" s="19">
        <f>'7'!F8</f>
        <v>5872131</v>
      </c>
      <c r="E10" s="19">
        <f>'7'!G96</f>
        <v>31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34</v>
      </c>
      <c r="J10" s="19">
        <f>'7'!G70</f>
        <v>0</v>
      </c>
      <c r="K10" s="23">
        <f t="shared" si="1"/>
        <v>34</v>
      </c>
      <c r="L10" s="19">
        <f>'7'!G71</f>
        <v>0</v>
      </c>
      <c r="M10" s="19">
        <f>'7'!G72</f>
        <v>2</v>
      </c>
      <c r="N10" s="19">
        <v>0</v>
      </c>
      <c r="O10" s="23">
        <f t="shared" si="2"/>
        <v>2</v>
      </c>
    </row>
    <row r="11" spans="1:15">
      <c r="A11" s="16">
        <v>8</v>
      </c>
      <c r="B11" s="26">
        <v>8</v>
      </c>
      <c r="C11" s="18"/>
      <c r="D11" s="19">
        <f>'8'!F8</f>
        <v>5891695</v>
      </c>
      <c r="E11" s="19">
        <f>'8'!G96</f>
        <v>78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141.39999999999418</v>
      </c>
      <c r="J11" s="19">
        <f>'8'!G70</f>
        <v>0</v>
      </c>
      <c r="K11" s="23">
        <f t="shared" si="1"/>
        <v>141.39999999999418</v>
      </c>
      <c r="L11" s="19">
        <f>'8'!G71</f>
        <v>0</v>
      </c>
      <c r="M11" s="19">
        <f>'8'!G72</f>
        <v>15</v>
      </c>
      <c r="N11" s="19">
        <v>0</v>
      </c>
      <c r="O11" s="23">
        <f t="shared" si="2"/>
        <v>15</v>
      </c>
    </row>
    <row r="12" spans="1:15">
      <c r="A12" s="16">
        <v>9</v>
      </c>
      <c r="B12" s="27">
        <v>9</v>
      </c>
      <c r="C12" s="26"/>
      <c r="D12" s="19">
        <f>'9'!F8</f>
        <v>5907092</v>
      </c>
      <c r="E12" s="19">
        <f>'9'!G96</f>
        <v>40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112.60000000000582</v>
      </c>
      <c r="J12" s="19">
        <f>'9'!G70</f>
        <v>0</v>
      </c>
      <c r="K12" s="23">
        <f t="shared" si="1"/>
        <v>112.60000000000582</v>
      </c>
      <c r="L12" s="19">
        <f>'9'!G71</f>
        <v>0</v>
      </c>
      <c r="M12" s="19">
        <f>'9'!G72</f>
        <v>16</v>
      </c>
      <c r="N12" s="19">
        <v>0</v>
      </c>
      <c r="O12" s="23">
        <f t="shared" si="2"/>
        <v>16</v>
      </c>
    </row>
    <row r="13" spans="1:15">
      <c r="A13" s="16">
        <v>10</v>
      </c>
      <c r="B13" s="27">
        <v>10</v>
      </c>
      <c r="C13" s="26"/>
      <c r="D13" s="19">
        <f>'10'!F8</f>
        <v>5922347</v>
      </c>
      <c r="E13" s="19">
        <f>'10'!G96</f>
        <v>24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100</v>
      </c>
      <c r="J13" s="19">
        <f>'10'!G70</f>
        <v>0</v>
      </c>
      <c r="K13" s="23">
        <f t="shared" si="1"/>
        <v>100</v>
      </c>
      <c r="L13" s="19">
        <f>'10'!G71</f>
        <v>0</v>
      </c>
      <c r="M13" s="19">
        <f>'10'!G72</f>
        <v>17</v>
      </c>
      <c r="N13" s="19">
        <v>0</v>
      </c>
      <c r="O13" s="23">
        <f t="shared" si="2"/>
        <v>17</v>
      </c>
    </row>
    <row r="14" spans="1:15">
      <c r="A14" s="16">
        <v>11</v>
      </c>
      <c r="B14" s="17">
        <v>11</v>
      </c>
      <c r="C14" s="27"/>
      <c r="D14" s="19">
        <f>'11'!F8</f>
        <v>19957.82</v>
      </c>
      <c r="E14" s="19">
        <f>'11'!G96</f>
        <v>26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39.610000000000582</v>
      </c>
      <c r="J14" s="19">
        <f>'11'!G70</f>
        <v>0</v>
      </c>
      <c r="K14" s="23">
        <f t="shared" si="1"/>
        <v>39.610000000000582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35217.71</v>
      </c>
      <c r="E15" s="19">
        <f>'12'!G96</f>
        <v>35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43.210000000006403</v>
      </c>
      <c r="J15" s="19">
        <f>'12'!G70</f>
        <v>0</v>
      </c>
      <c r="K15" s="23">
        <f t="shared" si="1"/>
        <v>43.210000000006403</v>
      </c>
      <c r="L15" s="19">
        <f>'12'!G71</f>
        <v>0</v>
      </c>
      <c r="M15" s="19">
        <f>'12'!G72</f>
        <v>9</v>
      </c>
      <c r="N15" s="19">
        <v>0</v>
      </c>
      <c r="O15" s="23">
        <f t="shared" si="2"/>
        <v>9</v>
      </c>
    </row>
    <row r="16" spans="1:15">
      <c r="A16" s="16">
        <v>13</v>
      </c>
      <c r="B16" s="26">
        <v>13</v>
      </c>
      <c r="C16" s="26"/>
      <c r="D16" s="19">
        <f>'13'!F8</f>
        <v>49888.73</v>
      </c>
      <c r="E16" s="19">
        <f>'13'!G96</f>
        <v>52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43.44999999999709</v>
      </c>
      <c r="J16" s="19">
        <f>'13'!G70</f>
        <v>0</v>
      </c>
      <c r="K16" s="23">
        <f t="shared" si="1"/>
        <v>43.44999999999709</v>
      </c>
      <c r="L16" s="19">
        <f>'13'!G71</f>
        <v>0</v>
      </c>
      <c r="M16" s="19">
        <f>'13'!G72</f>
        <v>11</v>
      </c>
      <c r="N16" s="19">
        <v>0</v>
      </c>
      <c r="O16" s="23">
        <f t="shared" si="2"/>
        <v>11</v>
      </c>
    </row>
    <row r="17" spans="1:15">
      <c r="A17" s="16">
        <v>14</v>
      </c>
      <c r="B17" s="17">
        <v>14</v>
      </c>
      <c r="C17" s="27"/>
      <c r="D17" s="19">
        <f>'14'!F8</f>
        <v>64319.28</v>
      </c>
      <c r="E17" s="19">
        <f>'14'!G96</f>
        <v>46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42.80000000000291</v>
      </c>
      <c r="J17" s="19">
        <f>'14'!G71</f>
        <v>0</v>
      </c>
      <c r="K17" s="23">
        <f t="shared" si="1"/>
        <v>42.80000000000291</v>
      </c>
      <c r="L17" s="19">
        <f>'14'!G72</f>
        <v>10</v>
      </c>
      <c r="M17" s="19">
        <f>'14'!G73</f>
        <v>1</v>
      </c>
      <c r="N17" s="19">
        <v>0</v>
      </c>
      <c r="O17" s="23">
        <f t="shared" si="2"/>
        <v>11</v>
      </c>
    </row>
    <row r="18" spans="1:15">
      <c r="A18" s="16">
        <v>15</v>
      </c>
      <c r="B18" s="26">
        <v>15</v>
      </c>
      <c r="C18" s="18"/>
      <c r="D18" s="19">
        <f>'15'!F8</f>
        <v>81436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00" t="s">
        <v>117</v>
      </c>
      <c r="B1" s="1700"/>
      <c r="C1" s="1700"/>
      <c r="D1" s="1700"/>
      <c r="E1" s="1700"/>
      <c r="F1" s="1700"/>
      <c r="G1" s="1700"/>
      <c r="H1" s="1700"/>
      <c r="I1" s="1700"/>
      <c r="J1" s="1700"/>
    </row>
    <row r="2" spans="1:12" ht="23.25" customHeight="1">
      <c r="A2" s="214" t="s">
        <v>280</v>
      </c>
      <c r="B2" s="195">
        <v>42328</v>
      </c>
      <c r="C2" s="1701" t="s">
        <v>281</v>
      </c>
      <c r="D2" s="170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8" t="s">
        <v>282</v>
      </c>
      <c r="B3" s="189"/>
      <c r="C3" s="189"/>
      <c r="D3" s="1139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08" t="s">
        <v>130</v>
      </c>
      <c r="B6" s="1709"/>
      <c r="C6" s="1710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94" t="s">
        <v>139</v>
      </c>
      <c r="B14" s="1695"/>
      <c r="C14" s="169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94" t="s">
        <v>142</v>
      </c>
      <c r="B17" s="1695"/>
      <c r="C17" s="169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78" t="s">
        <v>143</v>
      </c>
      <c r="B18" s="1679"/>
      <c r="C18" s="168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78" t="s">
        <v>71</v>
      </c>
      <c r="B19" s="1679"/>
      <c r="C19" s="168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94" t="s">
        <v>146</v>
      </c>
      <c r="B21" s="1695"/>
      <c r="C21" s="169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5" t="s">
        <v>147</v>
      </c>
      <c r="B22" s="1136"/>
      <c r="C22" s="1137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5" t="s">
        <v>149</v>
      </c>
      <c r="B23" s="1136"/>
      <c r="C23" s="1137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7" t="s">
        <v>151</v>
      </c>
      <c r="B25" s="1698"/>
      <c r="C25" s="169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03" t="s">
        <v>162</v>
      </c>
      <c r="B32" s="1704"/>
      <c r="C32" s="1704"/>
      <c r="D32" s="1704"/>
      <c r="E32" s="1704"/>
      <c r="F32" s="1704"/>
      <c r="G32" s="1704"/>
      <c r="H32" s="1704"/>
      <c r="I32" s="1704"/>
      <c r="J32" s="1705"/>
      <c r="K32" s="59"/>
      <c r="L32" s="117"/>
    </row>
    <row r="33" spans="1:12" ht="18.75" customHeight="1">
      <c r="A33" s="1151" t="s">
        <v>163</v>
      </c>
      <c r="B33" s="1152"/>
      <c r="C33" s="1153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1" t="s">
        <v>177</v>
      </c>
      <c r="B47" s="1152"/>
      <c r="C47" s="1153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90" t="s">
        <v>99</v>
      </c>
      <c r="B63" s="1691"/>
      <c r="C63" s="169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90" t="s">
        <v>100</v>
      </c>
      <c r="B64" s="1691"/>
      <c r="C64" s="169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90" t="s">
        <v>101</v>
      </c>
      <c r="B65" s="1691"/>
      <c r="C65" s="169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90" t="s">
        <v>102</v>
      </c>
      <c r="B66" s="1691"/>
      <c r="C66" s="169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90" t="s">
        <v>103</v>
      </c>
      <c r="B67" s="1691"/>
      <c r="C67" s="169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90" t="s">
        <v>104</v>
      </c>
      <c r="B68" s="1691"/>
      <c r="C68" s="169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90" t="s">
        <v>191</v>
      </c>
      <c r="B70" s="1691"/>
      <c r="C70" s="169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90" t="s">
        <v>192</v>
      </c>
      <c r="B71" s="1691"/>
      <c r="C71" s="169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90" t="s">
        <v>193</v>
      </c>
      <c r="B72" s="1691"/>
      <c r="C72" s="169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87" t="s">
        <v>194</v>
      </c>
      <c r="B73" s="1688"/>
      <c r="C73" s="1689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87" t="s">
        <v>195</v>
      </c>
      <c r="B74" s="1688"/>
      <c r="C74" s="1689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90" t="s">
        <v>196</v>
      </c>
      <c r="B75" s="1691"/>
      <c r="C75" s="169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93" t="s">
        <v>92</v>
      </c>
      <c r="B76" s="1685"/>
      <c r="C76" s="168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93" t="s">
        <v>198</v>
      </c>
      <c r="B77" s="1685"/>
      <c r="C77" s="168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93" t="s">
        <v>199</v>
      </c>
      <c r="B78" s="1685"/>
      <c r="C78" s="168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84" t="s">
        <v>93</v>
      </c>
      <c r="B79" s="1685"/>
      <c r="C79" s="168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84" t="s">
        <v>200</v>
      </c>
      <c r="B80" s="1685"/>
      <c r="C80" s="168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84" t="s">
        <v>287</v>
      </c>
      <c r="B81" s="1685"/>
      <c r="C81" s="168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78" t="s">
        <v>207</v>
      </c>
      <c r="B84" s="1679"/>
      <c r="C84" s="168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78" t="s">
        <v>209</v>
      </c>
      <c r="B85" s="1679"/>
      <c r="C85" s="168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78" t="s">
        <v>210</v>
      </c>
      <c r="B86" s="1679"/>
      <c r="C86" s="168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78" t="s">
        <v>211</v>
      </c>
      <c r="B87" s="1679"/>
      <c r="C87" s="168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78" t="s">
        <v>212</v>
      </c>
      <c r="B88" s="1679"/>
      <c r="C88" s="168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78" t="s">
        <v>213</v>
      </c>
      <c r="B89" s="1679"/>
      <c r="C89" s="168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78" t="s">
        <v>214</v>
      </c>
      <c r="B90" s="1679"/>
      <c r="C90" s="168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78" t="s">
        <v>219</v>
      </c>
      <c r="B91" s="1679"/>
      <c r="C91" s="168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78" t="s">
        <v>77</v>
      </c>
      <c r="B92" s="1679"/>
      <c r="C92" s="168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78" t="s">
        <v>78</v>
      </c>
      <c r="B93" s="1679"/>
      <c r="C93" s="168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78" t="s">
        <v>206</v>
      </c>
      <c r="B94" s="1679"/>
      <c r="C94" s="168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81" t="s">
        <v>230</v>
      </c>
      <c r="B95" s="1682"/>
      <c r="C95" s="1683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6"/>
      <c r="C97" s="1137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06" t="s">
        <v>250</v>
      </c>
      <c r="B98" s="170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78" t="s">
        <v>251</v>
      </c>
      <c r="B99" s="1679"/>
      <c r="C99" s="168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78" t="s">
        <v>252</v>
      </c>
      <c r="B100" s="1679"/>
      <c r="C100" s="168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78" t="s">
        <v>253</v>
      </c>
      <c r="B101" s="1679"/>
      <c r="C101" s="168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78" t="s">
        <v>254</v>
      </c>
      <c r="B102" s="1679"/>
      <c r="C102" s="168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78" t="s">
        <v>255</v>
      </c>
      <c r="B103" s="1679"/>
      <c r="C103" s="168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78" t="s">
        <v>256</v>
      </c>
      <c r="B104" s="1679"/>
      <c r="C104" s="168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78" t="s">
        <v>257</v>
      </c>
      <c r="B105" s="1679"/>
      <c r="C105" s="168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78" t="s">
        <v>258</v>
      </c>
      <c r="B106" s="1679"/>
      <c r="C106" s="168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78" t="s">
        <v>259</v>
      </c>
      <c r="B107" s="1679"/>
      <c r="C107" s="168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78" t="s">
        <v>260</v>
      </c>
      <c r="B108" s="1679"/>
      <c r="C108" s="168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78" t="s">
        <v>261</v>
      </c>
      <c r="B109" s="1679"/>
      <c r="C109" s="168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78" t="s">
        <v>262</v>
      </c>
      <c r="B110" s="1679"/>
      <c r="C110" s="168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00" t="s">
        <v>117</v>
      </c>
      <c r="B1" s="1700"/>
      <c r="C1" s="1700"/>
      <c r="D1" s="1700"/>
      <c r="E1" s="1700"/>
      <c r="F1" s="1700"/>
      <c r="G1" s="1700"/>
      <c r="H1" s="1700"/>
      <c r="I1" s="1700"/>
      <c r="J1" s="1700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4" t="s">
        <v>120</v>
      </c>
      <c r="D3" s="386">
        <v>32</v>
      </c>
      <c r="E3" s="1714" t="s">
        <v>121</v>
      </c>
      <c r="F3" s="171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16" t="s">
        <v>130</v>
      </c>
      <c r="B6" s="1717"/>
      <c r="C6" s="171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5708695</v>
      </c>
      <c r="F7" s="306">
        <v>3615871.9</v>
      </c>
      <c r="G7" s="307">
        <f>F7-E7</f>
        <v>-2092823.1</v>
      </c>
      <c r="H7" s="57">
        <f>G7+'29'!H7</f>
        <v>3770894.9</v>
      </c>
      <c r="I7" s="276">
        <f>'1'!I7</f>
        <v>12000</v>
      </c>
      <c r="J7" s="58">
        <f>H7/DAY(B2)</f>
        <v>125696.49666666666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972579.91</v>
      </c>
      <c r="F9" s="264">
        <v>2288314.7000000002</v>
      </c>
      <c r="G9" s="318">
        <f t="shared" ref="G9:G11" si="0">F9-E9</f>
        <v>1315734.79</v>
      </c>
      <c r="H9" s="57">
        <f>G9+'29'!H9</f>
        <v>1297600.7000000002</v>
      </c>
      <c r="I9" s="278">
        <f>I7-J7</f>
        <v>-113696.49666666666</v>
      </c>
      <c r="J9" s="58">
        <f>H9/DAY(B2)</f>
        <v>43253.356666666674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2536331.61</v>
      </c>
      <c r="H13" s="57">
        <f>G13+'29'!H13</f>
        <v>2503676.52</v>
      </c>
      <c r="I13" s="369">
        <f>G7-G13</f>
        <v>-4629154.71</v>
      </c>
      <c r="J13" s="308">
        <f>H13/DAY(B2)</f>
        <v>83455.884000000005</v>
      </c>
      <c r="K13" s="59"/>
      <c r="L13" s="117"/>
    </row>
    <row r="14" spans="1:12" ht="23.25" customHeight="1">
      <c r="A14" s="1719" t="s">
        <v>139</v>
      </c>
      <c r="B14" s="1720"/>
      <c r="C14" s="172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1670180.29</v>
      </c>
      <c r="F15" s="266">
        <v>1040573.68</v>
      </c>
      <c r="G15" s="318">
        <f>(F15-E15)</f>
        <v>-629606.61</v>
      </c>
      <c r="H15" s="57">
        <f>G15+'29'!H15</f>
        <v>-630083.31999999995</v>
      </c>
      <c r="I15" s="276">
        <f>'1'!I15</f>
        <v>800</v>
      </c>
      <c r="J15" s="58">
        <f>H15/DAY(B2)</f>
        <v>-21002.777333333332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21802.777333333332</v>
      </c>
      <c r="J16" s="229"/>
      <c r="K16" s="59"/>
      <c r="L16" s="117"/>
    </row>
    <row r="17" spans="1:12" ht="23.25" customHeight="1">
      <c r="A17" s="1719" t="s">
        <v>142</v>
      </c>
      <c r="B17" s="1720"/>
      <c r="C17" s="172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11" t="s">
        <v>143</v>
      </c>
      <c r="B18" s="1712"/>
      <c r="C18" s="1713"/>
      <c r="D18" s="268" t="s">
        <v>144</v>
      </c>
      <c r="E18" s="415">
        <f>'29'!F18</f>
        <v>2</v>
      </c>
      <c r="F18" s="267">
        <v>24</v>
      </c>
      <c r="G18" s="279">
        <f>F18*10</f>
        <v>240</v>
      </c>
      <c r="H18" s="57">
        <f>G18+'29'!H18</f>
        <v>1740</v>
      </c>
      <c r="I18" s="158">
        <f>'1'!I18</f>
        <v>65</v>
      </c>
      <c r="J18" s="58">
        <f>H18/DAY(B2)</f>
        <v>58</v>
      </c>
      <c r="K18" s="59"/>
      <c r="L18" s="117"/>
    </row>
    <row r="19" spans="1:12" ht="23.25" customHeight="1">
      <c r="A19" s="1711" t="s">
        <v>71</v>
      </c>
      <c r="B19" s="1712"/>
      <c r="C19" s="1713"/>
      <c r="D19" s="268" t="s">
        <v>144</v>
      </c>
      <c r="E19" s="56">
        <f>'29'!F19</f>
        <v>137758</v>
      </c>
      <c r="F19" s="267">
        <v>99778</v>
      </c>
      <c r="G19" s="318">
        <f t="shared" ref="G19" si="1">F19-E19</f>
        <v>-37980</v>
      </c>
      <c r="H19" s="57">
        <f>G19+'29'!H19</f>
        <v>-38034</v>
      </c>
      <c r="I19" s="80"/>
      <c r="J19" s="58">
        <f>H19/DAY(B2)</f>
        <v>-1267.8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-37740</v>
      </c>
      <c r="H20" s="57">
        <f>G20+'29'!H20</f>
        <v>-36258</v>
      </c>
      <c r="I20" s="127">
        <f>J20-I18</f>
        <v>-1273.5999999999999</v>
      </c>
      <c r="J20" s="58">
        <f>H20/DAY(B2)</f>
        <v>-1208.5999999999999</v>
      </c>
      <c r="K20" s="59"/>
      <c r="L20" s="117"/>
    </row>
    <row r="21" spans="1:12" ht="23.25" customHeight="1">
      <c r="A21" s="1719" t="s">
        <v>146</v>
      </c>
      <c r="B21" s="1720"/>
      <c r="C21" s="172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6" t="s">
        <v>147</v>
      </c>
      <c r="B22" s="1127"/>
      <c r="C22" s="1128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6" t="s">
        <v>149</v>
      </c>
      <c r="B23" s="1127"/>
      <c r="C23" s="1128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725" t="s">
        <v>151</v>
      </c>
      <c r="B25" s="1726"/>
      <c r="C25" s="1727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-2092823.1</v>
      </c>
      <c r="F27" s="412">
        <v>10.86</v>
      </c>
      <c r="G27" s="366">
        <f>E27*F27</f>
        <v>-22728058.866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-629606.61</v>
      </c>
      <c r="F28" s="412">
        <v>44</v>
      </c>
      <c r="G28" s="366">
        <f>E28*F28</f>
        <v>-27702690.84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-37740</v>
      </c>
      <c r="F30" s="412">
        <v>95</v>
      </c>
      <c r="G30" s="366">
        <f>E30*F30</f>
        <v>-3585300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-54016049.706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03" t="s">
        <v>162</v>
      </c>
      <c r="B32" s="1704"/>
      <c r="C32" s="1704"/>
      <c r="D32" s="1704"/>
      <c r="E32" s="1704"/>
      <c r="F32" s="1704"/>
      <c r="G32" s="1704"/>
      <c r="H32" s="1704"/>
      <c r="I32" s="1704"/>
      <c r="J32" s="1705"/>
      <c r="K32" s="59"/>
      <c r="L32" s="117"/>
    </row>
    <row r="33" spans="1:12" ht="23.25" customHeight="1">
      <c r="A33" s="1121" t="s">
        <v>163</v>
      </c>
      <c r="B33" s="1122"/>
      <c r="C33" s="1123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884026.03</v>
      </c>
      <c r="F34" s="344">
        <v>0</v>
      </c>
      <c r="G34" s="318">
        <f t="shared" ref="G34:G45" si="3">F34-E34</f>
        <v>-884026.03</v>
      </c>
      <c r="H34" s="57">
        <f>G34+'29'!H35</f>
        <v>-886459</v>
      </c>
      <c r="I34" s="56"/>
      <c r="J34" s="58">
        <f>H34/DAY(B2)</f>
        <v>-29548.633333333335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343892.67</v>
      </c>
      <c r="F35" s="344">
        <v>694322.47</v>
      </c>
      <c r="G35" s="318">
        <f t="shared" si="3"/>
        <v>350429.8</v>
      </c>
      <c r="H35" s="57">
        <f>G35+'29'!H36</f>
        <v>349714.47</v>
      </c>
      <c r="I35" s="56"/>
      <c r="J35" s="58">
        <f>H35/DAY(B2)</f>
        <v>11657.148999999999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93853.95</v>
      </c>
      <c r="F36" s="344">
        <v>392708.87</v>
      </c>
      <c r="G36" s="318">
        <f t="shared" si="3"/>
        <v>298854.92</v>
      </c>
      <c r="H36" s="57">
        <f>G36+'29'!H37</f>
        <v>297483.87</v>
      </c>
      <c r="I36" s="56"/>
      <c r="J36" s="58">
        <f>H36/DAY(B2)</f>
        <v>9916.128999999999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118139.24</v>
      </c>
      <c r="F37" s="345">
        <v>675505.75</v>
      </c>
      <c r="G37" s="318">
        <f t="shared" si="3"/>
        <v>557366.51</v>
      </c>
      <c r="H37" s="57">
        <f>G37+'29'!H38</f>
        <v>555909.75</v>
      </c>
      <c r="I37" s="56"/>
      <c r="J37" s="58">
        <f>H37/DAY(B2)</f>
        <v>18530.325000000001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244460.45</v>
      </c>
      <c r="F38" s="344">
        <v>2497766.1</v>
      </c>
      <c r="G38" s="318">
        <f t="shared" si="3"/>
        <v>2253305.65</v>
      </c>
      <c r="H38" s="57">
        <f>G38+'29'!H39</f>
        <v>2251113.1</v>
      </c>
      <c r="I38" s="56"/>
      <c r="J38" s="58">
        <f>H38/DAY(B2)</f>
        <v>75037.103333333333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-0.23000000000001819</v>
      </c>
      <c r="I39" s="56"/>
      <c r="J39" s="58">
        <f>H39/DAY(B2)</f>
        <v>-7.6666666666672734E-3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177616.67</v>
      </c>
      <c r="F40" s="344">
        <v>1138016.5</v>
      </c>
      <c r="G40" s="318">
        <f t="shared" si="3"/>
        <v>960399.83</v>
      </c>
      <c r="H40" s="57">
        <f>G40+'29'!H41</f>
        <v>956488.5</v>
      </c>
      <c r="I40" s="56"/>
      <c r="J40" s="58">
        <f>H40/DAY(B2)</f>
        <v>31882.95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59200</v>
      </c>
      <c r="F41" s="344">
        <v>1251783.8</v>
      </c>
      <c r="G41" s="318">
        <f t="shared" si="3"/>
        <v>1192583.8</v>
      </c>
      <c r="H41" s="57">
        <f>G41+'29'!H42</f>
        <v>1192583.8</v>
      </c>
      <c r="I41" s="56"/>
      <c r="J41" s="58">
        <f>H41/DAY(B2)</f>
        <v>39752.793333333335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971519.51</v>
      </c>
      <c r="F42" s="344">
        <v>1479848.9</v>
      </c>
      <c r="G42" s="318">
        <f t="shared" si="3"/>
        <v>508329.3899999999</v>
      </c>
      <c r="H42" s="57">
        <f>G42+'29'!H43</f>
        <v>505890.89999999991</v>
      </c>
      <c r="I42" s="56"/>
      <c r="J42" s="58">
        <f>H42/DAY(B2)</f>
        <v>16863.029999999995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5238662.6399999997</v>
      </c>
      <c r="H46" s="57">
        <f>G46+'29'!H47</f>
        <v>5224945.5999999996</v>
      </c>
      <c r="I46" s="56"/>
      <c r="J46" s="58">
        <f>H46/DAY(B2)</f>
        <v>174164.85333333333</v>
      </c>
      <c r="K46" s="59"/>
      <c r="L46" s="117"/>
    </row>
    <row r="47" spans="1:12" ht="23.25" customHeight="1">
      <c r="A47" s="1121" t="s">
        <v>177</v>
      </c>
      <c r="B47" s="1122"/>
      <c r="C47" s="1123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473153.27</v>
      </c>
      <c r="F49" s="344">
        <v>707853.75</v>
      </c>
      <c r="G49" s="318">
        <f t="shared" si="4"/>
        <v>234700.47999999998</v>
      </c>
      <c r="H49" s="57">
        <f>G49+'29'!H50</f>
        <v>232378.75</v>
      </c>
      <c r="I49" s="56"/>
      <c r="J49" s="58">
        <f>H49/DAY(B2)</f>
        <v>7745.958333333333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415735.79</v>
      </c>
      <c r="F52" s="344">
        <v>495803.59</v>
      </c>
      <c r="G52" s="318">
        <f t="shared" si="4"/>
        <v>80067.800000000047</v>
      </c>
      <c r="H52" s="57">
        <f>G52+'29'!H53</f>
        <v>94914.590000000026</v>
      </c>
      <c r="I52" s="56"/>
      <c r="J52" s="58">
        <f>H52/DAY(B2)</f>
        <v>3163.8196666666677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11307.45</v>
      </c>
      <c r="F53" s="344">
        <v>55471.01</v>
      </c>
      <c r="G53" s="318">
        <f t="shared" si="4"/>
        <v>44163.56</v>
      </c>
      <c r="H53" s="57">
        <f>G53+'29'!H54</f>
        <v>47709.009999999995</v>
      </c>
      <c r="I53" s="56"/>
      <c r="J53" s="58">
        <f>H53/DAY(B2)</f>
        <v>1590.3003333333331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345059</v>
      </c>
      <c r="F54" s="344">
        <v>741511.59</v>
      </c>
      <c r="G54" s="318">
        <f t="shared" si="4"/>
        <v>396452.58999999997</v>
      </c>
      <c r="H54" s="57">
        <f>G54+'29'!H55</f>
        <v>741511.59</v>
      </c>
      <c r="I54" s="56"/>
      <c r="J54" s="58">
        <f>H54/DAY(B2)</f>
        <v>24717.053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589288.47</v>
      </c>
      <c r="F55" s="344">
        <v>334966</v>
      </c>
      <c r="G55" s="318">
        <f t="shared" si="4"/>
        <v>-254322.46999999997</v>
      </c>
      <c r="H55" s="57">
        <f>G55+'29'!H56</f>
        <v>-254322.36</v>
      </c>
      <c r="I55" s="56"/>
      <c r="J55" s="58">
        <f>H55/DAY(B2)</f>
        <v>-8477.4120000000003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46666.81</v>
      </c>
      <c r="F57" s="344">
        <v>2065.9499999999998</v>
      </c>
      <c r="G57" s="318">
        <f t="shared" si="4"/>
        <v>-44600.86</v>
      </c>
      <c r="H57" s="57">
        <f>G57+'29'!H58</f>
        <v>-44651.05</v>
      </c>
      <c r="I57" s="56"/>
      <c r="J57" s="58">
        <f>H57/DAY(B2)</f>
        <v>-1488.3683333333333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2093639.8099999998</v>
      </c>
      <c r="H58" s="57">
        <f>G58+'29'!H59</f>
        <v>2454719.1799999997</v>
      </c>
      <c r="I58" s="56">
        <f>G7-G59</f>
        <v>-9425125.5499999989</v>
      </c>
      <c r="J58" s="58">
        <f>H58/DAY(B2)</f>
        <v>81823.972666666654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7332302.4499999993</v>
      </c>
      <c r="H59" s="57">
        <f>G59+'29'!H60</f>
        <v>7681248.669999999</v>
      </c>
      <c r="I59" s="56">
        <f>G13-G59</f>
        <v>-4795970.84</v>
      </c>
      <c r="J59" s="58">
        <f>H59/DAY(B2)</f>
        <v>256041.6223333333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2355.71</v>
      </c>
      <c r="F62" s="270">
        <v>113360.74</v>
      </c>
      <c r="G62" s="318">
        <f t="shared" si="5"/>
        <v>111005.03</v>
      </c>
      <c r="H62" s="57">
        <f>G62+'29'!H63</f>
        <v>111001.74</v>
      </c>
      <c r="I62" s="201"/>
      <c r="J62" s="58">
        <f>H62/DAY(B2)</f>
        <v>3700.058</v>
      </c>
      <c r="K62" s="59"/>
      <c r="L62" s="117"/>
    </row>
    <row r="63" spans="1:12" ht="23.25" customHeight="1">
      <c r="A63" s="1728" t="s">
        <v>99</v>
      </c>
      <c r="B63" s="1729"/>
      <c r="C63" s="1730"/>
      <c r="D63" s="268" t="s">
        <v>187</v>
      </c>
      <c r="E63" s="56">
        <f>'29'!F64</f>
        <v>153063.73000000001</v>
      </c>
      <c r="F63" s="267">
        <v>274089</v>
      </c>
      <c r="G63" s="318">
        <f t="shared" si="5"/>
        <v>121025.26999999999</v>
      </c>
      <c r="H63" s="57">
        <f>G63+'29'!H64</f>
        <v>120790</v>
      </c>
      <c r="I63" s="69"/>
      <c r="J63" s="58">
        <f>H63/DAY(B2)</f>
        <v>4026.3333333333335</v>
      </c>
      <c r="K63" s="59"/>
      <c r="L63" s="117"/>
    </row>
    <row r="64" spans="1:12" ht="23.25" customHeight="1">
      <c r="A64" s="1728" t="s">
        <v>100</v>
      </c>
      <c r="B64" s="1729"/>
      <c r="C64" s="1730"/>
      <c r="D64" s="268" t="s">
        <v>187</v>
      </c>
      <c r="E64" s="56">
        <f>'29'!F65</f>
        <v>154390.29999999999</v>
      </c>
      <c r="F64" s="267">
        <v>218102.43</v>
      </c>
      <c r="G64" s="318">
        <f t="shared" si="5"/>
        <v>63712.130000000005</v>
      </c>
      <c r="H64" s="57">
        <f>G64+'29'!H65</f>
        <v>63503.429999999993</v>
      </c>
      <c r="I64" s="80"/>
      <c r="J64" s="58">
        <f>H64/DAY(B2)</f>
        <v>2116.7809999999999</v>
      </c>
      <c r="K64" s="59"/>
      <c r="L64" s="117"/>
    </row>
    <row r="65" spans="1:12" ht="23.25" customHeight="1">
      <c r="A65" s="1728" t="s">
        <v>101</v>
      </c>
      <c r="B65" s="1729"/>
      <c r="C65" s="1730"/>
      <c r="D65" s="268" t="s">
        <v>187</v>
      </c>
      <c r="E65" s="56">
        <f>'29'!F66</f>
        <v>48305.58</v>
      </c>
      <c r="F65" s="267">
        <v>7977.92</v>
      </c>
      <c r="G65" s="318">
        <f t="shared" si="5"/>
        <v>-40327.660000000003</v>
      </c>
      <c r="H65" s="57">
        <f>G65+'29'!H66</f>
        <v>-40593.08</v>
      </c>
      <c r="I65" s="69"/>
      <c r="J65" s="58">
        <f>H65/DAY(B2)</f>
        <v>-1353.1026666666667</v>
      </c>
      <c r="K65" s="59"/>
      <c r="L65" s="117"/>
    </row>
    <row r="66" spans="1:12" ht="23.25" customHeight="1">
      <c r="A66" s="1728" t="s">
        <v>102</v>
      </c>
      <c r="B66" s="1729"/>
      <c r="C66" s="1730"/>
      <c r="D66" s="268" t="s">
        <v>187</v>
      </c>
      <c r="E66" s="56">
        <f>'29'!F67</f>
        <v>242893.27</v>
      </c>
      <c r="F66" s="267">
        <v>350190.03</v>
      </c>
      <c r="G66" s="318">
        <f t="shared" si="5"/>
        <v>107296.76000000004</v>
      </c>
      <c r="H66" s="57">
        <f>G66+'29'!H67</f>
        <v>107016.03000000003</v>
      </c>
      <c r="I66" s="80"/>
      <c r="J66" s="58">
        <f>H66/DAY(B2)</f>
        <v>3567.2010000000009</v>
      </c>
      <c r="K66" s="75"/>
      <c r="L66" s="117"/>
    </row>
    <row r="67" spans="1:12" ht="23.25" customHeight="1">
      <c r="A67" s="1728" t="s">
        <v>103</v>
      </c>
      <c r="B67" s="1729"/>
      <c r="C67" s="1730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28" t="s">
        <v>104</v>
      </c>
      <c r="B68" s="1729"/>
      <c r="C68" s="1730"/>
      <c r="D68" s="268" t="s">
        <v>187</v>
      </c>
      <c r="E68" s="56">
        <f>'29'!F69</f>
        <v>78874.87</v>
      </c>
      <c r="F68" s="267">
        <v>156094.09</v>
      </c>
      <c r="G68" s="318">
        <f t="shared" si="5"/>
        <v>77219.22</v>
      </c>
      <c r="H68" s="57">
        <f>G68+'29'!H69</f>
        <v>77100.09</v>
      </c>
      <c r="I68" s="105"/>
      <c r="J68" s="58">
        <f>H68/DAY(B2)</f>
        <v>2570.0029999999997</v>
      </c>
      <c r="K68" s="85"/>
      <c r="L68" s="117"/>
    </row>
    <row r="69" spans="1:12" ht="23.25" customHeight="1">
      <c r="A69" s="1731" t="s">
        <v>189</v>
      </c>
      <c r="B69" s="1732"/>
      <c r="C69" s="173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22" t="s">
        <v>190</v>
      </c>
      <c r="B70" s="1723"/>
      <c r="C70" s="1723"/>
      <c r="D70" s="1723"/>
      <c r="E70" s="1723"/>
      <c r="F70" s="1723"/>
      <c r="G70" s="1723"/>
      <c r="H70" s="1723"/>
      <c r="I70" s="1723"/>
      <c r="J70" s="1724"/>
      <c r="K70" s="83"/>
      <c r="L70" s="117"/>
    </row>
    <row r="71" spans="1:12" ht="23.25" customHeight="1">
      <c r="A71" s="1728" t="s">
        <v>191</v>
      </c>
      <c r="B71" s="1729"/>
      <c r="C71" s="1730"/>
      <c r="D71" s="268" t="s">
        <v>187</v>
      </c>
      <c r="E71" s="415">
        <f>'29'!F72</f>
        <v>855444</v>
      </c>
      <c r="F71" s="271">
        <v>788748</v>
      </c>
      <c r="G71" s="318">
        <f t="shared" ref="G71:G83" si="6">F71-E71</f>
        <v>-66696</v>
      </c>
      <c r="H71" s="57">
        <f>G71+'29'!H72</f>
        <v>-66724</v>
      </c>
      <c r="I71" s="69"/>
      <c r="J71" s="58">
        <f>H71/DAY(B2)</f>
        <v>-2224.1333333333332</v>
      </c>
      <c r="K71" s="85"/>
      <c r="L71" s="117"/>
    </row>
    <row r="72" spans="1:12" ht="23.25" customHeight="1">
      <c r="A72" s="1728" t="s">
        <v>192</v>
      </c>
      <c r="B72" s="1729"/>
      <c r="C72" s="1730"/>
      <c r="D72" s="268" t="s">
        <v>187</v>
      </c>
      <c r="E72" s="56">
        <f>'29'!F73</f>
        <v>885871</v>
      </c>
      <c r="F72" s="271">
        <v>883770</v>
      </c>
      <c r="G72" s="318">
        <f t="shared" si="6"/>
        <v>-2101</v>
      </c>
      <c r="H72" s="57">
        <f>G72+'29'!H73</f>
        <v>-1926</v>
      </c>
      <c r="I72" s="69"/>
      <c r="J72" s="58">
        <f>H72/DAY(B2)</f>
        <v>-64.2</v>
      </c>
      <c r="K72" s="83"/>
      <c r="L72" s="117"/>
    </row>
    <row r="73" spans="1:12" ht="23.25" customHeight="1">
      <c r="A73" s="1728" t="s">
        <v>193</v>
      </c>
      <c r="B73" s="1729"/>
      <c r="C73" s="1730"/>
      <c r="D73" s="268" t="s">
        <v>187</v>
      </c>
      <c r="E73" s="56">
        <f>'29'!F74</f>
        <v>2248.48</v>
      </c>
      <c r="F73" s="271">
        <v>783142</v>
      </c>
      <c r="G73" s="318">
        <f t="shared" si="6"/>
        <v>780893.52</v>
      </c>
      <c r="H73" s="57">
        <f>G73+'29'!H74</f>
        <v>780863</v>
      </c>
      <c r="I73" s="69"/>
      <c r="J73" s="58">
        <f>H73/DAY(B2)</f>
        <v>26028.766666666666</v>
      </c>
      <c r="K73" s="85"/>
      <c r="L73" s="117"/>
    </row>
    <row r="74" spans="1:12" ht="23.25" customHeight="1">
      <c r="A74" s="1734" t="s">
        <v>194</v>
      </c>
      <c r="B74" s="1735"/>
      <c r="C74" s="1736"/>
      <c r="D74" s="268" t="s">
        <v>187</v>
      </c>
      <c r="E74" s="56">
        <f>'29'!F75</f>
        <v>10911.43</v>
      </c>
      <c r="F74" s="271">
        <v>641404</v>
      </c>
      <c r="G74" s="318">
        <f t="shared" si="6"/>
        <v>630492.56999999995</v>
      </c>
      <c r="H74" s="57">
        <f>G74+'29'!H75</f>
        <v>630434</v>
      </c>
      <c r="I74" s="69"/>
      <c r="J74" s="58">
        <f>H74/DAY(B2)</f>
        <v>21014.466666666667</v>
      </c>
      <c r="K74" s="83"/>
      <c r="L74" s="117"/>
    </row>
    <row r="75" spans="1:12" ht="23.25" customHeight="1">
      <c r="A75" s="1734" t="s">
        <v>195</v>
      </c>
      <c r="B75" s="1735"/>
      <c r="C75" s="1736"/>
      <c r="D75" s="268" t="s">
        <v>187</v>
      </c>
      <c r="E75" s="56">
        <f>'29'!F76</f>
        <v>5659.36</v>
      </c>
      <c r="F75" s="271">
        <v>615603</v>
      </c>
      <c r="G75" s="318">
        <f t="shared" si="6"/>
        <v>609943.64</v>
      </c>
      <c r="H75" s="57">
        <f>G75+'29'!H76</f>
        <v>609886.05000000005</v>
      </c>
      <c r="I75" s="112"/>
      <c r="J75" s="58">
        <f>H75/DAY(B2)</f>
        <v>20329.535</v>
      </c>
      <c r="K75" s="83"/>
      <c r="L75" s="117"/>
    </row>
    <row r="76" spans="1:12" ht="23.25" customHeight="1">
      <c r="A76" s="1728" t="s">
        <v>196</v>
      </c>
      <c r="B76" s="1729"/>
      <c r="C76" s="1730"/>
      <c r="D76" s="268" t="s">
        <v>187</v>
      </c>
      <c r="E76" s="56">
        <f>'29'!F77</f>
        <v>701513</v>
      </c>
      <c r="F76" s="271">
        <v>669905</v>
      </c>
      <c r="G76" s="318">
        <f t="shared" si="6"/>
        <v>-31608</v>
      </c>
      <c r="H76" s="57">
        <f>G76+'29'!H77</f>
        <v>-31657</v>
      </c>
      <c r="I76" s="112"/>
      <c r="J76" s="58">
        <f>H76/DAY(B2)</f>
        <v>-1055.2333333333333</v>
      </c>
      <c r="K76" s="83"/>
      <c r="L76" s="117"/>
    </row>
    <row r="77" spans="1:12" ht="23.25" customHeight="1">
      <c r="A77" s="1129" t="s">
        <v>197</v>
      </c>
      <c r="B77" s="1130"/>
      <c r="C77" s="1131"/>
      <c r="D77" s="268" t="s">
        <v>187</v>
      </c>
      <c r="E77" s="56">
        <f>'29'!F78</f>
        <v>669798</v>
      </c>
      <c r="F77" s="271">
        <v>487314</v>
      </c>
      <c r="G77" s="318">
        <f t="shared" si="6"/>
        <v>-182484</v>
      </c>
      <c r="H77" s="57">
        <f>G77+'29'!H78</f>
        <v>-182711</v>
      </c>
      <c r="I77" s="112"/>
      <c r="J77" s="58">
        <f>H77/DAY(B2)</f>
        <v>-6090.3666666666668</v>
      </c>
      <c r="K77" s="83"/>
      <c r="L77" s="117"/>
    </row>
    <row r="78" spans="1:12" ht="23.25" customHeight="1">
      <c r="A78" s="1737" t="s">
        <v>92</v>
      </c>
      <c r="B78" s="1738"/>
      <c r="C78" s="1739"/>
      <c r="D78" s="356" t="s">
        <v>187</v>
      </c>
      <c r="E78" s="56">
        <f>'29'!F79</f>
        <v>826590</v>
      </c>
      <c r="F78" s="271">
        <v>677157</v>
      </c>
      <c r="G78" s="318">
        <f t="shared" si="6"/>
        <v>-149433</v>
      </c>
      <c r="H78" s="57">
        <f>G78+'29'!H79</f>
        <v>-150574</v>
      </c>
      <c r="I78" s="112"/>
      <c r="J78" s="58">
        <f>H78/DAY(B2)</f>
        <v>-5019.1333333333332</v>
      </c>
      <c r="K78" s="83"/>
      <c r="L78" s="117"/>
    </row>
    <row r="79" spans="1:12" ht="23.25" customHeight="1">
      <c r="A79" s="1737" t="s">
        <v>198</v>
      </c>
      <c r="B79" s="1738"/>
      <c r="C79" s="1739"/>
      <c r="D79" s="356" t="s">
        <v>187</v>
      </c>
      <c r="E79" s="56">
        <f>'29'!F80</f>
        <v>516357.24</v>
      </c>
      <c r="F79" s="271">
        <v>341072.6</v>
      </c>
      <c r="G79" s="318">
        <f t="shared" si="6"/>
        <v>-175284.64</v>
      </c>
      <c r="H79" s="57">
        <f>G79+'29'!H80</f>
        <v>-178388.40000000002</v>
      </c>
      <c r="I79" s="112"/>
      <c r="J79" s="58">
        <f>H79/DAY(B2)</f>
        <v>-5946.2800000000007</v>
      </c>
      <c r="K79" s="83"/>
      <c r="L79" s="117"/>
    </row>
    <row r="80" spans="1:12" ht="23.25" customHeight="1">
      <c r="A80" s="1737" t="s">
        <v>199</v>
      </c>
      <c r="B80" s="1738"/>
      <c r="C80" s="1739"/>
      <c r="D80" s="356" t="s">
        <v>187</v>
      </c>
      <c r="E80" s="56">
        <f>'29'!F81</f>
        <v>636404.12</v>
      </c>
      <c r="F80" s="271">
        <v>407588.2</v>
      </c>
      <c r="G80" s="318">
        <f t="shared" si="6"/>
        <v>-228815.91999999998</v>
      </c>
      <c r="H80" s="57">
        <f>G80+'29'!H81</f>
        <v>-228889.8</v>
      </c>
      <c r="I80" s="112"/>
      <c r="J80" s="58">
        <f>H80/DAY(B2)</f>
        <v>-7629.66</v>
      </c>
      <c r="K80" s="83"/>
      <c r="L80" s="117"/>
    </row>
    <row r="81" spans="1:12" ht="23.25" customHeight="1">
      <c r="A81" s="1740" t="s">
        <v>93</v>
      </c>
      <c r="B81" s="1738"/>
      <c r="C81" s="1739"/>
      <c r="D81" s="357" t="s">
        <v>132</v>
      </c>
      <c r="E81" s="56">
        <f>'29'!F82</f>
        <v>107569.60000000001</v>
      </c>
      <c r="F81" s="272">
        <v>72586.12</v>
      </c>
      <c r="G81" s="318">
        <f t="shared" si="6"/>
        <v>-34983.48000000001</v>
      </c>
      <c r="H81" s="57">
        <f>G81+'29'!H82</f>
        <v>-35025.880000000005</v>
      </c>
      <c r="I81" s="206"/>
      <c r="J81" s="58">
        <f>H81/DAY(B2)</f>
        <v>-1167.5293333333334</v>
      </c>
      <c r="K81" s="83"/>
      <c r="L81" s="117"/>
    </row>
    <row r="82" spans="1:12" ht="23.25" customHeight="1">
      <c r="A82" s="1740" t="s">
        <v>200</v>
      </c>
      <c r="B82" s="1738"/>
      <c r="C82" s="1739"/>
      <c r="D82" s="273" t="s">
        <v>132</v>
      </c>
      <c r="E82" s="56">
        <f>'29'!F83</f>
        <v>14522</v>
      </c>
      <c r="F82" s="269">
        <v>725847</v>
      </c>
      <c r="G82" s="318">
        <f t="shared" si="6"/>
        <v>711325</v>
      </c>
      <c r="H82" s="57">
        <f>G82+'29'!H83</f>
        <v>711076</v>
      </c>
      <c r="I82" s="68"/>
      <c r="J82" s="58">
        <f>H82/DAY(B2)</f>
        <v>23702.533333333333</v>
      </c>
      <c r="K82" s="75"/>
      <c r="L82" s="117"/>
    </row>
    <row r="83" spans="1:12" ht="23.25" customHeight="1">
      <c r="A83" s="1132" t="s">
        <v>201</v>
      </c>
      <c r="B83" s="1132"/>
      <c r="C83" s="1133"/>
      <c r="D83" s="358" t="s">
        <v>132</v>
      </c>
      <c r="E83" s="56">
        <f>'29'!F84</f>
        <v>479363</v>
      </c>
      <c r="F83" s="268">
        <v>960770</v>
      </c>
      <c r="G83" s="318">
        <f t="shared" si="6"/>
        <v>481407</v>
      </c>
      <c r="H83" s="57">
        <f>G83+'29'!H84</f>
        <v>480637</v>
      </c>
      <c r="I83" s="68"/>
      <c r="J83" s="58">
        <f>H83/DAY(B2)</f>
        <v>16021.233333333334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2342655.69</v>
      </c>
      <c r="H84" s="57">
        <f>G84+'29'!H85</f>
        <v>2340508.92</v>
      </c>
      <c r="I84" s="68"/>
      <c r="J84" s="58">
        <f>H84/DAY(B2)</f>
        <v>78016.963999999993</v>
      </c>
      <c r="K84" s="88"/>
      <c r="L84" s="44"/>
    </row>
    <row r="85" spans="1:12" s="38" customFormat="1" ht="23.25" customHeight="1">
      <c r="A85" s="1124" t="s">
        <v>205</v>
      </c>
      <c r="B85" s="398"/>
      <c r="C85" s="1125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11" t="s">
        <v>206</v>
      </c>
      <c r="B86" s="1712"/>
      <c r="C86" s="1713"/>
      <c r="D86" s="268" t="s">
        <v>144</v>
      </c>
      <c r="E86" s="415">
        <f>'29'!F93</f>
        <v>244468</v>
      </c>
      <c r="F86" s="267">
        <v>175511</v>
      </c>
      <c r="G86" s="318">
        <f t="shared" ref="G86:G87" si="7">F86-E86</f>
        <v>-68957</v>
      </c>
      <c r="H86" s="57">
        <f>G86+'29'!H93</f>
        <v>-69013</v>
      </c>
      <c r="I86" s="69"/>
      <c r="J86" s="58">
        <f>H86/DAY(B2)</f>
        <v>-2300.4333333333334</v>
      </c>
      <c r="K86" s="75"/>
      <c r="L86" s="117"/>
    </row>
    <row r="87" spans="1:12" ht="23.25" customHeight="1">
      <c r="A87" s="1711" t="s">
        <v>207</v>
      </c>
      <c r="B87" s="1712"/>
      <c r="C87" s="1713"/>
      <c r="D87" s="268" t="s">
        <v>144</v>
      </c>
      <c r="E87" s="56">
        <f>'29'!F94</f>
        <v>183446</v>
      </c>
      <c r="F87" s="267">
        <v>60336</v>
      </c>
      <c r="G87" s="318">
        <f t="shared" si="7"/>
        <v>-123110</v>
      </c>
      <c r="H87" s="57">
        <f>G87+'29'!H94</f>
        <v>-123195</v>
      </c>
      <c r="I87" s="69"/>
      <c r="J87" s="58">
        <f>H87/DAY(B2)</f>
        <v>-4106.5</v>
      </c>
      <c r="K87" s="88"/>
      <c r="L87" s="117"/>
    </row>
    <row r="88" spans="1:12" ht="23.25" customHeight="1">
      <c r="A88" s="1741" t="s">
        <v>208</v>
      </c>
      <c r="B88" s="1742"/>
      <c r="C88" s="1743"/>
      <c r="D88" s="268"/>
      <c r="E88" s="56">
        <f>'29'!F95</f>
        <v>0</v>
      </c>
      <c r="F88" s="267"/>
      <c r="G88" s="318">
        <f>G86+G87</f>
        <v>-192067</v>
      </c>
      <c r="H88" s="57">
        <f>G88+'29'!H95</f>
        <v>-192355</v>
      </c>
      <c r="I88" s="69"/>
      <c r="J88" s="58">
        <f>H88/DAY(B2)</f>
        <v>-6411.833333333333</v>
      </c>
      <c r="K88" s="88"/>
      <c r="L88" s="117"/>
    </row>
    <row r="89" spans="1:12" ht="23.25" customHeight="1">
      <c r="A89" s="1711" t="s">
        <v>209</v>
      </c>
      <c r="B89" s="1712"/>
      <c r="C89" s="1713"/>
      <c r="D89" s="268" t="s">
        <v>144</v>
      </c>
      <c r="E89" s="56">
        <f>'29'!F96</f>
        <v>412812</v>
      </c>
      <c r="F89" s="267">
        <v>351186</v>
      </c>
      <c r="G89" s="318">
        <f t="shared" ref="G89:G94" si="8">F89-E89</f>
        <v>-61626</v>
      </c>
      <c r="H89" s="57">
        <f>G89+'29'!H96</f>
        <v>-61700</v>
      </c>
      <c r="I89" s="69"/>
      <c r="J89" s="58">
        <f>H89/DAY(B2)</f>
        <v>-2056.6666666666665</v>
      </c>
      <c r="K89" s="88"/>
      <c r="L89" s="117"/>
    </row>
    <row r="90" spans="1:12" ht="23.25" customHeight="1">
      <c r="A90" s="1126" t="s">
        <v>210</v>
      </c>
      <c r="B90" s="1127"/>
      <c r="C90" s="1128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2</v>
      </c>
      <c r="I90" s="69"/>
      <c r="J90" s="58">
        <f>H90/DAY(B2)</f>
        <v>6.6666666666666666E-2</v>
      </c>
      <c r="K90" s="43"/>
      <c r="L90" s="117"/>
    </row>
    <row r="91" spans="1:12" ht="23.25" customHeight="1">
      <c r="A91" s="1126" t="s">
        <v>211</v>
      </c>
      <c r="B91" s="1127"/>
      <c r="C91" s="1128"/>
      <c r="D91" s="268" t="s">
        <v>144</v>
      </c>
      <c r="E91" s="56">
        <f>'29'!F98</f>
        <v>97411</v>
      </c>
      <c r="F91" s="267">
        <v>82333</v>
      </c>
      <c r="G91" s="318">
        <f t="shared" si="8"/>
        <v>-15078</v>
      </c>
      <c r="H91" s="57">
        <f>G91+'29'!H98</f>
        <v>-15094</v>
      </c>
      <c r="I91" s="69"/>
      <c r="J91" s="58">
        <f>H91/DAY(B2)</f>
        <v>-503.13333333333333</v>
      </c>
      <c r="K91" s="51"/>
      <c r="L91" s="117"/>
    </row>
    <row r="92" spans="1:12" ht="23.25" customHeight="1">
      <c r="A92" s="1126" t="s">
        <v>212</v>
      </c>
      <c r="B92" s="1127"/>
      <c r="C92" s="1128"/>
      <c r="D92" s="268" t="s">
        <v>144</v>
      </c>
      <c r="E92" s="56">
        <f>'29'!F99</f>
        <v>149525</v>
      </c>
      <c r="F92" s="267">
        <v>115948</v>
      </c>
      <c r="G92" s="318">
        <f t="shared" si="8"/>
        <v>-33577</v>
      </c>
      <c r="H92" s="57">
        <f>G92+'29'!H99</f>
        <v>-33585</v>
      </c>
      <c r="I92" s="69"/>
      <c r="J92" s="58">
        <f>H92/DAY(B2)</f>
        <v>-1119.5</v>
      </c>
      <c r="K92" s="88"/>
      <c r="L92" s="117"/>
    </row>
    <row r="93" spans="1:12" ht="23.25" customHeight="1">
      <c r="A93" s="1126" t="s">
        <v>213</v>
      </c>
      <c r="B93" s="1127"/>
      <c r="C93" s="1128"/>
      <c r="D93" s="268" t="s">
        <v>144</v>
      </c>
      <c r="E93" s="56">
        <f>'29'!F100</f>
        <v>7181</v>
      </c>
      <c r="F93" s="267">
        <v>2658</v>
      </c>
      <c r="G93" s="318">
        <f t="shared" si="8"/>
        <v>-4523</v>
      </c>
      <c r="H93" s="57">
        <f>G93+'29'!H100</f>
        <v>-4527</v>
      </c>
      <c r="I93" s="69"/>
      <c r="J93" s="58">
        <f>H93/DAY(B2)</f>
        <v>-150.9</v>
      </c>
      <c r="K93" s="88"/>
      <c r="L93" s="117"/>
    </row>
    <row r="94" spans="1:12" ht="23.25" customHeight="1">
      <c r="A94" s="1126" t="s">
        <v>214</v>
      </c>
      <c r="B94" s="1127"/>
      <c r="C94" s="1128"/>
      <c r="D94" s="268" t="s">
        <v>144</v>
      </c>
      <c r="E94" s="56">
        <f>'29'!F101</f>
        <v>5133</v>
      </c>
      <c r="F94" s="267">
        <v>2507</v>
      </c>
      <c r="G94" s="318">
        <f t="shared" si="8"/>
        <v>-2626</v>
      </c>
      <c r="H94" s="57">
        <f>G94+'29'!H101</f>
        <v>-2631</v>
      </c>
      <c r="I94" s="69"/>
      <c r="J94" s="58">
        <f>H94/DAY(B2)</f>
        <v>-87.7</v>
      </c>
      <c r="K94" s="88"/>
      <c r="L94" s="117"/>
    </row>
    <row r="95" spans="1:12" ht="23.25" customHeight="1">
      <c r="A95" s="1741" t="s">
        <v>216</v>
      </c>
      <c r="B95" s="1742"/>
      <c r="C95" s="1743"/>
      <c r="D95" s="274"/>
      <c r="E95" s="416"/>
      <c r="F95" s="274"/>
      <c r="G95" s="411">
        <f>SUM(G89:G94)</f>
        <v>-117418</v>
      </c>
      <c r="H95" s="57">
        <f>G95+'29'!H102</f>
        <v>-117535</v>
      </c>
      <c r="I95" s="140"/>
      <c r="J95" s="58">
        <f>H95/DAY(B2)</f>
        <v>-3917.8333333333335</v>
      </c>
      <c r="K95" s="88"/>
      <c r="L95" s="117"/>
    </row>
    <row r="96" spans="1:12" ht="23.25" customHeight="1">
      <c r="A96" s="1744" t="s">
        <v>230</v>
      </c>
      <c r="B96" s="1745"/>
      <c r="C96" s="1746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825896.04</v>
      </c>
      <c r="F97" s="275">
        <v>650192.71</v>
      </c>
      <c r="G97" s="318">
        <f t="shared" ref="G97:G101" si="9">F97-E97</f>
        <v>-175703.33000000007</v>
      </c>
      <c r="H97" s="57">
        <f>G97+'29'!H124</f>
        <v>-175895.75</v>
      </c>
      <c r="I97" s="87"/>
      <c r="J97" s="58">
        <f>H97/DAY(B2)</f>
        <v>-5863.1916666666666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28" t="s">
        <v>233</v>
      </c>
      <c r="B99" s="1729"/>
      <c r="C99" s="1730"/>
      <c r="D99" s="268" t="s">
        <v>141</v>
      </c>
      <c r="E99" s="56">
        <f>'29'!F126</f>
        <v>144610</v>
      </c>
      <c r="F99" s="264">
        <v>83294.490000000005</v>
      </c>
      <c r="G99" s="318">
        <f t="shared" si="9"/>
        <v>-61315.509999999995</v>
      </c>
      <c r="H99" s="57">
        <f>G99+'29'!H126</f>
        <v>-61392.95</v>
      </c>
      <c r="I99" s="363"/>
      <c r="J99" s="58">
        <f>H99/DAY(B2)</f>
        <v>-2046.4316666666666</v>
      </c>
      <c r="K99" s="88"/>
      <c r="L99" s="117"/>
    </row>
    <row r="100" spans="1:12" ht="23.25" customHeight="1">
      <c r="A100" s="385" t="s">
        <v>234</v>
      </c>
      <c r="B100" s="1127"/>
      <c r="C100" s="1128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8262</v>
      </c>
      <c r="I100" s="363"/>
      <c r="J100" s="58">
        <f>H100/DAY(B2)</f>
        <v>275.39999999999998</v>
      </c>
      <c r="K100" s="88"/>
      <c r="L100" s="117"/>
    </row>
    <row r="101" spans="1:12" ht="23.25" customHeight="1">
      <c r="A101" s="385" t="s">
        <v>235</v>
      </c>
      <c r="B101" s="1127"/>
      <c r="C101" s="1128"/>
      <c r="D101" s="268" t="s">
        <v>141</v>
      </c>
      <c r="E101" s="56">
        <f>'29'!F128</f>
        <v>8969.7000000000007</v>
      </c>
      <c r="F101" s="264">
        <v>6221.3</v>
      </c>
      <c r="G101" s="318">
        <f t="shared" si="9"/>
        <v>-2748.4000000000005</v>
      </c>
      <c r="H101" s="57">
        <f>G101+'29'!H128</f>
        <v>-2748.4000000000005</v>
      </c>
      <c r="I101" s="319"/>
      <c r="J101" s="308">
        <f>H101/DAY(B2)</f>
        <v>-91.613333333333358</v>
      </c>
      <c r="K101" s="88"/>
      <c r="L101" s="117"/>
    </row>
    <row r="102" spans="1:12" ht="23.25" customHeight="1">
      <c r="A102" s="1747" t="s">
        <v>250</v>
      </c>
      <c r="B102" s="174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11" t="s">
        <v>251</v>
      </c>
      <c r="B103" s="1712"/>
      <c r="C103" s="1713"/>
      <c r="D103" s="268" t="s">
        <v>132</v>
      </c>
      <c r="E103" s="268"/>
      <c r="F103" s="268"/>
      <c r="G103" s="277">
        <f>G34+G42+G48+G56</f>
        <v>149564.93999999983</v>
      </c>
      <c r="H103" s="57">
        <f>G103+'29'!H143</f>
        <v>144404.47999999986</v>
      </c>
      <c r="I103" s="69"/>
      <c r="J103" s="58">
        <f>H103/DAY(B2)</f>
        <v>4813.4826666666622</v>
      </c>
      <c r="K103" s="88"/>
      <c r="L103" s="117"/>
    </row>
    <row r="104" spans="1:12" ht="23.25" customHeight="1">
      <c r="A104" s="1711" t="s">
        <v>252</v>
      </c>
      <c r="B104" s="1712"/>
      <c r="C104" s="1713"/>
      <c r="D104" s="268" t="s">
        <v>24</v>
      </c>
      <c r="E104" s="269"/>
      <c r="F104" s="269"/>
      <c r="G104" s="280">
        <f>G103/G7</f>
        <v>-7.1465638925717043E-2</v>
      </c>
      <c r="H104" s="57">
        <f>G104+'29'!H144</f>
        <v>7.2778057365205182</v>
      </c>
      <c r="I104" s="84"/>
      <c r="J104" s="58">
        <f>H104/DAY(B2)</f>
        <v>0.24259352455068395</v>
      </c>
      <c r="K104" s="111"/>
      <c r="L104" s="117"/>
    </row>
    <row r="105" spans="1:12" ht="23.25" customHeight="1">
      <c r="A105" s="1711" t="s">
        <v>253</v>
      </c>
      <c r="B105" s="1712"/>
      <c r="C105" s="1713"/>
      <c r="D105" s="268" t="s">
        <v>132</v>
      </c>
      <c r="E105" s="265"/>
      <c r="F105" s="265"/>
      <c r="G105" s="277">
        <f>G40+G41+G54+G55</f>
        <v>2295113.75</v>
      </c>
      <c r="H105" s="57">
        <f>G105+'29'!H145</f>
        <v>2636261.42</v>
      </c>
      <c r="I105" s="69"/>
      <c r="J105" s="58">
        <f>H105/DAY(B2)</f>
        <v>87875.380666666664</v>
      </c>
      <c r="K105" s="111"/>
      <c r="L105" s="117"/>
    </row>
    <row r="106" spans="1:12" ht="23.25" customHeight="1">
      <c r="A106" s="1711" t="s">
        <v>254</v>
      </c>
      <c r="B106" s="1712"/>
      <c r="C106" s="1713"/>
      <c r="D106" s="268" t="s">
        <v>24</v>
      </c>
      <c r="E106" s="265"/>
      <c r="F106" s="265"/>
      <c r="G106" s="280">
        <f>G105/G7</f>
        <v>-1.096659220743502</v>
      </c>
      <c r="H106" s="57">
        <f>G106+'29'!H146</f>
        <v>7.5550690906696865</v>
      </c>
      <c r="I106" s="84"/>
      <c r="J106" s="58">
        <f>H106/DAY(B2)</f>
        <v>0.2518356363556562</v>
      </c>
      <c r="K106" s="111"/>
      <c r="L106" s="117"/>
    </row>
    <row r="107" spans="1:12" ht="23.25" customHeight="1">
      <c r="A107" s="1711" t="s">
        <v>255</v>
      </c>
      <c r="B107" s="1712"/>
      <c r="C107" s="1713"/>
      <c r="D107" s="268" t="s">
        <v>132</v>
      </c>
      <c r="E107" s="265"/>
      <c r="F107" s="265"/>
      <c r="G107" s="277">
        <f>G38+G52</f>
        <v>2333373.4500000002</v>
      </c>
      <c r="H107" s="57">
        <f>G107+'29'!H147</f>
        <v>2346550.6900000004</v>
      </c>
      <c r="I107" s="86"/>
      <c r="J107" s="58">
        <f>H107/DAY(B2)</f>
        <v>78218.356333333344</v>
      </c>
      <c r="K107" s="111"/>
      <c r="L107" s="117"/>
    </row>
    <row r="108" spans="1:12" ht="23.25" customHeight="1">
      <c r="A108" s="1711" t="s">
        <v>256</v>
      </c>
      <c r="B108" s="1712"/>
      <c r="C108" s="1713"/>
      <c r="D108" s="268" t="s">
        <v>24</v>
      </c>
      <c r="E108" s="265"/>
      <c r="F108" s="265"/>
      <c r="G108" s="280">
        <f>G107/G7</f>
        <v>-1.1149406034365734</v>
      </c>
      <c r="H108" s="57">
        <f>G108+'29'!H148</f>
        <v>3.3071511678736139</v>
      </c>
      <c r="I108" s="86"/>
      <c r="J108" s="58">
        <f>H108/DAY(B2)</f>
        <v>0.1102383722624538</v>
      </c>
    </row>
    <row r="109" spans="1:12" ht="23.25" customHeight="1">
      <c r="A109" s="1711" t="s">
        <v>257</v>
      </c>
      <c r="B109" s="1712"/>
      <c r="C109" s="1713"/>
      <c r="D109" s="268" t="s">
        <v>183</v>
      </c>
      <c r="E109" s="265"/>
      <c r="F109" s="265"/>
      <c r="G109" s="277">
        <f>G37+G51</f>
        <v>1261821.4399999999</v>
      </c>
      <c r="H109" s="57">
        <f>G109+'29'!H149</f>
        <v>1260364.75</v>
      </c>
      <c r="I109" s="69"/>
      <c r="J109" s="58">
        <f>H109/DAY(B2)</f>
        <v>42012.158333333333</v>
      </c>
      <c r="K109" s="153"/>
    </row>
    <row r="110" spans="1:12" ht="23.25" customHeight="1">
      <c r="A110" s="1711" t="s">
        <v>258</v>
      </c>
      <c r="B110" s="1712"/>
      <c r="C110" s="1713"/>
      <c r="D110" s="268" t="s">
        <v>24</v>
      </c>
      <c r="E110" s="265"/>
      <c r="F110" s="265"/>
      <c r="G110" s="280">
        <f>G109/G7</f>
        <v>-0.6029279015507808</v>
      </c>
      <c r="H110" s="57">
        <f>G110+'29'!H150</f>
        <v>1.4827944262224109</v>
      </c>
      <c r="I110" s="86"/>
      <c r="J110" s="58">
        <f>H110/DAY(B2)</f>
        <v>4.9426480874080365E-2</v>
      </c>
    </row>
    <row r="111" spans="1:12" ht="23.25" customHeight="1">
      <c r="A111" s="1711" t="s">
        <v>259</v>
      </c>
      <c r="B111" s="1712"/>
      <c r="C111" s="1713"/>
      <c r="D111" s="268" t="s">
        <v>183</v>
      </c>
      <c r="E111" s="265"/>
      <c r="F111" s="265"/>
      <c r="G111" s="277">
        <f>G35+G49</f>
        <v>585130.28</v>
      </c>
      <c r="H111" s="57">
        <f>G111+'29'!H151</f>
        <v>583032.22</v>
      </c>
      <c r="I111" s="86"/>
      <c r="J111" s="58">
        <f>H111/DAY(B2)</f>
        <v>19434.407333333333</v>
      </c>
    </row>
    <row r="112" spans="1:12" ht="23.25" customHeight="1">
      <c r="A112" s="1711" t="s">
        <v>260</v>
      </c>
      <c r="B112" s="1712"/>
      <c r="C112" s="1713"/>
      <c r="D112" s="268" t="s">
        <v>24</v>
      </c>
      <c r="E112" s="265"/>
      <c r="F112" s="265"/>
      <c r="G112" s="280">
        <f>G111/G7</f>
        <v>-0.27958898198323595</v>
      </c>
      <c r="H112" s="57">
        <f>G112+'29'!H152</f>
        <v>1.8688668788233684</v>
      </c>
      <c r="I112" s="69"/>
      <c r="J112" s="58">
        <f>H112/DAY(B2)</f>
        <v>6.2295562627445615E-2</v>
      </c>
    </row>
    <row r="113" spans="1:10" ht="23.25" customHeight="1">
      <c r="A113" s="1711" t="s">
        <v>261</v>
      </c>
      <c r="B113" s="1712"/>
      <c r="C113" s="1713"/>
      <c r="D113" s="268" t="s">
        <v>183</v>
      </c>
      <c r="E113" s="265"/>
      <c r="F113" s="265"/>
      <c r="G113" s="277">
        <f>G36+G50</f>
        <v>706317.11999999988</v>
      </c>
      <c r="H113" s="57">
        <f>G113+'29'!H153</f>
        <v>704945.93999999983</v>
      </c>
      <c r="I113" s="69"/>
      <c r="J113" s="58">
        <f>H113/DAY(B2)</f>
        <v>23498.197999999993</v>
      </c>
    </row>
    <row r="114" spans="1:10" ht="23.25" customHeight="1">
      <c r="A114" s="1711" t="s">
        <v>262</v>
      </c>
      <c r="B114" s="1712"/>
      <c r="C114" s="1713"/>
      <c r="D114" s="268" t="s">
        <v>24</v>
      </c>
      <c r="E114" s="265"/>
      <c r="F114" s="265"/>
      <c r="G114" s="280">
        <f>G113/G7</f>
        <v>-0.33749489863715659</v>
      </c>
      <c r="H114" s="57">
        <f>G114+'29'!H154</f>
        <v>1.7526449677815048</v>
      </c>
      <c r="I114" s="69"/>
      <c r="J114" s="58">
        <f>H114/DAY(B2)</f>
        <v>5.8421498926050162E-2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39728.32</v>
      </c>
      <c r="F118" s="267">
        <v>36196</v>
      </c>
      <c r="G118" s="318">
        <f t="shared" si="10"/>
        <v>-3532.3199999999997</v>
      </c>
      <c r="H118" s="57">
        <f>G118+'29'!H133</f>
        <v>-3550.4800000000032</v>
      </c>
      <c r="I118" s="69"/>
      <c r="J118" s="58">
        <f>H118/DAY(B2)</f>
        <v>-118.34933333333343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28565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41377</v>
      </c>
      <c r="F120" s="267">
        <v>30495.25</v>
      </c>
      <c r="G120" s="318">
        <f t="shared" si="10"/>
        <v>-10881.75</v>
      </c>
      <c r="H120" s="57">
        <f>G120+'29'!H135</f>
        <v>-10775.75</v>
      </c>
      <c r="I120" s="69"/>
      <c r="J120" s="58">
        <f>H120/DAY(B2)</f>
        <v>-359.19166666666666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32583</v>
      </c>
      <c r="F121" s="267">
        <v>25683.26</v>
      </c>
      <c r="G121" s="318">
        <f t="shared" si="10"/>
        <v>-6899.7400000000016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22739.59</v>
      </c>
      <c r="F122" s="267">
        <v>21285.49</v>
      </c>
      <c r="G122" s="318">
        <f t="shared" si="10"/>
        <v>-1454.0999999999985</v>
      </c>
      <c r="H122" s="57">
        <f>G122+'29'!H137</f>
        <v>-1454.0999999999985</v>
      </c>
      <c r="I122" s="69">
        <f>G120+G121+G122</f>
        <v>-19235.59</v>
      </c>
      <c r="J122" s="58">
        <f>H122/DAY(B2)</f>
        <v>-48.469999999999949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25051.59</v>
      </c>
      <c r="F123" s="267">
        <v>22354.720000000001</v>
      </c>
      <c r="G123" s="318">
        <f t="shared" si="10"/>
        <v>-2696.869999999999</v>
      </c>
      <c r="H123" s="57">
        <f>G123+'29'!H138</f>
        <v>-2688.7700000000004</v>
      </c>
      <c r="I123" s="69"/>
      <c r="J123" s="58">
        <f>H123/DAY(B2)</f>
        <v>-89.625666666666675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70306.759999999995</v>
      </c>
      <c r="F124" s="267">
        <v>64789.37</v>
      </c>
      <c r="G124" s="318">
        <f t="shared" si="10"/>
        <v>-5517.3899999999921</v>
      </c>
      <c r="H124" s="57">
        <f>G124+'29'!H139</f>
        <v>-5490.8599999999933</v>
      </c>
      <c r="I124" s="69">
        <f>G123+G124</f>
        <v>-8214.2599999999911</v>
      </c>
      <c r="J124" s="58">
        <f>H124/DAY(B2)</f>
        <v>-183.02866666666645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1609.55</v>
      </c>
      <c r="F125" s="267">
        <v>17.899999999999999</v>
      </c>
      <c r="G125" s="318">
        <f t="shared" si="10"/>
        <v>-1591.6499999999999</v>
      </c>
      <c r="H125" s="57">
        <f>G125+'29'!H140</f>
        <v>-1598.9599999999998</v>
      </c>
      <c r="J125" s="58">
        <f>H125/DAY(B2)</f>
        <v>-53.298666666666662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15988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15961</v>
      </c>
      <c r="B4" s="213"/>
    </row>
    <row r="5" spans="1:9">
      <c r="A5" s="213">
        <f>'3'!G7</f>
        <v>16029</v>
      </c>
    </row>
    <row r="6" spans="1:9">
      <c r="A6" s="213">
        <f>'4'!G7</f>
        <v>16163</v>
      </c>
    </row>
    <row r="7" spans="1:9">
      <c r="A7" s="213">
        <f>'5'!G7</f>
        <v>15754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2021-05-19T05:24:12Z</dcterms:modified>
</cp:coreProperties>
</file>