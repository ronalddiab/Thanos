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122" documentId="8_{5B502D95-7A37-4D5A-8B6B-374537CC2F26}" xr6:coauthVersionLast="47" xr6:coauthVersionMax="47" xr10:uidLastSave="{C348FAF1-E3E1-4481-9A51-A5F5C7F5CE35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" i="2" l="1"/>
  <c r="M10" i="2"/>
  <c r="L10" i="2"/>
  <c r="F10" i="2"/>
  <c r="G4" i="4"/>
  <c r="E4" i="4"/>
  <c r="C4" i="4"/>
  <c r="P36" i="4"/>
  <c r="P37" i="4"/>
  <c r="P38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<sst xmlns="http://schemas.openxmlformats.org/spreadsheetml/2006/main" count="484" uniqueCount="187">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</sst>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79140.881010000012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5" workbookViewId="0">
      <selection activeCell="C2" sqref="C2:C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0</v>
      </c>
      <c r="H2" s="134">
        <v>11.766</v>
      </c>
      <c r="I2" s="134">
        <f>'Consommation mensuel énergie'!F10</f>
        <v>175</v>
      </c>
      <c r="J2" s="134">
        <v>11.4</v>
      </c>
      <c r="K2" s="137">
        <f>'Consommation mensuel énergie'!D10</f>
        <v>0</v>
      </c>
      <c r="L2" s="137">
        <f>'Consommation mensuel énergie'!E10</f>
        <v>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0</v>
      </c>
      <c r="F3" s="134">
        <v>1.05</v>
      </c>
      <c r="G3" s="134">
        <f>'Consommation mensuel énergie'!V11</f>
        <v>0</v>
      </c>
      <c r="H3" s="134">
        <v>11.766</v>
      </c>
      <c r="I3" s="134">
        <f>'Consommation mensuel énergie'!F11</f>
        <v>0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11.766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11.766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11.766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11.766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11.766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11.766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11.766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11.766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11.766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11.766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11.766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11.766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11.766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11.766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11.766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11.766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11.766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11.766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11.766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11.766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11.766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11.766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11.766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11.766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11.766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11.766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11.766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11.766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11.766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:C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0</v>
      </c>
      <c r="I2" s="137">
        <f>'Consommation mensuel énergie'!E10</f>
        <v>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0</v>
      </c>
      <c r="F3" s="137">
        <f>'Consommation mensuel énergie'!M11</f>
        <v>0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H10" activePane="bottomRight" state="frozen"/>
      <selection pane="bottomRight" activeCell="N11" sqref="N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44774</v>
      </c>
      <c r="C10" s="7"/>
      <c r="D10" s="143"/>
      <c r="E10" s="143"/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/>
      <c r="W10" s="11"/>
      <c r="X10" s="34">
        <f>V10*11.766</f>
        <v>0</v>
      </c>
    </row>
    <row r="11" spans="1:24" ht="32.25" customHeight="1">
      <c r="A11" s="2"/>
      <c r="B11" s="6">
        <v>44775</v>
      </c>
      <c r="C11" s="7"/>
      <c r="D11" s="143"/>
      <c r="E11" s="143"/>
      <c r="F11" s="13"/>
      <c r="G11" s="11"/>
      <c r="H11" s="168">
        <f t="shared" ref="H11:H21" si="0">F11*8.79</f>
        <v>0</v>
      </c>
      <c r="I11" s="169"/>
      <c r="J11" s="169"/>
      <c r="K11" s="60">
        <v>42279</v>
      </c>
      <c r="L11" s="90"/>
      <c r="M11" s="91"/>
      <c r="N11" s="91"/>
      <c r="O11" s="91">
        <f>L11+M11+N11</f>
        <v>0</v>
      </c>
      <c r="P11" s="11"/>
      <c r="Q11" s="34">
        <f>L11*0.6985+M11*0.9514+N14*1.3304</f>
        <v>0</v>
      </c>
      <c r="R11" s="11"/>
      <c r="S11" s="28"/>
      <c r="T11" s="11"/>
      <c r="U11" s="28"/>
      <c r="V11" s="146"/>
      <c r="W11" s="11"/>
      <c r="X11" s="34">
        <f t="shared" ref="X11:X40" si="1">V11*11.766</f>
        <v>0</v>
      </c>
    </row>
    <row r="12" spans="1:24" ht="32.25" customHeight="1">
      <c r="A12" s="2"/>
      <c r="B12" s="6">
        <v>44776</v>
      </c>
      <c r="C12" s="7"/>
      <c r="D12" s="143"/>
      <c r="E12" s="143"/>
      <c r="F12" s="13"/>
      <c r="G12" s="11"/>
      <c r="H12" s="168">
        <f t="shared" si="0"/>
        <v>0</v>
      </c>
      <c r="I12" s="169"/>
      <c r="J12" s="169"/>
      <c r="K12" s="60">
        <v>42280</v>
      </c>
      <c r="L12" s="90"/>
      <c r="M12" s="91"/>
      <c r="N12" s="91"/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44777</v>
      </c>
      <c r="C13" s="7"/>
      <c r="D13" s="143"/>
      <c r="E13" s="143"/>
      <c r="F13" s="13"/>
      <c r="G13" s="11"/>
      <c r="H13" s="168">
        <f t="shared" si="0"/>
        <v>0</v>
      </c>
      <c r="I13" s="169"/>
      <c r="J13" s="169"/>
      <c r="K13" s="60">
        <v>42281</v>
      </c>
      <c r="L13" s="90"/>
      <c r="M13" s="91"/>
      <c r="N13" s="91"/>
      <c r="O13" s="91">
        <f t="shared" ref="O13:O36" si="2">L13+M13+N13</f>
        <v>0</v>
      </c>
      <c r="P13" s="11"/>
      <c r="Q13" s="34">
        <f t="shared" ref="Q13:Q36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44778</v>
      </c>
      <c r="C14" s="7"/>
      <c r="D14" s="143"/>
      <c r="E14" s="143"/>
      <c r="F14" s="13"/>
      <c r="G14" s="12"/>
      <c r="H14" s="168">
        <f t="shared" si="0"/>
        <v>0</v>
      </c>
      <c r="I14" s="169"/>
      <c r="J14" s="169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44779</v>
      </c>
      <c r="C15" s="7"/>
      <c r="D15" s="143"/>
      <c r="E15" s="143"/>
      <c r="F15" s="13"/>
      <c r="G15" s="11"/>
      <c r="H15" s="168">
        <f t="shared" si="0"/>
        <v>0</v>
      </c>
      <c r="I15" s="169"/>
      <c r="J15" s="169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44780</v>
      </c>
      <c r="C16" s="7"/>
      <c r="D16" s="143"/>
      <c r="E16" s="143"/>
      <c r="F16" s="13"/>
      <c r="G16" s="11"/>
      <c r="H16" s="168">
        <f t="shared" si="0"/>
        <v>0</v>
      </c>
      <c r="I16" s="169"/>
      <c r="J16" s="169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44781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44782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44783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44784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44785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44786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44787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44788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44789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44790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44791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44792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44793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44794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44795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44796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44797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44798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0</v>
      </c>
      <c r="E41" s="8">
        <f>SUM(E10:E40)</f>
        <v>0</v>
      </c>
      <c r="F41" s="152">
        <f>SUM(F10:F40)</f>
        <v>175</v>
      </c>
      <c r="G41" s="1"/>
      <c r="H41" s="249">
        <f>SUM(H10:H40)</f>
        <v>1538.2499999999998</v>
      </c>
      <c r="I41" s="250"/>
      <c r="J41" s="251"/>
      <c r="K41" s="1"/>
      <c r="L41" s="53">
        <f>SUM(L10:L40)</f>
        <v>5304</v>
      </c>
      <c r="M41" s="53">
        <f>SUM(M10:M40)</f>
        <v>10570</v>
      </c>
      <c r="N41" s="54">
        <f>SUM(N10:N40)</f>
        <v>4675</v>
      </c>
      <c r="O41" s="55">
        <f>SUM(O10:O40)</f>
        <v>20549</v>
      </c>
      <c r="P41" s="31"/>
      <c r="Q41" s="34">
        <f t="shared" ref="Q40:Q41" si="8">L41*0.6985+M41*0.9514+N41*1.3304</f>
        <v>19980.761999999999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0</v>
      </c>
      <c r="W41" s="31"/>
      <c r="X41" s="32">
        <f>SUM(X10:X40)</f>
        <v>0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5304</v>
      </c>
      <c r="J44" s="210"/>
      <c r="K44" s="211"/>
      <c r="L44" s="170">
        <f>I44*H44</f>
        <v>3704.8440000000001</v>
      </c>
      <c r="M44" s="171"/>
      <c r="N44" s="227">
        <f>L44+L45+L46</f>
        <v>19980.761999999999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10570</v>
      </c>
      <c r="J45" s="210"/>
      <c r="K45" s="211"/>
      <c r="L45" s="170">
        <f>I45*H45</f>
        <v>10056.298000000001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4675</v>
      </c>
      <c r="J46" s="241"/>
      <c r="K46" s="242"/>
      <c r="L46" s="170">
        <f>I46*H46</f>
        <v>6219.62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25974.990600000001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175</v>
      </c>
      <c r="J48" s="202"/>
      <c r="K48" s="203"/>
      <c r="L48" s="207">
        <f>I48*H48</f>
        <v>1538.2499999999998</v>
      </c>
      <c r="M48" s="208"/>
      <c r="N48" s="224">
        <f>L48</f>
        <v>1538.2499999999998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11.766</v>
      </c>
      <c r="I49" s="199">
        <f>V41</f>
        <v>0</v>
      </c>
      <c r="J49" s="239"/>
      <c r="K49" s="200"/>
      <c r="L49" s="199">
        <f>I49*H49</f>
        <v>0</v>
      </c>
      <c r="M49" s="200"/>
      <c r="N49" s="221">
        <f>L49</f>
        <v>0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A9" sqref="A9:K3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/>
      <c r="C10" s="115"/>
      <c r="D10" s="57"/>
      <c r="E10" s="50"/>
      <c r="F10" s="51"/>
      <c r="G10" s="50"/>
      <c r="H10" s="51"/>
      <c r="I10" s="50"/>
      <c r="J10" s="51"/>
      <c r="K10" s="50"/>
    </row>
    <row r="11" spans="1:12" ht="19.5">
      <c r="A11" s="59">
        <v>44776</v>
      </c>
      <c r="B11" s="116"/>
      <c r="C11" s="115"/>
      <c r="D11" s="57"/>
      <c r="E11" s="50"/>
      <c r="F11" s="51"/>
      <c r="G11" s="50"/>
      <c r="H11" s="51"/>
      <c r="I11" s="50"/>
      <c r="J11" s="51"/>
      <c r="K11" s="50"/>
    </row>
    <row r="12" spans="1:12" ht="19.5">
      <c r="A12" s="59">
        <v>44777</v>
      </c>
      <c r="B12" s="116"/>
      <c r="C12" s="115"/>
      <c r="D12" s="57"/>
      <c r="E12" s="50"/>
      <c r="F12" s="51"/>
      <c r="G12" s="50"/>
      <c r="H12" s="51"/>
      <c r="I12" s="50"/>
      <c r="J12" s="51"/>
      <c r="K12" s="50"/>
    </row>
    <row r="13" spans="1:12" ht="19.5">
      <c r="A13" s="59">
        <v>44778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44779</v>
      </c>
      <c r="B14" s="116"/>
      <c r="C14" s="115"/>
      <c r="D14" s="57"/>
      <c r="E14" s="50"/>
      <c r="F14" s="51"/>
      <c r="G14" s="50"/>
      <c r="H14" s="51"/>
      <c r="I14" s="50"/>
      <c r="J14" s="51"/>
      <c r="K14" s="50"/>
    </row>
    <row r="15" spans="1:12" ht="19.5">
      <c r="A15" s="59">
        <v>44780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44781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44782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44783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44784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44785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44786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44787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44788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44789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44790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44791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44792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44793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44794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44795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44796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44797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44798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N38" activePane="bottomRight" state="frozen"/>
      <selection pane="bottomRight" activeCell="A4" sqref="A4:AC4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0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0</v>
      </c>
      <c r="H4" s="41">
        <v>72</v>
      </c>
      <c r="I4" s="39">
        <f>IF(AC4&gt;0,((H4-AA4)+(AB4-H5)),IF(H5=0, ,(H4-H5)))</f>
        <v>0</v>
      </c>
      <c r="J4" s="39">
        <f>B4+D4+F4+H4</f>
        <v>286</v>
      </c>
      <c r="K4" s="39">
        <f>J4/4</f>
        <v>71.5</v>
      </c>
      <c r="L4" s="39">
        <f>IF(AC4&gt;0,((K4-AD4)+(AE4-K5)),IF(K5=0, ,(K4-K5)))</f>
        <v>0</v>
      </c>
      <c r="M4" s="149">
        <f t="shared" ref="M4:M7" si="3">6049*4</f>
        <v>24196</v>
      </c>
      <c r="N4" s="39">
        <f>L4*M4/100</f>
        <v>0</v>
      </c>
      <c r="O4" s="167">
        <f>N4*0.529</f>
        <v>0</v>
      </c>
      <c r="P4" s="42">
        <f>O4*11.766</f>
        <v>0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/>
      <c r="C5" s="39">
        <f t="shared" ref="C4:C35" si="7">IF(AC5&gt;0,((B5-R5)+(S5-B6)),IF(B6=0, ,(B5-B6)))</f>
        <v>0</v>
      </c>
      <c r="D5" s="41"/>
      <c r="E5" s="39">
        <f t="shared" ref="E4:E35" si="8">IF(AC5&gt;0,((D5-U5)+(V5-D6)),IF(D6=0, ,(D5-D6)))</f>
        <v>0</v>
      </c>
      <c r="F5" s="41"/>
      <c r="G5" s="39">
        <f t="shared" ref="G4:G35" si="9">IF(AC5&gt;0,((F5-X5)+(Y5-F6)),IF(F6=0, ,(F5-F6)))</f>
        <v>0</v>
      </c>
      <c r="H5" s="41"/>
      <c r="I5" s="39">
        <f>IF(AC5&gt;0,((H5-AA5)+(AB5-H6)),IF(H6=0, ,(H5-H6)))</f>
        <v>0</v>
      </c>
      <c r="J5" s="39">
        <f>B5+D5+F5+H5</f>
        <v>0</v>
      </c>
      <c r="K5" s="39">
        <f>J5/4</f>
        <v>0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8" si="10">O5*11.766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44784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0</v>
      </c>
      <c r="O43" s="39">
        <f>N43*0.529</f>
        <v>0</v>
      </c>
      <c r="P43" s="42">
        <f>O43*11.766</f>
        <v>0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0</v>
      </c>
      <c r="L47" s="46">
        <f>O43</f>
        <v>0</v>
      </c>
      <c r="M47" s="46">
        <f>P43</f>
        <v>0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L48*11.766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5359</v>
      </c>
      <c r="C13" s="397"/>
      <c r="D13" s="397">
        <v>8.7899999999999991</v>
      </c>
      <c r="E13" s="397"/>
      <c r="F13" s="399">
        <f>PRODUCT(D13,B13)</f>
        <v>47105.609999999993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5359</v>
      </c>
      <c r="C19" s="397"/>
      <c r="D19" s="397">
        <v>2.61</v>
      </c>
      <c r="E19" s="397"/>
      <c r="F19" s="397">
        <f>PRODUCT(D19,B19)</f>
        <v>13986.99</v>
      </c>
      <c r="G19" s="397"/>
      <c r="H19" s="397"/>
    </row>
    <row r="20" spans="1:8" ht="18.75">
      <c r="A20" s="413" t="s">
        <v>149</v>
      </c>
      <c r="B20" s="414"/>
      <c r="C20" s="414"/>
      <c r="D20" s="414"/>
      <c r="E20" s="415"/>
      <c r="F20" s="416">
        <f>SUM(F11+F13+F16+F17+F18+F19)</f>
        <v>61115.599999999991</v>
      </c>
      <c r="G20" s="416"/>
      <c r="H20" s="416"/>
    </row>
    <row r="21" spans="1:8" ht="15">
      <c r="A21" s="402" t="s">
        <v>150</v>
      </c>
      <c r="B21" s="403"/>
      <c r="C21" s="403"/>
      <c r="D21" s="403"/>
      <c r="E21" s="404"/>
      <c r="F21" s="397">
        <f>PRODUCT(F20,0.07)</f>
        <v>4278.0919999999996</v>
      </c>
      <c r="G21" s="397"/>
      <c r="H21" s="397"/>
    </row>
    <row r="22" spans="1:8" ht="15">
      <c r="A22" s="434" t="s">
        <v>151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152</v>
      </c>
      <c r="B23" s="403"/>
      <c r="C23" s="403"/>
      <c r="D23" s="403"/>
      <c r="E23" s="404"/>
      <c r="F23" s="405">
        <f>SUM(F21:H22)</f>
        <v>4486.3519999999999</v>
      </c>
      <c r="G23" s="405"/>
      <c r="H23" s="405"/>
    </row>
    <row r="24" spans="1:8">
      <c r="A24" s="406" t="s">
        <v>153</v>
      </c>
      <c r="B24" s="407"/>
      <c r="C24" s="407"/>
      <c r="D24" s="407"/>
      <c r="E24" s="408"/>
      <c r="F24" s="412">
        <f>SUM(F20,F23)</f>
        <v>65601.95199999999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149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150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151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152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153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149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151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4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79140.881010000012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2022-08-01T12:03:25Z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