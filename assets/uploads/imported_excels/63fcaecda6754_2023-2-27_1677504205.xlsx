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1225" documentId="11_9B892F11F2BDC18C6215275FB31E30571BABF1E2" xr6:coauthVersionLast="47" xr6:coauthVersionMax="47" xr10:uidLastSave="{178AD9C5-FD14-45CC-9B25-750940BB016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Nov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1" l="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G32" i="11"/>
  <c r="BM32" i="11"/>
  <c r="BN32" i="11"/>
  <c r="K42" i="14"/>
  <c r="M42" i="14"/>
  <c r="U42" i="14"/>
  <c r="Y42" i="14"/>
  <c r="Z42" i="14"/>
  <c r="AI42" i="14"/>
  <c r="E42" i="14"/>
  <c r="O3" i="11"/>
  <c r="O4" i="11"/>
  <c r="O5" i="11"/>
  <c r="O6" i="11"/>
  <c r="O7" i="11"/>
  <c r="O8" i="11"/>
  <c r="O9" i="11"/>
  <c r="O10" i="11"/>
  <c r="O11" i="11"/>
  <c r="O12" i="11"/>
  <c r="O13" i="11"/>
  <c r="K3" i="11"/>
  <c r="K4" i="11"/>
  <c r="K5" i="11"/>
  <c r="K6" i="11"/>
  <c r="K7" i="11"/>
  <c r="K8" i="11"/>
  <c r="K9" i="11"/>
  <c r="K10" i="11"/>
  <c r="K11" i="11"/>
  <c r="K12" i="11"/>
  <c r="K13" i="11"/>
  <c r="K14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O30" i="11"/>
  <c r="BP30" i="11"/>
  <c r="BD31" i="11"/>
  <c r="BO31" i="11"/>
  <c r="BP31" i="11"/>
  <c r="BC29" i="11"/>
  <c r="BC30" i="11"/>
  <c r="BC31" i="11"/>
  <c r="AX30" i="11"/>
  <c r="AY30" i="11"/>
  <c r="AZ30" i="11"/>
  <c r="AX31" i="11"/>
  <c r="AY31" i="11"/>
  <c r="AZ31" i="11"/>
  <c r="AW28" i="11"/>
  <c r="AW29" i="11"/>
  <c r="AW30" i="11"/>
  <c r="AW31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P29" i="11"/>
  <c r="Q29" i="11"/>
  <c r="R29" i="11"/>
  <c r="S29" i="11"/>
  <c r="T29" i="11"/>
  <c r="U29" i="11"/>
  <c r="V29" i="11"/>
  <c r="M30" i="11"/>
  <c r="N30" i="11"/>
  <c r="M31" i="11"/>
  <c r="N31" i="11"/>
  <c r="BD21" i="11"/>
  <c r="BE21" i="11"/>
  <c r="BF21" i="11"/>
  <c r="BG21" i="11"/>
  <c r="BH21" i="11"/>
  <c r="BI21" i="11"/>
  <c r="BJ21" i="11"/>
  <c r="BK21" i="11"/>
  <c r="BL21" i="11"/>
  <c r="BO21" i="11"/>
  <c r="BP21" i="11"/>
  <c r="BD22" i="11"/>
  <c r="BE22" i="11"/>
  <c r="BF22" i="11"/>
  <c r="BG22" i="11"/>
  <c r="BH22" i="11"/>
  <c r="BI22" i="11"/>
  <c r="BJ22" i="11"/>
  <c r="BK22" i="11"/>
  <c r="BL22" i="11"/>
  <c r="BO22" i="11"/>
  <c r="BP22" i="11"/>
  <c r="BD23" i="11"/>
  <c r="BE23" i="11"/>
  <c r="BF23" i="11"/>
  <c r="BG23" i="11"/>
  <c r="BH23" i="11"/>
  <c r="BI23" i="11"/>
  <c r="BJ23" i="11"/>
  <c r="BK23" i="11"/>
  <c r="BL23" i="11"/>
  <c r="BO23" i="11"/>
  <c r="BP23" i="11"/>
  <c r="BD24" i="11"/>
  <c r="BE24" i="11"/>
  <c r="BF24" i="11"/>
  <c r="BG24" i="11"/>
  <c r="BH24" i="11"/>
  <c r="BI24" i="11"/>
  <c r="BJ24" i="11"/>
  <c r="BK24" i="11"/>
  <c r="BL24" i="11"/>
  <c r="BO24" i="11"/>
  <c r="BP24" i="11"/>
  <c r="BD25" i="11"/>
  <c r="BE25" i="11"/>
  <c r="BF25" i="11"/>
  <c r="BG25" i="11"/>
  <c r="BH25" i="11"/>
  <c r="BI25" i="11"/>
  <c r="BJ25" i="11"/>
  <c r="BK25" i="11"/>
  <c r="BL25" i="11"/>
  <c r="BO25" i="11"/>
  <c r="BP25" i="11"/>
  <c r="BD26" i="11"/>
  <c r="BE26" i="11"/>
  <c r="BF26" i="11"/>
  <c r="BG26" i="11"/>
  <c r="BH26" i="11"/>
  <c r="BI26" i="11"/>
  <c r="BJ26" i="11"/>
  <c r="BK26" i="11"/>
  <c r="BL26" i="11"/>
  <c r="BO26" i="11"/>
  <c r="BP26" i="11"/>
  <c r="BD27" i="11"/>
  <c r="BE27" i="11"/>
  <c r="BF27" i="11"/>
  <c r="BG27" i="11"/>
  <c r="BH27" i="11"/>
  <c r="BI27" i="11"/>
  <c r="BJ27" i="11"/>
  <c r="BK27" i="11"/>
  <c r="BL27" i="11"/>
  <c r="BO27" i="11"/>
  <c r="BP27" i="11"/>
  <c r="BD28" i="11"/>
  <c r="BE28" i="11"/>
  <c r="BF28" i="11"/>
  <c r="BG28" i="11"/>
  <c r="BH28" i="11"/>
  <c r="BI28" i="11"/>
  <c r="BJ28" i="11"/>
  <c r="BK28" i="11"/>
  <c r="BL28" i="11"/>
  <c r="BO28" i="11"/>
  <c r="BP28" i="11"/>
  <c r="BC21" i="11"/>
  <c r="BC22" i="11"/>
  <c r="BC23" i="11"/>
  <c r="BC24" i="11"/>
  <c r="BC25" i="11"/>
  <c r="BC26" i="11"/>
  <c r="BC27" i="11"/>
  <c r="BC28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AW24" i="11"/>
  <c r="AW25" i="11"/>
  <c r="AW26" i="11"/>
  <c r="AW27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H15" i="11"/>
  <c r="I15" i="11"/>
  <c r="J15" i="11"/>
  <c r="H16" i="11"/>
  <c r="I16" i="11"/>
  <c r="J16" i="11"/>
  <c r="H17" i="11"/>
  <c r="I17" i="11"/>
  <c r="J17" i="11"/>
  <c r="H18" i="11"/>
  <c r="I18" i="11"/>
  <c r="J18" i="11"/>
  <c r="H19" i="11"/>
  <c r="I19" i="11"/>
  <c r="J19" i="11"/>
  <c r="H20" i="11"/>
  <c r="I20" i="11"/>
  <c r="J20" i="11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H31" i="11"/>
  <c r="I31" i="11"/>
  <c r="J3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G42" i="14"/>
  <c r="BC16" i="11"/>
  <c r="BC17" i="11"/>
  <c r="BC18" i="11"/>
  <c r="BC19" i="11"/>
  <c r="BC20" i="11"/>
  <c r="AX20" i="11"/>
  <c r="AY20" i="11"/>
  <c r="AZ20" i="11"/>
  <c r="BA20" i="11"/>
  <c r="BB20" i="11"/>
  <c r="AW12" i="11"/>
  <c r="AW13" i="11"/>
  <c r="AW14" i="11"/>
  <c r="AW15" i="11"/>
  <c r="AW16" i="11"/>
  <c r="AW17" i="11"/>
  <c r="AW18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X17" i="11"/>
  <c r="Y17" i="11"/>
  <c r="Z17" i="11"/>
  <c r="AA17" i="11"/>
  <c r="AB17" i="11"/>
  <c r="AC17" i="11"/>
  <c r="AD17" i="11"/>
  <c r="AE17" i="11"/>
  <c r="AF17" i="11"/>
  <c r="AG17" i="11"/>
  <c r="AH17" i="11"/>
  <c r="X18" i="11"/>
  <c r="Y18" i="11"/>
  <c r="Z18" i="11"/>
  <c r="AA18" i="11"/>
  <c r="AB18" i="11"/>
  <c r="AC18" i="11"/>
  <c r="AD18" i="11"/>
  <c r="AE18" i="11"/>
  <c r="AF18" i="11"/>
  <c r="AG18" i="11"/>
  <c r="AH18" i="11"/>
  <c r="X19" i="11"/>
  <c r="Y19" i="11"/>
  <c r="Z19" i="11"/>
  <c r="AA19" i="11"/>
  <c r="AB19" i="11"/>
  <c r="AC19" i="11"/>
  <c r="AD19" i="11"/>
  <c r="AE19" i="11"/>
  <c r="AF19" i="11"/>
  <c r="AG19" i="11"/>
  <c r="AH19" i="11"/>
  <c r="X20" i="11"/>
  <c r="Y20" i="11"/>
  <c r="Z20" i="11"/>
  <c r="AA20" i="11"/>
  <c r="AB20" i="11"/>
  <c r="AC20" i="11"/>
  <c r="AD20" i="11"/>
  <c r="AE20" i="11"/>
  <c r="AF20" i="11"/>
  <c r="AG20" i="11"/>
  <c r="AH20" i="11"/>
  <c r="P12" i="11"/>
  <c r="Q12" i="11"/>
  <c r="R12" i="11"/>
  <c r="S12" i="11"/>
  <c r="T12" i="11"/>
  <c r="U12" i="11"/>
  <c r="V12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M10" i="11"/>
  <c r="M11" i="11"/>
  <c r="M12" i="11"/>
  <c r="M13" i="11"/>
  <c r="M14" i="11"/>
  <c r="M15" i="11"/>
  <c r="BC15" i="11"/>
  <c r="L10" i="11"/>
  <c r="N10" i="11"/>
  <c r="L11" i="11"/>
  <c r="N11" i="11"/>
  <c r="L12" i="11"/>
  <c r="N12" i="11"/>
  <c r="L13" i="11"/>
  <c r="N13" i="11"/>
  <c r="L14" i="11"/>
  <c r="N14" i="11"/>
  <c r="L15" i="11"/>
  <c r="N15" i="11"/>
  <c r="H14" i="11"/>
  <c r="I14" i="11"/>
  <c r="J14" i="11"/>
  <c r="BC12" i="11"/>
  <c r="BC13" i="11"/>
  <c r="BC14" i="11"/>
  <c r="W12" i="11"/>
  <c r="W13" i="11"/>
  <c r="X14" i="11"/>
  <c r="X15" i="11"/>
  <c r="X16" i="11"/>
  <c r="F10" i="11"/>
  <c r="H10" i="11"/>
  <c r="I10" i="11"/>
  <c r="J10" i="11"/>
  <c r="F11" i="11"/>
  <c r="H11" i="11"/>
  <c r="I11" i="11"/>
  <c r="J11" i="11"/>
  <c r="H12" i="11"/>
  <c r="I12" i="11"/>
  <c r="J12" i="11"/>
  <c r="H13" i="11"/>
  <c r="I13" i="11"/>
  <c r="J13" i="11"/>
  <c r="W2" i="11"/>
  <c r="O2" i="11"/>
  <c r="K2" i="11"/>
  <c r="E2" i="11"/>
  <c r="M2" i="11"/>
  <c r="I3" i="11"/>
  <c r="I4" i="11"/>
  <c r="I5" i="11"/>
  <c r="I6" i="11"/>
  <c r="I7" i="11"/>
  <c r="I8" i="11"/>
  <c r="I9" i="11"/>
  <c r="I2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" i="11"/>
  <c r="BC3" i="11"/>
  <c r="BC4" i="11"/>
  <c r="BC5" i="11"/>
  <c r="BC6" i="11"/>
  <c r="BC7" i="11"/>
  <c r="BC8" i="11"/>
  <c r="BC9" i="11"/>
  <c r="BC10" i="11"/>
  <c r="BC11" i="11"/>
  <c r="BC2" i="11"/>
  <c r="BC32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" i="11"/>
  <c r="AW3" i="11"/>
  <c r="AW4" i="11"/>
  <c r="AW5" i="11"/>
  <c r="AW6" i="11"/>
  <c r="AW7" i="11"/>
  <c r="AW8" i="11"/>
  <c r="AW9" i="11"/>
  <c r="AW10" i="11"/>
  <c r="AW11" i="11"/>
  <c r="AW2" i="11"/>
  <c r="AW32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X32" i="11" s="1"/>
  <c r="W3" i="11"/>
  <c r="W4" i="11"/>
  <c r="W5" i="11"/>
  <c r="W6" i="11"/>
  <c r="W7" i="11"/>
  <c r="W8" i="11"/>
  <c r="W9" i="11"/>
  <c r="W10" i="11"/>
  <c r="W11" i="11"/>
  <c r="V3" i="11"/>
  <c r="V4" i="11"/>
  <c r="V5" i="11"/>
  <c r="V6" i="11"/>
  <c r="V7" i="11"/>
  <c r="V8" i="11"/>
  <c r="V9" i="11"/>
  <c r="V10" i="11"/>
  <c r="V11" i="11"/>
  <c r="V2" i="11"/>
  <c r="U3" i="11"/>
  <c r="U4" i="11"/>
  <c r="U5" i="11"/>
  <c r="U6" i="11"/>
  <c r="U7" i="11"/>
  <c r="U8" i="11"/>
  <c r="U9" i="11"/>
  <c r="U10" i="11"/>
  <c r="U11" i="11"/>
  <c r="U2" i="11"/>
  <c r="T3" i="11"/>
  <c r="T4" i="11"/>
  <c r="T5" i="11"/>
  <c r="T6" i="11"/>
  <c r="T7" i="11"/>
  <c r="T8" i="11"/>
  <c r="T9" i="11"/>
  <c r="T10" i="11"/>
  <c r="T11" i="11"/>
  <c r="T2" i="11"/>
  <c r="S3" i="11"/>
  <c r="S4" i="11"/>
  <c r="S5" i="11"/>
  <c r="S6" i="11"/>
  <c r="S7" i="11"/>
  <c r="S8" i="11"/>
  <c r="S9" i="11"/>
  <c r="S10" i="11"/>
  <c r="S11" i="11"/>
  <c r="S2" i="11"/>
  <c r="R3" i="11"/>
  <c r="R4" i="11"/>
  <c r="R5" i="11"/>
  <c r="R6" i="11"/>
  <c r="R7" i="11"/>
  <c r="R8" i="11"/>
  <c r="R9" i="11"/>
  <c r="R10" i="11"/>
  <c r="R11" i="11"/>
  <c r="R2" i="11"/>
  <c r="Q3" i="11"/>
  <c r="Q4" i="11"/>
  <c r="Q5" i="11"/>
  <c r="Q6" i="11"/>
  <c r="Q7" i="11"/>
  <c r="Q8" i="11"/>
  <c r="Q9" i="11"/>
  <c r="Q10" i="11"/>
  <c r="Q11" i="11"/>
  <c r="Q2" i="11"/>
  <c r="P3" i="11"/>
  <c r="P4" i="11"/>
  <c r="P5" i="11"/>
  <c r="P6" i="11"/>
  <c r="P7" i="11"/>
  <c r="P8" i="11"/>
  <c r="P9" i="11"/>
  <c r="P10" i="11"/>
  <c r="P11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AX32" i="11" l="1"/>
  <c r="F42" i="14"/>
  <c r="H32" i="11"/>
  <c r="H42" i="14"/>
  <c r="I32" i="11"/>
  <c r="I42" i="14"/>
  <c r="J32" i="11"/>
  <c r="J42" i="14"/>
  <c r="F32" i="11"/>
  <c r="N42" i="14"/>
  <c r="AY32" i="11"/>
  <c r="O42" i="14"/>
  <c r="AZ32" i="11"/>
  <c r="P42" i="14"/>
  <c r="BO32" i="11"/>
  <c r="Q42" i="14"/>
  <c r="BP32" i="11"/>
  <c r="R42" i="14"/>
  <c r="M32" i="11"/>
  <c r="S42" i="14"/>
  <c r="N32" i="11"/>
  <c r="T42" i="14"/>
  <c r="BD32" i="11"/>
  <c r="AJ42" i="14"/>
  <c r="AP40" i="14"/>
  <c r="AS40" i="14"/>
  <c r="AT40" i="14"/>
  <c r="AU40" i="14"/>
  <c r="AV40" i="14"/>
  <c r="AW40" i="14"/>
  <c r="AX40" i="14"/>
  <c r="BA40" i="14"/>
  <c r="BG40" i="14"/>
  <c r="BG41" i="14" l="1"/>
  <c r="BA41" i="14"/>
  <c r="AX41" i="14"/>
  <c r="AW41" i="14"/>
  <c r="AV41" i="14"/>
  <c r="AU41" i="14"/>
  <c r="AT41" i="14"/>
  <c r="AS41" i="14"/>
  <c r="AP41" i="14"/>
  <c r="AH40" i="14"/>
  <c r="AG40" i="14"/>
  <c r="AF40" i="14"/>
  <c r="AE40" i="14"/>
  <c r="AD40" i="14"/>
  <c r="AC40" i="14"/>
  <c r="AB40" i="14"/>
  <c r="AA40" i="14"/>
  <c r="AL40" i="14"/>
  <c r="AK40" i="14"/>
  <c r="BP40" i="14"/>
  <c r="BO40" i="14"/>
  <c r="BN40" i="14"/>
  <c r="BM40" i="14"/>
  <c r="BL40" i="14"/>
  <c r="BK40" i="14"/>
  <c r="BD40" i="14"/>
  <c r="BC40" i="14"/>
  <c r="BB40" i="14"/>
  <c r="AZ40" i="14"/>
  <c r="AY40" i="14"/>
  <c r="AO40" i="14"/>
  <c r="AR40" i="14"/>
  <c r="AQ40" i="14"/>
  <c r="AN40" i="14"/>
  <c r="AM40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H30" i="11" l="1"/>
  <c r="AK30" i="11"/>
  <c r="AL30" i="11"/>
  <c r="AQ30" i="11"/>
  <c r="AR30" i="11"/>
  <c r="AO30" i="11"/>
  <c r="AP30" i="11"/>
  <c r="AS30" i="11"/>
  <c r="AT30" i="11"/>
  <c r="AU30" i="11"/>
  <c r="AV30" i="11"/>
  <c r="BE30" i="11"/>
  <c r="BF30" i="11"/>
  <c r="Y30" i="11"/>
  <c r="Z30" i="11"/>
  <c r="AA30" i="11"/>
  <c r="AB30" i="11"/>
  <c r="AC30" i="11"/>
  <c r="AD30" i="11"/>
  <c r="AE30" i="11"/>
  <c r="AF30" i="11"/>
  <c r="BG30" i="11"/>
  <c r="AG30" i="11"/>
  <c r="BK30" i="11"/>
  <c r="AI30" i="11"/>
  <c r="BL30" i="11"/>
  <c r="AH30" i="11"/>
  <c r="AJ30" i="11"/>
  <c r="BI30" i="11"/>
  <c r="BJ30" i="11"/>
  <c r="AM30" i="11"/>
  <c r="AN30" i="11"/>
  <c r="AP42" i="14"/>
  <c r="AS42" i="14"/>
  <c r="AT42" i="14"/>
  <c r="AU42" i="14"/>
  <c r="AV42" i="14"/>
  <c r="AW42" i="14"/>
  <c r="AX42" i="14"/>
  <c r="BA42" i="14"/>
  <c r="BG42" i="14"/>
  <c r="AY41" i="14"/>
  <c r="AZ41" i="14"/>
  <c r="BB41" i="14"/>
  <c r="BC41" i="14"/>
  <c r="BD41" i="14"/>
  <c r="BK41" i="14"/>
  <c r="BL41" i="14"/>
  <c r="BM41" i="14"/>
  <c r="BN41" i="14"/>
  <c r="BO41" i="14"/>
  <c r="BP41" i="14"/>
  <c r="AM41" i="14"/>
  <c r="AN41" i="14"/>
  <c r="AQ41" i="14"/>
  <c r="AR41" i="14"/>
  <c r="AO41" i="14"/>
  <c r="AK41" i="14"/>
  <c r="AL41" i="14"/>
  <c r="AA41" i="14"/>
  <c r="AB41" i="14"/>
  <c r="AC41" i="14"/>
  <c r="AD41" i="14"/>
  <c r="AE41" i="14"/>
  <c r="AF41" i="14"/>
  <c r="AG41" i="14"/>
  <c r="AH41" i="14"/>
  <c r="BH40" i="14"/>
  <c r="AF31" i="11" l="1"/>
  <c r="AE31" i="11"/>
  <c r="AD31" i="11"/>
  <c r="AC31" i="11"/>
  <c r="AB31" i="11"/>
  <c r="AA31" i="11"/>
  <c r="Z31" i="11"/>
  <c r="Y31" i="11"/>
  <c r="BF31" i="11"/>
  <c r="BE31" i="11"/>
  <c r="BH31" i="11"/>
  <c r="AV31" i="11"/>
  <c r="AU31" i="11"/>
  <c r="AT31" i="11"/>
  <c r="AS31" i="11"/>
  <c r="AP31" i="11"/>
  <c r="AO31" i="11"/>
  <c r="AR31" i="11"/>
  <c r="AQ31" i="11"/>
  <c r="AL31" i="11"/>
  <c r="AK31" i="11"/>
  <c r="S30" i="11"/>
  <c r="T30" i="11"/>
  <c r="BI31" i="11"/>
  <c r="BJ31" i="11"/>
  <c r="BL31" i="11"/>
  <c r="AH31" i="11"/>
  <c r="AJ31" i="11"/>
  <c r="BK31" i="11"/>
  <c r="AI31" i="11"/>
  <c r="BG31" i="11"/>
  <c r="AG31" i="11"/>
  <c r="AM31" i="11"/>
  <c r="AN31" i="11"/>
  <c r="AO42" i="14"/>
  <c r="AR42" i="14"/>
  <c r="AQ42" i="14"/>
  <c r="AM42" i="14"/>
  <c r="BB42" i="14"/>
  <c r="BH41" i="14"/>
  <c r="V40" i="14"/>
  <c r="BJ40" i="14"/>
  <c r="BI40" i="14"/>
  <c r="BF40" i="14"/>
  <c r="BE40" i="14"/>
  <c r="Q30" i="11" l="1"/>
  <c r="R30" i="11"/>
  <c r="U30" i="11"/>
  <c r="V30" i="11"/>
  <c r="P30" i="11"/>
  <c r="AK32" i="11"/>
  <c r="AY42" i="14"/>
  <c r="AL32" i="11"/>
  <c r="AZ42" i="14"/>
  <c r="AQ32" i="11"/>
  <c r="BC42" i="14"/>
  <c r="AR32" i="11"/>
  <c r="BD42" i="14"/>
  <c r="AO32" i="11"/>
  <c r="BK42" i="14"/>
  <c r="AP32" i="11"/>
  <c r="BL42" i="14"/>
  <c r="AS32" i="11"/>
  <c r="BM42" i="14"/>
  <c r="AT32" i="11"/>
  <c r="BN42" i="14"/>
  <c r="AU32" i="11"/>
  <c r="BO42" i="14"/>
  <c r="AV32" i="11"/>
  <c r="BP42" i="14"/>
  <c r="Y32" i="11"/>
  <c r="AA42" i="14"/>
  <c r="Z32" i="11"/>
  <c r="AB42" i="14"/>
  <c r="AA32" i="11"/>
  <c r="AC42" i="14"/>
  <c r="AB32" i="11"/>
  <c r="AD42" i="14"/>
  <c r="AC32" i="11"/>
  <c r="AE42" i="14"/>
  <c r="AD32" i="11"/>
  <c r="AF42" i="14"/>
  <c r="AE32" i="11"/>
  <c r="AG42" i="14"/>
  <c r="AF32" i="11"/>
  <c r="AH42" i="14"/>
  <c r="S31" i="11"/>
  <c r="T31" i="11"/>
  <c r="AM32" i="11"/>
  <c r="AN32" i="11"/>
  <c r="BG32" i="11"/>
  <c r="AG32" i="11"/>
  <c r="BK32" i="11"/>
  <c r="AI32" i="11"/>
  <c r="BL32" i="11"/>
  <c r="AH32" i="11"/>
  <c r="AJ32" i="11"/>
  <c r="BI32" i="11"/>
  <c r="BJ32" i="11"/>
  <c r="BH42" i="14"/>
  <c r="BE41" i="14"/>
  <c r="BF41" i="14"/>
  <c r="BI41" i="14"/>
  <c r="BJ41" i="14"/>
  <c r="V41" i="14"/>
  <c r="W40" i="14"/>
  <c r="X40" i="14"/>
  <c r="L40" i="14"/>
  <c r="L30" i="11" l="1"/>
  <c r="BB30" i="11"/>
  <c r="BA30" i="11"/>
  <c r="P31" i="11"/>
  <c r="V31" i="11"/>
  <c r="U31" i="11"/>
  <c r="R31" i="11"/>
  <c r="Q31" i="11"/>
  <c r="BF32" i="11"/>
  <c r="AL42" i="14"/>
  <c r="BE32" i="11"/>
  <c r="AK42" i="14"/>
  <c r="BH32" i="11"/>
  <c r="AN42" i="14"/>
  <c r="S32" i="11"/>
  <c r="T32" i="11"/>
  <c r="X41" i="14"/>
  <c r="W41" i="14"/>
  <c r="L41" i="14"/>
  <c r="L31" i="11" l="1"/>
  <c r="BA31" i="11"/>
  <c r="BB31" i="11"/>
  <c r="P32" i="11" l="1"/>
  <c r="V42" i="14"/>
  <c r="V32" i="11"/>
  <c r="BJ42" i="14"/>
  <c r="U32" i="11"/>
  <c r="BI42" i="14"/>
  <c r="R32" i="11"/>
  <c r="BF42" i="14"/>
  <c r="Q32" i="11"/>
  <c r="BE42" i="14"/>
  <c r="L32" i="11" l="1"/>
  <c r="L42" i="14"/>
  <c r="BA32" i="11"/>
  <c r="W42" i="14"/>
  <c r="BB32" i="11"/>
  <c r="X42" i="14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<sst xmlns="http://schemas.openxmlformats.org/spreadsheetml/2006/main" count="253" uniqueCount="81">
  <si>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</si>
  <si>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</si>
  <si>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</si>
  <si>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</si>
  <si>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</si>
  <si>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</si>
  <si>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</si>
  <si>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</si>
  <si>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</si>
  <si>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</si>
  <si>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</si>
  <si>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</si>
  <si>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</si>
  <si>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</si>
  <si>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</si>
  <si>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</si>
  <si>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</si>
  <si>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</si>
  <si>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</si>
  <si>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</si>
  <si>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</si>
  <si>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</si>
  <si>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</si>
  <si>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</si>
  <si>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</si>
  <si>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</si>
  <si>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</si>
  <si>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</si>
  <si>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</si>
  <si>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</si>
  <si>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</si>
  <si>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</si>
  <si>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</si>
  <si>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</si>
  <si>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</si>
  <si>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</si>
  <si>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</si>
  <si>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</si>
  <si>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</si>
  <si>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</si>
  <si>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</si>
  <si>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</si>
  <si>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</si>
  <si>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</si>
  <si>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</si>
  <si>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</si>
  <si>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</si>
  <si>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</si>
  <si>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</si>
  <si>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</si>
  <si>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</si>
  <si>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</si>
  <si>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</si>
  <si>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</si>
  <si>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</si>
  <si>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</si>
  <si>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</si>
  <si>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</si>
  <si>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</si>
  <si>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</si>
  <si>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</si>
  <si>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</si>
  <si>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</si>
  <si>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</si>
  <si>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</si>
  <si>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</si>
  <si>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</si>
  <si>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</si>
  <si>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</si>
  <si>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</si>
  <si>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Nov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</si>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</sst>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0" fontId="11" fillId="0" borderId="0" xfId="8" applyFont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8" fillId="7" borderId="6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8" fillId="7" borderId="10" xfId="0" applyFont="1" applyFill="1" applyBorder="1" applyAlignment="1">
      <alignment horizontal="center" vertical="center" shrinkToFit="1"/>
    </xf>
    <xf numFmtId="165" fontId="0" fillId="0" borderId="5" xfId="1" applyNumberFormat="1" applyFont="1" applyBorder="1"/>
    <xf numFmtId="0" fontId="1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6" xfId="0" applyFont="1" applyBorder="1" applyAlignment="1">
      <alignment horizontal="right"/>
    </xf>
    <xf numFmtId="0" fontId="13" fillId="0" borderId="6" xfId="0" applyFont="1" applyBorder="1"/>
    <xf numFmtId="0" fontId="0" fillId="0" borderId="15" xfId="0" applyBorder="1" applyAlignment="1">
      <alignment vertical="center"/>
    </xf>
    <xf numFmtId="0" fontId="8" fillId="7" borderId="14" xfId="0" applyFont="1" applyFill="1" applyBorder="1" applyAlignment="1">
      <alignment horizontal="center" vertical="center" shrinkToFit="1"/>
    </xf>
    <xf numFmtId="37" fontId="12" fillId="0" borderId="10" xfId="0" applyNumberFormat="1" applyFont="1" applyBorder="1"/>
    <xf numFmtId="0" fontId="0" fillId="0" borderId="10" xfId="0" applyBorder="1"/>
    <xf numFmtId="0" fontId="0" fillId="5" borderId="0" xfId="0" applyFill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J1" workbookViewId="0">
      <selection activeCell="D12" sqref="D12:BO1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1" customFormat="1" ht="30.75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</row>
    <row r="2" spans="1:67">
      <c r="A2" t="s">
        <v>67</v>
      </c>
      <c r="B2" s="33">
        <v>1</v>
      </c>
      <c r="C2" s="33">
        <v>2019</v>
      </c>
      <c r="D2" s="36">
        <v>127.69999999999999</v>
      </c>
      <c r="E2" s="36">
        <v>0</v>
      </c>
      <c r="F2" s="36">
        <v>0</v>
      </c>
      <c r="G2" s="36">
        <v>0</v>
      </c>
      <c r="H2" s="36">
        <v>0</v>
      </c>
      <c r="I2" s="36">
        <v>0</v>
      </c>
      <c r="J2" s="36">
        <v>314.89999999999998</v>
      </c>
      <c r="K2" s="36">
        <v>0</v>
      </c>
      <c r="L2" s="36">
        <v>0</v>
      </c>
      <c r="M2" s="36">
        <v>0</v>
      </c>
      <c r="N2" s="36">
        <v>506.19999999999993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T2" s="36">
        <v>0</v>
      </c>
      <c r="U2" s="36">
        <v>0</v>
      </c>
      <c r="V2" s="36">
        <v>13728</v>
      </c>
      <c r="W2" s="36">
        <v>8284726</v>
      </c>
      <c r="X2" s="36">
        <v>0</v>
      </c>
      <c r="Y2" s="36">
        <v>0</v>
      </c>
      <c r="Z2" s="36">
        <v>0</v>
      </c>
      <c r="AA2" s="36">
        <v>0</v>
      </c>
      <c r="AB2" s="36">
        <v>0</v>
      </c>
      <c r="AC2" s="36">
        <v>0</v>
      </c>
      <c r="AD2" s="36">
        <v>0</v>
      </c>
      <c r="AE2" s="36">
        <v>0</v>
      </c>
      <c r="AF2" s="36">
        <v>0</v>
      </c>
      <c r="AG2" s="36">
        <v>0</v>
      </c>
      <c r="AH2" s="36">
        <v>0</v>
      </c>
      <c r="AI2" s="36">
        <v>0</v>
      </c>
      <c r="AJ2" s="36">
        <v>0</v>
      </c>
      <c r="AK2" s="36">
        <v>0</v>
      </c>
      <c r="AL2" s="36">
        <v>0</v>
      </c>
      <c r="AM2" s="36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388.7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17160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</row>
    <row r="3" spans="1:67">
      <c r="A3" t="s">
        <v>67</v>
      </c>
      <c r="B3" s="33">
        <v>2</v>
      </c>
      <c r="C3" s="33">
        <v>2019</v>
      </c>
      <c r="D3" s="37">
        <v>96.899999999999977</v>
      </c>
      <c r="E3" s="38">
        <v>0</v>
      </c>
      <c r="F3" s="36">
        <v>0</v>
      </c>
      <c r="G3" s="38">
        <v>0</v>
      </c>
      <c r="H3" s="37">
        <v>0</v>
      </c>
      <c r="I3" s="38">
        <v>0</v>
      </c>
      <c r="J3" s="37">
        <v>360.50000000000006</v>
      </c>
      <c r="K3" s="38">
        <v>0</v>
      </c>
      <c r="L3" s="38">
        <v>0</v>
      </c>
      <c r="M3" s="38">
        <v>0</v>
      </c>
      <c r="N3" s="39">
        <v>463.59999999999997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6">
        <v>11613</v>
      </c>
      <c r="W3" s="38">
        <v>8284726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356.09999999999997</v>
      </c>
      <c r="AW3" s="38">
        <v>0</v>
      </c>
      <c r="AX3" s="38">
        <v>0</v>
      </c>
      <c r="AY3" s="38">
        <v>0</v>
      </c>
      <c r="AZ3" s="38">
        <v>0</v>
      </c>
      <c r="BA3" s="38">
        <v>0</v>
      </c>
      <c r="BB3" s="40">
        <v>14664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t="s">
        <v>67</v>
      </c>
      <c r="B4" s="33">
        <v>3</v>
      </c>
      <c r="C4" s="33">
        <v>2019</v>
      </c>
      <c r="D4" s="37">
        <v>113.29999999999998</v>
      </c>
      <c r="E4" s="38">
        <v>0</v>
      </c>
      <c r="F4" s="36">
        <v>0</v>
      </c>
      <c r="G4" s="38">
        <v>0</v>
      </c>
      <c r="H4" s="37">
        <v>0</v>
      </c>
      <c r="I4" s="38">
        <v>0</v>
      </c>
      <c r="J4" s="37">
        <v>267.29999999999995</v>
      </c>
      <c r="K4" s="38">
        <v>0</v>
      </c>
      <c r="L4" s="38">
        <v>0</v>
      </c>
      <c r="M4" s="38">
        <v>0</v>
      </c>
      <c r="N4" s="39">
        <v>413.19999999999993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6">
        <v>12117</v>
      </c>
      <c r="W4" s="38">
        <v>8284726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382</v>
      </c>
      <c r="AW4" s="38">
        <v>0</v>
      </c>
      <c r="AX4" s="38">
        <v>0</v>
      </c>
      <c r="AY4" s="38">
        <v>0</v>
      </c>
      <c r="AZ4" s="38">
        <v>0</v>
      </c>
      <c r="BA4" s="38">
        <v>0</v>
      </c>
      <c r="BB4" s="40">
        <v>11574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</row>
    <row r="5" spans="1:67">
      <c r="A5" t="s">
        <v>67</v>
      </c>
      <c r="B5" s="33">
        <v>4</v>
      </c>
      <c r="C5" s="33">
        <v>2019</v>
      </c>
      <c r="D5" s="37">
        <v>112.50000000000001</v>
      </c>
      <c r="E5" s="32">
        <v>0</v>
      </c>
      <c r="F5" s="36">
        <v>0</v>
      </c>
      <c r="G5" s="32">
        <v>0</v>
      </c>
      <c r="H5" s="14">
        <v>0</v>
      </c>
      <c r="I5" s="32">
        <v>0</v>
      </c>
      <c r="J5" s="37">
        <v>246.70000000000005</v>
      </c>
      <c r="K5" s="32">
        <v>0</v>
      </c>
      <c r="L5" s="32">
        <v>0</v>
      </c>
      <c r="M5" s="32">
        <v>0</v>
      </c>
      <c r="N5" s="39">
        <v>429.40000000000015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9">
        <v>15696</v>
      </c>
      <c r="W5" s="14">
        <v>8284726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>
        <v>0</v>
      </c>
      <c r="AK5" s="32">
        <v>0</v>
      </c>
      <c r="AL5" s="32">
        <v>0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  <c r="AR5" s="32">
        <v>0</v>
      </c>
      <c r="AS5" s="32">
        <v>0</v>
      </c>
      <c r="AT5" s="32">
        <v>0</v>
      </c>
      <c r="AU5" s="32">
        <v>0</v>
      </c>
      <c r="AV5" s="38">
        <v>369.79999999999995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4">
        <v>10944</v>
      </c>
      <c r="BC5" s="32">
        <v>0</v>
      </c>
      <c r="BD5" s="32">
        <v>0</v>
      </c>
      <c r="BE5" s="32">
        <v>0</v>
      </c>
      <c r="BF5" s="32">
        <v>0</v>
      </c>
      <c r="BG5" s="32">
        <v>0</v>
      </c>
      <c r="BH5" s="32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0</v>
      </c>
      <c r="BO5" s="32">
        <v>0</v>
      </c>
    </row>
    <row r="6" spans="1:67">
      <c r="A6" t="s">
        <v>67</v>
      </c>
      <c r="B6" s="33">
        <v>5</v>
      </c>
      <c r="C6" s="33">
        <v>2019</v>
      </c>
      <c r="D6" s="37">
        <v>103.9</v>
      </c>
      <c r="E6" s="32">
        <v>0</v>
      </c>
      <c r="F6" s="36">
        <v>0</v>
      </c>
      <c r="G6" s="32">
        <v>0</v>
      </c>
      <c r="H6" s="14">
        <v>0</v>
      </c>
      <c r="I6" s="32">
        <v>0</v>
      </c>
      <c r="J6" s="37">
        <v>222.80000000000004</v>
      </c>
      <c r="K6" s="32">
        <v>0</v>
      </c>
      <c r="L6" s="32">
        <v>0</v>
      </c>
      <c r="M6" s="32">
        <v>0</v>
      </c>
      <c r="N6" s="39">
        <v>444.59999999999985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9">
        <v>12299</v>
      </c>
      <c r="W6" s="32">
        <v>8284726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32">
        <v>0</v>
      </c>
      <c r="AH6" s="32">
        <v>0</v>
      </c>
      <c r="AI6" s="32">
        <v>0</v>
      </c>
      <c r="AJ6" s="32">
        <v>0</v>
      </c>
      <c r="AK6" s="32">
        <v>0</v>
      </c>
      <c r="AL6" s="32">
        <v>0</v>
      </c>
      <c r="AM6" s="32">
        <v>0</v>
      </c>
      <c r="AN6" s="32">
        <v>0</v>
      </c>
      <c r="AO6" s="32">
        <v>0</v>
      </c>
      <c r="AP6" s="32">
        <v>0</v>
      </c>
      <c r="AQ6" s="32">
        <v>0</v>
      </c>
      <c r="AR6" s="32">
        <v>0</v>
      </c>
      <c r="AS6" s="32">
        <v>0</v>
      </c>
      <c r="AT6" s="32">
        <v>0</v>
      </c>
      <c r="AU6" s="32">
        <v>0</v>
      </c>
      <c r="AV6" s="38">
        <v>413.59999999999997</v>
      </c>
      <c r="AW6" s="32">
        <v>0</v>
      </c>
      <c r="AX6" s="32">
        <v>0</v>
      </c>
      <c r="AY6" s="32">
        <v>0</v>
      </c>
      <c r="AZ6" s="32">
        <v>0</v>
      </c>
      <c r="BA6" s="32">
        <v>0</v>
      </c>
      <c r="BB6" s="9">
        <v>16288</v>
      </c>
      <c r="BC6" s="32">
        <v>0</v>
      </c>
      <c r="BD6" s="32">
        <v>0</v>
      </c>
      <c r="BE6" s="32">
        <v>0</v>
      </c>
      <c r="BF6" s="32">
        <v>0</v>
      </c>
      <c r="BG6" s="32">
        <v>0</v>
      </c>
      <c r="BH6" s="32">
        <v>0</v>
      </c>
      <c r="BI6" s="32">
        <v>0</v>
      </c>
      <c r="BJ6" s="32">
        <v>0</v>
      </c>
      <c r="BK6" s="32">
        <v>0</v>
      </c>
      <c r="BL6" s="32">
        <v>0</v>
      </c>
      <c r="BM6" s="32">
        <v>0</v>
      </c>
      <c r="BN6" s="32">
        <v>0</v>
      </c>
      <c r="BO6" s="32">
        <v>0</v>
      </c>
    </row>
    <row r="7" spans="1:67">
      <c r="A7" t="s">
        <v>67</v>
      </c>
      <c r="B7" s="33">
        <v>6</v>
      </c>
      <c r="C7" s="33">
        <v>2019</v>
      </c>
      <c r="D7" s="37">
        <v>108.80000000000001</v>
      </c>
      <c r="E7" s="32">
        <v>0</v>
      </c>
      <c r="F7" s="36">
        <v>0</v>
      </c>
      <c r="G7" s="32">
        <v>0</v>
      </c>
      <c r="H7" s="14">
        <v>0</v>
      </c>
      <c r="I7" s="32">
        <v>0</v>
      </c>
      <c r="J7" s="37">
        <v>305.5</v>
      </c>
      <c r="K7" s="32">
        <v>0</v>
      </c>
      <c r="L7" s="32">
        <v>0</v>
      </c>
      <c r="M7" s="32">
        <v>0</v>
      </c>
      <c r="N7" s="39">
        <v>322.79999999999995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4">
        <v>15410</v>
      </c>
      <c r="W7" s="32">
        <v>8284726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32">
        <v>0</v>
      </c>
      <c r="AI7" s="32">
        <v>0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8">
        <v>579.20000000000005</v>
      </c>
      <c r="AW7" s="32">
        <v>0</v>
      </c>
      <c r="AX7" s="32">
        <v>0</v>
      </c>
      <c r="AY7" s="32">
        <v>0</v>
      </c>
      <c r="AZ7" s="32">
        <v>0</v>
      </c>
      <c r="BA7" s="32">
        <v>0</v>
      </c>
      <c r="BB7" s="9">
        <v>16520</v>
      </c>
      <c r="BC7" s="32">
        <v>0</v>
      </c>
      <c r="BD7" s="32">
        <v>0</v>
      </c>
      <c r="BE7" s="32">
        <v>0</v>
      </c>
      <c r="BF7" s="32">
        <v>0</v>
      </c>
      <c r="BG7" s="32">
        <v>0</v>
      </c>
      <c r="BH7" s="32">
        <v>0</v>
      </c>
      <c r="BI7" s="32">
        <v>0</v>
      </c>
      <c r="BJ7" s="32">
        <v>0</v>
      </c>
      <c r="BK7" s="32">
        <v>0</v>
      </c>
      <c r="BL7" s="32">
        <v>0</v>
      </c>
      <c r="BM7" s="32">
        <v>0</v>
      </c>
      <c r="BN7" s="32">
        <v>0</v>
      </c>
      <c r="BO7" s="32">
        <v>0</v>
      </c>
    </row>
    <row r="8" spans="1:67">
      <c r="A8" t="s">
        <v>67</v>
      </c>
      <c r="B8" s="33">
        <v>7</v>
      </c>
      <c r="C8" s="33">
        <v>2019</v>
      </c>
      <c r="D8" s="37">
        <v>87.6</v>
      </c>
      <c r="E8" s="32">
        <v>0</v>
      </c>
      <c r="F8" s="36">
        <v>0</v>
      </c>
      <c r="G8" s="32">
        <v>0</v>
      </c>
      <c r="H8" s="14">
        <v>0</v>
      </c>
      <c r="I8" s="32">
        <v>0</v>
      </c>
      <c r="J8" s="37">
        <v>238.19999999999996</v>
      </c>
      <c r="K8" s="32">
        <v>0</v>
      </c>
      <c r="L8" s="32">
        <v>0</v>
      </c>
      <c r="M8" s="32">
        <v>0</v>
      </c>
      <c r="N8" s="39">
        <v>572.70000000000016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4">
        <v>16730</v>
      </c>
      <c r="W8" s="32">
        <v>8284726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32">
        <v>0</v>
      </c>
      <c r="AH8" s="32">
        <v>0</v>
      </c>
      <c r="AI8" s="32">
        <v>0</v>
      </c>
      <c r="AJ8" s="32">
        <v>0</v>
      </c>
      <c r="AK8" s="32">
        <v>0</v>
      </c>
      <c r="AL8" s="32">
        <v>0</v>
      </c>
      <c r="AM8" s="32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8">
        <v>347.39999999999992</v>
      </c>
      <c r="AW8" s="32">
        <v>0</v>
      </c>
      <c r="AX8" s="32">
        <v>0</v>
      </c>
      <c r="AY8" s="32">
        <v>0</v>
      </c>
      <c r="AZ8" s="32">
        <v>0</v>
      </c>
      <c r="BA8" s="32">
        <v>0</v>
      </c>
      <c r="BB8" s="9">
        <v>13302</v>
      </c>
      <c r="BC8" s="32">
        <v>0</v>
      </c>
      <c r="BD8" s="32">
        <v>0</v>
      </c>
      <c r="BE8" s="32">
        <v>0</v>
      </c>
      <c r="BF8" s="32">
        <v>0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32">
        <v>0</v>
      </c>
      <c r="BM8" s="32">
        <v>0</v>
      </c>
      <c r="BN8" s="32">
        <v>0</v>
      </c>
      <c r="BO8" s="32">
        <v>0</v>
      </c>
    </row>
    <row r="9" spans="1:67">
      <c r="A9" t="s">
        <v>67</v>
      </c>
      <c r="B9" s="33">
        <v>8</v>
      </c>
      <c r="C9" s="33">
        <v>2019</v>
      </c>
      <c r="D9" s="14">
        <v>135</v>
      </c>
      <c r="E9" s="32">
        <v>0</v>
      </c>
      <c r="F9" s="36">
        <v>0</v>
      </c>
      <c r="G9" s="32">
        <v>0</v>
      </c>
      <c r="H9" s="14">
        <v>0</v>
      </c>
      <c r="I9" s="32">
        <v>0</v>
      </c>
      <c r="J9" s="14">
        <v>3218</v>
      </c>
      <c r="K9" s="32">
        <v>0</v>
      </c>
      <c r="L9" s="32">
        <v>0</v>
      </c>
      <c r="M9" s="32">
        <v>0</v>
      </c>
      <c r="N9" s="42">
        <v>399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4">
        <v>14161</v>
      </c>
      <c r="W9" s="32">
        <v>8284726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32">
        <v>0</v>
      </c>
      <c r="AH9" s="32">
        <v>0</v>
      </c>
      <c r="AI9" s="32">
        <v>0</v>
      </c>
      <c r="AJ9" s="32">
        <v>0</v>
      </c>
      <c r="AK9" s="32">
        <v>0</v>
      </c>
      <c r="AL9" s="32">
        <v>0</v>
      </c>
      <c r="AM9" s="32">
        <v>0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8">
        <v>771.6</v>
      </c>
      <c r="AW9" s="32">
        <v>0</v>
      </c>
      <c r="AX9" s="32">
        <v>0</v>
      </c>
      <c r="AY9" s="32">
        <v>0</v>
      </c>
      <c r="AZ9" s="32">
        <v>0</v>
      </c>
      <c r="BA9" s="32">
        <v>0</v>
      </c>
      <c r="BB9" s="9">
        <v>15696</v>
      </c>
      <c r="BC9" s="32">
        <v>0</v>
      </c>
      <c r="BD9" s="32">
        <v>0</v>
      </c>
      <c r="BE9" s="32">
        <v>0</v>
      </c>
      <c r="BF9" s="32">
        <v>0</v>
      </c>
      <c r="BG9" s="32">
        <v>0</v>
      </c>
      <c r="BH9" s="32">
        <v>0</v>
      </c>
      <c r="BI9" s="32">
        <v>0</v>
      </c>
      <c r="BJ9" s="32">
        <v>0</v>
      </c>
      <c r="BK9" s="32">
        <v>0</v>
      </c>
      <c r="BL9" s="32">
        <v>0</v>
      </c>
      <c r="BM9" s="32">
        <v>0</v>
      </c>
      <c r="BN9" s="32">
        <v>0</v>
      </c>
      <c r="BO9" s="32">
        <v>0</v>
      </c>
    </row>
    <row r="10" spans="1:67">
      <c r="A10" t="s">
        <v>67</v>
      </c>
      <c r="B10" s="33">
        <v>9</v>
      </c>
      <c r="C10" s="33">
        <v>2019</v>
      </c>
      <c r="D10" s="37">
        <v>182.59999999999994</v>
      </c>
      <c r="E10" s="38">
        <v>0</v>
      </c>
      <c r="F10" s="36">
        <v>0</v>
      </c>
      <c r="G10" s="38">
        <v>0</v>
      </c>
      <c r="H10" s="37">
        <v>0</v>
      </c>
      <c r="I10" s="38">
        <v>0</v>
      </c>
      <c r="J10" s="37">
        <v>3106</v>
      </c>
      <c r="K10" s="38">
        <v>0</v>
      </c>
      <c r="L10" s="38">
        <v>0</v>
      </c>
      <c r="M10" s="38">
        <v>0</v>
      </c>
      <c r="N10" s="39">
        <v>520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40">
        <v>19500</v>
      </c>
      <c r="W10" s="38">
        <v>8284726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1108.4000000000003</v>
      </c>
      <c r="AW10" s="38">
        <v>0</v>
      </c>
      <c r="AX10" s="38">
        <v>0</v>
      </c>
      <c r="AY10" s="38">
        <v>0</v>
      </c>
      <c r="AZ10" s="38">
        <v>0</v>
      </c>
      <c r="BA10" s="38">
        <v>0</v>
      </c>
      <c r="BB10" s="36">
        <v>17190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</row>
    <row r="11" spans="1:67">
      <c r="A11" t="s">
        <v>67</v>
      </c>
      <c r="B11" s="33">
        <v>10</v>
      </c>
      <c r="C11" s="33">
        <v>2019</v>
      </c>
      <c r="D11" s="37">
        <v>189.9</v>
      </c>
      <c r="E11" s="38">
        <v>0</v>
      </c>
      <c r="F11" s="36">
        <v>0</v>
      </c>
      <c r="G11" s="38">
        <v>0</v>
      </c>
      <c r="H11" s="37">
        <v>0</v>
      </c>
      <c r="I11" s="32">
        <v>0</v>
      </c>
      <c r="J11" s="14">
        <v>2770</v>
      </c>
      <c r="K11" s="32">
        <v>0</v>
      </c>
      <c r="L11" s="32">
        <v>0</v>
      </c>
      <c r="M11" s="32">
        <v>0</v>
      </c>
      <c r="N11" s="42">
        <v>510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4">
        <v>19168</v>
      </c>
      <c r="W11" s="32">
        <v>8284726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8">
        <v>1684.4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9">
        <v>12817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</row>
    <row r="12" spans="1:67">
      <c r="A12" t="s">
        <v>67</v>
      </c>
      <c r="B12" s="33">
        <v>11</v>
      </c>
      <c r="C12" s="33">
        <v>2019</v>
      </c>
      <c r="D12" s="14">
        <v>154.79999999999998</v>
      </c>
      <c r="E12" s="32">
        <v>0</v>
      </c>
      <c r="F12" s="42">
        <v>0</v>
      </c>
      <c r="G12" s="32">
        <v>0</v>
      </c>
      <c r="H12" s="14">
        <v>0</v>
      </c>
      <c r="I12" s="32">
        <v>0</v>
      </c>
      <c r="J12" s="14">
        <v>2640</v>
      </c>
      <c r="K12" s="32">
        <v>0</v>
      </c>
      <c r="L12" s="32">
        <v>0</v>
      </c>
      <c r="M12" s="32">
        <v>0</v>
      </c>
      <c r="N12" s="42">
        <v>392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4">
        <v>18392</v>
      </c>
      <c r="W12" s="32">
        <v>8284726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8">
        <v>2706.8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9">
        <v>19600</v>
      </c>
      <c r="BC12" s="32">
        <v>0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2">
        <v>0</v>
      </c>
    </row>
    <row r="13" spans="1:67">
      <c r="A13" t="s">
        <v>67</v>
      </c>
      <c r="B13" s="33">
        <v>12</v>
      </c>
      <c r="C13" s="33">
        <v>2019</v>
      </c>
      <c r="D13" s="14"/>
      <c r="E13" s="32"/>
      <c r="F13" s="42"/>
      <c r="G13" s="32"/>
      <c r="H13" s="14"/>
      <c r="I13" s="32"/>
      <c r="J13" s="14"/>
      <c r="K13" s="32"/>
      <c r="L13" s="32"/>
      <c r="M13" s="32"/>
      <c r="N13" s="42"/>
      <c r="O13" s="32"/>
      <c r="P13" s="32"/>
      <c r="Q13" s="32"/>
      <c r="R13" s="32"/>
      <c r="S13" s="32"/>
      <c r="T13" s="32"/>
      <c r="U13" s="32"/>
      <c r="V13" s="34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8"/>
      <c r="AW13" s="32"/>
      <c r="AX13" s="32"/>
      <c r="AY13" s="32"/>
      <c r="AZ13" s="32"/>
      <c r="BA13" s="32"/>
      <c r="BB13" s="9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2"/>
  <sheetViews>
    <sheetView topLeftCell="BB15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29" customWidth="1"/>
    <col min="3" max="3" width="7.5703125" style="30" customWidth="1"/>
    <col min="4" max="4" width="13.42578125" style="29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5" customFormat="1" ht="113.25" customHeight="1">
      <c r="A1" s="20" t="s">
        <v>0</v>
      </c>
      <c r="B1" s="20" t="s">
        <v>68</v>
      </c>
      <c r="C1" s="21" t="s">
        <v>1</v>
      </c>
      <c r="D1" s="22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3" t="s">
        <v>58</v>
      </c>
      <c r="BI1" s="23" t="s">
        <v>59</v>
      </c>
      <c r="BJ1" s="23" t="s">
        <v>60</v>
      </c>
      <c r="BK1" s="23" t="s">
        <v>61</v>
      </c>
      <c r="BL1" s="23" t="s">
        <v>62</v>
      </c>
      <c r="BM1" s="23" t="s">
        <v>63</v>
      </c>
      <c r="BN1" s="23" t="s">
        <v>64</v>
      </c>
      <c r="BO1" s="24" t="s">
        <v>65</v>
      </c>
      <c r="BP1" s="23" t="s">
        <v>66</v>
      </c>
    </row>
    <row r="2" spans="1:68">
      <c r="A2" s="18" t="s">
        <v>67</v>
      </c>
      <c r="B2" s="26">
        <v>1</v>
      </c>
      <c r="C2" s="27">
        <v>11</v>
      </c>
      <c r="D2" s="28">
        <v>2019</v>
      </c>
      <c r="E2" s="19">
        <f>'FS Jimbaran Nov 2019'!M12</f>
        <v>5.3000000000000007</v>
      </c>
      <c r="F2" s="23">
        <f>'FS Jimbaran Nov 2019'!N12</f>
        <v>0</v>
      </c>
      <c r="G2" s="23">
        <v>0</v>
      </c>
      <c r="H2" s="23">
        <f>'FS Jimbaran Nov 2019'!H12</f>
        <v>0</v>
      </c>
      <c r="I2" s="23">
        <f>'FS Jimbaran Nov 2019'!I12</f>
        <v>0</v>
      </c>
      <c r="J2" s="23">
        <f>'FS Jimbaran Nov 2019'!J12</f>
        <v>0</v>
      </c>
      <c r="K2" s="23">
        <f>'FS Jimbaran Nov 2019'!K12</f>
        <v>75</v>
      </c>
      <c r="L2" s="23">
        <f>'FS Jimbaran Nov 2019'!L12</f>
        <v>0</v>
      </c>
      <c r="M2" s="23">
        <f>'FS Jimbaran Nov 2019'!S12</f>
        <v>0</v>
      </c>
      <c r="N2" s="23">
        <f>'FS Jimbaran Nov 2019'!T12</f>
        <v>0</v>
      </c>
      <c r="O2" s="23">
        <f>'FS Jimbaran Nov 2019'!U12</f>
        <v>10.5</v>
      </c>
      <c r="P2" s="23">
        <f>'FS Jimbaran Nov 2019'!V12</f>
        <v>0</v>
      </c>
      <c r="Q2" s="23">
        <f>'FS Jimbaran Nov 2019'!BE12</f>
        <v>0</v>
      </c>
      <c r="R2" s="23">
        <f>'FS Jimbaran Nov 2019'!BF12</f>
        <v>0</v>
      </c>
      <c r="S2" s="23">
        <f>'FS Jimbaran Nov 2019'!BH12</f>
        <v>0</v>
      </c>
      <c r="T2" s="23">
        <f>'FS Jimbaran Nov 2019'!BH12</f>
        <v>0</v>
      </c>
      <c r="U2" s="23">
        <f>'FS Jimbaran Nov 2019'!BI12</f>
        <v>0</v>
      </c>
      <c r="V2" s="23">
        <f>'FS Jimbaran Nov 2019'!BJ12</f>
        <v>0</v>
      </c>
      <c r="W2" s="23">
        <f>'FS Jimbaran Nov 2019'!Y12</f>
        <v>600</v>
      </c>
      <c r="X2" s="23">
        <f>'FS Jimbaran Nov 2019'!Z12</f>
        <v>8284726</v>
      </c>
      <c r="Y2" s="23">
        <f>'FS Jimbaran Nov 2019'!AA12</f>
        <v>0</v>
      </c>
      <c r="Z2" s="23">
        <f>'FS Jimbaran Nov 2019'!AB12</f>
        <v>0</v>
      </c>
      <c r="AA2" s="23">
        <f>'FS Jimbaran Nov 2019'!AC12</f>
        <v>0</v>
      </c>
      <c r="AB2" s="23">
        <f>'FS Jimbaran Nov 2019'!AD12</f>
        <v>0</v>
      </c>
      <c r="AC2" s="23">
        <f>'FS Jimbaran Nov 2019'!AE12</f>
        <v>0</v>
      </c>
      <c r="AD2" s="23">
        <f>'FS Jimbaran Nov 2019'!AF12</f>
        <v>0</v>
      </c>
      <c r="AE2" s="23">
        <f>'FS Jimbaran Nov 2019'!AG12</f>
        <v>0</v>
      </c>
      <c r="AF2" s="23">
        <f>'FS Jimbaran Nov 2019'!AH12</f>
        <v>0</v>
      </c>
      <c r="AG2" s="23">
        <f>'FS Jimbaran Nov 2019'!AM12</f>
        <v>0</v>
      </c>
      <c r="AH2" s="23">
        <f>'FS Jimbaran Nov 2019'!AR12</f>
        <v>0</v>
      </c>
      <c r="AI2" s="23">
        <f>'FS Jimbaran Nov 2019'!AQ12</f>
        <v>0</v>
      </c>
      <c r="AJ2" s="23">
        <f>'FS Jimbaran Nov 2019'!AR12</f>
        <v>0</v>
      </c>
      <c r="AK2" s="23">
        <f>'FS Jimbaran Nov 2019'!AY12</f>
        <v>0</v>
      </c>
      <c r="AL2" s="23">
        <f>'FS Jimbaran Nov 2019'!AZ12</f>
        <v>0</v>
      </c>
      <c r="AM2" s="23">
        <f>'FS Jimbaran Nov 2019'!BB12</f>
        <v>0</v>
      </c>
      <c r="AN2" s="23">
        <f>'FS Jimbaran Nov 2019'!BB12</f>
        <v>0</v>
      </c>
      <c r="AO2" s="23">
        <f>'FS Jimbaran Nov 2019'!BK12</f>
        <v>0</v>
      </c>
      <c r="AP2" s="23">
        <f>'FS Jimbaran Nov 2019'!BL12</f>
        <v>0</v>
      </c>
      <c r="AQ2" s="23">
        <f>'FS Jimbaran Nov 2019'!BC12</f>
        <v>0</v>
      </c>
      <c r="AR2" s="23">
        <f>'FS Jimbaran Nov 2019'!BD12</f>
        <v>0</v>
      </c>
      <c r="AS2" s="23">
        <f>'FS Jimbaran Nov 2019'!BM12</f>
        <v>0</v>
      </c>
      <c r="AT2" s="23">
        <f>'FS Jimbaran Nov 2019'!BN12</f>
        <v>0</v>
      </c>
      <c r="AU2" s="23">
        <f>'FS Jimbaran Nov 2019'!BO12</f>
        <v>0</v>
      </c>
      <c r="AV2" s="23">
        <f>'FS Jimbaran Nov 2019'!BP12</f>
        <v>0</v>
      </c>
      <c r="AW2" s="23">
        <f>'FS Jimbaran Nov 2019'!E12</f>
        <v>77.400000000000006</v>
      </c>
      <c r="AX2" s="23">
        <f>'FS Jimbaran Nov 2019'!F12</f>
        <v>0</v>
      </c>
      <c r="AY2" s="23">
        <f>'FS Jimbaran Nov 2019'!O12</f>
        <v>0</v>
      </c>
      <c r="AZ2" s="23">
        <f>'FS Jimbaran Nov 2019'!P12</f>
        <v>0</v>
      </c>
      <c r="BA2" s="23">
        <f>'FS Jimbaran Nov 2019'!W12</f>
        <v>0</v>
      </c>
      <c r="BB2" s="23">
        <f>'FS Jimbaran Nov 2019'!X12</f>
        <v>0</v>
      </c>
      <c r="BC2" s="23">
        <f>'FS Jimbaran Nov 2019'!AI12</f>
        <v>670.00000000000011</v>
      </c>
      <c r="BD2" s="23">
        <f>'FS Jimbaran Nov 2019'!AJ12</f>
        <v>0</v>
      </c>
      <c r="BE2" s="23">
        <f>'FS Jimbaran Nov 2019'!AK12</f>
        <v>0</v>
      </c>
      <c r="BF2" s="23">
        <f>'FS Jimbaran Nov 2019'!AL12</f>
        <v>0</v>
      </c>
      <c r="BG2" s="23">
        <f>'FS Jimbaran Nov 2019'!AM12</f>
        <v>0</v>
      </c>
      <c r="BH2" s="23">
        <f>'FS Jimbaran Nov 2019'!AN12</f>
        <v>0</v>
      </c>
      <c r="BI2" s="23">
        <f>'FS Jimbaran Nov 2019'!AO12</f>
        <v>0</v>
      </c>
      <c r="BJ2" s="23">
        <f>'FS Jimbaran Nov 2019'!AO12</f>
        <v>0</v>
      </c>
      <c r="BK2" s="23">
        <f>'FS Jimbaran Nov 2019'!AQ12</f>
        <v>0</v>
      </c>
      <c r="BL2" s="23">
        <f>'FS Jimbaran Nov 2019'!AR12</f>
        <v>0</v>
      </c>
      <c r="BM2" s="23">
        <v>0</v>
      </c>
      <c r="BN2" s="23">
        <v>0</v>
      </c>
      <c r="BO2" s="24">
        <f>'FS Jimbaran Nov 2019'!Q12</f>
        <v>0</v>
      </c>
      <c r="BP2" s="23">
        <f>'FS Jimbaran Nov 2019'!R12</f>
        <v>0</v>
      </c>
    </row>
    <row r="3" spans="1:68">
      <c r="A3" s="18" t="s">
        <v>67</v>
      </c>
      <c r="B3" s="26">
        <f>B2+1</f>
        <v>2</v>
      </c>
      <c r="C3" s="27">
        <v>11</v>
      </c>
      <c r="D3" s="28">
        <v>2019</v>
      </c>
      <c r="E3" s="19">
        <f>'FS Jimbaran Nov 2019'!M13</f>
        <v>5.6</v>
      </c>
      <c r="F3" s="23">
        <f>'FS Jimbaran Nov 2019'!N13</f>
        <v>0</v>
      </c>
      <c r="G3" s="23">
        <v>0</v>
      </c>
      <c r="H3" s="23">
        <f>'FS Jimbaran Nov 2019'!H13</f>
        <v>0</v>
      </c>
      <c r="I3" s="23">
        <f>'FS Jimbaran Nov 2019'!I13</f>
        <v>0</v>
      </c>
      <c r="J3" s="23">
        <f>'FS Jimbaran Nov 2019'!J13</f>
        <v>0</v>
      </c>
      <c r="K3" s="23">
        <f>'FS Jimbaran Nov 2019'!K13</f>
        <v>90</v>
      </c>
      <c r="L3" s="23">
        <f>'FS Jimbaran Nov 2019'!L13</f>
        <v>0</v>
      </c>
      <c r="M3" s="23">
        <f>'FS Jimbaran Nov 2019'!S13</f>
        <v>0</v>
      </c>
      <c r="N3" s="23">
        <f>'FS Jimbaran Nov 2019'!T13</f>
        <v>0</v>
      </c>
      <c r="O3" s="23">
        <f>'FS Jimbaran Nov 2019'!U13</f>
        <v>17</v>
      </c>
      <c r="P3" s="23">
        <f>'FS Jimbaran Nov 2019'!V13</f>
        <v>0</v>
      </c>
      <c r="Q3" s="23">
        <f>'FS Jimbaran Nov 2019'!BE13</f>
        <v>0</v>
      </c>
      <c r="R3" s="23">
        <f>'FS Jimbaran Nov 2019'!BF13</f>
        <v>0</v>
      </c>
      <c r="S3" s="23">
        <f>'FS Jimbaran Nov 2019'!BH13</f>
        <v>0</v>
      </c>
      <c r="T3" s="23">
        <f>'FS Jimbaran Nov 2019'!BH13</f>
        <v>0</v>
      </c>
      <c r="U3" s="23">
        <f>'FS Jimbaran Nov 2019'!BI13</f>
        <v>0</v>
      </c>
      <c r="V3" s="23">
        <f>'FS Jimbaran Nov 2019'!BJ13</f>
        <v>0</v>
      </c>
      <c r="W3" s="23">
        <f>'FS Jimbaran Nov 2019'!Y13</f>
        <v>640</v>
      </c>
      <c r="X3" s="23">
        <f>'FS Jimbaran Nov 2019'!Z13</f>
        <v>0</v>
      </c>
      <c r="Y3" s="23">
        <f>'FS Jimbaran Nov 2019'!AA13</f>
        <v>0</v>
      </c>
      <c r="Z3" s="23">
        <f>'FS Jimbaran Nov 2019'!AB13</f>
        <v>0</v>
      </c>
      <c r="AA3" s="23">
        <f>'FS Jimbaran Nov 2019'!AC13</f>
        <v>0</v>
      </c>
      <c r="AB3" s="23">
        <f>'FS Jimbaran Nov 2019'!AD13</f>
        <v>0</v>
      </c>
      <c r="AC3" s="23">
        <f>'FS Jimbaran Nov 2019'!AE13</f>
        <v>0</v>
      </c>
      <c r="AD3" s="23">
        <f>'FS Jimbaran Nov 2019'!AF13</f>
        <v>0</v>
      </c>
      <c r="AE3" s="23">
        <f>'FS Jimbaran Nov 2019'!AG13</f>
        <v>0</v>
      </c>
      <c r="AF3" s="23">
        <f>'FS Jimbaran Nov 2019'!AH13</f>
        <v>0</v>
      </c>
      <c r="AG3" s="23">
        <f>'FS Jimbaran Nov 2019'!AM13</f>
        <v>0</v>
      </c>
      <c r="AH3" s="23">
        <f>'FS Jimbaran Nov 2019'!AR13</f>
        <v>0</v>
      </c>
      <c r="AI3" s="23">
        <f>'FS Jimbaran Nov 2019'!AQ13</f>
        <v>0</v>
      </c>
      <c r="AJ3" s="23">
        <f>'FS Jimbaran Nov 2019'!AR13</f>
        <v>0</v>
      </c>
      <c r="AK3" s="23">
        <f>'FS Jimbaran Nov 2019'!AY13</f>
        <v>0</v>
      </c>
      <c r="AL3" s="23">
        <f>'FS Jimbaran Nov 2019'!AZ13</f>
        <v>0</v>
      </c>
      <c r="AM3" s="23">
        <f>'FS Jimbaran Nov 2019'!BB13</f>
        <v>0</v>
      </c>
      <c r="AN3" s="23">
        <f>'FS Jimbaran Nov 2019'!BB13</f>
        <v>0</v>
      </c>
      <c r="AO3" s="23">
        <f>'FS Jimbaran Nov 2019'!BK13</f>
        <v>0</v>
      </c>
      <c r="AP3" s="23">
        <f>'FS Jimbaran Nov 2019'!BL13</f>
        <v>0</v>
      </c>
      <c r="AQ3" s="23">
        <f>'FS Jimbaran Nov 2019'!BC13</f>
        <v>0</v>
      </c>
      <c r="AR3" s="23">
        <f>'FS Jimbaran Nov 2019'!BD13</f>
        <v>0</v>
      </c>
      <c r="AS3" s="23">
        <f>'FS Jimbaran Nov 2019'!BM13</f>
        <v>0</v>
      </c>
      <c r="AT3" s="23">
        <f>'FS Jimbaran Nov 2019'!BN13</f>
        <v>0</v>
      </c>
      <c r="AU3" s="23">
        <f>'FS Jimbaran Nov 2019'!BO13</f>
        <v>0</v>
      </c>
      <c r="AV3" s="23">
        <f>'FS Jimbaran Nov 2019'!BP13</f>
        <v>0</v>
      </c>
      <c r="AW3" s="23">
        <f>'FS Jimbaran Nov 2019'!E13</f>
        <v>70.7</v>
      </c>
      <c r="AX3" s="23">
        <f>'FS Jimbaran Nov 2019'!F13</f>
        <v>0</v>
      </c>
      <c r="AY3" s="23">
        <f>'FS Jimbaran Nov 2019'!O13</f>
        <v>0</v>
      </c>
      <c r="AZ3" s="23">
        <f>'FS Jimbaran Nov 2019'!P13</f>
        <v>0</v>
      </c>
      <c r="BA3" s="23">
        <f>'FS Jimbaran Nov 2019'!W13</f>
        <v>0</v>
      </c>
      <c r="BB3" s="23">
        <f>'FS Jimbaran Nov 2019'!X13</f>
        <v>0</v>
      </c>
      <c r="BC3" s="23">
        <f>'FS Jimbaran Nov 2019'!AI13</f>
        <v>600</v>
      </c>
      <c r="BD3" s="23">
        <f>'FS Jimbaran Nov 2019'!AJ13</f>
        <v>0</v>
      </c>
      <c r="BE3" s="23">
        <f>'FS Jimbaran Nov 2019'!AK13</f>
        <v>0</v>
      </c>
      <c r="BF3" s="23">
        <f>'FS Jimbaran Nov 2019'!AL13</f>
        <v>0</v>
      </c>
      <c r="BG3" s="23">
        <f>'FS Jimbaran Nov 2019'!AM13</f>
        <v>0</v>
      </c>
      <c r="BH3" s="23">
        <f>'FS Jimbaran Nov 2019'!AN13</f>
        <v>0</v>
      </c>
      <c r="BI3" s="23">
        <f>'FS Jimbaran Nov 2019'!AO13</f>
        <v>0</v>
      </c>
      <c r="BJ3" s="23">
        <f>'FS Jimbaran Nov 2019'!AO13</f>
        <v>0</v>
      </c>
      <c r="BK3" s="23">
        <f>'FS Jimbaran Nov 2019'!AQ13</f>
        <v>0</v>
      </c>
      <c r="BL3" s="23">
        <f>'FS Jimbaran Nov 2019'!AR13</f>
        <v>0</v>
      </c>
      <c r="BM3" s="23">
        <v>0</v>
      </c>
      <c r="BN3" s="23">
        <v>0</v>
      </c>
      <c r="BO3" s="24">
        <f>'FS Jimbaran Nov 2019'!Q13</f>
        <v>0</v>
      </c>
      <c r="BP3" s="23">
        <f>'FS Jimbaran Nov 2019'!R13</f>
        <v>0</v>
      </c>
    </row>
    <row r="4" spans="1:68">
      <c r="A4" s="18" t="s">
        <v>67</v>
      </c>
      <c r="B4" s="26">
        <f t="shared" ref="B4:B31" si="0">B3+1</f>
        <v>3</v>
      </c>
      <c r="C4" s="27">
        <v>11</v>
      </c>
      <c r="D4" s="28">
        <v>2019</v>
      </c>
      <c r="E4" s="19">
        <f>'FS Jimbaran Nov 2019'!M14</f>
        <v>2.6</v>
      </c>
      <c r="F4" s="23">
        <f>'FS Jimbaran Nov 2019'!N14</f>
        <v>0</v>
      </c>
      <c r="G4" s="23">
        <v>0</v>
      </c>
      <c r="H4" s="23">
        <f>'FS Jimbaran Nov 2019'!H14</f>
        <v>0</v>
      </c>
      <c r="I4" s="23">
        <f>'FS Jimbaran Nov 2019'!I14</f>
        <v>0</v>
      </c>
      <c r="J4" s="23">
        <f>'FS Jimbaran Nov 2019'!J14</f>
        <v>0</v>
      </c>
      <c r="K4" s="23">
        <f>'FS Jimbaran Nov 2019'!K14</f>
        <v>80</v>
      </c>
      <c r="L4" s="23">
        <f>'FS Jimbaran Nov 2019'!L14</f>
        <v>0</v>
      </c>
      <c r="M4" s="23">
        <f>'FS Jimbaran Nov 2019'!S14</f>
        <v>0</v>
      </c>
      <c r="N4" s="23">
        <f>'FS Jimbaran Nov 2019'!T14</f>
        <v>0</v>
      </c>
      <c r="O4" s="23">
        <f>'FS Jimbaran Nov 2019'!U14</f>
        <v>12.5</v>
      </c>
      <c r="P4" s="23">
        <f>'FS Jimbaran Nov 2019'!V14</f>
        <v>0</v>
      </c>
      <c r="Q4" s="23">
        <f>'FS Jimbaran Nov 2019'!BE14</f>
        <v>0</v>
      </c>
      <c r="R4" s="23">
        <f>'FS Jimbaran Nov 2019'!BF14</f>
        <v>0</v>
      </c>
      <c r="S4" s="23">
        <f>'FS Jimbaran Nov 2019'!BH14</f>
        <v>0</v>
      </c>
      <c r="T4" s="23">
        <f>'FS Jimbaran Nov 2019'!BH14</f>
        <v>0</v>
      </c>
      <c r="U4" s="23">
        <f>'FS Jimbaran Nov 2019'!BI14</f>
        <v>0</v>
      </c>
      <c r="V4" s="23">
        <f>'FS Jimbaran Nov 2019'!BJ14</f>
        <v>0</v>
      </c>
      <c r="W4" s="23">
        <f>'FS Jimbaran Nov 2019'!Y14</f>
        <v>608</v>
      </c>
      <c r="X4" s="23">
        <f>'FS Jimbaran Nov 2019'!Z14</f>
        <v>0</v>
      </c>
      <c r="Y4" s="23">
        <f>'FS Jimbaran Nov 2019'!AA14</f>
        <v>0</v>
      </c>
      <c r="Z4" s="23">
        <f>'FS Jimbaran Nov 2019'!AB14</f>
        <v>0</v>
      </c>
      <c r="AA4" s="23">
        <f>'FS Jimbaran Nov 2019'!AC14</f>
        <v>0</v>
      </c>
      <c r="AB4" s="23">
        <f>'FS Jimbaran Nov 2019'!AD14</f>
        <v>0</v>
      </c>
      <c r="AC4" s="23">
        <f>'FS Jimbaran Nov 2019'!AE14</f>
        <v>0</v>
      </c>
      <c r="AD4" s="23">
        <f>'FS Jimbaran Nov 2019'!AF14</f>
        <v>0</v>
      </c>
      <c r="AE4" s="23">
        <f>'FS Jimbaran Nov 2019'!AG14</f>
        <v>0</v>
      </c>
      <c r="AF4" s="23">
        <f>'FS Jimbaran Nov 2019'!AH14</f>
        <v>0</v>
      </c>
      <c r="AG4" s="23">
        <f>'FS Jimbaran Nov 2019'!AM14</f>
        <v>0</v>
      </c>
      <c r="AH4" s="23">
        <f>'FS Jimbaran Nov 2019'!AR14</f>
        <v>0</v>
      </c>
      <c r="AI4" s="23">
        <f>'FS Jimbaran Nov 2019'!AQ14</f>
        <v>0</v>
      </c>
      <c r="AJ4" s="23">
        <f>'FS Jimbaran Nov 2019'!AR14</f>
        <v>0</v>
      </c>
      <c r="AK4" s="23">
        <f>'FS Jimbaran Nov 2019'!AY14</f>
        <v>0</v>
      </c>
      <c r="AL4" s="23">
        <f>'FS Jimbaran Nov 2019'!AZ14</f>
        <v>0</v>
      </c>
      <c r="AM4" s="23">
        <f>'FS Jimbaran Nov 2019'!BB14</f>
        <v>0</v>
      </c>
      <c r="AN4" s="23">
        <f>'FS Jimbaran Nov 2019'!BB14</f>
        <v>0</v>
      </c>
      <c r="AO4" s="23">
        <f>'FS Jimbaran Nov 2019'!BK14</f>
        <v>0</v>
      </c>
      <c r="AP4" s="23">
        <f>'FS Jimbaran Nov 2019'!BL14</f>
        <v>0</v>
      </c>
      <c r="AQ4" s="23">
        <f>'FS Jimbaran Nov 2019'!BC14</f>
        <v>0</v>
      </c>
      <c r="AR4" s="23">
        <f>'FS Jimbaran Nov 2019'!BD14</f>
        <v>0</v>
      </c>
      <c r="AS4" s="23">
        <f>'FS Jimbaran Nov 2019'!BM14</f>
        <v>0</v>
      </c>
      <c r="AT4" s="23">
        <f>'FS Jimbaran Nov 2019'!BN14</f>
        <v>0</v>
      </c>
      <c r="AU4" s="23">
        <f>'FS Jimbaran Nov 2019'!BO14</f>
        <v>0</v>
      </c>
      <c r="AV4" s="23">
        <f>'FS Jimbaran Nov 2019'!BP14</f>
        <v>0</v>
      </c>
      <c r="AW4" s="23">
        <f>'FS Jimbaran Nov 2019'!E14</f>
        <v>96.6</v>
      </c>
      <c r="AX4" s="23">
        <f>'FS Jimbaran Nov 2019'!F14</f>
        <v>0</v>
      </c>
      <c r="AY4" s="23">
        <f>'FS Jimbaran Nov 2019'!O14</f>
        <v>0</v>
      </c>
      <c r="AZ4" s="23">
        <f>'FS Jimbaran Nov 2019'!P14</f>
        <v>0</v>
      </c>
      <c r="BA4" s="23">
        <f>'FS Jimbaran Nov 2019'!W14</f>
        <v>0</v>
      </c>
      <c r="BB4" s="23">
        <f>'FS Jimbaran Nov 2019'!X14</f>
        <v>0</v>
      </c>
      <c r="BC4" s="23">
        <f>'FS Jimbaran Nov 2019'!AI14</f>
        <v>640</v>
      </c>
      <c r="BD4" s="23">
        <f>'FS Jimbaran Nov 2019'!AJ14</f>
        <v>0</v>
      </c>
      <c r="BE4" s="23">
        <f>'FS Jimbaran Nov 2019'!AK14</f>
        <v>0</v>
      </c>
      <c r="BF4" s="23">
        <f>'FS Jimbaran Nov 2019'!AL14</f>
        <v>0</v>
      </c>
      <c r="BG4" s="23">
        <f>'FS Jimbaran Nov 2019'!AM14</f>
        <v>0</v>
      </c>
      <c r="BH4" s="23">
        <f>'FS Jimbaran Nov 2019'!AN14</f>
        <v>0</v>
      </c>
      <c r="BI4" s="23">
        <f>'FS Jimbaran Nov 2019'!AO14</f>
        <v>0</v>
      </c>
      <c r="BJ4" s="23">
        <f>'FS Jimbaran Nov 2019'!AO14</f>
        <v>0</v>
      </c>
      <c r="BK4" s="23">
        <f>'FS Jimbaran Nov 2019'!AQ14</f>
        <v>0</v>
      </c>
      <c r="BL4" s="23">
        <f>'FS Jimbaran Nov 2019'!AR14</f>
        <v>0</v>
      </c>
      <c r="BM4" s="23">
        <v>0</v>
      </c>
      <c r="BN4" s="23">
        <v>0</v>
      </c>
      <c r="BO4" s="24">
        <f>'FS Jimbaran Nov 2019'!Q14</f>
        <v>0</v>
      </c>
      <c r="BP4" s="23">
        <f>'FS Jimbaran Nov 2019'!R14</f>
        <v>0</v>
      </c>
    </row>
    <row r="5" spans="1:68">
      <c r="A5" s="18" t="s">
        <v>67</v>
      </c>
      <c r="B5" s="26">
        <f t="shared" si="0"/>
        <v>4</v>
      </c>
      <c r="C5" s="27">
        <v>11</v>
      </c>
      <c r="D5" s="28">
        <v>2019</v>
      </c>
      <c r="E5" s="19">
        <f>'FS Jimbaran Nov 2019'!M15</f>
        <v>5</v>
      </c>
      <c r="F5" s="23">
        <f>'FS Jimbaran Nov 2019'!N15</f>
        <v>0</v>
      </c>
      <c r="G5" s="23">
        <v>0</v>
      </c>
      <c r="H5" s="23">
        <f>'FS Jimbaran Nov 2019'!H15</f>
        <v>0</v>
      </c>
      <c r="I5" s="23">
        <f>'FS Jimbaran Nov 2019'!I15</f>
        <v>0</v>
      </c>
      <c r="J5" s="23">
        <f>'FS Jimbaran Nov 2019'!J15</f>
        <v>0</v>
      </c>
      <c r="K5" s="23">
        <f>'FS Jimbaran Nov 2019'!K15</f>
        <v>80</v>
      </c>
      <c r="L5" s="23">
        <f>'FS Jimbaran Nov 2019'!L15</f>
        <v>0</v>
      </c>
      <c r="M5" s="23">
        <f>'FS Jimbaran Nov 2019'!S15</f>
        <v>0</v>
      </c>
      <c r="N5" s="23">
        <f>'FS Jimbaran Nov 2019'!T15</f>
        <v>0</v>
      </c>
      <c r="O5" s="23">
        <f>'FS Jimbaran Nov 2019'!U15</f>
        <v>6.5</v>
      </c>
      <c r="P5" s="23">
        <f>'FS Jimbaran Nov 2019'!V15</f>
        <v>0</v>
      </c>
      <c r="Q5" s="23">
        <f>'FS Jimbaran Nov 2019'!BE15</f>
        <v>0</v>
      </c>
      <c r="R5" s="23">
        <f>'FS Jimbaran Nov 2019'!BF15</f>
        <v>0</v>
      </c>
      <c r="S5" s="23">
        <f>'FS Jimbaran Nov 2019'!BH15</f>
        <v>0</v>
      </c>
      <c r="T5" s="23">
        <f>'FS Jimbaran Nov 2019'!BH15</f>
        <v>0</v>
      </c>
      <c r="U5" s="23">
        <f>'FS Jimbaran Nov 2019'!BI15</f>
        <v>0</v>
      </c>
      <c r="V5" s="23">
        <f>'FS Jimbaran Nov 2019'!BJ15</f>
        <v>0</v>
      </c>
      <c r="W5" s="23">
        <f>'FS Jimbaran Nov 2019'!Y15</f>
        <v>592</v>
      </c>
      <c r="X5" s="23">
        <f>'FS Jimbaran Nov 2019'!Z15</f>
        <v>0</v>
      </c>
      <c r="Y5" s="23">
        <f>'FS Jimbaran Nov 2019'!AA15</f>
        <v>0</v>
      </c>
      <c r="Z5" s="23">
        <f>'FS Jimbaran Nov 2019'!AB15</f>
        <v>0</v>
      </c>
      <c r="AA5" s="23">
        <f>'FS Jimbaran Nov 2019'!AC15</f>
        <v>0</v>
      </c>
      <c r="AB5" s="23">
        <f>'FS Jimbaran Nov 2019'!AD15</f>
        <v>0</v>
      </c>
      <c r="AC5" s="23">
        <f>'FS Jimbaran Nov 2019'!AE15</f>
        <v>0</v>
      </c>
      <c r="AD5" s="23">
        <f>'FS Jimbaran Nov 2019'!AF15</f>
        <v>0</v>
      </c>
      <c r="AE5" s="23">
        <f>'FS Jimbaran Nov 2019'!AG15</f>
        <v>0</v>
      </c>
      <c r="AF5" s="23">
        <f>'FS Jimbaran Nov 2019'!AH15</f>
        <v>0</v>
      </c>
      <c r="AG5" s="23">
        <f>'FS Jimbaran Nov 2019'!AM15</f>
        <v>0</v>
      </c>
      <c r="AH5" s="23">
        <f>'FS Jimbaran Nov 2019'!AR15</f>
        <v>0</v>
      </c>
      <c r="AI5" s="23">
        <f>'FS Jimbaran Nov 2019'!AQ15</f>
        <v>0</v>
      </c>
      <c r="AJ5" s="23">
        <f>'FS Jimbaran Nov 2019'!AR15</f>
        <v>0</v>
      </c>
      <c r="AK5" s="23">
        <f>'FS Jimbaran Nov 2019'!AY15</f>
        <v>0</v>
      </c>
      <c r="AL5" s="23">
        <f>'FS Jimbaran Nov 2019'!AZ15</f>
        <v>0</v>
      </c>
      <c r="AM5" s="23">
        <f>'FS Jimbaran Nov 2019'!BB15</f>
        <v>0</v>
      </c>
      <c r="AN5" s="23">
        <f>'FS Jimbaran Nov 2019'!BB15</f>
        <v>0</v>
      </c>
      <c r="AO5" s="23">
        <f>'FS Jimbaran Nov 2019'!BK15</f>
        <v>0</v>
      </c>
      <c r="AP5" s="23">
        <f>'FS Jimbaran Nov 2019'!BL15</f>
        <v>0</v>
      </c>
      <c r="AQ5" s="23">
        <f>'FS Jimbaran Nov 2019'!BC15</f>
        <v>0</v>
      </c>
      <c r="AR5" s="23">
        <f>'FS Jimbaran Nov 2019'!BD15</f>
        <v>0</v>
      </c>
      <c r="AS5" s="23">
        <f>'FS Jimbaran Nov 2019'!BM15</f>
        <v>0</v>
      </c>
      <c r="AT5" s="23">
        <f>'FS Jimbaran Nov 2019'!BN15</f>
        <v>0</v>
      </c>
      <c r="AU5" s="23">
        <f>'FS Jimbaran Nov 2019'!BO15</f>
        <v>0</v>
      </c>
      <c r="AV5" s="23">
        <f>'FS Jimbaran Nov 2019'!BP15</f>
        <v>0</v>
      </c>
      <c r="AW5" s="23">
        <f>'FS Jimbaran Nov 2019'!E15</f>
        <v>72.400000000000006</v>
      </c>
      <c r="AX5" s="23">
        <f>'FS Jimbaran Nov 2019'!F15</f>
        <v>0</v>
      </c>
      <c r="AY5" s="23">
        <f>'FS Jimbaran Nov 2019'!O15</f>
        <v>0</v>
      </c>
      <c r="AZ5" s="23">
        <f>'FS Jimbaran Nov 2019'!P15</f>
        <v>0</v>
      </c>
      <c r="BA5" s="23">
        <f>'FS Jimbaran Nov 2019'!W15</f>
        <v>0</v>
      </c>
      <c r="BB5" s="23">
        <f>'FS Jimbaran Nov 2019'!X15</f>
        <v>0</v>
      </c>
      <c r="BC5" s="23">
        <f>'FS Jimbaran Nov 2019'!AI15</f>
        <v>600</v>
      </c>
      <c r="BD5" s="23">
        <f>'FS Jimbaran Nov 2019'!AJ15</f>
        <v>0</v>
      </c>
      <c r="BE5" s="23">
        <f>'FS Jimbaran Nov 2019'!AK15</f>
        <v>0</v>
      </c>
      <c r="BF5" s="23">
        <f>'FS Jimbaran Nov 2019'!AL15</f>
        <v>0</v>
      </c>
      <c r="BG5" s="23">
        <f>'FS Jimbaran Nov 2019'!AM15</f>
        <v>0</v>
      </c>
      <c r="BH5" s="23">
        <f>'FS Jimbaran Nov 2019'!AN15</f>
        <v>0</v>
      </c>
      <c r="BI5" s="23">
        <f>'FS Jimbaran Nov 2019'!AO15</f>
        <v>0</v>
      </c>
      <c r="BJ5" s="23">
        <f>'FS Jimbaran Nov 2019'!AO15</f>
        <v>0</v>
      </c>
      <c r="BK5" s="23">
        <f>'FS Jimbaran Nov 2019'!AQ15</f>
        <v>0</v>
      </c>
      <c r="BL5" s="23">
        <f>'FS Jimbaran Nov 2019'!AR15</f>
        <v>0</v>
      </c>
      <c r="BM5" s="23">
        <v>0</v>
      </c>
      <c r="BN5" s="23">
        <v>0</v>
      </c>
      <c r="BO5" s="24">
        <f>'FS Jimbaran Nov 2019'!Q15</f>
        <v>0</v>
      </c>
      <c r="BP5" s="23">
        <f>'FS Jimbaran Nov 2019'!R15</f>
        <v>0</v>
      </c>
    </row>
    <row r="6" spans="1:68">
      <c r="A6" s="18" t="s">
        <v>67</v>
      </c>
      <c r="B6" s="26">
        <f t="shared" si="0"/>
        <v>5</v>
      </c>
      <c r="C6" s="27">
        <v>11</v>
      </c>
      <c r="D6" s="28">
        <v>2019</v>
      </c>
      <c r="E6" s="19">
        <f>'FS Jimbaran Nov 2019'!M16</f>
        <v>4.6999999999999993</v>
      </c>
      <c r="F6" s="23">
        <f>'FS Jimbaran Nov 2019'!N16</f>
        <v>0</v>
      </c>
      <c r="G6" s="23">
        <v>0</v>
      </c>
      <c r="H6" s="23">
        <f>'FS Jimbaran Nov 2019'!H16</f>
        <v>0</v>
      </c>
      <c r="I6" s="23">
        <f>'FS Jimbaran Nov 2019'!I16</f>
        <v>0</v>
      </c>
      <c r="J6" s="23">
        <f>'FS Jimbaran Nov 2019'!J16</f>
        <v>0</v>
      </c>
      <c r="K6" s="23">
        <f>'FS Jimbaran Nov 2019'!K16</f>
        <v>91</v>
      </c>
      <c r="L6" s="23">
        <f>'FS Jimbaran Nov 2019'!L16</f>
        <v>0</v>
      </c>
      <c r="M6" s="23">
        <f>'FS Jimbaran Nov 2019'!S16</f>
        <v>0</v>
      </c>
      <c r="N6" s="23">
        <f>'FS Jimbaran Nov 2019'!T16</f>
        <v>0</v>
      </c>
      <c r="O6" s="23">
        <f>'FS Jimbaran Nov 2019'!U16</f>
        <v>18</v>
      </c>
      <c r="P6" s="23">
        <f>'FS Jimbaran Nov 2019'!V16</f>
        <v>0</v>
      </c>
      <c r="Q6" s="23">
        <f>'FS Jimbaran Nov 2019'!BE16</f>
        <v>0</v>
      </c>
      <c r="R6" s="23">
        <f>'FS Jimbaran Nov 2019'!BF16</f>
        <v>0</v>
      </c>
      <c r="S6" s="23">
        <f>'FS Jimbaran Nov 2019'!BH16</f>
        <v>0</v>
      </c>
      <c r="T6" s="23">
        <f>'FS Jimbaran Nov 2019'!BH16</f>
        <v>0</v>
      </c>
      <c r="U6" s="23">
        <f>'FS Jimbaran Nov 2019'!BI16</f>
        <v>0</v>
      </c>
      <c r="V6" s="23">
        <f>'FS Jimbaran Nov 2019'!BJ16</f>
        <v>0</v>
      </c>
      <c r="W6" s="23">
        <f>'FS Jimbaran Nov 2019'!Y16</f>
        <v>624</v>
      </c>
      <c r="X6" s="23">
        <f>'FS Jimbaran Nov 2019'!Z16</f>
        <v>0</v>
      </c>
      <c r="Y6" s="23">
        <f>'FS Jimbaran Nov 2019'!AA16</f>
        <v>0</v>
      </c>
      <c r="Z6" s="23">
        <f>'FS Jimbaran Nov 2019'!AB16</f>
        <v>0</v>
      </c>
      <c r="AA6" s="23">
        <f>'FS Jimbaran Nov 2019'!AC16</f>
        <v>0</v>
      </c>
      <c r="AB6" s="23">
        <f>'FS Jimbaran Nov 2019'!AD16</f>
        <v>0</v>
      </c>
      <c r="AC6" s="23">
        <f>'FS Jimbaran Nov 2019'!AE16</f>
        <v>0</v>
      </c>
      <c r="AD6" s="23">
        <f>'FS Jimbaran Nov 2019'!AF16</f>
        <v>0</v>
      </c>
      <c r="AE6" s="23">
        <f>'FS Jimbaran Nov 2019'!AG16</f>
        <v>0</v>
      </c>
      <c r="AF6" s="23">
        <f>'FS Jimbaran Nov 2019'!AH16</f>
        <v>0</v>
      </c>
      <c r="AG6" s="23">
        <f>'FS Jimbaran Nov 2019'!AM16</f>
        <v>0</v>
      </c>
      <c r="AH6" s="23">
        <f>'FS Jimbaran Nov 2019'!AR16</f>
        <v>0</v>
      </c>
      <c r="AI6" s="23">
        <f>'FS Jimbaran Nov 2019'!AQ16</f>
        <v>0</v>
      </c>
      <c r="AJ6" s="23">
        <f>'FS Jimbaran Nov 2019'!AR16</f>
        <v>0</v>
      </c>
      <c r="AK6" s="23">
        <f>'FS Jimbaran Nov 2019'!AY16</f>
        <v>0</v>
      </c>
      <c r="AL6" s="23">
        <f>'FS Jimbaran Nov 2019'!AZ16</f>
        <v>0</v>
      </c>
      <c r="AM6" s="23">
        <f>'FS Jimbaran Nov 2019'!BB16</f>
        <v>0</v>
      </c>
      <c r="AN6" s="23">
        <f>'FS Jimbaran Nov 2019'!BB16</f>
        <v>0</v>
      </c>
      <c r="AO6" s="23">
        <f>'FS Jimbaran Nov 2019'!BK16</f>
        <v>0</v>
      </c>
      <c r="AP6" s="23">
        <f>'FS Jimbaran Nov 2019'!BL16</f>
        <v>0</v>
      </c>
      <c r="AQ6" s="23">
        <f>'FS Jimbaran Nov 2019'!BC16</f>
        <v>0</v>
      </c>
      <c r="AR6" s="23">
        <f>'FS Jimbaran Nov 2019'!BD16</f>
        <v>0</v>
      </c>
      <c r="AS6" s="23">
        <f>'FS Jimbaran Nov 2019'!BM16</f>
        <v>0</v>
      </c>
      <c r="AT6" s="23">
        <f>'FS Jimbaran Nov 2019'!BN16</f>
        <v>0</v>
      </c>
      <c r="AU6" s="23">
        <f>'FS Jimbaran Nov 2019'!BO16</f>
        <v>0</v>
      </c>
      <c r="AV6" s="23">
        <f>'FS Jimbaran Nov 2019'!BP16</f>
        <v>0</v>
      </c>
      <c r="AW6" s="23">
        <f>'FS Jimbaran Nov 2019'!E16</f>
        <v>86.1</v>
      </c>
      <c r="AX6" s="23">
        <f>'FS Jimbaran Nov 2019'!F16</f>
        <v>0</v>
      </c>
      <c r="AY6" s="23">
        <f>'FS Jimbaran Nov 2019'!O16</f>
        <v>0</v>
      </c>
      <c r="AZ6" s="23">
        <f>'FS Jimbaran Nov 2019'!P16</f>
        <v>0</v>
      </c>
      <c r="BA6" s="23">
        <f>'FS Jimbaran Nov 2019'!W16</f>
        <v>0</v>
      </c>
      <c r="BB6" s="23">
        <f>'FS Jimbaran Nov 2019'!X16</f>
        <v>0</v>
      </c>
      <c r="BC6" s="23">
        <f>'FS Jimbaran Nov 2019'!AI16</f>
        <v>530</v>
      </c>
      <c r="BD6" s="23">
        <f>'FS Jimbaran Nov 2019'!AJ16</f>
        <v>0</v>
      </c>
      <c r="BE6" s="23">
        <f>'FS Jimbaran Nov 2019'!AK16</f>
        <v>0</v>
      </c>
      <c r="BF6" s="23">
        <f>'FS Jimbaran Nov 2019'!AL16</f>
        <v>0</v>
      </c>
      <c r="BG6" s="23">
        <f>'FS Jimbaran Nov 2019'!AM16</f>
        <v>0</v>
      </c>
      <c r="BH6" s="23">
        <f>'FS Jimbaran Nov 2019'!AN16</f>
        <v>0</v>
      </c>
      <c r="BI6" s="23">
        <f>'FS Jimbaran Nov 2019'!AO16</f>
        <v>0</v>
      </c>
      <c r="BJ6" s="23">
        <f>'FS Jimbaran Nov 2019'!AO16</f>
        <v>0</v>
      </c>
      <c r="BK6" s="23">
        <f>'FS Jimbaran Nov 2019'!AQ16</f>
        <v>0</v>
      </c>
      <c r="BL6" s="23">
        <f>'FS Jimbaran Nov 2019'!AR16</f>
        <v>0</v>
      </c>
      <c r="BM6" s="23">
        <v>0</v>
      </c>
      <c r="BN6" s="23">
        <v>0</v>
      </c>
      <c r="BO6" s="24">
        <f>'FS Jimbaran Nov 2019'!Q16</f>
        <v>0</v>
      </c>
      <c r="BP6" s="23">
        <f>'FS Jimbaran Nov 2019'!R16</f>
        <v>0</v>
      </c>
    </row>
    <row r="7" spans="1:68">
      <c r="A7" s="18" t="s">
        <v>67</v>
      </c>
      <c r="B7" s="26">
        <f t="shared" si="0"/>
        <v>6</v>
      </c>
      <c r="C7" s="27">
        <v>11</v>
      </c>
      <c r="D7" s="28">
        <v>2019</v>
      </c>
      <c r="E7" s="19">
        <f>'FS Jimbaran Nov 2019'!M17</f>
        <v>6.3</v>
      </c>
      <c r="F7" s="23">
        <f>'FS Jimbaran Nov 2019'!N17</f>
        <v>0</v>
      </c>
      <c r="G7" s="23">
        <v>0</v>
      </c>
      <c r="H7" s="23">
        <f>'FS Jimbaran Nov 2019'!H17</f>
        <v>0</v>
      </c>
      <c r="I7" s="23">
        <f>'FS Jimbaran Nov 2019'!I17</f>
        <v>0</v>
      </c>
      <c r="J7" s="23">
        <f>'FS Jimbaran Nov 2019'!J17</f>
        <v>0</v>
      </c>
      <c r="K7" s="23">
        <f>'FS Jimbaran Nov 2019'!K17</f>
        <v>85</v>
      </c>
      <c r="L7" s="23">
        <f>'FS Jimbaran Nov 2019'!L17</f>
        <v>0</v>
      </c>
      <c r="M7" s="23">
        <f>'FS Jimbaran Nov 2019'!S17</f>
        <v>0</v>
      </c>
      <c r="N7" s="23">
        <f>'FS Jimbaran Nov 2019'!T17</f>
        <v>0</v>
      </c>
      <c r="O7" s="23">
        <f>'FS Jimbaran Nov 2019'!U17</f>
        <v>11</v>
      </c>
      <c r="P7" s="23">
        <f>'FS Jimbaran Nov 2019'!V17</f>
        <v>0</v>
      </c>
      <c r="Q7" s="23">
        <f>'FS Jimbaran Nov 2019'!BE17</f>
        <v>0</v>
      </c>
      <c r="R7" s="23">
        <f>'FS Jimbaran Nov 2019'!BF17</f>
        <v>0</v>
      </c>
      <c r="S7" s="23">
        <f>'FS Jimbaran Nov 2019'!BH17</f>
        <v>0</v>
      </c>
      <c r="T7" s="23">
        <f>'FS Jimbaran Nov 2019'!BH17</f>
        <v>0</v>
      </c>
      <c r="U7" s="23">
        <f>'FS Jimbaran Nov 2019'!BI17</f>
        <v>0</v>
      </c>
      <c r="V7" s="23">
        <f>'FS Jimbaran Nov 2019'!BJ17</f>
        <v>0</v>
      </c>
      <c r="W7" s="23">
        <f>'FS Jimbaran Nov 2019'!Y17</f>
        <v>640</v>
      </c>
      <c r="X7" s="23">
        <f>'FS Jimbaran Nov 2019'!Z17</f>
        <v>0</v>
      </c>
      <c r="Y7" s="23">
        <f>'FS Jimbaran Nov 2019'!AA17</f>
        <v>0</v>
      </c>
      <c r="Z7" s="23">
        <f>'FS Jimbaran Nov 2019'!AB17</f>
        <v>0</v>
      </c>
      <c r="AA7" s="23">
        <f>'FS Jimbaran Nov 2019'!AC17</f>
        <v>0</v>
      </c>
      <c r="AB7" s="23">
        <f>'FS Jimbaran Nov 2019'!AD17</f>
        <v>0</v>
      </c>
      <c r="AC7" s="23">
        <f>'FS Jimbaran Nov 2019'!AE17</f>
        <v>0</v>
      </c>
      <c r="AD7" s="23">
        <f>'FS Jimbaran Nov 2019'!AF17</f>
        <v>0</v>
      </c>
      <c r="AE7" s="23">
        <f>'FS Jimbaran Nov 2019'!AG17</f>
        <v>0</v>
      </c>
      <c r="AF7" s="23">
        <f>'FS Jimbaran Nov 2019'!AH17</f>
        <v>0</v>
      </c>
      <c r="AG7" s="23">
        <f>'FS Jimbaran Nov 2019'!AM17</f>
        <v>0</v>
      </c>
      <c r="AH7" s="23">
        <f>'FS Jimbaran Nov 2019'!AR17</f>
        <v>0</v>
      </c>
      <c r="AI7" s="23">
        <f>'FS Jimbaran Nov 2019'!AQ17</f>
        <v>0</v>
      </c>
      <c r="AJ7" s="23">
        <f>'FS Jimbaran Nov 2019'!AR17</f>
        <v>0</v>
      </c>
      <c r="AK7" s="23">
        <f>'FS Jimbaran Nov 2019'!AY17</f>
        <v>0</v>
      </c>
      <c r="AL7" s="23">
        <f>'FS Jimbaran Nov 2019'!AZ17</f>
        <v>0</v>
      </c>
      <c r="AM7" s="23">
        <f>'FS Jimbaran Nov 2019'!BB17</f>
        <v>0</v>
      </c>
      <c r="AN7" s="23">
        <f>'FS Jimbaran Nov 2019'!BB17</f>
        <v>0</v>
      </c>
      <c r="AO7" s="23">
        <f>'FS Jimbaran Nov 2019'!BK17</f>
        <v>0</v>
      </c>
      <c r="AP7" s="23">
        <f>'FS Jimbaran Nov 2019'!BL17</f>
        <v>0</v>
      </c>
      <c r="AQ7" s="23">
        <f>'FS Jimbaran Nov 2019'!BC17</f>
        <v>0</v>
      </c>
      <c r="AR7" s="23">
        <f>'FS Jimbaran Nov 2019'!BD17</f>
        <v>0</v>
      </c>
      <c r="AS7" s="23">
        <f>'FS Jimbaran Nov 2019'!BM17</f>
        <v>0</v>
      </c>
      <c r="AT7" s="23">
        <f>'FS Jimbaran Nov 2019'!BN17</f>
        <v>0</v>
      </c>
      <c r="AU7" s="23">
        <f>'FS Jimbaran Nov 2019'!BO17</f>
        <v>0</v>
      </c>
      <c r="AV7" s="23">
        <f>'FS Jimbaran Nov 2019'!BP17</f>
        <v>0</v>
      </c>
      <c r="AW7" s="23">
        <f>'FS Jimbaran Nov 2019'!E17</f>
        <v>86.899999999999991</v>
      </c>
      <c r="AX7" s="23">
        <f>'FS Jimbaran Nov 2019'!F17</f>
        <v>0</v>
      </c>
      <c r="AY7" s="23">
        <f>'FS Jimbaran Nov 2019'!O17</f>
        <v>0</v>
      </c>
      <c r="AZ7" s="23">
        <f>'FS Jimbaran Nov 2019'!P17</f>
        <v>0</v>
      </c>
      <c r="BA7" s="23">
        <f>'FS Jimbaran Nov 2019'!W17</f>
        <v>0</v>
      </c>
      <c r="BB7" s="23">
        <f>'FS Jimbaran Nov 2019'!X17</f>
        <v>0</v>
      </c>
      <c r="BC7" s="23">
        <f>'FS Jimbaran Nov 2019'!AI17</f>
        <v>640</v>
      </c>
      <c r="BD7" s="23">
        <f>'FS Jimbaran Nov 2019'!AJ17</f>
        <v>0</v>
      </c>
      <c r="BE7" s="23">
        <f>'FS Jimbaran Nov 2019'!AK17</f>
        <v>0</v>
      </c>
      <c r="BF7" s="23">
        <f>'FS Jimbaran Nov 2019'!AL17</f>
        <v>0</v>
      </c>
      <c r="BG7" s="23">
        <f>'FS Jimbaran Nov 2019'!AM17</f>
        <v>0</v>
      </c>
      <c r="BH7" s="23">
        <f>'FS Jimbaran Nov 2019'!AN17</f>
        <v>0</v>
      </c>
      <c r="BI7" s="23">
        <f>'FS Jimbaran Nov 2019'!AO17</f>
        <v>0</v>
      </c>
      <c r="BJ7" s="23">
        <f>'FS Jimbaran Nov 2019'!AO17</f>
        <v>0</v>
      </c>
      <c r="BK7" s="23">
        <f>'FS Jimbaran Nov 2019'!AQ17</f>
        <v>0</v>
      </c>
      <c r="BL7" s="23">
        <f>'FS Jimbaran Nov 2019'!AR17</f>
        <v>0</v>
      </c>
      <c r="BM7" s="23">
        <v>0</v>
      </c>
      <c r="BN7" s="23">
        <v>0</v>
      </c>
      <c r="BO7" s="24">
        <f>'FS Jimbaran Nov 2019'!Q17</f>
        <v>0</v>
      </c>
      <c r="BP7" s="23">
        <f>'FS Jimbaran Nov 2019'!R17</f>
        <v>0</v>
      </c>
    </row>
    <row r="8" spans="1:68">
      <c r="A8" s="18" t="s">
        <v>67</v>
      </c>
      <c r="B8" s="26">
        <f t="shared" si="0"/>
        <v>7</v>
      </c>
      <c r="C8" s="27">
        <v>11</v>
      </c>
      <c r="D8" s="28">
        <v>2019</v>
      </c>
      <c r="E8" s="19">
        <f>'FS Jimbaran Nov 2019'!M18</f>
        <v>6.1</v>
      </c>
      <c r="F8" s="23">
        <f>'FS Jimbaran Nov 2019'!N18</f>
        <v>0</v>
      </c>
      <c r="G8" s="23">
        <v>0</v>
      </c>
      <c r="H8" s="23">
        <f>'FS Jimbaran Nov 2019'!H18</f>
        <v>0</v>
      </c>
      <c r="I8" s="23">
        <f>'FS Jimbaran Nov 2019'!I18</f>
        <v>0</v>
      </c>
      <c r="J8" s="23">
        <f>'FS Jimbaran Nov 2019'!J18</f>
        <v>0</v>
      </c>
      <c r="K8" s="23">
        <f>'FS Jimbaran Nov 2019'!K18</f>
        <v>95</v>
      </c>
      <c r="L8" s="23">
        <f>'FS Jimbaran Nov 2019'!L18</f>
        <v>0</v>
      </c>
      <c r="M8" s="23">
        <f>'FS Jimbaran Nov 2019'!S18</f>
        <v>0</v>
      </c>
      <c r="N8" s="23">
        <f>'FS Jimbaran Nov 2019'!T18</f>
        <v>0</v>
      </c>
      <c r="O8" s="23">
        <f>'FS Jimbaran Nov 2019'!U18</f>
        <v>7.5</v>
      </c>
      <c r="P8" s="23">
        <f>'FS Jimbaran Nov 2019'!V18</f>
        <v>0</v>
      </c>
      <c r="Q8" s="23">
        <f>'FS Jimbaran Nov 2019'!BE18</f>
        <v>0</v>
      </c>
      <c r="R8" s="23">
        <f>'FS Jimbaran Nov 2019'!BF18</f>
        <v>0</v>
      </c>
      <c r="S8" s="23">
        <f>'FS Jimbaran Nov 2019'!BH18</f>
        <v>0</v>
      </c>
      <c r="T8" s="23">
        <f>'FS Jimbaran Nov 2019'!BH18</f>
        <v>0</v>
      </c>
      <c r="U8" s="23">
        <f>'FS Jimbaran Nov 2019'!BI18</f>
        <v>0</v>
      </c>
      <c r="V8" s="23">
        <f>'FS Jimbaran Nov 2019'!BJ18</f>
        <v>0</v>
      </c>
      <c r="W8" s="23">
        <f>'FS Jimbaran Nov 2019'!Y18</f>
        <v>648</v>
      </c>
      <c r="X8" s="23">
        <f>'FS Jimbaran Nov 2019'!Z18</f>
        <v>0</v>
      </c>
      <c r="Y8" s="23">
        <f>'FS Jimbaran Nov 2019'!AA18</f>
        <v>0</v>
      </c>
      <c r="Z8" s="23">
        <f>'FS Jimbaran Nov 2019'!AB18</f>
        <v>0</v>
      </c>
      <c r="AA8" s="23">
        <f>'FS Jimbaran Nov 2019'!AC18</f>
        <v>0</v>
      </c>
      <c r="AB8" s="23">
        <f>'FS Jimbaran Nov 2019'!AD18</f>
        <v>0</v>
      </c>
      <c r="AC8" s="23">
        <f>'FS Jimbaran Nov 2019'!AE18</f>
        <v>0</v>
      </c>
      <c r="AD8" s="23">
        <f>'FS Jimbaran Nov 2019'!AF18</f>
        <v>0</v>
      </c>
      <c r="AE8" s="23">
        <f>'FS Jimbaran Nov 2019'!AG18</f>
        <v>0</v>
      </c>
      <c r="AF8" s="23">
        <f>'FS Jimbaran Nov 2019'!AH18</f>
        <v>0</v>
      </c>
      <c r="AG8" s="23">
        <f>'FS Jimbaran Nov 2019'!AM18</f>
        <v>0</v>
      </c>
      <c r="AH8" s="23">
        <f>'FS Jimbaran Nov 2019'!AR18</f>
        <v>0</v>
      </c>
      <c r="AI8" s="23">
        <f>'FS Jimbaran Nov 2019'!AQ18</f>
        <v>0</v>
      </c>
      <c r="AJ8" s="23">
        <f>'FS Jimbaran Nov 2019'!AR18</f>
        <v>0</v>
      </c>
      <c r="AK8" s="23">
        <f>'FS Jimbaran Nov 2019'!AY18</f>
        <v>0</v>
      </c>
      <c r="AL8" s="23">
        <f>'FS Jimbaran Nov 2019'!AZ18</f>
        <v>0</v>
      </c>
      <c r="AM8" s="23">
        <f>'FS Jimbaran Nov 2019'!BB18</f>
        <v>0</v>
      </c>
      <c r="AN8" s="23">
        <f>'FS Jimbaran Nov 2019'!BB18</f>
        <v>0</v>
      </c>
      <c r="AO8" s="23">
        <f>'FS Jimbaran Nov 2019'!BK18</f>
        <v>0</v>
      </c>
      <c r="AP8" s="23">
        <f>'FS Jimbaran Nov 2019'!BL18</f>
        <v>0</v>
      </c>
      <c r="AQ8" s="23">
        <f>'FS Jimbaran Nov 2019'!BC18</f>
        <v>0</v>
      </c>
      <c r="AR8" s="23">
        <f>'FS Jimbaran Nov 2019'!BD18</f>
        <v>0</v>
      </c>
      <c r="AS8" s="23">
        <f>'FS Jimbaran Nov 2019'!BM18</f>
        <v>0</v>
      </c>
      <c r="AT8" s="23">
        <f>'FS Jimbaran Nov 2019'!BN18</f>
        <v>0</v>
      </c>
      <c r="AU8" s="23">
        <f>'FS Jimbaran Nov 2019'!BO18</f>
        <v>0</v>
      </c>
      <c r="AV8" s="23">
        <f>'FS Jimbaran Nov 2019'!BP18</f>
        <v>0</v>
      </c>
      <c r="AW8" s="23">
        <f>'FS Jimbaran Nov 2019'!E18</f>
        <v>82.7</v>
      </c>
      <c r="AX8" s="23">
        <f>'FS Jimbaran Nov 2019'!F18</f>
        <v>0</v>
      </c>
      <c r="AY8" s="23">
        <f>'FS Jimbaran Nov 2019'!O18</f>
        <v>0</v>
      </c>
      <c r="AZ8" s="23">
        <f>'FS Jimbaran Nov 2019'!P18</f>
        <v>0</v>
      </c>
      <c r="BA8" s="23">
        <f>'FS Jimbaran Nov 2019'!W18</f>
        <v>0</v>
      </c>
      <c r="BB8" s="23">
        <f>'FS Jimbaran Nov 2019'!X18</f>
        <v>0</v>
      </c>
      <c r="BC8" s="23">
        <f>'FS Jimbaran Nov 2019'!AI18</f>
        <v>480.00000000000006</v>
      </c>
      <c r="BD8" s="23">
        <f>'FS Jimbaran Nov 2019'!AJ18</f>
        <v>0</v>
      </c>
      <c r="BE8" s="23">
        <f>'FS Jimbaran Nov 2019'!AK18</f>
        <v>0</v>
      </c>
      <c r="BF8" s="23">
        <f>'FS Jimbaran Nov 2019'!AL18</f>
        <v>0</v>
      </c>
      <c r="BG8" s="23">
        <f>'FS Jimbaran Nov 2019'!AM18</f>
        <v>0</v>
      </c>
      <c r="BH8" s="23">
        <f>'FS Jimbaran Nov 2019'!AN18</f>
        <v>0</v>
      </c>
      <c r="BI8" s="23">
        <f>'FS Jimbaran Nov 2019'!AO18</f>
        <v>0</v>
      </c>
      <c r="BJ8" s="23">
        <f>'FS Jimbaran Nov 2019'!AO18</f>
        <v>0</v>
      </c>
      <c r="BK8" s="23">
        <f>'FS Jimbaran Nov 2019'!AQ18</f>
        <v>0</v>
      </c>
      <c r="BL8" s="23">
        <f>'FS Jimbaran Nov 2019'!AR18</f>
        <v>0</v>
      </c>
      <c r="BM8" s="23">
        <v>0</v>
      </c>
      <c r="BN8" s="23">
        <v>0</v>
      </c>
      <c r="BO8" s="24">
        <f>'FS Jimbaran Nov 2019'!Q18</f>
        <v>0</v>
      </c>
      <c r="BP8" s="23">
        <f>'FS Jimbaran Nov 2019'!R18</f>
        <v>0</v>
      </c>
    </row>
    <row r="9" spans="1:68">
      <c r="A9" s="18" t="s">
        <v>67</v>
      </c>
      <c r="B9" s="26">
        <f t="shared" si="0"/>
        <v>8</v>
      </c>
      <c r="C9" s="27">
        <v>11</v>
      </c>
      <c r="D9" s="28">
        <v>2019</v>
      </c>
      <c r="E9" s="19">
        <f>'FS Jimbaran Nov 2019'!M19</f>
        <v>6.1</v>
      </c>
      <c r="F9" s="23">
        <f>'FS Jimbaran Nov 2019'!N19</f>
        <v>0</v>
      </c>
      <c r="G9" s="23">
        <v>0</v>
      </c>
      <c r="H9" s="23">
        <f>'FS Jimbaran Nov 2019'!H19</f>
        <v>0</v>
      </c>
      <c r="I9" s="23">
        <f>'FS Jimbaran Nov 2019'!I19</f>
        <v>0</v>
      </c>
      <c r="J9" s="23">
        <f>'FS Jimbaran Nov 2019'!J19</f>
        <v>0</v>
      </c>
      <c r="K9" s="23">
        <f>'FS Jimbaran Nov 2019'!K19</f>
        <v>105</v>
      </c>
      <c r="L9" s="23">
        <f>'FS Jimbaran Nov 2019'!L19</f>
        <v>0</v>
      </c>
      <c r="M9" s="23">
        <f>'FS Jimbaran Nov 2019'!S19</f>
        <v>0</v>
      </c>
      <c r="N9" s="23">
        <f>'FS Jimbaran Nov 2019'!T19</f>
        <v>0</v>
      </c>
      <c r="O9" s="23">
        <f>'FS Jimbaran Nov 2019'!U19</f>
        <v>14</v>
      </c>
      <c r="P9" s="23">
        <f>'FS Jimbaran Nov 2019'!V19</f>
        <v>0</v>
      </c>
      <c r="Q9" s="23">
        <f>'FS Jimbaran Nov 2019'!BE19</f>
        <v>0</v>
      </c>
      <c r="R9" s="23">
        <f>'FS Jimbaran Nov 2019'!BF19</f>
        <v>0</v>
      </c>
      <c r="S9" s="23">
        <f>'FS Jimbaran Nov 2019'!BH19</f>
        <v>0</v>
      </c>
      <c r="T9" s="23">
        <f>'FS Jimbaran Nov 2019'!BH19</f>
        <v>0</v>
      </c>
      <c r="U9" s="23">
        <f>'FS Jimbaran Nov 2019'!BI19</f>
        <v>0</v>
      </c>
      <c r="V9" s="23">
        <f>'FS Jimbaran Nov 2019'!BJ19</f>
        <v>0</v>
      </c>
      <c r="W9" s="23">
        <f>'FS Jimbaran Nov 2019'!Y19</f>
        <v>640</v>
      </c>
      <c r="X9" s="23">
        <f>'FS Jimbaran Nov 2019'!Z19</f>
        <v>0</v>
      </c>
      <c r="Y9" s="23">
        <f>'FS Jimbaran Nov 2019'!AA19</f>
        <v>0</v>
      </c>
      <c r="Z9" s="23">
        <f>'FS Jimbaran Nov 2019'!AB19</f>
        <v>0</v>
      </c>
      <c r="AA9" s="23">
        <f>'FS Jimbaran Nov 2019'!AC19</f>
        <v>0</v>
      </c>
      <c r="AB9" s="23">
        <f>'FS Jimbaran Nov 2019'!AD19</f>
        <v>0</v>
      </c>
      <c r="AC9" s="23">
        <f>'FS Jimbaran Nov 2019'!AE19</f>
        <v>0</v>
      </c>
      <c r="AD9" s="23">
        <f>'FS Jimbaran Nov 2019'!AF19</f>
        <v>0</v>
      </c>
      <c r="AE9" s="23">
        <f>'FS Jimbaran Nov 2019'!AG19</f>
        <v>0</v>
      </c>
      <c r="AF9" s="23">
        <f>'FS Jimbaran Nov 2019'!AH19</f>
        <v>0</v>
      </c>
      <c r="AG9" s="23">
        <f>'FS Jimbaran Nov 2019'!AM19</f>
        <v>0</v>
      </c>
      <c r="AH9" s="23">
        <f>'FS Jimbaran Nov 2019'!AR19</f>
        <v>0</v>
      </c>
      <c r="AI9" s="23">
        <f>'FS Jimbaran Nov 2019'!AQ19</f>
        <v>0</v>
      </c>
      <c r="AJ9" s="23">
        <f>'FS Jimbaran Nov 2019'!AR19</f>
        <v>0</v>
      </c>
      <c r="AK9" s="23">
        <f>'FS Jimbaran Nov 2019'!AY19</f>
        <v>0</v>
      </c>
      <c r="AL9" s="23">
        <f>'FS Jimbaran Nov 2019'!AZ19</f>
        <v>0</v>
      </c>
      <c r="AM9" s="23">
        <f>'FS Jimbaran Nov 2019'!BB19</f>
        <v>0</v>
      </c>
      <c r="AN9" s="23">
        <f>'FS Jimbaran Nov 2019'!BB19</f>
        <v>0</v>
      </c>
      <c r="AO9" s="23">
        <f>'FS Jimbaran Nov 2019'!BK19</f>
        <v>0</v>
      </c>
      <c r="AP9" s="23">
        <f>'FS Jimbaran Nov 2019'!BL19</f>
        <v>0</v>
      </c>
      <c r="AQ9" s="23">
        <f>'FS Jimbaran Nov 2019'!BC19</f>
        <v>0</v>
      </c>
      <c r="AR9" s="23">
        <f>'FS Jimbaran Nov 2019'!BD19</f>
        <v>0</v>
      </c>
      <c r="AS9" s="23">
        <f>'FS Jimbaran Nov 2019'!BM19</f>
        <v>0</v>
      </c>
      <c r="AT9" s="23">
        <f>'FS Jimbaran Nov 2019'!BN19</f>
        <v>0</v>
      </c>
      <c r="AU9" s="23">
        <f>'FS Jimbaran Nov 2019'!BO19</f>
        <v>0</v>
      </c>
      <c r="AV9" s="23">
        <f>'FS Jimbaran Nov 2019'!BP19</f>
        <v>0</v>
      </c>
      <c r="AW9" s="23">
        <f>'FS Jimbaran Nov 2019'!E19</f>
        <v>92.1</v>
      </c>
      <c r="AX9" s="23">
        <f>'FS Jimbaran Nov 2019'!F19</f>
        <v>0</v>
      </c>
      <c r="AY9" s="23">
        <f>'FS Jimbaran Nov 2019'!O19</f>
        <v>0</v>
      </c>
      <c r="AZ9" s="23">
        <f>'FS Jimbaran Nov 2019'!P19</f>
        <v>0</v>
      </c>
      <c r="BA9" s="23">
        <f>'FS Jimbaran Nov 2019'!W19</f>
        <v>0</v>
      </c>
      <c r="BB9" s="23">
        <f>'FS Jimbaran Nov 2019'!X19</f>
        <v>0</v>
      </c>
      <c r="BC9" s="23">
        <f>'FS Jimbaran Nov 2019'!AI19</f>
        <v>700</v>
      </c>
      <c r="BD9" s="23">
        <f>'FS Jimbaran Nov 2019'!AJ19</f>
        <v>0</v>
      </c>
      <c r="BE9" s="23">
        <f>'FS Jimbaran Nov 2019'!AK19</f>
        <v>0</v>
      </c>
      <c r="BF9" s="23">
        <f>'FS Jimbaran Nov 2019'!AL19</f>
        <v>0</v>
      </c>
      <c r="BG9" s="23">
        <f>'FS Jimbaran Nov 2019'!AM19</f>
        <v>0</v>
      </c>
      <c r="BH9" s="23">
        <f>'FS Jimbaran Nov 2019'!AN19</f>
        <v>0</v>
      </c>
      <c r="BI9" s="23">
        <f>'FS Jimbaran Nov 2019'!AO19</f>
        <v>0</v>
      </c>
      <c r="BJ9" s="23">
        <f>'FS Jimbaran Nov 2019'!AO19</f>
        <v>0</v>
      </c>
      <c r="BK9" s="23">
        <f>'FS Jimbaran Nov 2019'!AQ19</f>
        <v>0</v>
      </c>
      <c r="BL9" s="23">
        <f>'FS Jimbaran Nov 2019'!AR19</f>
        <v>0</v>
      </c>
      <c r="BM9" s="23">
        <v>0</v>
      </c>
      <c r="BN9" s="23">
        <v>0</v>
      </c>
      <c r="BO9" s="24">
        <f>'FS Jimbaran Nov 2019'!Q19</f>
        <v>0</v>
      </c>
      <c r="BP9" s="23">
        <f>'FS Jimbaran Nov 2019'!R19</f>
        <v>0</v>
      </c>
    </row>
    <row r="10" spans="1:68">
      <c r="A10" s="18" t="s">
        <v>67</v>
      </c>
      <c r="B10" s="26">
        <f t="shared" si="0"/>
        <v>9</v>
      </c>
      <c r="C10" s="27">
        <v>11</v>
      </c>
      <c r="D10" s="28">
        <v>2019</v>
      </c>
      <c r="E10" s="19">
        <f>'FS Jimbaran Nov 2019'!M20</f>
        <v>5.3</v>
      </c>
      <c r="F10" s="23">
        <f>'FS Jimbaran Nov 2019'!N20</f>
        <v>0</v>
      </c>
      <c r="G10" s="23">
        <v>0</v>
      </c>
      <c r="H10" s="23">
        <f>'FS Jimbaran Nov 2019'!H20</f>
        <v>0</v>
      </c>
      <c r="I10" s="23">
        <f>'FS Jimbaran Nov 2019'!I20</f>
        <v>0</v>
      </c>
      <c r="J10" s="23">
        <f>'FS Jimbaran Nov 2019'!J20</f>
        <v>0</v>
      </c>
      <c r="K10" s="23">
        <f>'FS Jimbaran Nov 2019'!K20</f>
        <v>75</v>
      </c>
      <c r="L10" s="23">
        <f>'FS Jimbaran Nov 2019'!L20</f>
        <v>0</v>
      </c>
      <c r="M10" s="23">
        <f>'FS Jimbaran Nov 2019'!S20</f>
        <v>0</v>
      </c>
      <c r="N10" s="23">
        <f>'FS Jimbaran Nov 2019'!T20</f>
        <v>0</v>
      </c>
      <c r="O10" s="23">
        <f>'FS Jimbaran Nov 2019'!U20</f>
        <v>15.5</v>
      </c>
      <c r="P10" s="23">
        <f>'FS Jimbaran Nov 2019'!V20</f>
        <v>0</v>
      </c>
      <c r="Q10" s="23">
        <f>'FS Jimbaran Nov 2019'!BE20</f>
        <v>0</v>
      </c>
      <c r="R10" s="23">
        <f>'FS Jimbaran Nov 2019'!BF20</f>
        <v>0</v>
      </c>
      <c r="S10" s="23">
        <f>'FS Jimbaran Nov 2019'!BH20</f>
        <v>0</v>
      </c>
      <c r="T10" s="23">
        <f>'FS Jimbaran Nov 2019'!BH20</f>
        <v>0</v>
      </c>
      <c r="U10" s="23">
        <f>'FS Jimbaran Nov 2019'!BI20</f>
        <v>0</v>
      </c>
      <c r="V10" s="23">
        <f>'FS Jimbaran Nov 2019'!BJ20</f>
        <v>0</v>
      </c>
      <c r="W10" s="23">
        <f>'FS Jimbaran Nov 2019'!Y20</f>
        <v>640</v>
      </c>
      <c r="X10" s="23">
        <f>'FS Jimbaran Nov 2019'!Z20</f>
        <v>0</v>
      </c>
      <c r="Y10" s="23">
        <f>'FS Jimbaran Nov 2019'!AA20</f>
        <v>0</v>
      </c>
      <c r="Z10" s="23">
        <f>'FS Jimbaran Nov 2019'!AB20</f>
        <v>0</v>
      </c>
      <c r="AA10" s="23">
        <f>'FS Jimbaran Nov 2019'!AC20</f>
        <v>0</v>
      </c>
      <c r="AB10" s="23">
        <f>'FS Jimbaran Nov 2019'!AD20</f>
        <v>0</v>
      </c>
      <c r="AC10" s="23">
        <f>'FS Jimbaran Nov 2019'!AE20</f>
        <v>0</v>
      </c>
      <c r="AD10" s="23">
        <f>'FS Jimbaran Nov 2019'!AF20</f>
        <v>0</v>
      </c>
      <c r="AE10" s="23">
        <f>'FS Jimbaran Nov 2019'!AG20</f>
        <v>0</v>
      </c>
      <c r="AF10" s="23">
        <f>'FS Jimbaran Nov 2019'!AH20</f>
        <v>0</v>
      </c>
      <c r="AG10" s="23">
        <f>'FS Jimbaran Nov 2019'!AM20</f>
        <v>0</v>
      </c>
      <c r="AH10" s="23">
        <f>'FS Jimbaran Nov 2019'!AR20</f>
        <v>0</v>
      </c>
      <c r="AI10" s="23">
        <f>'FS Jimbaran Nov 2019'!AQ20</f>
        <v>0</v>
      </c>
      <c r="AJ10" s="23">
        <f>'FS Jimbaran Nov 2019'!AR20</f>
        <v>0</v>
      </c>
      <c r="AK10" s="23">
        <f>'FS Jimbaran Nov 2019'!AY20</f>
        <v>0</v>
      </c>
      <c r="AL10" s="23">
        <f>'FS Jimbaran Nov 2019'!AZ20</f>
        <v>0</v>
      </c>
      <c r="AM10" s="23">
        <f>'FS Jimbaran Nov 2019'!BB20</f>
        <v>0</v>
      </c>
      <c r="AN10" s="23">
        <f>'FS Jimbaran Nov 2019'!BB20</f>
        <v>0</v>
      </c>
      <c r="AO10" s="23">
        <f>'FS Jimbaran Nov 2019'!BK20</f>
        <v>0</v>
      </c>
      <c r="AP10" s="23">
        <f>'FS Jimbaran Nov 2019'!BL20</f>
        <v>0</v>
      </c>
      <c r="AQ10" s="23">
        <f>'FS Jimbaran Nov 2019'!BC20</f>
        <v>0</v>
      </c>
      <c r="AR10" s="23">
        <f>'FS Jimbaran Nov 2019'!BD20</f>
        <v>0</v>
      </c>
      <c r="AS10" s="23">
        <f>'FS Jimbaran Nov 2019'!BM20</f>
        <v>0</v>
      </c>
      <c r="AT10" s="23">
        <f>'FS Jimbaran Nov 2019'!BN20</f>
        <v>0</v>
      </c>
      <c r="AU10" s="23">
        <f>'FS Jimbaran Nov 2019'!BO20</f>
        <v>0</v>
      </c>
      <c r="AV10" s="23">
        <f>'FS Jimbaran Nov 2019'!BP20</f>
        <v>0</v>
      </c>
      <c r="AW10" s="23">
        <f>'FS Jimbaran Nov 2019'!E20</f>
        <v>87.1</v>
      </c>
      <c r="AX10" s="23">
        <f>'FS Jimbaran Nov 2019'!F20</f>
        <v>0</v>
      </c>
      <c r="AY10" s="23">
        <f>'FS Jimbaran Nov 2019'!O20</f>
        <v>0</v>
      </c>
      <c r="AZ10" s="23">
        <f>'FS Jimbaran Nov 2019'!P20</f>
        <v>0</v>
      </c>
      <c r="BA10" s="23">
        <f>'FS Jimbaran Nov 2019'!W20</f>
        <v>0</v>
      </c>
      <c r="BB10" s="23">
        <f>'FS Jimbaran Nov 2019'!X20</f>
        <v>0</v>
      </c>
      <c r="BC10" s="23">
        <f>'FS Jimbaran Nov 2019'!AI20</f>
        <v>610</v>
      </c>
      <c r="BD10" s="23">
        <f>'FS Jimbaran Nov 2019'!AJ20</f>
        <v>0</v>
      </c>
      <c r="BE10" s="23">
        <f>'FS Jimbaran Nov 2019'!AK20</f>
        <v>0</v>
      </c>
      <c r="BF10" s="23">
        <f>'FS Jimbaran Nov 2019'!AL20</f>
        <v>0</v>
      </c>
      <c r="BG10" s="23">
        <f>'FS Jimbaran Nov 2019'!AM20</f>
        <v>0</v>
      </c>
      <c r="BH10" s="23">
        <f>'FS Jimbaran Nov 2019'!AN20</f>
        <v>0</v>
      </c>
      <c r="BI10" s="23">
        <f>'FS Jimbaran Nov 2019'!AO20</f>
        <v>0</v>
      </c>
      <c r="BJ10" s="23">
        <f>'FS Jimbaran Nov 2019'!AO20</f>
        <v>0</v>
      </c>
      <c r="BK10" s="23">
        <f>'FS Jimbaran Nov 2019'!AQ20</f>
        <v>0</v>
      </c>
      <c r="BL10" s="23">
        <f>'FS Jimbaran Nov 2019'!AR20</f>
        <v>0</v>
      </c>
      <c r="BM10" s="23">
        <v>0</v>
      </c>
      <c r="BN10" s="23">
        <v>0</v>
      </c>
      <c r="BO10" s="24">
        <f>'FS Jimbaran Nov 2019'!Q20</f>
        <v>0</v>
      </c>
      <c r="BP10" s="23">
        <f>'FS Jimbaran Nov 2019'!R20</f>
        <v>0</v>
      </c>
    </row>
    <row r="11" spans="1:68">
      <c r="A11" s="18" t="s">
        <v>67</v>
      </c>
      <c r="B11" s="26">
        <f t="shared" si="0"/>
        <v>10</v>
      </c>
      <c r="C11" s="27">
        <v>11</v>
      </c>
      <c r="D11" s="28">
        <v>2019</v>
      </c>
      <c r="E11" s="19">
        <f>'FS Jimbaran Nov 2019'!M21</f>
        <v>5.6</v>
      </c>
      <c r="F11" s="23">
        <f>'FS Jimbaran Nov 2019'!N21</f>
        <v>0</v>
      </c>
      <c r="G11" s="23">
        <v>0</v>
      </c>
      <c r="H11" s="23">
        <f>'FS Jimbaran Nov 2019'!H21</f>
        <v>0</v>
      </c>
      <c r="I11" s="23">
        <f>'FS Jimbaran Nov 2019'!I21</f>
        <v>0</v>
      </c>
      <c r="J11" s="23">
        <f>'FS Jimbaran Nov 2019'!J21</f>
        <v>0</v>
      </c>
      <c r="K11" s="23">
        <f>'FS Jimbaran Nov 2019'!K21</f>
        <v>90</v>
      </c>
      <c r="L11" s="23">
        <f>'FS Jimbaran Nov 2019'!L21</f>
        <v>0</v>
      </c>
      <c r="M11" s="23">
        <f>'FS Jimbaran Nov 2019'!S21</f>
        <v>0</v>
      </c>
      <c r="N11" s="23">
        <f>'FS Jimbaran Nov 2019'!T21</f>
        <v>0</v>
      </c>
      <c r="O11" s="23">
        <f>'FS Jimbaran Nov 2019'!U21</f>
        <v>7</v>
      </c>
      <c r="P11" s="23">
        <f>'FS Jimbaran Nov 2019'!V21</f>
        <v>0</v>
      </c>
      <c r="Q11" s="23">
        <f>'FS Jimbaran Nov 2019'!BE21</f>
        <v>0</v>
      </c>
      <c r="R11" s="23">
        <f>'FS Jimbaran Nov 2019'!BF21</f>
        <v>0</v>
      </c>
      <c r="S11" s="23">
        <f>'FS Jimbaran Nov 2019'!BH21</f>
        <v>0</v>
      </c>
      <c r="T11" s="23">
        <f>'FS Jimbaran Nov 2019'!BH21</f>
        <v>0</v>
      </c>
      <c r="U11" s="23">
        <f>'FS Jimbaran Nov 2019'!BI21</f>
        <v>0</v>
      </c>
      <c r="V11" s="23">
        <f>'FS Jimbaran Nov 2019'!BJ21</f>
        <v>0</v>
      </c>
      <c r="W11" s="23">
        <f>'FS Jimbaran Nov 2019'!Y21</f>
        <v>624</v>
      </c>
      <c r="X11" s="23">
        <f>'FS Jimbaran Nov 2019'!Z21</f>
        <v>0</v>
      </c>
      <c r="Y11" s="23">
        <f>'FS Jimbaran Nov 2019'!AA21</f>
        <v>0</v>
      </c>
      <c r="Z11" s="23">
        <f>'FS Jimbaran Nov 2019'!AB21</f>
        <v>0</v>
      </c>
      <c r="AA11" s="23">
        <f>'FS Jimbaran Nov 2019'!AC21</f>
        <v>0</v>
      </c>
      <c r="AB11" s="23">
        <f>'FS Jimbaran Nov 2019'!AD21</f>
        <v>0</v>
      </c>
      <c r="AC11" s="23">
        <f>'FS Jimbaran Nov 2019'!AE21</f>
        <v>0</v>
      </c>
      <c r="AD11" s="23">
        <f>'FS Jimbaran Nov 2019'!AF21</f>
        <v>0</v>
      </c>
      <c r="AE11" s="23">
        <f>'FS Jimbaran Nov 2019'!AG21</f>
        <v>0</v>
      </c>
      <c r="AF11" s="23">
        <f>'FS Jimbaran Nov 2019'!AH21</f>
        <v>0</v>
      </c>
      <c r="AG11" s="23">
        <f>'FS Jimbaran Nov 2019'!AM21</f>
        <v>0</v>
      </c>
      <c r="AH11" s="23">
        <f>'FS Jimbaran Nov 2019'!AR21</f>
        <v>0</v>
      </c>
      <c r="AI11" s="23">
        <f>'FS Jimbaran Nov 2019'!AQ21</f>
        <v>0</v>
      </c>
      <c r="AJ11" s="23">
        <f>'FS Jimbaran Nov 2019'!AR21</f>
        <v>0</v>
      </c>
      <c r="AK11" s="23">
        <f>'FS Jimbaran Nov 2019'!AY21</f>
        <v>0</v>
      </c>
      <c r="AL11" s="23">
        <f>'FS Jimbaran Nov 2019'!AZ21</f>
        <v>0</v>
      </c>
      <c r="AM11" s="23">
        <f>'FS Jimbaran Nov 2019'!BB21</f>
        <v>0</v>
      </c>
      <c r="AN11" s="23">
        <f>'FS Jimbaran Nov 2019'!BB21</f>
        <v>0</v>
      </c>
      <c r="AO11" s="23">
        <f>'FS Jimbaran Nov 2019'!BK21</f>
        <v>0</v>
      </c>
      <c r="AP11" s="23">
        <f>'FS Jimbaran Nov 2019'!BL21</f>
        <v>0</v>
      </c>
      <c r="AQ11" s="23">
        <f>'FS Jimbaran Nov 2019'!BC21</f>
        <v>0</v>
      </c>
      <c r="AR11" s="23">
        <f>'FS Jimbaran Nov 2019'!BD21</f>
        <v>0</v>
      </c>
      <c r="AS11" s="23">
        <f>'FS Jimbaran Nov 2019'!BM21</f>
        <v>0</v>
      </c>
      <c r="AT11" s="23">
        <f>'FS Jimbaran Nov 2019'!BN21</f>
        <v>0</v>
      </c>
      <c r="AU11" s="23">
        <f>'FS Jimbaran Nov 2019'!BO21</f>
        <v>0</v>
      </c>
      <c r="AV11" s="23">
        <f>'FS Jimbaran Nov 2019'!BP21</f>
        <v>0</v>
      </c>
      <c r="AW11" s="23">
        <f>'FS Jimbaran Nov 2019'!E21</f>
        <v>80.099999999999994</v>
      </c>
      <c r="AX11" s="23">
        <f>'FS Jimbaran Nov 2019'!F21</f>
        <v>0</v>
      </c>
      <c r="AY11" s="23">
        <f>'FS Jimbaran Nov 2019'!O21</f>
        <v>0</v>
      </c>
      <c r="AZ11" s="23">
        <f>'FS Jimbaran Nov 2019'!P21</f>
        <v>0</v>
      </c>
      <c r="BA11" s="23">
        <f>'FS Jimbaran Nov 2019'!W21</f>
        <v>0</v>
      </c>
      <c r="BB11" s="23">
        <f>'FS Jimbaran Nov 2019'!X21</f>
        <v>0</v>
      </c>
      <c r="BC11" s="23">
        <f>'FS Jimbaran Nov 2019'!AI21</f>
        <v>640</v>
      </c>
      <c r="BD11" s="23">
        <f>'FS Jimbaran Nov 2019'!AJ21</f>
        <v>0</v>
      </c>
      <c r="BE11" s="23">
        <f>'FS Jimbaran Nov 2019'!AK21</f>
        <v>0</v>
      </c>
      <c r="BF11" s="23">
        <f>'FS Jimbaran Nov 2019'!AL21</f>
        <v>0</v>
      </c>
      <c r="BG11" s="23">
        <f>'FS Jimbaran Nov 2019'!AM21</f>
        <v>0</v>
      </c>
      <c r="BH11" s="23">
        <f>'FS Jimbaran Nov 2019'!AN21</f>
        <v>0</v>
      </c>
      <c r="BI11" s="23">
        <f>'FS Jimbaran Nov 2019'!AO21</f>
        <v>0</v>
      </c>
      <c r="BJ11" s="23">
        <f>'FS Jimbaran Nov 2019'!AO21</f>
        <v>0</v>
      </c>
      <c r="BK11" s="23">
        <f>'FS Jimbaran Nov 2019'!AQ21</f>
        <v>0</v>
      </c>
      <c r="BL11" s="23">
        <f>'FS Jimbaran Nov 2019'!AR21</f>
        <v>0</v>
      </c>
      <c r="BM11" s="23">
        <v>0</v>
      </c>
      <c r="BN11" s="23">
        <v>0</v>
      </c>
      <c r="BO11" s="24">
        <f>'FS Jimbaran Nov 2019'!Q21</f>
        <v>0</v>
      </c>
      <c r="BP11" s="23">
        <f>'FS Jimbaran Nov 2019'!R21</f>
        <v>0</v>
      </c>
    </row>
    <row r="12" spans="1:68">
      <c r="A12" s="18" t="s">
        <v>67</v>
      </c>
      <c r="B12" s="26">
        <f t="shared" si="0"/>
        <v>11</v>
      </c>
      <c r="C12" s="27">
        <v>11</v>
      </c>
      <c r="D12" s="28">
        <v>2019</v>
      </c>
      <c r="E12" s="19">
        <f>'FS Jimbaran Nov 2019'!M22</f>
        <v>3.8</v>
      </c>
      <c r="F12" s="23">
        <f>'FS Jimbaran Nov 2019'!N22</f>
        <v>0</v>
      </c>
      <c r="G12" s="23">
        <v>0</v>
      </c>
      <c r="H12" s="23">
        <f>'FS Jimbaran Nov 2019'!H22</f>
        <v>0</v>
      </c>
      <c r="I12" s="23">
        <f>'FS Jimbaran Nov 2019'!I22</f>
        <v>0</v>
      </c>
      <c r="J12" s="23">
        <f>'FS Jimbaran Nov 2019'!J22</f>
        <v>0</v>
      </c>
      <c r="K12" s="23">
        <f>'FS Jimbaran Nov 2019'!K22</f>
        <v>105</v>
      </c>
      <c r="L12" s="23">
        <f>'FS Jimbaran Nov 2019'!L22</f>
        <v>0</v>
      </c>
      <c r="M12" s="23">
        <f>'FS Jimbaran Nov 2019'!S22</f>
        <v>0</v>
      </c>
      <c r="N12" s="23">
        <f>'FS Jimbaran Nov 2019'!T22</f>
        <v>0</v>
      </c>
      <c r="O12" s="23">
        <f>'FS Jimbaran Nov 2019'!U22</f>
        <v>16.5</v>
      </c>
      <c r="P12" s="23">
        <f>'FS Jimbaran Nov 2019'!V22</f>
        <v>0</v>
      </c>
      <c r="Q12" s="23">
        <f>'FS Jimbaran Nov 2019'!BE22</f>
        <v>0</v>
      </c>
      <c r="R12" s="23">
        <f>'FS Jimbaran Nov 2019'!BF22</f>
        <v>0</v>
      </c>
      <c r="S12" s="23">
        <f>'FS Jimbaran Nov 2019'!BH22</f>
        <v>0</v>
      </c>
      <c r="T12" s="23">
        <f>'FS Jimbaran Nov 2019'!BH22</f>
        <v>0</v>
      </c>
      <c r="U12" s="23">
        <f>'FS Jimbaran Nov 2019'!BI22</f>
        <v>0</v>
      </c>
      <c r="V12" s="23">
        <f>'FS Jimbaran Nov 2019'!BJ22</f>
        <v>0</v>
      </c>
      <c r="W12" s="23">
        <f>'FS Jimbaran Nov 2019'!Y22</f>
        <v>608</v>
      </c>
      <c r="X12" s="23">
        <f>'FS Jimbaran Nov 2019'!Z22</f>
        <v>0</v>
      </c>
      <c r="Y12" s="23">
        <f>'FS Jimbaran Nov 2019'!AA22</f>
        <v>0</v>
      </c>
      <c r="Z12" s="23">
        <f>'FS Jimbaran Nov 2019'!AB22</f>
        <v>0</v>
      </c>
      <c r="AA12" s="23">
        <f>'FS Jimbaran Nov 2019'!AC22</f>
        <v>0</v>
      </c>
      <c r="AB12" s="23">
        <f>'FS Jimbaran Nov 2019'!AD22</f>
        <v>0</v>
      </c>
      <c r="AC12" s="23">
        <f>'FS Jimbaran Nov 2019'!AE22</f>
        <v>0</v>
      </c>
      <c r="AD12" s="23">
        <f>'FS Jimbaran Nov 2019'!AF22</f>
        <v>0</v>
      </c>
      <c r="AE12" s="23">
        <f>'FS Jimbaran Nov 2019'!AG22</f>
        <v>0</v>
      </c>
      <c r="AF12" s="23">
        <f>'FS Jimbaran Nov 2019'!AH22</f>
        <v>0</v>
      </c>
      <c r="AG12" s="23">
        <f>'FS Jimbaran Nov 2019'!AM22</f>
        <v>0</v>
      </c>
      <c r="AH12" s="23">
        <f>'FS Jimbaran Nov 2019'!AR22</f>
        <v>0</v>
      </c>
      <c r="AI12" s="23">
        <f>'FS Jimbaran Nov 2019'!AQ22</f>
        <v>0</v>
      </c>
      <c r="AJ12" s="23">
        <f>'FS Jimbaran Nov 2019'!AR22</f>
        <v>0</v>
      </c>
      <c r="AK12" s="23">
        <f>'FS Jimbaran Nov 2019'!AY22</f>
        <v>0</v>
      </c>
      <c r="AL12" s="23">
        <f>'FS Jimbaran Nov 2019'!AZ22</f>
        <v>0</v>
      </c>
      <c r="AM12" s="23">
        <f>'FS Jimbaran Nov 2019'!BB22</f>
        <v>0</v>
      </c>
      <c r="AN12" s="23">
        <f>'FS Jimbaran Nov 2019'!BB22</f>
        <v>0</v>
      </c>
      <c r="AO12" s="23">
        <f>'FS Jimbaran Nov 2019'!BK22</f>
        <v>0</v>
      </c>
      <c r="AP12" s="23">
        <f>'FS Jimbaran Nov 2019'!BL22</f>
        <v>0</v>
      </c>
      <c r="AQ12" s="23">
        <f>'FS Jimbaran Nov 2019'!BC22</f>
        <v>0</v>
      </c>
      <c r="AR12" s="23">
        <f>'FS Jimbaran Nov 2019'!BD22</f>
        <v>0</v>
      </c>
      <c r="AS12" s="23">
        <f>'FS Jimbaran Nov 2019'!BM22</f>
        <v>0</v>
      </c>
      <c r="AT12" s="23">
        <f>'FS Jimbaran Nov 2019'!BN22</f>
        <v>0</v>
      </c>
      <c r="AU12" s="23">
        <f>'FS Jimbaran Nov 2019'!BO22</f>
        <v>0</v>
      </c>
      <c r="AV12" s="23">
        <f>'FS Jimbaran Nov 2019'!BP22</f>
        <v>0</v>
      </c>
      <c r="AW12" s="23">
        <f>'FS Jimbaran Nov 2019'!E22</f>
        <v>88.5</v>
      </c>
      <c r="AX12" s="23">
        <f>'FS Jimbaran Nov 2019'!F22</f>
        <v>0</v>
      </c>
      <c r="AY12" s="23">
        <f>'FS Jimbaran Nov 2019'!O22</f>
        <v>0</v>
      </c>
      <c r="AZ12" s="23">
        <f>'FS Jimbaran Nov 2019'!P22</f>
        <v>0</v>
      </c>
      <c r="BA12" s="23">
        <f>'FS Jimbaran Nov 2019'!W22</f>
        <v>0</v>
      </c>
      <c r="BB12" s="23">
        <f>'FS Jimbaran Nov 2019'!X22</f>
        <v>0</v>
      </c>
      <c r="BC12" s="23">
        <f>'FS Jimbaran Nov 2019'!AI22</f>
        <v>619.99999999999989</v>
      </c>
      <c r="BD12" s="23">
        <f>'FS Jimbaran Nov 2019'!AJ22</f>
        <v>0</v>
      </c>
      <c r="BE12" s="23">
        <f>'FS Jimbaran Nov 2019'!AK22</f>
        <v>0</v>
      </c>
      <c r="BF12" s="23">
        <f>'FS Jimbaran Nov 2019'!AL22</f>
        <v>0</v>
      </c>
      <c r="BG12" s="23">
        <f>'FS Jimbaran Nov 2019'!AM22</f>
        <v>0</v>
      </c>
      <c r="BH12" s="23">
        <f>'FS Jimbaran Nov 2019'!AN22</f>
        <v>0</v>
      </c>
      <c r="BI12" s="23">
        <f>'FS Jimbaran Nov 2019'!AO22</f>
        <v>0</v>
      </c>
      <c r="BJ12" s="23">
        <f>'FS Jimbaran Nov 2019'!AO22</f>
        <v>0</v>
      </c>
      <c r="BK12" s="23">
        <f>'FS Jimbaran Nov 2019'!AQ22</f>
        <v>0</v>
      </c>
      <c r="BL12" s="23">
        <f>'FS Jimbaran Nov 2019'!AR22</f>
        <v>0</v>
      </c>
      <c r="BM12" s="23">
        <v>0</v>
      </c>
      <c r="BN12" s="23">
        <v>0</v>
      </c>
      <c r="BO12" s="24">
        <f>'FS Jimbaran Nov 2019'!Q22</f>
        <v>0</v>
      </c>
      <c r="BP12" s="23">
        <f>'FS Jimbaran Nov 2019'!R22</f>
        <v>0</v>
      </c>
    </row>
    <row r="13" spans="1:68">
      <c r="A13" s="18" t="s">
        <v>67</v>
      </c>
      <c r="B13" s="26">
        <f t="shared" si="0"/>
        <v>12</v>
      </c>
      <c r="C13" s="27">
        <v>11</v>
      </c>
      <c r="D13" s="28">
        <v>2019</v>
      </c>
      <c r="E13" s="19">
        <f>'FS Jimbaran Nov 2019'!M23</f>
        <v>5</v>
      </c>
      <c r="F13" s="23">
        <f>'FS Jimbaran Nov 2019'!N23</f>
        <v>0</v>
      </c>
      <c r="G13" s="23">
        <v>0</v>
      </c>
      <c r="H13" s="23">
        <f>'FS Jimbaran Nov 2019'!H23</f>
        <v>0</v>
      </c>
      <c r="I13" s="23">
        <f>'FS Jimbaran Nov 2019'!I23</f>
        <v>0</v>
      </c>
      <c r="J13" s="23">
        <f>'FS Jimbaran Nov 2019'!J23</f>
        <v>0</v>
      </c>
      <c r="K13" s="23">
        <f>'FS Jimbaran Nov 2019'!K23</f>
        <v>85</v>
      </c>
      <c r="L13" s="23">
        <f>'FS Jimbaran Nov 2019'!L23</f>
        <v>0</v>
      </c>
      <c r="M13" s="23">
        <f>'FS Jimbaran Nov 2019'!S23</f>
        <v>0</v>
      </c>
      <c r="N13" s="23">
        <f>'FS Jimbaran Nov 2019'!T23</f>
        <v>0</v>
      </c>
      <c r="O13" s="23">
        <f>'FS Jimbaran Nov 2019'!U23</f>
        <v>12.5</v>
      </c>
      <c r="P13" s="23">
        <f>'FS Jimbaran Nov 2019'!V23</f>
        <v>0</v>
      </c>
      <c r="Q13" s="23">
        <f>'FS Jimbaran Nov 2019'!BE23</f>
        <v>0</v>
      </c>
      <c r="R13" s="23">
        <f>'FS Jimbaran Nov 2019'!BF23</f>
        <v>0</v>
      </c>
      <c r="S13" s="23">
        <f>'FS Jimbaran Nov 2019'!BH23</f>
        <v>0</v>
      </c>
      <c r="T13" s="23">
        <f>'FS Jimbaran Nov 2019'!BH23</f>
        <v>0</v>
      </c>
      <c r="U13" s="23">
        <f>'FS Jimbaran Nov 2019'!BI23</f>
        <v>0</v>
      </c>
      <c r="V13" s="23">
        <f>'FS Jimbaran Nov 2019'!BJ23</f>
        <v>0</v>
      </c>
      <c r="W13" s="23">
        <f>'FS Jimbaran Nov 2019'!Y23</f>
        <v>640</v>
      </c>
      <c r="X13" s="23">
        <f>'FS Jimbaran Nov 2019'!Z23</f>
        <v>0</v>
      </c>
      <c r="Y13" s="23">
        <f>'FS Jimbaran Nov 2019'!AA23</f>
        <v>0</v>
      </c>
      <c r="Z13" s="23">
        <f>'FS Jimbaran Nov 2019'!AB23</f>
        <v>0</v>
      </c>
      <c r="AA13" s="23">
        <f>'FS Jimbaran Nov 2019'!AC23</f>
        <v>0</v>
      </c>
      <c r="AB13" s="23">
        <f>'FS Jimbaran Nov 2019'!AD23</f>
        <v>0</v>
      </c>
      <c r="AC13" s="23">
        <f>'FS Jimbaran Nov 2019'!AE23</f>
        <v>0</v>
      </c>
      <c r="AD13" s="23">
        <f>'FS Jimbaran Nov 2019'!AF23</f>
        <v>0</v>
      </c>
      <c r="AE13" s="23">
        <f>'FS Jimbaran Nov 2019'!AG23</f>
        <v>0</v>
      </c>
      <c r="AF13" s="23">
        <f>'FS Jimbaran Nov 2019'!AH23</f>
        <v>0</v>
      </c>
      <c r="AG13" s="23">
        <f>'FS Jimbaran Nov 2019'!AM23</f>
        <v>0</v>
      </c>
      <c r="AH13" s="23">
        <f>'FS Jimbaran Nov 2019'!AR23</f>
        <v>0</v>
      </c>
      <c r="AI13" s="23">
        <f>'FS Jimbaran Nov 2019'!AQ23</f>
        <v>0</v>
      </c>
      <c r="AJ13" s="23">
        <f>'FS Jimbaran Nov 2019'!AR23</f>
        <v>0</v>
      </c>
      <c r="AK13" s="23">
        <f>'FS Jimbaran Nov 2019'!AY23</f>
        <v>0</v>
      </c>
      <c r="AL13" s="23">
        <f>'FS Jimbaran Nov 2019'!AZ23</f>
        <v>0</v>
      </c>
      <c r="AM13" s="23">
        <f>'FS Jimbaran Nov 2019'!BB23</f>
        <v>0</v>
      </c>
      <c r="AN13" s="23">
        <f>'FS Jimbaran Nov 2019'!BB23</f>
        <v>0</v>
      </c>
      <c r="AO13" s="23">
        <f>'FS Jimbaran Nov 2019'!BK23</f>
        <v>0</v>
      </c>
      <c r="AP13" s="23">
        <f>'FS Jimbaran Nov 2019'!BL23</f>
        <v>0</v>
      </c>
      <c r="AQ13" s="23">
        <f>'FS Jimbaran Nov 2019'!BC23</f>
        <v>0</v>
      </c>
      <c r="AR13" s="23">
        <f>'FS Jimbaran Nov 2019'!BD23</f>
        <v>0</v>
      </c>
      <c r="AS13" s="23">
        <f>'FS Jimbaran Nov 2019'!BM23</f>
        <v>0</v>
      </c>
      <c r="AT13" s="23">
        <f>'FS Jimbaran Nov 2019'!BN23</f>
        <v>0</v>
      </c>
      <c r="AU13" s="23">
        <f>'FS Jimbaran Nov 2019'!BO23</f>
        <v>0</v>
      </c>
      <c r="AV13" s="23">
        <f>'FS Jimbaran Nov 2019'!BP23</f>
        <v>0</v>
      </c>
      <c r="AW13" s="23">
        <f>'FS Jimbaran Nov 2019'!E23</f>
        <v>81</v>
      </c>
      <c r="AX13" s="23">
        <f>'FS Jimbaran Nov 2019'!F23</f>
        <v>0</v>
      </c>
      <c r="AY13" s="23">
        <f>'FS Jimbaran Nov 2019'!O23</f>
        <v>0</v>
      </c>
      <c r="AZ13" s="23">
        <f>'FS Jimbaran Nov 2019'!P23</f>
        <v>0</v>
      </c>
      <c r="BA13" s="23">
        <f>'FS Jimbaran Nov 2019'!W23</f>
        <v>0</v>
      </c>
      <c r="BB13" s="23">
        <f>'FS Jimbaran Nov 2019'!X23</f>
        <v>0</v>
      </c>
      <c r="BC13" s="23">
        <f>'FS Jimbaran Nov 2019'!AI23</f>
        <v>590</v>
      </c>
      <c r="BD13" s="23">
        <f>'FS Jimbaran Nov 2019'!AJ23</f>
        <v>0</v>
      </c>
      <c r="BE13" s="23">
        <f>'FS Jimbaran Nov 2019'!AK23</f>
        <v>0</v>
      </c>
      <c r="BF13" s="23">
        <f>'FS Jimbaran Nov 2019'!AL23</f>
        <v>0</v>
      </c>
      <c r="BG13" s="23">
        <f>'FS Jimbaran Nov 2019'!AM23</f>
        <v>0</v>
      </c>
      <c r="BH13" s="23">
        <f>'FS Jimbaran Nov 2019'!AN23</f>
        <v>0</v>
      </c>
      <c r="BI13" s="23">
        <f>'FS Jimbaran Nov 2019'!AO23</f>
        <v>0</v>
      </c>
      <c r="BJ13" s="23">
        <f>'FS Jimbaran Nov 2019'!AO23</f>
        <v>0</v>
      </c>
      <c r="BK13" s="23">
        <f>'FS Jimbaran Nov 2019'!AQ23</f>
        <v>0</v>
      </c>
      <c r="BL13" s="23">
        <f>'FS Jimbaran Nov 2019'!AR23</f>
        <v>0</v>
      </c>
      <c r="BM13" s="23">
        <v>0</v>
      </c>
      <c r="BN13" s="23">
        <v>0</v>
      </c>
      <c r="BO13" s="24">
        <f>'FS Jimbaran Nov 2019'!Q23</f>
        <v>0</v>
      </c>
      <c r="BP13" s="23">
        <f>'FS Jimbaran Nov 2019'!R23</f>
        <v>0</v>
      </c>
    </row>
    <row r="14" spans="1:68">
      <c r="A14" s="18" t="s">
        <v>67</v>
      </c>
      <c r="B14" s="26">
        <f t="shared" si="0"/>
        <v>13</v>
      </c>
      <c r="C14" s="27">
        <v>11</v>
      </c>
      <c r="D14" s="28">
        <v>2019</v>
      </c>
      <c r="E14" s="19">
        <f>'FS Jimbaran Nov 2019'!M24</f>
        <v>5.0999999999999996</v>
      </c>
      <c r="F14" s="23">
        <f>'FS Jimbaran Nov 2019'!N24</f>
        <v>0</v>
      </c>
      <c r="G14" s="23">
        <v>0</v>
      </c>
      <c r="H14" s="23">
        <f>'FS Jimbaran Nov 2019'!H24</f>
        <v>0</v>
      </c>
      <c r="I14" s="23">
        <f>'FS Jimbaran Nov 2019'!I24</f>
        <v>0</v>
      </c>
      <c r="J14" s="23">
        <f>'FS Jimbaran Nov 2019'!J24</f>
        <v>0</v>
      </c>
      <c r="K14" s="23">
        <f>'FS Jimbaran Nov 2019'!K24</f>
        <v>105</v>
      </c>
      <c r="L14" s="23">
        <f>'FS Jimbaran Nov 2019'!L24</f>
        <v>0</v>
      </c>
      <c r="M14" s="23">
        <f>'FS Jimbaran Nov 2019'!S24</f>
        <v>0</v>
      </c>
      <c r="N14" s="23">
        <f>'FS Jimbaran Nov 2019'!T24</f>
        <v>0</v>
      </c>
      <c r="O14" s="23">
        <f>'FS Jimbaran Nov 2019'!U24</f>
        <v>7</v>
      </c>
      <c r="P14" s="23">
        <f>'FS Jimbaran Nov 2019'!V24</f>
        <v>0</v>
      </c>
      <c r="Q14" s="23">
        <f>'FS Jimbaran Nov 2019'!BE24</f>
        <v>0</v>
      </c>
      <c r="R14" s="23">
        <f>'FS Jimbaran Nov 2019'!BF24</f>
        <v>0</v>
      </c>
      <c r="S14" s="23">
        <f>'FS Jimbaran Nov 2019'!BH24</f>
        <v>0</v>
      </c>
      <c r="T14" s="23">
        <f>'FS Jimbaran Nov 2019'!BH24</f>
        <v>0</v>
      </c>
      <c r="U14" s="23">
        <f>'FS Jimbaran Nov 2019'!BI24</f>
        <v>0</v>
      </c>
      <c r="V14" s="23">
        <f>'FS Jimbaran Nov 2019'!BJ24</f>
        <v>0</v>
      </c>
      <c r="W14" s="23">
        <f>'FS Jimbaran Nov 2019'!Y24</f>
        <v>616</v>
      </c>
      <c r="X14" s="23">
        <f>'FS Jimbaran Nov 2019'!Z24</f>
        <v>0</v>
      </c>
      <c r="Y14" s="23">
        <f>'FS Jimbaran Nov 2019'!AA24</f>
        <v>0</v>
      </c>
      <c r="Z14" s="23">
        <f>'FS Jimbaran Nov 2019'!AB24</f>
        <v>0</v>
      </c>
      <c r="AA14" s="23">
        <f>'FS Jimbaran Nov 2019'!AC24</f>
        <v>0</v>
      </c>
      <c r="AB14" s="23">
        <f>'FS Jimbaran Nov 2019'!AD24</f>
        <v>0</v>
      </c>
      <c r="AC14" s="23">
        <f>'FS Jimbaran Nov 2019'!AE24</f>
        <v>0</v>
      </c>
      <c r="AD14" s="23">
        <f>'FS Jimbaran Nov 2019'!AF24</f>
        <v>0</v>
      </c>
      <c r="AE14" s="23">
        <f>'FS Jimbaran Nov 2019'!AG24</f>
        <v>0</v>
      </c>
      <c r="AF14" s="23">
        <f>'FS Jimbaran Nov 2019'!AH24</f>
        <v>0</v>
      </c>
      <c r="AG14" s="23">
        <f>'FS Jimbaran Nov 2019'!AM24</f>
        <v>0</v>
      </c>
      <c r="AH14" s="23">
        <f>'FS Jimbaran Nov 2019'!AR24</f>
        <v>0</v>
      </c>
      <c r="AI14" s="23">
        <f>'FS Jimbaran Nov 2019'!AQ24</f>
        <v>0</v>
      </c>
      <c r="AJ14" s="23">
        <f>'FS Jimbaran Nov 2019'!AR24</f>
        <v>0</v>
      </c>
      <c r="AK14" s="23">
        <f>'FS Jimbaran Nov 2019'!AY24</f>
        <v>0</v>
      </c>
      <c r="AL14" s="23">
        <f>'FS Jimbaran Nov 2019'!AZ24</f>
        <v>0</v>
      </c>
      <c r="AM14" s="23">
        <f>'FS Jimbaran Nov 2019'!BB24</f>
        <v>0</v>
      </c>
      <c r="AN14" s="23">
        <f>'FS Jimbaran Nov 2019'!BB24</f>
        <v>0</v>
      </c>
      <c r="AO14" s="23">
        <f>'FS Jimbaran Nov 2019'!BK24</f>
        <v>0</v>
      </c>
      <c r="AP14" s="23">
        <f>'FS Jimbaran Nov 2019'!BL24</f>
        <v>0</v>
      </c>
      <c r="AQ14" s="23">
        <f>'FS Jimbaran Nov 2019'!BC24</f>
        <v>0</v>
      </c>
      <c r="AR14" s="23">
        <f>'FS Jimbaran Nov 2019'!BD24</f>
        <v>0</v>
      </c>
      <c r="AS14" s="23">
        <f>'FS Jimbaran Nov 2019'!BM24</f>
        <v>0</v>
      </c>
      <c r="AT14" s="23">
        <f>'FS Jimbaran Nov 2019'!BN24</f>
        <v>0</v>
      </c>
      <c r="AU14" s="23">
        <f>'FS Jimbaran Nov 2019'!BO24</f>
        <v>0</v>
      </c>
      <c r="AV14" s="23">
        <f>'FS Jimbaran Nov 2019'!BP24</f>
        <v>0</v>
      </c>
      <c r="AW14" s="23">
        <f>'FS Jimbaran Nov 2019'!E24</f>
        <v>77.699999999999989</v>
      </c>
      <c r="AX14" s="23">
        <f>'FS Jimbaran Nov 2019'!F24</f>
        <v>0</v>
      </c>
      <c r="AY14" s="23">
        <f>'FS Jimbaran Nov 2019'!O24</f>
        <v>0</v>
      </c>
      <c r="AZ14" s="23">
        <f>'FS Jimbaran Nov 2019'!P24</f>
        <v>0</v>
      </c>
      <c r="BA14" s="23">
        <f>'FS Jimbaran Nov 2019'!W24</f>
        <v>0</v>
      </c>
      <c r="BB14" s="23">
        <f>'FS Jimbaran Nov 2019'!X24</f>
        <v>0</v>
      </c>
      <c r="BC14" s="23">
        <f>'FS Jimbaran Nov 2019'!AI24</f>
        <v>810</v>
      </c>
      <c r="BD14" s="23">
        <f>'FS Jimbaran Nov 2019'!AJ24</f>
        <v>0</v>
      </c>
      <c r="BE14" s="23">
        <f>'FS Jimbaran Nov 2019'!AK24</f>
        <v>0</v>
      </c>
      <c r="BF14" s="23">
        <f>'FS Jimbaran Nov 2019'!AL24</f>
        <v>0</v>
      </c>
      <c r="BG14" s="23">
        <f>'FS Jimbaran Nov 2019'!AM24</f>
        <v>0</v>
      </c>
      <c r="BH14" s="23">
        <f>'FS Jimbaran Nov 2019'!AN24</f>
        <v>0</v>
      </c>
      <c r="BI14" s="23">
        <f>'FS Jimbaran Nov 2019'!AO24</f>
        <v>0</v>
      </c>
      <c r="BJ14" s="23">
        <f>'FS Jimbaran Nov 2019'!AO24</f>
        <v>0</v>
      </c>
      <c r="BK14" s="23">
        <f>'FS Jimbaran Nov 2019'!AQ24</f>
        <v>0</v>
      </c>
      <c r="BL14" s="23">
        <f>'FS Jimbaran Nov 2019'!AR24</f>
        <v>0</v>
      </c>
      <c r="BM14" s="23">
        <v>0</v>
      </c>
      <c r="BN14" s="23">
        <v>0</v>
      </c>
      <c r="BO14" s="24">
        <f>'FS Jimbaran Nov 2019'!Q24</f>
        <v>0</v>
      </c>
      <c r="BP14" s="23">
        <f>'FS Jimbaran Nov 2019'!R24</f>
        <v>0</v>
      </c>
    </row>
    <row r="15" spans="1:68">
      <c r="A15" s="18" t="s">
        <v>67</v>
      </c>
      <c r="B15" s="26">
        <f t="shared" si="0"/>
        <v>14</v>
      </c>
      <c r="C15" s="27">
        <v>11</v>
      </c>
      <c r="D15" s="28">
        <v>2019</v>
      </c>
      <c r="E15" s="19">
        <f>'FS Jimbaran Nov 2019'!M25</f>
        <v>3.3</v>
      </c>
      <c r="F15" s="23">
        <f>'FS Jimbaran Nov 2019'!N25</f>
        <v>0</v>
      </c>
      <c r="G15" s="23">
        <v>0</v>
      </c>
      <c r="H15" s="23">
        <f>'FS Jimbaran Nov 2019'!H25</f>
        <v>0</v>
      </c>
      <c r="I15" s="23">
        <f>'FS Jimbaran Nov 2019'!I25</f>
        <v>0</v>
      </c>
      <c r="J15" s="23">
        <f>'FS Jimbaran Nov 2019'!J25</f>
        <v>0</v>
      </c>
      <c r="K15" s="23">
        <f>'FS Jimbaran Nov 2019'!K25</f>
        <v>85</v>
      </c>
      <c r="L15" s="23">
        <f>'FS Jimbaran Nov 2019'!L25</f>
        <v>0</v>
      </c>
      <c r="M15" s="23">
        <f>'FS Jimbaran Nov 2019'!S25</f>
        <v>0</v>
      </c>
      <c r="N15" s="23">
        <f>'FS Jimbaran Nov 2019'!T25</f>
        <v>0</v>
      </c>
      <c r="O15" s="23">
        <f>'FS Jimbaran Nov 2019'!U25</f>
        <v>11.5</v>
      </c>
      <c r="P15" s="23">
        <f>'FS Jimbaran Nov 2019'!V25</f>
        <v>0</v>
      </c>
      <c r="Q15" s="23">
        <f>'FS Jimbaran Nov 2019'!BE25</f>
        <v>0</v>
      </c>
      <c r="R15" s="23">
        <f>'FS Jimbaran Nov 2019'!BF25</f>
        <v>0</v>
      </c>
      <c r="S15" s="23">
        <f>'FS Jimbaran Nov 2019'!BH25</f>
        <v>0</v>
      </c>
      <c r="T15" s="23">
        <f>'FS Jimbaran Nov 2019'!BH25</f>
        <v>0</v>
      </c>
      <c r="U15" s="23">
        <f>'FS Jimbaran Nov 2019'!BI25</f>
        <v>0</v>
      </c>
      <c r="V15" s="23">
        <f>'FS Jimbaran Nov 2019'!BJ25</f>
        <v>0</v>
      </c>
      <c r="W15" s="23">
        <f>'FS Jimbaran Nov 2019'!Y25</f>
        <v>600</v>
      </c>
      <c r="X15" s="23">
        <f>'FS Jimbaran Nov 2019'!Z25</f>
        <v>0</v>
      </c>
      <c r="Y15" s="23">
        <f>'FS Jimbaran Nov 2019'!AA25</f>
        <v>0</v>
      </c>
      <c r="Z15" s="23">
        <f>'FS Jimbaran Nov 2019'!AB25</f>
        <v>0</v>
      </c>
      <c r="AA15" s="23">
        <f>'FS Jimbaran Nov 2019'!AC25</f>
        <v>0</v>
      </c>
      <c r="AB15" s="23">
        <f>'FS Jimbaran Nov 2019'!AD25</f>
        <v>0</v>
      </c>
      <c r="AC15" s="23">
        <f>'FS Jimbaran Nov 2019'!AE25</f>
        <v>0</v>
      </c>
      <c r="AD15" s="23">
        <f>'FS Jimbaran Nov 2019'!AF25</f>
        <v>0</v>
      </c>
      <c r="AE15" s="23">
        <f>'FS Jimbaran Nov 2019'!AG25</f>
        <v>0</v>
      </c>
      <c r="AF15" s="23">
        <f>'FS Jimbaran Nov 2019'!AH25</f>
        <v>0</v>
      </c>
      <c r="AG15" s="23">
        <f>'FS Jimbaran Nov 2019'!AM25</f>
        <v>0</v>
      </c>
      <c r="AH15" s="23">
        <f>'FS Jimbaran Nov 2019'!AR25</f>
        <v>0</v>
      </c>
      <c r="AI15" s="23">
        <f>'FS Jimbaran Nov 2019'!AQ25</f>
        <v>0</v>
      </c>
      <c r="AJ15" s="23">
        <f>'FS Jimbaran Nov 2019'!AR25</f>
        <v>0</v>
      </c>
      <c r="AK15" s="23">
        <f>'FS Jimbaran Nov 2019'!AY25</f>
        <v>0</v>
      </c>
      <c r="AL15" s="23">
        <f>'FS Jimbaran Nov 2019'!AZ25</f>
        <v>0</v>
      </c>
      <c r="AM15" s="23">
        <f>'FS Jimbaran Nov 2019'!BB25</f>
        <v>0</v>
      </c>
      <c r="AN15" s="23">
        <f>'FS Jimbaran Nov 2019'!BB25</f>
        <v>0</v>
      </c>
      <c r="AO15" s="23">
        <f>'FS Jimbaran Nov 2019'!BK25</f>
        <v>0</v>
      </c>
      <c r="AP15" s="23">
        <f>'FS Jimbaran Nov 2019'!BL25</f>
        <v>0</v>
      </c>
      <c r="AQ15" s="23">
        <f>'FS Jimbaran Nov 2019'!BC25</f>
        <v>0</v>
      </c>
      <c r="AR15" s="23">
        <f>'FS Jimbaran Nov 2019'!BD25</f>
        <v>0</v>
      </c>
      <c r="AS15" s="23">
        <f>'FS Jimbaran Nov 2019'!BM25</f>
        <v>0</v>
      </c>
      <c r="AT15" s="23">
        <f>'FS Jimbaran Nov 2019'!BN25</f>
        <v>0</v>
      </c>
      <c r="AU15" s="23">
        <f>'FS Jimbaran Nov 2019'!BO25</f>
        <v>0</v>
      </c>
      <c r="AV15" s="23">
        <f>'FS Jimbaran Nov 2019'!BP25</f>
        <v>0</v>
      </c>
      <c r="AW15" s="23">
        <f>'FS Jimbaran Nov 2019'!E25</f>
        <v>117.69999999999999</v>
      </c>
      <c r="AX15" s="23">
        <f>'FS Jimbaran Nov 2019'!F25</f>
        <v>0</v>
      </c>
      <c r="AY15" s="23">
        <f>'FS Jimbaran Nov 2019'!O25</f>
        <v>0</v>
      </c>
      <c r="AZ15" s="23">
        <f>'FS Jimbaran Nov 2019'!P25</f>
        <v>0</v>
      </c>
      <c r="BA15" s="23">
        <f>'FS Jimbaran Nov 2019'!W25</f>
        <v>0</v>
      </c>
      <c r="BB15" s="23">
        <f>'FS Jimbaran Nov 2019'!X25</f>
        <v>0</v>
      </c>
      <c r="BC15" s="23">
        <f>'FS Jimbaran Nov 2019'!AI25</f>
        <v>690</v>
      </c>
      <c r="BD15" s="23">
        <f>'FS Jimbaran Nov 2019'!AJ25</f>
        <v>0</v>
      </c>
      <c r="BE15" s="23">
        <f>'FS Jimbaran Nov 2019'!AK25</f>
        <v>0</v>
      </c>
      <c r="BF15" s="23">
        <f>'FS Jimbaran Nov 2019'!AL25</f>
        <v>0</v>
      </c>
      <c r="BG15" s="23">
        <f>'FS Jimbaran Nov 2019'!AM25</f>
        <v>0</v>
      </c>
      <c r="BH15" s="23">
        <f>'FS Jimbaran Nov 2019'!AN25</f>
        <v>0</v>
      </c>
      <c r="BI15" s="23">
        <f>'FS Jimbaran Nov 2019'!AO25</f>
        <v>0</v>
      </c>
      <c r="BJ15" s="23">
        <f>'FS Jimbaran Nov 2019'!AO25</f>
        <v>0</v>
      </c>
      <c r="BK15" s="23">
        <f>'FS Jimbaran Nov 2019'!AQ25</f>
        <v>0</v>
      </c>
      <c r="BL15" s="23">
        <f>'FS Jimbaran Nov 2019'!AR25</f>
        <v>0</v>
      </c>
      <c r="BM15" s="23">
        <v>0</v>
      </c>
      <c r="BN15" s="23">
        <v>0</v>
      </c>
      <c r="BO15" s="24">
        <f>'FS Jimbaran Nov 2019'!Q25</f>
        <v>0</v>
      </c>
      <c r="BP15" s="23">
        <f>'FS Jimbaran Nov 2019'!R25</f>
        <v>0</v>
      </c>
    </row>
    <row r="16" spans="1:68">
      <c r="A16" s="18" t="s">
        <v>67</v>
      </c>
      <c r="B16" s="26">
        <f t="shared" si="0"/>
        <v>15</v>
      </c>
      <c r="C16" s="27">
        <v>11</v>
      </c>
      <c r="D16" s="28">
        <v>2019</v>
      </c>
      <c r="E16" s="19">
        <f>'FS Jimbaran Nov 2019'!M26</f>
        <v>5.5</v>
      </c>
      <c r="F16" s="23">
        <f>'FS Jimbaran Nov 2019'!N26</f>
        <v>0</v>
      </c>
      <c r="G16" s="23">
        <v>0</v>
      </c>
      <c r="H16" s="23">
        <f>'FS Jimbaran Nov 2019'!H26</f>
        <v>0</v>
      </c>
      <c r="I16" s="23">
        <f>'FS Jimbaran Nov 2019'!I26</f>
        <v>0</v>
      </c>
      <c r="J16" s="23">
        <f>'FS Jimbaran Nov 2019'!J26</f>
        <v>0</v>
      </c>
      <c r="K16" s="23">
        <f>'FS Jimbaran Nov 2019'!K26</f>
        <v>75</v>
      </c>
      <c r="L16" s="23">
        <f>'FS Jimbaran Nov 2019'!L26</f>
        <v>0</v>
      </c>
      <c r="M16" s="23">
        <f>'FS Jimbaran Nov 2019'!S26</f>
        <v>0</v>
      </c>
      <c r="N16" s="23">
        <f>'FS Jimbaran Nov 2019'!T26</f>
        <v>0</v>
      </c>
      <c r="O16" s="23">
        <f>'FS Jimbaran Nov 2019'!U26</f>
        <v>8.5</v>
      </c>
      <c r="P16" s="23">
        <f>'FS Jimbaran Nov 2019'!V26</f>
        <v>0</v>
      </c>
      <c r="Q16" s="23">
        <f>'FS Jimbaran Nov 2019'!BE26</f>
        <v>0</v>
      </c>
      <c r="R16" s="23">
        <f>'FS Jimbaran Nov 2019'!BF26</f>
        <v>0</v>
      </c>
      <c r="S16" s="23">
        <f>'FS Jimbaran Nov 2019'!BH26</f>
        <v>0</v>
      </c>
      <c r="T16" s="23">
        <f>'FS Jimbaran Nov 2019'!BH26</f>
        <v>0</v>
      </c>
      <c r="U16" s="23">
        <f>'FS Jimbaran Nov 2019'!BI26</f>
        <v>0</v>
      </c>
      <c r="V16" s="23">
        <f>'FS Jimbaran Nov 2019'!BJ26</f>
        <v>0</v>
      </c>
      <c r="W16" s="23">
        <f>'FS Jimbaran Nov 2019'!Y26</f>
        <v>624</v>
      </c>
      <c r="X16" s="23">
        <f>'FS Jimbaran Nov 2019'!Z26</f>
        <v>0</v>
      </c>
      <c r="Y16" s="23">
        <f>'FS Jimbaran Nov 2019'!AA26</f>
        <v>0</v>
      </c>
      <c r="Z16" s="23">
        <f>'FS Jimbaran Nov 2019'!AB26</f>
        <v>0</v>
      </c>
      <c r="AA16" s="23">
        <f>'FS Jimbaran Nov 2019'!AC26</f>
        <v>0</v>
      </c>
      <c r="AB16" s="23">
        <f>'FS Jimbaran Nov 2019'!AD26</f>
        <v>0</v>
      </c>
      <c r="AC16" s="23">
        <f>'FS Jimbaran Nov 2019'!AE26</f>
        <v>0</v>
      </c>
      <c r="AD16" s="23">
        <f>'FS Jimbaran Nov 2019'!AF26</f>
        <v>0</v>
      </c>
      <c r="AE16" s="23">
        <f>'FS Jimbaran Nov 2019'!AG26</f>
        <v>0</v>
      </c>
      <c r="AF16" s="23">
        <f>'FS Jimbaran Nov 2019'!AH26</f>
        <v>0</v>
      </c>
      <c r="AG16" s="23">
        <f>'FS Jimbaran Nov 2019'!AM26</f>
        <v>0</v>
      </c>
      <c r="AH16" s="23">
        <f>'FS Jimbaran Nov 2019'!AR26</f>
        <v>0</v>
      </c>
      <c r="AI16" s="23">
        <f>'FS Jimbaran Nov 2019'!AQ26</f>
        <v>0</v>
      </c>
      <c r="AJ16" s="23">
        <f>'FS Jimbaran Nov 2019'!AR26</f>
        <v>0</v>
      </c>
      <c r="AK16" s="23">
        <f>'FS Jimbaran Nov 2019'!AY26</f>
        <v>0</v>
      </c>
      <c r="AL16" s="23">
        <f>'FS Jimbaran Nov 2019'!AZ26</f>
        <v>0</v>
      </c>
      <c r="AM16" s="23">
        <f>'FS Jimbaran Nov 2019'!BB26</f>
        <v>0</v>
      </c>
      <c r="AN16" s="23">
        <f>'FS Jimbaran Nov 2019'!BB26</f>
        <v>0</v>
      </c>
      <c r="AO16" s="23">
        <f>'FS Jimbaran Nov 2019'!BK26</f>
        <v>0</v>
      </c>
      <c r="AP16" s="23">
        <f>'FS Jimbaran Nov 2019'!BL26</f>
        <v>0</v>
      </c>
      <c r="AQ16" s="23">
        <f>'FS Jimbaran Nov 2019'!BC26</f>
        <v>0</v>
      </c>
      <c r="AR16" s="23">
        <f>'FS Jimbaran Nov 2019'!BD26</f>
        <v>0</v>
      </c>
      <c r="AS16" s="23">
        <f>'FS Jimbaran Nov 2019'!BM26</f>
        <v>0</v>
      </c>
      <c r="AT16" s="23">
        <f>'FS Jimbaran Nov 2019'!BN26</f>
        <v>0</v>
      </c>
      <c r="AU16" s="23">
        <f>'FS Jimbaran Nov 2019'!BO26</f>
        <v>0</v>
      </c>
      <c r="AV16" s="23">
        <f>'FS Jimbaran Nov 2019'!BP26</f>
        <v>0</v>
      </c>
      <c r="AW16" s="23">
        <f>'FS Jimbaran Nov 2019'!E26</f>
        <v>90.1</v>
      </c>
      <c r="AX16" s="23">
        <f>'FS Jimbaran Nov 2019'!F26</f>
        <v>0</v>
      </c>
      <c r="AY16" s="23">
        <f>'FS Jimbaran Nov 2019'!O26</f>
        <v>0</v>
      </c>
      <c r="AZ16" s="23">
        <f>'FS Jimbaran Nov 2019'!P26</f>
        <v>0</v>
      </c>
      <c r="BA16" s="23">
        <f>'FS Jimbaran Nov 2019'!W26</f>
        <v>0</v>
      </c>
      <c r="BB16" s="23">
        <f>'FS Jimbaran Nov 2019'!X26</f>
        <v>0</v>
      </c>
      <c r="BC16" s="23">
        <f>'FS Jimbaran Nov 2019'!AI26</f>
        <v>650</v>
      </c>
      <c r="BD16" s="23">
        <f>'FS Jimbaran Nov 2019'!AJ26</f>
        <v>0</v>
      </c>
      <c r="BE16" s="23">
        <f>'FS Jimbaran Nov 2019'!AK26</f>
        <v>0</v>
      </c>
      <c r="BF16" s="23">
        <f>'FS Jimbaran Nov 2019'!AL26</f>
        <v>0</v>
      </c>
      <c r="BG16" s="23">
        <f>'FS Jimbaran Nov 2019'!AM26</f>
        <v>0</v>
      </c>
      <c r="BH16" s="23">
        <f>'FS Jimbaran Nov 2019'!AN26</f>
        <v>0</v>
      </c>
      <c r="BI16" s="23">
        <f>'FS Jimbaran Nov 2019'!AO26</f>
        <v>0</v>
      </c>
      <c r="BJ16" s="23">
        <f>'FS Jimbaran Nov 2019'!AO26</f>
        <v>0</v>
      </c>
      <c r="BK16" s="23">
        <f>'FS Jimbaran Nov 2019'!AQ26</f>
        <v>0</v>
      </c>
      <c r="BL16" s="23">
        <f>'FS Jimbaran Nov 2019'!AR26</f>
        <v>0</v>
      </c>
      <c r="BM16" s="23">
        <v>0</v>
      </c>
      <c r="BN16" s="23">
        <v>0</v>
      </c>
      <c r="BO16" s="24">
        <f>'FS Jimbaran Nov 2019'!Q26</f>
        <v>0</v>
      </c>
      <c r="BP16" s="23">
        <f>'FS Jimbaran Nov 2019'!R26</f>
        <v>0</v>
      </c>
    </row>
    <row r="17" spans="1:68">
      <c r="A17" s="18" t="s">
        <v>67</v>
      </c>
      <c r="B17" s="26">
        <f t="shared" si="0"/>
        <v>16</v>
      </c>
      <c r="C17" s="27">
        <v>11</v>
      </c>
      <c r="D17" s="28">
        <v>2019</v>
      </c>
      <c r="E17" s="19">
        <f>'FS Jimbaran Nov 2019'!M27</f>
        <v>5.9</v>
      </c>
      <c r="F17" s="23">
        <f>'FS Jimbaran Nov 2019'!N27</f>
        <v>0</v>
      </c>
      <c r="G17" s="23">
        <v>0</v>
      </c>
      <c r="H17" s="23">
        <f>'FS Jimbaran Nov 2019'!H27</f>
        <v>0</v>
      </c>
      <c r="I17" s="23">
        <f>'FS Jimbaran Nov 2019'!I27</f>
        <v>0</v>
      </c>
      <c r="J17" s="23">
        <f>'FS Jimbaran Nov 2019'!J27</f>
        <v>0</v>
      </c>
      <c r="K17" s="23">
        <f>'FS Jimbaran Nov 2019'!K27</f>
        <v>92</v>
      </c>
      <c r="L17" s="23">
        <f>'FS Jimbaran Nov 2019'!L27</f>
        <v>0</v>
      </c>
      <c r="M17" s="23">
        <f>'FS Jimbaran Nov 2019'!S27</f>
        <v>0</v>
      </c>
      <c r="N17" s="23">
        <f>'FS Jimbaran Nov 2019'!T27</f>
        <v>0</v>
      </c>
      <c r="O17" s="23">
        <f>'FS Jimbaran Nov 2019'!U27</f>
        <v>16</v>
      </c>
      <c r="P17" s="23">
        <f>'FS Jimbaran Nov 2019'!V27</f>
        <v>0</v>
      </c>
      <c r="Q17" s="23">
        <f>'FS Jimbaran Nov 2019'!BE27</f>
        <v>0</v>
      </c>
      <c r="R17" s="23">
        <f>'FS Jimbaran Nov 2019'!BF27</f>
        <v>0</v>
      </c>
      <c r="S17" s="23">
        <f>'FS Jimbaran Nov 2019'!BH27</f>
        <v>0</v>
      </c>
      <c r="T17" s="23">
        <f>'FS Jimbaran Nov 2019'!BH27</f>
        <v>0</v>
      </c>
      <c r="U17" s="23">
        <f>'FS Jimbaran Nov 2019'!BI27</f>
        <v>0</v>
      </c>
      <c r="V17" s="23">
        <f>'FS Jimbaran Nov 2019'!BJ27</f>
        <v>0</v>
      </c>
      <c r="W17" s="23">
        <f>'FS Jimbaran Nov 2019'!Y27</f>
        <v>592</v>
      </c>
      <c r="X17" s="23">
        <f>'FS Jimbaran Nov 2019'!Z27</f>
        <v>0</v>
      </c>
      <c r="Y17" s="23">
        <f>'FS Jimbaran Nov 2019'!AA27</f>
        <v>0</v>
      </c>
      <c r="Z17" s="23">
        <f>'FS Jimbaran Nov 2019'!AB27</f>
        <v>0</v>
      </c>
      <c r="AA17" s="23">
        <f>'FS Jimbaran Nov 2019'!AC27</f>
        <v>0</v>
      </c>
      <c r="AB17" s="23">
        <f>'FS Jimbaran Nov 2019'!AD27</f>
        <v>0</v>
      </c>
      <c r="AC17" s="23">
        <f>'FS Jimbaran Nov 2019'!AE27</f>
        <v>0</v>
      </c>
      <c r="AD17" s="23">
        <f>'FS Jimbaran Nov 2019'!AF27</f>
        <v>0</v>
      </c>
      <c r="AE17" s="23">
        <f>'FS Jimbaran Nov 2019'!AG27</f>
        <v>0</v>
      </c>
      <c r="AF17" s="23">
        <f>'FS Jimbaran Nov 2019'!AH27</f>
        <v>0</v>
      </c>
      <c r="AG17" s="23">
        <f>'FS Jimbaran Nov 2019'!AM27</f>
        <v>0</v>
      </c>
      <c r="AH17" s="23">
        <f>'FS Jimbaran Nov 2019'!AR27</f>
        <v>0</v>
      </c>
      <c r="AI17" s="23">
        <f>'FS Jimbaran Nov 2019'!AQ27</f>
        <v>0</v>
      </c>
      <c r="AJ17" s="23">
        <f>'FS Jimbaran Nov 2019'!AR27</f>
        <v>0</v>
      </c>
      <c r="AK17" s="23">
        <f>'FS Jimbaran Nov 2019'!AY27</f>
        <v>0</v>
      </c>
      <c r="AL17" s="23">
        <f>'FS Jimbaran Nov 2019'!AZ27</f>
        <v>0</v>
      </c>
      <c r="AM17" s="23">
        <f>'FS Jimbaran Nov 2019'!BB27</f>
        <v>0</v>
      </c>
      <c r="AN17" s="23">
        <f>'FS Jimbaran Nov 2019'!BB27</f>
        <v>0</v>
      </c>
      <c r="AO17" s="23">
        <f>'FS Jimbaran Nov 2019'!BK27</f>
        <v>0</v>
      </c>
      <c r="AP17" s="23">
        <f>'FS Jimbaran Nov 2019'!BL27</f>
        <v>0</v>
      </c>
      <c r="AQ17" s="23">
        <f>'FS Jimbaran Nov 2019'!BC27</f>
        <v>0</v>
      </c>
      <c r="AR17" s="23">
        <f>'FS Jimbaran Nov 2019'!BD27</f>
        <v>0</v>
      </c>
      <c r="AS17" s="23">
        <f>'FS Jimbaran Nov 2019'!BM27</f>
        <v>0</v>
      </c>
      <c r="AT17" s="23">
        <f>'FS Jimbaran Nov 2019'!BN27</f>
        <v>0</v>
      </c>
      <c r="AU17" s="23">
        <f>'FS Jimbaran Nov 2019'!BO27</f>
        <v>0</v>
      </c>
      <c r="AV17" s="23">
        <f>'FS Jimbaran Nov 2019'!BP27</f>
        <v>0</v>
      </c>
      <c r="AW17" s="23">
        <f>'FS Jimbaran Nov 2019'!E27</f>
        <v>93.3</v>
      </c>
      <c r="AX17" s="23">
        <f>'FS Jimbaran Nov 2019'!F27</f>
        <v>0</v>
      </c>
      <c r="AY17" s="23">
        <f>'FS Jimbaran Nov 2019'!O27</f>
        <v>0</v>
      </c>
      <c r="AZ17" s="23">
        <f>'FS Jimbaran Nov 2019'!P27</f>
        <v>0</v>
      </c>
      <c r="BA17" s="23">
        <f>'FS Jimbaran Nov 2019'!W27</f>
        <v>0</v>
      </c>
      <c r="BB17" s="23">
        <f>'FS Jimbaran Nov 2019'!X27</f>
        <v>0</v>
      </c>
      <c r="BC17" s="23">
        <f>'FS Jimbaran Nov 2019'!AI27</f>
        <v>710</v>
      </c>
      <c r="BD17" s="23">
        <f>'FS Jimbaran Nov 2019'!AJ27</f>
        <v>0</v>
      </c>
      <c r="BE17" s="23">
        <f>'FS Jimbaran Nov 2019'!AK27</f>
        <v>0</v>
      </c>
      <c r="BF17" s="23">
        <f>'FS Jimbaran Nov 2019'!AL27</f>
        <v>0</v>
      </c>
      <c r="BG17" s="23">
        <f>'FS Jimbaran Nov 2019'!AM27</f>
        <v>0</v>
      </c>
      <c r="BH17" s="23">
        <f>'FS Jimbaran Nov 2019'!AN27</f>
        <v>0</v>
      </c>
      <c r="BI17" s="23">
        <f>'FS Jimbaran Nov 2019'!AO27</f>
        <v>0</v>
      </c>
      <c r="BJ17" s="23">
        <f>'FS Jimbaran Nov 2019'!AO27</f>
        <v>0</v>
      </c>
      <c r="BK17" s="23">
        <f>'FS Jimbaran Nov 2019'!AQ27</f>
        <v>0</v>
      </c>
      <c r="BL17" s="23">
        <f>'FS Jimbaran Nov 2019'!AR27</f>
        <v>0</v>
      </c>
      <c r="BM17" s="23">
        <v>0</v>
      </c>
      <c r="BN17" s="23">
        <v>0</v>
      </c>
      <c r="BO17" s="24">
        <f>'FS Jimbaran Nov 2019'!Q27</f>
        <v>0</v>
      </c>
      <c r="BP17" s="23">
        <f>'FS Jimbaran Nov 2019'!R27</f>
        <v>0</v>
      </c>
    </row>
    <row r="18" spans="1:68">
      <c r="A18" s="18" t="s">
        <v>67</v>
      </c>
      <c r="B18" s="26">
        <f t="shared" si="0"/>
        <v>17</v>
      </c>
      <c r="C18" s="27">
        <v>11</v>
      </c>
      <c r="D18" s="28">
        <v>2019</v>
      </c>
      <c r="E18" s="19">
        <f>'FS Jimbaran Nov 2019'!M28</f>
        <v>4.0999999999999996</v>
      </c>
      <c r="F18" s="23">
        <f>'FS Jimbaran Nov 2019'!N28</f>
        <v>0</v>
      </c>
      <c r="G18" s="23">
        <v>0</v>
      </c>
      <c r="H18" s="23">
        <f>'FS Jimbaran Nov 2019'!H28</f>
        <v>0</v>
      </c>
      <c r="I18" s="23">
        <f>'FS Jimbaran Nov 2019'!I28</f>
        <v>0</v>
      </c>
      <c r="J18" s="23">
        <f>'FS Jimbaran Nov 2019'!J28</f>
        <v>0</v>
      </c>
      <c r="K18" s="23">
        <f>'FS Jimbaran Nov 2019'!K28</f>
        <v>90</v>
      </c>
      <c r="L18" s="23">
        <f>'FS Jimbaran Nov 2019'!L28</f>
        <v>0</v>
      </c>
      <c r="M18" s="23">
        <f>'FS Jimbaran Nov 2019'!S28</f>
        <v>0</v>
      </c>
      <c r="N18" s="23">
        <f>'FS Jimbaran Nov 2019'!T28</f>
        <v>0</v>
      </c>
      <c r="O18" s="23">
        <f>'FS Jimbaran Nov 2019'!U28</f>
        <v>18.5</v>
      </c>
      <c r="P18" s="23">
        <f>'FS Jimbaran Nov 2019'!V28</f>
        <v>0</v>
      </c>
      <c r="Q18" s="23">
        <f>'FS Jimbaran Nov 2019'!BE28</f>
        <v>0</v>
      </c>
      <c r="R18" s="23">
        <f>'FS Jimbaran Nov 2019'!BF28</f>
        <v>0</v>
      </c>
      <c r="S18" s="23">
        <f>'FS Jimbaran Nov 2019'!BH28</f>
        <v>0</v>
      </c>
      <c r="T18" s="23">
        <f>'FS Jimbaran Nov 2019'!BH28</f>
        <v>0</v>
      </c>
      <c r="U18" s="23">
        <f>'FS Jimbaran Nov 2019'!BI28</f>
        <v>0</v>
      </c>
      <c r="V18" s="23">
        <f>'FS Jimbaran Nov 2019'!BJ28</f>
        <v>0</v>
      </c>
      <c r="W18" s="23">
        <f>'FS Jimbaran Nov 2019'!Y28</f>
        <v>640</v>
      </c>
      <c r="X18" s="23">
        <f>'FS Jimbaran Nov 2019'!Z28</f>
        <v>0</v>
      </c>
      <c r="Y18" s="23">
        <f>'FS Jimbaran Nov 2019'!AA28</f>
        <v>0</v>
      </c>
      <c r="Z18" s="23">
        <f>'FS Jimbaran Nov 2019'!AB28</f>
        <v>0</v>
      </c>
      <c r="AA18" s="23">
        <f>'FS Jimbaran Nov 2019'!AC28</f>
        <v>0</v>
      </c>
      <c r="AB18" s="23">
        <f>'FS Jimbaran Nov 2019'!AD28</f>
        <v>0</v>
      </c>
      <c r="AC18" s="23">
        <f>'FS Jimbaran Nov 2019'!AE28</f>
        <v>0</v>
      </c>
      <c r="AD18" s="23">
        <f>'FS Jimbaran Nov 2019'!AF28</f>
        <v>0</v>
      </c>
      <c r="AE18" s="23">
        <f>'FS Jimbaran Nov 2019'!AG28</f>
        <v>0</v>
      </c>
      <c r="AF18" s="23">
        <f>'FS Jimbaran Nov 2019'!AH28</f>
        <v>0</v>
      </c>
      <c r="AG18" s="23">
        <f>'FS Jimbaran Nov 2019'!AM28</f>
        <v>0</v>
      </c>
      <c r="AH18" s="23">
        <f>'FS Jimbaran Nov 2019'!AR28</f>
        <v>0</v>
      </c>
      <c r="AI18" s="23">
        <f>'FS Jimbaran Nov 2019'!AQ28</f>
        <v>0</v>
      </c>
      <c r="AJ18" s="23">
        <f>'FS Jimbaran Nov 2019'!AR28</f>
        <v>0</v>
      </c>
      <c r="AK18" s="23">
        <f>'FS Jimbaran Nov 2019'!AY28</f>
        <v>0</v>
      </c>
      <c r="AL18" s="23">
        <f>'FS Jimbaran Nov 2019'!AZ28</f>
        <v>0</v>
      </c>
      <c r="AM18" s="23">
        <f>'FS Jimbaran Nov 2019'!BB28</f>
        <v>0</v>
      </c>
      <c r="AN18" s="23">
        <f>'FS Jimbaran Nov 2019'!BB28</f>
        <v>0</v>
      </c>
      <c r="AO18" s="23">
        <f>'FS Jimbaran Nov 2019'!BK28</f>
        <v>0</v>
      </c>
      <c r="AP18" s="23">
        <f>'FS Jimbaran Nov 2019'!BL28</f>
        <v>0</v>
      </c>
      <c r="AQ18" s="23">
        <f>'FS Jimbaran Nov 2019'!BC28</f>
        <v>0</v>
      </c>
      <c r="AR18" s="23">
        <f>'FS Jimbaran Nov 2019'!BD28</f>
        <v>0</v>
      </c>
      <c r="AS18" s="23">
        <f>'FS Jimbaran Nov 2019'!BM28</f>
        <v>0</v>
      </c>
      <c r="AT18" s="23">
        <f>'FS Jimbaran Nov 2019'!BN28</f>
        <v>0</v>
      </c>
      <c r="AU18" s="23">
        <f>'FS Jimbaran Nov 2019'!BO28</f>
        <v>0</v>
      </c>
      <c r="AV18" s="23">
        <f>'FS Jimbaran Nov 2019'!BP28</f>
        <v>0</v>
      </c>
      <c r="AW18" s="23">
        <f>'FS Jimbaran Nov 2019'!E28</f>
        <v>102.6</v>
      </c>
      <c r="AX18" s="23">
        <f>'FS Jimbaran Nov 2019'!F28</f>
        <v>0</v>
      </c>
      <c r="AY18" s="23">
        <f>'FS Jimbaran Nov 2019'!O28</f>
        <v>0</v>
      </c>
      <c r="AZ18" s="23">
        <f>'FS Jimbaran Nov 2019'!P28</f>
        <v>0</v>
      </c>
      <c r="BA18" s="23">
        <f>'FS Jimbaran Nov 2019'!W28</f>
        <v>0</v>
      </c>
      <c r="BB18" s="23">
        <f>'FS Jimbaran Nov 2019'!X28</f>
        <v>0</v>
      </c>
      <c r="BC18" s="23">
        <f>'FS Jimbaran Nov 2019'!AI28</f>
        <v>830.00000000000011</v>
      </c>
      <c r="BD18" s="23">
        <f>'FS Jimbaran Nov 2019'!AJ28</f>
        <v>0</v>
      </c>
      <c r="BE18" s="23">
        <f>'FS Jimbaran Nov 2019'!AK28</f>
        <v>0</v>
      </c>
      <c r="BF18" s="23">
        <f>'FS Jimbaran Nov 2019'!AL28</f>
        <v>0</v>
      </c>
      <c r="BG18" s="23">
        <f>'FS Jimbaran Nov 2019'!AM28</f>
        <v>0</v>
      </c>
      <c r="BH18" s="23">
        <f>'FS Jimbaran Nov 2019'!AN28</f>
        <v>0</v>
      </c>
      <c r="BI18" s="23">
        <f>'FS Jimbaran Nov 2019'!AO28</f>
        <v>0</v>
      </c>
      <c r="BJ18" s="23">
        <f>'FS Jimbaran Nov 2019'!AO28</f>
        <v>0</v>
      </c>
      <c r="BK18" s="23">
        <f>'FS Jimbaran Nov 2019'!AQ28</f>
        <v>0</v>
      </c>
      <c r="BL18" s="23">
        <f>'FS Jimbaran Nov 2019'!AR28</f>
        <v>0</v>
      </c>
      <c r="BM18" s="23">
        <v>0</v>
      </c>
      <c r="BN18" s="23">
        <v>0</v>
      </c>
      <c r="BO18" s="24">
        <f>'FS Jimbaran Nov 2019'!Q28</f>
        <v>0</v>
      </c>
      <c r="BP18" s="23">
        <f>'FS Jimbaran Nov 2019'!R28</f>
        <v>0</v>
      </c>
    </row>
    <row r="19" spans="1:68">
      <c r="A19" s="18" t="s">
        <v>67</v>
      </c>
      <c r="B19" s="26">
        <f t="shared" si="0"/>
        <v>18</v>
      </c>
      <c r="C19" s="27">
        <v>11</v>
      </c>
      <c r="D19" s="28">
        <v>2019</v>
      </c>
      <c r="E19" s="19">
        <f>'FS Jimbaran Nov 2019'!M29</f>
        <v>7.3000000000000007</v>
      </c>
      <c r="F19" s="23">
        <f>'FS Jimbaran Nov 2019'!N29</f>
        <v>0</v>
      </c>
      <c r="G19" s="23">
        <v>0</v>
      </c>
      <c r="H19" s="23">
        <f>'FS Jimbaran Nov 2019'!H29</f>
        <v>0</v>
      </c>
      <c r="I19" s="23">
        <f>'FS Jimbaran Nov 2019'!I29</f>
        <v>0</v>
      </c>
      <c r="J19" s="23">
        <f>'FS Jimbaran Nov 2019'!J29</f>
        <v>0</v>
      </c>
      <c r="K19" s="23">
        <f>'FS Jimbaran Nov 2019'!K29</f>
        <v>105</v>
      </c>
      <c r="L19" s="23">
        <f>'FS Jimbaran Nov 2019'!L29</f>
        <v>0</v>
      </c>
      <c r="M19" s="23">
        <f>'FS Jimbaran Nov 2019'!S29</f>
        <v>0</v>
      </c>
      <c r="N19" s="23">
        <f>'FS Jimbaran Nov 2019'!T29</f>
        <v>0</v>
      </c>
      <c r="O19" s="23">
        <f>'FS Jimbaran Nov 2019'!U29</f>
        <v>14</v>
      </c>
      <c r="P19" s="23">
        <f>'FS Jimbaran Nov 2019'!V29</f>
        <v>0</v>
      </c>
      <c r="Q19" s="23">
        <f>'FS Jimbaran Nov 2019'!BE29</f>
        <v>0</v>
      </c>
      <c r="R19" s="23">
        <f>'FS Jimbaran Nov 2019'!BF29</f>
        <v>0</v>
      </c>
      <c r="S19" s="23">
        <f>'FS Jimbaran Nov 2019'!BH29</f>
        <v>0</v>
      </c>
      <c r="T19" s="23">
        <f>'FS Jimbaran Nov 2019'!BH29</f>
        <v>0</v>
      </c>
      <c r="U19" s="23">
        <f>'FS Jimbaran Nov 2019'!BI29</f>
        <v>0</v>
      </c>
      <c r="V19" s="23">
        <f>'FS Jimbaran Nov 2019'!BJ29</f>
        <v>0</v>
      </c>
      <c r="W19" s="23">
        <f>'FS Jimbaran Nov 2019'!Y29</f>
        <v>656</v>
      </c>
      <c r="X19" s="23">
        <f>'FS Jimbaran Nov 2019'!Z29</f>
        <v>0</v>
      </c>
      <c r="Y19" s="23">
        <f>'FS Jimbaran Nov 2019'!AA29</f>
        <v>0</v>
      </c>
      <c r="Z19" s="23">
        <f>'FS Jimbaran Nov 2019'!AB29</f>
        <v>0</v>
      </c>
      <c r="AA19" s="23">
        <f>'FS Jimbaran Nov 2019'!AC29</f>
        <v>0</v>
      </c>
      <c r="AB19" s="23">
        <f>'FS Jimbaran Nov 2019'!AD29</f>
        <v>0</v>
      </c>
      <c r="AC19" s="23">
        <f>'FS Jimbaran Nov 2019'!AE29</f>
        <v>0</v>
      </c>
      <c r="AD19" s="23">
        <f>'FS Jimbaran Nov 2019'!AF29</f>
        <v>0</v>
      </c>
      <c r="AE19" s="23">
        <f>'FS Jimbaran Nov 2019'!AG29</f>
        <v>0</v>
      </c>
      <c r="AF19" s="23">
        <f>'FS Jimbaran Nov 2019'!AH29</f>
        <v>0</v>
      </c>
      <c r="AG19" s="23">
        <f>'FS Jimbaran Nov 2019'!AM29</f>
        <v>0</v>
      </c>
      <c r="AH19" s="23">
        <f>'FS Jimbaran Nov 2019'!AR29</f>
        <v>0</v>
      </c>
      <c r="AI19" s="23">
        <f>'FS Jimbaran Nov 2019'!AQ29</f>
        <v>0</v>
      </c>
      <c r="AJ19" s="23">
        <f>'FS Jimbaran Nov 2019'!AR29</f>
        <v>0</v>
      </c>
      <c r="AK19" s="23">
        <f>'FS Jimbaran Nov 2019'!AY29</f>
        <v>0</v>
      </c>
      <c r="AL19" s="23">
        <f>'FS Jimbaran Nov 2019'!AZ29</f>
        <v>0</v>
      </c>
      <c r="AM19" s="23">
        <f>'FS Jimbaran Nov 2019'!BB29</f>
        <v>0</v>
      </c>
      <c r="AN19" s="23">
        <f>'FS Jimbaran Nov 2019'!BB29</f>
        <v>0</v>
      </c>
      <c r="AO19" s="23">
        <f>'FS Jimbaran Nov 2019'!BK29</f>
        <v>0</v>
      </c>
      <c r="AP19" s="23">
        <f>'FS Jimbaran Nov 2019'!BL29</f>
        <v>0</v>
      </c>
      <c r="AQ19" s="23">
        <f>'FS Jimbaran Nov 2019'!BC29</f>
        <v>0</v>
      </c>
      <c r="AR19" s="23">
        <f>'FS Jimbaran Nov 2019'!BD29</f>
        <v>0</v>
      </c>
      <c r="AS19" s="23">
        <f>'FS Jimbaran Nov 2019'!BM29</f>
        <v>0</v>
      </c>
      <c r="AT19" s="23">
        <f>'FS Jimbaran Nov 2019'!BN29</f>
        <v>0</v>
      </c>
      <c r="AU19" s="23">
        <f>'FS Jimbaran Nov 2019'!BO29</f>
        <v>0</v>
      </c>
      <c r="AV19" s="23">
        <f>'FS Jimbaran Nov 2019'!BP29</f>
        <v>0</v>
      </c>
      <c r="AW19" s="23">
        <f>'FS Jimbaran Nov 2019'!E29</f>
        <v>97.399999999999991</v>
      </c>
      <c r="AX19" s="23">
        <f>'FS Jimbaran Nov 2019'!F29</f>
        <v>0</v>
      </c>
      <c r="AY19" s="23">
        <f>'FS Jimbaran Nov 2019'!O29</f>
        <v>0</v>
      </c>
      <c r="AZ19" s="23">
        <f>'FS Jimbaran Nov 2019'!P29</f>
        <v>0</v>
      </c>
      <c r="BA19" s="23">
        <f>'FS Jimbaran Nov 2019'!W29</f>
        <v>0</v>
      </c>
      <c r="BB19" s="23">
        <f>'FS Jimbaran Nov 2019'!X29</f>
        <v>0</v>
      </c>
      <c r="BC19" s="23">
        <f>'FS Jimbaran Nov 2019'!AI29</f>
        <v>640</v>
      </c>
      <c r="BD19" s="23">
        <f>'FS Jimbaran Nov 2019'!AJ29</f>
        <v>0</v>
      </c>
      <c r="BE19" s="23">
        <f>'FS Jimbaran Nov 2019'!AK29</f>
        <v>0</v>
      </c>
      <c r="BF19" s="23">
        <f>'FS Jimbaran Nov 2019'!AL29</f>
        <v>0</v>
      </c>
      <c r="BG19" s="23">
        <f>'FS Jimbaran Nov 2019'!AM29</f>
        <v>0</v>
      </c>
      <c r="BH19" s="23">
        <f>'FS Jimbaran Nov 2019'!AN29</f>
        <v>0</v>
      </c>
      <c r="BI19" s="23">
        <f>'FS Jimbaran Nov 2019'!AO29</f>
        <v>0</v>
      </c>
      <c r="BJ19" s="23">
        <f>'FS Jimbaran Nov 2019'!AO29</f>
        <v>0</v>
      </c>
      <c r="BK19" s="23">
        <f>'FS Jimbaran Nov 2019'!AQ29</f>
        <v>0</v>
      </c>
      <c r="BL19" s="23">
        <f>'FS Jimbaran Nov 2019'!AR29</f>
        <v>0</v>
      </c>
      <c r="BM19" s="23">
        <v>0</v>
      </c>
      <c r="BN19" s="23">
        <v>0</v>
      </c>
      <c r="BO19" s="24">
        <f>'FS Jimbaran Nov 2019'!Q29</f>
        <v>0</v>
      </c>
      <c r="BP19" s="23">
        <f>'FS Jimbaran Nov 2019'!R29</f>
        <v>0</v>
      </c>
    </row>
    <row r="20" spans="1:68">
      <c r="A20" s="18" t="s">
        <v>67</v>
      </c>
      <c r="B20" s="26">
        <f t="shared" si="0"/>
        <v>19</v>
      </c>
      <c r="C20" s="27">
        <v>11</v>
      </c>
      <c r="D20" s="28">
        <v>2019</v>
      </c>
      <c r="E20" s="19">
        <f>'FS Jimbaran Nov 2019'!M30</f>
        <v>3.9</v>
      </c>
      <c r="F20" s="23">
        <f>'FS Jimbaran Nov 2019'!N30</f>
        <v>0</v>
      </c>
      <c r="G20" s="23">
        <v>0</v>
      </c>
      <c r="H20" s="23">
        <f>'FS Jimbaran Nov 2019'!H30</f>
        <v>0</v>
      </c>
      <c r="I20" s="23">
        <f>'FS Jimbaran Nov 2019'!I30</f>
        <v>0</v>
      </c>
      <c r="J20" s="23">
        <f>'FS Jimbaran Nov 2019'!J30</f>
        <v>0</v>
      </c>
      <c r="K20" s="23">
        <f>'FS Jimbaran Nov 2019'!K30</f>
        <v>85</v>
      </c>
      <c r="L20" s="23">
        <f>'FS Jimbaran Nov 2019'!L30</f>
        <v>0</v>
      </c>
      <c r="M20" s="23">
        <f>'FS Jimbaran Nov 2019'!S30</f>
        <v>0</v>
      </c>
      <c r="N20" s="23">
        <f>'FS Jimbaran Nov 2019'!T30</f>
        <v>0</v>
      </c>
      <c r="O20" s="23">
        <f>'FS Jimbaran Nov 2019'!U30</f>
        <v>7.5</v>
      </c>
      <c r="P20" s="23">
        <f>'FS Jimbaran Nov 2019'!V30</f>
        <v>0</v>
      </c>
      <c r="Q20" s="23">
        <f>'FS Jimbaran Nov 2019'!BE30</f>
        <v>0</v>
      </c>
      <c r="R20" s="23">
        <f>'FS Jimbaran Nov 2019'!BF30</f>
        <v>0</v>
      </c>
      <c r="S20" s="23">
        <f>'FS Jimbaran Nov 2019'!BH30</f>
        <v>0</v>
      </c>
      <c r="T20" s="23">
        <f>'FS Jimbaran Nov 2019'!BH30</f>
        <v>0</v>
      </c>
      <c r="U20" s="23">
        <f>'FS Jimbaran Nov 2019'!BI30</f>
        <v>0</v>
      </c>
      <c r="V20" s="23">
        <f>'FS Jimbaran Nov 2019'!BJ30</f>
        <v>0</v>
      </c>
      <c r="W20" s="23">
        <f>'FS Jimbaran Nov 2019'!Y30</f>
        <v>608</v>
      </c>
      <c r="X20" s="23">
        <f>'FS Jimbaran Nov 2019'!Z30</f>
        <v>0</v>
      </c>
      <c r="Y20" s="23">
        <f>'FS Jimbaran Nov 2019'!AA30</f>
        <v>0</v>
      </c>
      <c r="Z20" s="23">
        <f>'FS Jimbaran Nov 2019'!AB30</f>
        <v>0</v>
      </c>
      <c r="AA20" s="23">
        <f>'FS Jimbaran Nov 2019'!AC30</f>
        <v>0</v>
      </c>
      <c r="AB20" s="23">
        <f>'FS Jimbaran Nov 2019'!AD30</f>
        <v>0</v>
      </c>
      <c r="AC20" s="23">
        <f>'FS Jimbaran Nov 2019'!AE30</f>
        <v>0</v>
      </c>
      <c r="AD20" s="23">
        <f>'FS Jimbaran Nov 2019'!AF30</f>
        <v>0</v>
      </c>
      <c r="AE20" s="23">
        <f>'FS Jimbaran Nov 2019'!AG30</f>
        <v>0</v>
      </c>
      <c r="AF20" s="23">
        <f>'FS Jimbaran Nov 2019'!AH30</f>
        <v>0</v>
      </c>
      <c r="AG20" s="23">
        <f>'FS Jimbaran Nov 2019'!AM30</f>
        <v>0</v>
      </c>
      <c r="AH20" s="23">
        <f>'FS Jimbaran Nov 2019'!AR30</f>
        <v>0</v>
      </c>
      <c r="AI20" s="23">
        <f>'FS Jimbaran Nov 2019'!AQ30</f>
        <v>0</v>
      </c>
      <c r="AJ20" s="23">
        <f>'FS Jimbaran Nov 2019'!AR30</f>
        <v>0</v>
      </c>
      <c r="AK20" s="23">
        <f>'FS Jimbaran Nov 2019'!AY30</f>
        <v>0</v>
      </c>
      <c r="AL20" s="23">
        <f>'FS Jimbaran Nov 2019'!AZ30</f>
        <v>0</v>
      </c>
      <c r="AM20" s="23">
        <f>'FS Jimbaran Nov 2019'!BB30</f>
        <v>0</v>
      </c>
      <c r="AN20" s="23">
        <f>'FS Jimbaran Nov 2019'!BB30</f>
        <v>0</v>
      </c>
      <c r="AO20" s="23">
        <f>'FS Jimbaran Nov 2019'!BK30</f>
        <v>0</v>
      </c>
      <c r="AP20" s="23">
        <f>'FS Jimbaran Nov 2019'!BL30</f>
        <v>0</v>
      </c>
      <c r="AQ20" s="23">
        <f>'FS Jimbaran Nov 2019'!BC30</f>
        <v>0</v>
      </c>
      <c r="AR20" s="23">
        <f>'FS Jimbaran Nov 2019'!BD30</f>
        <v>0</v>
      </c>
      <c r="AS20" s="23">
        <f>'FS Jimbaran Nov 2019'!BM30</f>
        <v>0</v>
      </c>
      <c r="AT20" s="23">
        <f>'FS Jimbaran Nov 2019'!BN30</f>
        <v>0</v>
      </c>
      <c r="AU20" s="23">
        <f>'FS Jimbaran Nov 2019'!BO30</f>
        <v>0</v>
      </c>
      <c r="AV20" s="23">
        <f>'FS Jimbaran Nov 2019'!BP30</f>
        <v>0</v>
      </c>
      <c r="AW20" s="23">
        <f>'FS Jimbaran Nov 2019'!E30</f>
        <v>87</v>
      </c>
      <c r="AX20" s="23">
        <f>'FS Jimbaran Nov 2019'!F30</f>
        <v>0</v>
      </c>
      <c r="AY20" s="23">
        <f>'FS Jimbaran Nov 2019'!O30</f>
        <v>0</v>
      </c>
      <c r="AZ20" s="23">
        <f>'FS Jimbaran Nov 2019'!P30</f>
        <v>0</v>
      </c>
      <c r="BA20" s="23">
        <f>'FS Jimbaran Nov 2019'!W30</f>
        <v>0</v>
      </c>
      <c r="BB20" s="23">
        <f>'FS Jimbaran Nov 2019'!X30</f>
        <v>0</v>
      </c>
      <c r="BC20" s="23">
        <f>'FS Jimbaran Nov 2019'!AI30</f>
        <v>670</v>
      </c>
      <c r="BD20" s="23">
        <f>'FS Jimbaran Nov 2019'!AJ30</f>
        <v>0</v>
      </c>
      <c r="BE20" s="23">
        <f>'FS Jimbaran Nov 2019'!AK30</f>
        <v>0</v>
      </c>
      <c r="BF20" s="23">
        <f>'FS Jimbaran Nov 2019'!AL30</f>
        <v>0</v>
      </c>
      <c r="BG20" s="23">
        <f>'FS Jimbaran Nov 2019'!AM30</f>
        <v>0</v>
      </c>
      <c r="BH20" s="23">
        <f>'FS Jimbaran Nov 2019'!AN30</f>
        <v>0</v>
      </c>
      <c r="BI20" s="23">
        <f>'FS Jimbaran Nov 2019'!AO30</f>
        <v>0</v>
      </c>
      <c r="BJ20" s="23">
        <f>'FS Jimbaran Nov 2019'!AO30</f>
        <v>0</v>
      </c>
      <c r="BK20" s="23">
        <f>'FS Jimbaran Nov 2019'!AQ30</f>
        <v>0</v>
      </c>
      <c r="BL20" s="23">
        <f>'FS Jimbaran Nov 2019'!AR30</f>
        <v>0</v>
      </c>
      <c r="BM20" s="23">
        <v>0</v>
      </c>
      <c r="BN20" s="23">
        <v>0</v>
      </c>
      <c r="BO20" s="24">
        <f>'FS Jimbaran Nov 2019'!Q30</f>
        <v>0</v>
      </c>
      <c r="BP20" s="23">
        <f>'FS Jimbaran Nov 2019'!R30</f>
        <v>0</v>
      </c>
    </row>
    <row r="21" spans="1:68">
      <c r="A21" s="18" t="s">
        <v>67</v>
      </c>
      <c r="B21" s="26">
        <f t="shared" si="0"/>
        <v>20</v>
      </c>
      <c r="C21" s="27">
        <v>11</v>
      </c>
      <c r="D21" s="28">
        <v>2019</v>
      </c>
      <c r="E21" s="19">
        <f>'FS Jimbaran Nov 2019'!M31</f>
        <v>5.0999999999999996</v>
      </c>
      <c r="F21" s="23">
        <f>'FS Jimbaran Nov 2019'!N31</f>
        <v>0</v>
      </c>
      <c r="G21" s="23">
        <v>0</v>
      </c>
      <c r="H21" s="23">
        <f>'FS Jimbaran Nov 2019'!H31</f>
        <v>0</v>
      </c>
      <c r="I21" s="23">
        <f>'FS Jimbaran Nov 2019'!I31</f>
        <v>0</v>
      </c>
      <c r="J21" s="23">
        <f>'FS Jimbaran Nov 2019'!J31</f>
        <v>0</v>
      </c>
      <c r="K21" s="23">
        <f>'FS Jimbaran Nov 2019'!K31</f>
        <v>75</v>
      </c>
      <c r="L21" s="23">
        <f>'FS Jimbaran Nov 2019'!L31</f>
        <v>0</v>
      </c>
      <c r="M21" s="23">
        <f>'FS Jimbaran Nov 2019'!S31</f>
        <v>0</v>
      </c>
      <c r="N21" s="23">
        <f>'FS Jimbaran Nov 2019'!T31</f>
        <v>0</v>
      </c>
      <c r="O21" s="23">
        <f>'FS Jimbaran Nov 2019'!U31</f>
        <v>19</v>
      </c>
      <c r="P21" s="23">
        <f>'FS Jimbaran Nov 2019'!V31</f>
        <v>0</v>
      </c>
      <c r="Q21" s="23">
        <f>'FS Jimbaran Nov 2019'!BE31</f>
        <v>0</v>
      </c>
      <c r="R21" s="23">
        <f>'FS Jimbaran Nov 2019'!BF31</f>
        <v>0</v>
      </c>
      <c r="S21" s="23">
        <f>'FS Jimbaran Nov 2019'!BH31</f>
        <v>0</v>
      </c>
      <c r="T21" s="23">
        <f>'FS Jimbaran Nov 2019'!BH31</f>
        <v>0</v>
      </c>
      <c r="U21" s="23">
        <f>'FS Jimbaran Nov 2019'!BI31</f>
        <v>0</v>
      </c>
      <c r="V21" s="23">
        <f>'FS Jimbaran Nov 2019'!BJ31</f>
        <v>0</v>
      </c>
      <c r="W21" s="23">
        <f>'FS Jimbaran Nov 2019'!Y31</f>
        <v>592</v>
      </c>
      <c r="X21" s="23">
        <f>'FS Jimbaran Nov 2019'!Z31</f>
        <v>0</v>
      </c>
      <c r="Y21" s="23">
        <f>'FS Jimbaran Nov 2019'!AA31</f>
        <v>0</v>
      </c>
      <c r="Z21" s="23">
        <f>'FS Jimbaran Nov 2019'!AB31</f>
        <v>0</v>
      </c>
      <c r="AA21" s="23">
        <f>'FS Jimbaran Nov 2019'!AC31</f>
        <v>0</v>
      </c>
      <c r="AB21" s="23">
        <f>'FS Jimbaran Nov 2019'!AD31</f>
        <v>0</v>
      </c>
      <c r="AC21" s="23">
        <f>'FS Jimbaran Nov 2019'!AE31</f>
        <v>0</v>
      </c>
      <c r="AD21" s="23">
        <f>'FS Jimbaran Nov 2019'!AF31</f>
        <v>0</v>
      </c>
      <c r="AE21" s="23">
        <f>'FS Jimbaran Nov 2019'!AG31</f>
        <v>0</v>
      </c>
      <c r="AF21" s="23">
        <f>'FS Jimbaran Nov 2019'!AH31</f>
        <v>0</v>
      </c>
      <c r="AG21" s="23">
        <f>'FS Jimbaran Nov 2019'!AM31</f>
        <v>0</v>
      </c>
      <c r="AH21" s="23">
        <f>'FS Jimbaran Nov 2019'!AR31</f>
        <v>0</v>
      </c>
      <c r="AI21" s="23">
        <f>'FS Jimbaran Nov 2019'!AQ31</f>
        <v>0</v>
      </c>
      <c r="AJ21" s="23">
        <f>'FS Jimbaran Nov 2019'!AR31</f>
        <v>0</v>
      </c>
      <c r="AK21" s="23">
        <f>'FS Jimbaran Nov 2019'!AY31</f>
        <v>0</v>
      </c>
      <c r="AL21" s="23">
        <f>'FS Jimbaran Nov 2019'!AZ31</f>
        <v>0</v>
      </c>
      <c r="AM21" s="23">
        <f>'FS Jimbaran Nov 2019'!BB31</f>
        <v>0</v>
      </c>
      <c r="AN21" s="23">
        <f>'FS Jimbaran Nov 2019'!BB31</f>
        <v>0</v>
      </c>
      <c r="AO21" s="23">
        <f>'FS Jimbaran Nov 2019'!BK31</f>
        <v>0</v>
      </c>
      <c r="AP21" s="23">
        <f>'FS Jimbaran Nov 2019'!BL31</f>
        <v>0</v>
      </c>
      <c r="AQ21" s="23">
        <f>'FS Jimbaran Nov 2019'!BC31</f>
        <v>0</v>
      </c>
      <c r="AR21" s="23">
        <f>'FS Jimbaran Nov 2019'!BD31</f>
        <v>0</v>
      </c>
      <c r="AS21" s="23">
        <f>'FS Jimbaran Nov 2019'!BM31</f>
        <v>0</v>
      </c>
      <c r="AT21" s="23">
        <f>'FS Jimbaran Nov 2019'!BN31</f>
        <v>0</v>
      </c>
      <c r="AU21" s="23">
        <f>'FS Jimbaran Nov 2019'!BO31</f>
        <v>0</v>
      </c>
      <c r="AV21" s="23">
        <f>'FS Jimbaran Nov 2019'!BP31</f>
        <v>0</v>
      </c>
      <c r="AW21" s="23">
        <f>'FS Jimbaran Nov 2019'!E31</f>
        <v>83.3</v>
      </c>
      <c r="AX21" s="23">
        <f>'FS Jimbaran Nov 2019'!F31</f>
        <v>0</v>
      </c>
      <c r="AY21" s="23">
        <f>'FS Jimbaran Nov 2019'!O31</f>
        <v>0</v>
      </c>
      <c r="AZ21" s="23">
        <f>'FS Jimbaran Nov 2019'!P31</f>
        <v>0</v>
      </c>
      <c r="BA21" s="23">
        <f>'FS Jimbaran Nov 2019'!W31</f>
        <v>0</v>
      </c>
      <c r="BB21" s="23">
        <f>'FS Jimbaran Nov 2019'!X31</f>
        <v>0</v>
      </c>
      <c r="BC21" s="23">
        <f>'FS Jimbaran Nov 2019'!AI31</f>
        <v>620</v>
      </c>
      <c r="BD21" s="23">
        <f>'FS Jimbaran Nov 2019'!AJ31</f>
        <v>0</v>
      </c>
      <c r="BE21" s="23">
        <f>'FS Jimbaran Nov 2019'!AK31</f>
        <v>0</v>
      </c>
      <c r="BF21" s="23">
        <f>'FS Jimbaran Nov 2019'!AL31</f>
        <v>0</v>
      </c>
      <c r="BG21" s="23">
        <f>'FS Jimbaran Nov 2019'!AM31</f>
        <v>0</v>
      </c>
      <c r="BH21" s="23">
        <f>'FS Jimbaran Nov 2019'!AN31</f>
        <v>0</v>
      </c>
      <c r="BI21" s="23">
        <f>'FS Jimbaran Nov 2019'!AO31</f>
        <v>0</v>
      </c>
      <c r="BJ21" s="23">
        <f>'FS Jimbaran Nov 2019'!AO31</f>
        <v>0</v>
      </c>
      <c r="BK21" s="23">
        <f>'FS Jimbaran Nov 2019'!AQ31</f>
        <v>0</v>
      </c>
      <c r="BL21" s="23">
        <f>'FS Jimbaran Nov 2019'!AR31</f>
        <v>0</v>
      </c>
      <c r="BM21" s="23">
        <v>0</v>
      </c>
      <c r="BN21" s="23">
        <v>0</v>
      </c>
      <c r="BO21" s="24">
        <f>'FS Jimbaran Nov 2019'!Q31</f>
        <v>0</v>
      </c>
      <c r="BP21" s="23">
        <f>'FS Jimbaran Nov 2019'!R31</f>
        <v>0</v>
      </c>
    </row>
    <row r="22" spans="1:68">
      <c r="A22" s="18" t="s">
        <v>67</v>
      </c>
      <c r="B22" s="26">
        <f t="shared" si="0"/>
        <v>21</v>
      </c>
      <c r="C22" s="27">
        <v>11</v>
      </c>
      <c r="D22" s="28">
        <v>2019</v>
      </c>
      <c r="E22" s="19">
        <f>'FS Jimbaran Nov 2019'!M32</f>
        <v>5.4</v>
      </c>
      <c r="F22" s="23">
        <f>'FS Jimbaran Nov 2019'!N32</f>
        <v>0</v>
      </c>
      <c r="G22" s="23">
        <v>0</v>
      </c>
      <c r="H22" s="23">
        <f>'FS Jimbaran Nov 2019'!H32</f>
        <v>0</v>
      </c>
      <c r="I22" s="23">
        <f>'FS Jimbaran Nov 2019'!I32</f>
        <v>0</v>
      </c>
      <c r="J22" s="23">
        <f>'FS Jimbaran Nov 2019'!J32</f>
        <v>0</v>
      </c>
      <c r="K22" s="23">
        <f>'FS Jimbaran Nov 2019'!K32</f>
        <v>75</v>
      </c>
      <c r="L22" s="23">
        <f>'FS Jimbaran Nov 2019'!L32</f>
        <v>0</v>
      </c>
      <c r="M22" s="23">
        <f>'FS Jimbaran Nov 2019'!S32</f>
        <v>0</v>
      </c>
      <c r="N22" s="23">
        <f>'FS Jimbaran Nov 2019'!T32</f>
        <v>0</v>
      </c>
      <c r="O22" s="23">
        <f>'FS Jimbaran Nov 2019'!U32</f>
        <v>22.5</v>
      </c>
      <c r="P22" s="23">
        <f>'FS Jimbaran Nov 2019'!V32</f>
        <v>0</v>
      </c>
      <c r="Q22" s="23">
        <f>'FS Jimbaran Nov 2019'!BE32</f>
        <v>0</v>
      </c>
      <c r="R22" s="23">
        <f>'FS Jimbaran Nov 2019'!BF32</f>
        <v>0</v>
      </c>
      <c r="S22" s="23">
        <f>'FS Jimbaran Nov 2019'!BH32</f>
        <v>0</v>
      </c>
      <c r="T22" s="23">
        <f>'FS Jimbaran Nov 2019'!BH32</f>
        <v>0</v>
      </c>
      <c r="U22" s="23">
        <f>'FS Jimbaran Nov 2019'!BI32</f>
        <v>0</v>
      </c>
      <c r="V22" s="23">
        <f>'FS Jimbaran Nov 2019'!BJ32</f>
        <v>0</v>
      </c>
      <c r="W22" s="23">
        <f>'FS Jimbaran Nov 2019'!Y32</f>
        <v>608</v>
      </c>
      <c r="X22" s="23">
        <f>'FS Jimbaran Nov 2019'!Z32</f>
        <v>0</v>
      </c>
      <c r="Y22" s="23">
        <f>'FS Jimbaran Nov 2019'!AA32</f>
        <v>0</v>
      </c>
      <c r="Z22" s="23">
        <f>'FS Jimbaran Nov 2019'!AB32</f>
        <v>0</v>
      </c>
      <c r="AA22" s="23">
        <f>'FS Jimbaran Nov 2019'!AC32</f>
        <v>0</v>
      </c>
      <c r="AB22" s="23">
        <f>'FS Jimbaran Nov 2019'!AD32</f>
        <v>0</v>
      </c>
      <c r="AC22" s="23">
        <f>'FS Jimbaran Nov 2019'!AE32</f>
        <v>0</v>
      </c>
      <c r="AD22" s="23">
        <f>'FS Jimbaran Nov 2019'!AF32</f>
        <v>0</v>
      </c>
      <c r="AE22" s="23">
        <f>'FS Jimbaran Nov 2019'!AG32</f>
        <v>0</v>
      </c>
      <c r="AF22" s="23">
        <f>'FS Jimbaran Nov 2019'!AH32</f>
        <v>0</v>
      </c>
      <c r="AG22" s="23">
        <f>'FS Jimbaran Nov 2019'!AM32</f>
        <v>0</v>
      </c>
      <c r="AH22" s="23">
        <f>'FS Jimbaran Nov 2019'!AR32</f>
        <v>0</v>
      </c>
      <c r="AI22" s="23">
        <f>'FS Jimbaran Nov 2019'!AQ32</f>
        <v>0</v>
      </c>
      <c r="AJ22" s="23">
        <f>'FS Jimbaran Nov 2019'!AR32</f>
        <v>0</v>
      </c>
      <c r="AK22" s="23">
        <f>'FS Jimbaran Nov 2019'!AY32</f>
        <v>0</v>
      </c>
      <c r="AL22" s="23">
        <f>'FS Jimbaran Nov 2019'!AZ32</f>
        <v>0</v>
      </c>
      <c r="AM22" s="23">
        <f>'FS Jimbaran Nov 2019'!BB32</f>
        <v>0</v>
      </c>
      <c r="AN22" s="23">
        <f>'FS Jimbaran Nov 2019'!BB32</f>
        <v>0</v>
      </c>
      <c r="AO22" s="23">
        <f>'FS Jimbaran Nov 2019'!BK32</f>
        <v>0</v>
      </c>
      <c r="AP22" s="23">
        <f>'FS Jimbaran Nov 2019'!BL32</f>
        <v>0</v>
      </c>
      <c r="AQ22" s="23">
        <f>'FS Jimbaran Nov 2019'!BC32</f>
        <v>0</v>
      </c>
      <c r="AR22" s="23">
        <f>'FS Jimbaran Nov 2019'!BD32</f>
        <v>0</v>
      </c>
      <c r="AS22" s="23">
        <f>'FS Jimbaran Nov 2019'!BM32</f>
        <v>0</v>
      </c>
      <c r="AT22" s="23">
        <f>'FS Jimbaran Nov 2019'!BN32</f>
        <v>0</v>
      </c>
      <c r="AU22" s="23">
        <f>'FS Jimbaran Nov 2019'!BO32</f>
        <v>0</v>
      </c>
      <c r="AV22" s="23">
        <f>'FS Jimbaran Nov 2019'!BP32</f>
        <v>0</v>
      </c>
      <c r="AW22" s="23">
        <f>'FS Jimbaran Nov 2019'!E32</f>
        <v>97.4</v>
      </c>
      <c r="AX22" s="23">
        <f>'FS Jimbaran Nov 2019'!F32</f>
        <v>0</v>
      </c>
      <c r="AY22" s="23">
        <f>'FS Jimbaran Nov 2019'!O32</f>
        <v>0</v>
      </c>
      <c r="AZ22" s="23">
        <f>'FS Jimbaran Nov 2019'!P32</f>
        <v>0</v>
      </c>
      <c r="BA22" s="23">
        <f>'FS Jimbaran Nov 2019'!W32</f>
        <v>0</v>
      </c>
      <c r="BB22" s="23">
        <f>'FS Jimbaran Nov 2019'!X32</f>
        <v>0</v>
      </c>
      <c r="BC22" s="23">
        <f>'FS Jimbaran Nov 2019'!AI32</f>
        <v>720</v>
      </c>
      <c r="BD22" s="23">
        <f>'FS Jimbaran Nov 2019'!AJ32</f>
        <v>0</v>
      </c>
      <c r="BE22" s="23">
        <f>'FS Jimbaran Nov 2019'!AK32</f>
        <v>0</v>
      </c>
      <c r="BF22" s="23">
        <f>'FS Jimbaran Nov 2019'!AL32</f>
        <v>0</v>
      </c>
      <c r="BG22" s="23">
        <f>'FS Jimbaran Nov 2019'!AM32</f>
        <v>0</v>
      </c>
      <c r="BH22" s="23">
        <f>'FS Jimbaran Nov 2019'!AN32</f>
        <v>0</v>
      </c>
      <c r="BI22" s="23">
        <f>'FS Jimbaran Nov 2019'!AO32</f>
        <v>0</v>
      </c>
      <c r="BJ22" s="23">
        <f>'FS Jimbaran Nov 2019'!AO32</f>
        <v>0</v>
      </c>
      <c r="BK22" s="23">
        <f>'FS Jimbaran Nov 2019'!AQ32</f>
        <v>0</v>
      </c>
      <c r="BL22" s="23">
        <f>'FS Jimbaran Nov 2019'!AR32</f>
        <v>0</v>
      </c>
      <c r="BM22" s="23">
        <v>0</v>
      </c>
      <c r="BN22" s="23">
        <v>0</v>
      </c>
      <c r="BO22" s="24">
        <f>'FS Jimbaran Nov 2019'!Q32</f>
        <v>0</v>
      </c>
      <c r="BP22" s="23">
        <f>'FS Jimbaran Nov 2019'!R32</f>
        <v>0</v>
      </c>
    </row>
    <row r="23" spans="1:68">
      <c r="A23" s="18" t="s">
        <v>67</v>
      </c>
      <c r="B23" s="26">
        <f t="shared" si="0"/>
        <v>22</v>
      </c>
      <c r="C23" s="27">
        <v>11</v>
      </c>
      <c r="D23" s="28">
        <v>2019</v>
      </c>
      <c r="E23" s="19">
        <f>'FS Jimbaran Nov 2019'!M33</f>
        <v>4</v>
      </c>
      <c r="F23" s="23">
        <f>'FS Jimbaran Nov 2019'!N33</f>
        <v>0</v>
      </c>
      <c r="G23" s="23">
        <v>0</v>
      </c>
      <c r="H23" s="23">
        <f>'FS Jimbaran Nov 2019'!H33</f>
        <v>0</v>
      </c>
      <c r="I23" s="23">
        <f>'FS Jimbaran Nov 2019'!I33</f>
        <v>0</v>
      </c>
      <c r="J23" s="23">
        <f>'FS Jimbaran Nov 2019'!J33</f>
        <v>0</v>
      </c>
      <c r="K23" s="23">
        <f>'FS Jimbaran Nov 2019'!K33</f>
        <v>90</v>
      </c>
      <c r="L23" s="23">
        <f>'FS Jimbaran Nov 2019'!L33</f>
        <v>0</v>
      </c>
      <c r="M23" s="23">
        <f>'FS Jimbaran Nov 2019'!S33</f>
        <v>0</v>
      </c>
      <c r="N23" s="23">
        <f>'FS Jimbaran Nov 2019'!T33</f>
        <v>0</v>
      </c>
      <c r="O23" s="23">
        <f>'FS Jimbaran Nov 2019'!U33</f>
        <v>25.5</v>
      </c>
      <c r="P23" s="23">
        <f>'FS Jimbaran Nov 2019'!V33</f>
        <v>0</v>
      </c>
      <c r="Q23" s="23">
        <f>'FS Jimbaran Nov 2019'!BE33</f>
        <v>0</v>
      </c>
      <c r="R23" s="23">
        <f>'FS Jimbaran Nov 2019'!BF33</f>
        <v>0</v>
      </c>
      <c r="S23" s="23">
        <f>'FS Jimbaran Nov 2019'!BH33</f>
        <v>0</v>
      </c>
      <c r="T23" s="23">
        <f>'FS Jimbaran Nov 2019'!BH33</f>
        <v>0</v>
      </c>
      <c r="U23" s="23">
        <f>'FS Jimbaran Nov 2019'!BI33</f>
        <v>0</v>
      </c>
      <c r="V23" s="23">
        <f>'FS Jimbaran Nov 2019'!BJ33</f>
        <v>0</v>
      </c>
      <c r="W23" s="23">
        <f>'FS Jimbaran Nov 2019'!Y33</f>
        <v>600</v>
      </c>
      <c r="X23" s="23">
        <f>'FS Jimbaran Nov 2019'!Z33</f>
        <v>0</v>
      </c>
      <c r="Y23" s="23">
        <f>'FS Jimbaran Nov 2019'!AA33</f>
        <v>0</v>
      </c>
      <c r="Z23" s="23">
        <f>'FS Jimbaran Nov 2019'!AB33</f>
        <v>0</v>
      </c>
      <c r="AA23" s="23">
        <f>'FS Jimbaran Nov 2019'!AC33</f>
        <v>0</v>
      </c>
      <c r="AB23" s="23">
        <f>'FS Jimbaran Nov 2019'!AD33</f>
        <v>0</v>
      </c>
      <c r="AC23" s="23">
        <f>'FS Jimbaran Nov 2019'!AE33</f>
        <v>0</v>
      </c>
      <c r="AD23" s="23">
        <f>'FS Jimbaran Nov 2019'!AF33</f>
        <v>0</v>
      </c>
      <c r="AE23" s="23">
        <f>'FS Jimbaran Nov 2019'!AG33</f>
        <v>0</v>
      </c>
      <c r="AF23" s="23">
        <f>'FS Jimbaran Nov 2019'!AH33</f>
        <v>0</v>
      </c>
      <c r="AG23" s="23">
        <f>'FS Jimbaran Nov 2019'!AM33</f>
        <v>0</v>
      </c>
      <c r="AH23" s="23">
        <f>'FS Jimbaran Nov 2019'!AR33</f>
        <v>0</v>
      </c>
      <c r="AI23" s="23">
        <f>'FS Jimbaran Nov 2019'!AQ33</f>
        <v>0</v>
      </c>
      <c r="AJ23" s="23">
        <f>'FS Jimbaran Nov 2019'!AR33</f>
        <v>0</v>
      </c>
      <c r="AK23" s="23">
        <f>'FS Jimbaran Nov 2019'!AY33</f>
        <v>0</v>
      </c>
      <c r="AL23" s="23">
        <f>'FS Jimbaran Nov 2019'!AZ33</f>
        <v>0</v>
      </c>
      <c r="AM23" s="23">
        <f>'FS Jimbaran Nov 2019'!BB33</f>
        <v>0</v>
      </c>
      <c r="AN23" s="23">
        <f>'FS Jimbaran Nov 2019'!BB33</f>
        <v>0</v>
      </c>
      <c r="AO23" s="23">
        <f>'FS Jimbaran Nov 2019'!BK33</f>
        <v>0</v>
      </c>
      <c r="AP23" s="23">
        <f>'FS Jimbaran Nov 2019'!BL33</f>
        <v>0</v>
      </c>
      <c r="AQ23" s="23">
        <f>'FS Jimbaran Nov 2019'!BC33</f>
        <v>0</v>
      </c>
      <c r="AR23" s="23">
        <f>'FS Jimbaran Nov 2019'!BD33</f>
        <v>0</v>
      </c>
      <c r="AS23" s="23">
        <f>'FS Jimbaran Nov 2019'!BM33</f>
        <v>0</v>
      </c>
      <c r="AT23" s="23">
        <f>'FS Jimbaran Nov 2019'!BN33</f>
        <v>0</v>
      </c>
      <c r="AU23" s="23">
        <f>'FS Jimbaran Nov 2019'!BO33</f>
        <v>0</v>
      </c>
      <c r="AV23" s="23">
        <f>'FS Jimbaran Nov 2019'!BP33</f>
        <v>0</v>
      </c>
      <c r="AW23" s="23">
        <f>'FS Jimbaran Nov 2019'!E33</f>
        <v>85.9</v>
      </c>
      <c r="AX23" s="23">
        <f>'FS Jimbaran Nov 2019'!F33</f>
        <v>0</v>
      </c>
      <c r="AY23" s="23">
        <f>'FS Jimbaran Nov 2019'!O33</f>
        <v>0</v>
      </c>
      <c r="AZ23" s="23">
        <f>'FS Jimbaran Nov 2019'!P33</f>
        <v>0</v>
      </c>
      <c r="BA23" s="23">
        <f>'FS Jimbaran Nov 2019'!W33</f>
        <v>0</v>
      </c>
      <c r="BB23" s="23">
        <f>'FS Jimbaran Nov 2019'!X33</f>
        <v>0</v>
      </c>
      <c r="BC23" s="23">
        <f>'FS Jimbaran Nov 2019'!AI33</f>
        <v>630</v>
      </c>
      <c r="BD23" s="23">
        <f>'FS Jimbaran Nov 2019'!AJ33</f>
        <v>0</v>
      </c>
      <c r="BE23" s="23">
        <f>'FS Jimbaran Nov 2019'!AK33</f>
        <v>0</v>
      </c>
      <c r="BF23" s="23">
        <f>'FS Jimbaran Nov 2019'!AL33</f>
        <v>0</v>
      </c>
      <c r="BG23" s="23">
        <f>'FS Jimbaran Nov 2019'!AM33</f>
        <v>0</v>
      </c>
      <c r="BH23" s="23">
        <f>'FS Jimbaran Nov 2019'!AN33</f>
        <v>0</v>
      </c>
      <c r="BI23" s="23">
        <f>'FS Jimbaran Nov 2019'!AO33</f>
        <v>0</v>
      </c>
      <c r="BJ23" s="23">
        <f>'FS Jimbaran Nov 2019'!AO33</f>
        <v>0</v>
      </c>
      <c r="BK23" s="23">
        <f>'FS Jimbaran Nov 2019'!AQ33</f>
        <v>0</v>
      </c>
      <c r="BL23" s="23">
        <f>'FS Jimbaran Nov 2019'!AR33</f>
        <v>0</v>
      </c>
      <c r="BM23" s="23">
        <v>0</v>
      </c>
      <c r="BN23" s="23">
        <v>0</v>
      </c>
      <c r="BO23" s="24">
        <f>'FS Jimbaran Nov 2019'!Q33</f>
        <v>0</v>
      </c>
      <c r="BP23" s="23">
        <f>'FS Jimbaran Nov 2019'!R33</f>
        <v>0</v>
      </c>
    </row>
    <row r="24" spans="1:68">
      <c r="A24" s="18" t="s">
        <v>67</v>
      </c>
      <c r="B24" s="26">
        <f t="shared" si="0"/>
        <v>23</v>
      </c>
      <c r="C24" s="27">
        <v>11</v>
      </c>
      <c r="D24" s="28">
        <v>2019</v>
      </c>
      <c r="E24" s="19">
        <f>'FS Jimbaran Nov 2019'!M34</f>
        <v>4.3</v>
      </c>
      <c r="F24" s="23">
        <f>'FS Jimbaran Nov 2019'!N34</f>
        <v>0</v>
      </c>
      <c r="G24" s="23">
        <v>0</v>
      </c>
      <c r="H24" s="23">
        <f>'FS Jimbaran Nov 2019'!H34</f>
        <v>0</v>
      </c>
      <c r="I24" s="23">
        <f>'FS Jimbaran Nov 2019'!I34</f>
        <v>0</v>
      </c>
      <c r="J24" s="23">
        <f>'FS Jimbaran Nov 2019'!J34</f>
        <v>0</v>
      </c>
      <c r="K24" s="23">
        <f>'FS Jimbaran Nov 2019'!K34</f>
        <v>90</v>
      </c>
      <c r="L24" s="23">
        <f>'FS Jimbaran Nov 2019'!L34</f>
        <v>0</v>
      </c>
      <c r="M24" s="23">
        <f>'FS Jimbaran Nov 2019'!S34</f>
        <v>0</v>
      </c>
      <c r="N24" s="23">
        <f>'FS Jimbaran Nov 2019'!T34</f>
        <v>0</v>
      </c>
      <c r="O24" s="23">
        <f>'FS Jimbaran Nov 2019'!U34</f>
        <v>16</v>
      </c>
      <c r="P24" s="23">
        <f>'FS Jimbaran Nov 2019'!V34</f>
        <v>0</v>
      </c>
      <c r="Q24" s="23">
        <f>'FS Jimbaran Nov 2019'!BE34</f>
        <v>0</v>
      </c>
      <c r="R24" s="23">
        <f>'FS Jimbaran Nov 2019'!BF34</f>
        <v>0</v>
      </c>
      <c r="S24" s="23">
        <f>'FS Jimbaran Nov 2019'!BH34</f>
        <v>0</v>
      </c>
      <c r="T24" s="23">
        <f>'FS Jimbaran Nov 2019'!BH34</f>
        <v>0</v>
      </c>
      <c r="U24" s="23">
        <f>'FS Jimbaran Nov 2019'!BI34</f>
        <v>0</v>
      </c>
      <c r="V24" s="23">
        <f>'FS Jimbaran Nov 2019'!BJ34</f>
        <v>0</v>
      </c>
      <c r="W24" s="23">
        <f>'FS Jimbaran Nov 2019'!Y34</f>
        <v>640</v>
      </c>
      <c r="X24" s="23">
        <f>'FS Jimbaran Nov 2019'!Z34</f>
        <v>0</v>
      </c>
      <c r="Y24" s="23">
        <f>'FS Jimbaran Nov 2019'!AA34</f>
        <v>0</v>
      </c>
      <c r="Z24" s="23">
        <f>'FS Jimbaran Nov 2019'!AB34</f>
        <v>0</v>
      </c>
      <c r="AA24" s="23">
        <f>'FS Jimbaran Nov 2019'!AC34</f>
        <v>0</v>
      </c>
      <c r="AB24" s="23">
        <f>'FS Jimbaran Nov 2019'!AD34</f>
        <v>0</v>
      </c>
      <c r="AC24" s="23">
        <f>'FS Jimbaran Nov 2019'!AE34</f>
        <v>0</v>
      </c>
      <c r="AD24" s="23">
        <f>'FS Jimbaran Nov 2019'!AF34</f>
        <v>0</v>
      </c>
      <c r="AE24" s="23">
        <f>'FS Jimbaran Nov 2019'!AG34</f>
        <v>0</v>
      </c>
      <c r="AF24" s="23">
        <f>'FS Jimbaran Nov 2019'!AH34</f>
        <v>0</v>
      </c>
      <c r="AG24" s="23">
        <f>'FS Jimbaran Nov 2019'!AM34</f>
        <v>0</v>
      </c>
      <c r="AH24" s="23">
        <f>'FS Jimbaran Nov 2019'!AR34</f>
        <v>0</v>
      </c>
      <c r="AI24" s="23">
        <f>'FS Jimbaran Nov 2019'!AQ34</f>
        <v>0</v>
      </c>
      <c r="AJ24" s="23">
        <f>'FS Jimbaran Nov 2019'!AR34</f>
        <v>0</v>
      </c>
      <c r="AK24" s="23">
        <f>'FS Jimbaran Nov 2019'!AY34</f>
        <v>0</v>
      </c>
      <c r="AL24" s="23">
        <f>'FS Jimbaran Nov 2019'!AZ34</f>
        <v>0</v>
      </c>
      <c r="AM24" s="23">
        <f>'FS Jimbaran Nov 2019'!BB34</f>
        <v>0</v>
      </c>
      <c r="AN24" s="23">
        <f>'FS Jimbaran Nov 2019'!BB34</f>
        <v>0</v>
      </c>
      <c r="AO24" s="23">
        <f>'FS Jimbaran Nov 2019'!BK34</f>
        <v>0</v>
      </c>
      <c r="AP24" s="23">
        <f>'FS Jimbaran Nov 2019'!BL34</f>
        <v>0</v>
      </c>
      <c r="AQ24" s="23">
        <f>'FS Jimbaran Nov 2019'!BC34</f>
        <v>0</v>
      </c>
      <c r="AR24" s="23">
        <f>'FS Jimbaran Nov 2019'!BD34</f>
        <v>0</v>
      </c>
      <c r="AS24" s="23">
        <f>'FS Jimbaran Nov 2019'!BM34</f>
        <v>0</v>
      </c>
      <c r="AT24" s="23">
        <f>'FS Jimbaran Nov 2019'!BN34</f>
        <v>0</v>
      </c>
      <c r="AU24" s="23">
        <f>'FS Jimbaran Nov 2019'!BO34</f>
        <v>0</v>
      </c>
      <c r="AV24" s="23">
        <f>'FS Jimbaran Nov 2019'!BP34</f>
        <v>0</v>
      </c>
      <c r="AW24" s="23">
        <f>'FS Jimbaran Nov 2019'!E34</f>
        <v>109.3</v>
      </c>
      <c r="AX24" s="23">
        <f>'FS Jimbaran Nov 2019'!F34</f>
        <v>0</v>
      </c>
      <c r="AY24" s="23">
        <f>'FS Jimbaran Nov 2019'!O34</f>
        <v>0</v>
      </c>
      <c r="AZ24" s="23">
        <f>'FS Jimbaran Nov 2019'!P34</f>
        <v>0</v>
      </c>
      <c r="BA24" s="23">
        <f>'FS Jimbaran Nov 2019'!W34</f>
        <v>0</v>
      </c>
      <c r="BB24" s="23">
        <f>'FS Jimbaran Nov 2019'!X34</f>
        <v>0</v>
      </c>
      <c r="BC24" s="23">
        <f>'FS Jimbaran Nov 2019'!AI34</f>
        <v>600</v>
      </c>
      <c r="BD24" s="23">
        <f>'FS Jimbaran Nov 2019'!AJ34</f>
        <v>0</v>
      </c>
      <c r="BE24" s="23">
        <f>'FS Jimbaran Nov 2019'!AK34</f>
        <v>0</v>
      </c>
      <c r="BF24" s="23">
        <f>'FS Jimbaran Nov 2019'!AL34</f>
        <v>0</v>
      </c>
      <c r="BG24" s="23">
        <f>'FS Jimbaran Nov 2019'!AM34</f>
        <v>0</v>
      </c>
      <c r="BH24" s="23">
        <f>'FS Jimbaran Nov 2019'!AN34</f>
        <v>0</v>
      </c>
      <c r="BI24" s="23">
        <f>'FS Jimbaran Nov 2019'!AO34</f>
        <v>0</v>
      </c>
      <c r="BJ24" s="23">
        <f>'FS Jimbaran Nov 2019'!AO34</f>
        <v>0</v>
      </c>
      <c r="BK24" s="23">
        <f>'FS Jimbaran Nov 2019'!AQ34</f>
        <v>0</v>
      </c>
      <c r="BL24" s="23">
        <f>'FS Jimbaran Nov 2019'!AR34</f>
        <v>0</v>
      </c>
      <c r="BM24" s="23">
        <v>0</v>
      </c>
      <c r="BN24" s="23">
        <v>0</v>
      </c>
      <c r="BO24" s="24">
        <f>'FS Jimbaran Nov 2019'!Q34</f>
        <v>0</v>
      </c>
      <c r="BP24" s="23">
        <f>'FS Jimbaran Nov 2019'!R34</f>
        <v>0</v>
      </c>
    </row>
    <row r="25" spans="1:68">
      <c r="A25" s="18" t="s">
        <v>67</v>
      </c>
      <c r="B25" s="26">
        <f t="shared" si="0"/>
        <v>24</v>
      </c>
      <c r="C25" s="27">
        <v>11</v>
      </c>
      <c r="D25" s="28">
        <v>2019</v>
      </c>
      <c r="E25" s="19">
        <f>'FS Jimbaran Nov 2019'!M35</f>
        <v>7.6</v>
      </c>
      <c r="F25" s="23">
        <f>'FS Jimbaran Nov 2019'!N35</f>
        <v>0</v>
      </c>
      <c r="G25" s="23">
        <v>0</v>
      </c>
      <c r="H25" s="23">
        <f>'FS Jimbaran Nov 2019'!H35</f>
        <v>0</v>
      </c>
      <c r="I25" s="23">
        <f>'FS Jimbaran Nov 2019'!I35</f>
        <v>0</v>
      </c>
      <c r="J25" s="23">
        <f>'FS Jimbaran Nov 2019'!J35</f>
        <v>0</v>
      </c>
      <c r="K25" s="23">
        <f>'FS Jimbaran Nov 2019'!K35</f>
        <v>85</v>
      </c>
      <c r="L25" s="23">
        <f>'FS Jimbaran Nov 2019'!L35</f>
        <v>0</v>
      </c>
      <c r="M25" s="23">
        <f>'FS Jimbaran Nov 2019'!S35</f>
        <v>0</v>
      </c>
      <c r="N25" s="23">
        <f>'FS Jimbaran Nov 2019'!T35</f>
        <v>0</v>
      </c>
      <c r="O25" s="23">
        <f>'FS Jimbaran Nov 2019'!U35</f>
        <v>13</v>
      </c>
      <c r="P25" s="23">
        <f>'FS Jimbaran Nov 2019'!V35</f>
        <v>0</v>
      </c>
      <c r="Q25" s="23">
        <f>'FS Jimbaran Nov 2019'!BE35</f>
        <v>0</v>
      </c>
      <c r="R25" s="23">
        <f>'FS Jimbaran Nov 2019'!BF35</f>
        <v>0</v>
      </c>
      <c r="S25" s="23">
        <f>'FS Jimbaran Nov 2019'!BH35</f>
        <v>0</v>
      </c>
      <c r="T25" s="23">
        <f>'FS Jimbaran Nov 2019'!BH35</f>
        <v>0</v>
      </c>
      <c r="U25" s="23">
        <f>'FS Jimbaran Nov 2019'!BI35</f>
        <v>0</v>
      </c>
      <c r="V25" s="23">
        <f>'FS Jimbaran Nov 2019'!BJ35</f>
        <v>0</v>
      </c>
      <c r="W25" s="23">
        <f>'FS Jimbaran Nov 2019'!Y35</f>
        <v>600</v>
      </c>
      <c r="X25" s="23">
        <f>'FS Jimbaran Nov 2019'!Z35</f>
        <v>0</v>
      </c>
      <c r="Y25" s="23">
        <f>'FS Jimbaran Nov 2019'!AA35</f>
        <v>0</v>
      </c>
      <c r="Z25" s="23">
        <f>'FS Jimbaran Nov 2019'!AB35</f>
        <v>0</v>
      </c>
      <c r="AA25" s="23">
        <f>'FS Jimbaran Nov 2019'!AC35</f>
        <v>0</v>
      </c>
      <c r="AB25" s="23">
        <f>'FS Jimbaran Nov 2019'!AD35</f>
        <v>0</v>
      </c>
      <c r="AC25" s="23">
        <f>'FS Jimbaran Nov 2019'!AE35</f>
        <v>0</v>
      </c>
      <c r="AD25" s="23">
        <f>'FS Jimbaran Nov 2019'!AF35</f>
        <v>0</v>
      </c>
      <c r="AE25" s="23">
        <f>'FS Jimbaran Nov 2019'!AG35</f>
        <v>0</v>
      </c>
      <c r="AF25" s="23">
        <f>'FS Jimbaran Nov 2019'!AH35</f>
        <v>0</v>
      </c>
      <c r="AG25" s="23">
        <f>'FS Jimbaran Nov 2019'!AM35</f>
        <v>0</v>
      </c>
      <c r="AH25" s="23">
        <f>'FS Jimbaran Nov 2019'!AR35</f>
        <v>0</v>
      </c>
      <c r="AI25" s="23">
        <f>'FS Jimbaran Nov 2019'!AQ35</f>
        <v>0</v>
      </c>
      <c r="AJ25" s="23">
        <f>'FS Jimbaran Nov 2019'!AR35</f>
        <v>0</v>
      </c>
      <c r="AK25" s="23">
        <f>'FS Jimbaran Nov 2019'!AY35</f>
        <v>0</v>
      </c>
      <c r="AL25" s="23">
        <f>'FS Jimbaran Nov 2019'!AZ35</f>
        <v>0</v>
      </c>
      <c r="AM25" s="23">
        <f>'FS Jimbaran Nov 2019'!BB35</f>
        <v>0</v>
      </c>
      <c r="AN25" s="23">
        <f>'FS Jimbaran Nov 2019'!BB35</f>
        <v>0</v>
      </c>
      <c r="AO25" s="23">
        <f>'FS Jimbaran Nov 2019'!BK35</f>
        <v>0</v>
      </c>
      <c r="AP25" s="23">
        <f>'FS Jimbaran Nov 2019'!BL35</f>
        <v>0</v>
      </c>
      <c r="AQ25" s="23">
        <f>'FS Jimbaran Nov 2019'!BC35</f>
        <v>0</v>
      </c>
      <c r="AR25" s="23">
        <f>'FS Jimbaran Nov 2019'!BD35</f>
        <v>0</v>
      </c>
      <c r="AS25" s="23">
        <f>'FS Jimbaran Nov 2019'!BM35</f>
        <v>0</v>
      </c>
      <c r="AT25" s="23">
        <f>'FS Jimbaran Nov 2019'!BN35</f>
        <v>0</v>
      </c>
      <c r="AU25" s="23">
        <f>'FS Jimbaran Nov 2019'!BO35</f>
        <v>0</v>
      </c>
      <c r="AV25" s="23">
        <f>'FS Jimbaran Nov 2019'!BP35</f>
        <v>0</v>
      </c>
      <c r="AW25" s="23">
        <f>'FS Jimbaran Nov 2019'!E35</f>
        <v>100.8</v>
      </c>
      <c r="AX25" s="23">
        <f>'FS Jimbaran Nov 2019'!F35</f>
        <v>0</v>
      </c>
      <c r="AY25" s="23">
        <f>'FS Jimbaran Nov 2019'!O35</f>
        <v>0</v>
      </c>
      <c r="AZ25" s="23">
        <f>'FS Jimbaran Nov 2019'!P35</f>
        <v>0</v>
      </c>
      <c r="BA25" s="23">
        <f>'FS Jimbaran Nov 2019'!W35</f>
        <v>0</v>
      </c>
      <c r="BB25" s="23">
        <f>'FS Jimbaran Nov 2019'!X35</f>
        <v>0</v>
      </c>
      <c r="BC25" s="23">
        <f>'FS Jimbaran Nov 2019'!AI35</f>
        <v>620</v>
      </c>
      <c r="BD25" s="23">
        <f>'FS Jimbaran Nov 2019'!AJ35</f>
        <v>0</v>
      </c>
      <c r="BE25" s="23">
        <f>'FS Jimbaran Nov 2019'!AK35</f>
        <v>0</v>
      </c>
      <c r="BF25" s="23">
        <f>'FS Jimbaran Nov 2019'!AL35</f>
        <v>0</v>
      </c>
      <c r="BG25" s="23">
        <f>'FS Jimbaran Nov 2019'!AM35</f>
        <v>0</v>
      </c>
      <c r="BH25" s="23">
        <f>'FS Jimbaran Nov 2019'!AN35</f>
        <v>0</v>
      </c>
      <c r="BI25" s="23">
        <f>'FS Jimbaran Nov 2019'!AO35</f>
        <v>0</v>
      </c>
      <c r="BJ25" s="23">
        <f>'FS Jimbaran Nov 2019'!AO35</f>
        <v>0</v>
      </c>
      <c r="BK25" s="23">
        <f>'FS Jimbaran Nov 2019'!AQ35</f>
        <v>0</v>
      </c>
      <c r="BL25" s="23">
        <f>'FS Jimbaran Nov 2019'!AR35</f>
        <v>0</v>
      </c>
      <c r="BM25" s="23">
        <v>0</v>
      </c>
      <c r="BN25" s="23">
        <v>0</v>
      </c>
      <c r="BO25" s="24">
        <f>'FS Jimbaran Nov 2019'!Q35</f>
        <v>0</v>
      </c>
      <c r="BP25" s="23">
        <f>'FS Jimbaran Nov 2019'!R35</f>
        <v>0</v>
      </c>
    </row>
    <row r="26" spans="1:68">
      <c r="A26" s="18" t="s">
        <v>67</v>
      </c>
      <c r="B26" s="26">
        <f>B25+1</f>
        <v>25</v>
      </c>
      <c r="C26" s="27">
        <v>11</v>
      </c>
      <c r="D26" s="28">
        <v>2019</v>
      </c>
      <c r="E26" s="19">
        <f>'FS Jimbaran Nov 2019'!M36</f>
        <v>5.9</v>
      </c>
      <c r="F26" s="23">
        <f>'FS Jimbaran Nov 2019'!N36</f>
        <v>0</v>
      </c>
      <c r="G26" s="23">
        <v>0</v>
      </c>
      <c r="H26" s="23">
        <f>'FS Jimbaran Nov 2019'!H36</f>
        <v>0</v>
      </c>
      <c r="I26" s="23">
        <f>'FS Jimbaran Nov 2019'!I36</f>
        <v>0</v>
      </c>
      <c r="J26" s="23">
        <f>'FS Jimbaran Nov 2019'!J36</f>
        <v>0</v>
      </c>
      <c r="K26" s="23">
        <f>'FS Jimbaran Nov 2019'!K36</f>
        <v>95</v>
      </c>
      <c r="L26" s="23">
        <f>'FS Jimbaran Nov 2019'!L36</f>
        <v>0</v>
      </c>
      <c r="M26" s="23">
        <f>'FS Jimbaran Nov 2019'!S36</f>
        <v>0</v>
      </c>
      <c r="N26" s="23">
        <f>'FS Jimbaran Nov 2019'!T36</f>
        <v>0</v>
      </c>
      <c r="O26" s="23">
        <f>'FS Jimbaran Nov 2019'!U36</f>
        <v>7</v>
      </c>
      <c r="P26" s="23">
        <f>'FS Jimbaran Nov 2019'!V36</f>
        <v>0</v>
      </c>
      <c r="Q26" s="23">
        <f>'FS Jimbaran Nov 2019'!BE36</f>
        <v>0</v>
      </c>
      <c r="R26" s="23">
        <f>'FS Jimbaran Nov 2019'!BF36</f>
        <v>0</v>
      </c>
      <c r="S26" s="23">
        <f>'FS Jimbaran Nov 2019'!BH36</f>
        <v>0</v>
      </c>
      <c r="T26" s="23">
        <f>'FS Jimbaran Nov 2019'!BH36</f>
        <v>0</v>
      </c>
      <c r="U26" s="23">
        <f>'FS Jimbaran Nov 2019'!BI36</f>
        <v>0</v>
      </c>
      <c r="V26" s="23">
        <f>'FS Jimbaran Nov 2019'!BJ36</f>
        <v>0</v>
      </c>
      <c r="W26" s="23">
        <f>'FS Jimbaran Nov 2019'!Y36</f>
        <v>584</v>
      </c>
      <c r="X26" s="23">
        <f>'FS Jimbaran Nov 2019'!Z36</f>
        <v>0</v>
      </c>
      <c r="Y26" s="23">
        <f>'FS Jimbaran Nov 2019'!AA36</f>
        <v>0</v>
      </c>
      <c r="Z26" s="23">
        <f>'FS Jimbaran Nov 2019'!AB36</f>
        <v>0</v>
      </c>
      <c r="AA26" s="23">
        <f>'FS Jimbaran Nov 2019'!AC36</f>
        <v>0</v>
      </c>
      <c r="AB26" s="23">
        <f>'FS Jimbaran Nov 2019'!AD36</f>
        <v>0</v>
      </c>
      <c r="AC26" s="23">
        <f>'FS Jimbaran Nov 2019'!AE36</f>
        <v>0</v>
      </c>
      <c r="AD26" s="23">
        <f>'FS Jimbaran Nov 2019'!AF36</f>
        <v>0</v>
      </c>
      <c r="AE26" s="23">
        <f>'FS Jimbaran Nov 2019'!AG36</f>
        <v>0</v>
      </c>
      <c r="AF26" s="23">
        <f>'FS Jimbaran Nov 2019'!AH36</f>
        <v>0</v>
      </c>
      <c r="AG26" s="23">
        <f>'FS Jimbaran Nov 2019'!AM36</f>
        <v>0</v>
      </c>
      <c r="AH26" s="23">
        <f>'FS Jimbaran Nov 2019'!AR36</f>
        <v>0</v>
      </c>
      <c r="AI26" s="23">
        <f>'FS Jimbaran Nov 2019'!AQ36</f>
        <v>0</v>
      </c>
      <c r="AJ26" s="23">
        <f>'FS Jimbaran Nov 2019'!AR36</f>
        <v>0</v>
      </c>
      <c r="AK26" s="23">
        <f>'FS Jimbaran Nov 2019'!AY36</f>
        <v>0</v>
      </c>
      <c r="AL26" s="23">
        <f>'FS Jimbaran Nov 2019'!AZ36</f>
        <v>0</v>
      </c>
      <c r="AM26" s="23">
        <f>'FS Jimbaran Nov 2019'!BB36</f>
        <v>0</v>
      </c>
      <c r="AN26" s="23">
        <f>'FS Jimbaran Nov 2019'!BB36</f>
        <v>0</v>
      </c>
      <c r="AO26" s="23">
        <f>'FS Jimbaran Nov 2019'!BK36</f>
        <v>0</v>
      </c>
      <c r="AP26" s="23">
        <f>'FS Jimbaran Nov 2019'!BL36</f>
        <v>0</v>
      </c>
      <c r="AQ26" s="23">
        <f>'FS Jimbaran Nov 2019'!BC36</f>
        <v>0</v>
      </c>
      <c r="AR26" s="23">
        <f>'FS Jimbaran Nov 2019'!BD36</f>
        <v>0</v>
      </c>
      <c r="AS26" s="23">
        <f>'FS Jimbaran Nov 2019'!BM36</f>
        <v>0</v>
      </c>
      <c r="AT26" s="23">
        <f>'FS Jimbaran Nov 2019'!BN36</f>
        <v>0</v>
      </c>
      <c r="AU26" s="23">
        <f>'FS Jimbaran Nov 2019'!BO36</f>
        <v>0</v>
      </c>
      <c r="AV26" s="23">
        <f>'FS Jimbaran Nov 2019'!BP36</f>
        <v>0</v>
      </c>
      <c r="AW26" s="23">
        <f>'FS Jimbaran Nov 2019'!E36</f>
        <v>86.9</v>
      </c>
      <c r="AX26" s="23">
        <f>'FS Jimbaran Nov 2019'!F36</f>
        <v>0</v>
      </c>
      <c r="AY26" s="23">
        <f>'FS Jimbaran Nov 2019'!O36</f>
        <v>0</v>
      </c>
      <c r="AZ26" s="23">
        <f>'FS Jimbaran Nov 2019'!P36</f>
        <v>0</v>
      </c>
      <c r="BA26" s="23">
        <f>'FS Jimbaran Nov 2019'!W36</f>
        <v>0</v>
      </c>
      <c r="BB26" s="23">
        <f>'FS Jimbaran Nov 2019'!X36</f>
        <v>0</v>
      </c>
      <c r="BC26" s="23">
        <f>'FS Jimbaran Nov 2019'!AI36</f>
        <v>690</v>
      </c>
      <c r="BD26" s="23">
        <f>'FS Jimbaran Nov 2019'!AJ36</f>
        <v>0</v>
      </c>
      <c r="BE26" s="23">
        <f>'FS Jimbaran Nov 2019'!AK36</f>
        <v>0</v>
      </c>
      <c r="BF26" s="23">
        <f>'FS Jimbaran Nov 2019'!AL36</f>
        <v>0</v>
      </c>
      <c r="BG26" s="23">
        <f>'FS Jimbaran Nov 2019'!AM36</f>
        <v>0</v>
      </c>
      <c r="BH26" s="23">
        <f>'FS Jimbaran Nov 2019'!AN36</f>
        <v>0</v>
      </c>
      <c r="BI26" s="23">
        <f>'FS Jimbaran Nov 2019'!AO36</f>
        <v>0</v>
      </c>
      <c r="BJ26" s="23">
        <f>'FS Jimbaran Nov 2019'!AO36</f>
        <v>0</v>
      </c>
      <c r="BK26" s="23">
        <f>'FS Jimbaran Nov 2019'!AQ36</f>
        <v>0</v>
      </c>
      <c r="BL26" s="23">
        <f>'FS Jimbaran Nov 2019'!AR36</f>
        <v>0</v>
      </c>
      <c r="BM26" s="23">
        <v>0</v>
      </c>
      <c r="BN26" s="23">
        <v>0</v>
      </c>
      <c r="BO26" s="24">
        <f>'FS Jimbaran Nov 2019'!Q36</f>
        <v>0</v>
      </c>
      <c r="BP26" s="23">
        <f>'FS Jimbaran Nov 2019'!R36</f>
        <v>0</v>
      </c>
    </row>
    <row r="27" spans="1:68">
      <c r="A27" s="18" t="s">
        <v>67</v>
      </c>
      <c r="B27" s="26">
        <f t="shared" si="0"/>
        <v>26</v>
      </c>
      <c r="C27" s="27">
        <v>11</v>
      </c>
      <c r="D27" s="28">
        <v>2019</v>
      </c>
      <c r="E27" s="19">
        <f>'FS Jimbaran Nov 2019'!M37</f>
        <v>4.3</v>
      </c>
      <c r="F27" s="23">
        <f>'FS Jimbaran Nov 2019'!N37</f>
        <v>0</v>
      </c>
      <c r="G27" s="23">
        <v>0</v>
      </c>
      <c r="H27" s="23">
        <f>'FS Jimbaran Nov 2019'!H37</f>
        <v>0</v>
      </c>
      <c r="I27" s="23">
        <f>'FS Jimbaran Nov 2019'!I37</f>
        <v>0</v>
      </c>
      <c r="J27" s="23">
        <f>'FS Jimbaran Nov 2019'!J37</f>
        <v>0</v>
      </c>
      <c r="K27" s="23">
        <f>'FS Jimbaran Nov 2019'!K37</f>
        <v>76</v>
      </c>
      <c r="L27" s="23">
        <f>'FS Jimbaran Nov 2019'!L37</f>
        <v>0</v>
      </c>
      <c r="M27" s="23">
        <f>'FS Jimbaran Nov 2019'!S37</f>
        <v>0</v>
      </c>
      <c r="N27" s="23">
        <f>'FS Jimbaran Nov 2019'!T37</f>
        <v>0</v>
      </c>
      <c r="O27" s="23">
        <f>'FS Jimbaran Nov 2019'!U37</f>
        <v>19</v>
      </c>
      <c r="P27" s="23">
        <f>'FS Jimbaran Nov 2019'!V37</f>
        <v>0</v>
      </c>
      <c r="Q27" s="23">
        <f>'FS Jimbaran Nov 2019'!BE37</f>
        <v>0</v>
      </c>
      <c r="R27" s="23">
        <f>'FS Jimbaran Nov 2019'!BF37</f>
        <v>0</v>
      </c>
      <c r="S27" s="23">
        <f>'FS Jimbaran Nov 2019'!BH37</f>
        <v>0</v>
      </c>
      <c r="T27" s="23">
        <f>'FS Jimbaran Nov 2019'!BH37</f>
        <v>0</v>
      </c>
      <c r="U27" s="23">
        <f>'FS Jimbaran Nov 2019'!BI37</f>
        <v>0</v>
      </c>
      <c r="V27" s="23">
        <f>'FS Jimbaran Nov 2019'!BJ37</f>
        <v>0</v>
      </c>
      <c r="W27" s="23">
        <f>'FS Jimbaran Nov 2019'!Y37</f>
        <v>608</v>
      </c>
      <c r="X27" s="23">
        <f>'FS Jimbaran Nov 2019'!Z37</f>
        <v>0</v>
      </c>
      <c r="Y27" s="23">
        <f>'FS Jimbaran Nov 2019'!AA37</f>
        <v>0</v>
      </c>
      <c r="Z27" s="23">
        <f>'FS Jimbaran Nov 2019'!AB37</f>
        <v>0</v>
      </c>
      <c r="AA27" s="23">
        <f>'FS Jimbaran Nov 2019'!AC37</f>
        <v>0</v>
      </c>
      <c r="AB27" s="23">
        <f>'FS Jimbaran Nov 2019'!AD37</f>
        <v>0</v>
      </c>
      <c r="AC27" s="23">
        <f>'FS Jimbaran Nov 2019'!AE37</f>
        <v>0</v>
      </c>
      <c r="AD27" s="23">
        <f>'FS Jimbaran Nov 2019'!AF37</f>
        <v>0</v>
      </c>
      <c r="AE27" s="23">
        <f>'FS Jimbaran Nov 2019'!AG37</f>
        <v>0</v>
      </c>
      <c r="AF27" s="23">
        <f>'FS Jimbaran Nov 2019'!AH37</f>
        <v>0</v>
      </c>
      <c r="AG27" s="23">
        <f>'FS Jimbaran Nov 2019'!AM37</f>
        <v>0</v>
      </c>
      <c r="AH27" s="23">
        <f>'FS Jimbaran Nov 2019'!AR37</f>
        <v>0</v>
      </c>
      <c r="AI27" s="23">
        <f>'FS Jimbaran Nov 2019'!AQ37</f>
        <v>0</v>
      </c>
      <c r="AJ27" s="23">
        <f>'FS Jimbaran Nov 2019'!AR37</f>
        <v>0</v>
      </c>
      <c r="AK27" s="23">
        <f>'FS Jimbaran Nov 2019'!AY37</f>
        <v>0</v>
      </c>
      <c r="AL27" s="23">
        <f>'FS Jimbaran Nov 2019'!AZ37</f>
        <v>0</v>
      </c>
      <c r="AM27" s="23">
        <f>'FS Jimbaran Nov 2019'!BB37</f>
        <v>0</v>
      </c>
      <c r="AN27" s="23">
        <f>'FS Jimbaran Nov 2019'!BB37</f>
        <v>0</v>
      </c>
      <c r="AO27" s="23">
        <f>'FS Jimbaran Nov 2019'!BK37</f>
        <v>0</v>
      </c>
      <c r="AP27" s="23">
        <f>'FS Jimbaran Nov 2019'!BL37</f>
        <v>0</v>
      </c>
      <c r="AQ27" s="23">
        <f>'FS Jimbaran Nov 2019'!BC37</f>
        <v>0</v>
      </c>
      <c r="AR27" s="23">
        <f>'FS Jimbaran Nov 2019'!BD37</f>
        <v>0</v>
      </c>
      <c r="AS27" s="23">
        <f>'FS Jimbaran Nov 2019'!BM37</f>
        <v>0</v>
      </c>
      <c r="AT27" s="23">
        <f>'FS Jimbaran Nov 2019'!BN37</f>
        <v>0</v>
      </c>
      <c r="AU27" s="23">
        <f>'FS Jimbaran Nov 2019'!BO37</f>
        <v>0</v>
      </c>
      <c r="AV27" s="23">
        <f>'FS Jimbaran Nov 2019'!BP37</f>
        <v>0</v>
      </c>
      <c r="AW27" s="23">
        <f>'FS Jimbaran Nov 2019'!E37</f>
        <v>87.4</v>
      </c>
      <c r="AX27" s="23">
        <f>'FS Jimbaran Nov 2019'!F37</f>
        <v>0</v>
      </c>
      <c r="AY27" s="23">
        <f>'FS Jimbaran Nov 2019'!O37</f>
        <v>0</v>
      </c>
      <c r="AZ27" s="23">
        <f>'FS Jimbaran Nov 2019'!P37</f>
        <v>0</v>
      </c>
      <c r="BA27" s="23">
        <f>'FS Jimbaran Nov 2019'!W37</f>
        <v>0</v>
      </c>
      <c r="BB27" s="23">
        <f>'FS Jimbaran Nov 2019'!X37</f>
        <v>0</v>
      </c>
      <c r="BC27" s="23">
        <f>'FS Jimbaran Nov 2019'!AI37</f>
        <v>730.00000000000011</v>
      </c>
      <c r="BD27" s="23">
        <f>'FS Jimbaran Nov 2019'!AJ37</f>
        <v>0</v>
      </c>
      <c r="BE27" s="23">
        <f>'FS Jimbaran Nov 2019'!AK37</f>
        <v>0</v>
      </c>
      <c r="BF27" s="23">
        <f>'FS Jimbaran Nov 2019'!AL37</f>
        <v>0</v>
      </c>
      <c r="BG27" s="23">
        <f>'FS Jimbaran Nov 2019'!AM37</f>
        <v>0</v>
      </c>
      <c r="BH27" s="23">
        <f>'FS Jimbaran Nov 2019'!AN37</f>
        <v>0</v>
      </c>
      <c r="BI27" s="23">
        <f>'FS Jimbaran Nov 2019'!AO37</f>
        <v>0</v>
      </c>
      <c r="BJ27" s="23">
        <f>'FS Jimbaran Nov 2019'!AO37</f>
        <v>0</v>
      </c>
      <c r="BK27" s="23">
        <f>'FS Jimbaran Nov 2019'!AQ37</f>
        <v>0</v>
      </c>
      <c r="BL27" s="23">
        <f>'FS Jimbaran Nov 2019'!AR37</f>
        <v>0</v>
      </c>
      <c r="BM27" s="23">
        <v>0</v>
      </c>
      <c r="BN27" s="23">
        <v>0</v>
      </c>
      <c r="BO27" s="24">
        <f>'FS Jimbaran Nov 2019'!Q37</f>
        <v>0</v>
      </c>
      <c r="BP27" s="23">
        <f>'FS Jimbaran Nov 2019'!R37</f>
        <v>0</v>
      </c>
    </row>
    <row r="28" spans="1:68">
      <c r="A28" s="18" t="s">
        <v>67</v>
      </c>
      <c r="B28" s="26">
        <f t="shared" si="0"/>
        <v>27</v>
      </c>
      <c r="C28" s="27">
        <v>11</v>
      </c>
      <c r="D28" s="28">
        <v>2019</v>
      </c>
      <c r="E28" s="19">
        <f>'FS Jimbaran Nov 2019'!M38</f>
        <v>4.9000000000000004</v>
      </c>
      <c r="F28" s="23">
        <f>'FS Jimbaran Nov 2019'!N38</f>
        <v>0</v>
      </c>
      <c r="G28" s="23">
        <v>0</v>
      </c>
      <c r="H28" s="23">
        <f>'FS Jimbaran Nov 2019'!H38</f>
        <v>0</v>
      </c>
      <c r="I28" s="23">
        <f>'FS Jimbaran Nov 2019'!I38</f>
        <v>0</v>
      </c>
      <c r="J28" s="23">
        <f>'FS Jimbaran Nov 2019'!J38</f>
        <v>0</v>
      </c>
      <c r="K28" s="23">
        <f>'FS Jimbaran Nov 2019'!K38</f>
        <v>80</v>
      </c>
      <c r="L28" s="23">
        <f>'FS Jimbaran Nov 2019'!L38</f>
        <v>0</v>
      </c>
      <c r="M28" s="23">
        <f>'FS Jimbaran Nov 2019'!S38</f>
        <v>0</v>
      </c>
      <c r="N28" s="23">
        <f>'FS Jimbaran Nov 2019'!T38</f>
        <v>0</v>
      </c>
      <c r="O28" s="23">
        <f>'FS Jimbaran Nov 2019'!U38</f>
        <v>11</v>
      </c>
      <c r="P28" s="23">
        <f>'FS Jimbaran Nov 2019'!V38</f>
        <v>0</v>
      </c>
      <c r="Q28" s="23">
        <f>'FS Jimbaran Nov 2019'!BE38</f>
        <v>0</v>
      </c>
      <c r="R28" s="23">
        <f>'FS Jimbaran Nov 2019'!BF38</f>
        <v>0</v>
      </c>
      <c r="S28" s="23">
        <f>'FS Jimbaran Nov 2019'!BH38</f>
        <v>0</v>
      </c>
      <c r="T28" s="23">
        <f>'FS Jimbaran Nov 2019'!BH38</f>
        <v>0</v>
      </c>
      <c r="U28" s="23">
        <f>'FS Jimbaran Nov 2019'!BI38</f>
        <v>0</v>
      </c>
      <c r="V28" s="23">
        <f>'FS Jimbaran Nov 2019'!BJ38</f>
        <v>0</v>
      </c>
      <c r="W28" s="23">
        <f>'FS Jimbaran Nov 2019'!Y38</f>
        <v>576</v>
      </c>
      <c r="X28" s="23">
        <f>'FS Jimbaran Nov 2019'!Z38</f>
        <v>0</v>
      </c>
      <c r="Y28" s="23">
        <f>'FS Jimbaran Nov 2019'!AA38</f>
        <v>0</v>
      </c>
      <c r="Z28" s="23">
        <f>'FS Jimbaran Nov 2019'!AB38</f>
        <v>0</v>
      </c>
      <c r="AA28" s="23">
        <f>'FS Jimbaran Nov 2019'!AC38</f>
        <v>0</v>
      </c>
      <c r="AB28" s="23">
        <f>'FS Jimbaran Nov 2019'!AD38</f>
        <v>0</v>
      </c>
      <c r="AC28" s="23">
        <f>'FS Jimbaran Nov 2019'!AE38</f>
        <v>0</v>
      </c>
      <c r="AD28" s="23">
        <f>'FS Jimbaran Nov 2019'!AF38</f>
        <v>0</v>
      </c>
      <c r="AE28" s="23">
        <f>'FS Jimbaran Nov 2019'!AG38</f>
        <v>0</v>
      </c>
      <c r="AF28" s="23">
        <f>'FS Jimbaran Nov 2019'!AH38</f>
        <v>0</v>
      </c>
      <c r="AG28" s="23">
        <f>'FS Jimbaran Nov 2019'!AM38</f>
        <v>0</v>
      </c>
      <c r="AH28" s="23">
        <f>'FS Jimbaran Nov 2019'!AR38</f>
        <v>0</v>
      </c>
      <c r="AI28" s="23">
        <f>'FS Jimbaran Nov 2019'!AQ38</f>
        <v>0</v>
      </c>
      <c r="AJ28" s="23">
        <f>'FS Jimbaran Nov 2019'!AR38</f>
        <v>0</v>
      </c>
      <c r="AK28" s="23">
        <f>'FS Jimbaran Nov 2019'!AY38</f>
        <v>0</v>
      </c>
      <c r="AL28" s="23">
        <f>'FS Jimbaran Nov 2019'!AZ38</f>
        <v>0</v>
      </c>
      <c r="AM28" s="23">
        <f>'FS Jimbaran Nov 2019'!BB38</f>
        <v>0</v>
      </c>
      <c r="AN28" s="23">
        <f>'FS Jimbaran Nov 2019'!BB38</f>
        <v>0</v>
      </c>
      <c r="AO28" s="23">
        <f>'FS Jimbaran Nov 2019'!BK38</f>
        <v>0</v>
      </c>
      <c r="AP28" s="23">
        <f>'FS Jimbaran Nov 2019'!BL38</f>
        <v>0</v>
      </c>
      <c r="AQ28" s="23">
        <f>'FS Jimbaran Nov 2019'!BC38</f>
        <v>0</v>
      </c>
      <c r="AR28" s="23">
        <f>'FS Jimbaran Nov 2019'!BD38</f>
        <v>0</v>
      </c>
      <c r="AS28" s="23">
        <f>'FS Jimbaran Nov 2019'!BM38</f>
        <v>0</v>
      </c>
      <c r="AT28" s="23">
        <f>'FS Jimbaran Nov 2019'!BN38</f>
        <v>0</v>
      </c>
      <c r="AU28" s="23">
        <f>'FS Jimbaran Nov 2019'!BO38</f>
        <v>0</v>
      </c>
      <c r="AV28" s="23">
        <f>'FS Jimbaran Nov 2019'!BP38</f>
        <v>0</v>
      </c>
      <c r="AW28" s="23">
        <f>'FS Jimbaran Nov 2019'!E38</f>
        <v>107.7</v>
      </c>
      <c r="AX28" s="23">
        <f>'FS Jimbaran Nov 2019'!F38</f>
        <v>0</v>
      </c>
      <c r="AY28" s="23">
        <f>'FS Jimbaran Nov 2019'!O38</f>
        <v>0</v>
      </c>
      <c r="AZ28" s="23">
        <f>'FS Jimbaran Nov 2019'!P38</f>
        <v>0</v>
      </c>
      <c r="BA28" s="23">
        <f>'FS Jimbaran Nov 2019'!W38</f>
        <v>0</v>
      </c>
      <c r="BB28" s="23">
        <f>'FS Jimbaran Nov 2019'!X38</f>
        <v>0</v>
      </c>
      <c r="BC28" s="23">
        <f>'FS Jimbaran Nov 2019'!AI38</f>
        <v>700</v>
      </c>
      <c r="BD28" s="23">
        <f>'FS Jimbaran Nov 2019'!AJ38</f>
        <v>0</v>
      </c>
      <c r="BE28" s="23">
        <f>'FS Jimbaran Nov 2019'!AK38</f>
        <v>0</v>
      </c>
      <c r="BF28" s="23">
        <f>'FS Jimbaran Nov 2019'!AL38</f>
        <v>0</v>
      </c>
      <c r="BG28" s="23">
        <f>'FS Jimbaran Nov 2019'!AM38</f>
        <v>0</v>
      </c>
      <c r="BH28" s="23">
        <f>'FS Jimbaran Nov 2019'!AN38</f>
        <v>0</v>
      </c>
      <c r="BI28" s="23">
        <f>'FS Jimbaran Nov 2019'!AO38</f>
        <v>0</v>
      </c>
      <c r="BJ28" s="23">
        <f>'FS Jimbaran Nov 2019'!AO38</f>
        <v>0</v>
      </c>
      <c r="BK28" s="23">
        <f>'FS Jimbaran Nov 2019'!AQ38</f>
        <v>0</v>
      </c>
      <c r="BL28" s="23">
        <f>'FS Jimbaran Nov 2019'!AR38</f>
        <v>0</v>
      </c>
      <c r="BM28" s="23">
        <v>0</v>
      </c>
      <c r="BN28" s="23">
        <v>0</v>
      </c>
      <c r="BO28" s="24">
        <f>'FS Jimbaran Nov 2019'!Q38</f>
        <v>0</v>
      </c>
      <c r="BP28" s="23">
        <f>'FS Jimbaran Nov 2019'!R38</f>
        <v>0</v>
      </c>
    </row>
    <row r="29" spans="1:68">
      <c r="A29" s="55" t="s">
        <v>67</v>
      </c>
      <c r="B29" s="56">
        <f t="shared" si="0"/>
        <v>28</v>
      </c>
      <c r="C29" s="27">
        <v>11</v>
      </c>
      <c r="D29" s="57">
        <v>2019</v>
      </c>
      <c r="E29" s="19">
        <f>'FS Jimbaran Nov 2019'!M39</f>
        <v>6.1</v>
      </c>
      <c r="F29" s="23">
        <f>'FS Jimbaran Nov 2019'!N39</f>
        <v>0</v>
      </c>
      <c r="G29" s="23">
        <v>0</v>
      </c>
      <c r="H29" s="23">
        <f>'FS Jimbaran Nov 2019'!H39</f>
        <v>0</v>
      </c>
      <c r="I29" s="23">
        <f>'FS Jimbaran Nov 2019'!I39</f>
        <v>0</v>
      </c>
      <c r="J29" s="23">
        <f>'FS Jimbaran Nov 2019'!J39</f>
        <v>0</v>
      </c>
      <c r="K29" s="23">
        <f>'FS Jimbaran Nov 2019'!K39</f>
        <v>100</v>
      </c>
      <c r="L29" s="23">
        <f>'FS Jimbaran Nov 2019'!L39</f>
        <v>0</v>
      </c>
      <c r="M29" s="23">
        <f>'FS Jimbaran Nov 2019'!S39</f>
        <v>0</v>
      </c>
      <c r="N29" s="23">
        <f>'FS Jimbaran Nov 2019'!T39</f>
        <v>0</v>
      </c>
      <c r="O29" s="23">
        <f>'FS Jimbaran Nov 2019'!U39</f>
        <v>7</v>
      </c>
      <c r="P29" s="23">
        <f>'FS Jimbaran Nov 2019'!V39</f>
        <v>0</v>
      </c>
      <c r="Q29" s="23">
        <f>'FS Jimbaran Nov 2019'!BE39</f>
        <v>0</v>
      </c>
      <c r="R29" s="23">
        <f>'FS Jimbaran Nov 2019'!BF39</f>
        <v>0</v>
      </c>
      <c r="S29" s="23">
        <f>'FS Jimbaran Nov 2019'!BH39</f>
        <v>0</v>
      </c>
      <c r="T29" s="23">
        <f>'FS Jimbaran Nov 2019'!BH39</f>
        <v>0</v>
      </c>
      <c r="U29" s="23">
        <f>'FS Jimbaran Nov 2019'!BI39</f>
        <v>0</v>
      </c>
      <c r="V29" s="23">
        <f>'FS Jimbaran Nov 2019'!BJ39</f>
        <v>0</v>
      </c>
      <c r="W29" s="23">
        <f>'FS Jimbaran Nov 2019'!Y39</f>
        <v>592</v>
      </c>
      <c r="X29" s="23">
        <f>'FS Jimbaran Nov 2019'!Z39</f>
        <v>0</v>
      </c>
      <c r="Y29" s="23">
        <f>'FS Jimbaran Nov 2019'!AA39</f>
        <v>0</v>
      </c>
      <c r="Z29" s="23">
        <f>'FS Jimbaran Nov 2019'!AB39</f>
        <v>0</v>
      </c>
      <c r="AA29" s="23">
        <f>'FS Jimbaran Nov 2019'!AC39</f>
        <v>0</v>
      </c>
      <c r="AB29" s="23">
        <f>'FS Jimbaran Nov 2019'!AD39</f>
        <v>0</v>
      </c>
      <c r="AC29" s="23">
        <f>'FS Jimbaran Nov 2019'!AE39</f>
        <v>0</v>
      </c>
      <c r="AD29" s="23">
        <f>'FS Jimbaran Nov 2019'!AF39</f>
        <v>0</v>
      </c>
      <c r="AE29" s="23">
        <f>'FS Jimbaran Nov 2019'!AG39</f>
        <v>0</v>
      </c>
      <c r="AF29" s="23">
        <f>'FS Jimbaran Nov 2019'!AH39</f>
        <v>0</v>
      </c>
      <c r="AG29" s="23">
        <f>'FS Jimbaran Nov 2019'!AM39</f>
        <v>0</v>
      </c>
      <c r="AH29" s="23">
        <f>'FS Jimbaran Nov 2019'!AR39</f>
        <v>0</v>
      </c>
      <c r="AI29" s="23">
        <f>'FS Jimbaran Nov 2019'!AQ39</f>
        <v>0</v>
      </c>
      <c r="AJ29" s="23">
        <f>'FS Jimbaran Nov 2019'!AR39</f>
        <v>0</v>
      </c>
      <c r="AK29" s="23">
        <f>'FS Jimbaran Nov 2019'!AY39</f>
        <v>0</v>
      </c>
      <c r="AL29" s="23">
        <f>'FS Jimbaran Nov 2019'!AZ39</f>
        <v>0</v>
      </c>
      <c r="AM29" s="23">
        <f>'FS Jimbaran Nov 2019'!BB39</f>
        <v>0</v>
      </c>
      <c r="AN29" s="23">
        <f>'FS Jimbaran Nov 2019'!BB39</f>
        <v>0</v>
      </c>
      <c r="AO29" s="23">
        <f>'FS Jimbaran Nov 2019'!BK39</f>
        <v>0</v>
      </c>
      <c r="AP29" s="23">
        <f>'FS Jimbaran Nov 2019'!BL39</f>
        <v>0</v>
      </c>
      <c r="AQ29" s="23">
        <f>'FS Jimbaran Nov 2019'!BC39</f>
        <v>0</v>
      </c>
      <c r="AR29" s="23">
        <f>'FS Jimbaran Nov 2019'!BD39</f>
        <v>0</v>
      </c>
      <c r="AS29" s="23">
        <f>'FS Jimbaran Nov 2019'!BM39</f>
        <v>0</v>
      </c>
      <c r="AT29" s="23">
        <f>'FS Jimbaran Nov 2019'!BN39</f>
        <v>0</v>
      </c>
      <c r="AU29" s="23">
        <f>'FS Jimbaran Nov 2019'!BO39</f>
        <v>0</v>
      </c>
      <c r="AV29" s="23">
        <f>'FS Jimbaran Nov 2019'!BP39</f>
        <v>0</v>
      </c>
      <c r="AW29" s="23">
        <f>'FS Jimbaran Nov 2019'!E39</f>
        <v>102</v>
      </c>
      <c r="AX29" s="23">
        <f>'FS Jimbaran Nov 2019'!F39</f>
        <v>0</v>
      </c>
      <c r="AY29" s="23">
        <f>'FS Jimbaran Nov 2019'!O39</f>
        <v>0</v>
      </c>
      <c r="AZ29" s="23">
        <f>'FS Jimbaran Nov 2019'!P39</f>
        <v>0</v>
      </c>
      <c r="BA29" s="23">
        <f>'FS Jimbaran Nov 2019'!W39</f>
        <v>0</v>
      </c>
      <c r="BB29" s="23">
        <f>'FS Jimbaran Nov 2019'!X39</f>
        <v>0</v>
      </c>
      <c r="BC29" s="23">
        <f>'FS Jimbaran Nov 2019'!AI39</f>
        <v>660</v>
      </c>
      <c r="BD29" s="23">
        <f>'FS Jimbaran Nov 2019'!AJ39</f>
        <v>0</v>
      </c>
      <c r="BE29" s="23">
        <f>'FS Jimbaran Nov 2019'!AK39</f>
        <v>0</v>
      </c>
      <c r="BF29" s="23">
        <f>'FS Jimbaran Nov 2019'!AL39</f>
        <v>0</v>
      </c>
      <c r="BG29" s="23">
        <f>'FS Jimbaran Nov 2019'!AM39</f>
        <v>0</v>
      </c>
      <c r="BH29" s="23">
        <f>'FS Jimbaran Nov 2019'!AN39</f>
        <v>0</v>
      </c>
      <c r="BI29" s="23">
        <f>'FS Jimbaran Nov 2019'!AO39</f>
        <v>0</v>
      </c>
      <c r="BJ29" s="23">
        <f>'FS Jimbaran Nov 2019'!AO39</f>
        <v>0</v>
      </c>
      <c r="BK29" s="23">
        <f>'FS Jimbaran Nov 2019'!AQ39</f>
        <v>0</v>
      </c>
      <c r="BL29" s="23">
        <f>'FS Jimbaran Nov 2019'!AR39</f>
        <v>0</v>
      </c>
      <c r="BM29" s="23">
        <v>0</v>
      </c>
      <c r="BN29" s="23">
        <v>0</v>
      </c>
      <c r="BO29" s="24">
        <f>'FS Jimbaran Nov 2019'!Q39</f>
        <v>0</v>
      </c>
      <c r="BP29" s="23">
        <f>'FS Jimbaran Nov 2019'!R39</f>
        <v>0</v>
      </c>
    </row>
    <row r="30" spans="1:68">
      <c r="A30" s="53" t="s">
        <v>67</v>
      </c>
      <c r="B30" s="54">
        <f t="shared" si="0"/>
        <v>29</v>
      </c>
      <c r="C30" s="27">
        <v>11</v>
      </c>
      <c r="D30" s="54">
        <v>2019</v>
      </c>
      <c r="E30" s="19">
        <f>'FS Jimbaran Nov 2019'!M40</f>
        <v>6</v>
      </c>
      <c r="F30" s="23">
        <f>'FS Jimbaran Nov 2019'!N40</f>
        <v>0</v>
      </c>
      <c r="G30" s="23">
        <v>0</v>
      </c>
      <c r="H30" s="23">
        <f>'FS Jimbaran Nov 2019'!H40</f>
        <v>0</v>
      </c>
      <c r="I30" s="23">
        <f>'FS Jimbaran Nov 2019'!I40</f>
        <v>0</v>
      </c>
      <c r="J30" s="23">
        <f>'FS Jimbaran Nov 2019'!J40</f>
        <v>0</v>
      </c>
      <c r="K30" s="23">
        <f>'FS Jimbaran Nov 2019'!K40</f>
        <v>86</v>
      </c>
      <c r="L30" s="23">
        <f>'FS Jimbaran Nov 2019'!L40</f>
        <v>0</v>
      </c>
      <c r="M30" s="23">
        <f>'FS Jimbaran Nov 2019'!S40</f>
        <v>0</v>
      </c>
      <c r="N30" s="23">
        <f>'FS Jimbaran Nov 2019'!T40</f>
        <v>0</v>
      </c>
      <c r="O30" s="23">
        <f>'FS Jimbaran Nov 2019'!U40</f>
        <v>14</v>
      </c>
      <c r="P30" s="23">
        <f>'FS Jimbaran Nov 2019'!V40</f>
        <v>0</v>
      </c>
      <c r="Q30" s="23">
        <f>'FS Jimbaran Nov 2019'!BE40</f>
        <v>0</v>
      </c>
      <c r="R30" s="23">
        <f>'FS Jimbaran Nov 2019'!BF40</f>
        <v>0</v>
      </c>
      <c r="S30" s="23">
        <f>'FS Jimbaran Nov 2019'!BH40</f>
        <v>0</v>
      </c>
      <c r="T30" s="23">
        <f>'FS Jimbaran Nov 2019'!BH40</f>
        <v>0</v>
      </c>
      <c r="U30" s="23">
        <f>'FS Jimbaran Nov 2019'!BI40</f>
        <v>0</v>
      </c>
      <c r="V30" s="23">
        <f>'FS Jimbaran Nov 2019'!BJ40</f>
        <v>0</v>
      </c>
      <c r="W30" s="23">
        <f>'FS Jimbaran Nov 2019'!Y40</f>
        <v>560</v>
      </c>
      <c r="X30" s="23">
        <f>'FS Jimbaran Nov 2019'!Z40</f>
        <v>0</v>
      </c>
      <c r="Y30" s="23">
        <f>'FS Jimbaran Nov 2019'!AA40</f>
        <v>0</v>
      </c>
      <c r="Z30" s="23">
        <f>'FS Jimbaran Nov 2019'!AB40</f>
        <v>0</v>
      </c>
      <c r="AA30" s="23">
        <f>'FS Jimbaran Nov 2019'!AC40</f>
        <v>0</v>
      </c>
      <c r="AB30" s="23">
        <f>'FS Jimbaran Nov 2019'!AD40</f>
        <v>0</v>
      </c>
      <c r="AC30" s="23">
        <f>'FS Jimbaran Nov 2019'!AE40</f>
        <v>0</v>
      </c>
      <c r="AD30" s="23">
        <f>'FS Jimbaran Nov 2019'!AF40</f>
        <v>0</v>
      </c>
      <c r="AE30" s="23">
        <f>'FS Jimbaran Nov 2019'!AG40</f>
        <v>0</v>
      </c>
      <c r="AF30" s="23">
        <f>'FS Jimbaran Nov 2019'!AH40</f>
        <v>0</v>
      </c>
      <c r="AG30" s="23">
        <f>'FS Jimbaran Nov 2019'!AM40</f>
        <v>0</v>
      </c>
      <c r="AH30" s="23">
        <f>'FS Jimbaran Nov 2019'!AR40</f>
        <v>0</v>
      </c>
      <c r="AI30" s="23">
        <f>'FS Jimbaran Nov 2019'!AQ40</f>
        <v>0</v>
      </c>
      <c r="AJ30" s="23">
        <f>'FS Jimbaran Nov 2019'!AR40</f>
        <v>0</v>
      </c>
      <c r="AK30" s="23">
        <f>'FS Jimbaran Nov 2019'!AY40</f>
        <v>0</v>
      </c>
      <c r="AL30" s="23">
        <f>'FS Jimbaran Nov 2019'!AZ40</f>
        <v>0</v>
      </c>
      <c r="AM30" s="23">
        <f>'FS Jimbaran Nov 2019'!BB40</f>
        <v>0</v>
      </c>
      <c r="AN30" s="23">
        <f>'FS Jimbaran Nov 2019'!BB40</f>
        <v>0</v>
      </c>
      <c r="AO30" s="23">
        <f>'FS Jimbaran Nov 2019'!BK40</f>
        <v>0</v>
      </c>
      <c r="AP30" s="23">
        <f>'FS Jimbaran Nov 2019'!BL40</f>
        <v>0</v>
      </c>
      <c r="AQ30" s="23">
        <f>'FS Jimbaran Nov 2019'!BC40</f>
        <v>0</v>
      </c>
      <c r="AR30" s="23">
        <f>'FS Jimbaran Nov 2019'!BD40</f>
        <v>0</v>
      </c>
      <c r="AS30" s="23">
        <f>'FS Jimbaran Nov 2019'!BM40</f>
        <v>0</v>
      </c>
      <c r="AT30" s="23">
        <f>'FS Jimbaran Nov 2019'!BN40</f>
        <v>0</v>
      </c>
      <c r="AU30" s="23">
        <f>'FS Jimbaran Nov 2019'!BO40</f>
        <v>0</v>
      </c>
      <c r="AV30" s="23">
        <f>'FS Jimbaran Nov 2019'!BP40</f>
        <v>0</v>
      </c>
      <c r="AW30" s="23">
        <f>'FS Jimbaran Nov 2019'!E40</f>
        <v>93</v>
      </c>
      <c r="AX30" s="23">
        <f>'FS Jimbaran Nov 2019'!F40</f>
        <v>0</v>
      </c>
      <c r="AY30" s="23">
        <f>'FS Jimbaran Nov 2019'!O40</f>
        <v>0</v>
      </c>
      <c r="AZ30" s="23">
        <f>'FS Jimbaran Nov 2019'!P40</f>
        <v>0</v>
      </c>
      <c r="BA30" s="23">
        <f>'FS Jimbaran Nov 2019'!W40</f>
        <v>0</v>
      </c>
      <c r="BB30" s="23">
        <f>'FS Jimbaran Nov 2019'!X40</f>
        <v>0</v>
      </c>
      <c r="BC30" s="23">
        <f>'FS Jimbaran Nov 2019'!AI40</f>
        <v>610</v>
      </c>
      <c r="BD30" s="23">
        <f>'FS Jimbaran Nov 2019'!AJ40</f>
        <v>0</v>
      </c>
      <c r="BE30" s="23">
        <f>'FS Jimbaran Nov 2019'!AK40</f>
        <v>0</v>
      </c>
      <c r="BF30" s="23">
        <f>'FS Jimbaran Nov 2019'!AL40</f>
        <v>0</v>
      </c>
      <c r="BG30" s="23">
        <f>'FS Jimbaran Nov 2019'!AM40</f>
        <v>0</v>
      </c>
      <c r="BH30" s="23">
        <f>'FS Jimbaran Nov 2019'!AN40</f>
        <v>0</v>
      </c>
      <c r="BI30" s="23">
        <f>'FS Jimbaran Nov 2019'!AO40</f>
        <v>0</v>
      </c>
      <c r="BJ30" s="23">
        <f>'FS Jimbaran Nov 2019'!AO40</f>
        <v>0</v>
      </c>
      <c r="BK30" s="23">
        <f>'FS Jimbaran Nov 2019'!AQ40</f>
        <v>0</v>
      </c>
      <c r="BL30" s="23">
        <f>'FS Jimbaran Nov 2019'!AR40</f>
        <v>0</v>
      </c>
      <c r="BM30" s="23">
        <v>0</v>
      </c>
      <c r="BN30" s="23">
        <v>0</v>
      </c>
      <c r="BO30" s="24">
        <f>'FS Jimbaran Nov 2019'!Q40</f>
        <v>0</v>
      </c>
      <c r="BP30" s="23">
        <f>'FS Jimbaran Nov 2019'!R40</f>
        <v>0</v>
      </c>
    </row>
    <row r="31" spans="1:68">
      <c r="A31" s="53" t="s">
        <v>67</v>
      </c>
      <c r="B31" s="54">
        <f t="shared" si="0"/>
        <v>30</v>
      </c>
      <c r="C31" s="27">
        <v>11</v>
      </c>
      <c r="D31" s="54">
        <v>2019</v>
      </c>
      <c r="E31" s="19">
        <f>'FS Jimbaran Nov 2019'!M41</f>
        <v>4.7</v>
      </c>
      <c r="F31" s="23">
        <f>'FS Jimbaran Nov 2019'!N41</f>
        <v>0</v>
      </c>
      <c r="G31" s="23">
        <v>0</v>
      </c>
      <c r="H31" s="23">
        <f>'FS Jimbaran Nov 2019'!H41</f>
        <v>0</v>
      </c>
      <c r="I31" s="23">
        <f>'FS Jimbaran Nov 2019'!I41</f>
        <v>0</v>
      </c>
      <c r="J31" s="23">
        <f>'FS Jimbaran Nov 2019'!J41</f>
        <v>0</v>
      </c>
      <c r="K31" s="23">
        <f>'FS Jimbaran Nov 2019'!K41</f>
        <v>95</v>
      </c>
      <c r="L31" s="23">
        <f>'FS Jimbaran Nov 2019'!L41</f>
        <v>0</v>
      </c>
      <c r="M31" s="23">
        <f>'FS Jimbaran Nov 2019'!S41</f>
        <v>0</v>
      </c>
      <c r="N31" s="23">
        <f>'FS Jimbaran Nov 2019'!T41</f>
        <v>0</v>
      </c>
      <c r="O31" s="23">
        <f>'FS Jimbaran Nov 2019'!U41</f>
        <v>6.5</v>
      </c>
      <c r="P31" s="23">
        <f>'FS Jimbaran Nov 2019'!V41</f>
        <v>0</v>
      </c>
      <c r="Q31" s="23">
        <f>'FS Jimbaran Nov 2019'!BE41</f>
        <v>0</v>
      </c>
      <c r="R31" s="23">
        <f>'FS Jimbaran Nov 2019'!BF41</f>
        <v>0</v>
      </c>
      <c r="S31" s="23">
        <f>'FS Jimbaran Nov 2019'!BH41</f>
        <v>0</v>
      </c>
      <c r="T31" s="23">
        <f>'FS Jimbaran Nov 2019'!BH41</f>
        <v>0</v>
      </c>
      <c r="U31" s="23">
        <f>'FS Jimbaran Nov 2019'!BI41</f>
        <v>0</v>
      </c>
      <c r="V31" s="23">
        <f>'FS Jimbaran Nov 2019'!BJ41</f>
        <v>0</v>
      </c>
      <c r="W31" s="23">
        <f>'FS Jimbaran Nov 2019'!Y41</f>
        <v>592</v>
      </c>
      <c r="X31" s="23">
        <f>'FS Jimbaran Nov 2019'!Z41</f>
        <v>0</v>
      </c>
      <c r="Y31" s="23">
        <f>'FS Jimbaran Nov 2019'!AA41</f>
        <v>0</v>
      </c>
      <c r="Z31" s="23">
        <f>'FS Jimbaran Nov 2019'!AB41</f>
        <v>0</v>
      </c>
      <c r="AA31" s="23">
        <f>'FS Jimbaran Nov 2019'!AC41</f>
        <v>0</v>
      </c>
      <c r="AB31" s="23">
        <f>'FS Jimbaran Nov 2019'!AD41</f>
        <v>0</v>
      </c>
      <c r="AC31" s="23">
        <f>'FS Jimbaran Nov 2019'!AE41</f>
        <v>0</v>
      </c>
      <c r="AD31" s="23">
        <f>'FS Jimbaran Nov 2019'!AF41</f>
        <v>0</v>
      </c>
      <c r="AE31" s="23">
        <f>'FS Jimbaran Nov 2019'!AG41</f>
        <v>0</v>
      </c>
      <c r="AF31" s="23">
        <f>'FS Jimbaran Nov 2019'!AH41</f>
        <v>0</v>
      </c>
      <c r="AG31" s="23">
        <f>'FS Jimbaran Nov 2019'!AM41</f>
        <v>0</v>
      </c>
      <c r="AH31" s="23">
        <f>'FS Jimbaran Nov 2019'!AR41</f>
        <v>0</v>
      </c>
      <c r="AI31" s="23">
        <f>'FS Jimbaran Nov 2019'!AQ41</f>
        <v>0</v>
      </c>
      <c r="AJ31" s="23">
        <f>'FS Jimbaran Nov 2019'!AR41</f>
        <v>0</v>
      </c>
      <c r="AK31" s="23">
        <f>'FS Jimbaran Nov 2019'!AY41</f>
        <v>0</v>
      </c>
      <c r="AL31" s="23">
        <f>'FS Jimbaran Nov 2019'!AZ41</f>
        <v>0</v>
      </c>
      <c r="AM31" s="23">
        <f>'FS Jimbaran Nov 2019'!BB41</f>
        <v>0</v>
      </c>
      <c r="AN31" s="23">
        <f>'FS Jimbaran Nov 2019'!BB41</f>
        <v>0</v>
      </c>
      <c r="AO31" s="23">
        <f>'FS Jimbaran Nov 2019'!BK41</f>
        <v>0</v>
      </c>
      <c r="AP31" s="23">
        <f>'FS Jimbaran Nov 2019'!BL41</f>
        <v>0</v>
      </c>
      <c r="AQ31" s="23">
        <f>'FS Jimbaran Nov 2019'!BC41</f>
        <v>0</v>
      </c>
      <c r="AR31" s="23">
        <f>'FS Jimbaran Nov 2019'!BD41</f>
        <v>0</v>
      </c>
      <c r="AS31" s="23">
        <f>'FS Jimbaran Nov 2019'!BM41</f>
        <v>0</v>
      </c>
      <c r="AT31" s="23">
        <f>'FS Jimbaran Nov 2019'!BN41</f>
        <v>0</v>
      </c>
      <c r="AU31" s="23">
        <f>'FS Jimbaran Nov 2019'!BO41</f>
        <v>0</v>
      </c>
      <c r="AV31" s="23">
        <f>'FS Jimbaran Nov 2019'!BP41</f>
        <v>0</v>
      </c>
      <c r="AW31" s="23">
        <f>'FS Jimbaran Nov 2019'!E41</f>
        <v>85.699999999999989</v>
      </c>
      <c r="AX31" s="23">
        <f>'FS Jimbaran Nov 2019'!F41</f>
        <v>0</v>
      </c>
      <c r="AY31" s="23">
        <f>'FS Jimbaran Nov 2019'!O41</f>
        <v>0</v>
      </c>
      <c r="AZ31" s="23">
        <f>'FS Jimbaran Nov 2019'!P41</f>
        <v>0</v>
      </c>
      <c r="BA31" s="23">
        <f>'FS Jimbaran Nov 2019'!W41</f>
        <v>0</v>
      </c>
      <c r="BB31" s="23">
        <f>'FS Jimbaran Nov 2019'!X41</f>
        <v>0</v>
      </c>
      <c r="BC31" s="23">
        <f>'FS Jimbaran Nov 2019'!AI41</f>
        <v>700</v>
      </c>
      <c r="BD31" s="23">
        <f>'FS Jimbaran Nov 2019'!AJ41</f>
        <v>0</v>
      </c>
      <c r="BE31" s="23">
        <f>'FS Jimbaran Nov 2019'!AK41</f>
        <v>0</v>
      </c>
      <c r="BF31" s="23">
        <f>'FS Jimbaran Nov 2019'!AL41</f>
        <v>0</v>
      </c>
      <c r="BG31" s="23">
        <f>'FS Jimbaran Nov 2019'!AM41</f>
        <v>0</v>
      </c>
      <c r="BH31" s="23">
        <f>'FS Jimbaran Nov 2019'!AN41</f>
        <v>0</v>
      </c>
      <c r="BI31" s="23">
        <f>'FS Jimbaran Nov 2019'!AO41</f>
        <v>0</v>
      </c>
      <c r="BJ31" s="23">
        <f>'FS Jimbaran Nov 2019'!AO41</f>
        <v>0</v>
      </c>
      <c r="BK31" s="23">
        <f>'FS Jimbaran Nov 2019'!AQ41</f>
        <v>0</v>
      </c>
      <c r="BL31" s="23">
        <f>'FS Jimbaran Nov 2019'!AR41</f>
        <v>0</v>
      </c>
      <c r="BM31" s="23">
        <v>0</v>
      </c>
      <c r="BN31" s="23">
        <v>0</v>
      </c>
      <c r="BO31" s="24">
        <f>'FS Jimbaran Nov 2019'!Q41</f>
        <v>0</v>
      </c>
      <c r="BP31" s="23">
        <f>'FS Jimbaran Nov 2019'!R41</f>
        <v>0</v>
      </c>
    </row>
    <row r="32" spans="1:68">
      <c r="E32" s="19">
        <f>'FS Jimbaran Nov 2019'!M42</f>
        <v>154.79999999999998</v>
      </c>
      <c r="F32">
        <f>SUM(F2:F31)</f>
        <v>0</v>
      </c>
      <c r="G32">
        <f>SUM(G2:G31)</f>
        <v>0</v>
      </c>
      <c r="H32">
        <f>SUM(H2:H31)</f>
        <v>0</v>
      </c>
      <c r="I32">
        <f>SUM(I2:I31)</f>
        <v>0</v>
      </c>
      <c r="J32">
        <f>SUM(J2:J31)</f>
        <v>0</v>
      </c>
      <c r="K32" s="23">
        <f>'FS Jimbaran Nov 2019'!K42</f>
        <v>2640</v>
      </c>
      <c r="L32">
        <f>SUM(L2:L31)</f>
        <v>0</v>
      </c>
      <c r="M32">
        <f>SUM(M2:M31)</f>
        <v>0</v>
      </c>
      <c r="N32">
        <f>SUM(N2:N31)</f>
        <v>0</v>
      </c>
      <c r="O32" s="23">
        <f>'FS Jimbaran Nov 2019'!U42</f>
        <v>392</v>
      </c>
      <c r="P32">
        <f>SUM(P2:P31)</f>
        <v>0</v>
      </c>
      <c r="Q32">
        <f>SUM(Q2:Q31)</f>
        <v>0</v>
      </c>
      <c r="R32">
        <f>SUM(R2:R31)</f>
        <v>0</v>
      </c>
      <c r="S32">
        <f>SUM(S2:S31)</f>
        <v>0</v>
      </c>
      <c r="T32">
        <f>SUM(T2:T31)</f>
        <v>0</v>
      </c>
      <c r="U32">
        <f>SUM(U2:U31)</f>
        <v>0</v>
      </c>
      <c r="V32">
        <f>SUM(V2:V31)</f>
        <v>0</v>
      </c>
      <c r="W32" s="23">
        <f>'FS Jimbaran Nov 2019'!Y42</f>
        <v>18392</v>
      </c>
      <c r="X32">
        <f>SUM(X2:X31)</f>
        <v>8284726</v>
      </c>
      <c r="Y32">
        <f>SUM(Y2:Y31)</f>
        <v>0</v>
      </c>
      <c r="Z32">
        <f>SUM(Z2:Z31)</f>
        <v>0</v>
      </c>
      <c r="AA32">
        <f>SUM(AA2:AA31)</f>
        <v>0</v>
      </c>
      <c r="AB32">
        <f>SUM(AB2:AB31)</f>
        <v>0</v>
      </c>
      <c r="AC32">
        <f>SUM(AC2:AC31)</f>
        <v>0</v>
      </c>
      <c r="AD32">
        <f>SUM(AD2:AD31)</f>
        <v>0</v>
      </c>
      <c r="AE32">
        <f>SUM(AE2:AE31)</f>
        <v>0</v>
      </c>
      <c r="AF32">
        <f>SUM(AF2:AF31)</f>
        <v>0</v>
      </c>
      <c r="AG32">
        <f>SUM(AG2:AG31)</f>
        <v>0</v>
      </c>
      <c r="AH32">
        <f>SUM(AH2:AH31)</f>
        <v>0</v>
      </c>
      <c r="AI32">
        <f>SUM(AI2:AI31)</f>
        <v>0</v>
      </c>
      <c r="AJ32">
        <f>SUM(AJ2:AJ31)</f>
        <v>0</v>
      </c>
      <c r="AK32">
        <f>SUM(AK2:AK31)</f>
        <v>0</v>
      </c>
      <c r="AL32">
        <f>SUM(AL2:AL31)</f>
        <v>0</v>
      </c>
      <c r="AM32">
        <f>SUM(AM2:AM31)</f>
        <v>0</v>
      </c>
      <c r="AN32">
        <f>SUM(AN2:AN31)</f>
        <v>0</v>
      </c>
      <c r="AO32">
        <f>SUM(AO2:AO31)</f>
        <v>0</v>
      </c>
      <c r="AP32">
        <f>SUM(AP2:AP31)</f>
        <v>0</v>
      </c>
      <c r="AQ32">
        <f>SUM(AQ2:AQ31)</f>
        <v>0</v>
      </c>
      <c r="AR32">
        <f>SUM(AR2:AR31)</f>
        <v>0</v>
      </c>
      <c r="AS32">
        <f>SUM(AS2:AS31)</f>
        <v>0</v>
      </c>
      <c r="AT32">
        <f>SUM(AT2:AT31)</f>
        <v>0</v>
      </c>
      <c r="AU32">
        <f>SUM(AU2:AU31)</f>
        <v>0</v>
      </c>
      <c r="AV32">
        <f>SUM(AV2:AV31)</f>
        <v>0</v>
      </c>
      <c r="AW32">
        <f>SUM(AW2:AW31)</f>
        <v>2706.8</v>
      </c>
      <c r="AX32">
        <f>SUM(AX2:AX31)</f>
        <v>0</v>
      </c>
      <c r="AY32">
        <f>SUM(AY2:AY31)</f>
        <v>0</v>
      </c>
      <c r="AZ32">
        <f>SUM(AZ2:AZ31)</f>
        <v>0</v>
      </c>
      <c r="BA32">
        <f>SUM(BA2:BA31)</f>
        <v>0</v>
      </c>
      <c r="BB32">
        <f>SUM(BB2:BB31)</f>
        <v>0</v>
      </c>
      <c r="BC32">
        <f>SUM(BC2:BC31)</f>
        <v>19600</v>
      </c>
      <c r="BD32">
        <f>SUM(BD2:BD31)</f>
        <v>0</v>
      </c>
      <c r="BE32">
        <f>SUM(BE2:BE31)</f>
        <v>0</v>
      </c>
      <c r="BF32">
        <f>SUM(BF2:BF31)</f>
        <v>0</v>
      </c>
      <c r="BG32">
        <f>SUM(BG2:BG31)</f>
        <v>0</v>
      </c>
      <c r="BH32">
        <f>SUM(BH2:BH31)</f>
        <v>0</v>
      </c>
      <c r="BI32">
        <f>SUM(BI2:BI31)</f>
        <v>0</v>
      </c>
      <c r="BJ32">
        <f>SUM(BJ2:BJ31)</f>
        <v>0</v>
      </c>
      <c r="BK32">
        <f>SUM(BK2:BK31)</f>
        <v>0</v>
      </c>
      <c r="BL32">
        <f>SUM(BL2:BL31)</f>
        <v>0</v>
      </c>
      <c r="BM32">
        <f>SUM(BM2:BM31)</f>
        <v>0</v>
      </c>
      <c r="BN32">
        <f>SUM(BN2:BN31)</f>
        <v>0</v>
      </c>
      <c r="BO32">
        <f>SUM(BO2:BO31)</f>
        <v>0</v>
      </c>
      <c r="BP32">
        <f>SUM(BP2:BP31)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BE35" activePane="bottomRight" state="frozen"/>
      <selection pane="bottomRight" activeCell="E42" sqref="E42:BP4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4" customWidth="1"/>
    <col min="6" max="6" width="9.42578125" style="14" customWidth="1"/>
    <col min="7" max="7" width="10" style="14" customWidth="1"/>
    <col min="8" max="68" width="14.28515625" style="14" customWidth="1"/>
  </cols>
  <sheetData>
    <row r="6" spans="1:68" s="4" customFormat="1" ht="18.75">
      <c r="B6" s="4" t="s">
        <v>69</v>
      </c>
      <c r="C6" s="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s="3" customFormat="1" ht="15.75">
      <c r="A7" s="6"/>
      <c r="B7" s="68" t="s">
        <v>70</v>
      </c>
      <c r="C7" s="69"/>
      <c r="D7" s="6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s="5" customFormat="1" ht="15.75" customHeight="1">
      <c r="A8" s="10"/>
      <c r="B8" s="70" t="s">
        <v>71</v>
      </c>
      <c r="C8" s="71" t="s">
        <v>72</v>
      </c>
      <c r="D8" s="72" t="s">
        <v>73</v>
      </c>
      <c r="E8" s="67" t="s">
        <v>74</v>
      </c>
      <c r="F8" s="67"/>
      <c r="G8" s="67"/>
      <c r="H8" s="67"/>
      <c r="I8" s="67"/>
      <c r="J8" s="67"/>
      <c r="K8" s="77" t="s">
        <v>75</v>
      </c>
      <c r="L8" s="77"/>
      <c r="M8" s="78" t="s">
        <v>76</v>
      </c>
      <c r="N8" s="78"/>
      <c r="O8" s="78"/>
      <c r="P8" s="78"/>
      <c r="Q8" s="78"/>
      <c r="R8" s="78"/>
      <c r="S8" s="78"/>
      <c r="T8" s="78"/>
      <c r="U8" s="73" t="s">
        <v>77</v>
      </c>
      <c r="V8" s="73"/>
      <c r="W8" s="73"/>
      <c r="X8" s="73"/>
      <c r="Y8" s="74" t="s">
        <v>78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79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80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11" customFormat="1" ht="15" customHeight="1">
      <c r="A9" s="5"/>
      <c r="B9" s="70"/>
      <c r="C9" s="71"/>
      <c r="D9" s="72"/>
      <c r="E9" s="67"/>
      <c r="F9" s="67"/>
      <c r="G9" s="67"/>
      <c r="H9" s="67"/>
      <c r="I9" s="67"/>
      <c r="J9" s="67"/>
      <c r="K9" s="77"/>
      <c r="L9" s="77"/>
      <c r="M9" s="78"/>
      <c r="N9" s="78"/>
      <c r="O9" s="78"/>
      <c r="P9" s="78"/>
      <c r="Q9" s="78"/>
      <c r="R9" s="78"/>
      <c r="S9" s="78"/>
      <c r="T9" s="78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11" customFormat="1" ht="61.5" customHeight="1">
      <c r="A10" s="5"/>
      <c r="B10" s="70"/>
      <c r="C10" s="71"/>
      <c r="D10" s="72"/>
      <c r="E10" s="12" t="s">
        <v>47</v>
      </c>
      <c r="F10" s="12" t="s">
        <v>48</v>
      </c>
      <c r="G10" s="12" t="s">
        <v>5</v>
      </c>
      <c r="H10" s="12" t="s">
        <v>6</v>
      </c>
      <c r="I10" s="12" t="s">
        <v>7</v>
      </c>
      <c r="J10" s="12" t="s">
        <v>8</v>
      </c>
      <c r="K10" s="12" t="s">
        <v>9</v>
      </c>
      <c r="L10" s="12" t="s">
        <v>10</v>
      </c>
      <c r="M10" s="13" t="s">
        <v>3</v>
      </c>
      <c r="N10" s="13" t="s">
        <v>4</v>
      </c>
      <c r="O10" s="13" t="s">
        <v>49</v>
      </c>
      <c r="P10" s="13" t="s">
        <v>50</v>
      </c>
      <c r="Q10" s="13" t="s">
        <v>65</v>
      </c>
      <c r="R10" s="13" t="s">
        <v>66</v>
      </c>
      <c r="S10" s="13" t="s">
        <v>11</v>
      </c>
      <c r="T10" s="13" t="s">
        <v>12</v>
      </c>
      <c r="U10" s="13" t="s">
        <v>51</v>
      </c>
      <c r="V10" s="13" t="s">
        <v>52</v>
      </c>
      <c r="W10" s="13" t="s">
        <v>13</v>
      </c>
      <c r="X10" s="13" t="s">
        <v>14</v>
      </c>
      <c r="Y10" s="13" t="s">
        <v>21</v>
      </c>
      <c r="Z10" s="13" t="s">
        <v>22</v>
      </c>
      <c r="AA10" s="13" t="s">
        <v>23</v>
      </c>
      <c r="AB10" s="13" t="s">
        <v>24</v>
      </c>
      <c r="AC10" s="13" t="s">
        <v>25</v>
      </c>
      <c r="AD10" s="13" t="s">
        <v>26</v>
      </c>
      <c r="AE10" s="13" t="s">
        <v>27</v>
      </c>
      <c r="AF10" s="13" t="s">
        <v>28</v>
      </c>
      <c r="AG10" s="13" t="s">
        <v>29</v>
      </c>
      <c r="AH10" s="13" t="s">
        <v>30</v>
      </c>
      <c r="AI10" s="13" t="s">
        <v>53</v>
      </c>
      <c r="AJ10" s="13" t="s">
        <v>54</v>
      </c>
      <c r="AK10" s="13" t="s">
        <v>55</v>
      </c>
      <c r="AL10" s="13" t="s">
        <v>56</v>
      </c>
      <c r="AM10" s="13" t="s">
        <v>57</v>
      </c>
      <c r="AN10" s="13" t="s">
        <v>58</v>
      </c>
      <c r="AO10" s="13" t="s">
        <v>59</v>
      </c>
      <c r="AP10" s="13" t="s">
        <v>60</v>
      </c>
      <c r="AQ10" s="13" t="s">
        <v>61</v>
      </c>
      <c r="AR10" s="13" t="s">
        <v>62</v>
      </c>
      <c r="AS10" s="13" t="s">
        <v>63</v>
      </c>
      <c r="AT10" s="13" t="s">
        <v>64</v>
      </c>
      <c r="AU10" s="13" t="s">
        <v>31</v>
      </c>
      <c r="AV10" s="13" t="s">
        <v>32</v>
      </c>
      <c r="AW10" s="13" t="s">
        <v>33</v>
      </c>
      <c r="AX10" s="13" t="s">
        <v>34</v>
      </c>
      <c r="AY10" s="13" t="s">
        <v>35</v>
      </c>
      <c r="AZ10" s="13" t="s">
        <v>36</v>
      </c>
      <c r="BA10" s="13" t="s">
        <v>37</v>
      </c>
      <c r="BB10" s="13" t="s">
        <v>38</v>
      </c>
      <c r="BC10" s="13" t="s">
        <v>41</v>
      </c>
      <c r="BD10" s="13" t="s">
        <v>42</v>
      </c>
      <c r="BE10" s="13" t="s">
        <v>15</v>
      </c>
      <c r="BF10" s="13" t="s">
        <v>16</v>
      </c>
      <c r="BG10" s="13" t="s">
        <v>17</v>
      </c>
      <c r="BH10" s="13" t="s">
        <v>18</v>
      </c>
      <c r="BI10" s="13" t="s">
        <v>19</v>
      </c>
      <c r="BJ10" s="13" t="s">
        <v>20</v>
      </c>
      <c r="BK10" s="13" t="s">
        <v>39</v>
      </c>
      <c r="BL10" s="13" t="s">
        <v>40</v>
      </c>
      <c r="BM10" s="13" t="s">
        <v>43</v>
      </c>
      <c r="BN10" s="13" t="s">
        <v>44</v>
      </c>
      <c r="BO10" s="13" t="s">
        <v>45</v>
      </c>
      <c r="BP10" s="13" t="s">
        <v>46</v>
      </c>
    </row>
    <row r="11" spans="1:68">
      <c r="A11" s="5"/>
      <c r="B11" s="45"/>
      <c r="C11" s="46"/>
      <c r="D11" s="4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</row>
    <row r="12" spans="1:68">
      <c r="A12" s="7"/>
      <c r="B12" s="51">
        <v>1</v>
      </c>
      <c r="C12" s="41">
        <v>55</v>
      </c>
      <c r="D12" s="65">
        <v>497</v>
      </c>
      <c r="E12" s="35">
        <v>77.400000000000006</v>
      </c>
      <c r="F12" s="48">
        <v>0</v>
      </c>
      <c r="G12" s="35">
        <v>0</v>
      </c>
      <c r="H12" s="35">
        <v>0</v>
      </c>
      <c r="I12" s="35">
        <v>0</v>
      </c>
      <c r="J12" s="49">
        <v>0</v>
      </c>
      <c r="K12" s="35">
        <v>75</v>
      </c>
      <c r="L12" s="50">
        <v>0</v>
      </c>
      <c r="M12" s="35">
        <v>5.3000000000000007</v>
      </c>
      <c r="N12" s="48">
        <v>0</v>
      </c>
      <c r="O12" s="35">
        <v>0</v>
      </c>
      <c r="P12" s="35">
        <v>0</v>
      </c>
      <c r="Q12" s="43">
        <v>0</v>
      </c>
      <c r="R12" s="35">
        <v>0</v>
      </c>
      <c r="S12" s="44">
        <v>0</v>
      </c>
      <c r="T12" s="49">
        <v>0</v>
      </c>
      <c r="U12" s="35">
        <v>10.5</v>
      </c>
      <c r="V12" s="48">
        <v>0</v>
      </c>
      <c r="W12" s="35">
        <v>0</v>
      </c>
      <c r="X12" s="49">
        <v>0</v>
      </c>
      <c r="Y12" s="35">
        <v>600</v>
      </c>
      <c r="Z12" s="48">
        <v>8284726</v>
      </c>
      <c r="AA12" s="43">
        <v>0</v>
      </c>
      <c r="AB12" s="35">
        <v>0</v>
      </c>
      <c r="AC12" s="43">
        <v>0</v>
      </c>
      <c r="AD12" s="35">
        <v>0</v>
      </c>
      <c r="AE12" s="35">
        <v>0</v>
      </c>
      <c r="AF12" s="35">
        <v>0</v>
      </c>
      <c r="AG12" s="35">
        <v>0</v>
      </c>
      <c r="AH12" s="49">
        <v>0</v>
      </c>
      <c r="AI12" s="35">
        <v>670.00000000000011</v>
      </c>
      <c r="AJ12" s="48">
        <v>0</v>
      </c>
      <c r="AK12" s="43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0</v>
      </c>
    </row>
    <row r="13" spans="1:68">
      <c r="A13" s="7"/>
      <c r="B13" s="51">
        <v>2</v>
      </c>
      <c r="C13" s="41">
        <v>51</v>
      </c>
      <c r="D13" s="65">
        <v>419</v>
      </c>
      <c r="E13" s="35">
        <v>70.7</v>
      </c>
      <c r="F13" s="48">
        <v>0</v>
      </c>
      <c r="G13" s="35">
        <v>0</v>
      </c>
      <c r="H13" s="35">
        <v>0</v>
      </c>
      <c r="I13" s="35">
        <v>0</v>
      </c>
      <c r="J13" s="49">
        <v>0</v>
      </c>
      <c r="K13" s="35">
        <v>90</v>
      </c>
      <c r="L13" s="50">
        <v>0</v>
      </c>
      <c r="M13" s="35">
        <v>5.6</v>
      </c>
      <c r="N13" s="48">
        <v>0</v>
      </c>
      <c r="O13" s="35">
        <v>0</v>
      </c>
      <c r="P13" s="35">
        <v>0</v>
      </c>
      <c r="Q13" s="43">
        <v>0</v>
      </c>
      <c r="R13" s="35">
        <v>0</v>
      </c>
      <c r="S13" s="44">
        <v>0</v>
      </c>
      <c r="T13" s="49">
        <v>0</v>
      </c>
      <c r="U13" s="35">
        <v>17</v>
      </c>
      <c r="V13" s="48">
        <v>0</v>
      </c>
      <c r="W13" s="35">
        <v>0</v>
      </c>
      <c r="X13" s="49">
        <v>0</v>
      </c>
      <c r="Y13" s="35">
        <v>640</v>
      </c>
      <c r="Z13" s="48">
        <v>0</v>
      </c>
      <c r="AA13" s="43">
        <v>0</v>
      </c>
      <c r="AB13" s="35">
        <v>0</v>
      </c>
      <c r="AC13" s="43">
        <v>0</v>
      </c>
      <c r="AD13" s="35">
        <v>0</v>
      </c>
      <c r="AE13" s="35">
        <v>0</v>
      </c>
      <c r="AF13" s="35">
        <v>0</v>
      </c>
      <c r="AG13" s="35">
        <v>0</v>
      </c>
      <c r="AH13" s="49">
        <v>0</v>
      </c>
      <c r="AI13" s="35">
        <v>600</v>
      </c>
      <c r="AJ13" s="48">
        <v>0</v>
      </c>
      <c r="AK13" s="43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0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0</v>
      </c>
    </row>
    <row r="14" spans="1:68">
      <c r="A14" s="7"/>
      <c r="B14" s="51">
        <v>3</v>
      </c>
      <c r="C14" s="41">
        <v>47</v>
      </c>
      <c r="D14" s="65">
        <v>390</v>
      </c>
      <c r="E14" s="35">
        <v>96.6</v>
      </c>
      <c r="F14" s="48">
        <v>0</v>
      </c>
      <c r="G14" s="35">
        <v>0</v>
      </c>
      <c r="H14" s="35">
        <v>0</v>
      </c>
      <c r="I14" s="35">
        <v>0</v>
      </c>
      <c r="J14" s="49">
        <v>0</v>
      </c>
      <c r="K14" s="35">
        <v>80</v>
      </c>
      <c r="L14" s="50">
        <v>0</v>
      </c>
      <c r="M14" s="35">
        <v>2.6</v>
      </c>
      <c r="N14" s="48">
        <v>0</v>
      </c>
      <c r="O14" s="35">
        <v>0</v>
      </c>
      <c r="P14" s="35">
        <v>0</v>
      </c>
      <c r="Q14" s="43">
        <v>0</v>
      </c>
      <c r="R14" s="35">
        <v>0</v>
      </c>
      <c r="S14" s="44">
        <v>0</v>
      </c>
      <c r="T14" s="49">
        <v>0</v>
      </c>
      <c r="U14" s="35">
        <v>12.5</v>
      </c>
      <c r="V14" s="48">
        <v>0</v>
      </c>
      <c r="W14" s="35">
        <v>0</v>
      </c>
      <c r="X14" s="49">
        <v>0</v>
      </c>
      <c r="Y14" s="35">
        <v>608</v>
      </c>
      <c r="Z14" s="48">
        <v>0</v>
      </c>
      <c r="AA14" s="43">
        <v>0</v>
      </c>
      <c r="AB14" s="35">
        <v>0</v>
      </c>
      <c r="AC14" s="43">
        <v>0</v>
      </c>
      <c r="AD14" s="35">
        <v>0</v>
      </c>
      <c r="AE14" s="35">
        <v>0</v>
      </c>
      <c r="AF14" s="35">
        <v>0</v>
      </c>
      <c r="AG14" s="35">
        <v>0</v>
      </c>
      <c r="AH14" s="49">
        <v>0</v>
      </c>
      <c r="AI14" s="35">
        <v>640</v>
      </c>
      <c r="AJ14" s="48">
        <v>0</v>
      </c>
      <c r="AK14" s="43">
        <v>0</v>
      </c>
      <c r="AL14" s="35">
        <v>0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0</v>
      </c>
    </row>
    <row r="15" spans="1:68">
      <c r="A15" s="7"/>
      <c r="B15" s="51">
        <v>4</v>
      </c>
      <c r="C15" s="41">
        <v>62</v>
      </c>
      <c r="D15" s="65">
        <v>439</v>
      </c>
      <c r="E15" s="35">
        <v>72.400000000000006</v>
      </c>
      <c r="F15" s="48">
        <v>0</v>
      </c>
      <c r="G15" s="35">
        <v>0</v>
      </c>
      <c r="H15" s="35">
        <v>0</v>
      </c>
      <c r="I15" s="35">
        <v>0</v>
      </c>
      <c r="J15" s="49">
        <v>0</v>
      </c>
      <c r="K15" s="35">
        <v>80</v>
      </c>
      <c r="L15" s="50">
        <v>0</v>
      </c>
      <c r="M15" s="35">
        <v>5</v>
      </c>
      <c r="N15" s="48">
        <v>0</v>
      </c>
      <c r="O15" s="35">
        <v>0</v>
      </c>
      <c r="P15" s="35">
        <v>0</v>
      </c>
      <c r="Q15" s="43">
        <v>0</v>
      </c>
      <c r="R15" s="35">
        <v>0</v>
      </c>
      <c r="S15" s="44">
        <v>0</v>
      </c>
      <c r="T15" s="49">
        <v>0</v>
      </c>
      <c r="U15" s="35">
        <v>6.5</v>
      </c>
      <c r="V15" s="48">
        <v>0</v>
      </c>
      <c r="W15" s="35">
        <v>0</v>
      </c>
      <c r="X15" s="49">
        <v>0</v>
      </c>
      <c r="Y15" s="35">
        <v>592</v>
      </c>
      <c r="Z15" s="48">
        <v>0</v>
      </c>
      <c r="AA15" s="43">
        <v>0</v>
      </c>
      <c r="AB15" s="35">
        <v>0</v>
      </c>
      <c r="AC15" s="43">
        <v>0</v>
      </c>
      <c r="AD15" s="35">
        <v>0</v>
      </c>
      <c r="AE15" s="35">
        <v>0</v>
      </c>
      <c r="AF15" s="35">
        <v>0</v>
      </c>
      <c r="AG15" s="35">
        <v>0</v>
      </c>
      <c r="AH15" s="49">
        <v>0</v>
      </c>
      <c r="AI15" s="35">
        <v>600</v>
      </c>
      <c r="AJ15" s="48">
        <v>0</v>
      </c>
      <c r="AK15" s="43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0</v>
      </c>
    </row>
    <row r="16" spans="1:68">
      <c r="A16" s="7"/>
      <c r="B16" s="51">
        <v>5</v>
      </c>
      <c r="C16" s="41">
        <v>89</v>
      </c>
      <c r="D16" s="65">
        <v>464</v>
      </c>
      <c r="E16" s="35">
        <v>86.1</v>
      </c>
      <c r="F16" s="48">
        <v>0</v>
      </c>
      <c r="G16" s="35">
        <v>0</v>
      </c>
      <c r="H16" s="35">
        <v>0</v>
      </c>
      <c r="I16" s="35">
        <v>0</v>
      </c>
      <c r="J16" s="49">
        <v>0</v>
      </c>
      <c r="K16" s="35">
        <v>91</v>
      </c>
      <c r="L16" s="50">
        <v>0</v>
      </c>
      <c r="M16" s="35">
        <v>4.6999999999999993</v>
      </c>
      <c r="N16" s="48">
        <v>0</v>
      </c>
      <c r="O16" s="35">
        <v>0</v>
      </c>
      <c r="P16" s="35">
        <v>0</v>
      </c>
      <c r="Q16" s="43">
        <v>0</v>
      </c>
      <c r="R16" s="35">
        <v>0</v>
      </c>
      <c r="S16" s="44">
        <v>0</v>
      </c>
      <c r="T16" s="49">
        <v>0</v>
      </c>
      <c r="U16" s="35">
        <v>18</v>
      </c>
      <c r="V16" s="48">
        <v>0</v>
      </c>
      <c r="W16" s="35">
        <v>0</v>
      </c>
      <c r="X16" s="49">
        <v>0</v>
      </c>
      <c r="Y16" s="35">
        <v>624</v>
      </c>
      <c r="Z16" s="48">
        <v>0</v>
      </c>
      <c r="AA16" s="43">
        <v>0</v>
      </c>
      <c r="AB16" s="35">
        <v>0</v>
      </c>
      <c r="AC16" s="43">
        <v>0</v>
      </c>
      <c r="AD16" s="35">
        <v>0</v>
      </c>
      <c r="AE16" s="35">
        <v>0</v>
      </c>
      <c r="AF16" s="35">
        <v>0</v>
      </c>
      <c r="AG16" s="35">
        <v>0</v>
      </c>
      <c r="AH16" s="49">
        <v>0</v>
      </c>
      <c r="AI16" s="35">
        <v>530</v>
      </c>
      <c r="AJ16" s="48">
        <v>0</v>
      </c>
      <c r="AK16" s="43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>
        <v>0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0</v>
      </c>
    </row>
    <row r="17" spans="1:68">
      <c r="A17" s="7"/>
      <c r="B17" s="51">
        <v>6</v>
      </c>
      <c r="C17" s="41">
        <v>96</v>
      </c>
      <c r="D17" s="65">
        <v>473</v>
      </c>
      <c r="E17" s="35">
        <v>86.899999999999991</v>
      </c>
      <c r="F17" s="48">
        <v>0</v>
      </c>
      <c r="G17" s="35">
        <v>0</v>
      </c>
      <c r="H17" s="35">
        <v>0</v>
      </c>
      <c r="I17" s="35">
        <v>0</v>
      </c>
      <c r="J17" s="49">
        <v>0</v>
      </c>
      <c r="K17" s="35">
        <v>85</v>
      </c>
      <c r="L17" s="50">
        <v>0</v>
      </c>
      <c r="M17" s="35">
        <v>6.3</v>
      </c>
      <c r="N17" s="48">
        <v>0</v>
      </c>
      <c r="O17" s="35">
        <v>0</v>
      </c>
      <c r="P17" s="35">
        <v>0</v>
      </c>
      <c r="Q17" s="43">
        <v>0</v>
      </c>
      <c r="R17" s="35">
        <v>0</v>
      </c>
      <c r="S17" s="44">
        <v>0</v>
      </c>
      <c r="T17" s="49">
        <v>0</v>
      </c>
      <c r="U17" s="35">
        <v>11</v>
      </c>
      <c r="V17" s="48">
        <v>0</v>
      </c>
      <c r="W17" s="35">
        <v>0</v>
      </c>
      <c r="X17" s="49">
        <v>0</v>
      </c>
      <c r="Y17" s="35">
        <v>640</v>
      </c>
      <c r="Z17" s="48">
        <v>0</v>
      </c>
      <c r="AA17" s="43">
        <v>0</v>
      </c>
      <c r="AB17" s="35">
        <v>0</v>
      </c>
      <c r="AC17" s="43">
        <v>0</v>
      </c>
      <c r="AD17" s="35">
        <v>0</v>
      </c>
      <c r="AE17" s="35">
        <v>0</v>
      </c>
      <c r="AF17" s="35">
        <v>0</v>
      </c>
      <c r="AG17" s="35">
        <v>0</v>
      </c>
      <c r="AH17" s="49">
        <v>0</v>
      </c>
      <c r="AI17" s="35">
        <v>640</v>
      </c>
      <c r="AJ17" s="48">
        <v>0</v>
      </c>
      <c r="AK17" s="43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0</v>
      </c>
    </row>
    <row r="18" spans="1:68">
      <c r="A18" s="7"/>
      <c r="B18" s="51">
        <v>7</v>
      </c>
      <c r="C18" s="41">
        <v>98</v>
      </c>
      <c r="D18" s="65">
        <v>520</v>
      </c>
      <c r="E18" s="35">
        <v>82.7</v>
      </c>
      <c r="F18" s="48">
        <v>0</v>
      </c>
      <c r="G18" s="35">
        <v>0</v>
      </c>
      <c r="H18" s="35">
        <v>0</v>
      </c>
      <c r="I18" s="35">
        <v>0</v>
      </c>
      <c r="J18" s="49">
        <v>0</v>
      </c>
      <c r="K18" s="35">
        <v>95</v>
      </c>
      <c r="L18" s="50">
        <v>0</v>
      </c>
      <c r="M18" s="35">
        <v>6.1</v>
      </c>
      <c r="N18" s="48">
        <v>0</v>
      </c>
      <c r="O18" s="35">
        <v>0</v>
      </c>
      <c r="P18" s="35">
        <v>0</v>
      </c>
      <c r="Q18" s="43">
        <v>0</v>
      </c>
      <c r="R18" s="35">
        <v>0</v>
      </c>
      <c r="S18" s="44">
        <v>0</v>
      </c>
      <c r="T18" s="49">
        <v>0</v>
      </c>
      <c r="U18" s="35">
        <v>7.5</v>
      </c>
      <c r="V18" s="48">
        <v>0</v>
      </c>
      <c r="W18" s="35">
        <v>0</v>
      </c>
      <c r="X18" s="49">
        <v>0</v>
      </c>
      <c r="Y18" s="35">
        <v>648</v>
      </c>
      <c r="Z18" s="48">
        <v>0</v>
      </c>
      <c r="AA18" s="43">
        <v>0</v>
      </c>
      <c r="AB18" s="35">
        <v>0</v>
      </c>
      <c r="AC18" s="43">
        <v>0</v>
      </c>
      <c r="AD18" s="35">
        <v>0</v>
      </c>
      <c r="AE18" s="35">
        <v>0</v>
      </c>
      <c r="AF18" s="35">
        <v>0</v>
      </c>
      <c r="AG18" s="35">
        <v>0</v>
      </c>
      <c r="AH18" s="49">
        <v>0</v>
      </c>
      <c r="AI18" s="35">
        <v>480.00000000000006</v>
      </c>
      <c r="AJ18" s="48">
        <v>0</v>
      </c>
      <c r="AK18" s="43">
        <v>0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0</v>
      </c>
    </row>
    <row r="19" spans="1:68">
      <c r="A19" s="7"/>
      <c r="B19" s="51">
        <v>8</v>
      </c>
      <c r="C19" s="41">
        <v>72</v>
      </c>
      <c r="D19" s="65">
        <v>465</v>
      </c>
      <c r="E19" s="35">
        <v>92.1</v>
      </c>
      <c r="F19" s="48">
        <v>0</v>
      </c>
      <c r="G19" s="35">
        <v>0</v>
      </c>
      <c r="H19" s="35">
        <v>0</v>
      </c>
      <c r="I19" s="35">
        <v>0</v>
      </c>
      <c r="J19" s="49">
        <v>0</v>
      </c>
      <c r="K19" s="35">
        <v>105</v>
      </c>
      <c r="L19" s="50">
        <v>0</v>
      </c>
      <c r="M19" s="35">
        <v>6.1</v>
      </c>
      <c r="N19" s="48">
        <v>0</v>
      </c>
      <c r="O19" s="35">
        <v>0</v>
      </c>
      <c r="P19" s="35">
        <v>0</v>
      </c>
      <c r="Q19" s="43">
        <v>0</v>
      </c>
      <c r="R19" s="35">
        <v>0</v>
      </c>
      <c r="S19" s="44">
        <v>0</v>
      </c>
      <c r="T19" s="49">
        <v>0</v>
      </c>
      <c r="U19" s="35">
        <v>14</v>
      </c>
      <c r="V19" s="48">
        <v>0</v>
      </c>
      <c r="W19" s="35">
        <v>0</v>
      </c>
      <c r="X19" s="49">
        <v>0</v>
      </c>
      <c r="Y19" s="35">
        <v>640</v>
      </c>
      <c r="Z19" s="48">
        <v>0</v>
      </c>
      <c r="AA19" s="43">
        <v>0</v>
      </c>
      <c r="AB19" s="35">
        <v>0</v>
      </c>
      <c r="AC19" s="43">
        <v>0</v>
      </c>
      <c r="AD19" s="35">
        <v>0</v>
      </c>
      <c r="AE19" s="35">
        <v>0</v>
      </c>
      <c r="AF19" s="35">
        <v>0</v>
      </c>
      <c r="AG19" s="35">
        <v>0</v>
      </c>
      <c r="AH19" s="49">
        <v>0</v>
      </c>
      <c r="AI19" s="35">
        <v>700</v>
      </c>
      <c r="AJ19" s="48">
        <v>0</v>
      </c>
      <c r="AK19" s="43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0</v>
      </c>
    </row>
    <row r="20" spans="1:68">
      <c r="A20" s="7"/>
      <c r="B20" s="51">
        <v>9</v>
      </c>
      <c r="C20" s="41">
        <v>68</v>
      </c>
      <c r="D20" s="65">
        <v>479</v>
      </c>
      <c r="E20" s="35">
        <v>87.1</v>
      </c>
      <c r="F20" s="48">
        <v>0</v>
      </c>
      <c r="G20" s="35">
        <v>0</v>
      </c>
      <c r="H20" s="35">
        <v>0</v>
      </c>
      <c r="I20" s="35">
        <v>0</v>
      </c>
      <c r="J20" s="49">
        <v>0</v>
      </c>
      <c r="K20" s="35">
        <v>75</v>
      </c>
      <c r="L20" s="50">
        <v>0</v>
      </c>
      <c r="M20" s="35">
        <v>5.3</v>
      </c>
      <c r="N20" s="48">
        <v>0</v>
      </c>
      <c r="O20" s="35">
        <v>0</v>
      </c>
      <c r="P20" s="35">
        <v>0</v>
      </c>
      <c r="Q20" s="43">
        <v>0</v>
      </c>
      <c r="R20" s="35">
        <v>0</v>
      </c>
      <c r="S20" s="44">
        <v>0</v>
      </c>
      <c r="T20" s="49">
        <v>0</v>
      </c>
      <c r="U20" s="35">
        <v>15.5</v>
      </c>
      <c r="V20" s="48">
        <v>0</v>
      </c>
      <c r="W20" s="35">
        <v>0</v>
      </c>
      <c r="X20" s="49">
        <v>0</v>
      </c>
      <c r="Y20" s="35">
        <v>640</v>
      </c>
      <c r="Z20" s="48">
        <v>0</v>
      </c>
      <c r="AA20" s="43">
        <v>0</v>
      </c>
      <c r="AB20" s="35">
        <v>0</v>
      </c>
      <c r="AC20" s="43">
        <v>0</v>
      </c>
      <c r="AD20" s="35">
        <v>0</v>
      </c>
      <c r="AE20" s="35">
        <v>0</v>
      </c>
      <c r="AF20" s="35">
        <v>0</v>
      </c>
      <c r="AG20" s="35">
        <v>0</v>
      </c>
      <c r="AH20" s="49">
        <v>0</v>
      </c>
      <c r="AI20" s="35">
        <v>610</v>
      </c>
      <c r="AJ20" s="48">
        <v>0</v>
      </c>
      <c r="AK20" s="43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</row>
    <row r="21" spans="1:68">
      <c r="A21" s="7"/>
      <c r="B21" s="51">
        <v>10</v>
      </c>
      <c r="C21" s="41">
        <v>51</v>
      </c>
      <c r="D21" s="65">
        <v>427</v>
      </c>
      <c r="E21" s="35">
        <v>80.099999999999994</v>
      </c>
      <c r="F21" s="48">
        <v>0</v>
      </c>
      <c r="G21" s="35">
        <v>0</v>
      </c>
      <c r="H21" s="35">
        <v>0</v>
      </c>
      <c r="I21" s="35">
        <v>0</v>
      </c>
      <c r="J21" s="49">
        <v>0</v>
      </c>
      <c r="K21" s="35">
        <v>90</v>
      </c>
      <c r="L21" s="50">
        <v>0</v>
      </c>
      <c r="M21" s="35">
        <v>5.6</v>
      </c>
      <c r="N21" s="48">
        <v>0</v>
      </c>
      <c r="O21" s="35">
        <v>0</v>
      </c>
      <c r="P21" s="35">
        <v>0</v>
      </c>
      <c r="Q21" s="43">
        <v>0</v>
      </c>
      <c r="R21" s="35">
        <v>0</v>
      </c>
      <c r="S21" s="44">
        <v>0</v>
      </c>
      <c r="T21" s="49">
        <v>0</v>
      </c>
      <c r="U21" s="35">
        <v>7</v>
      </c>
      <c r="V21" s="48">
        <v>0</v>
      </c>
      <c r="W21" s="35">
        <v>0</v>
      </c>
      <c r="X21" s="49">
        <v>0</v>
      </c>
      <c r="Y21" s="35">
        <v>624</v>
      </c>
      <c r="Z21" s="48">
        <v>0</v>
      </c>
      <c r="AA21" s="43">
        <v>0</v>
      </c>
      <c r="AB21" s="35">
        <v>0</v>
      </c>
      <c r="AC21" s="43">
        <v>0</v>
      </c>
      <c r="AD21" s="35">
        <v>0</v>
      </c>
      <c r="AE21" s="35">
        <v>0</v>
      </c>
      <c r="AF21" s="35">
        <v>0</v>
      </c>
      <c r="AG21" s="35">
        <v>0</v>
      </c>
      <c r="AH21" s="49">
        <v>0</v>
      </c>
      <c r="AI21" s="35">
        <v>640</v>
      </c>
      <c r="AJ21" s="48">
        <v>0</v>
      </c>
      <c r="AK21" s="43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0</v>
      </c>
    </row>
    <row r="22" spans="1:68">
      <c r="A22" s="7"/>
      <c r="B22" s="51">
        <v>11</v>
      </c>
      <c r="C22" s="41">
        <v>43</v>
      </c>
      <c r="D22" s="65">
        <v>268</v>
      </c>
      <c r="E22" s="35">
        <v>88.5</v>
      </c>
      <c r="F22" s="48">
        <v>0</v>
      </c>
      <c r="G22" s="35">
        <v>0</v>
      </c>
      <c r="H22" s="35">
        <v>0</v>
      </c>
      <c r="I22" s="35">
        <v>0</v>
      </c>
      <c r="J22" s="49">
        <v>0</v>
      </c>
      <c r="K22" s="35">
        <v>105</v>
      </c>
      <c r="L22" s="50">
        <v>0</v>
      </c>
      <c r="M22" s="35">
        <v>3.8</v>
      </c>
      <c r="N22" s="48">
        <v>0</v>
      </c>
      <c r="O22" s="35">
        <v>0</v>
      </c>
      <c r="P22" s="35">
        <v>0</v>
      </c>
      <c r="Q22" s="43">
        <v>0</v>
      </c>
      <c r="R22" s="35">
        <v>0</v>
      </c>
      <c r="S22" s="44">
        <v>0</v>
      </c>
      <c r="T22" s="49">
        <v>0</v>
      </c>
      <c r="U22" s="35">
        <v>16.5</v>
      </c>
      <c r="V22" s="48">
        <v>0</v>
      </c>
      <c r="W22" s="35">
        <v>0</v>
      </c>
      <c r="X22" s="49">
        <v>0</v>
      </c>
      <c r="Y22" s="35">
        <v>608</v>
      </c>
      <c r="Z22" s="48">
        <v>0</v>
      </c>
      <c r="AA22" s="43">
        <v>0</v>
      </c>
      <c r="AB22" s="35">
        <v>0</v>
      </c>
      <c r="AC22" s="43">
        <v>0</v>
      </c>
      <c r="AD22" s="35">
        <v>0</v>
      </c>
      <c r="AE22" s="35">
        <v>0</v>
      </c>
      <c r="AF22" s="35">
        <v>0</v>
      </c>
      <c r="AG22" s="35">
        <v>0</v>
      </c>
      <c r="AH22" s="49">
        <v>0</v>
      </c>
      <c r="AI22" s="35">
        <v>619.99999999999989</v>
      </c>
      <c r="AJ22" s="48">
        <v>0</v>
      </c>
      <c r="AK22" s="43">
        <v>0</v>
      </c>
      <c r="AL22" s="35">
        <v>0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</row>
    <row r="23" spans="1:68">
      <c r="A23" s="7"/>
      <c r="B23" s="51">
        <v>12</v>
      </c>
      <c r="C23" s="41">
        <v>49</v>
      </c>
      <c r="D23" s="65">
        <v>266</v>
      </c>
      <c r="E23" s="35">
        <v>81</v>
      </c>
      <c r="F23" s="48">
        <v>0</v>
      </c>
      <c r="G23" s="35">
        <v>0</v>
      </c>
      <c r="H23" s="35">
        <v>0</v>
      </c>
      <c r="I23" s="35">
        <v>0</v>
      </c>
      <c r="J23" s="49">
        <v>0</v>
      </c>
      <c r="K23" s="35">
        <v>85</v>
      </c>
      <c r="L23" s="50">
        <v>0</v>
      </c>
      <c r="M23" s="35">
        <v>5</v>
      </c>
      <c r="N23" s="48">
        <v>0</v>
      </c>
      <c r="O23" s="35">
        <v>0</v>
      </c>
      <c r="P23" s="35">
        <v>0</v>
      </c>
      <c r="Q23" s="43">
        <v>0</v>
      </c>
      <c r="R23" s="35">
        <v>0</v>
      </c>
      <c r="S23" s="44">
        <v>0</v>
      </c>
      <c r="T23" s="49">
        <v>0</v>
      </c>
      <c r="U23" s="35">
        <v>12.5</v>
      </c>
      <c r="V23" s="48">
        <v>0</v>
      </c>
      <c r="W23" s="35">
        <v>0</v>
      </c>
      <c r="X23" s="49">
        <v>0</v>
      </c>
      <c r="Y23" s="35">
        <v>640</v>
      </c>
      <c r="Z23" s="48">
        <v>0</v>
      </c>
      <c r="AA23" s="43">
        <v>0</v>
      </c>
      <c r="AB23" s="35">
        <v>0</v>
      </c>
      <c r="AC23" s="43">
        <v>0</v>
      </c>
      <c r="AD23" s="35">
        <v>0</v>
      </c>
      <c r="AE23" s="35">
        <v>0</v>
      </c>
      <c r="AF23" s="35">
        <v>0</v>
      </c>
      <c r="AG23" s="35">
        <v>0</v>
      </c>
      <c r="AH23" s="49">
        <v>0</v>
      </c>
      <c r="AI23" s="35">
        <v>590</v>
      </c>
      <c r="AJ23" s="48">
        <v>0</v>
      </c>
      <c r="AK23" s="43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0</v>
      </c>
    </row>
    <row r="24" spans="1:68">
      <c r="A24" s="7"/>
      <c r="B24" s="51">
        <v>13</v>
      </c>
      <c r="C24" s="41">
        <v>41</v>
      </c>
      <c r="D24" s="65">
        <v>281</v>
      </c>
      <c r="E24" s="35">
        <v>77.699999999999989</v>
      </c>
      <c r="F24" s="48">
        <v>0</v>
      </c>
      <c r="G24" s="35">
        <v>0</v>
      </c>
      <c r="H24" s="35">
        <v>0</v>
      </c>
      <c r="I24" s="35">
        <v>0</v>
      </c>
      <c r="J24" s="49">
        <v>0</v>
      </c>
      <c r="K24" s="35">
        <v>105</v>
      </c>
      <c r="L24" s="50">
        <v>0</v>
      </c>
      <c r="M24" s="35">
        <v>5.0999999999999996</v>
      </c>
      <c r="N24" s="48">
        <v>0</v>
      </c>
      <c r="O24" s="35">
        <v>0</v>
      </c>
      <c r="P24" s="35">
        <v>0</v>
      </c>
      <c r="Q24" s="43">
        <v>0</v>
      </c>
      <c r="R24" s="35">
        <v>0</v>
      </c>
      <c r="S24" s="44">
        <v>0</v>
      </c>
      <c r="T24" s="49">
        <v>0</v>
      </c>
      <c r="U24" s="35">
        <v>7</v>
      </c>
      <c r="V24" s="48">
        <v>0</v>
      </c>
      <c r="W24" s="35">
        <v>0</v>
      </c>
      <c r="X24" s="49">
        <v>0</v>
      </c>
      <c r="Y24" s="35">
        <v>616</v>
      </c>
      <c r="Z24" s="48">
        <v>0</v>
      </c>
      <c r="AA24" s="43">
        <v>0</v>
      </c>
      <c r="AB24" s="35">
        <v>0</v>
      </c>
      <c r="AC24" s="43">
        <v>0</v>
      </c>
      <c r="AD24" s="35">
        <v>0</v>
      </c>
      <c r="AE24" s="35">
        <v>0</v>
      </c>
      <c r="AF24" s="35">
        <v>0</v>
      </c>
      <c r="AG24" s="35">
        <v>0</v>
      </c>
      <c r="AH24" s="49">
        <v>0</v>
      </c>
      <c r="AI24" s="35">
        <v>810</v>
      </c>
      <c r="AJ24" s="48">
        <v>0</v>
      </c>
      <c r="AK24" s="43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</row>
    <row r="25" spans="1:68">
      <c r="A25" s="7"/>
      <c r="B25" s="51">
        <v>14</v>
      </c>
      <c r="C25" s="41">
        <v>40</v>
      </c>
      <c r="D25" s="65">
        <v>309</v>
      </c>
      <c r="E25" s="35">
        <v>117.69999999999999</v>
      </c>
      <c r="F25" s="48">
        <v>0</v>
      </c>
      <c r="G25" s="35">
        <v>0</v>
      </c>
      <c r="H25" s="35">
        <v>0</v>
      </c>
      <c r="I25" s="35">
        <v>0</v>
      </c>
      <c r="J25" s="49">
        <v>0</v>
      </c>
      <c r="K25" s="35">
        <v>85</v>
      </c>
      <c r="L25" s="50">
        <v>0</v>
      </c>
      <c r="M25" s="35">
        <v>3.3</v>
      </c>
      <c r="N25" s="48">
        <v>0</v>
      </c>
      <c r="O25" s="35">
        <v>0</v>
      </c>
      <c r="P25" s="35">
        <v>0</v>
      </c>
      <c r="Q25" s="43">
        <v>0</v>
      </c>
      <c r="R25" s="35">
        <v>0</v>
      </c>
      <c r="S25" s="44">
        <v>0</v>
      </c>
      <c r="T25" s="49">
        <v>0</v>
      </c>
      <c r="U25" s="35">
        <v>11.5</v>
      </c>
      <c r="V25" s="48">
        <v>0</v>
      </c>
      <c r="W25" s="35">
        <v>0</v>
      </c>
      <c r="X25" s="49">
        <v>0</v>
      </c>
      <c r="Y25" s="35">
        <v>600</v>
      </c>
      <c r="Z25" s="48">
        <v>0</v>
      </c>
      <c r="AA25" s="43">
        <v>0</v>
      </c>
      <c r="AB25" s="35">
        <v>0</v>
      </c>
      <c r="AC25" s="43">
        <v>0</v>
      </c>
      <c r="AD25" s="35">
        <v>0</v>
      </c>
      <c r="AE25" s="35">
        <v>0</v>
      </c>
      <c r="AF25" s="35">
        <v>0</v>
      </c>
      <c r="AG25" s="35">
        <v>0</v>
      </c>
      <c r="AH25" s="49">
        <v>0</v>
      </c>
      <c r="AI25" s="35">
        <v>690</v>
      </c>
      <c r="AJ25" s="48">
        <v>0</v>
      </c>
      <c r="AK25" s="43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</row>
    <row r="26" spans="1:68">
      <c r="A26" s="7"/>
      <c r="B26" s="51">
        <v>15</v>
      </c>
      <c r="C26" s="41">
        <v>42</v>
      </c>
      <c r="D26" s="65">
        <v>330</v>
      </c>
      <c r="E26" s="35">
        <v>90.1</v>
      </c>
      <c r="F26" s="48">
        <v>0</v>
      </c>
      <c r="G26" s="35">
        <v>0</v>
      </c>
      <c r="H26" s="35">
        <v>0</v>
      </c>
      <c r="I26" s="35">
        <v>0</v>
      </c>
      <c r="J26" s="49">
        <v>0</v>
      </c>
      <c r="K26" s="35">
        <v>75</v>
      </c>
      <c r="L26" s="50">
        <v>0</v>
      </c>
      <c r="M26" s="35">
        <v>5.5</v>
      </c>
      <c r="N26" s="48">
        <v>0</v>
      </c>
      <c r="O26" s="35">
        <v>0</v>
      </c>
      <c r="P26" s="35">
        <v>0</v>
      </c>
      <c r="Q26" s="43">
        <v>0</v>
      </c>
      <c r="R26" s="35">
        <v>0</v>
      </c>
      <c r="S26" s="44">
        <v>0</v>
      </c>
      <c r="T26" s="49">
        <v>0</v>
      </c>
      <c r="U26" s="35">
        <v>8.5</v>
      </c>
      <c r="V26" s="48">
        <v>0</v>
      </c>
      <c r="W26" s="35">
        <v>0</v>
      </c>
      <c r="X26" s="49">
        <v>0</v>
      </c>
      <c r="Y26" s="35">
        <v>624</v>
      </c>
      <c r="Z26" s="48">
        <v>0</v>
      </c>
      <c r="AA26" s="43">
        <v>0</v>
      </c>
      <c r="AB26" s="35">
        <v>0</v>
      </c>
      <c r="AC26" s="43">
        <v>0</v>
      </c>
      <c r="AD26" s="35">
        <v>0</v>
      </c>
      <c r="AE26" s="35">
        <v>0</v>
      </c>
      <c r="AF26" s="35">
        <v>0</v>
      </c>
      <c r="AG26" s="35">
        <v>0</v>
      </c>
      <c r="AH26" s="49">
        <v>0</v>
      </c>
      <c r="AI26" s="35">
        <v>650</v>
      </c>
      <c r="AJ26" s="48">
        <v>0</v>
      </c>
      <c r="AK26" s="43">
        <v>0</v>
      </c>
      <c r="AL26" s="35">
        <v>0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0</v>
      </c>
      <c r="BF26" s="35">
        <v>0</v>
      </c>
      <c r="BG26" s="35">
        <v>0</v>
      </c>
      <c r="BH26" s="35">
        <v>0</v>
      </c>
      <c r="BI26" s="35">
        <v>0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0</v>
      </c>
    </row>
    <row r="27" spans="1:68">
      <c r="A27" s="7"/>
      <c r="B27" s="51">
        <v>16</v>
      </c>
      <c r="C27" s="41">
        <v>52</v>
      </c>
      <c r="D27" s="65">
        <v>412</v>
      </c>
      <c r="E27" s="35">
        <v>93.3</v>
      </c>
      <c r="F27" s="48">
        <v>0</v>
      </c>
      <c r="G27" s="35">
        <v>0</v>
      </c>
      <c r="H27" s="35">
        <v>0</v>
      </c>
      <c r="I27" s="35">
        <v>0</v>
      </c>
      <c r="J27" s="49">
        <v>0</v>
      </c>
      <c r="K27" s="35">
        <v>92</v>
      </c>
      <c r="L27" s="50">
        <v>0</v>
      </c>
      <c r="M27" s="35">
        <v>5.9</v>
      </c>
      <c r="N27" s="48">
        <v>0</v>
      </c>
      <c r="O27" s="35">
        <v>0</v>
      </c>
      <c r="P27" s="35">
        <v>0</v>
      </c>
      <c r="Q27" s="43">
        <v>0</v>
      </c>
      <c r="R27" s="35">
        <v>0</v>
      </c>
      <c r="S27" s="44">
        <v>0</v>
      </c>
      <c r="T27" s="49">
        <v>0</v>
      </c>
      <c r="U27" s="35">
        <v>16</v>
      </c>
      <c r="V27" s="48">
        <v>0</v>
      </c>
      <c r="W27" s="35">
        <v>0</v>
      </c>
      <c r="X27" s="49">
        <v>0</v>
      </c>
      <c r="Y27" s="35">
        <v>592</v>
      </c>
      <c r="Z27" s="48">
        <v>0</v>
      </c>
      <c r="AA27" s="43">
        <v>0</v>
      </c>
      <c r="AB27" s="35">
        <v>0</v>
      </c>
      <c r="AC27" s="43">
        <v>0</v>
      </c>
      <c r="AD27" s="35">
        <v>0</v>
      </c>
      <c r="AE27" s="35">
        <v>0</v>
      </c>
      <c r="AF27" s="35">
        <v>0</v>
      </c>
      <c r="AG27" s="35">
        <v>0</v>
      </c>
      <c r="AH27" s="49">
        <v>0</v>
      </c>
      <c r="AI27" s="35">
        <v>710</v>
      </c>
      <c r="AJ27" s="48">
        <v>0</v>
      </c>
      <c r="AK27" s="43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0</v>
      </c>
      <c r="BE27" s="35">
        <v>0</v>
      </c>
      <c r="BF27" s="35">
        <v>0</v>
      </c>
      <c r="BG27" s="35">
        <v>0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0</v>
      </c>
      <c r="BO27" s="35">
        <v>0</v>
      </c>
      <c r="BP27" s="35">
        <v>0</v>
      </c>
    </row>
    <row r="28" spans="1:68">
      <c r="A28" s="7"/>
      <c r="B28" s="51">
        <v>17</v>
      </c>
      <c r="C28" s="41">
        <v>49</v>
      </c>
      <c r="D28" s="65">
        <v>454</v>
      </c>
      <c r="E28" s="35">
        <v>102.6</v>
      </c>
      <c r="F28" s="48">
        <v>0</v>
      </c>
      <c r="G28" s="35">
        <v>0</v>
      </c>
      <c r="H28" s="35">
        <v>0</v>
      </c>
      <c r="I28" s="35">
        <v>0</v>
      </c>
      <c r="J28" s="49">
        <v>0</v>
      </c>
      <c r="K28" s="35">
        <v>90</v>
      </c>
      <c r="L28" s="50">
        <v>0</v>
      </c>
      <c r="M28" s="35">
        <v>4.0999999999999996</v>
      </c>
      <c r="N28" s="48">
        <v>0</v>
      </c>
      <c r="O28" s="35">
        <v>0</v>
      </c>
      <c r="P28" s="35">
        <v>0</v>
      </c>
      <c r="Q28" s="43">
        <v>0</v>
      </c>
      <c r="R28" s="35">
        <v>0</v>
      </c>
      <c r="S28" s="44">
        <v>0</v>
      </c>
      <c r="T28" s="49">
        <v>0</v>
      </c>
      <c r="U28" s="35">
        <v>18.5</v>
      </c>
      <c r="V28" s="48">
        <v>0</v>
      </c>
      <c r="W28" s="35">
        <v>0</v>
      </c>
      <c r="X28" s="49">
        <v>0</v>
      </c>
      <c r="Y28" s="35">
        <v>640</v>
      </c>
      <c r="Z28" s="48">
        <v>0</v>
      </c>
      <c r="AA28" s="43">
        <v>0</v>
      </c>
      <c r="AB28" s="35">
        <v>0</v>
      </c>
      <c r="AC28" s="43">
        <v>0</v>
      </c>
      <c r="AD28" s="35">
        <v>0</v>
      </c>
      <c r="AE28" s="35">
        <v>0</v>
      </c>
      <c r="AF28" s="35">
        <v>0</v>
      </c>
      <c r="AG28" s="35">
        <v>0</v>
      </c>
      <c r="AH28" s="49">
        <v>0</v>
      </c>
      <c r="AI28" s="35">
        <v>830.00000000000011</v>
      </c>
      <c r="AJ28" s="48">
        <v>0</v>
      </c>
      <c r="AK28" s="43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0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0</v>
      </c>
    </row>
    <row r="29" spans="1:68">
      <c r="A29" s="7"/>
      <c r="B29" s="51">
        <v>18</v>
      </c>
      <c r="C29" s="41">
        <v>43</v>
      </c>
      <c r="D29" s="65">
        <v>357</v>
      </c>
      <c r="E29" s="35">
        <v>97.399999999999991</v>
      </c>
      <c r="F29" s="48">
        <v>0</v>
      </c>
      <c r="G29" s="35">
        <v>0</v>
      </c>
      <c r="H29" s="35">
        <v>0</v>
      </c>
      <c r="I29" s="35">
        <v>0</v>
      </c>
      <c r="J29" s="49">
        <v>0</v>
      </c>
      <c r="K29" s="35">
        <v>105</v>
      </c>
      <c r="L29" s="50">
        <v>0</v>
      </c>
      <c r="M29" s="35">
        <v>7.3000000000000007</v>
      </c>
      <c r="N29" s="48">
        <v>0</v>
      </c>
      <c r="O29" s="35">
        <v>0</v>
      </c>
      <c r="P29" s="35">
        <v>0</v>
      </c>
      <c r="Q29" s="43">
        <v>0</v>
      </c>
      <c r="R29" s="35">
        <v>0</v>
      </c>
      <c r="S29" s="44">
        <v>0</v>
      </c>
      <c r="T29" s="49">
        <v>0</v>
      </c>
      <c r="U29" s="35">
        <v>14</v>
      </c>
      <c r="V29" s="48">
        <v>0</v>
      </c>
      <c r="W29" s="35">
        <v>0</v>
      </c>
      <c r="X29" s="49">
        <v>0</v>
      </c>
      <c r="Y29" s="35">
        <v>656</v>
      </c>
      <c r="Z29" s="48">
        <v>0</v>
      </c>
      <c r="AA29" s="43">
        <v>0</v>
      </c>
      <c r="AB29" s="35">
        <v>0</v>
      </c>
      <c r="AC29" s="43">
        <v>0</v>
      </c>
      <c r="AD29" s="35">
        <v>0</v>
      </c>
      <c r="AE29" s="35">
        <v>0</v>
      </c>
      <c r="AF29" s="35">
        <v>0</v>
      </c>
      <c r="AG29" s="35">
        <v>0</v>
      </c>
      <c r="AH29" s="49">
        <v>0</v>
      </c>
      <c r="AI29" s="35">
        <v>640</v>
      </c>
      <c r="AJ29" s="48">
        <v>0</v>
      </c>
      <c r="AK29" s="43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0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0</v>
      </c>
    </row>
    <row r="30" spans="1:68">
      <c r="A30" s="7"/>
      <c r="B30" s="51">
        <v>19</v>
      </c>
      <c r="C30" s="41">
        <v>61</v>
      </c>
      <c r="D30" s="65">
        <v>354</v>
      </c>
      <c r="E30" s="35">
        <v>87</v>
      </c>
      <c r="F30" s="48">
        <v>0</v>
      </c>
      <c r="G30" s="35">
        <v>0</v>
      </c>
      <c r="H30" s="35">
        <v>0</v>
      </c>
      <c r="I30" s="35">
        <v>0</v>
      </c>
      <c r="J30" s="49">
        <v>0</v>
      </c>
      <c r="K30" s="35">
        <v>85</v>
      </c>
      <c r="L30" s="50">
        <v>0</v>
      </c>
      <c r="M30" s="35">
        <v>3.9</v>
      </c>
      <c r="N30" s="48">
        <v>0</v>
      </c>
      <c r="O30" s="35">
        <v>0</v>
      </c>
      <c r="P30" s="35">
        <v>0</v>
      </c>
      <c r="Q30" s="43">
        <v>0</v>
      </c>
      <c r="R30" s="35">
        <v>0</v>
      </c>
      <c r="S30" s="44">
        <v>0</v>
      </c>
      <c r="T30" s="49">
        <v>0</v>
      </c>
      <c r="U30" s="35">
        <v>7.5</v>
      </c>
      <c r="V30" s="48">
        <v>0</v>
      </c>
      <c r="W30" s="35">
        <v>0</v>
      </c>
      <c r="X30" s="49">
        <v>0</v>
      </c>
      <c r="Y30" s="35">
        <v>608</v>
      </c>
      <c r="Z30" s="48">
        <v>0</v>
      </c>
      <c r="AA30" s="43">
        <v>0</v>
      </c>
      <c r="AB30" s="35">
        <v>0</v>
      </c>
      <c r="AC30" s="43">
        <v>0</v>
      </c>
      <c r="AD30" s="35">
        <v>0</v>
      </c>
      <c r="AE30" s="35">
        <v>0</v>
      </c>
      <c r="AF30" s="35">
        <v>0</v>
      </c>
      <c r="AG30" s="35">
        <v>0</v>
      </c>
      <c r="AH30" s="49">
        <v>0</v>
      </c>
      <c r="AI30" s="35">
        <v>670</v>
      </c>
      <c r="AJ30" s="48">
        <v>0</v>
      </c>
      <c r="AK30" s="43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0</v>
      </c>
      <c r="BE30" s="35">
        <v>0</v>
      </c>
      <c r="BF30" s="35">
        <v>0</v>
      </c>
      <c r="BG30" s="35">
        <v>0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0</v>
      </c>
    </row>
    <row r="31" spans="1:68">
      <c r="A31" s="7"/>
      <c r="B31" s="51">
        <v>20</v>
      </c>
      <c r="C31" s="41">
        <v>67</v>
      </c>
      <c r="D31" s="65">
        <v>335</v>
      </c>
      <c r="E31" s="35">
        <v>83.3</v>
      </c>
      <c r="F31" s="48">
        <v>0</v>
      </c>
      <c r="G31" s="35">
        <v>0</v>
      </c>
      <c r="H31" s="35">
        <v>0</v>
      </c>
      <c r="I31" s="35">
        <v>0</v>
      </c>
      <c r="J31" s="49">
        <v>0</v>
      </c>
      <c r="K31" s="35">
        <v>75</v>
      </c>
      <c r="L31" s="50">
        <v>0</v>
      </c>
      <c r="M31" s="35">
        <v>5.0999999999999996</v>
      </c>
      <c r="N31" s="48">
        <v>0</v>
      </c>
      <c r="O31" s="35">
        <v>0</v>
      </c>
      <c r="P31" s="35">
        <v>0</v>
      </c>
      <c r="Q31" s="43">
        <v>0</v>
      </c>
      <c r="R31" s="35">
        <v>0</v>
      </c>
      <c r="S31" s="44">
        <v>0</v>
      </c>
      <c r="T31" s="49">
        <v>0</v>
      </c>
      <c r="U31" s="35">
        <v>19</v>
      </c>
      <c r="V31" s="48">
        <v>0</v>
      </c>
      <c r="W31" s="35">
        <v>0</v>
      </c>
      <c r="X31" s="49">
        <v>0</v>
      </c>
      <c r="Y31" s="35">
        <v>592</v>
      </c>
      <c r="Z31" s="48">
        <v>0</v>
      </c>
      <c r="AA31" s="43">
        <v>0</v>
      </c>
      <c r="AB31" s="35">
        <v>0</v>
      </c>
      <c r="AC31" s="43">
        <v>0</v>
      </c>
      <c r="AD31" s="35">
        <v>0</v>
      </c>
      <c r="AE31" s="35">
        <v>0</v>
      </c>
      <c r="AF31" s="35">
        <v>0</v>
      </c>
      <c r="AG31" s="35">
        <v>0</v>
      </c>
      <c r="AH31" s="49">
        <v>0</v>
      </c>
      <c r="AI31" s="35">
        <v>620</v>
      </c>
      <c r="AJ31" s="48">
        <v>0</v>
      </c>
      <c r="AK31" s="43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0</v>
      </c>
      <c r="BE31" s="35">
        <v>0</v>
      </c>
      <c r="BF31" s="35">
        <v>0</v>
      </c>
      <c r="BG31" s="35">
        <v>0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0</v>
      </c>
      <c r="BP31" s="35">
        <v>0</v>
      </c>
    </row>
    <row r="32" spans="1:68">
      <c r="A32" s="7"/>
      <c r="B32" s="51">
        <v>21</v>
      </c>
      <c r="C32" s="41">
        <v>55</v>
      </c>
      <c r="D32" s="65">
        <v>425</v>
      </c>
      <c r="E32" s="35">
        <v>97.4</v>
      </c>
      <c r="F32" s="48">
        <v>0</v>
      </c>
      <c r="G32" s="35">
        <v>0</v>
      </c>
      <c r="H32" s="35">
        <v>0</v>
      </c>
      <c r="I32" s="35">
        <v>0</v>
      </c>
      <c r="J32" s="49">
        <v>0</v>
      </c>
      <c r="K32" s="35">
        <v>75</v>
      </c>
      <c r="L32" s="50">
        <v>0</v>
      </c>
      <c r="M32" s="35">
        <v>5.4</v>
      </c>
      <c r="N32" s="48">
        <v>0</v>
      </c>
      <c r="O32" s="35">
        <v>0</v>
      </c>
      <c r="P32" s="35">
        <v>0</v>
      </c>
      <c r="Q32" s="43">
        <v>0</v>
      </c>
      <c r="R32" s="35">
        <v>0</v>
      </c>
      <c r="S32" s="44">
        <v>0</v>
      </c>
      <c r="T32" s="49">
        <v>0</v>
      </c>
      <c r="U32" s="35">
        <v>22.5</v>
      </c>
      <c r="V32" s="48">
        <v>0</v>
      </c>
      <c r="W32" s="35">
        <v>0</v>
      </c>
      <c r="X32" s="49">
        <v>0</v>
      </c>
      <c r="Y32" s="35">
        <v>608</v>
      </c>
      <c r="Z32" s="48">
        <v>0</v>
      </c>
      <c r="AA32" s="43">
        <v>0</v>
      </c>
      <c r="AB32" s="35">
        <v>0</v>
      </c>
      <c r="AC32" s="43">
        <v>0</v>
      </c>
      <c r="AD32" s="35">
        <v>0</v>
      </c>
      <c r="AE32" s="35">
        <v>0</v>
      </c>
      <c r="AF32" s="35">
        <v>0</v>
      </c>
      <c r="AG32" s="35">
        <v>0</v>
      </c>
      <c r="AH32" s="49">
        <v>0</v>
      </c>
      <c r="AI32" s="35">
        <v>720</v>
      </c>
      <c r="AJ32" s="48">
        <v>0</v>
      </c>
      <c r="AK32" s="43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0</v>
      </c>
    </row>
    <row r="33" spans="1:68">
      <c r="A33" s="7"/>
      <c r="B33" s="51">
        <v>22</v>
      </c>
      <c r="C33" s="41">
        <v>49</v>
      </c>
      <c r="D33" s="65">
        <v>475</v>
      </c>
      <c r="E33" s="35">
        <v>85.9</v>
      </c>
      <c r="F33" s="48">
        <v>0</v>
      </c>
      <c r="G33" s="35">
        <v>0</v>
      </c>
      <c r="H33" s="35">
        <v>0</v>
      </c>
      <c r="I33" s="35">
        <v>0</v>
      </c>
      <c r="J33" s="49">
        <v>0</v>
      </c>
      <c r="K33" s="35">
        <v>90</v>
      </c>
      <c r="L33" s="50">
        <v>0</v>
      </c>
      <c r="M33" s="35">
        <v>4</v>
      </c>
      <c r="N33" s="48">
        <v>0</v>
      </c>
      <c r="O33" s="35">
        <v>0</v>
      </c>
      <c r="P33" s="35">
        <v>0</v>
      </c>
      <c r="Q33" s="43">
        <v>0</v>
      </c>
      <c r="R33" s="35">
        <v>0</v>
      </c>
      <c r="S33" s="44">
        <v>0</v>
      </c>
      <c r="T33" s="49">
        <v>0</v>
      </c>
      <c r="U33" s="35">
        <v>25.5</v>
      </c>
      <c r="V33" s="48">
        <v>0</v>
      </c>
      <c r="W33" s="35">
        <v>0</v>
      </c>
      <c r="X33" s="49">
        <v>0</v>
      </c>
      <c r="Y33" s="35">
        <v>600</v>
      </c>
      <c r="Z33" s="48">
        <v>0</v>
      </c>
      <c r="AA33" s="43">
        <v>0</v>
      </c>
      <c r="AB33" s="35">
        <v>0</v>
      </c>
      <c r="AC33" s="43">
        <v>0</v>
      </c>
      <c r="AD33" s="35">
        <v>0</v>
      </c>
      <c r="AE33" s="35">
        <v>0</v>
      </c>
      <c r="AF33" s="35">
        <v>0</v>
      </c>
      <c r="AG33" s="35">
        <v>0</v>
      </c>
      <c r="AH33" s="49">
        <v>0</v>
      </c>
      <c r="AI33" s="35">
        <v>630</v>
      </c>
      <c r="AJ33" s="48">
        <v>0</v>
      </c>
      <c r="AK33" s="43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0</v>
      </c>
    </row>
    <row r="34" spans="1:68">
      <c r="A34" s="7"/>
      <c r="B34" s="51">
        <v>23</v>
      </c>
      <c r="C34" s="41">
        <v>59</v>
      </c>
      <c r="D34" s="65">
        <v>437</v>
      </c>
      <c r="E34" s="35">
        <v>109.3</v>
      </c>
      <c r="F34" s="48">
        <v>0</v>
      </c>
      <c r="G34" s="35">
        <v>0</v>
      </c>
      <c r="H34" s="35">
        <v>0</v>
      </c>
      <c r="I34" s="35">
        <v>0</v>
      </c>
      <c r="J34" s="49">
        <v>0</v>
      </c>
      <c r="K34" s="35">
        <v>90</v>
      </c>
      <c r="L34" s="50">
        <v>0</v>
      </c>
      <c r="M34" s="35">
        <v>4.3</v>
      </c>
      <c r="N34" s="48">
        <v>0</v>
      </c>
      <c r="O34" s="35">
        <v>0</v>
      </c>
      <c r="P34" s="35">
        <v>0</v>
      </c>
      <c r="Q34" s="43">
        <v>0</v>
      </c>
      <c r="R34" s="35">
        <v>0</v>
      </c>
      <c r="S34" s="44">
        <v>0</v>
      </c>
      <c r="T34" s="49">
        <v>0</v>
      </c>
      <c r="U34" s="35">
        <v>16</v>
      </c>
      <c r="V34" s="48">
        <v>0</v>
      </c>
      <c r="W34" s="35">
        <v>0</v>
      </c>
      <c r="X34" s="49">
        <v>0</v>
      </c>
      <c r="Y34" s="35">
        <v>640</v>
      </c>
      <c r="Z34" s="48">
        <v>0</v>
      </c>
      <c r="AA34" s="43">
        <v>0</v>
      </c>
      <c r="AB34" s="35">
        <v>0</v>
      </c>
      <c r="AC34" s="43">
        <v>0</v>
      </c>
      <c r="AD34" s="35">
        <v>0</v>
      </c>
      <c r="AE34" s="35">
        <v>0</v>
      </c>
      <c r="AF34" s="35">
        <v>0</v>
      </c>
      <c r="AG34" s="35">
        <v>0</v>
      </c>
      <c r="AH34" s="49">
        <v>0</v>
      </c>
      <c r="AI34" s="35">
        <v>600</v>
      </c>
      <c r="AJ34" s="48">
        <v>0</v>
      </c>
      <c r="AK34" s="43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</row>
    <row r="35" spans="1:68">
      <c r="A35" s="7"/>
      <c r="B35" s="51">
        <v>24</v>
      </c>
      <c r="C35" s="41">
        <v>62</v>
      </c>
      <c r="D35" s="65">
        <v>448</v>
      </c>
      <c r="E35" s="35">
        <v>100.8</v>
      </c>
      <c r="F35" s="48">
        <v>0</v>
      </c>
      <c r="G35" s="35">
        <v>0</v>
      </c>
      <c r="H35" s="35">
        <v>0</v>
      </c>
      <c r="I35" s="35">
        <v>0</v>
      </c>
      <c r="J35" s="49">
        <v>0</v>
      </c>
      <c r="K35" s="35">
        <v>85</v>
      </c>
      <c r="L35" s="50">
        <v>0</v>
      </c>
      <c r="M35" s="35">
        <v>7.6</v>
      </c>
      <c r="N35" s="48">
        <v>0</v>
      </c>
      <c r="O35" s="35">
        <v>0</v>
      </c>
      <c r="P35" s="35">
        <v>0</v>
      </c>
      <c r="Q35" s="43">
        <v>0</v>
      </c>
      <c r="R35" s="35">
        <v>0</v>
      </c>
      <c r="S35" s="44">
        <v>0</v>
      </c>
      <c r="T35" s="49">
        <v>0</v>
      </c>
      <c r="U35" s="35">
        <v>13</v>
      </c>
      <c r="V35" s="48">
        <v>0</v>
      </c>
      <c r="W35" s="35">
        <v>0</v>
      </c>
      <c r="X35" s="49">
        <v>0</v>
      </c>
      <c r="Y35" s="35">
        <v>600</v>
      </c>
      <c r="Z35" s="48">
        <v>0</v>
      </c>
      <c r="AA35" s="43">
        <v>0</v>
      </c>
      <c r="AB35" s="35">
        <v>0</v>
      </c>
      <c r="AC35" s="43">
        <v>0</v>
      </c>
      <c r="AD35" s="35">
        <v>0</v>
      </c>
      <c r="AE35" s="35">
        <v>0</v>
      </c>
      <c r="AF35" s="35">
        <v>0</v>
      </c>
      <c r="AG35" s="35">
        <v>0</v>
      </c>
      <c r="AH35" s="49">
        <v>0</v>
      </c>
      <c r="AI35" s="35">
        <v>620</v>
      </c>
      <c r="AJ35" s="48">
        <v>0</v>
      </c>
      <c r="AK35" s="43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5">
        <v>0</v>
      </c>
    </row>
    <row r="36" spans="1:68">
      <c r="A36" s="7"/>
      <c r="B36" s="51">
        <v>25</v>
      </c>
      <c r="C36" s="41">
        <v>56</v>
      </c>
      <c r="D36" s="65">
        <v>429</v>
      </c>
      <c r="E36" s="35">
        <v>86.9</v>
      </c>
      <c r="F36" s="48">
        <v>0</v>
      </c>
      <c r="G36" s="35">
        <v>0</v>
      </c>
      <c r="H36" s="35">
        <v>0</v>
      </c>
      <c r="I36" s="35">
        <v>0</v>
      </c>
      <c r="J36" s="49">
        <v>0</v>
      </c>
      <c r="K36" s="35">
        <v>95</v>
      </c>
      <c r="L36" s="50">
        <v>0</v>
      </c>
      <c r="M36" s="35">
        <v>5.9</v>
      </c>
      <c r="N36" s="48">
        <v>0</v>
      </c>
      <c r="O36" s="35">
        <v>0</v>
      </c>
      <c r="P36" s="35">
        <v>0</v>
      </c>
      <c r="Q36" s="43">
        <v>0</v>
      </c>
      <c r="R36" s="35">
        <v>0</v>
      </c>
      <c r="S36" s="44">
        <v>0</v>
      </c>
      <c r="T36" s="49">
        <v>0</v>
      </c>
      <c r="U36" s="35">
        <v>7</v>
      </c>
      <c r="V36" s="48">
        <v>0</v>
      </c>
      <c r="W36" s="35">
        <v>0</v>
      </c>
      <c r="X36" s="49">
        <v>0</v>
      </c>
      <c r="Y36" s="35">
        <v>584</v>
      </c>
      <c r="Z36" s="48">
        <v>0</v>
      </c>
      <c r="AA36" s="43">
        <v>0</v>
      </c>
      <c r="AB36" s="35">
        <v>0</v>
      </c>
      <c r="AC36" s="43">
        <v>0</v>
      </c>
      <c r="AD36" s="35">
        <v>0</v>
      </c>
      <c r="AE36" s="35">
        <v>0</v>
      </c>
      <c r="AF36" s="35">
        <v>0</v>
      </c>
      <c r="AG36" s="35">
        <v>0</v>
      </c>
      <c r="AH36" s="49">
        <v>0</v>
      </c>
      <c r="AI36" s="35">
        <v>690</v>
      </c>
      <c r="AJ36" s="48">
        <v>0</v>
      </c>
      <c r="AK36" s="43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0</v>
      </c>
      <c r="BE36" s="35">
        <v>0</v>
      </c>
      <c r="BF36" s="35">
        <v>0</v>
      </c>
      <c r="BG36" s="35">
        <v>0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0</v>
      </c>
    </row>
    <row r="37" spans="1:68">
      <c r="A37" s="7"/>
      <c r="B37" s="51">
        <v>26</v>
      </c>
      <c r="C37" s="41">
        <v>56</v>
      </c>
      <c r="D37" s="65">
        <v>408</v>
      </c>
      <c r="E37" s="35">
        <v>87.4</v>
      </c>
      <c r="F37" s="59">
        <v>0</v>
      </c>
      <c r="G37" s="58">
        <v>0</v>
      </c>
      <c r="H37" s="58">
        <v>0</v>
      </c>
      <c r="I37" s="58">
        <v>0</v>
      </c>
      <c r="J37" s="60">
        <v>0</v>
      </c>
      <c r="K37" s="35">
        <v>76</v>
      </c>
      <c r="L37" s="63">
        <v>0</v>
      </c>
      <c r="M37" s="35">
        <v>4.3</v>
      </c>
      <c r="N37" s="59">
        <v>0</v>
      </c>
      <c r="O37" s="58">
        <v>0</v>
      </c>
      <c r="P37" s="58">
        <v>0</v>
      </c>
      <c r="Q37" s="61">
        <v>0</v>
      </c>
      <c r="R37" s="58">
        <v>0</v>
      </c>
      <c r="S37" s="62">
        <v>0</v>
      </c>
      <c r="T37" s="60">
        <v>0</v>
      </c>
      <c r="U37" s="35">
        <v>19</v>
      </c>
      <c r="V37" s="59">
        <v>0</v>
      </c>
      <c r="W37" s="58">
        <v>0</v>
      </c>
      <c r="X37" s="60">
        <v>0</v>
      </c>
      <c r="Y37" s="35">
        <v>608</v>
      </c>
      <c r="Z37" s="59">
        <v>0</v>
      </c>
      <c r="AA37" s="61">
        <v>0</v>
      </c>
      <c r="AB37" s="58">
        <v>0</v>
      </c>
      <c r="AC37" s="61">
        <v>0</v>
      </c>
      <c r="AD37" s="58">
        <v>0</v>
      </c>
      <c r="AE37" s="58">
        <v>0</v>
      </c>
      <c r="AF37" s="58">
        <v>0</v>
      </c>
      <c r="AG37" s="58">
        <v>0</v>
      </c>
      <c r="AH37" s="60">
        <v>0</v>
      </c>
      <c r="AI37" s="35">
        <v>730.00000000000011</v>
      </c>
      <c r="AJ37" s="59">
        <v>0</v>
      </c>
      <c r="AK37" s="61">
        <v>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58">
        <v>0</v>
      </c>
      <c r="AS37" s="58">
        <v>0</v>
      </c>
      <c r="AT37" s="58">
        <v>0</v>
      </c>
      <c r="AU37" s="58">
        <v>0</v>
      </c>
      <c r="AV37" s="58">
        <v>0</v>
      </c>
      <c r="AW37" s="58">
        <v>0</v>
      </c>
      <c r="AX37" s="58">
        <v>0</v>
      </c>
      <c r="AY37" s="58">
        <v>0</v>
      </c>
      <c r="AZ37" s="58">
        <v>0</v>
      </c>
      <c r="BA37" s="58">
        <v>0</v>
      </c>
      <c r="BB37" s="58">
        <v>0</v>
      </c>
      <c r="BC37" s="58">
        <v>0</v>
      </c>
      <c r="BD37" s="58">
        <v>0</v>
      </c>
      <c r="BE37" s="58">
        <v>0</v>
      </c>
      <c r="BF37" s="58">
        <v>0</v>
      </c>
      <c r="BG37" s="58">
        <v>0</v>
      </c>
      <c r="BH37" s="58">
        <v>0</v>
      </c>
      <c r="BI37" s="58">
        <v>0</v>
      </c>
      <c r="BJ37" s="58">
        <v>0</v>
      </c>
      <c r="BK37" s="58">
        <v>0</v>
      </c>
      <c r="BL37" s="58">
        <v>0</v>
      </c>
      <c r="BM37" s="58">
        <v>0</v>
      </c>
      <c r="BN37" s="58">
        <v>0</v>
      </c>
      <c r="BO37" s="58">
        <v>0</v>
      </c>
      <c r="BP37" s="58">
        <v>0</v>
      </c>
    </row>
    <row r="38" spans="1:68">
      <c r="A38" s="7"/>
      <c r="B38" s="51">
        <v>27</v>
      </c>
      <c r="C38" s="41">
        <v>58</v>
      </c>
      <c r="D38" s="65">
        <v>415</v>
      </c>
      <c r="E38" s="35">
        <v>107.7</v>
      </c>
      <c r="F38" s="48">
        <v>0</v>
      </c>
      <c r="G38" s="35">
        <v>0</v>
      </c>
      <c r="H38" s="35">
        <v>0</v>
      </c>
      <c r="I38" s="35">
        <v>0</v>
      </c>
      <c r="J38" s="49">
        <v>0</v>
      </c>
      <c r="K38" s="35">
        <v>80</v>
      </c>
      <c r="L38" s="50">
        <v>0</v>
      </c>
      <c r="M38" s="35">
        <v>4.9000000000000004</v>
      </c>
      <c r="N38" s="48">
        <v>0</v>
      </c>
      <c r="O38" s="35">
        <v>0</v>
      </c>
      <c r="P38" s="35">
        <v>0</v>
      </c>
      <c r="Q38" s="43">
        <v>0</v>
      </c>
      <c r="R38" s="35">
        <v>0</v>
      </c>
      <c r="S38" s="44">
        <v>0</v>
      </c>
      <c r="T38" s="49">
        <v>0</v>
      </c>
      <c r="U38" s="35">
        <v>11</v>
      </c>
      <c r="V38" s="48">
        <v>0</v>
      </c>
      <c r="W38" s="35">
        <v>0</v>
      </c>
      <c r="X38" s="49">
        <v>0</v>
      </c>
      <c r="Y38" s="35">
        <v>576</v>
      </c>
      <c r="Z38" s="48">
        <v>0</v>
      </c>
      <c r="AA38" s="43">
        <v>0</v>
      </c>
      <c r="AB38" s="35">
        <v>0</v>
      </c>
      <c r="AC38" s="43">
        <v>0</v>
      </c>
      <c r="AD38" s="35">
        <v>0</v>
      </c>
      <c r="AE38" s="35">
        <v>0</v>
      </c>
      <c r="AF38" s="35">
        <v>0</v>
      </c>
      <c r="AG38" s="35">
        <v>0</v>
      </c>
      <c r="AH38" s="49">
        <v>0</v>
      </c>
      <c r="AI38" s="35">
        <v>700</v>
      </c>
      <c r="AJ38" s="48">
        <v>0</v>
      </c>
      <c r="AK38" s="43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0</v>
      </c>
    </row>
    <row r="39" spans="1:68">
      <c r="A39" s="7"/>
      <c r="B39" s="51">
        <v>28</v>
      </c>
      <c r="C39" s="41">
        <v>57</v>
      </c>
      <c r="D39" s="65">
        <v>444</v>
      </c>
      <c r="E39" s="35">
        <v>102</v>
      </c>
      <c r="F39" s="48">
        <v>0</v>
      </c>
      <c r="G39" s="35">
        <v>0</v>
      </c>
      <c r="H39" s="35">
        <v>0</v>
      </c>
      <c r="I39" s="35">
        <v>0</v>
      </c>
      <c r="J39" s="49">
        <v>0</v>
      </c>
      <c r="K39" s="35">
        <v>100</v>
      </c>
      <c r="L39" s="50">
        <v>0</v>
      </c>
      <c r="M39" s="35">
        <v>6.1</v>
      </c>
      <c r="N39" s="48">
        <v>0</v>
      </c>
      <c r="O39" s="35">
        <v>0</v>
      </c>
      <c r="P39" s="35">
        <v>0</v>
      </c>
      <c r="Q39" s="43">
        <v>0</v>
      </c>
      <c r="R39" s="35">
        <v>0</v>
      </c>
      <c r="S39" s="44">
        <v>0</v>
      </c>
      <c r="T39" s="49">
        <v>0</v>
      </c>
      <c r="U39" s="35">
        <v>7</v>
      </c>
      <c r="V39" s="48">
        <v>0</v>
      </c>
      <c r="W39" s="35">
        <v>0</v>
      </c>
      <c r="X39" s="49">
        <v>0</v>
      </c>
      <c r="Y39" s="35">
        <v>592</v>
      </c>
      <c r="Z39" s="48">
        <v>0</v>
      </c>
      <c r="AA39" s="43">
        <v>0</v>
      </c>
      <c r="AB39" s="35">
        <v>0</v>
      </c>
      <c r="AC39" s="43">
        <v>0</v>
      </c>
      <c r="AD39" s="35">
        <v>0</v>
      </c>
      <c r="AE39" s="35">
        <v>0</v>
      </c>
      <c r="AF39" s="35">
        <v>0</v>
      </c>
      <c r="AG39" s="35">
        <v>0</v>
      </c>
      <c r="AH39" s="49">
        <v>0</v>
      </c>
      <c r="AI39" s="35">
        <v>660</v>
      </c>
      <c r="AJ39" s="48">
        <v>0</v>
      </c>
      <c r="AK39" s="43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0</v>
      </c>
      <c r="BD39" s="35">
        <v>0</v>
      </c>
      <c r="BE39" s="35">
        <v>0</v>
      </c>
      <c r="BF39" s="35">
        <v>0</v>
      </c>
      <c r="BG39" s="35">
        <v>0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0</v>
      </c>
    </row>
    <row r="40" spans="1:68">
      <c r="B40" s="64">
        <v>29</v>
      </c>
      <c r="C40" s="52">
        <v>53</v>
      </c>
      <c r="D40" s="66">
        <v>450</v>
      </c>
      <c r="E40" s="35">
        <v>93</v>
      </c>
      <c r="F40" s="59">
        <v>0</v>
      </c>
      <c r="G40" s="58">
        <v>0</v>
      </c>
      <c r="H40" s="58">
        <v>0</v>
      </c>
      <c r="I40" s="58">
        <v>0</v>
      </c>
      <c r="J40" s="60">
        <v>0</v>
      </c>
      <c r="K40" s="35">
        <v>86</v>
      </c>
      <c r="L40" s="63">
        <f>SUM(L12:L39)</f>
        <v>0</v>
      </c>
      <c r="M40" s="35">
        <v>6</v>
      </c>
      <c r="N40" s="59">
        <v>0</v>
      </c>
      <c r="O40" s="58">
        <v>0</v>
      </c>
      <c r="P40" s="58">
        <v>0</v>
      </c>
      <c r="Q40" s="61">
        <v>0</v>
      </c>
      <c r="R40" s="58">
        <v>0</v>
      </c>
      <c r="S40" s="62">
        <v>0</v>
      </c>
      <c r="T40" s="60">
        <v>0</v>
      </c>
      <c r="U40" s="35">
        <v>14</v>
      </c>
      <c r="V40" s="59">
        <f>SUM(V12:V39)</f>
        <v>0</v>
      </c>
      <c r="W40" s="58">
        <f>SUM(W12:W39)</f>
        <v>0</v>
      </c>
      <c r="X40" s="60">
        <f>SUM(X12:X39)</f>
        <v>0</v>
      </c>
      <c r="Y40" s="35">
        <v>560</v>
      </c>
      <c r="Z40" s="59">
        <v>0</v>
      </c>
      <c r="AA40" s="58">
        <f>SUM(AA12:AA39)</f>
        <v>0</v>
      </c>
      <c r="AB40" s="58">
        <f>SUM(AB12:AB39)</f>
        <v>0</v>
      </c>
      <c r="AC40" s="58">
        <f>SUM(AC12:AC39)</f>
        <v>0</v>
      </c>
      <c r="AD40" s="58">
        <f>SUM(AD12:AD39)</f>
        <v>0</v>
      </c>
      <c r="AE40" s="58">
        <f>SUM(AE12:AE39)</f>
        <v>0</v>
      </c>
      <c r="AF40" s="58">
        <f>SUM(AF12:AF39)</f>
        <v>0</v>
      </c>
      <c r="AG40" s="58">
        <f>SUM(AG12:AG39)</f>
        <v>0</v>
      </c>
      <c r="AH40" s="60">
        <f>SUM(AH12:AH39)</f>
        <v>0</v>
      </c>
      <c r="AI40" s="35">
        <v>610</v>
      </c>
      <c r="AJ40" s="59">
        <v>0</v>
      </c>
      <c r="AK40" s="58">
        <f>SUM(AK12:AK39)</f>
        <v>0</v>
      </c>
      <c r="AL40" s="58">
        <f>SUM(AL12:AL39)</f>
        <v>0</v>
      </c>
      <c r="AM40" s="58">
        <f>SUM(AM12:AM39)</f>
        <v>0</v>
      </c>
      <c r="AN40" s="58">
        <f>SUM(AN12:AN39)</f>
        <v>0</v>
      </c>
      <c r="AO40" s="58">
        <f>SUM(AO12:AO39)</f>
        <v>0</v>
      </c>
      <c r="AP40" s="58">
        <f>SUM(AP12:AP39)</f>
        <v>0</v>
      </c>
      <c r="AQ40" s="58">
        <f>SUM(AQ12:AQ39)</f>
        <v>0</v>
      </c>
      <c r="AR40" s="58">
        <f>SUM(AR12:AR39)</f>
        <v>0</v>
      </c>
      <c r="AS40" s="58">
        <f>SUM(AS12:AS39)</f>
        <v>0</v>
      </c>
      <c r="AT40" s="58">
        <f>SUM(AT12:AT39)</f>
        <v>0</v>
      </c>
      <c r="AU40" s="58">
        <f>SUM(AU12:AU39)</f>
        <v>0</v>
      </c>
      <c r="AV40" s="58">
        <f>SUM(AV12:AV39)</f>
        <v>0</v>
      </c>
      <c r="AW40" s="58">
        <f>SUM(AW12:AW39)</f>
        <v>0</v>
      </c>
      <c r="AX40" s="58">
        <f>SUM(AX12:AX39)</f>
        <v>0</v>
      </c>
      <c r="AY40" s="58">
        <f>SUM(AY12:AY39)</f>
        <v>0</v>
      </c>
      <c r="AZ40" s="58">
        <f>SUM(AZ12:AZ39)</f>
        <v>0</v>
      </c>
      <c r="BA40" s="58">
        <f>SUM(BA12:BA39)</f>
        <v>0</v>
      </c>
      <c r="BB40" s="58">
        <f>SUM(BB12:BB39)</f>
        <v>0</v>
      </c>
      <c r="BC40" s="58">
        <f>SUM(BC12:BC39)</f>
        <v>0</v>
      </c>
      <c r="BD40" s="58">
        <f>SUM(BD12:BD39)</f>
        <v>0</v>
      </c>
      <c r="BE40" s="58">
        <f>SUM(BE12:BE39)</f>
        <v>0</v>
      </c>
      <c r="BF40" s="58">
        <f>SUM(BF12:BF39)</f>
        <v>0</v>
      </c>
      <c r="BG40" s="58">
        <f>SUM(BG12:BG39)</f>
        <v>0</v>
      </c>
      <c r="BH40" s="58">
        <f>SUM(BH12:BH39)</f>
        <v>0</v>
      </c>
      <c r="BI40" s="58">
        <f>SUM(BI12:BI39)</f>
        <v>0</v>
      </c>
      <c r="BJ40" s="58">
        <f>SUM(BJ12:BJ39)</f>
        <v>0</v>
      </c>
      <c r="BK40" s="58">
        <f>SUM(BK12:BK39)</f>
        <v>0</v>
      </c>
      <c r="BL40" s="58">
        <f>SUM(BL12:BL39)</f>
        <v>0</v>
      </c>
      <c r="BM40" s="58">
        <f>SUM(BM12:BM39)</f>
        <v>0</v>
      </c>
      <c r="BN40" s="58">
        <f>SUM(BN12:BN39)</f>
        <v>0</v>
      </c>
      <c r="BO40" s="58">
        <f>SUM(BO12:BO39)</f>
        <v>0</v>
      </c>
      <c r="BP40" s="58">
        <f>SUM(BP12:BP39)</f>
        <v>0</v>
      </c>
    </row>
    <row r="41" spans="1:68">
      <c r="B41" s="51">
        <v>30</v>
      </c>
      <c r="C41" s="52">
        <v>39</v>
      </c>
      <c r="D41" s="66">
        <v>524</v>
      </c>
      <c r="E41" s="35">
        <v>85.699999999999989</v>
      </c>
      <c r="F41" s="48">
        <v>0</v>
      </c>
      <c r="G41" s="35">
        <v>0</v>
      </c>
      <c r="H41" s="35">
        <v>0</v>
      </c>
      <c r="I41" s="35">
        <v>0</v>
      </c>
      <c r="J41" s="49">
        <v>0</v>
      </c>
      <c r="K41" s="35">
        <v>95</v>
      </c>
      <c r="L41" s="50">
        <f t="shared" ref="L41" si="0">SUM(L13:L40)</f>
        <v>0</v>
      </c>
      <c r="M41" s="35">
        <v>4.7</v>
      </c>
      <c r="N41" s="48">
        <v>0</v>
      </c>
      <c r="O41" s="35">
        <v>0</v>
      </c>
      <c r="P41" s="35">
        <v>0</v>
      </c>
      <c r="Q41" s="43">
        <v>0</v>
      </c>
      <c r="R41" s="35">
        <v>0</v>
      </c>
      <c r="S41" s="44">
        <v>0</v>
      </c>
      <c r="T41" s="49">
        <v>0</v>
      </c>
      <c r="U41" s="35">
        <v>6.5</v>
      </c>
      <c r="V41" s="48">
        <f t="shared" ref="V41:X41" si="1">SUM(V13:V40)</f>
        <v>0</v>
      </c>
      <c r="W41" s="35">
        <f t="shared" si="1"/>
        <v>0</v>
      </c>
      <c r="X41" s="49">
        <f t="shared" si="1"/>
        <v>0</v>
      </c>
      <c r="Y41" s="35">
        <v>592</v>
      </c>
      <c r="Z41" s="48">
        <v>0</v>
      </c>
      <c r="AA41" s="35">
        <f t="shared" ref="AA41:AH41" si="2">SUM(AA13:AA40)</f>
        <v>0</v>
      </c>
      <c r="AB41" s="35">
        <f t="shared" si="2"/>
        <v>0</v>
      </c>
      <c r="AC41" s="35">
        <f t="shared" si="2"/>
        <v>0</v>
      </c>
      <c r="AD41" s="35">
        <f t="shared" si="2"/>
        <v>0</v>
      </c>
      <c r="AE41" s="35">
        <f t="shared" si="2"/>
        <v>0</v>
      </c>
      <c r="AF41" s="35">
        <f t="shared" si="2"/>
        <v>0</v>
      </c>
      <c r="AG41" s="35">
        <f t="shared" si="2"/>
        <v>0</v>
      </c>
      <c r="AH41" s="49">
        <f t="shared" si="2"/>
        <v>0</v>
      </c>
      <c r="AI41" s="35">
        <v>700</v>
      </c>
      <c r="AJ41" s="48">
        <v>0</v>
      </c>
      <c r="AK41" s="35">
        <f>SUM(AK13:AK40)</f>
        <v>0</v>
      </c>
      <c r="AL41" s="35">
        <f>SUM(AL13:AL40)</f>
        <v>0</v>
      </c>
      <c r="AM41" s="35">
        <f>SUM(AM13:AM40)</f>
        <v>0</v>
      </c>
      <c r="AN41" s="35">
        <f>SUM(AN13:AN40)</f>
        <v>0</v>
      </c>
      <c r="AO41" s="35">
        <f>SUM(AO13:AO40)</f>
        <v>0</v>
      </c>
      <c r="AP41" s="35">
        <f>SUM(AP13:AP40)</f>
        <v>0</v>
      </c>
      <c r="AQ41" s="35">
        <f>SUM(AQ13:AQ40)</f>
        <v>0</v>
      </c>
      <c r="AR41" s="35">
        <f>SUM(AR13:AR40)</f>
        <v>0</v>
      </c>
      <c r="AS41" s="35">
        <f>SUM(AS13:AS40)</f>
        <v>0</v>
      </c>
      <c r="AT41" s="35">
        <f>SUM(AT13:AT40)</f>
        <v>0</v>
      </c>
      <c r="AU41" s="35">
        <f>SUM(AU13:AU40)</f>
        <v>0</v>
      </c>
      <c r="AV41" s="35">
        <f>SUM(AV13:AV40)</f>
        <v>0</v>
      </c>
      <c r="AW41" s="35">
        <f>SUM(AW13:AW40)</f>
        <v>0</v>
      </c>
      <c r="AX41" s="35">
        <f>SUM(AX13:AX40)</f>
        <v>0</v>
      </c>
      <c r="AY41" s="35">
        <f>SUM(AY13:AY40)</f>
        <v>0</v>
      </c>
      <c r="AZ41" s="35">
        <f>SUM(AZ13:AZ40)</f>
        <v>0</v>
      </c>
      <c r="BA41" s="35">
        <f>SUM(BA13:BA40)</f>
        <v>0</v>
      </c>
      <c r="BB41" s="35">
        <f>SUM(BB13:BB40)</f>
        <v>0</v>
      </c>
      <c r="BC41" s="35">
        <f>SUM(BC13:BC40)</f>
        <v>0</v>
      </c>
      <c r="BD41" s="35">
        <f>SUM(BD13:BD40)</f>
        <v>0</v>
      </c>
      <c r="BE41" s="35">
        <f>SUM(BE13:BE40)</f>
        <v>0</v>
      </c>
      <c r="BF41" s="35">
        <f>SUM(BF13:BF40)</f>
        <v>0</v>
      </c>
      <c r="BG41" s="35">
        <f>SUM(BG13:BG40)</f>
        <v>0</v>
      </c>
      <c r="BH41" s="35">
        <f>SUM(BH13:BH40)</f>
        <v>0</v>
      </c>
      <c r="BI41" s="35">
        <f>SUM(BI13:BI40)</f>
        <v>0</v>
      </c>
      <c r="BJ41" s="35">
        <f>SUM(BJ13:BJ40)</f>
        <v>0</v>
      </c>
      <c r="BK41" s="35">
        <f>SUM(BK13:BK40)</f>
        <v>0</v>
      </c>
      <c r="BL41" s="35">
        <f>SUM(BL13:BL40)</f>
        <v>0</v>
      </c>
      <c r="BM41" s="35">
        <f>SUM(BM13:BM40)</f>
        <v>0</v>
      </c>
      <c r="BN41" s="35">
        <f>SUM(BN13:BN40)</f>
        <v>0</v>
      </c>
      <c r="BO41" s="35">
        <f>SUM(BO13:BO40)</f>
        <v>0</v>
      </c>
      <c r="BP41" s="35">
        <f>SUM(BP13:BP40)</f>
        <v>0</v>
      </c>
    </row>
    <row r="42" spans="1:68">
      <c r="E42" s="14">
        <f>SUM(E12:E41)</f>
        <v>2706.8</v>
      </c>
      <c r="F42" s="14">
        <f>SUM(F12:F41)</f>
        <v>0</v>
      </c>
      <c r="G42" s="14">
        <f>SUM(G12:G41)</f>
        <v>0</v>
      </c>
      <c r="H42" s="14">
        <f>SUM(H12:H41)</f>
        <v>0</v>
      </c>
      <c r="I42" s="14">
        <f>SUM(I12:I41)</f>
        <v>0</v>
      </c>
      <c r="J42" s="14">
        <f>SUM(J12:J41)</f>
        <v>0</v>
      </c>
      <c r="K42" s="14">
        <f>SUM(K12:K41)</f>
        <v>2640</v>
      </c>
      <c r="L42" s="14">
        <f>SUM(L12:L41)</f>
        <v>0</v>
      </c>
      <c r="M42" s="14">
        <f>SUM(M12:M41)</f>
        <v>154.79999999999998</v>
      </c>
      <c r="N42" s="14">
        <f>SUM(N12:N41)</f>
        <v>0</v>
      </c>
      <c r="O42" s="14">
        <f>SUM(O12:O41)</f>
        <v>0</v>
      </c>
      <c r="P42" s="14">
        <f>SUM(P12:P41)</f>
        <v>0</v>
      </c>
      <c r="Q42" s="14">
        <f>SUM(Q12:Q41)</f>
        <v>0</v>
      </c>
      <c r="R42" s="14">
        <f>SUM(R12:R41)</f>
        <v>0</v>
      </c>
      <c r="S42" s="14">
        <f>SUM(S12:S41)</f>
        <v>0</v>
      </c>
      <c r="T42" s="14">
        <f>SUM(T12:T41)</f>
        <v>0</v>
      </c>
      <c r="U42" s="14">
        <f>SUM(U12:U41)</f>
        <v>392</v>
      </c>
      <c r="V42" s="14">
        <f>SUM(V12:V41)</f>
        <v>0</v>
      </c>
      <c r="W42" s="14">
        <f>SUM(W12:W41)</f>
        <v>0</v>
      </c>
      <c r="X42" s="14">
        <f>SUM(X12:X41)</f>
        <v>0</v>
      </c>
      <c r="Y42" s="14">
        <f>SUM(Y12:Y41)</f>
        <v>18392</v>
      </c>
      <c r="Z42" s="14">
        <f>SUM(Z12:Z41)</f>
        <v>8284726</v>
      </c>
      <c r="AA42" s="14">
        <f>SUM(AA12:AA41)</f>
        <v>0</v>
      </c>
      <c r="AB42" s="14">
        <f>SUM(AB12:AB41)</f>
        <v>0</v>
      </c>
      <c r="AC42" s="14">
        <f>SUM(AC12:AC41)</f>
        <v>0</v>
      </c>
      <c r="AD42" s="14">
        <f>SUM(AD12:AD41)</f>
        <v>0</v>
      </c>
      <c r="AE42" s="14">
        <f>SUM(AE12:AE41)</f>
        <v>0</v>
      </c>
      <c r="AF42" s="14">
        <f>SUM(AF12:AF41)</f>
        <v>0</v>
      </c>
      <c r="AG42" s="14">
        <f>SUM(AG12:AG41)</f>
        <v>0</v>
      </c>
      <c r="AH42" s="14">
        <f>SUM(AH12:AH41)</f>
        <v>0</v>
      </c>
      <c r="AI42" s="14">
        <f>SUM(AI12:AI41)</f>
        <v>19600</v>
      </c>
      <c r="AJ42" s="14">
        <f>SUM(AJ12:AJ41)</f>
        <v>0</v>
      </c>
      <c r="AK42" s="14">
        <f>SUM(AK12:AK41)</f>
        <v>0</v>
      </c>
      <c r="AL42" s="14">
        <f>SUM(AL12:AL41)</f>
        <v>0</v>
      </c>
      <c r="AM42" s="14">
        <f>SUM(AM12:AM41)</f>
        <v>0</v>
      </c>
      <c r="AN42" s="14">
        <f>SUM(AN12:AN41)</f>
        <v>0</v>
      </c>
      <c r="AO42" s="14">
        <f>SUM(AO12:AO41)</f>
        <v>0</v>
      </c>
      <c r="AP42" s="14">
        <f>SUM(AP12:AP41)</f>
        <v>0</v>
      </c>
      <c r="AQ42" s="14">
        <f>SUM(AQ12:AQ41)</f>
        <v>0</v>
      </c>
      <c r="AR42" s="14">
        <f>SUM(AR12:AR41)</f>
        <v>0</v>
      </c>
      <c r="AS42" s="14">
        <f>SUM(AS12:AS41)</f>
        <v>0</v>
      </c>
      <c r="AT42" s="14">
        <f>SUM(AT12:AT41)</f>
        <v>0</v>
      </c>
      <c r="AU42" s="14">
        <f>SUM(AU12:AU41)</f>
        <v>0</v>
      </c>
      <c r="AV42" s="14">
        <f>SUM(AV12:AV41)</f>
        <v>0</v>
      </c>
      <c r="AW42" s="14">
        <f>SUM(AW12:AW41)</f>
        <v>0</v>
      </c>
      <c r="AX42" s="14">
        <f>SUM(AX12:AX41)</f>
        <v>0</v>
      </c>
      <c r="AY42" s="14">
        <f>SUM(AY12:AY41)</f>
        <v>0</v>
      </c>
      <c r="AZ42" s="14">
        <f>SUM(AZ12:AZ41)</f>
        <v>0</v>
      </c>
      <c r="BA42" s="14">
        <f>SUM(BA12:BA41)</f>
        <v>0</v>
      </c>
      <c r="BB42" s="14">
        <f>SUM(BB12:BB41)</f>
        <v>0</v>
      </c>
      <c r="BC42" s="14">
        <f>SUM(BC12:BC41)</f>
        <v>0</v>
      </c>
      <c r="BD42" s="14">
        <f>SUM(BD12:BD41)</f>
        <v>0</v>
      </c>
      <c r="BE42" s="14">
        <f>SUM(BE12:BE41)</f>
        <v>0</v>
      </c>
      <c r="BF42" s="14">
        <f>SUM(BF12:BF41)</f>
        <v>0</v>
      </c>
      <c r="BG42" s="14">
        <f>SUM(BG12:BG41)</f>
        <v>0</v>
      </c>
      <c r="BH42" s="14">
        <f>SUM(BH12:BH41)</f>
        <v>0</v>
      </c>
      <c r="BI42" s="14">
        <f>SUM(BI12:BI41)</f>
        <v>0</v>
      </c>
      <c r="BJ42" s="14">
        <f>SUM(BJ12:BJ41)</f>
        <v>0</v>
      </c>
      <c r="BK42" s="14">
        <f>SUM(BK12:BK41)</f>
        <v>0</v>
      </c>
      <c r="BL42" s="14">
        <f>SUM(BL12:BL41)</f>
        <v>0</v>
      </c>
      <c r="BM42" s="14">
        <f>SUM(BM12:BM41)</f>
        <v>0</v>
      </c>
      <c r="BN42" s="14">
        <f>SUM(BN12:BN41)</f>
        <v>0</v>
      </c>
      <c r="BO42" s="14">
        <f>SUM(BO12:BO41)</f>
        <v>0</v>
      </c>
      <c r="BP42" s="14">
        <f>SUM(BP12:BP41)</f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2023-02-27T10:51:51Z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