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8535" yWindow="90" windowWidth="15840" windowHeight="11340" tabRatio="580" firstSheet="6" activeTab="7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Swimming Pool quality check " sheetId="79" r:id="rId13"/>
    <sheet name="EDl log" sheetId="76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Print_Area" localSheetId="14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AA18" i="74"/>
  <c r="AB18"/>
  <c r="D17" i="77"/>
  <c r="D18"/>
  <c r="C19" l="1"/>
  <c r="C18"/>
  <c r="C17"/>
  <c r="C16"/>
  <c r="C15"/>
  <c r="C14"/>
  <c r="H9" l="1"/>
  <c r="H10"/>
  <c r="H8"/>
  <c r="I6"/>
  <c r="B2" i="2"/>
  <c r="N49" i="74" l="1"/>
  <c r="O49"/>
  <c r="N50"/>
  <c r="O50"/>
  <c r="N51"/>
  <c r="O51"/>
  <c r="N52"/>
  <c r="O52"/>
  <c r="N53"/>
  <c r="O53"/>
  <c r="N54"/>
  <c r="O54"/>
  <c r="N55"/>
  <c r="O55"/>
  <c r="N56"/>
  <c r="O56"/>
  <c r="N57"/>
  <c r="O57"/>
  <c r="N58"/>
  <c r="O58"/>
  <c r="N59"/>
  <c r="O59"/>
  <c r="N60"/>
  <c r="O60"/>
  <c r="N61"/>
  <c r="O61"/>
  <c r="N62"/>
  <c r="O62"/>
  <c r="N63"/>
  <c r="O63"/>
  <c r="N64"/>
  <c r="O64"/>
  <c r="N65"/>
  <c r="O65"/>
  <c r="N66"/>
  <c r="O66"/>
  <c r="N67"/>
  <c r="O67"/>
  <c r="N68"/>
  <c r="O68"/>
  <c r="N69"/>
  <c r="O69"/>
  <c r="N70"/>
  <c r="O70"/>
  <c r="N71"/>
  <c r="O71"/>
  <c r="N72"/>
  <c r="O72"/>
  <c r="N73"/>
  <c r="O73"/>
  <c r="N74"/>
  <c r="O74"/>
  <c r="N75"/>
  <c r="O75"/>
  <c r="N76"/>
  <c r="O76"/>
  <c r="N77"/>
  <c r="O77"/>
  <c r="N78"/>
  <c r="O78"/>
  <c r="O48"/>
  <c r="N48"/>
  <c r="J49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J75"/>
  <c r="K75"/>
  <c r="J76"/>
  <c r="K76"/>
  <c r="J77"/>
  <c r="K77"/>
  <c r="K48"/>
  <c r="J48"/>
  <c r="W16" i="76"/>
  <c r="W14"/>
  <c r="Y14"/>
  <c r="X14"/>
  <c r="W15"/>
  <c r="W13"/>
  <c r="AB12"/>
  <c r="AC12"/>
  <c r="AB13"/>
  <c r="AC13"/>
  <c r="AB14"/>
  <c r="AC14"/>
  <c r="AB15"/>
  <c r="AC15"/>
  <c r="AB16"/>
  <c r="AC16"/>
  <c r="AB17"/>
  <c r="AC17"/>
  <c r="AB18"/>
  <c r="AC18"/>
  <c r="AB19"/>
  <c r="AC19"/>
  <c r="AB10"/>
  <c r="AC10"/>
  <c r="AD10"/>
  <c r="AB11"/>
  <c r="AC11"/>
  <c r="AD11"/>
  <c r="AC9"/>
  <c r="AD9"/>
  <c r="AB9"/>
  <c r="AA10"/>
  <c r="AA11"/>
  <c r="AA12"/>
  <c r="Z10"/>
  <c r="Z11"/>
  <c r="Y10"/>
  <c r="Y11"/>
  <c r="W10"/>
  <c r="W11"/>
  <c r="V10"/>
  <c r="V11"/>
  <c r="W9"/>
  <c r="X9"/>
  <c r="Y9"/>
  <c r="Z9"/>
  <c r="AA9"/>
  <c r="V9"/>
  <c r="C3"/>
  <c r="D3"/>
  <c r="E3"/>
  <c r="F3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34" s="1"/>
  <c r="G3"/>
  <c r="H3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34" s="1"/>
  <c r="M34" s="1"/>
  <c r="I3"/>
  <c r="J3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34" s="1"/>
  <c r="N34" s="1"/>
  <c r="K3"/>
  <c r="L3"/>
  <c r="M3"/>
  <c r="N3"/>
  <c r="O3"/>
  <c r="P3"/>
  <c r="Q3"/>
  <c r="R3"/>
  <c r="S3"/>
  <c r="T3"/>
  <c r="B3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C34" s="1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B4" i="3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C2"/>
  <c r="D2"/>
  <c r="D4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2"/>
  <c r="F2"/>
  <c r="G2"/>
  <c r="H2"/>
  <c r="I2"/>
  <c r="J2"/>
  <c r="J3" s="1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2"/>
  <c r="L2"/>
  <c r="L3" s="1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2"/>
  <c r="N2"/>
  <c r="O2"/>
  <c r="P2"/>
  <c r="Q2"/>
  <c r="R2"/>
  <c r="R3" s="1"/>
  <c r="R4" s="1"/>
  <c r="R5" s="1"/>
  <c r="R6" s="1"/>
  <c r="R8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S2"/>
  <c r="T2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U2"/>
  <c r="V2"/>
  <c r="W2"/>
  <c r="X2"/>
  <c r="Y2"/>
  <c r="Z2"/>
  <c r="AA2"/>
  <c r="AB2"/>
  <c r="AC2"/>
  <c r="AD2"/>
  <c r="AE2"/>
  <c r="AF2"/>
  <c r="AG2"/>
  <c r="AH2"/>
  <c r="AI2"/>
  <c r="AJ2"/>
  <c r="AK2"/>
  <c r="B2"/>
  <c r="C5" i="7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V5"/>
  <c r="AW5"/>
  <c r="AX5"/>
  <c r="AY5"/>
  <c r="AZ5"/>
  <c r="BA5"/>
  <c r="BB5"/>
  <c r="BC5"/>
  <c r="BD5"/>
  <c r="BE5"/>
  <c r="BF5"/>
  <c r="BG5"/>
  <c r="B5"/>
  <c r="D34" i="76" l="1"/>
  <c r="E34" s="1"/>
  <c r="L34"/>
  <c r="AC6" i="5" l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G6"/>
  <c r="G8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C5"/>
  <c r="D5"/>
  <c r="E5"/>
  <c r="F5"/>
  <c r="G5"/>
  <c r="H5"/>
  <c r="I5"/>
  <c r="J5"/>
  <c r="K5"/>
  <c r="L5"/>
  <c r="M5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N5"/>
  <c r="O5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P5"/>
  <c r="Q5"/>
  <c r="R5"/>
  <c r="S5"/>
  <c r="T6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5"/>
  <c r="V5"/>
  <c r="V6" s="1"/>
  <c r="V7" s="1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5"/>
  <c r="X5"/>
  <c r="X6" s="1"/>
  <c r="X9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5"/>
  <c r="Z5"/>
  <c r="Z6" s="1"/>
  <c r="Z9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A5"/>
  <c r="AB5"/>
  <c r="AB6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C5"/>
  <c r="AD5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5"/>
  <c r="AG5"/>
  <c r="AG6" s="1"/>
  <c r="AG7" s="1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5"/>
  <c r="AI5"/>
  <c r="AJ5"/>
  <c r="AK5"/>
  <c r="AL5"/>
  <c r="AM5"/>
  <c r="AN5"/>
  <c r="AO5"/>
  <c r="AP5"/>
  <c r="AQ5"/>
  <c r="AR5"/>
  <c r="AS5"/>
  <c r="AT5"/>
  <c r="AT11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U5"/>
  <c r="AV5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W5"/>
  <c r="AX5"/>
  <c r="AX11" s="1"/>
  <c r="AX12" s="1"/>
  <c r="AX13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Y5"/>
  <c r="AZ5"/>
  <c r="BA5"/>
  <c r="BB5"/>
  <c r="BC5"/>
  <c r="BD5"/>
  <c r="BE5"/>
  <c r="BF5"/>
  <c r="BG5"/>
  <c r="B5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E2" i="2"/>
  <c r="F2"/>
  <c r="G2"/>
  <c r="H2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2"/>
  <c r="J2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2"/>
  <c r="L2"/>
  <c r="M2"/>
  <c r="N2"/>
  <c r="O2"/>
  <c r="P2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Q2"/>
  <c r="R2"/>
  <c r="S2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T2"/>
  <c r="U2"/>
  <c r="V2"/>
  <c r="W2"/>
  <c r="X2"/>
  <c r="Y2"/>
  <c r="Z2"/>
  <c r="AA2"/>
  <c r="AB2"/>
  <c r="AC2"/>
  <c r="AD2"/>
  <c r="AE2"/>
  <c r="AF2"/>
  <c r="AG2"/>
  <c r="AH2"/>
  <c r="AI2"/>
  <c r="AJ2"/>
  <c r="AK2"/>
  <c r="AL2"/>
  <c r="D2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C4" i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D4"/>
  <c r="E4"/>
  <c r="F4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G4"/>
  <c r="H4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4"/>
  <c r="J4"/>
  <c r="K4"/>
  <c r="K5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L4"/>
  <c r="M4"/>
  <c r="M5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N4"/>
  <c r="O4"/>
  <c r="P4"/>
  <c r="P5" s="1"/>
  <c r="P6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5" s="1"/>
  <c r="Q6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X5" s="1"/>
  <c r="X6" s="1"/>
  <c r="X7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4"/>
  <c r="Z4"/>
  <c r="Z5" s="1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4"/>
  <c r="AB4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4"/>
  <c r="AG4"/>
  <c r="AH4"/>
  <c r="AI4"/>
  <c r="AJ4"/>
  <c r="AK4"/>
  <c r="AL4"/>
  <c r="AM4"/>
  <c r="AN4"/>
  <c r="AN5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4"/>
  <c r="AP7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4"/>
  <c r="AR4"/>
  <c r="AR5" s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4"/>
  <c r="AT4"/>
  <c r="AU4"/>
  <c r="AV4"/>
  <c r="AW4"/>
  <c r="AX4"/>
  <c r="B4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AC3" i="2"/>
  <c r="AC4" s="1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A3"/>
  <c r="AA4" s="1"/>
  <c r="AA5" s="1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U8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L8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F8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B32" i="82" l="1"/>
  <c r="B32" i="81"/>
  <c r="W29" i="2"/>
  <c r="H25" i="3"/>
  <c r="H26" s="1"/>
  <c r="H27" s="1"/>
  <c r="H28" s="1"/>
  <c r="H29" s="1"/>
  <c r="H30" s="1"/>
  <c r="H31" s="1"/>
  <c r="H32" s="1"/>
  <c r="H33" s="1"/>
  <c r="H24"/>
  <c r="A21" i="1" l="1"/>
  <c r="A22"/>
  <c r="A23"/>
  <c r="A24"/>
  <c r="A25"/>
  <c r="A26"/>
  <c r="Q14" i="2"/>
  <c r="Q13"/>
  <c r="S5" i="3" l="1"/>
  <c r="S6"/>
  <c r="K11" i="73"/>
  <c r="Y7" i="5"/>
  <c r="Y8"/>
  <c r="O5" i="73" l="1"/>
  <c r="N5"/>
  <c r="M5"/>
  <c r="L5"/>
  <c r="K5"/>
  <c r="J5"/>
  <c r="I5"/>
  <c r="H5"/>
  <c r="G5"/>
  <c r="F5"/>
  <c r="E5"/>
  <c r="D5"/>
  <c r="C5"/>
  <c r="B5"/>
  <c r="H7" i="77"/>
  <c r="H6" s="1"/>
  <c r="J78" i="74" l="1"/>
  <c r="K78"/>
  <c r="F49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V26" i="76"/>
  <c r="W28"/>
  <c r="W27"/>
  <c r="W26"/>
  <c r="H3" i="3"/>
  <c r="AB36" i="5"/>
  <c r="K35" i="1"/>
  <c r="Y4" i="2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W4"/>
  <c r="W6" s="1"/>
  <c r="W8" s="1"/>
  <c r="W9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30" s="1"/>
  <c r="W31" s="1"/>
  <c r="W32" s="1"/>
  <c r="W33" s="1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B3" s="1"/>
  <c r="A2"/>
  <c r="B33"/>
  <c r="O32" i="81" l="1"/>
  <c r="L32" i="82"/>
  <c r="Y6" i="5"/>
  <c r="Q15" i="2"/>
  <c r="S7" i="3"/>
  <c r="G24" i="2"/>
  <c r="Q16" l="1"/>
  <c r="S8" i="3"/>
  <c r="D9" i="1"/>
  <c r="E9" s="1"/>
  <c r="L22"/>
  <c r="Q17" i="2" l="1"/>
  <c r="S9" i="3"/>
  <c r="AB16" i="74"/>
  <c r="AA16"/>
  <c r="Q18" i="2" l="1"/>
  <c r="S16" i="3"/>
  <c r="C78" i="74"/>
  <c r="B78"/>
  <c r="I5" i="79"/>
  <c r="Y13" i="76"/>
  <c r="X11"/>
  <c r="X10"/>
  <c r="BH5" i="7"/>
  <c r="Q19" i="2" l="1"/>
  <c r="C48" i="74"/>
  <c r="B48"/>
  <c r="Q20" i="2" l="1"/>
  <c r="C49" i="74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Q21" i="2" l="1"/>
  <c r="Q22" l="1"/>
  <c r="C13" i="76"/>
  <c r="Q23" i="2" l="1"/>
  <c r="C14" i="76"/>
  <c r="Q24" i="2" l="1"/>
  <c r="C15" i="76"/>
  <c r="K36" i="5"/>
  <c r="K35"/>
  <c r="K34"/>
  <c r="K35" i="73"/>
  <c r="G35"/>
  <c r="D35"/>
  <c r="E22" i="3"/>
  <c r="Q25" i="2" l="1"/>
  <c r="C16" i="76"/>
  <c r="AU16" i="5"/>
  <c r="D12" i="73"/>
  <c r="AB7" i="2"/>
  <c r="G5" i="76"/>
  <c r="Q26" i="2" l="1"/>
  <c r="C17" i="76"/>
  <c r="V28"/>
  <c r="V27"/>
  <c r="Q27" i="2" l="1"/>
  <c r="C18" i="76"/>
  <c r="Q28" i="2" l="1"/>
  <c r="C19" i="76"/>
  <c r="W40" i="74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W10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X15" i="76"/>
  <c r="Q29" i="2" l="1"/>
  <c r="C20" i="76"/>
  <c r="Q33" i="3"/>
  <c r="C4" i="76"/>
  <c r="AB8" i="2"/>
  <c r="G14" i="76"/>
  <c r="L14" s="1"/>
  <c r="AD33" i="2"/>
  <c r="Z33"/>
  <c r="I36" i="79"/>
  <c r="A36"/>
  <c r="L36" s="1"/>
  <c r="AJ33" i="3"/>
  <c r="U33"/>
  <c r="P33"/>
  <c r="E33"/>
  <c r="C33"/>
  <c r="A33"/>
  <c r="BE36" i="7"/>
  <c r="BG36" s="1"/>
  <c r="BB36"/>
  <c r="BA36"/>
  <c r="A36"/>
  <c r="K36" i="73"/>
  <c r="G36"/>
  <c r="D36"/>
  <c r="A36"/>
  <c r="AP36" i="5"/>
  <c r="AN36"/>
  <c r="AM36"/>
  <c r="A36"/>
  <c r="AR36" s="1"/>
  <c r="AJ35" i="1"/>
  <c r="A35"/>
  <c r="Q30" i="2" l="1"/>
  <c r="C21" i="76"/>
  <c r="K33" i="3"/>
  <c r="N33" s="1"/>
  <c r="AB9" i="2"/>
  <c r="K14" i="76"/>
  <c r="N14" s="1"/>
  <c r="I14"/>
  <c r="M14" s="1"/>
  <c r="K16"/>
  <c r="N16" s="1"/>
  <c r="K17"/>
  <c r="N17" s="1"/>
  <c r="K15"/>
  <c r="N15" s="1"/>
  <c r="G15"/>
  <c r="L15" s="1"/>
  <c r="I15"/>
  <c r="M15" s="1"/>
  <c r="F33" i="3"/>
  <c r="S33"/>
  <c r="V33" s="1"/>
  <c r="I33"/>
  <c r="Q31" i="2" l="1"/>
  <c r="C22" i="76"/>
  <c r="AB33" i="2"/>
  <c r="AB10"/>
  <c r="Z33" i="3"/>
  <c r="AK33" s="1"/>
  <c r="D14" i="76"/>
  <c r="E14" s="1"/>
  <c r="G16"/>
  <c r="L16" s="1"/>
  <c r="I16"/>
  <c r="M16" s="1"/>
  <c r="AB33" i="3"/>
  <c r="X40" i="74"/>
  <c r="Q32" i="2" l="1"/>
  <c r="C23" i="76"/>
  <c r="AC33" i="3"/>
  <c r="G17" i="76"/>
  <c r="L17" s="1"/>
  <c r="I17"/>
  <c r="M17" s="1"/>
  <c r="D15"/>
  <c r="E15" s="1"/>
  <c r="Q33" i="2" l="1"/>
  <c r="C24" i="76"/>
  <c r="G18"/>
  <c r="I18"/>
  <c r="D17"/>
  <c r="E17" s="1"/>
  <c r="D16"/>
  <c r="E16" s="1"/>
  <c r="S12" i="3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I22"/>
  <c r="M20"/>
  <c r="D20"/>
  <c r="E20" s="1"/>
  <c r="L20"/>
  <c r="G21"/>
  <c r="K21"/>
  <c r="N21" s="1"/>
  <c r="O5" i="79"/>
  <c r="N5"/>
  <c r="AA5" i="76"/>
  <c r="Z18"/>
  <c r="AA18"/>
  <c r="Y16"/>
  <c r="V16"/>
  <c r="V15"/>
  <c r="V14"/>
  <c r="V13"/>
  <c r="BA36" i="5"/>
  <c r="AH36"/>
  <c r="AF36"/>
  <c r="AD36"/>
  <c r="Y36"/>
  <c r="W36"/>
  <c r="U36"/>
  <c r="H36"/>
  <c r="C36"/>
  <c r="V33" i="2"/>
  <c r="AF33" s="1"/>
  <c r="T33"/>
  <c r="M33"/>
  <c r="E32" i="82" s="1"/>
  <c r="K33" i="2"/>
  <c r="F32" i="82" s="1"/>
  <c r="I33" i="2"/>
  <c r="G32" i="82" s="1"/>
  <c r="G33" i="2"/>
  <c r="I32" i="82" s="1"/>
  <c r="E33" i="2"/>
  <c r="H32" i="82" s="1"/>
  <c r="J32" l="1"/>
  <c r="C29" i="76"/>
  <c r="AD33" i="3"/>
  <c r="AE33" s="1"/>
  <c r="AF33" s="1"/>
  <c r="AG33" s="1"/>
  <c r="AH33" s="1"/>
  <c r="M21" i="76"/>
  <c r="D21"/>
  <c r="E21" s="1"/>
  <c r="AA36" i="5"/>
  <c r="AJ36"/>
  <c r="K32" i="82" s="1"/>
  <c r="AQ11" i="1"/>
  <c r="D36" i="5"/>
  <c r="I36"/>
  <c r="K32" i="81" s="1"/>
  <c r="E36" i="5"/>
  <c r="AI36"/>
  <c r="N33" i="2"/>
  <c r="S34" i="76" s="1"/>
  <c r="T34" s="1"/>
  <c r="F32" i="81" s="1"/>
  <c r="X34" i="74"/>
  <c r="X19"/>
  <c r="X20"/>
  <c r="K22" i="76"/>
  <c r="N22" s="1"/>
  <c r="G22"/>
  <c r="L21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AK38" i="5"/>
  <c r="R33" i="2" l="1"/>
  <c r="E32" i="81"/>
  <c r="C30" i="76"/>
  <c r="AL36" i="5"/>
  <c r="J36"/>
  <c r="L32" i="81" s="1"/>
  <c r="AI33" i="3"/>
  <c r="M22" i="76"/>
  <c r="D22"/>
  <c r="E22" s="1"/>
  <c r="I23"/>
  <c r="K23"/>
  <c r="N23" s="1"/>
  <c r="L22"/>
  <c r="G23"/>
  <c r="G30" i="73"/>
  <c r="D30"/>
  <c r="AI33" i="2" l="1"/>
  <c r="M23" i="76"/>
  <c r="D23"/>
  <c r="E23" s="1"/>
  <c r="I24"/>
  <c r="G24"/>
  <c r="L23"/>
  <c r="K24"/>
  <c r="N24" s="1"/>
  <c r="G35" i="1"/>
  <c r="I35"/>
  <c r="L35"/>
  <c r="N35"/>
  <c r="S35"/>
  <c r="R35"/>
  <c r="Y35"/>
  <c r="AD35"/>
  <c r="AG35" s="1"/>
  <c r="AF35"/>
  <c r="AO35"/>
  <c r="AQ35"/>
  <c r="AS35"/>
  <c r="B36" i="7"/>
  <c r="X20" i="2" l="1"/>
  <c r="X33"/>
  <c r="AE33" s="1"/>
  <c r="AG33" s="1"/>
  <c r="M24" i="76"/>
  <c r="D24"/>
  <c r="E24" s="1"/>
  <c r="AB35" i="1"/>
  <c r="AM35"/>
  <c r="D35"/>
  <c r="E35" s="1"/>
  <c r="Z36" i="7"/>
  <c r="J35" i="1"/>
  <c r="U35"/>
  <c r="AT35"/>
  <c r="D36" i="7"/>
  <c r="C36"/>
  <c r="V35" i="1"/>
  <c r="T35"/>
  <c r="AL35"/>
  <c r="I25" i="76"/>
  <c r="G25"/>
  <c r="L24"/>
  <c r="K25"/>
  <c r="N25" s="1"/>
  <c r="AA35" i="1"/>
  <c r="AH35" s="1"/>
  <c r="AA8"/>
  <c r="AH31" i="5"/>
  <c r="U8"/>
  <c r="X31" i="2" l="1"/>
  <c r="M25" i="76"/>
  <c r="D25"/>
  <c r="E25" s="1"/>
  <c r="AI35" i="1"/>
  <c r="AK35" s="1"/>
  <c r="E36" i="7"/>
  <c r="F36"/>
  <c r="AB36"/>
  <c r="AA36"/>
  <c r="I26" i="76"/>
  <c r="K26"/>
  <c r="N26" s="1"/>
  <c r="G26"/>
  <c r="L25"/>
  <c r="U9" i="5"/>
  <c r="M26" i="76" l="1"/>
  <c r="D26"/>
  <c r="E26" s="1"/>
  <c r="AW36" i="7"/>
  <c r="G32" i="81" s="1"/>
  <c r="H36" i="7"/>
  <c r="G36"/>
  <c r="AD36"/>
  <c r="AC36"/>
  <c r="I27" i="76"/>
  <c r="G27"/>
  <c r="K27"/>
  <c r="N27" s="1"/>
  <c r="L26"/>
  <c r="U10" i="5"/>
  <c r="M27" i="76" l="1"/>
  <c r="D27"/>
  <c r="E27" s="1"/>
  <c r="J36" i="7"/>
  <c r="I36"/>
  <c r="AE36"/>
  <c r="AF36"/>
  <c r="I28" i="76"/>
  <c r="G28"/>
  <c r="K28"/>
  <c r="N28" s="1"/>
  <c r="L27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L36" i="7"/>
  <c r="K36"/>
  <c r="AH36"/>
  <c r="AG36"/>
  <c r="I29" i="76"/>
  <c r="G29"/>
  <c r="L28"/>
  <c r="K29"/>
  <c r="N29" s="1"/>
  <c r="I6" i="79"/>
  <c r="M29" i="76" l="1"/>
  <c r="D29"/>
  <c r="E29" s="1"/>
  <c r="N36" i="7"/>
  <c r="M36"/>
  <c r="AJ36"/>
  <c r="AI36"/>
  <c r="I30" i="76"/>
  <c r="G30"/>
  <c r="K30"/>
  <c r="N30" s="1"/>
  <c r="L29"/>
  <c r="O6" i="79"/>
  <c r="AF14" i="1"/>
  <c r="R29"/>
  <c r="AA7"/>
  <c r="L34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M30" i="76" l="1"/>
  <c r="D30"/>
  <c r="E30" s="1"/>
  <c r="O36" i="7"/>
  <c r="P36"/>
  <c r="AL36"/>
  <c r="AM36" s="1"/>
  <c r="AK36"/>
  <c r="I31" i="76"/>
  <c r="C31"/>
  <c r="G31"/>
  <c r="L30"/>
  <c r="K31"/>
  <c r="N31" s="1"/>
  <c r="O7" i="79"/>
  <c r="AS29" i="1"/>
  <c r="E26" i="2"/>
  <c r="U24" i="3"/>
  <c r="U25"/>
  <c r="M31" i="76" l="1"/>
  <c r="D31"/>
  <c r="E31" s="1"/>
  <c r="R36" i="7"/>
  <c r="Q36"/>
  <c r="AO36"/>
  <c r="I32" i="76"/>
  <c r="K32"/>
  <c r="N32" s="1"/>
  <c r="G32"/>
  <c r="C33"/>
  <c r="C32"/>
  <c r="L31"/>
  <c r="M9" i="79"/>
  <c r="O8"/>
  <c r="I7"/>
  <c r="K7" i="5"/>
  <c r="D21" i="1"/>
  <c r="E21" s="1"/>
  <c r="M32" i="76" l="1"/>
  <c r="D32"/>
  <c r="E32" s="1"/>
  <c r="T36" i="7"/>
  <c r="S36"/>
  <c r="AN36"/>
  <c r="K33" i="76"/>
  <c r="N33" s="1"/>
  <c r="I33"/>
  <c r="G33"/>
  <c r="L33" s="1"/>
  <c r="L32"/>
  <c r="M10" i="79"/>
  <c r="O9"/>
  <c r="I8"/>
  <c r="K8" i="5"/>
  <c r="I12" i="77"/>
  <c r="Q3" i="2"/>
  <c r="M33" i="76" l="1"/>
  <c r="D33"/>
  <c r="E33" s="1"/>
  <c r="V36" i="7"/>
  <c r="W36" s="1"/>
  <c r="U36"/>
  <c r="M11" i="79"/>
  <c r="O10"/>
  <c r="K9" i="5"/>
  <c r="I9" i="79"/>
  <c r="H12" i="77"/>
  <c r="Y36" i="7" l="1"/>
  <c r="AR36" s="1"/>
  <c r="K10" i="5"/>
  <c r="I10" i="79"/>
  <c r="M12"/>
  <c r="O11"/>
  <c r="K13" i="73"/>
  <c r="A34" i="1"/>
  <c r="A33"/>
  <c r="A32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X36" i="7" l="1"/>
  <c r="Q10" i="3"/>
  <c r="M13" i="79"/>
  <c r="O12"/>
  <c r="K11" i="5"/>
  <c r="I11" i="79"/>
  <c r="D31" i="1"/>
  <c r="E31" s="1"/>
  <c r="E23" i="3"/>
  <c r="U16"/>
  <c r="M14" i="79" l="1"/>
  <c r="O13"/>
  <c r="K12" i="5"/>
  <c r="I12" i="79"/>
  <c r="E24" i="3"/>
  <c r="U17"/>
  <c r="M15" i="79" l="1"/>
  <c r="O14"/>
  <c r="I13"/>
  <c r="K13" i="5"/>
  <c r="E25" i="3"/>
  <c r="U18"/>
  <c r="M16" i="79" l="1"/>
  <c r="O15"/>
  <c r="I14"/>
  <c r="K14" i="5"/>
  <c r="U19" i="3"/>
  <c r="E26"/>
  <c r="K15" i="5" l="1"/>
  <c r="I15" i="79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K16" i="5"/>
  <c r="M18" i="79"/>
  <c r="O17"/>
  <c r="W43" i="74"/>
  <c r="A10" i="3"/>
  <c r="A11"/>
  <c r="A12"/>
  <c r="A13"/>
  <c r="M19" i="79" l="1"/>
  <c r="O18"/>
  <c r="K17" i="5"/>
  <c r="I17" i="79"/>
  <c r="A3" i="76"/>
  <c r="A5" i="7"/>
  <c r="M20" i="79" l="1"/>
  <c r="O19"/>
  <c r="K18" i="5"/>
  <c r="I18" i="79"/>
  <c r="M21" l="1"/>
  <c r="O20"/>
  <c r="K19" i="5"/>
  <c r="I19" i="79"/>
  <c r="M22" l="1"/>
  <c r="O21"/>
  <c r="K20" i="5"/>
  <c r="I20" i="79"/>
  <c r="A2" i="3"/>
  <c r="A5" i="73"/>
  <c r="K21" i="5" l="1"/>
  <c r="I21" i="79"/>
  <c r="M23"/>
  <c r="O22"/>
  <c r="N7" i="1"/>
  <c r="K22" i="5" l="1"/>
  <c r="I22" i="79"/>
  <c r="M24"/>
  <c r="O23"/>
  <c r="AS37" i="7"/>
  <c r="AU37" s="1"/>
  <c r="B6"/>
  <c r="F38" i="5"/>
  <c r="F39"/>
  <c r="F37"/>
  <c r="B39"/>
  <c r="AH7"/>
  <c r="AH6"/>
  <c r="AF6"/>
  <c r="K23" l="1"/>
  <c r="I23" i="79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25" i="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A4" i="76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K24" i="5"/>
  <c r="M26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N9" i="1"/>
  <c r="K15" i="73"/>
  <c r="G15"/>
  <c r="AP14" i="5"/>
  <c r="Y11"/>
  <c r="AD7" i="1"/>
  <c r="AB21" i="74"/>
  <c r="AA21"/>
  <c r="I4" i="76"/>
  <c r="M4" s="1"/>
  <c r="U3" i="3"/>
  <c r="S3"/>
  <c r="P3"/>
  <c r="Q3" s="1"/>
  <c r="I3"/>
  <c r="E3"/>
  <c r="AD7" i="5"/>
  <c r="AJ6"/>
  <c r="J2" i="82"/>
  <c r="W6" i="5"/>
  <c r="U6"/>
  <c r="G2" i="63"/>
  <c r="H6" i="5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B17" i="77" s="1"/>
  <c r="J9" i="63"/>
  <c r="K9" i="73"/>
  <c r="G9"/>
  <c r="C6" i="76"/>
  <c r="K4"/>
  <c r="N4" s="1"/>
  <c r="K3" i="3"/>
  <c r="C6" i="5"/>
  <c r="E6" s="1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AU6" i="5"/>
  <c r="AZ6" s="1"/>
  <c r="BC6" s="1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AZ34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3" i="76"/>
  <c r="BA33" i="7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F4" s="1"/>
  <c r="C3"/>
  <c r="W8" i="5"/>
  <c r="W7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I5" i="1"/>
  <c r="AF5"/>
  <c r="AA6" i="5"/>
  <c r="J4" i="63"/>
  <c r="AD8" i="5"/>
  <c r="U5" i="3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K6"/>
  <c r="AD9" i="5"/>
  <c r="AA8"/>
  <c r="AJ8"/>
  <c r="K4" i="82" s="1"/>
  <c r="W9" i="5"/>
  <c r="Y9"/>
  <c r="H9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AD10" i="5"/>
  <c r="AA9"/>
  <c r="AJ9"/>
  <c r="K5" i="82" s="1"/>
  <c r="W10" i="5"/>
  <c r="Y10"/>
  <c r="C10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B10"/>
  <c r="Z8" i="2"/>
  <c r="Q8"/>
  <c r="I10" i="65" s="1"/>
  <c r="M7" i="2"/>
  <c r="E6" i="82" s="1"/>
  <c r="I8" i="1"/>
  <c r="G9"/>
  <c r="AF8"/>
  <c r="X7" i="2"/>
  <c r="AA11" i="5"/>
  <c r="AJ11"/>
  <c r="C12"/>
  <c r="AS10" i="1"/>
  <c r="AQ10"/>
  <c r="AD11"/>
  <c r="R11"/>
  <c r="B11" i="7"/>
  <c r="Q9" i="2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BA11" i="5"/>
  <c r="BA12"/>
  <c r="AD12"/>
  <c r="Y15"/>
  <c r="Y14"/>
  <c r="W13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V9" i="3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D26"/>
  <c r="AD27"/>
  <c r="AD28"/>
  <c r="AD29"/>
  <c r="AD30"/>
  <c r="AD31"/>
  <c r="AD32"/>
  <c r="A36" i="76" l="1"/>
  <c r="J6" i="82"/>
  <c r="J9"/>
  <c r="J11"/>
  <c r="J8"/>
  <c r="J5"/>
  <c r="J7"/>
  <c r="J10"/>
  <c r="L4" i="76"/>
  <c r="D4"/>
  <c r="E4" s="1"/>
  <c r="AZ36" i="7"/>
  <c r="AL6" i="5"/>
  <c r="AZ9"/>
  <c r="BC9" s="1"/>
  <c r="M27" i="79"/>
  <c r="O26"/>
  <c r="K25" i="5"/>
  <c r="I25" i="79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L6" i="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H61" i="74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V5" s="1"/>
  <c r="I6" i="5"/>
  <c r="G3" i="63"/>
  <c r="AL5" i="1"/>
  <c r="D6" i="75" s="1"/>
  <c r="E6" s="1"/>
  <c r="AE3" i="2"/>
  <c r="AB5" i="1"/>
  <c r="AM5"/>
  <c r="F6" i="75" s="1"/>
  <c r="G6" s="1"/>
  <c r="P4" i="3"/>
  <c r="Q4" s="1"/>
  <c r="AK6" i="5"/>
  <c r="K2" i="82"/>
  <c r="T5" i="1"/>
  <c r="AU7" i="5"/>
  <c r="AZ7" s="1"/>
  <c r="Z3" i="3"/>
  <c r="D50" i="74"/>
  <c r="AD3" i="3"/>
  <c r="AI3" s="1"/>
  <c r="D5" i="65" s="1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V10" i="3"/>
  <c r="V11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O17" i="81"/>
  <c r="AE6" i="7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L5" i="82" l="1"/>
  <c r="R11" i="2"/>
  <c r="BC10" i="5"/>
  <c r="I4" i="3"/>
  <c r="H5"/>
  <c r="M28" i="79"/>
  <c r="O27"/>
  <c r="K26" i="5"/>
  <c r="I26" i="79"/>
  <c r="AU6" i="1"/>
  <c r="I3" i="81" s="1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AI5" i="1"/>
  <c r="AU5"/>
  <c r="I2" i="81" s="1"/>
  <c r="P5" i="3"/>
  <c r="Q5" s="1"/>
  <c r="AB3"/>
  <c r="AG4" i="2"/>
  <c r="H11" i="65"/>
  <c r="D5" i="63"/>
  <c r="O6" i="2"/>
  <c r="AU9" i="1"/>
  <c r="I6" i="81" s="1"/>
  <c r="R9" i="2"/>
  <c r="AI9" s="1"/>
  <c r="J81" i="74"/>
  <c r="AU10" i="1"/>
  <c r="I7" i="81" s="1"/>
  <c r="AE4" i="3"/>
  <c r="AF4" s="1"/>
  <c r="AG4" s="1"/>
  <c r="K8" i="81"/>
  <c r="AU11" i="1"/>
  <c r="I8" i="81" s="1"/>
  <c r="B6" i="63"/>
  <c r="B9"/>
  <c r="AI4" i="3"/>
  <c r="D6" i="65" s="1"/>
  <c r="R8" i="2"/>
  <c r="J10" i="65" s="1"/>
  <c r="F81" i="74"/>
  <c r="AA17" s="1"/>
  <c r="B81"/>
  <c r="E5" i="3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G81"/>
  <c r="AB17" s="1"/>
  <c r="K8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AB19" s="1"/>
  <c r="B14" i="77" s="1"/>
  <c r="K2" i="81"/>
  <c r="BC7" i="5"/>
  <c r="BC8"/>
  <c r="J6"/>
  <c r="L2" i="81" s="1"/>
  <c r="H5" i="75"/>
  <c r="F3" i="63"/>
  <c r="C2"/>
  <c r="D2" s="1"/>
  <c r="S4" i="76"/>
  <c r="R3" i="2"/>
  <c r="J5" i="65" s="1"/>
  <c r="E2" i="81"/>
  <c r="W5" i="1"/>
  <c r="B5" i="65"/>
  <c r="E5" s="1"/>
  <c r="H3" i="63"/>
  <c r="F6" i="65"/>
  <c r="N6" i="1"/>
  <c r="V6" s="1"/>
  <c r="AE3" i="3"/>
  <c r="AF3" s="1"/>
  <c r="AG3" s="1"/>
  <c r="O3" i="2"/>
  <c r="W3" i="7"/>
  <c r="AO3" s="1"/>
  <c r="H17" i="5"/>
  <c r="AE13" i="2"/>
  <c r="E15" i="3"/>
  <c r="F13"/>
  <c r="C14"/>
  <c r="F14" s="1"/>
  <c r="BD15" i="5"/>
  <c r="Y16"/>
  <c r="AT15" i="1"/>
  <c r="AU15" s="1"/>
  <c r="I12" i="81" s="1"/>
  <c r="AO16" i="1"/>
  <c r="AA16"/>
  <c r="Y16"/>
  <c r="AB16" s="1"/>
  <c r="L17"/>
  <c r="T15" i="2"/>
  <c r="G13"/>
  <c r="I12" i="82" s="1"/>
  <c r="N81" i="74"/>
  <c r="AA19" s="1"/>
  <c r="B15" i="77" s="1"/>
  <c r="L13" i="76"/>
  <c r="D13"/>
  <c r="E13" s="1"/>
  <c r="U12" i="3"/>
  <c r="S15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J12" i="82" l="1"/>
  <c r="W33" i="76"/>
  <c r="E14" i="77"/>
  <c r="W32" i="76"/>
  <c r="K36"/>
  <c r="O33" i="2"/>
  <c r="C14" i="65"/>
  <c r="I5" i="3"/>
  <c r="I27" i="79"/>
  <c r="K27" i="5"/>
  <c r="M29" i="79"/>
  <c r="O28"/>
  <c r="AW6" i="7"/>
  <c r="G2" i="81" s="1"/>
  <c r="F5" i="3"/>
  <c r="AB5" s="1"/>
  <c r="J11" i="65"/>
  <c r="AF7" i="7"/>
  <c r="AG7" s="1"/>
  <c r="AF14" i="5"/>
  <c r="AI14" s="1"/>
  <c r="P6" i="3"/>
  <c r="Q6" s="1"/>
  <c r="D10" i="63"/>
  <c r="AK4" i="3"/>
  <c r="AI8" i="2"/>
  <c r="AI6"/>
  <c r="E6" i="3"/>
  <c r="F5" i="63"/>
  <c r="AE5" i="3"/>
  <c r="AF5" s="1"/>
  <c r="AG5" s="1"/>
  <c r="C7"/>
  <c r="Z6"/>
  <c r="AK6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5" i="5"/>
  <c r="D12" i="65"/>
  <c r="AI11" i="3"/>
  <c r="AI12"/>
  <c r="D14" i="65" s="1"/>
  <c r="W6" i="1"/>
  <c r="AI6"/>
  <c r="AW7" i="7" s="1"/>
  <c r="B6" i="65"/>
  <c r="E6" s="1"/>
  <c r="V7" i="1"/>
  <c r="L8"/>
  <c r="AG10" i="7"/>
  <c r="AH10"/>
  <c r="V12" i="3"/>
  <c r="H18" i="5"/>
  <c r="E16" i="3"/>
  <c r="C15"/>
  <c r="AL15" i="5"/>
  <c r="Y17"/>
  <c r="AO17" i="1"/>
  <c r="AT16"/>
  <c r="AU16" s="1"/>
  <c r="I13" i="81" s="1"/>
  <c r="AA17" i="1"/>
  <c r="Y17"/>
  <c r="AB17" s="1"/>
  <c r="L18"/>
  <c r="V14" i="2"/>
  <c r="V15"/>
  <c r="T16"/>
  <c r="U13" i="3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J13" i="82" l="1"/>
  <c r="E15" i="77"/>
  <c r="H7" i="3"/>
  <c r="I6"/>
  <c r="M30" i="79"/>
  <c r="O29"/>
  <c r="I28"/>
  <c r="K28" i="5"/>
  <c r="AJ5" i="1"/>
  <c r="AK5" s="1"/>
  <c r="F6" i="3"/>
  <c r="AB6" s="1"/>
  <c r="AH7" i="7"/>
  <c r="AI7" s="1"/>
  <c r="AF15" i="5"/>
  <c r="AI15" s="1"/>
  <c r="P7" i="3"/>
  <c r="Q7" s="1"/>
  <c r="AB12"/>
  <c r="AG13" i="7"/>
  <c r="E7" i="3"/>
  <c r="C8"/>
  <c r="Z7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V13" i="3"/>
  <c r="H19" i="5"/>
  <c r="E17" i="3"/>
  <c r="C16"/>
  <c r="F16" s="1"/>
  <c r="F15"/>
  <c r="AL16" i="5"/>
  <c r="Y18"/>
  <c r="AO18" i="1"/>
  <c r="AT17"/>
  <c r="AU17" s="1"/>
  <c r="I14" i="81" s="1"/>
  <c r="AA18" i="1"/>
  <c r="Y18"/>
  <c r="AB18" s="1"/>
  <c r="L19"/>
  <c r="V16" i="2"/>
  <c r="T17"/>
  <c r="U14" i="3"/>
  <c r="S17"/>
  <c r="K14"/>
  <c r="N13"/>
  <c r="Z13"/>
  <c r="AK12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J14" i="82" l="1"/>
  <c r="O13" i="2"/>
  <c r="S14" i="76"/>
  <c r="H8" i="3"/>
  <c r="I7"/>
  <c r="I29" i="79"/>
  <c r="K29" i="5"/>
  <c r="M31" i="79"/>
  <c r="O30"/>
  <c r="AJ7" i="7"/>
  <c r="AK7" s="1"/>
  <c r="F7" i="3"/>
  <c r="AB7" s="1"/>
  <c r="AO6" i="7"/>
  <c r="AF17" i="5"/>
  <c r="AI17" s="1"/>
  <c r="AF16"/>
  <c r="AI16" s="1"/>
  <c r="P8" i="3"/>
  <c r="Q8" s="1"/>
  <c r="E8"/>
  <c r="Z8"/>
  <c r="C9"/>
  <c r="F7" i="63"/>
  <c r="AE7" i="3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L10"/>
  <c r="U9"/>
  <c r="AL9"/>
  <c r="D10" i="75" s="1"/>
  <c r="E10" s="1"/>
  <c r="AJ7" i="1"/>
  <c r="AK7" s="1"/>
  <c r="G4" i="81"/>
  <c r="V14" i="3"/>
  <c r="AK13" i="7"/>
  <c r="AL13"/>
  <c r="AM13" s="1"/>
  <c r="AL10"/>
  <c r="AM10" s="1"/>
  <c r="AK10"/>
  <c r="AB13" i="3"/>
  <c r="H20" i="5"/>
  <c r="E18" i="3"/>
  <c r="C17"/>
  <c r="Y19" i="5"/>
  <c r="AO19" i="1"/>
  <c r="AT18"/>
  <c r="AU18" s="1"/>
  <c r="I15" i="81" s="1"/>
  <c r="AA19" i="1"/>
  <c r="Y19"/>
  <c r="AB19" s="1"/>
  <c r="L20"/>
  <c r="V17" i="2"/>
  <c r="T18"/>
  <c r="U15" i="3"/>
  <c r="S18"/>
  <c r="K15"/>
  <c r="F13" i="63"/>
  <c r="AK13" i="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6" i="82" s="1"/>
  <c r="G18" i="2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J15" i="82" l="1"/>
  <c r="AN6" i="7"/>
  <c r="O14" i="2"/>
  <c r="S15" i="76"/>
  <c r="H9" i="3"/>
  <c r="I8"/>
  <c r="I30" i="79"/>
  <c r="K30" i="5"/>
  <c r="M32" i="79"/>
  <c r="O31"/>
  <c r="AL7" i="7"/>
  <c r="AM7" s="1"/>
  <c r="AO7" s="1"/>
  <c r="F8" i="3"/>
  <c r="AB8" s="1"/>
  <c r="P9"/>
  <c r="Q9" s="1"/>
  <c r="AO9" i="7"/>
  <c r="E9" i="3"/>
  <c r="F8" i="63"/>
  <c r="AE8" i="3"/>
  <c r="AF8" s="1"/>
  <c r="AG8" s="1"/>
  <c r="AK8"/>
  <c r="C11"/>
  <c r="C10"/>
  <c r="Z9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L11"/>
  <c r="U10"/>
  <c r="AL10"/>
  <c r="D11" i="75" s="1"/>
  <c r="E11" s="1"/>
  <c r="G5" i="81"/>
  <c r="AJ8" i="1"/>
  <c r="AK8" s="1"/>
  <c r="B9" i="65"/>
  <c r="E9" s="1"/>
  <c r="W9" i="1"/>
  <c r="AI9"/>
  <c r="AW10" i="7" s="1"/>
  <c r="V15" i="3"/>
  <c r="AB14"/>
  <c r="AO12" i="7"/>
  <c r="AO13"/>
  <c r="H21" i="5"/>
  <c r="E19" i="3"/>
  <c r="C18"/>
  <c r="F18" s="1"/>
  <c r="F17"/>
  <c r="Y20" i="5"/>
  <c r="AO20" i="1"/>
  <c r="AT19"/>
  <c r="AU19" s="1"/>
  <c r="I16" i="81" s="1"/>
  <c r="AA20" i="1"/>
  <c r="Y20"/>
  <c r="AB20" s="1"/>
  <c r="L21"/>
  <c r="V18" i="2"/>
  <c r="T19"/>
  <c r="S19" i="3"/>
  <c r="N15"/>
  <c r="Z15"/>
  <c r="K16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J16" i="82" l="1"/>
  <c r="S16" i="76"/>
  <c r="R15" i="2"/>
  <c r="AN7" i="7"/>
  <c r="O15" i="2"/>
  <c r="F9" i="3"/>
  <c r="AB9" s="1"/>
  <c r="H10"/>
  <c r="I9"/>
  <c r="M33" i="79"/>
  <c r="O32"/>
  <c r="I31"/>
  <c r="K31" i="5"/>
  <c r="AN14" i="7"/>
  <c r="AN12"/>
  <c r="AN13"/>
  <c r="AN10"/>
  <c r="AN9"/>
  <c r="AO8"/>
  <c r="E10" i="3"/>
  <c r="E11"/>
  <c r="F9" i="63"/>
  <c r="AE9" i="3"/>
  <c r="AF9" s="1"/>
  <c r="AG9" s="1"/>
  <c r="AK9"/>
  <c r="Z11"/>
  <c r="Z10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6" i="3"/>
  <c r="N11" i="1"/>
  <c r="V11" s="1"/>
  <c r="AL11"/>
  <c r="D12" i="75" s="1"/>
  <c r="E12" s="1"/>
  <c r="U11" i="1"/>
  <c r="W10"/>
  <c r="B10" i="65"/>
  <c r="E10" s="1"/>
  <c r="AI10" i="1"/>
  <c r="AW11" i="7" s="1"/>
  <c r="L13" i="1"/>
  <c r="L12"/>
  <c r="G6" i="81"/>
  <c r="AJ9" i="1"/>
  <c r="AK9" s="1"/>
  <c r="AB15" i="3"/>
  <c r="H22" i="5"/>
  <c r="E20" i="3"/>
  <c r="C19"/>
  <c r="Y21" i="5"/>
  <c r="AO21" i="1"/>
  <c r="AT20"/>
  <c r="AU20" s="1"/>
  <c r="I17" i="81" s="1"/>
  <c r="AA21" i="1"/>
  <c r="Y21"/>
  <c r="AB21" s="1"/>
  <c r="V19" i="2"/>
  <c r="T20"/>
  <c r="S20" i="3"/>
  <c r="AK15"/>
  <c r="F15" i="63"/>
  <c r="N16" i="3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J17" i="82" l="1"/>
  <c r="S17" i="76"/>
  <c r="R16" i="2"/>
  <c r="C12" i="65"/>
  <c r="O16" i="2"/>
  <c r="F10" i="3"/>
  <c r="AB10" s="1"/>
  <c r="H11"/>
  <c r="I10"/>
  <c r="M34" i="79"/>
  <c r="O33"/>
  <c r="K32" i="5"/>
  <c r="I32" i="79"/>
  <c r="AN11" i="7"/>
  <c r="AN8"/>
  <c r="F11" i="3"/>
  <c r="AB11" s="1"/>
  <c r="P11"/>
  <c r="Q11" s="1"/>
  <c r="AC10"/>
  <c r="F10" i="63"/>
  <c r="AE10" i="3"/>
  <c r="AF10" s="1"/>
  <c r="AG10" s="1"/>
  <c r="AK10"/>
  <c r="F11" i="63"/>
  <c r="AE11" i="3"/>
  <c r="AF11" s="1"/>
  <c r="AG11" s="1"/>
  <c r="AK11"/>
  <c r="AU18" i="5"/>
  <c r="AZ17"/>
  <c r="BC17" s="1"/>
  <c r="AB13" i="1"/>
  <c r="AM13"/>
  <c r="F14" i="75" s="1"/>
  <c r="G14" s="1"/>
  <c r="AB12" i="1"/>
  <c r="AM12"/>
  <c r="AO15" i="7"/>
  <c r="V17" i="3"/>
  <c r="AB16"/>
  <c r="AJ10" i="1"/>
  <c r="AK10" s="1"/>
  <c r="G7" i="81"/>
  <c r="B11" i="65"/>
  <c r="E11" s="1"/>
  <c r="W11" i="1"/>
  <c r="AI11"/>
  <c r="AW12" i="7" s="1"/>
  <c r="AL12" i="1"/>
  <c r="U12"/>
  <c r="N12"/>
  <c r="V12" s="1"/>
  <c r="AL13"/>
  <c r="D14" i="75" s="1"/>
  <c r="E14" s="1"/>
  <c r="U13" i="1"/>
  <c r="AL20" i="5"/>
  <c r="H23"/>
  <c r="E21" i="3"/>
  <c r="F19"/>
  <c r="C20"/>
  <c r="F20" s="1"/>
  <c r="Y22" i="5"/>
  <c r="AO22" i="1"/>
  <c r="AT21"/>
  <c r="AU21" s="1"/>
  <c r="I18" i="81" s="1"/>
  <c r="AA22" i="1"/>
  <c r="Y22"/>
  <c r="AB22" s="1"/>
  <c r="L23"/>
  <c r="V20" i="2"/>
  <c r="T21"/>
  <c r="S21" i="3"/>
  <c r="K18"/>
  <c r="Z17"/>
  <c r="N17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N17" i="2"/>
  <c r="R17" s="1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J18" i="82" l="1"/>
  <c r="F13" i="75"/>
  <c r="G13" s="1"/>
  <c r="D13"/>
  <c r="E13" s="1"/>
  <c r="O17" i="2"/>
  <c r="S18" i="76"/>
  <c r="H12" i="3"/>
  <c r="I11"/>
  <c r="M35" i="79"/>
  <c r="M36" s="1"/>
  <c r="O36" s="1"/>
  <c r="O34"/>
  <c r="K33" i="5"/>
  <c r="I33" i="79"/>
  <c r="AN15" i="7"/>
  <c r="P12" i="3"/>
  <c r="Q12" s="1"/>
  <c r="AH10"/>
  <c r="AU19" i="5"/>
  <c r="AZ18"/>
  <c r="BC18" s="1"/>
  <c r="V18" i="3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C21" i="3"/>
  <c r="Y23" i="5"/>
  <c r="AT22" i="1"/>
  <c r="AO23"/>
  <c r="AA23"/>
  <c r="Y23"/>
  <c r="AB23" s="1"/>
  <c r="L24"/>
  <c r="Y14" i="7"/>
  <c r="AR14" s="1"/>
  <c r="V21" i="2"/>
  <c r="T22"/>
  <c r="S22" i="3"/>
  <c r="N18"/>
  <c r="Z18"/>
  <c r="AE18" s="1"/>
  <c r="AF18" s="1"/>
  <c r="AG18" s="1"/>
  <c r="F17" i="63"/>
  <c r="AK17" i="3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M20" i="2"/>
  <c r="E19" i="82" s="1"/>
  <c r="K21" i="2"/>
  <c r="F20" i="82" s="1"/>
  <c r="I21" i="2"/>
  <c r="G20" i="82" s="1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J19" i="82" l="1"/>
  <c r="O18" i="2"/>
  <c r="S19" i="76"/>
  <c r="I12" i="3"/>
  <c r="H13"/>
  <c r="O35" i="79"/>
  <c r="I34"/>
  <c r="AN16" i="7"/>
  <c r="P13" i="3"/>
  <c r="Q13" s="1"/>
  <c r="AU20" i="5"/>
  <c r="AZ19"/>
  <c r="BC19" s="1"/>
  <c r="X14" i="7"/>
  <c r="V19" i="3"/>
  <c r="AB18"/>
  <c r="G9" i="81"/>
  <c r="AJ12" i="1"/>
  <c r="AK12" s="1"/>
  <c r="N14"/>
  <c r="V14" s="1"/>
  <c r="B13" i="65"/>
  <c r="E13" s="1"/>
  <c r="W13" i="1"/>
  <c r="AI13"/>
  <c r="AW14" i="7" s="1"/>
  <c r="Y7"/>
  <c r="AR7" s="1"/>
  <c r="H25" i="5"/>
  <c r="C22" i="3"/>
  <c r="F22" s="1"/>
  <c r="F21"/>
  <c r="AL22" i="5"/>
  <c r="Y24"/>
  <c r="AO24" i="1"/>
  <c r="AU22"/>
  <c r="I19" i="81" s="1"/>
  <c r="AT23" i="1"/>
  <c r="AU23" s="1"/>
  <c r="I20" i="81" s="1"/>
  <c r="AA24" i="1"/>
  <c r="Y24"/>
  <c r="AB24" s="1"/>
  <c r="L25"/>
  <c r="V22" i="2"/>
  <c r="T23"/>
  <c r="U20" i="3"/>
  <c r="S23"/>
  <c r="K20"/>
  <c r="F18" i="63"/>
  <c r="AK18" i="3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J20" i="82" l="1"/>
  <c r="AI14" i="1"/>
  <c r="AW15" i="7" s="1"/>
  <c r="O19" i="2"/>
  <c r="S20" i="76"/>
  <c r="I13" i="3"/>
  <c r="H14"/>
  <c r="L36" i="5"/>
  <c r="AK36" s="1"/>
  <c r="I35" i="79"/>
  <c r="AN17" i="7"/>
  <c r="P14" i="3"/>
  <c r="Y9" i="7"/>
  <c r="AR9" s="1"/>
  <c r="AU21" i="5"/>
  <c r="AZ20"/>
  <c r="BC20" s="1"/>
  <c r="Y11" i="7"/>
  <c r="AR11" s="1"/>
  <c r="AS12" s="1"/>
  <c r="V20" i="3"/>
  <c r="AB19"/>
  <c r="N15" i="1"/>
  <c r="V15" s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Y10"/>
  <c r="AR10" s="1"/>
  <c r="H26" i="5"/>
  <c r="C23" i="3"/>
  <c r="F23" s="1"/>
  <c r="Y25" i="5"/>
  <c r="AO25" i="1"/>
  <c r="AA25"/>
  <c r="Y25"/>
  <c r="AB25" s="1"/>
  <c r="L26"/>
  <c r="AO18" i="7"/>
  <c r="Y15"/>
  <c r="AR15" s="1"/>
  <c r="AS15" s="1"/>
  <c r="V23" i="2"/>
  <c r="T24"/>
  <c r="U21" i="3"/>
  <c r="S24"/>
  <c r="Z20"/>
  <c r="N20"/>
  <c r="AK19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AM23"/>
  <c r="F24" i="75" s="1"/>
  <c r="G24" s="1"/>
  <c r="AG23" i="1"/>
  <c r="AD24"/>
  <c r="R24"/>
  <c r="S25"/>
  <c r="T25" s="1"/>
  <c r="I26"/>
  <c r="AL23"/>
  <c r="U23"/>
  <c r="J23"/>
  <c r="G24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E21" i="2"/>
  <c r="H19" i="82"/>
  <c r="N20" i="2"/>
  <c r="R20" s="1"/>
  <c r="AI18"/>
  <c r="J20" i="65"/>
  <c r="C18" i="63"/>
  <c r="D18" s="1"/>
  <c r="E18" i="81"/>
  <c r="AQ7" i="7"/>
  <c r="X12"/>
  <c r="Y6"/>
  <c r="AR6" s="1"/>
  <c r="J21" i="82" l="1"/>
  <c r="AS10" i="7"/>
  <c r="AS13"/>
  <c r="AS14"/>
  <c r="AX14" s="1"/>
  <c r="AS11"/>
  <c r="C24" i="65"/>
  <c r="D24" i="75"/>
  <c r="E24" s="1"/>
  <c r="AS9" i="7"/>
  <c r="AS7"/>
  <c r="AX12"/>
  <c r="O20" i="2"/>
  <c r="S21" i="76"/>
  <c r="Q14" i="3"/>
  <c r="Q18"/>
  <c r="I14"/>
  <c r="H15"/>
  <c r="AX15" i="7"/>
  <c r="X13"/>
  <c r="X10"/>
  <c r="BC10"/>
  <c r="AN18"/>
  <c r="BC8"/>
  <c r="P15" i="3"/>
  <c r="Q15" s="1"/>
  <c r="X9" i="7"/>
  <c r="X15"/>
  <c r="AB20" i="3"/>
  <c r="AU22" i="5"/>
  <c r="AZ21"/>
  <c r="BC21" s="1"/>
  <c r="X11" i="7"/>
  <c r="V21" i="3"/>
  <c r="B15" i="65"/>
  <c r="E15" s="1"/>
  <c r="AI15" i="1"/>
  <c r="AW16" i="7" s="1"/>
  <c r="W15" i="1"/>
  <c r="N16"/>
  <c r="V16" s="1"/>
  <c r="AJ14"/>
  <c r="AK14" s="1"/>
  <c r="G11" i="81"/>
  <c r="X8" i="7"/>
  <c r="AO19"/>
  <c r="H27" i="5"/>
  <c r="C24" i="3"/>
  <c r="F24" s="1"/>
  <c r="Y26" i="5"/>
  <c r="AT25" i="1"/>
  <c r="AU25" s="1"/>
  <c r="I22" i="81" s="1"/>
  <c r="AO26" i="1"/>
  <c r="AA26"/>
  <c r="Y26"/>
  <c r="AB26" s="1"/>
  <c r="L27"/>
  <c r="V24" i="2"/>
  <c r="T25"/>
  <c r="U22" i="3"/>
  <c r="S25"/>
  <c r="K22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R21" s="1"/>
  <c r="H20" i="82"/>
  <c r="J21" i="65"/>
  <c r="AI19" i="2"/>
  <c r="E22"/>
  <c r="C19" i="63"/>
  <c r="D19" s="1"/>
  <c r="E19" i="81"/>
  <c r="AQ15" i="7"/>
  <c r="BC15"/>
  <c r="X6"/>
  <c r="AQ6"/>
  <c r="AQ9"/>
  <c r="AQ12"/>
  <c r="AQ11"/>
  <c r="BC12"/>
  <c r="J22" i="82" l="1"/>
  <c r="O21" i="2"/>
  <c r="S22" i="76"/>
  <c r="I15" i="3"/>
  <c r="H16"/>
  <c r="AQ8" i="7"/>
  <c r="BC9"/>
  <c r="AX8"/>
  <c r="AY8" s="1"/>
  <c r="AX9"/>
  <c r="Q7" i="76" s="1"/>
  <c r="AN19" i="7"/>
  <c r="P16" i="3"/>
  <c r="Q16" s="1"/>
  <c r="V22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Y16"/>
  <c r="AR16" s="1"/>
  <c r="C25" i="3"/>
  <c r="F25" s="1"/>
  <c r="Y27" i="5"/>
  <c r="AO27" i="1"/>
  <c r="AA27"/>
  <c r="Y27"/>
  <c r="AB27" s="1"/>
  <c r="L28"/>
  <c r="V25" i="2"/>
  <c r="T26"/>
  <c r="U23" i="3"/>
  <c r="S26"/>
  <c r="AK21"/>
  <c r="F21" i="63"/>
  <c r="K23" i="3"/>
  <c r="N22"/>
  <c r="Z22"/>
  <c r="AE22" s="1"/>
  <c r="AF22" s="1"/>
  <c r="AG22" s="1"/>
  <c r="AE21"/>
  <c r="AF21" s="1"/>
  <c r="AG21" s="1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AD26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AY15" i="7"/>
  <c r="Q13" i="76"/>
  <c r="BC6" i="7"/>
  <c r="AX7"/>
  <c r="AY12"/>
  <c r="Q10" i="76"/>
  <c r="J23" i="82" l="1"/>
  <c r="C26" i="65"/>
  <c r="O22" i="2"/>
  <c r="S23" i="76"/>
  <c r="I16" i="3"/>
  <c r="H17"/>
  <c r="Q6" i="76"/>
  <c r="AY9" i="7"/>
  <c r="AN20"/>
  <c r="X16"/>
  <c r="AL26" i="5"/>
  <c r="P17" i="3"/>
  <c r="Q17" s="1"/>
  <c r="Q9" i="76"/>
  <c r="AB22" i="3"/>
  <c r="AU24" i="5"/>
  <c r="AZ23"/>
  <c r="BC23" s="1"/>
  <c r="AY10" i="7"/>
  <c r="AY13"/>
  <c r="V23" i="3"/>
  <c r="AI17" i="1"/>
  <c r="AW18" i="7" s="1"/>
  <c r="B17" i="65"/>
  <c r="E17" s="1"/>
  <c r="N18" i="1"/>
  <c r="V18" s="1"/>
  <c r="AJ16"/>
  <c r="AK16" s="1"/>
  <c r="G13" i="81"/>
  <c r="AO21" i="7"/>
  <c r="Y17"/>
  <c r="AR17" s="1"/>
  <c r="H29" i="5"/>
  <c r="E27" i="3"/>
  <c r="C26"/>
  <c r="F26" s="1"/>
  <c r="Y28" i="5"/>
  <c r="AO28" i="1"/>
  <c r="AT27"/>
  <c r="AU27" s="1"/>
  <c r="I24" i="81" s="1"/>
  <c r="AA28" i="1"/>
  <c r="Y28"/>
  <c r="AB28" s="1"/>
  <c r="L29"/>
  <c r="V26" i="2"/>
  <c r="T27"/>
  <c r="S27" i="3"/>
  <c r="K24"/>
  <c r="Z23"/>
  <c r="AE23" s="1"/>
  <c r="AF23" s="1"/>
  <c r="AG23" s="1"/>
  <c r="N23"/>
  <c r="AK22"/>
  <c r="F22" i="63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G27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J24" i="82" l="1"/>
  <c r="D27" i="75"/>
  <c r="E27" s="1"/>
  <c r="O23" i="2"/>
  <c r="S24" i="76"/>
  <c r="I17" i="3"/>
  <c r="H18"/>
  <c r="I25"/>
  <c r="AN21" i="7"/>
  <c r="P18" i="3"/>
  <c r="P19" s="1"/>
  <c r="Q19" s="1"/>
  <c r="AU25" i="5"/>
  <c r="AZ24"/>
  <c r="BC24" s="1"/>
  <c r="X17" i="7"/>
  <c r="V24" i="3"/>
  <c r="AB23"/>
  <c r="G14" i="81"/>
  <c r="AJ17" i="1"/>
  <c r="AK17" s="1"/>
  <c r="B18" i="65"/>
  <c r="E18" s="1"/>
  <c r="AI18" i="1"/>
  <c r="AW19" i="7" s="1"/>
  <c r="N19" i="1"/>
  <c r="V19" s="1"/>
  <c r="H30" i="5"/>
  <c r="AO22" i="7"/>
  <c r="E28" i="3"/>
  <c r="C27"/>
  <c r="F27" s="1"/>
  <c r="Y29" i="5"/>
  <c r="AO29" i="1"/>
  <c r="AT28"/>
  <c r="AU28" s="1"/>
  <c r="I25" i="81" s="1"/>
  <c r="AA29" i="1"/>
  <c r="Y29"/>
  <c r="AB29" s="1"/>
  <c r="L30"/>
  <c r="Y18" i="7"/>
  <c r="AR18" s="1"/>
  <c r="V27" i="2"/>
  <c r="T28"/>
  <c r="S28" i="3"/>
  <c r="K25"/>
  <c r="N24"/>
  <c r="Z24"/>
  <c r="AE24" s="1"/>
  <c r="AF24" s="1"/>
  <c r="AG24" s="1"/>
  <c r="F23" i="63"/>
  <c r="AK23" i="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J25" i="82" l="1"/>
  <c r="O24" i="2"/>
  <c r="S25" i="76"/>
  <c r="I18" i="3"/>
  <c r="H19"/>
  <c r="I26"/>
  <c r="X18" i="7"/>
  <c r="AN22"/>
  <c r="P20" i="3"/>
  <c r="Q20" s="1"/>
  <c r="AU26" i="5"/>
  <c r="AZ25"/>
  <c r="BC25" s="1"/>
  <c r="V25" i="3"/>
  <c r="AB24"/>
  <c r="AJ18" i="1"/>
  <c r="AK18" s="1"/>
  <c r="G15" i="81"/>
  <c r="B19" i="65"/>
  <c r="E19" s="1"/>
  <c r="AI19" i="1"/>
  <c r="AW20" i="7" s="1"/>
  <c r="N20" i="1"/>
  <c r="V20" s="1"/>
  <c r="H31" i="5"/>
  <c r="E29" i="3"/>
  <c r="C28"/>
  <c r="F28" s="1"/>
  <c r="Y30" i="5"/>
  <c r="AO30" i="1"/>
  <c r="AT29"/>
  <c r="AU29" s="1"/>
  <c r="I26" i="81" s="1"/>
  <c r="AA30" i="1"/>
  <c r="Y30"/>
  <c r="AB30" s="1"/>
  <c r="L31"/>
  <c r="V28" i="2"/>
  <c r="T29"/>
  <c r="U26" i="3"/>
  <c r="S29"/>
  <c r="K26"/>
  <c r="Z25"/>
  <c r="N25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J26" i="82" l="1"/>
  <c r="S26" i="76"/>
  <c r="O25" i="2"/>
  <c r="I19" i="3"/>
  <c r="H20"/>
  <c r="I27"/>
  <c r="AN23" i="7"/>
  <c r="P21" i="3"/>
  <c r="Q21" s="1"/>
  <c r="AU27" i="5"/>
  <c r="AZ26"/>
  <c r="BC26" s="1"/>
  <c r="V26" i="3"/>
  <c r="AB25"/>
  <c r="N21" i="1"/>
  <c r="V21" s="1"/>
  <c r="AI20"/>
  <c r="AW21" i="7" s="1"/>
  <c r="B20" i="65"/>
  <c r="E20" s="1"/>
  <c r="G16" i="81"/>
  <c r="AJ19" i="1"/>
  <c r="AK19" s="1"/>
  <c r="AO24" i="7"/>
  <c r="H32" i="5"/>
  <c r="AT30" i="1"/>
  <c r="AU30" s="1"/>
  <c r="I27" i="81" s="1"/>
  <c r="E30" i="3"/>
  <c r="C29"/>
  <c r="F29" s="1"/>
  <c r="Y31" i="5"/>
  <c r="AO31" i="1"/>
  <c r="AA31"/>
  <c r="Y31"/>
  <c r="AB31" s="1"/>
  <c r="L32"/>
  <c r="V29" i="2"/>
  <c r="T30"/>
  <c r="U27" i="3"/>
  <c r="S30"/>
  <c r="N26"/>
  <c r="Z26"/>
  <c r="AE26" s="1"/>
  <c r="AF26" s="1"/>
  <c r="AG26" s="1"/>
  <c r="K27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O26" i="2" l="1"/>
  <c r="S27" i="76"/>
  <c r="H21" i="3"/>
  <c r="I20"/>
  <c r="J27" i="82"/>
  <c r="I28" i="3"/>
  <c r="AN24" i="7"/>
  <c r="X20"/>
  <c r="P22" i="3"/>
  <c r="Q22" s="1"/>
  <c r="AU28" i="5"/>
  <c r="AZ27"/>
  <c r="BC27" s="1"/>
  <c r="V27" i="3"/>
  <c r="AB26"/>
  <c r="AI21" i="1"/>
  <c r="AW22" i="7" s="1"/>
  <c r="B21" i="65"/>
  <c r="E21" s="1"/>
  <c r="N22" i="1"/>
  <c r="V22" s="1"/>
  <c r="G17" i="81"/>
  <c r="AJ20" i="1"/>
  <c r="AK20" s="1"/>
  <c r="AT31"/>
  <c r="AU31" s="1"/>
  <c r="H33" i="5"/>
  <c r="E31" i="3"/>
  <c r="C30"/>
  <c r="F30" s="1"/>
  <c r="Y32" i="5"/>
  <c r="AA32" i="1"/>
  <c r="Y32"/>
  <c r="AB32" s="1"/>
  <c r="L33"/>
  <c r="V30" i="2"/>
  <c r="T31"/>
  <c r="U28" i="3"/>
  <c r="S31"/>
  <c r="F26" i="63"/>
  <c r="AK26" i="3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G31" i="2"/>
  <c r="I30" i="82" s="1"/>
  <c r="E28" i="2"/>
  <c r="N27"/>
  <c r="R27" s="1"/>
  <c r="H26" i="82"/>
  <c r="E25" i="81"/>
  <c r="C25" i="63"/>
  <c r="D25" s="1"/>
  <c r="J27" i="65"/>
  <c r="AI25" i="2"/>
  <c r="O27" l="1"/>
  <c r="S28" i="76"/>
  <c r="I21" i="3"/>
  <c r="H22"/>
  <c r="J28" i="82"/>
  <c r="I29" i="3"/>
  <c r="AN25" i="7"/>
  <c r="P23" i="3"/>
  <c r="AU29" i="5"/>
  <c r="AZ28"/>
  <c r="BC28" s="1"/>
  <c r="AB27" i="3"/>
  <c r="V28"/>
  <c r="G18" i="81"/>
  <c r="AJ21" i="1"/>
  <c r="AK21" s="1"/>
  <c r="N23"/>
  <c r="V23" s="1"/>
  <c r="B22" i="65"/>
  <c r="E22" s="1"/>
  <c r="AI22" i="1"/>
  <c r="AW23" i="7" s="1"/>
  <c r="Y22"/>
  <c r="AR22" s="1"/>
  <c r="H34" i="5"/>
  <c r="AT32" i="1"/>
  <c r="AU32" s="1"/>
  <c r="I29" i="81" s="1"/>
  <c r="E32" i="3"/>
  <c r="C31"/>
  <c r="F31" s="1"/>
  <c r="Y33" i="5"/>
  <c r="AO33" i="1"/>
  <c r="AA33"/>
  <c r="Y33"/>
  <c r="AB33" s="1"/>
  <c r="X21" i="7"/>
  <c r="V31" i="2"/>
  <c r="T32"/>
  <c r="U29" i="3"/>
  <c r="S32"/>
  <c r="F27" i="63"/>
  <c r="AK27" i="3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4" i="1"/>
  <c r="AQ33"/>
  <c r="I28" i="81"/>
  <c r="AF32" i="1"/>
  <c r="AH32" s="1"/>
  <c r="C32" i="65" s="1"/>
  <c r="AD32" i="1"/>
  <c r="AG31"/>
  <c r="AM31"/>
  <c r="F32" i="75" s="1"/>
  <c r="G32" s="1"/>
  <c r="R32" i="1"/>
  <c r="S33"/>
  <c r="I34"/>
  <c r="G32"/>
  <c r="U32" s="1"/>
  <c r="J31"/>
  <c r="U31"/>
  <c r="AL31"/>
  <c r="D32" i="75" s="1"/>
  <c r="E32" s="1"/>
  <c r="D33" i="1"/>
  <c r="E33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K31" i="2"/>
  <c r="F30" i="82" s="1"/>
  <c r="I31" i="2"/>
  <c r="G30" i="82" s="1"/>
  <c r="G32" i="2"/>
  <c r="I31" i="82" s="1"/>
  <c r="E29" i="2"/>
  <c r="N28"/>
  <c r="R28" s="1"/>
  <c r="H27" i="82"/>
  <c r="C26" i="63"/>
  <c r="D26" s="1"/>
  <c r="E26" i="81"/>
  <c r="J28" i="65"/>
  <c r="AI26" i="2"/>
  <c r="O28" l="1"/>
  <c r="S29" i="76"/>
  <c r="P24" i="3"/>
  <c r="Q24" s="1"/>
  <c r="Q23"/>
  <c r="I22"/>
  <c r="H23"/>
  <c r="J29" i="82"/>
  <c r="I30" i="3"/>
  <c r="AN26" i="7"/>
  <c r="T33" i="1"/>
  <c r="V29" i="3"/>
  <c r="AB28"/>
  <c r="AU30" i="5"/>
  <c r="AZ29"/>
  <c r="BC29" s="1"/>
  <c r="AI23" i="1"/>
  <c r="AW24" i="7" s="1"/>
  <c r="B23" i="65"/>
  <c r="E23" s="1"/>
  <c r="N24" i="1"/>
  <c r="V24" s="1"/>
  <c r="AJ22"/>
  <c r="AK22" s="1"/>
  <c r="G19" i="81"/>
  <c r="X22" i="7"/>
  <c r="H35" i="5"/>
  <c r="D1"/>
  <c r="AT33" i="1"/>
  <c r="AU33" s="1"/>
  <c r="AO27" i="7"/>
  <c r="C32" i="3"/>
  <c r="F32" s="1"/>
  <c r="Y34" i="5"/>
  <c r="AO34" i="1"/>
  <c r="AA34"/>
  <c r="Y34"/>
  <c r="AB34" s="1"/>
  <c r="Y23" i="7"/>
  <c r="AR23" s="1"/>
  <c r="V32" i="2"/>
  <c r="U30" i="3"/>
  <c r="K30"/>
  <c r="F28" i="63"/>
  <c r="AK28" i="3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4" i="1"/>
  <c r="AF33"/>
  <c r="AH33" s="1"/>
  <c r="C33" i="65" s="1"/>
  <c r="AD33" i="1"/>
  <c r="AM32"/>
  <c r="F33" i="75" s="1"/>
  <c r="G33" s="1"/>
  <c r="AG32" i="1"/>
  <c r="R33"/>
  <c r="S34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M31" i="2"/>
  <c r="E30" i="82" s="1"/>
  <c r="K32" i="2"/>
  <c r="F31" i="82" s="1"/>
  <c r="I32" i="2"/>
  <c r="G31" i="82" s="1"/>
  <c r="J29" i="65"/>
  <c r="AI27" i="2"/>
  <c r="N29"/>
  <c r="R29" s="1"/>
  <c r="H28" i="82"/>
  <c r="E30" i="2"/>
  <c r="C27" i="63"/>
  <c r="D27" s="1"/>
  <c r="E27" i="81"/>
  <c r="J30" i="82" l="1"/>
  <c r="O29" i="2"/>
  <c r="S30" i="76"/>
  <c r="I23" i="3"/>
  <c r="I24"/>
  <c r="I31"/>
  <c r="AN27" i="7"/>
  <c r="P25" i="3"/>
  <c r="Q25" s="1"/>
  <c r="T34" i="1"/>
  <c r="AB29" i="3"/>
  <c r="H37" i="5"/>
  <c r="B7" i="77" s="1"/>
  <c r="AU31" i="5"/>
  <c r="AZ30"/>
  <c r="BC30" s="1"/>
  <c r="V30" i="3"/>
  <c r="N25" i="1"/>
  <c r="V25" s="1"/>
  <c r="B24" i="65"/>
  <c r="E24" s="1"/>
  <c r="AI24" i="1"/>
  <c r="AW25" i="7" s="1"/>
  <c r="AJ23" i="1"/>
  <c r="AK23" s="1"/>
  <c r="G20" i="81"/>
  <c r="Y24" i="7"/>
  <c r="AR24" s="1"/>
  <c r="AT34" i="1"/>
  <c r="Y35" i="5"/>
  <c r="X23" i="7"/>
  <c r="N36" i="76"/>
  <c r="U31" i="3"/>
  <c r="S35"/>
  <c r="Z30"/>
  <c r="AE30" s="1"/>
  <c r="AF30" s="1"/>
  <c r="AG30" s="1"/>
  <c r="N30"/>
  <c r="K31"/>
  <c r="F29" i="63"/>
  <c r="AK29" i="3"/>
  <c r="BA35" i="5"/>
  <c r="AJ34"/>
  <c r="K30" i="82" s="1"/>
  <c r="AA34" i="5"/>
  <c r="AL33"/>
  <c r="W34"/>
  <c r="U35"/>
  <c r="C35"/>
  <c r="E35" s="1"/>
  <c r="D34"/>
  <c r="I34"/>
  <c r="G31" i="63"/>
  <c r="K29" i="81"/>
  <c r="J33" i="5"/>
  <c r="L29" i="81" s="1"/>
  <c r="I30"/>
  <c r="AF34" i="1"/>
  <c r="AH34" s="1"/>
  <c r="AM33"/>
  <c r="F34" i="75" s="1"/>
  <c r="G34" s="1"/>
  <c r="AG33" i="1"/>
  <c r="AD34"/>
  <c r="R34"/>
  <c r="J33"/>
  <c r="AL33"/>
  <c r="D34" i="75" s="1"/>
  <c r="E34" s="1"/>
  <c r="G34" i="1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M32" i="2"/>
  <c r="E31" i="82" s="1"/>
  <c r="C28" i="63"/>
  <c r="D28" s="1"/>
  <c r="E28" i="81"/>
  <c r="N30" i="2"/>
  <c r="R30" s="1"/>
  <c r="H29" i="82"/>
  <c r="E31" i="2"/>
  <c r="J30" i="65"/>
  <c r="AI28" i="2"/>
  <c r="J31" i="82" l="1"/>
  <c r="C34" i="65"/>
  <c r="AH36" i="1"/>
  <c r="BD35" i="5"/>
  <c r="BD36"/>
  <c r="AU34" i="1"/>
  <c r="I31" i="81" s="1"/>
  <c r="AU35" i="1"/>
  <c r="I32" i="81" s="1"/>
  <c r="O30" i="2"/>
  <c r="S31" i="76"/>
  <c r="I32" i="3"/>
  <c r="X24" i="7"/>
  <c r="AN28"/>
  <c r="P26" i="3"/>
  <c r="Q26" s="1"/>
  <c r="V31"/>
  <c r="AU32" i="5"/>
  <c r="AZ31"/>
  <c r="BC31" s="1"/>
  <c r="AB30" i="3"/>
  <c r="U37" i="5"/>
  <c r="B25" i="65"/>
  <c r="E25" s="1"/>
  <c r="AI25" i="1"/>
  <c r="AW26" i="7" s="1"/>
  <c r="AJ24" i="1"/>
  <c r="AK24" s="1"/>
  <c r="G21" i="81"/>
  <c r="N26" i="1"/>
  <c r="V26" s="1"/>
  <c r="AO29" i="7"/>
  <c r="Y25"/>
  <c r="AR25" s="1"/>
  <c r="C35" i="3"/>
  <c r="Y37" i="5"/>
  <c r="M36" i="76"/>
  <c r="U32" i="3"/>
  <c r="AC30"/>
  <c r="AH30" s="1"/>
  <c r="F30" i="63"/>
  <c r="AK30" i="3"/>
  <c r="K32"/>
  <c r="N31"/>
  <c r="Z31"/>
  <c r="AJ35" i="5"/>
  <c r="K31" i="82" s="1"/>
  <c r="AA35" i="5"/>
  <c r="AL34"/>
  <c r="W35"/>
  <c r="D35"/>
  <c r="D39" s="1"/>
  <c r="I35"/>
  <c r="C37"/>
  <c r="K30" i="81"/>
  <c r="J34" i="5"/>
  <c r="L30" i="81" s="1"/>
  <c r="AM34" i="1"/>
  <c r="AG34"/>
  <c r="AL34"/>
  <c r="J34"/>
  <c r="J36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C29" i="63"/>
  <c r="D29" s="1"/>
  <c r="E29" i="81"/>
  <c r="N31" i="2"/>
  <c r="R31" s="1"/>
  <c r="H30" i="82"/>
  <c r="E32" i="2"/>
  <c r="AG32" l="1"/>
  <c r="F35" i="75"/>
  <c r="G35" s="1"/>
  <c r="AM36" i="1"/>
  <c r="D35" i="75"/>
  <c r="E35" s="1"/>
  <c r="AL36" i="1"/>
  <c r="AN29" i="7"/>
  <c r="O31" i="2"/>
  <c r="S32" i="76"/>
  <c r="F4" i="77"/>
  <c r="AB31" i="3"/>
  <c r="P27"/>
  <c r="Q27" s="1"/>
  <c r="I37" i="5"/>
  <c r="E38"/>
  <c r="AU33"/>
  <c r="AZ32"/>
  <c r="BC32" s="1"/>
  <c r="V32" i="3"/>
  <c r="X25" i="7"/>
  <c r="B26" i="65"/>
  <c r="E26" s="1"/>
  <c r="AI26" i="1"/>
  <c r="AW27" i="7" s="1"/>
  <c r="N27" i="1"/>
  <c r="V27" s="1"/>
  <c r="AJ25"/>
  <c r="AK25" s="1"/>
  <c r="G22" i="81"/>
  <c r="AU36" i="1"/>
  <c r="Y26" i="7"/>
  <c r="AR26" s="1"/>
  <c r="AO30"/>
  <c r="L36" i="76"/>
  <c r="AK31" i="3"/>
  <c r="F31" i="63"/>
  <c r="AC31" i="3"/>
  <c r="Z32"/>
  <c r="N32"/>
  <c r="AE31"/>
  <c r="AF31" s="1"/>
  <c r="AG31" s="1"/>
  <c r="AL35" i="5"/>
  <c r="K31" i="81"/>
  <c r="J35" i="5"/>
  <c r="L31" i="81" s="1"/>
  <c r="B6" i="77"/>
  <c r="C38" i="5"/>
  <c r="H39" s="1"/>
  <c r="D37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V27"/>
  <c r="W27" s="1"/>
  <c r="U27"/>
  <c r="S28"/>
  <c r="T28"/>
  <c r="AI32" i="3"/>
  <c r="D34" i="65" s="1"/>
  <c r="H31" i="82"/>
  <c r="N32" i="2"/>
  <c r="R32" s="1"/>
  <c r="AI30"/>
  <c r="J32" i="65"/>
  <c r="E30" i="81"/>
  <c r="C30" i="63"/>
  <c r="D30" s="1"/>
  <c r="G39" i="5" l="1"/>
  <c r="AU38" i="1"/>
  <c r="O32" i="2"/>
  <c r="S33" i="76"/>
  <c r="X26" i="7"/>
  <c r="AN30"/>
  <c r="P28" i="3"/>
  <c r="I38" i="5"/>
  <c r="I36" i="76"/>
  <c r="AU34" i="5"/>
  <c r="AZ33"/>
  <c r="BC33" s="1"/>
  <c r="AB32" i="3"/>
  <c r="D38" i="73"/>
  <c r="B16" i="77" s="1"/>
  <c r="E8"/>
  <c r="G8" s="1"/>
  <c r="G36" i="76"/>
  <c r="C36"/>
  <c r="K37" s="1"/>
  <c r="AL37" i="5"/>
  <c r="AO31" i="7"/>
  <c r="B27" i="65"/>
  <c r="E27" s="1"/>
  <c r="AI27" i="1"/>
  <c r="AW28" i="7" s="1"/>
  <c r="G23" i="81"/>
  <c r="AJ26" i="1"/>
  <c r="AK26" s="1"/>
  <c r="N28"/>
  <c r="V28" s="1"/>
  <c r="AH31" i="3"/>
  <c r="AK32"/>
  <c r="AC32"/>
  <c r="K35"/>
  <c r="U34" s="1"/>
  <c r="W31" i="76" s="1"/>
  <c r="AE32" i="3"/>
  <c r="AF32" s="1"/>
  <c r="AG32" s="1"/>
  <c r="AJ37" i="5"/>
  <c r="D6" i="77"/>
  <c r="G6"/>
  <c r="AJ39" i="5"/>
  <c r="AM39" s="1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AI32" i="2"/>
  <c r="E31" i="81"/>
  <c r="C31" i="63"/>
  <c r="D31" s="1"/>
  <c r="J33" i="65"/>
  <c r="AI31" i="2"/>
  <c r="AN31" i="7" l="1"/>
  <c r="Z38" i="5"/>
  <c r="P29" i="3"/>
  <c r="Q28"/>
  <c r="E16" i="77"/>
  <c r="X31" i="76"/>
  <c r="AU35" i="5"/>
  <c r="AU36" s="1"/>
  <c r="AZ36" s="1"/>
  <c r="AZ34"/>
  <c r="BC34" s="1"/>
  <c r="E6" i="77"/>
  <c r="F7"/>
  <c r="G37" i="76"/>
  <c r="AD28" s="1"/>
  <c r="AD26"/>
  <c r="I37"/>
  <c r="AD27" s="1"/>
  <c r="E9" i="77"/>
  <c r="G9" s="1"/>
  <c r="N29" i="1"/>
  <c r="V29" s="1"/>
  <c r="AI28"/>
  <c r="AW29" i="7" s="1"/>
  <c r="B28" i="65"/>
  <c r="E28" s="1"/>
  <c r="K39" i="5"/>
  <c r="F8" i="77"/>
  <c r="Z34" i="3"/>
  <c r="B18" i="77" s="1"/>
  <c r="AH32" i="3"/>
  <c r="AG35" i="7"/>
  <c r="AH35"/>
  <c r="AK33"/>
  <c r="AL33"/>
  <c r="AM33" s="1"/>
  <c r="AJ34"/>
  <c r="AI34"/>
  <c r="AO32"/>
  <c r="Y28"/>
  <c r="AR28" s="1"/>
  <c r="X27"/>
  <c r="M33"/>
  <c r="N33"/>
  <c r="K34"/>
  <c r="L34"/>
  <c r="R31"/>
  <c r="Q31"/>
  <c r="P32"/>
  <c r="O32"/>
  <c r="I35"/>
  <c r="J35"/>
  <c r="V29"/>
  <c r="W29" s="1"/>
  <c r="U29"/>
  <c r="S30"/>
  <c r="T30"/>
  <c r="AN32" l="1"/>
  <c r="E18" i="77"/>
  <c r="P30" i="3"/>
  <c r="Q29"/>
  <c r="Y31" i="76"/>
  <c r="F6" i="77"/>
  <c r="AZ35" i="5"/>
  <c r="F9" i="77"/>
  <c r="C37" i="76"/>
  <c r="AJ27" i="1"/>
  <c r="AK27" s="1"/>
  <c r="G24" i="81"/>
  <c r="AJ28" i="1"/>
  <c r="AK28" s="1"/>
  <c r="G25" i="81"/>
  <c r="B29" i="65"/>
  <c r="E29" s="1"/>
  <c r="AI29" i="1"/>
  <c r="N30"/>
  <c r="V30" s="1"/>
  <c r="AO33" i="7"/>
  <c r="AJ35"/>
  <c r="AI35"/>
  <c r="AK34"/>
  <c r="AL34"/>
  <c r="AM34" s="1"/>
  <c r="X28"/>
  <c r="U30"/>
  <c r="V30"/>
  <c r="W30" s="1"/>
  <c r="Y29"/>
  <c r="AR29" s="1"/>
  <c r="P33"/>
  <c r="O33"/>
  <c r="M34"/>
  <c r="N34"/>
  <c r="Q32"/>
  <c r="R32"/>
  <c r="K35"/>
  <c r="L35"/>
  <c r="S31"/>
  <c r="T31"/>
  <c r="AN33" l="1"/>
  <c r="BC35" i="5"/>
  <c r="BC36"/>
  <c r="F18" i="77"/>
  <c r="B19"/>
  <c r="P31" i="3"/>
  <c r="Q30"/>
  <c r="O36" i="76"/>
  <c r="AW30" i="7"/>
  <c r="N31" i="1"/>
  <c r="V31" s="1"/>
  <c r="B30" i="65"/>
  <c r="E30" s="1"/>
  <c r="AI30" i="1"/>
  <c r="AW31" i="7" s="1"/>
  <c r="Y30"/>
  <c r="AR30" s="1"/>
  <c r="AO34"/>
  <c r="AK35"/>
  <c r="AL35"/>
  <c r="AM35" s="1"/>
  <c r="Q33"/>
  <c r="R33"/>
  <c r="O34"/>
  <c r="P34"/>
  <c r="T32"/>
  <c r="S32"/>
  <c r="U31"/>
  <c r="V31"/>
  <c r="W31" s="1"/>
  <c r="X29"/>
  <c r="N35"/>
  <c r="M35"/>
  <c r="AN34" l="1"/>
  <c r="P32" i="3"/>
  <c r="Q32" s="1"/>
  <c r="Q31"/>
  <c r="X30" i="7"/>
  <c r="AO35"/>
  <c r="N32" i="1"/>
  <c r="V32" s="1"/>
  <c r="G27" i="81"/>
  <c r="AJ30" i="1"/>
  <c r="AK30" s="1"/>
  <c r="AI31"/>
  <c r="B31" i="65"/>
  <c r="E31" s="1"/>
  <c r="G26" i="81"/>
  <c r="AJ29" i="1"/>
  <c r="AK29" s="1"/>
  <c r="Y31" i="7"/>
  <c r="AR31" s="1"/>
  <c r="P35"/>
  <c r="O35"/>
  <c r="Q34"/>
  <c r="R34"/>
  <c r="T33"/>
  <c r="S33"/>
  <c r="V32"/>
  <c r="W32" s="1"/>
  <c r="U32"/>
  <c r="AN35" l="1"/>
  <c r="AI32" i="1"/>
  <c r="AW33" i="7" s="1"/>
  <c r="B32" i="65"/>
  <c r="E32" s="1"/>
  <c r="AW32" i="7"/>
  <c r="N33" i="1"/>
  <c r="V33" s="1"/>
  <c r="Y32" i="7"/>
  <c r="AR32" s="1"/>
  <c r="X31"/>
  <c r="T34"/>
  <c r="S34"/>
  <c r="U33"/>
  <c r="V33"/>
  <c r="W33" s="1"/>
  <c r="R35"/>
  <c r="Q35"/>
  <c r="X32" l="1"/>
  <c r="AJ32" i="1"/>
  <c r="AK32" s="1"/>
  <c r="G29" i="81"/>
  <c r="N34" i="1"/>
  <c r="V34" s="1"/>
  <c r="V36" s="1"/>
  <c r="AI33"/>
  <c r="B33" i="65"/>
  <c r="E33" s="1"/>
  <c r="G28" i="81"/>
  <c r="AJ31" i="1"/>
  <c r="AK31" s="1"/>
  <c r="Y33" i="7"/>
  <c r="AR33" s="1"/>
  <c r="V34"/>
  <c r="W34" s="1"/>
  <c r="U34"/>
  <c r="T35"/>
  <c r="S35"/>
  <c r="AI34" i="1" l="1"/>
  <c r="AW35" i="7" s="1"/>
  <c r="B34" i="65"/>
  <c r="E34" s="1"/>
  <c r="AW34" i="7"/>
  <c r="X33"/>
  <c r="Y34"/>
  <c r="AR34" s="1"/>
  <c r="U35"/>
  <c r="V35"/>
  <c r="W35" s="1"/>
  <c r="Y35" l="1"/>
  <c r="AR35" s="1"/>
  <c r="AI37" i="1"/>
  <c r="AJ34"/>
  <c r="AK34" s="1"/>
  <c r="G31" i="81"/>
  <c r="AJ33" i="1"/>
  <c r="AK33" s="1"/>
  <c r="G30" i="81"/>
  <c r="X34" i="7"/>
  <c r="X35" l="1"/>
  <c r="L11" i="5" l="1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L25"/>
  <c r="H9" i="63"/>
  <c r="L14" i="5"/>
  <c r="AK14" s="1"/>
  <c r="L17"/>
  <c r="L24"/>
  <c r="AK24" s="1"/>
  <c r="L34"/>
  <c r="L23"/>
  <c r="AK23" s="1"/>
  <c r="L35"/>
  <c r="AK35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AK17" i="5"/>
  <c r="H25" i="63"/>
  <c r="AK28" i="5"/>
  <c r="H31" i="63"/>
  <c r="AK34" i="5"/>
  <c r="H5" i="63"/>
  <c r="AK8" i="5"/>
  <c r="H18" i="63"/>
  <c r="AK21" i="5"/>
  <c r="H26" i="63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s="1"/>
  <c r="F7" i="65" l="1"/>
  <c r="H4" i="63"/>
  <c r="L37" i="5"/>
  <c r="AK37" s="1"/>
  <c r="AA28" i="76" l="1"/>
  <c r="AB28" s="1"/>
  <c r="AE28" s="1"/>
  <c r="AF28" s="1"/>
  <c r="AA27"/>
  <c r="AB27" s="1"/>
  <c r="AA26"/>
  <c r="AB26" l="1"/>
  <c r="AB30" s="1"/>
  <c r="AA29"/>
  <c r="W40" l="1"/>
  <c r="W42"/>
  <c r="S40" i="74" l="1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R39"/>
  <c r="T39" s="1"/>
  <c r="R38"/>
  <c r="T38" s="1"/>
  <c r="R37"/>
  <c r="R36"/>
  <c r="T36" s="1"/>
  <c r="R35"/>
  <c r="T35" s="1"/>
  <c r="R34"/>
  <c r="R33"/>
  <c r="T33" s="1"/>
  <c r="R32"/>
  <c r="R31"/>
  <c r="T31" s="1"/>
  <c r="R30"/>
  <c r="T30" s="1"/>
  <c r="R29"/>
  <c r="R28"/>
  <c r="T28" s="1"/>
  <c r="R27"/>
  <c r="T27" s="1"/>
  <c r="R26"/>
  <c r="R25"/>
  <c r="T25" s="1"/>
  <c r="R24"/>
  <c r="R23"/>
  <c r="T23" s="1"/>
  <c r="R22"/>
  <c r="T22" s="1"/>
  <c r="R21"/>
  <c r="R20"/>
  <c r="T20" s="1"/>
  <c r="R19"/>
  <c r="T19" s="1"/>
  <c r="R18"/>
  <c r="R17"/>
  <c r="T17" s="1"/>
  <c r="R16"/>
  <c r="R15"/>
  <c r="T15" s="1"/>
  <c r="R14"/>
  <c r="T14" s="1"/>
  <c r="R13"/>
  <c r="R12"/>
  <c r="T12" s="1"/>
  <c r="R11"/>
  <c r="T11" s="1"/>
  <c r="R10"/>
  <c r="X16" i="76"/>
  <c r="T10" i="74" l="1"/>
  <c r="T18"/>
  <c r="T26"/>
  <c r="T34"/>
  <c r="T16"/>
  <c r="T24"/>
  <c r="T32"/>
  <c r="T40"/>
  <c r="T13"/>
  <c r="T21"/>
  <c r="T29"/>
  <c r="T37"/>
  <c r="R43" l="1"/>
  <c r="S43"/>
  <c r="M40"/>
  <c r="E40"/>
  <c r="M39"/>
  <c r="E39"/>
  <c r="M38"/>
  <c r="E38"/>
  <c r="M37"/>
  <c r="E37"/>
  <c r="M36"/>
  <c r="E36"/>
  <c r="M35"/>
  <c r="E35"/>
  <c r="M34"/>
  <c r="E34"/>
  <c r="M33"/>
  <c r="E33"/>
  <c r="M32"/>
  <c r="E32"/>
  <c r="M31"/>
  <c r="E31"/>
  <c r="M30"/>
  <c r="E30"/>
  <c r="M29"/>
  <c r="E29"/>
  <c r="M28"/>
  <c r="E28"/>
  <c r="M27"/>
  <c r="E27"/>
  <c r="M26"/>
  <c r="E26"/>
  <c r="M25"/>
  <c r="E25"/>
  <c r="M24"/>
  <c r="E24"/>
  <c r="M23"/>
  <c r="E23"/>
  <c r="M22"/>
  <c r="E22"/>
  <c r="M21"/>
  <c r="E21"/>
  <c r="M20"/>
  <c r="E20"/>
  <c r="M19"/>
  <c r="E19"/>
  <c r="M18"/>
  <c r="E18"/>
  <c r="M17"/>
  <c r="E17"/>
  <c r="M16"/>
  <c r="E16"/>
  <c r="M15"/>
  <c r="E15"/>
  <c r="M14"/>
  <c r="E14"/>
  <c r="M13"/>
  <c r="E13"/>
  <c r="M12"/>
  <c r="E12"/>
  <c r="M11"/>
  <c r="E11"/>
  <c r="M10"/>
  <c r="E10"/>
  <c r="O40" l="1"/>
  <c r="N40"/>
  <c r="K40"/>
  <c r="J40"/>
  <c r="G40"/>
  <c r="F40"/>
  <c r="C40"/>
  <c r="B40"/>
  <c r="O39"/>
  <c r="N39"/>
  <c r="K39"/>
  <c r="J39"/>
  <c r="G39"/>
  <c r="F39"/>
  <c r="C39"/>
  <c r="B39"/>
  <c r="O38"/>
  <c r="N38"/>
  <c r="K38"/>
  <c r="J38"/>
  <c r="G38"/>
  <c r="F38"/>
  <c r="C38"/>
  <c r="B38"/>
  <c r="O37"/>
  <c r="N37"/>
  <c r="K37"/>
  <c r="J37"/>
  <c r="G37"/>
  <c r="F37"/>
  <c r="C37"/>
  <c r="B37"/>
  <c r="O36"/>
  <c r="N36"/>
  <c r="K36"/>
  <c r="J36"/>
  <c r="G36"/>
  <c r="F36"/>
  <c r="C36"/>
  <c r="B36"/>
  <c r="O35"/>
  <c r="N35"/>
  <c r="K35"/>
  <c r="J35"/>
  <c r="G35"/>
  <c r="F35"/>
  <c r="C35"/>
  <c r="B35"/>
  <c r="O34"/>
  <c r="N34"/>
  <c r="K34"/>
  <c r="J34"/>
  <c r="G34"/>
  <c r="F34"/>
  <c r="C34"/>
  <c r="B34"/>
  <c r="O33"/>
  <c r="N33"/>
  <c r="K33"/>
  <c r="J33"/>
  <c r="G33"/>
  <c r="F33"/>
  <c r="C33"/>
  <c r="B33"/>
  <c r="O32"/>
  <c r="N32"/>
  <c r="K32"/>
  <c r="J32"/>
  <c r="G32"/>
  <c r="F32"/>
  <c r="C32"/>
  <c r="B32"/>
  <c r="O31"/>
  <c r="N31"/>
  <c r="K31"/>
  <c r="J31"/>
  <c r="G31"/>
  <c r="F31"/>
  <c r="C31"/>
  <c r="B31"/>
  <c r="O30"/>
  <c r="N30"/>
  <c r="K30"/>
  <c r="J30"/>
  <c r="G30"/>
  <c r="F30"/>
  <c r="C30"/>
  <c r="B30"/>
  <c r="O29"/>
  <c r="N29"/>
  <c r="K29"/>
  <c r="J29"/>
  <c r="G29"/>
  <c r="F29"/>
  <c r="C29"/>
  <c r="B29"/>
  <c r="O28"/>
  <c r="N28"/>
  <c r="K28"/>
  <c r="J28"/>
  <c r="G28"/>
  <c r="F28"/>
  <c r="C28"/>
  <c r="B28"/>
  <c r="O27"/>
  <c r="N27"/>
  <c r="K27"/>
  <c r="J27"/>
  <c r="G27"/>
  <c r="F27"/>
  <c r="C27"/>
  <c r="B27"/>
  <c r="O26"/>
  <c r="N26"/>
  <c r="K26"/>
  <c r="J26"/>
  <c r="G26"/>
  <c r="F26"/>
  <c r="C26"/>
  <c r="B26"/>
  <c r="O25"/>
  <c r="N25"/>
  <c r="K25"/>
  <c r="J25"/>
  <c r="G25"/>
  <c r="F25"/>
  <c r="C25"/>
  <c r="B25"/>
  <c r="O24"/>
  <c r="N24"/>
  <c r="K24"/>
  <c r="J24"/>
  <c r="G24"/>
  <c r="F24"/>
  <c r="C24"/>
  <c r="B24"/>
  <c r="O23"/>
  <c r="N23"/>
  <c r="K23"/>
  <c r="J23"/>
  <c r="G23"/>
  <c r="F23"/>
  <c r="C23"/>
  <c r="B23"/>
  <c r="O22"/>
  <c r="N22"/>
  <c r="K22"/>
  <c r="J22"/>
  <c r="G22"/>
  <c r="F22"/>
  <c r="C22"/>
  <c r="B22"/>
  <c r="O21"/>
  <c r="N21"/>
  <c r="K21"/>
  <c r="J21"/>
  <c r="G21"/>
  <c r="F21"/>
  <c r="C21"/>
  <c r="B21"/>
  <c r="O20"/>
  <c r="N20"/>
  <c r="K20"/>
  <c r="J20"/>
  <c r="G20"/>
  <c r="F20"/>
  <c r="C20"/>
  <c r="B20"/>
  <c r="O19"/>
  <c r="N19"/>
  <c r="K19"/>
  <c r="J19"/>
  <c r="G19"/>
  <c r="F19"/>
  <c r="C19"/>
  <c r="B19"/>
  <c r="O18"/>
  <c r="N18"/>
  <c r="K18"/>
  <c r="J18"/>
  <c r="G18"/>
  <c r="F18"/>
  <c r="C18"/>
  <c r="B18"/>
  <c r="O17"/>
  <c r="N17"/>
  <c r="K17"/>
  <c r="J17"/>
  <c r="G17"/>
  <c r="F17"/>
  <c r="C17"/>
  <c r="B17"/>
  <c r="O16"/>
  <c r="N16"/>
  <c r="K16"/>
  <c r="J16"/>
  <c r="G16"/>
  <c r="F16"/>
  <c r="C16"/>
  <c r="B16"/>
  <c r="O15"/>
  <c r="N15"/>
  <c r="K15"/>
  <c r="J15"/>
  <c r="G15"/>
  <c r="F15"/>
  <c r="C15"/>
  <c r="B15"/>
  <c r="O14"/>
  <c r="N14"/>
  <c r="K14"/>
  <c r="J14"/>
  <c r="G14"/>
  <c r="F14"/>
  <c r="C14"/>
  <c r="B14"/>
  <c r="O13"/>
  <c r="N13"/>
  <c r="K13"/>
  <c r="J13"/>
  <c r="G13"/>
  <c r="F13"/>
  <c r="C13"/>
  <c r="B13"/>
  <c r="O12"/>
  <c r="N12"/>
  <c r="K12"/>
  <c r="J12"/>
  <c r="G12"/>
  <c r="F12"/>
  <c r="C12"/>
  <c r="B12"/>
  <c r="O11"/>
  <c r="N11"/>
  <c r="K11"/>
  <c r="J11"/>
  <c r="G11"/>
  <c r="F11"/>
  <c r="C11"/>
  <c r="B11"/>
  <c r="O10"/>
  <c r="N10"/>
  <c r="K10"/>
  <c r="J10"/>
  <c r="G10"/>
  <c r="F10"/>
  <c r="C10"/>
  <c r="B10"/>
  <c r="H10" l="1"/>
  <c r="H20"/>
  <c r="H18"/>
  <c r="H11"/>
  <c r="H12"/>
  <c r="H13"/>
  <c r="H14"/>
  <c r="H15"/>
  <c r="H16"/>
  <c r="H17"/>
  <c r="H19"/>
  <c r="H21"/>
  <c r="H22"/>
  <c r="H23"/>
  <c r="H24"/>
  <c r="H25"/>
  <c r="H26"/>
  <c r="H27"/>
  <c r="H28"/>
  <c r="H29"/>
  <c r="H30"/>
  <c r="H31"/>
  <c r="H32"/>
  <c r="H33"/>
  <c r="H34"/>
  <c r="H35"/>
  <c r="D15"/>
  <c r="D20"/>
  <c r="D24"/>
  <c r="D27"/>
  <c r="D30"/>
  <c r="D33"/>
  <c r="D36"/>
  <c r="D14"/>
  <c r="D21"/>
  <c r="D23"/>
  <c r="D26"/>
  <c r="D32"/>
  <c r="D34"/>
  <c r="D38"/>
  <c r="D13"/>
  <c r="D17"/>
  <c r="D22"/>
  <c r="D29"/>
  <c r="D37"/>
  <c r="D10"/>
  <c r="D18"/>
  <c r="D28"/>
  <c r="D12"/>
  <c r="D19"/>
  <c r="D25"/>
  <c r="D31"/>
  <c r="D35"/>
  <c r="D11"/>
  <c r="D16"/>
  <c r="H36"/>
  <c r="D39"/>
  <c r="P13"/>
  <c r="P18"/>
  <c r="P24"/>
  <c r="P28"/>
  <c r="P32"/>
  <c r="P34"/>
  <c r="P36"/>
  <c r="L11"/>
  <c r="L12"/>
  <c r="L14"/>
  <c r="L16"/>
  <c r="L18"/>
  <c r="L20"/>
  <c r="L21"/>
  <c r="L22"/>
  <c r="L24"/>
  <c r="L25"/>
  <c r="L26"/>
  <c r="L27"/>
  <c r="L28"/>
  <c r="L29"/>
  <c r="L30"/>
  <c r="L31"/>
  <c r="L32"/>
  <c r="L33"/>
  <c r="L34"/>
  <c r="L35"/>
  <c r="L36"/>
  <c r="L37"/>
  <c r="L38"/>
  <c r="L39"/>
  <c r="L40"/>
  <c r="P10"/>
  <c r="P15"/>
  <c r="P17"/>
  <c r="P22"/>
  <c r="P26"/>
  <c r="P31"/>
  <c r="P35"/>
  <c r="P40"/>
  <c r="L10"/>
  <c r="L13"/>
  <c r="L15"/>
  <c r="L17"/>
  <c r="L19"/>
  <c r="L23"/>
  <c r="P11"/>
  <c r="P20"/>
  <c r="P27"/>
  <c r="P37"/>
  <c r="H37"/>
  <c r="H38"/>
  <c r="H39"/>
  <c r="H40"/>
  <c r="P12"/>
  <c r="P19"/>
  <c r="P23"/>
  <c r="P29"/>
  <c r="P33"/>
  <c r="P39"/>
  <c r="P14"/>
  <c r="P16"/>
  <c r="P21"/>
  <c r="P25"/>
  <c r="P30"/>
  <c r="P38"/>
  <c r="D40"/>
  <c r="G43" l="1"/>
  <c r="J43"/>
  <c r="K43"/>
  <c r="C43"/>
  <c r="N43"/>
  <c r="O43"/>
  <c r="B43"/>
  <c r="F43"/>
  <c r="O86" l="1"/>
  <c r="N86"/>
  <c r="F5" i="65" l="1"/>
  <c r="H2" i="63"/>
  <c r="AB15" i="74" l="1"/>
  <c r="AA15" l="1"/>
  <c r="AA14" l="1"/>
  <c r="AB14" l="1"/>
  <c r="AB12" l="1"/>
  <c r="AA12"/>
  <c r="AB11"/>
  <c r="AB10"/>
  <c r="AA13"/>
  <c r="AB13"/>
  <c r="AA11"/>
  <c r="AB23" l="1"/>
  <c r="AA10"/>
  <c r="AA23" s="1"/>
  <c r="T33" i="76" l="1"/>
  <c r="F31" i="81" s="1"/>
  <c r="T32" i="76"/>
  <c r="F30" i="81" s="1"/>
  <c r="T31" i="76"/>
  <c r="F29" i="81" s="1"/>
  <c r="BC20" i="7"/>
  <c r="AQ19"/>
  <c r="AQ28"/>
  <c r="BC29"/>
  <c r="AQ27"/>
  <c r="BC28"/>
  <c r="BC26"/>
  <c r="AQ25"/>
  <c r="BC31"/>
  <c r="AQ30"/>
  <c r="BC32"/>
  <c r="AQ31"/>
  <c r="AQ32"/>
  <c r="BC33"/>
  <c r="BC18"/>
  <c r="AQ17"/>
  <c r="BC34"/>
  <c r="AQ33"/>
  <c r="AQ23"/>
  <c r="BC24"/>
  <c r="BC17"/>
  <c r="AQ16"/>
  <c r="BC16"/>
  <c r="BC27"/>
  <c r="AQ26"/>
  <c r="BC30"/>
  <c r="AQ29"/>
  <c r="AQ21"/>
  <c r="BC22"/>
  <c r="AQ36"/>
  <c r="BC19"/>
  <c r="AQ18"/>
  <c r="AS24"/>
  <c r="AX24" s="1"/>
  <c r="BC25"/>
  <c r="AQ24"/>
  <c r="BC23"/>
  <c r="AQ22"/>
  <c r="AS23"/>
  <c r="AX23" s="1"/>
  <c r="AS28"/>
  <c r="AX28" s="1"/>
  <c r="AQ35"/>
  <c r="BC36"/>
  <c r="AS22"/>
  <c r="AX22" s="1"/>
  <c r="AY22" s="1"/>
  <c r="AQ20"/>
  <c r="AS20"/>
  <c r="AX20" s="1"/>
  <c r="BC21"/>
  <c r="AS27"/>
  <c r="AX27" s="1"/>
  <c r="Q25" i="76" s="1"/>
  <c r="AQ34" i="7"/>
  <c r="BC35"/>
  <c r="AS36"/>
  <c r="AX36" s="1"/>
  <c r="Q34" i="76" s="1"/>
  <c r="AS21" i="7"/>
  <c r="AX21" s="1"/>
  <c r="AS25"/>
  <c r="AX25" s="1"/>
  <c r="AS32"/>
  <c r="AX32" s="1"/>
  <c r="AS30"/>
  <c r="AX30" s="1"/>
  <c r="AS26"/>
  <c r="AX26" s="1"/>
  <c r="AS33"/>
  <c r="AX33" s="1"/>
  <c r="AS35"/>
  <c r="AX35" s="1"/>
  <c r="Q33" i="76" s="1"/>
  <c r="AS18" i="7"/>
  <c r="AX18" s="1"/>
  <c r="AS29"/>
  <c r="AX29" s="1"/>
  <c r="AS19"/>
  <c r="AX19" s="1"/>
  <c r="AS17"/>
  <c r="AX17" s="1"/>
  <c r="AS31"/>
  <c r="AX31" s="1"/>
  <c r="AS16"/>
  <c r="AS34"/>
  <c r="AX34" s="1"/>
  <c r="AY26" l="1"/>
  <c r="Q24" i="76"/>
  <c r="AY21" i="7"/>
  <c r="Q19" i="76"/>
  <c r="Q21"/>
  <c r="AY23" i="7"/>
  <c r="Q29" i="76"/>
  <c r="AY31" i="7"/>
  <c r="Q27" i="76"/>
  <c r="AY29" i="7"/>
  <c r="AY19"/>
  <c r="Q17" i="76"/>
  <c r="Q31"/>
  <c r="AY33" i="7"/>
  <c r="AY20"/>
  <c r="Q18" i="76"/>
  <c r="AY36" i="7"/>
  <c r="Q28" i="76"/>
  <c r="AY30" i="7"/>
  <c r="Q23" i="76"/>
  <c r="AY25" i="7"/>
  <c r="AY28"/>
  <c r="Q26" i="76"/>
  <c r="Q15"/>
  <c r="AY17" i="7"/>
  <c r="Q32" i="76"/>
  <c r="AY34" i="7"/>
  <c r="AY18"/>
  <c r="Q16" i="76"/>
  <c r="Q30"/>
  <c r="AY32" i="7"/>
  <c r="AY24"/>
  <c r="Q22" i="76"/>
  <c r="AY35" i="7"/>
  <c r="AX16"/>
  <c r="AY27"/>
  <c r="Q20" i="76"/>
  <c r="AY16" i="7" l="1"/>
  <c r="Q14" i="76"/>
  <c r="M3" i="3" l="1"/>
  <c r="AA3" s="1"/>
  <c r="AC3" s="1"/>
  <c r="AH3" s="1"/>
  <c r="M4" l="1"/>
  <c r="AA4" s="1"/>
  <c r="AC4" s="1"/>
  <c r="AH4" s="1"/>
  <c r="M5" l="1"/>
  <c r="AA5" s="1"/>
  <c r="AC5" s="1"/>
  <c r="AH5" s="1"/>
  <c r="M6" l="1"/>
  <c r="AA6" s="1"/>
  <c r="AC6" s="1"/>
  <c r="AH6" s="1"/>
  <c r="M7" l="1"/>
  <c r="AA7" s="1"/>
  <c r="AC7" s="1"/>
  <c r="AH7" s="1"/>
  <c r="M8" l="1"/>
  <c r="AA8" s="1"/>
  <c r="AC8" s="1"/>
  <c r="AH8" s="1"/>
  <c r="M9" l="1"/>
  <c r="AA9" s="1"/>
  <c r="AC9" s="1"/>
  <c r="AH9" s="1"/>
  <c r="M10" l="1"/>
  <c r="AA10" s="1"/>
  <c r="M11" l="1"/>
  <c r="AA11" s="1"/>
  <c r="AC11" s="1"/>
  <c r="AH11" s="1"/>
  <c r="M12" l="1"/>
  <c r="AA12" s="1"/>
  <c r="AC12" s="1"/>
  <c r="AH12" s="1"/>
  <c r="M13" l="1"/>
  <c r="AA13" s="1"/>
  <c r="AC13" s="1"/>
  <c r="AH13" s="1"/>
  <c r="M14" l="1"/>
  <c r="AA14" s="1"/>
  <c r="AC14" s="1"/>
  <c r="AH14" s="1"/>
  <c r="M15" l="1"/>
  <c r="AA15" s="1"/>
  <c r="AC15" s="1"/>
  <c r="AH15" s="1"/>
  <c r="M16" l="1"/>
  <c r="AA16" s="1"/>
  <c r="AC16" s="1"/>
  <c r="AH16" s="1"/>
  <c r="M17" l="1"/>
  <c r="AA17" s="1"/>
  <c r="AC17" s="1"/>
  <c r="AH17" s="1"/>
  <c r="M18" l="1"/>
  <c r="AA18" s="1"/>
  <c r="AC18" s="1"/>
  <c r="AH18" s="1"/>
  <c r="M19" l="1"/>
  <c r="AA19" s="1"/>
  <c r="AC19" s="1"/>
  <c r="AH19" s="1"/>
  <c r="M20" l="1"/>
  <c r="AA20" s="1"/>
  <c r="AC20" s="1"/>
  <c r="AH20" s="1"/>
  <c r="M21" l="1"/>
  <c r="AA21" s="1"/>
  <c r="AC21" s="1"/>
  <c r="AH21" s="1"/>
  <c r="M22" l="1"/>
  <c r="AA22" s="1"/>
  <c r="AC22" s="1"/>
  <c r="AH22" s="1"/>
  <c r="M23" l="1"/>
  <c r="AA23" s="1"/>
  <c r="AC23" s="1"/>
  <c r="AH23" s="1"/>
  <c r="M24" l="1"/>
  <c r="AA24" s="1"/>
  <c r="AC24" s="1"/>
  <c r="AH24" s="1"/>
  <c r="M25" l="1"/>
  <c r="AA25" s="1"/>
  <c r="AC25" s="1"/>
  <c r="AH25" s="1"/>
  <c r="M26" l="1"/>
  <c r="AA26" s="1"/>
  <c r="AC26" s="1"/>
  <c r="AH26" s="1"/>
  <c r="M27" l="1"/>
  <c r="AA27" s="1"/>
  <c r="AC27" s="1"/>
  <c r="AH27" s="1"/>
  <c r="M28" l="1"/>
  <c r="AA28" s="1"/>
  <c r="AC28" s="1"/>
  <c r="AH28" s="1"/>
  <c r="M29" l="1"/>
  <c r="AA29" s="1"/>
  <c r="AC29" s="1"/>
  <c r="AH29" s="1"/>
  <c r="M30" l="1"/>
  <c r="AA30" s="1"/>
  <c r="M31" l="1"/>
  <c r="AA31" s="1"/>
  <c r="M33" l="1"/>
  <c r="AA33" s="1"/>
  <c r="M32"/>
  <c r="AA32" s="1"/>
  <c r="AS6" i="7" l="1"/>
  <c r="AX6" l="1"/>
  <c r="AS40"/>
  <c r="AY6" l="1"/>
  <c r="AY37" s="1"/>
  <c r="Q4" i="76"/>
  <c r="AX37" i="7"/>
  <c r="Z41" i="76" s="1"/>
  <c r="AV6" i="7" l="1"/>
  <c r="AV7" l="1"/>
  <c r="H2" i="81"/>
  <c r="O5" i="1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AV8" i="7" l="1"/>
  <c r="H3" i="81"/>
  <c r="AV9" i="7" l="1"/>
  <c r="H4" i="81"/>
  <c r="AV10" i="7" l="1"/>
  <c r="H5" i="81"/>
  <c r="AV11" i="7" l="1"/>
  <c r="H6" i="81"/>
  <c r="H7" l="1"/>
  <c r="AV12" i="7"/>
  <c r="H8" i="81" l="1"/>
  <c r="AV13" i="7"/>
  <c r="AV14" l="1"/>
  <c r="H9" i="81"/>
  <c r="H10" l="1"/>
  <c r="AV15" i="7"/>
  <c r="H11" i="8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H32" i="81" s="1"/>
  <c r="AX5" i="1" l="1"/>
  <c r="AX6" l="1"/>
  <c r="J2" i="81"/>
  <c r="J3" l="1"/>
  <c r="AX7" i="1"/>
  <c r="J4" i="81" l="1"/>
  <c r="AX8" i="1"/>
  <c r="J5" i="81" l="1"/>
  <c r="AX9" i="1"/>
  <c r="AX10" l="1"/>
  <c r="J6" i="81"/>
  <c r="AC28" i="76"/>
  <c r="AC27"/>
  <c r="AC26"/>
  <c r="J7" i="81" l="1"/>
  <c r="AX11" i="1"/>
  <c r="AC30" i="76"/>
  <c r="AX12" i="1" l="1"/>
  <c r="J8" i="81"/>
  <c r="AC31" i="76"/>
  <c r="O34" s="1"/>
  <c r="P34" s="1"/>
  <c r="R34" s="1"/>
  <c r="W39"/>
  <c r="W41" s="1"/>
  <c r="W43" s="1"/>
  <c r="AB31" l="1"/>
  <c r="O29"/>
  <c r="P29" s="1"/>
  <c r="R29" s="1"/>
  <c r="T29" s="1"/>
  <c r="F27" i="81" s="1"/>
  <c r="O33" i="76"/>
  <c r="P33" s="1"/>
  <c r="R33" s="1"/>
  <c r="O25"/>
  <c r="P25" s="1"/>
  <c r="R25" s="1"/>
  <c r="T25" s="1"/>
  <c r="F23" i="81" s="1"/>
  <c r="O4" i="76"/>
  <c r="P4" s="1"/>
  <c r="R4" s="1"/>
  <c r="T4" s="1"/>
  <c r="F2" i="81" s="1"/>
  <c r="O15" i="76"/>
  <c r="P15" s="1"/>
  <c r="R15" s="1"/>
  <c r="T15" s="1"/>
  <c r="F13" i="81" s="1"/>
  <c r="O32" i="76"/>
  <c r="P32" s="1"/>
  <c r="R32" s="1"/>
  <c r="O26"/>
  <c r="P26" s="1"/>
  <c r="R26" s="1"/>
  <c r="T26" s="1"/>
  <c r="F24" i="81" s="1"/>
  <c r="O5" i="76"/>
  <c r="P5" s="1"/>
  <c r="R5" s="1"/>
  <c r="T5" s="1"/>
  <c r="F3" i="81" s="1"/>
  <c r="O10" i="76"/>
  <c r="P10" s="1"/>
  <c r="R10" s="1"/>
  <c r="T10" s="1"/>
  <c r="F8" i="81" s="1"/>
  <c r="O9" i="76"/>
  <c r="P9" s="1"/>
  <c r="R9" s="1"/>
  <c r="T9" s="1"/>
  <c r="F7" i="81" s="1"/>
  <c r="O11" i="76"/>
  <c r="P11" s="1"/>
  <c r="R11" s="1"/>
  <c r="T11" s="1"/>
  <c r="F9" i="81" s="1"/>
  <c r="O30" i="76"/>
  <c r="P30" s="1"/>
  <c r="R30" s="1"/>
  <c r="T30" s="1"/>
  <c r="F28" i="81" s="1"/>
  <c r="O14" i="76"/>
  <c r="P14" s="1"/>
  <c r="R14" s="1"/>
  <c r="T14" s="1"/>
  <c r="F12" i="81" s="1"/>
  <c r="O28" i="76"/>
  <c r="P28" s="1"/>
  <c r="R28" s="1"/>
  <c r="T28" s="1"/>
  <c r="F26" i="81" s="1"/>
  <c r="O23" i="76"/>
  <c r="P23" s="1"/>
  <c r="R23" s="1"/>
  <c r="T23" s="1"/>
  <c r="F21" i="81" s="1"/>
  <c r="O7" i="76"/>
  <c r="P7" s="1"/>
  <c r="R7" s="1"/>
  <c r="T7" s="1"/>
  <c r="F5" i="81" s="1"/>
  <c r="O12" i="76"/>
  <c r="P12" s="1"/>
  <c r="R12" s="1"/>
  <c r="T12" s="1"/>
  <c r="F10" i="81" s="1"/>
  <c r="O8" i="76"/>
  <c r="P8" s="1"/>
  <c r="R8" s="1"/>
  <c r="T8" s="1"/>
  <c r="F6" i="81" s="1"/>
  <c r="O19" i="76"/>
  <c r="P19" s="1"/>
  <c r="R19" s="1"/>
  <c r="T19" s="1"/>
  <c r="F17" i="81" s="1"/>
  <c r="O13" i="76"/>
  <c r="P13" s="1"/>
  <c r="R13" s="1"/>
  <c r="T13" s="1"/>
  <c r="F11" i="81" s="1"/>
  <c r="O21" i="76"/>
  <c r="P21" s="1"/>
  <c r="R21" s="1"/>
  <c r="T21" s="1"/>
  <c r="F19" i="81" s="1"/>
  <c r="O27" i="76"/>
  <c r="P27" s="1"/>
  <c r="R27" s="1"/>
  <c r="T27" s="1"/>
  <c r="F25" i="81" s="1"/>
  <c r="O31" i="76"/>
  <c r="P31" s="1"/>
  <c r="R31" s="1"/>
  <c r="O22"/>
  <c r="P22" s="1"/>
  <c r="R22" s="1"/>
  <c r="T22" s="1"/>
  <c r="F20" i="81" s="1"/>
  <c r="O20" i="76"/>
  <c r="P20" s="1"/>
  <c r="R20" s="1"/>
  <c r="T20" s="1"/>
  <c r="F18" i="81" s="1"/>
  <c r="O18" i="76"/>
  <c r="P18" s="1"/>
  <c r="R18" s="1"/>
  <c r="T18" s="1"/>
  <c r="F16" i="81" s="1"/>
  <c r="O6" i="76"/>
  <c r="P6" s="1"/>
  <c r="R6" s="1"/>
  <c r="T6" s="1"/>
  <c r="F4" i="81" s="1"/>
  <c r="O17" i="76"/>
  <c r="P17" s="1"/>
  <c r="R17" s="1"/>
  <c r="T17" s="1"/>
  <c r="F15" i="81" s="1"/>
  <c r="O16" i="76"/>
  <c r="P16" s="1"/>
  <c r="R16" s="1"/>
  <c r="T16" s="1"/>
  <c r="F14" i="81" s="1"/>
  <c r="O24" i="76"/>
  <c r="P24" s="1"/>
  <c r="R24" s="1"/>
  <c r="T24" s="1"/>
  <c r="F22" i="81" s="1"/>
  <c r="J9"/>
  <c r="AX13" i="1"/>
  <c r="J10" i="81" l="1"/>
  <c r="AX14" i="1"/>
  <c r="D10" i="77"/>
  <c r="E10" s="1"/>
  <c r="E12" s="1"/>
  <c r="AA41" i="76"/>
  <c r="AB37"/>
  <c r="AB39" s="1"/>
  <c r="Z40" s="1"/>
  <c r="Z42" s="1"/>
  <c r="Z44" s="1"/>
  <c r="AB35"/>
  <c r="AB36" s="1"/>
  <c r="J11" i="81" l="1"/>
  <c r="AX15" i="1"/>
  <c r="F10" i="77"/>
  <c r="F12" s="1"/>
  <c r="G10"/>
  <c r="G12" s="1"/>
  <c r="AB41" i="76"/>
  <c r="AB42" s="1"/>
  <c r="AA42"/>
  <c r="J12" i="81" l="1"/>
  <c r="AX16" i="1"/>
  <c r="I14" i="77"/>
  <c r="H14"/>
  <c r="AX17" i="1" l="1"/>
  <c r="J13" i="81"/>
  <c r="J14" l="1"/>
  <c r="AX18" i="1"/>
  <c r="J15" i="81" l="1"/>
  <c r="AX19" i="1"/>
  <c r="AX20" l="1"/>
  <c r="J16" i="81"/>
  <c r="J17" l="1"/>
  <c r="AX21" i="1"/>
  <c r="AX22" l="1"/>
  <c r="J18" i="81"/>
  <c r="AX23" i="1" l="1"/>
  <c r="J19" i="81"/>
  <c r="J20" l="1"/>
  <c r="AX24" i="1"/>
  <c r="J21" i="81" l="1"/>
  <c r="AX25" i="1"/>
  <c r="J22" i="81" l="1"/>
  <c r="AX26" i="1"/>
  <c r="J23" i="81" l="1"/>
  <c r="AX27" i="1"/>
  <c r="AX28" l="1"/>
  <c r="J24" i="81"/>
  <c r="AX29" i="1" l="1"/>
  <c r="J25" i="81"/>
  <c r="AX30" i="1" l="1"/>
  <c r="J26" i="81"/>
  <c r="AX31" i="1" l="1"/>
  <c r="J27" i="81"/>
  <c r="AX32" i="1" l="1"/>
  <c r="J28" i="81"/>
  <c r="J29" l="1"/>
  <c r="AX33" i="1"/>
  <c r="J30" i="81" l="1"/>
  <c r="AX34" i="1"/>
  <c r="J31" i="81" l="1"/>
  <c r="AX35" i="1"/>
  <c r="J32" i="81" s="1"/>
  <c r="N6" i="5" l="1"/>
  <c r="P6"/>
  <c r="Q6" l="1"/>
  <c r="M2" i="81" s="1"/>
  <c r="N7" i="5"/>
  <c r="P7"/>
  <c r="N8" l="1"/>
  <c r="P8"/>
  <c r="Q7"/>
  <c r="M3" i="81" s="1"/>
  <c r="N9" i="5" l="1"/>
  <c r="P9"/>
  <c r="Q8"/>
  <c r="M4" i="81" s="1"/>
  <c r="N10" i="5" l="1"/>
  <c r="P10"/>
  <c r="Q9"/>
  <c r="P11" l="1"/>
  <c r="Q11" s="1"/>
  <c r="M7" i="81" s="1"/>
  <c r="M5"/>
  <c r="Q10" i="5"/>
  <c r="M6" i="81" s="1"/>
  <c r="N11" i="5"/>
  <c r="P12" l="1"/>
  <c r="Q12" s="1"/>
  <c r="N12"/>
  <c r="P13" l="1"/>
  <c r="Q13" s="1"/>
  <c r="M9" i="81" s="1"/>
  <c r="M8"/>
  <c r="N13" i="5"/>
  <c r="P14" l="1"/>
  <c r="Q14" s="1"/>
  <c r="M10" i="81" s="1"/>
  <c r="N14" i="5"/>
  <c r="P15" l="1"/>
  <c r="Q15" s="1"/>
  <c r="M11" i="81" s="1"/>
  <c r="N15" i="5"/>
  <c r="P16" l="1"/>
  <c r="Q16" s="1"/>
  <c r="M12" i="81" s="1"/>
  <c r="N16" i="5"/>
  <c r="N17" l="1"/>
  <c r="P17"/>
  <c r="N18" l="1"/>
  <c r="P18"/>
  <c r="Q17"/>
  <c r="M13" i="81" s="1"/>
  <c r="N19" i="5" l="1"/>
  <c r="Q18"/>
  <c r="M14" i="81" s="1"/>
  <c r="P19" i="5"/>
  <c r="N20" l="1"/>
  <c r="P20"/>
  <c r="Q19"/>
  <c r="M15" i="81" s="1"/>
  <c r="N21" i="5" l="1"/>
  <c r="P21"/>
  <c r="Q20"/>
  <c r="M16" i="81" s="1"/>
  <c r="Q21" i="5" l="1"/>
  <c r="M17" i="81" s="1"/>
  <c r="N22" i="5"/>
  <c r="P22"/>
  <c r="N23" l="1"/>
  <c r="P23"/>
  <c r="Q22"/>
  <c r="M18" i="81" s="1"/>
  <c r="P24" i="5" l="1"/>
  <c r="N24"/>
  <c r="Q23"/>
  <c r="M19" i="81" s="1"/>
  <c r="Q24" i="5" l="1"/>
  <c r="M20" i="81" s="1"/>
  <c r="P25" i="5"/>
  <c r="Q25" s="1"/>
  <c r="M21" i="81" s="1"/>
  <c r="N25" i="5"/>
  <c r="P26" l="1"/>
  <c r="Q26" s="1"/>
  <c r="M22" i="81" s="1"/>
  <c r="N26" i="5"/>
  <c r="P27" l="1"/>
  <c r="Q27" s="1"/>
  <c r="M23" i="81" s="1"/>
  <c r="N27" i="5"/>
  <c r="P28" l="1"/>
  <c r="Q28" s="1"/>
  <c r="M24" i="81" s="1"/>
  <c r="N28" i="5"/>
  <c r="P29" l="1"/>
  <c r="Q29" s="1"/>
  <c r="M25" i="81" s="1"/>
  <c r="N29" i="5"/>
  <c r="P30" l="1"/>
  <c r="N30"/>
  <c r="Q30" l="1"/>
  <c r="M26" i="81" s="1"/>
  <c r="P31" i="5"/>
  <c r="N31"/>
  <c r="P32" l="1"/>
  <c r="Q31"/>
  <c r="M27" i="81" s="1"/>
  <c r="N32" i="5"/>
  <c r="N33" l="1"/>
  <c r="Q32"/>
  <c r="M28" i="81" s="1"/>
  <c r="P33" i="5"/>
  <c r="N34" l="1"/>
  <c r="P34"/>
  <c r="Q33"/>
  <c r="M29" i="81" s="1"/>
  <c r="P36" i="5" l="1"/>
  <c r="Q36" s="1"/>
  <c r="M32" i="81" s="1"/>
  <c r="P35" i="5"/>
  <c r="Q35" s="1"/>
  <c r="Q34"/>
  <c r="M30" i="81" s="1"/>
  <c r="N36" i="5"/>
  <c r="N35"/>
  <c r="M31" i="81" l="1"/>
  <c r="Q37" i="5"/>
  <c r="O38" s="1"/>
  <c r="X3" i="3"/>
  <c r="X4" l="1"/>
  <c r="Y3"/>
  <c r="X5" l="1"/>
  <c r="Y4"/>
  <c r="Y5" l="1"/>
  <c r="X6"/>
  <c r="X7" l="1"/>
  <c r="Y6"/>
  <c r="AS6" i="5"/>
  <c r="X8" i="3" l="1"/>
  <c r="Y7"/>
  <c r="AS7" i="5"/>
  <c r="AY6"/>
  <c r="AY7" l="1"/>
  <c r="BB7" s="1"/>
  <c r="BE7" s="1"/>
  <c r="AS8"/>
  <c r="BB6"/>
  <c r="BE6" s="1"/>
  <c r="X9" i="3"/>
  <c r="Y8"/>
  <c r="AS9" i="5" l="1"/>
  <c r="AY8"/>
  <c r="BB8" s="1"/>
  <c r="BE8" s="1"/>
  <c r="I2" i="63"/>
  <c r="BF6" i="5"/>
  <c r="BG6" s="1"/>
  <c r="G6" i="65" s="1"/>
  <c r="Y9" i="3"/>
  <c r="X10"/>
  <c r="I3" i="63"/>
  <c r="BF7" i="5"/>
  <c r="BG7" s="1"/>
  <c r="G7" i="65" s="1"/>
  <c r="BF8" i="5" l="1"/>
  <c r="BG8" s="1"/>
  <c r="G8" i="65" s="1"/>
  <c r="I4" i="63"/>
  <c r="AY9" i="5"/>
  <c r="BB9" s="1"/>
  <c r="BE9" s="1"/>
  <c r="AS10"/>
  <c r="X11" i="3"/>
  <c r="Y10"/>
  <c r="G5" i="65"/>
  <c r="I5" i="63" l="1"/>
  <c r="BF9" i="5"/>
  <c r="BG9" s="1"/>
  <c r="G9" i="65" s="1"/>
  <c r="AS11" i="5"/>
  <c r="AY10"/>
  <c r="BB10" s="1"/>
  <c r="BE10" s="1"/>
  <c r="X12" i="3"/>
  <c r="Y11"/>
  <c r="AY11" i="5" l="1"/>
  <c r="BB11" s="1"/>
  <c r="BE11" s="1"/>
  <c r="AS12"/>
  <c r="I6" i="63"/>
  <c r="BF10" i="5"/>
  <c r="BG10" s="1"/>
  <c r="G10" i="65" s="1"/>
  <c r="X13" i="3"/>
  <c r="Y12"/>
  <c r="BF11" i="5" l="1"/>
  <c r="BG11" s="1"/>
  <c r="G11" i="65" s="1"/>
  <c r="I7" i="63"/>
  <c r="AY12" i="5"/>
  <c r="BB12" s="1"/>
  <c r="BE12" s="1"/>
  <c r="AS13"/>
  <c r="X14" i="3"/>
  <c r="Y13"/>
  <c r="AS14" i="5" l="1"/>
  <c r="AY13"/>
  <c r="BB13" s="1"/>
  <c r="BE13" s="1"/>
  <c r="I8" i="63"/>
  <c r="BF12" i="5"/>
  <c r="BG12" s="1"/>
  <c r="G12" i="65" s="1"/>
  <c r="X15" i="3"/>
  <c r="Y14"/>
  <c r="I9" i="63" l="1"/>
  <c r="BF13" i="5"/>
  <c r="BG13" s="1"/>
  <c r="G13" i="65" s="1"/>
  <c r="AS15" i="5"/>
  <c r="AY14"/>
  <c r="BB14" s="1"/>
  <c r="BE14" s="1"/>
  <c r="Y15" i="3"/>
  <c r="X16"/>
  <c r="AY15" i="5" l="1"/>
  <c r="BB15" s="1"/>
  <c r="BE15" s="1"/>
  <c r="AS16"/>
  <c r="BF14"/>
  <c r="BG14" s="1"/>
  <c r="G14" i="65" s="1"/>
  <c r="I10" i="63"/>
  <c r="X17" i="3"/>
  <c r="Y16"/>
  <c r="I11" i="63" l="1"/>
  <c r="BF15" i="5"/>
  <c r="BG15" s="1"/>
  <c r="G15" i="65" s="1"/>
  <c r="AS17" i="5"/>
  <c r="AY16"/>
  <c r="BB16" s="1"/>
  <c r="BE16" s="1"/>
  <c r="Y17" i="3"/>
  <c r="X18"/>
  <c r="AS18" i="5" l="1"/>
  <c r="AY17"/>
  <c r="BB17" s="1"/>
  <c r="BE17" s="1"/>
  <c r="I12" i="63"/>
  <c r="BF16" i="5"/>
  <c r="BG16" s="1"/>
  <c r="G16" i="65" s="1"/>
  <c r="X19" i="3"/>
  <c r="Y18"/>
  <c r="BF17" i="5" l="1"/>
  <c r="BG17" s="1"/>
  <c r="G17" i="65" s="1"/>
  <c r="I13" i="63"/>
  <c r="AY18" i="5"/>
  <c r="BB18" s="1"/>
  <c r="BE18" s="1"/>
  <c r="AS19"/>
  <c r="X20" i="3"/>
  <c r="Y19"/>
  <c r="I14" i="63" l="1"/>
  <c r="BF18" i="5"/>
  <c r="BG18" s="1"/>
  <c r="G18" i="65" s="1"/>
  <c r="AS20" i="5"/>
  <c r="AY19"/>
  <c r="BB19" s="1"/>
  <c r="BE19" s="1"/>
  <c r="X21" i="3"/>
  <c r="X22" s="1"/>
  <c r="Y20"/>
  <c r="Y21" s="1"/>
  <c r="AY20" i="5" l="1"/>
  <c r="BB20" s="1"/>
  <c r="BE20" s="1"/>
  <c r="AS21"/>
  <c r="Y22" i="3"/>
  <c r="X23"/>
  <c r="I15" i="63"/>
  <c r="BF19" i="5"/>
  <c r="BG19" s="1"/>
  <c r="G19" i="65" s="1"/>
  <c r="I16" i="63" l="1"/>
  <c r="BF20" i="5"/>
  <c r="BG20" s="1"/>
  <c r="G20" i="65" s="1"/>
  <c r="AS22" i="5"/>
  <c r="AY21"/>
  <c r="BB21" s="1"/>
  <c r="BE21" s="1"/>
  <c r="X24" i="3"/>
  <c r="Y23"/>
  <c r="AS23" i="5" l="1"/>
  <c r="AY22"/>
  <c r="BB22" s="1"/>
  <c r="BE22" s="1"/>
  <c r="BF21"/>
  <c r="BG21" s="1"/>
  <c r="G21" i="65" s="1"/>
  <c r="I17" i="63"/>
  <c r="Y24" i="3"/>
  <c r="X25"/>
  <c r="AY23" i="5" l="1"/>
  <c r="BB23" s="1"/>
  <c r="BE23" s="1"/>
  <c r="AS24"/>
  <c r="BF22"/>
  <c r="BG22" s="1"/>
  <c r="G22" i="65" s="1"/>
  <c r="I18" i="63"/>
  <c r="X26" i="3"/>
  <c r="Y25"/>
  <c r="BF23" i="5" l="1"/>
  <c r="BG23" s="1"/>
  <c r="G23" i="65" s="1"/>
  <c r="I19" i="63"/>
  <c r="AS25" i="5"/>
  <c r="AY24"/>
  <c r="BB24" s="1"/>
  <c r="BE24" s="1"/>
  <c r="X27" i="3"/>
  <c r="Y26"/>
  <c r="AY25" i="5" l="1"/>
  <c r="BB25" s="1"/>
  <c r="BE25" s="1"/>
  <c r="AS26"/>
  <c r="BF24"/>
  <c r="BG24" s="1"/>
  <c r="G24" i="65" s="1"/>
  <c r="I20" i="63"/>
  <c r="Y27" i="3"/>
  <c r="X28"/>
  <c r="I21" i="63" l="1"/>
  <c r="BF25" i="5"/>
  <c r="BG25" s="1"/>
  <c r="G25" i="65" s="1"/>
  <c r="AS27" i="5"/>
  <c r="AY26"/>
  <c r="BB26" s="1"/>
  <c r="BE26" s="1"/>
  <c r="Y28" i="3"/>
  <c r="X29"/>
  <c r="AS28" i="5" l="1"/>
  <c r="AY27"/>
  <c r="BB27" s="1"/>
  <c r="BE27" s="1"/>
  <c r="I22" i="63"/>
  <c r="BF26" i="5"/>
  <c r="BG26" s="1"/>
  <c r="G26" i="65" s="1"/>
  <c r="Y29" i="3"/>
  <c r="X30"/>
  <c r="AY28" i="5" l="1"/>
  <c r="BB28" s="1"/>
  <c r="BE28" s="1"/>
  <c r="AS29"/>
  <c r="BF27"/>
  <c r="BG27" s="1"/>
  <c r="G27" i="65" s="1"/>
  <c r="I23" i="63"/>
  <c r="Y30" i="3"/>
  <c r="X31"/>
  <c r="BF28" i="5" l="1"/>
  <c r="BG28" s="1"/>
  <c r="G28" i="65" s="1"/>
  <c r="I24" i="63"/>
  <c r="AS30" i="5"/>
  <c r="AY29"/>
  <c r="BB29" s="1"/>
  <c r="BE29" s="1"/>
  <c r="X32" i="3"/>
  <c r="Y31"/>
  <c r="AY30" i="5" l="1"/>
  <c r="BB30" s="1"/>
  <c r="BE30" s="1"/>
  <c r="AS31"/>
  <c r="I25" i="63"/>
  <c r="BF29" i="5"/>
  <c r="BG29" s="1"/>
  <c r="G29" i="65" s="1"/>
  <c r="Y32" i="3"/>
  <c r="X33"/>
  <c r="Y33" s="1"/>
  <c r="BF30" i="5" l="1"/>
  <c r="BG30" s="1"/>
  <c r="G30" i="65" s="1"/>
  <c r="I26" i="63"/>
  <c r="AS32" i="5"/>
  <c r="AY31"/>
  <c r="BB31" s="1"/>
  <c r="BE31" s="1"/>
  <c r="AS33" l="1"/>
  <c r="AY32"/>
  <c r="BB32" s="1"/>
  <c r="BE32" s="1"/>
  <c r="I27" i="63"/>
  <c r="BF31" i="5"/>
  <c r="BG31" s="1"/>
  <c r="G31" i="65" s="1"/>
  <c r="I28" i="63" l="1"/>
  <c r="BF32" i="5"/>
  <c r="BG32" s="1"/>
  <c r="G32" i="65" s="1"/>
  <c r="AY33" i="5"/>
  <c r="BB33" s="1"/>
  <c r="BE33" s="1"/>
  <c r="AS34"/>
  <c r="I29" i="63" l="1"/>
  <c r="BF33" i="5"/>
  <c r="BG33" s="1"/>
  <c r="G33" i="65" s="1"/>
  <c r="AS35" i="5"/>
  <c r="AY34"/>
  <c r="BB34" s="1"/>
  <c r="BE34" s="1"/>
  <c r="AY35" l="1"/>
  <c r="BB35" s="1"/>
  <c r="BE35" s="1"/>
  <c r="AS36"/>
  <c r="AY36" s="1"/>
  <c r="BF34"/>
  <c r="BG34" s="1"/>
  <c r="G34" i="65" s="1"/>
  <c r="I30" i="63"/>
  <c r="BB36" i="5" l="1"/>
  <c r="BE36" s="1"/>
  <c r="BF36" s="1"/>
  <c r="BG36" s="1"/>
  <c r="I31" i="63"/>
  <c r="BF35" i="5"/>
  <c r="BG35" s="1"/>
</calcChain>
</file>

<file path=xl/comments1.xml><?xml version="1.0" encoding="utf-8"?>
<comments xmlns="http://schemas.openxmlformats.org/spreadsheetml/2006/main">
  <authors>
    <author>hussein.saleh</author>
  </authors>
  <commentList>
    <comment ref="R11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we are not able to take the Edl record </t>
        </r>
      </text>
    </comment>
  </commentList>
</comments>
</file>

<file path=xl/comments2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</commentList>
</comments>
</file>

<file path=xl/comments3.xml><?xml version="1.0" encoding="utf-8"?>
<comments xmlns="http://schemas.openxmlformats.org/spreadsheetml/2006/main">
  <authors>
    <author>hussein.saleh</author>
  </authors>
  <commentList>
    <comment ref="Q25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comments4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<sst xmlns="http://schemas.openxmlformats.org/spreadsheetml/2006/main" count="652" uniqueCount="417">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</sst>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1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23" fillId="26" borderId="0" xfId="0" applyNumberFormat="1" applyFont="1" applyFill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14" fontId="0" fillId="24" borderId="0" xfId="0" applyNumberFormat="1" applyFill="1" applyBorder="1" applyAlignment="1">
      <alignment horizontal="center" vertical="center"/>
    </xf>
    <xf numFmtId="0" fontId="0" fillId="24" borderId="0" xfId="0" applyFill="1" applyBorder="1" applyAlignment="1">
      <alignment horizontal="center" vertical="center"/>
    </xf>
    <xf numFmtId="0" fontId="0" fillId="24" borderId="0" xfId="0" applyNumberFormat="1" applyFill="1" applyBorder="1" applyAlignment="1">
      <alignment horizontal="center" vertical="center"/>
    </xf>
    <xf numFmtId="44" fontId="0" fillId="24" borderId="0" xfId="0" applyNumberFormat="1" applyFill="1" applyBorder="1" applyAlignment="1">
      <alignment horizontal="center" vertical="center"/>
    </xf>
    <xf numFmtId="43" fontId="18" fillId="24" borderId="0" xfId="1" applyFont="1" applyFill="1" applyBorder="1" applyAlignment="1">
      <alignment horizontal="center" vertical="center"/>
    </xf>
    <xf numFmtId="177" fontId="0" fillId="24" borderId="0" xfId="0" applyNumberFormat="1" applyFill="1" applyBorder="1"/>
    <xf numFmtId="43" fontId="0" fillId="24" borderId="0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9" fontId="0" fillId="0" borderId="2" xfId="4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43" fontId="0" fillId="0" borderId="15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33" xfId="0" applyNumberFormat="1" applyBorder="1" applyAlignment="1">
      <alignment horizontal="center" vertical="center"/>
    </xf>
    <xf numFmtId="43" fontId="0" fillId="0" borderId="33" xfId="0" applyNumberFormat="1" applyBorder="1" applyAlignment="1">
      <alignment horizontal="center" vertical="center"/>
    </xf>
    <xf numFmtId="43" fontId="0" fillId="0" borderId="34" xfId="0" applyNumberFormat="1" applyBorder="1" applyAlignment="1">
      <alignment horizontal="center" vertical="center"/>
    </xf>
    <xf numFmtId="0" fontId="0" fillId="0" borderId="72" xfId="0" applyBorder="1"/>
    <xf numFmtId="43" fontId="24" fillId="0" borderId="72" xfId="0" applyNumberFormat="1" applyFont="1" applyBorder="1"/>
    <xf numFmtId="0" fontId="0" fillId="0" borderId="73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1" fontId="0" fillId="31" borderId="7" xfId="0" applyNumberFormat="1" applyFill="1" applyBorder="1" applyAlignment="1">
      <alignment horizontal="left"/>
    </xf>
    <xf numFmtId="1" fontId="0" fillId="31" borderId="7" xfId="1" applyNumberFormat="1" applyFont="1" applyFill="1" applyBorder="1" applyAlignment="1">
      <alignment horizontal="left"/>
    </xf>
    <xf numFmtId="0" fontId="23" fillId="5" borderId="1" xfId="0" applyFont="1" applyFill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44" fontId="0" fillId="3" borderId="1" xfId="2" applyFont="1" applyFill="1" applyBorder="1"/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9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11854</c:v>
                </c:pt>
                <c:pt idx="1">
                  <c:v>10203</c:v>
                </c:pt>
                <c:pt idx="2">
                  <c:v>10041</c:v>
                </c:pt>
                <c:pt idx="3">
                  <c:v>8684</c:v>
                </c:pt>
                <c:pt idx="4">
                  <c:v>7992</c:v>
                </c:pt>
                <c:pt idx="5">
                  <c:v>9176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207900032"/>
        <c:axId val="92529792"/>
      </c:lineChart>
      <c:catAx>
        <c:axId val="207900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529792"/>
        <c:crosses val="autoZero"/>
        <c:auto val="1"/>
        <c:lblAlgn val="ctr"/>
        <c:lblOffset val="100"/>
      </c:catAx>
      <c:valAx>
        <c:axId val="925297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7900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899"/>
          <c:w val="0.11899800868449698"/>
          <c:h val="4.498269896194655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4253</c:v>
                </c:pt>
                <c:pt idx="1">
                  <c:v>4386</c:v>
                </c:pt>
                <c:pt idx="2">
                  <c:v>5218</c:v>
                </c:pt>
                <c:pt idx="3">
                  <c:v>3716</c:v>
                </c:pt>
                <c:pt idx="4">
                  <c:v>3382</c:v>
                </c:pt>
                <c:pt idx="5">
                  <c:v>3957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8976896"/>
        <c:axId val="98978432"/>
      </c:lineChart>
      <c:catAx>
        <c:axId val="98976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978432"/>
        <c:crosses val="autoZero"/>
        <c:auto val="1"/>
        <c:lblAlgn val="ctr"/>
        <c:lblOffset val="100"/>
      </c:catAx>
      <c:valAx>
        <c:axId val="989784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976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6995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8990336"/>
        <c:axId val="98996224"/>
      </c:lineChart>
      <c:catAx>
        <c:axId val="98990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996224"/>
        <c:crosses val="autoZero"/>
        <c:auto val="1"/>
        <c:lblAlgn val="ctr"/>
        <c:lblOffset val="100"/>
      </c:catAx>
      <c:valAx>
        <c:axId val="9899622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990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5693"/>
          <c:y val="0.62975887529635899"/>
          <c:w val="7.9124755870162669E-2"/>
          <c:h val="4.498269896194655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9011968"/>
        <c:axId val="99017856"/>
      </c:lineChart>
      <c:catAx>
        <c:axId val="99011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017856"/>
        <c:crosses val="autoZero"/>
        <c:auto val="1"/>
        <c:lblAlgn val="ctr"/>
        <c:lblOffset val="100"/>
      </c:catAx>
      <c:valAx>
        <c:axId val="9901785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011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3511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224</c:v>
                </c:pt>
                <c:pt idx="1">
                  <c:v>190.22222222222223</c:v>
                </c:pt>
                <c:pt idx="2">
                  <c:v>244.5</c:v>
                </c:pt>
                <c:pt idx="3">
                  <c:v>249</c:v>
                </c:pt>
                <c:pt idx="4">
                  <c:v>208.66666666666666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9304192"/>
        <c:axId val="99305728"/>
      </c:lineChart>
      <c:catAx>
        <c:axId val="99304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305728"/>
        <c:crosses val="autoZero"/>
        <c:auto val="1"/>
        <c:lblAlgn val="ctr"/>
        <c:lblOffset val="100"/>
      </c:catAx>
      <c:valAx>
        <c:axId val="9930572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304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0971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9510528"/>
        <c:axId val="99512320"/>
      </c:lineChart>
      <c:catAx>
        <c:axId val="99510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512320"/>
        <c:crosses val="autoZero"/>
        <c:auto val="1"/>
        <c:lblAlgn val="ctr"/>
        <c:lblOffset val="100"/>
      </c:catAx>
      <c:valAx>
        <c:axId val="995123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510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9519872"/>
        <c:axId val="99542144"/>
      </c:lineChart>
      <c:catAx>
        <c:axId val="99519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542144"/>
        <c:crosses val="autoZero"/>
        <c:auto val="1"/>
        <c:lblAlgn val="ctr"/>
        <c:lblOffset val="100"/>
      </c:catAx>
      <c:valAx>
        <c:axId val="995421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519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90</c:v>
                </c:pt>
                <c:pt idx="2">
                  <c:v>0</c:v>
                </c:pt>
                <c:pt idx="3">
                  <c:v>98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9631488"/>
        <c:axId val="99633024"/>
      </c:lineChart>
      <c:catAx>
        <c:axId val="99631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633024"/>
        <c:crosses val="autoZero"/>
        <c:auto val="1"/>
        <c:lblAlgn val="ctr"/>
        <c:lblOffset val="100"/>
      </c:catAx>
      <c:valAx>
        <c:axId val="996330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631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27.5</c:v>
                </c:pt>
                <c:pt idx="1">
                  <c:v>28</c:v>
                </c:pt>
                <c:pt idx="2">
                  <c:v>26.5</c:v>
                </c:pt>
                <c:pt idx="3">
                  <c:v>27</c:v>
                </c:pt>
                <c:pt idx="4">
                  <c:v>28.5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9649024"/>
        <c:axId val="99650560"/>
      </c:lineChart>
      <c:catAx>
        <c:axId val="99649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650560"/>
        <c:crosses val="autoZero"/>
        <c:auto val="1"/>
        <c:lblAlgn val="ctr"/>
        <c:lblOffset val="100"/>
      </c:catAx>
      <c:valAx>
        <c:axId val="996505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649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2985"/>
          <c:w val="0.12724033151772707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9674752"/>
        <c:axId val="99754368"/>
      </c:lineChart>
      <c:catAx>
        <c:axId val="99674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54368"/>
        <c:crosses val="autoZero"/>
        <c:auto val="1"/>
        <c:lblAlgn val="ctr"/>
        <c:lblOffset val="100"/>
      </c:catAx>
      <c:valAx>
        <c:axId val="997543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674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0</c:v>
                </c:pt>
                <c:pt idx="1">
                  <c:v>1.7999999999883585</c:v>
                </c:pt>
                <c:pt idx="2">
                  <c:v>232</c:v>
                </c:pt>
                <c:pt idx="3">
                  <c:v>116</c:v>
                </c:pt>
                <c:pt idx="4">
                  <c:v>53</c:v>
                </c:pt>
                <c:pt idx="5">
                  <c:v>96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9692544"/>
        <c:axId val="99694080"/>
      </c:lineChart>
      <c:catAx>
        <c:axId val="99692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694080"/>
        <c:crosses val="autoZero"/>
        <c:auto val="1"/>
        <c:lblAlgn val="ctr"/>
        <c:lblOffset val="100"/>
      </c:catAx>
      <c:valAx>
        <c:axId val="996940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692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2985"/>
          <c:w val="0.1354168853893490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-30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9722368"/>
        <c:axId val="99723904"/>
      </c:lineChart>
      <c:catAx>
        <c:axId val="99722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23904"/>
        <c:crosses val="autoZero"/>
        <c:auto val="1"/>
        <c:lblAlgn val="ctr"/>
        <c:lblOffset val="100"/>
      </c:catAx>
      <c:valAx>
        <c:axId val="997239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22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298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11854</c:v>
                </c:pt>
                <c:pt idx="1">
                  <c:v>10203</c:v>
                </c:pt>
                <c:pt idx="2">
                  <c:v>10041</c:v>
                </c:pt>
                <c:pt idx="3">
                  <c:v>8684</c:v>
                </c:pt>
                <c:pt idx="4">
                  <c:v>7992</c:v>
                </c:pt>
                <c:pt idx="5">
                  <c:v>9176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0932224"/>
        <c:axId val="100942208"/>
      </c:lineChart>
      <c:catAx>
        <c:axId val="100932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942208"/>
        <c:crosses val="autoZero"/>
        <c:auto val="1"/>
        <c:lblAlgn val="ctr"/>
        <c:lblOffset val="100"/>
      </c:catAx>
      <c:valAx>
        <c:axId val="1009422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932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899"/>
          <c:w val="0.12291688538932598"/>
          <c:h val="4.498269896194651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4253</c:v>
                </c:pt>
                <c:pt idx="1">
                  <c:v>4386</c:v>
                </c:pt>
                <c:pt idx="2">
                  <c:v>5218</c:v>
                </c:pt>
                <c:pt idx="3">
                  <c:v>3716</c:v>
                </c:pt>
                <c:pt idx="4">
                  <c:v>3382</c:v>
                </c:pt>
                <c:pt idx="5">
                  <c:v>3957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0982784"/>
        <c:axId val="100984320"/>
      </c:lineChart>
      <c:catAx>
        <c:axId val="100982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984320"/>
        <c:crosses val="autoZero"/>
        <c:auto val="1"/>
        <c:lblAlgn val="ctr"/>
        <c:lblOffset val="100"/>
      </c:catAx>
      <c:valAx>
        <c:axId val="1009843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982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2985"/>
          <c:w val="0.1354168853893490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0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2423296"/>
        <c:axId val="92424832"/>
      </c:lineChart>
      <c:catAx>
        <c:axId val="92423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424832"/>
        <c:crosses val="autoZero"/>
        <c:auto val="1"/>
        <c:lblAlgn val="ctr"/>
        <c:lblOffset val="100"/>
      </c:catAx>
      <c:valAx>
        <c:axId val="9242483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423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3361"/>
          <c:y val="0.54325368498487869"/>
          <c:w val="0.11458355205599259"/>
          <c:h val="4.498269896194596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-614.35483870968164</c:v>
                </c:pt>
                <c:pt idx="1">
                  <c:v>-271.67741935483355</c:v>
                </c:pt>
                <c:pt idx="2">
                  <c:v>-586.0161290322576</c:v>
                </c:pt>
                <c:pt idx="3">
                  <c:v>-745.69354838707659</c:v>
                </c:pt>
                <c:pt idx="4">
                  <c:v>-592.3548387096962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2449024"/>
        <c:axId val="92450816"/>
      </c:lineChart>
      <c:catAx>
        <c:axId val="92449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450816"/>
        <c:crosses val="autoZero"/>
        <c:auto val="1"/>
        <c:lblAlgn val="ctr"/>
        <c:lblOffset val="100"/>
      </c:catAx>
      <c:valAx>
        <c:axId val="924508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449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2002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9782656"/>
        <c:axId val="99784192"/>
      </c:lineChart>
      <c:catAx>
        <c:axId val="99782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84192"/>
        <c:crosses val="autoZero"/>
        <c:auto val="1"/>
        <c:lblAlgn val="ctr"/>
        <c:lblOffset val="100"/>
      </c:catAx>
      <c:valAx>
        <c:axId val="997841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82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899"/>
          <c:w val="0.13541688538934937"/>
          <c:h val="4.498269896194651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024896"/>
        <c:axId val="101026432"/>
      </c:lineChart>
      <c:catAx>
        <c:axId val="101024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026432"/>
        <c:crosses val="autoZero"/>
        <c:auto val="1"/>
        <c:lblAlgn val="ctr"/>
        <c:lblOffset val="100"/>
      </c:catAx>
      <c:valAx>
        <c:axId val="10102643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024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899"/>
          <c:w val="9.730870597697025E-2"/>
          <c:h val="4.498269896194651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8114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038336"/>
        <c:axId val="101056512"/>
      </c:lineChart>
      <c:catAx>
        <c:axId val="101038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056512"/>
        <c:crosses val="autoZero"/>
        <c:auto val="1"/>
        <c:lblAlgn val="ctr"/>
        <c:lblOffset val="100"/>
      </c:catAx>
      <c:valAx>
        <c:axId val="10105651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038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651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072256"/>
        <c:axId val="101078144"/>
      </c:lineChart>
      <c:catAx>
        <c:axId val="101072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078144"/>
        <c:crosses val="autoZero"/>
        <c:auto val="1"/>
        <c:lblAlgn val="ctr"/>
        <c:lblOffset val="100"/>
      </c:catAx>
      <c:valAx>
        <c:axId val="1010781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072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5822"/>
          <c:y val="0.62975887529635899"/>
          <c:w val="0.13250539334757044"/>
          <c:h val="4.498269896194651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90</c:v>
                </c:pt>
                <c:pt idx="2">
                  <c:v>0</c:v>
                </c:pt>
                <c:pt idx="3">
                  <c:v>98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098240"/>
        <c:axId val="101099776"/>
      </c:lineChart>
      <c:catAx>
        <c:axId val="101098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099776"/>
        <c:crosses val="autoZero"/>
        <c:auto val="1"/>
        <c:lblAlgn val="ctr"/>
        <c:lblOffset val="100"/>
      </c:catAx>
      <c:valAx>
        <c:axId val="1010997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098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298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27.5</c:v>
                </c:pt>
                <c:pt idx="1">
                  <c:v>28</c:v>
                </c:pt>
                <c:pt idx="2">
                  <c:v>26.5</c:v>
                </c:pt>
                <c:pt idx="3">
                  <c:v>27</c:v>
                </c:pt>
                <c:pt idx="4">
                  <c:v>28.5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267328"/>
        <c:axId val="101268864"/>
      </c:lineChart>
      <c:catAx>
        <c:axId val="101267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268864"/>
        <c:crosses val="autoZero"/>
        <c:auto val="1"/>
        <c:lblAlgn val="ctr"/>
        <c:lblOffset val="100"/>
      </c:catAx>
      <c:valAx>
        <c:axId val="1012688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267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3511"/>
          <c:w val="0.12343118198092651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-475.80000000000018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8">
                  <c:v>306.99999999999983</c:v>
                </c:pt>
                <c:pt idx="9">
                  <c:v>46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01326848"/>
        <c:axId val="101328384"/>
      </c:lineChart>
      <c:catAx>
        <c:axId val="10132684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28384"/>
        <c:crosses val="autoZero"/>
        <c:auto val="1"/>
        <c:lblAlgn val="ctr"/>
        <c:lblOffset val="100"/>
      </c:catAx>
      <c:valAx>
        <c:axId val="10132838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26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3045"/>
          <c:w val="0.15690398532821387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224</c:v>
                </c:pt>
                <c:pt idx="1">
                  <c:v>190.22222222222223</c:v>
                </c:pt>
                <c:pt idx="2">
                  <c:v>244.5</c:v>
                </c:pt>
                <c:pt idx="3">
                  <c:v>249</c:v>
                </c:pt>
                <c:pt idx="4">
                  <c:v>208.66666666666666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344000"/>
        <c:axId val="101345536"/>
      </c:lineChart>
      <c:catAx>
        <c:axId val="101344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45536"/>
        <c:crosses val="autoZero"/>
        <c:auto val="1"/>
        <c:lblAlgn val="ctr"/>
        <c:lblOffset val="100"/>
      </c:catAx>
      <c:valAx>
        <c:axId val="10134553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44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899"/>
          <c:w val="0.14853578449139951"/>
          <c:h val="4.498269896194681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27.5</c:v>
                </c:pt>
                <c:pt idx="1">
                  <c:v>28</c:v>
                </c:pt>
                <c:pt idx="2">
                  <c:v>26.5</c:v>
                </c:pt>
                <c:pt idx="3">
                  <c:v>27</c:v>
                </c:pt>
                <c:pt idx="4">
                  <c:v>28.5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402880"/>
        <c:axId val="101437440"/>
      </c:lineChart>
      <c:catAx>
        <c:axId val="101402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37440"/>
        <c:crosses val="autoZero"/>
        <c:auto val="1"/>
        <c:lblAlgn val="ctr"/>
        <c:lblOffset val="100"/>
      </c:catAx>
      <c:valAx>
        <c:axId val="1014374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02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5152"/>
          <c:y val="0.62975887529635899"/>
          <c:w val="0.12164948453608219"/>
          <c:h val="4.498269896194681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0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896576"/>
        <c:axId val="101898112"/>
      </c:lineChart>
      <c:catAx>
        <c:axId val="101896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898112"/>
        <c:crosses val="autoZero"/>
        <c:auto val="1"/>
        <c:lblAlgn val="ctr"/>
        <c:lblOffset val="100"/>
      </c:catAx>
      <c:valAx>
        <c:axId val="10189811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896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4253</c:v>
                </c:pt>
                <c:pt idx="1">
                  <c:v>4386</c:v>
                </c:pt>
                <c:pt idx="2">
                  <c:v>5218</c:v>
                </c:pt>
                <c:pt idx="3">
                  <c:v>3716</c:v>
                </c:pt>
                <c:pt idx="4">
                  <c:v>3382</c:v>
                </c:pt>
                <c:pt idx="5">
                  <c:v>3957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2299136"/>
        <c:axId val="102300672"/>
      </c:lineChart>
      <c:catAx>
        <c:axId val="102299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300672"/>
        <c:crosses val="autoZero"/>
        <c:auto val="1"/>
        <c:lblAlgn val="ctr"/>
        <c:lblOffset val="100"/>
      </c:catAx>
      <c:valAx>
        <c:axId val="1023006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299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3944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-475.80000000000018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8">
                  <c:v>306.99999999999983</c:v>
                </c:pt>
                <c:pt idx="9">
                  <c:v>46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02334464"/>
        <c:axId val="102336000"/>
      </c:lineChart>
      <c:catAx>
        <c:axId val="10233446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336000"/>
        <c:crosses val="autoZero"/>
        <c:auto val="1"/>
        <c:lblAlgn val="ctr"/>
        <c:lblOffset val="100"/>
      </c:catAx>
      <c:valAx>
        <c:axId val="10233600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334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3045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39</xdr:row>
      <xdr:rowOff>38100</xdr:rowOff>
    </xdr:from>
    <xdr:to>
      <xdr:col>19</xdr:col>
      <xdr:colOff>209550</xdr:colOff>
      <xdr:row>53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119062</xdr:colOff>
      <xdr:row>77</xdr:row>
      <xdr:rowOff>9525</xdr:rowOff>
    </xdr:from>
    <xdr:to>
      <xdr:col>8</xdr:col>
      <xdr:colOff>564356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976812" y="15416213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52388</xdr:colOff>
      <xdr:row>77</xdr:row>
      <xdr:rowOff>164306</xdr:rowOff>
    </xdr:from>
    <xdr:to>
      <xdr:col>13</xdr:col>
      <xdr:colOff>500063</xdr:colOff>
      <xdr:row>78</xdr:row>
      <xdr:rowOff>164306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7946232" y="155709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37</xdr:row>
      <xdr:rowOff>176213</xdr:rowOff>
    </xdr:from>
    <xdr:to>
      <xdr:col>5</xdr:col>
      <xdr:colOff>476250</xdr:colOff>
      <xdr:row>38</xdr:row>
      <xdr:rowOff>176213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37</xdr:row>
      <xdr:rowOff>176213</xdr:rowOff>
    </xdr:from>
    <xdr:to>
      <xdr:col>6</xdr:col>
      <xdr:colOff>476250</xdr:colOff>
      <xdr:row>38</xdr:row>
      <xdr:rowOff>176213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30646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37</xdr:row>
      <xdr:rowOff>176213</xdr:rowOff>
    </xdr:from>
    <xdr:to>
      <xdr:col>9</xdr:col>
      <xdr:colOff>476250</xdr:colOff>
      <xdr:row>38</xdr:row>
      <xdr:rowOff>176213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367188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37</xdr:row>
      <xdr:rowOff>176213</xdr:rowOff>
    </xdr:from>
    <xdr:to>
      <xdr:col>10</xdr:col>
      <xdr:colOff>476250</xdr:colOff>
      <xdr:row>38</xdr:row>
      <xdr:rowOff>176213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549354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28575</xdr:colOff>
      <xdr:row>37</xdr:row>
      <xdr:rowOff>176213</xdr:rowOff>
    </xdr:from>
    <xdr:to>
      <xdr:col>12</xdr:col>
      <xdr:colOff>476250</xdr:colOff>
      <xdr:row>38</xdr:row>
      <xdr:rowOff>176213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610076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59532</xdr:colOff>
      <xdr:row>39</xdr:row>
      <xdr:rowOff>11907</xdr:rowOff>
    </xdr:from>
    <xdr:to>
      <xdr:col>13</xdr:col>
      <xdr:colOff>507207</xdr:colOff>
      <xdr:row>40</xdr:row>
      <xdr:rowOff>11907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28575</xdr:colOff>
      <xdr:row>37</xdr:row>
      <xdr:rowOff>176213</xdr:rowOff>
    </xdr:from>
    <xdr:to>
      <xdr:col>13</xdr:col>
      <xdr:colOff>476250</xdr:colOff>
      <xdr:row>38</xdr:row>
      <xdr:rowOff>176213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731520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59532</xdr:colOff>
      <xdr:row>39</xdr:row>
      <xdr:rowOff>11907</xdr:rowOff>
    </xdr:from>
    <xdr:to>
      <xdr:col>14</xdr:col>
      <xdr:colOff>507207</xdr:colOff>
      <xdr:row>40</xdr:row>
      <xdr:rowOff>11907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795337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28575</xdr:colOff>
      <xdr:row>37</xdr:row>
      <xdr:rowOff>176213</xdr:rowOff>
    </xdr:from>
    <xdr:to>
      <xdr:col>14</xdr:col>
      <xdr:colOff>476250</xdr:colOff>
      <xdr:row>38</xdr:row>
      <xdr:rowOff>176213</xdr:rowOff>
    </xdr:to>
    <xdr:sp macro="" textlink="">
      <xdr:nvSpPr>
        <xdr:cNvPr id="28" name="Line 12"/>
        <xdr:cNvSpPr>
          <a:spLocks noChangeShapeType="1"/>
        </xdr:cNvSpPr>
      </xdr:nvSpPr>
      <xdr:spPr bwMode="auto">
        <a:xfrm flipH="1">
          <a:off x="792241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59532</xdr:colOff>
      <xdr:row>39</xdr:row>
      <xdr:rowOff>11907</xdr:rowOff>
    </xdr:from>
    <xdr:to>
      <xdr:col>17</xdr:col>
      <xdr:colOff>507207</xdr:colOff>
      <xdr:row>40</xdr:row>
      <xdr:rowOff>11907</xdr:rowOff>
    </xdr:to>
    <xdr:sp macro="" textlink="">
      <xdr:nvSpPr>
        <xdr:cNvPr id="29" name="Line 12"/>
        <xdr:cNvSpPr>
          <a:spLocks noChangeShapeType="1"/>
        </xdr:cNvSpPr>
      </xdr:nvSpPr>
      <xdr:spPr bwMode="auto">
        <a:xfrm flipH="1">
          <a:off x="8560595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28575</xdr:colOff>
      <xdr:row>37</xdr:row>
      <xdr:rowOff>176213</xdr:rowOff>
    </xdr:from>
    <xdr:to>
      <xdr:col>17</xdr:col>
      <xdr:colOff>476250</xdr:colOff>
      <xdr:row>38</xdr:row>
      <xdr:rowOff>176213</xdr:rowOff>
    </xdr:to>
    <xdr:sp macro="" textlink="">
      <xdr:nvSpPr>
        <xdr:cNvPr id="30" name="Line 12"/>
        <xdr:cNvSpPr>
          <a:spLocks noChangeShapeType="1"/>
        </xdr:cNvSpPr>
      </xdr:nvSpPr>
      <xdr:spPr bwMode="auto">
        <a:xfrm flipH="1">
          <a:off x="852963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59532</xdr:colOff>
      <xdr:row>39</xdr:row>
      <xdr:rowOff>11907</xdr:rowOff>
    </xdr:from>
    <xdr:to>
      <xdr:col>18</xdr:col>
      <xdr:colOff>507207</xdr:colOff>
      <xdr:row>40</xdr:row>
      <xdr:rowOff>11907</xdr:rowOff>
    </xdr:to>
    <xdr:sp macro="" textlink="">
      <xdr:nvSpPr>
        <xdr:cNvPr id="31" name="Line 12"/>
        <xdr:cNvSpPr>
          <a:spLocks noChangeShapeType="1"/>
        </xdr:cNvSpPr>
      </xdr:nvSpPr>
      <xdr:spPr bwMode="auto">
        <a:xfrm flipH="1">
          <a:off x="10382251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28575</xdr:colOff>
      <xdr:row>37</xdr:row>
      <xdr:rowOff>176213</xdr:rowOff>
    </xdr:from>
    <xdr:to>
      <xdr:col>18</xdr:col>
      <xdr:colOff>476250</xdr:colOff>
      <xdr:row>38</xdr:row>
      <xdr:rowOff>176213</xdr:rowOff>
    </xdr:to>
    <xdr:sp macro="" textlink="">
      <xdr:nvSpPr>
        <xdr:cNvPr id="32" name="Line 12"/>
        <xdr:cNvSpPr>
          <a:spLocks noChangeShapeType="1"/>
        </xdr:cNvSpPr>
      </xdr:nvSpPr>
      <xdr:spPr bwMode="auto">
        <a:xfrm flipH="1">
          <a:off x="1035129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59532</xdr:colOff>
      <xdr:row>39</xdr:row>
      <xdr:rowOff>11907</xdr:rowOff>
    </xdr:from>
    <xdr:to>
      <xdr:col>21</xdr:col>
      <xdr:colOff>507207</xdr:colOff>
      <xdr:row>40</xdr:row>
      <xdr:rowOff>11907</xdr:rowOff>
    </xdr:to>
    <xdr:sp macro="" textlink="">
      <xdr:nvSpPr>
        <xdr:cNvPr id="33" name="Line 12"/>
        <xdr:cNvSpPr>
          <a:spLocks noChangeShapeType="1"/>
        </xdr:cNvSpPr>
      </xdr:nvSpPr>
      <xdr:spPr bwMode="auto">
        <a:xfrm flipH="1">
          <a:off x="10989470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28575</xdr:colOff>
      <xdr:row>37</xdr:row>
      <xdr:rowOff>176213</xdr:rowOff>
    </xdr:from>
    <xdr:to>
      <xdr:col>21</xdr:col>
      <xdr:colOff>476250</xdr:colOff>
      <xdr:row>38</xdr:row>
      <xdr:rowOff>176213</xdr:rowOff>
    </xdr:to>
    <xdr:sp macro="" textlink="">
      <xdr:nvSpPr>
        <xdr:cNvPr id="34" name="Line 12"/>
        <xdr:cNvSpPr>
          <a:spLocks noChangeShapeType="1"/>
        </xdr:cNvSpPr>
      </xdr:nvSpPr>
      <xdr:spPr bwMode="auto">
        <a:xfrm flipH="1">
          <a:off x="1095851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59532</xdr:colOff>
      <xdr:row>39</xdr:row>
      <xdr:rowOff>11907</xdr:rowOff>
    </xdr:from>
    <xdr:to>
      <xdr:col>22</xdr:col>
      <xdr:colOff>507207</xdr:colOff>
      <xdr:row>40</xdr:row>
      <xdr:rowOff>11907</xdr:rowOff>
    </xdr:to>
    <xdr:sp macro="" textlink="">
      <xdr:nvSpPr>
        <xdr:cNvPr id="35" name="Line 12"/>
        <xdr:cNvSpPr>
          <a:spLocks noChangeShapeType="1"/>
        </xdr:cNvSpPr>
      </xdr:nvSpPr>
      <xdr:spPr bwMode="auto">
        <a:xfrm flipH="1">
          <a:off x="1281112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28575</xdr:colOff>
      <xdr:row>37</xdr:row>
      <xdr:rowOff>176213</xdr:rowOff>
    </xdr:from>
    <xdr:to>
      <xdr:col>22</xdr:col>
      <xdr:colOff>476250</xdr:colOff>
      <xdr:row>38</xdr:row>
      <xdr:rowOff>176213</xdr:rowOff>
    </xdr:to>
    <xdr:sp macro="" textlink="">
      <xdr:nvSpPr>
        <xdr:cNvPr id="36" name="Line 12"/>
        <xdr:cNvSpPr>
          <a:spLocks noChangeShapeType="1"/>
        </xdr:cNvSpPr>
      </xdr:nvSpPr>
      <xdr:spPr bwMode="auto">
        <a:xfrm flipH="1">
          <a:off x="127801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111919</xdr:colOff>
      <xdr:row>76</xdr:row>
      <xdr:rowOff>188119</xdr:rowOff>
    </xdr:from>
    <xdr:to>
      <xdr:col>2</xdr:col>
      <xdr:colOff>559594</xdr:colOff>
      <xdr:row>77</xdr:row>
      <xdr:rowOff>188119</xdr:rowOff>
    </xdr:to>
    <xdr:sp macro="" textlink="">
      <xdr:nvSpPr>
        <xdr:cNvPr id="37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AUG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SEP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ly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n.saleh\Downloads\MAY%20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NE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Forecast%20Zero%20occupancy%20V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OC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A33">
            <v>0</v>
          </cell>
        </row>
      </sheetData>
      <sheetData sheetId="3">
        <row r="35">
          <cell r="B35">
            <v>239</v>
          </cell>
        </row>
      </sheetData>
      <sheetData sheetId="4">
        <row r="36">
          <cell r="B36">
            <v>109096</v>
          </cell>
        </row>
      </sheetData>
      <sheetData sheetId="5" refreshError="1"/>
      <sheetData sheetId="6">
        <row r="36">
          <cell r="B36">
            <v>32</v>
          </cell>
          <cell r="C36">
            <v>28</v>
          </cell>
          <cell r="D36">
            <v>30</v>
          </cell>
          <cell r="E36">
            <v>0.76</v>
          </cell>
          <cell r="F36">
            <v>0</v>
          </cell>
          <cell r="G36">
            <v>0</v>
          </cell>
          <cell r="K36">
            <v>0</v>
          </cell>
        </row>
      </sheetData>
      <sheetData sheetId="7">
        <row r="36">
          <cell r="B36">
            <v>239</v>
          </cell>
        </row>
      </sheetData>
      <sheetData sheetId="8">
        <row r="33">
          <cell r="B33">
            <v>9112</v>
          </cell>
        </row>
      </sheetData>
      <sheetData sheetId="9" refreshError="1"/>
      <sheetData sheetId="10" refreshError="1"/>
      <sheetData sheetId="11" refreshError="1"/>
      <sheetData sheetId="12">
        <row r="26">
          <cell r="V26">
            <v>76091</v>
          </cell>
        </row>
      </sheetData>
      <sheetData sheetId="13" refreshError="1"/>
      <sheetData sheetId="14">
        <row r="48">
          <cell r="F48">
            <v>30</v>
          </cell>
          <cell r="G48">
            <v>26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27</v>
          </cell>
        </row>
        <row r="51">
          <cell r="F51">
            <v>31</v>
          </cell>
          <cell r="G51">
            <v>26</v>
          </cell>
        </row>
        <row r="52">
          <cell r="F52">
            <v>30</v>
          </cell>
          <cell r="G52">
            <v>27</v>
          </cell>
        </row>
        <row r="53">
          <cell r="F53">
            <v>31</v>
          </cell>
          <cell r="G53">
            <v>26</v>
          </cell>
        </row>
        <row r="54">
          <cell r="F54">
            <v>31</v>
          </cell>
          <cell r="G54">
            <v>23</v>
          </cell>
        </row>
        <row r="55">
          <cell r="F55">
            <v>33</v>
          </cell>
          <cell r="G55">
            <v>24</v>
          </cell>
        </row>
        <row r="56">
          <cell r="F56">
            <v>31</v>
          </cell>
          <cell r="G56">
            <v>27</v>
          </cell>
        </row>
        <row r="57">
          <cell r="F57">
            <v>31</v>
          </cell>
          <cell r="G57">
            <v>23</v>
          </cell>
        </row>
        <row r="58">
          <cell r="F58">
            <v>30</v>
          </cell>
          <cell r="G58">
            <v>27</v>
          </cell>
        </row>
        <row r="59">
          <cell r="F59">
            <v>30</v>
          </cell>
          <cell r="G59">
            <v>26</v>
          </cell>
        </row>
        <row r="60">
          <cell r="F60">
            <v>32</v>
          </cell>
          <cell r="G60">
            <v>23</v>
          </cell>
        </row>
        <row r="61">
          <cell r="F61">
            <v>31</v>
          </cell>
          <cell r="G61">
            <v>24</v>
          </cell>
        </row>
        <row r="62">
          <cell r="F62">
            <v>31</v>
          </cell>
          <cell r="G62">
            <v>24</v>
          </cell>
        </row>
        <row r="63">
          <cell r="F63">
            <v>31</v>
          </cell>
          <cell r="G63">
            <v>25</v>
          </cell>
        </row>
        <row r="64">
          <cell r="F64">
            <v>31</v>
          </cell>
          <cell r="G64">
            <v>26</v>
          </cell>
        </row>
        <row r="65">
          <cell r="F65">
            <v>30</v>
          </cell>
          <cell r="G65">
            <v>26</v>
          </cell>
        </row>
        <row r="66">
          <cell r="F66">
            <v>30</v>
          </cell>
          <cell r="G66">
            <v>25</v>
          </cell>
        </row>
        <row r="67">
          <cell r="F67">
            <v>30</v>
          </cell>
          <cell r="G67">
            <v>25</v>
          </cell>
        </row>
        <row r="68">
          <cell r="F68">
            <v>31</v>
          </cell>
          <cell r="G68">
            <v>27</v>
          </cell>
        </row>
        <row r="69">
          <cell r="F69">
            <v>30</v>
          </cell>
          <cell r="G69">
            <v>26</v>
          </cell>
        </row>
        <row r="70">
          <cell r="F70">
            <v>32</v>
          </cell>
          <cell r="G70">
            <v>26</v>
          </cell>
        </row>
        <row r="71">
          <cell r="F71">
            <v>32</v>
          </cell>
          <cell r="G71">
            <v>27</v>
          </cell>
        </row>
        <row r="72">
          <cell r="F72">
            <v>34</v>
          </cell>
          <cell r="G72">
            <v>18</v>
          </cell>
        </row>
        <row r="73">
          <cell r="F73">
            <v>31</v>
          </cell>
          <cell r="G73">
            <v>27</v>
          </cell>
        </row>
        <row r="74">
          <cell r="F74">
            <v>30</v>
          </cell>
          <cell r="G74">
            <v>26</v>
          </cell>
        </row>
        <row r="75">
          <cell r="F75">
            <v>30</v>
          </cell>
          <cell r="G75">
            <v>26</v>
          </cell>
        </row>
        <row r="76">
          <cell r="F76">
            <v>29</v>
          </cell>
          <cell r="G76">
            <v>26</v>
          </cell>
        </row>
        <row r="77">
          <cell r="F77">
            <v>33</v>
          </cell>
          <cell r="G77">
            <v>27</v>
          </cell>
        </row>
        <row r="78">
          <cell r="F78">
            <v>32</v>
          </cell>
          <cell r="G78">
            <v>28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Utility Cost "/>
      <sheetName val="Degree Days 2020"/>
      <sheetName val="MDB"/>
      <sheetName val="Sheet2"/>
      <sheetName val="Sheet3"/>
    </sheetNames>
    <sheetDataSet>
      <sheetData sheetId="0"/>
      <sheetData sheetId="1"/>
      <sheetData sheetId="2">
        <row r="32">
          <cell r="B32">
            <v>0</v>
          </cell>
          <cell r="D32">
            <v>32287200</v>
          </cell>
          <cell r="E32">
            <v>3568</v>
          </cell>
          <cell r="F32">
            <v>3872020</v>
          </cell>
          <cell r="G32">
            <v>794</v>
          </cell>
          <cell r="H32">
            <v>17670874</v>
          </cell>
          <cell r="I32">
            <v>940</v>
          </cell>
          <cell r="J32">
            <v>28719638</v>
          </cell>
          <cell r="K32">
            <v>1056</v>
          </cell>
          <cell r="L32">
            <v>23688570</v>
          </cell>
          <cell r="M32">
            <v>5496</v>
          </cell>
          <cell r="N32">
            <v>11854</v>
          </cell>
          <cell r="O32">
            <v>0</v>
          </cell>
          <cell r="P32">
            <v>16346</v>
          </cell>
          <cell r="Q32">
            <v>4000</v>
          </cell>
          <cell r="R32">
            <v>7854</v>
          </cell>
          <cell r="S32">
            <v>9708</v>
          </cell>
          <cell r="T32">
            <v>13</v>
          </cell>
          <cell r="U32">
            <v>333763</v>
          </cell>
          <cell r="V32">
            <v>3020</v>
          </cell>
          <cell r="W32">
            <v>32049</v>
          </cell>
          <cell r="X32">
            <v>0</v>
          </cell>
          <cell r="Y32">
            <v>673052</v>
          </cell>
          <cell r="Z32">
            <v>0</v>
          </cell>
          <cell r="AA32">
            <v>35607</v>
          </cell>
          <cell r="AB32">
            <v>0</v>
          </cell>
          <cell r="AC32">
            <v>899488</v>
          </cell>
          <cell r="AD32">
            <v>0</v>
          </cell>
          <cell r="AE32">
            <v>13</v>
          </cell>
          <cell r="AF32">
            <v>3020</v>
          </cell>
          <cell r="AG32">
            <v>232.30769230769232</v>
          </cell>
          <cell r="AI32">
            <v>-448502</v>
          </cell>
        </row>
      </sheetData>
      <sheetData sheetId="3">
        <row r="34">
          <cell r="B34">
            <v>251</v>
          </cell>
          <cell r="C34">
            <v>257</v>
          </cell>
          <cell r="D34">
            <v>4</v>
          </cell>
          <cell r="E34">
            <v>33.520000000000003</v>
          </cell>
          <cell r="F34">
            <v>1648</v>
          </cell>
          <cell r="G34">
            <v>0</v>
          </cell>
          <cell r="H34">
            <v>357868</v>
          </cell>
          <cell r="I34">
            <v>0</v>
          </cell>
          <cell r="J34">
            <v>0</v>
          </cell>
          <cell r="K34">
            <v>2110</v>
          </cell>
          <cell r="L34">
            <v>0</v>
          </cell>
          <cell r="M34">
            <v>154820</v>
          </cell>
          <cell r="N34">
            <v>0</v>
          </cell>
          <cell r="O34">
            <v>211.87499999999994</v>
          </cell>
          <cell r="P34">
            <v>1839</v>
          </cell>
          <cell r="Q34">
            <v>156094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X34">
            <v>2448</v>
          </cell>
          <cell r="Y34">
            <v>0</v>
          </cell>
          <cell r="Z34">
            <v>137506</v>
          </cell>
          <cell r="AA34">
            <v>0</v>
          </cell>
          <cell r="AB34">
            <v>0</v>
          </cell>
          <cell r="AC34">
            <v>1933</v>
          </cell>
          <cell r="AD34">
            <v>0</v>
          </cell>
          <cell r="AE34">
            <v>365210.2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62</v>
          </cell>
          <cell r="AO34">
            <v>1860</v>
          </cell>
          <cell r="AQ34">
            <v>1530</v>
          </cell>
          <cell r="AR34">
            <v>68</v>
          </cell>
          <cell r="AS34">
            <v>2040.0000000000002</v>
          </cell>
          <cell r="AT34">
            <v>5430</v>
          </cell>
          <cell r="AU34">
            <v>0</v>
          </cell>
          <cell r="AX34">
            <v>0.8</v>
          </cell>
        </row>
      </sheetData>
      <sheetData sheetId="4">
        <row r="35">
          <cell r="B35">
            <v>109096</v>
          </cell>
          <cell r="C35">
            <v>0</v>
          </cell>
          <cell r="D35">
            <v>0</v>
          </cell>
          <cell r="E35">
            <v>250</v>
          </cell>
          <cell r="G35">
            <v>608742</v>
          </cell>
          <cell r="H35">
            <v>0</v>
          </cell>
          <cell r="I35">
            <v>0</v>
          </cell>
          <cell r="J35">
            <v>0</v>
          </cell>
          <cell r="K35">
            <v>6555</v>
          </cell>
          <cell r="L35">
            <v>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U35">
            <v>3</v>
          </cell>
          <cell r="V35">
            <v>452</v>
          </cell>
          <cell r="W35">
            <v>0</v>
          </cell>
          <cell r="X35">
            <v>147647</v>
          </cell>
          <cell r="Y35">
            <v>60</v>
          </cell>
          <cell r="Z35">
            <v>97058</v>
          </cell>
          <cell r="AA35">
            <v>23</v>
          </cell>
          <cell r="AB35">
            <v>264</v>
          </cell>
          <cell r="AC35">
            <v>698</v>
          </cell>
          <cell r="AD35">
            <v>0</v>
          </cell>
          <cell r="AE35">
            <v>217.84</v>
          </cell>
          <cell r="AF35">
            <v>0</v>
          </cell>
          <cell r="AG35">
            <v>2176.58</v>
          </cell>
          <cell r="AH35">
            <v>0</v>
          </cell>
          <cell r="AI35">
            <v>0</v>
          </cell>
          <cell r="AJ35">
            <v>23</v>
          </cell>
          <cell r="AK35">
            <v>60</v>
          </cell>
          <cell r="AL35">
            <v>23</v>
          </cell>
          <cell r="AM35">
            <v>28.5</v>
          </cell>
          <cell r="AN35">
            <v>0</v>
          </cell>
          <cell r="AP35">
            <v>0</v>
          </cell>
          <cell r="AR35">
            <v>44104</v>
          </cell>
          <cell r="AS35">
            <v>0.9</v>
          </cell>
          <cell r="AT35">
            <v>63</v>
          </cell>
          <cell r="AU35">
            <v>1.1000000000000001</v>
          </cell>
          <cell r="AV35">
            <v>41</v>
          </cell>
          <cell r="AW35">
            <v>2.9</v>
          </cell>
          <cell r="AX35">
            <v>44</v>
          </cell>
          <cell r="AY35">
            <v>56.7</v>
          </cell>
          <cell r="AZ35">
            <v>45.1</v>
          </cell>
          <cell r="BA35">
            <v>127.6</v>
          </cell>
          <cell r="BB35">
            <v>-98.100000000000009</v>
          </cell>
          <cell r="BC35">
            <v>12.100000000000001</v>
          </cell>
          <cell r="BD35">
            <v>31.899999999999991</v>
          </cell>
          <cell r="BE35">
            <v>-54.100000000000009</v>
          </cell>
          <cell r="BF35">
            <v>54.100000000000009</v>
          </cell>
          <cell r="BG35">
            <v>-54.100000000000009</v>
          </cell>
        </row>
      </sheetData>
      <sheetData sheetId="5"/>
      <sheetData sheetId="6"/>
      <sheetData sheetId="7">
        <row r="35">
          <cell r="B35">
            <v>251</v>
          </cell>
          <cell r="C35">
            <v>5400.5483870967737</v>
          </cell>
          <cell r="D35">
            <v>251</v>
          </cell>
          <cell r="E35">
            <v>5400.5483870967737</v>
          </cell>
          <cell r="F35">
            <v>251</v>
          </cell>
          <cell r="G35">
            <v>5400.5483870967737</v>
          </cell>
          <cell r="H35">
            <v>251</v>
          </cell>
          <cell r="I35">
            <v>5400.5483870967737</v>
          </cell>
          <cell r="J35">
            <v>251</v>
          </cell>
          <cell r="K35">
            <v>5400.5483870967737</v>
          </cell>
          <cell r="L35">
            <v>251</v>
          </cell>
          <cell r="M35">
            <v>5400.5483870967737</v>
          </cell>
          <cell r="N35">
            <v>251</v>
          </cell>
          <cell r="O35">
            <v>5400.5483870967737</v>
          </cell>
          <cell r="P35">
            <v>251</v>
          </cell>
          <cell r="Q35">
            <v>5400.5483870967737</v>
          </cell>
          <cell r="R35">
            <v>251</v>
          </cell>
          <cell r="S35">
            <v>5400.5483870967737</v>
          </cell>
          <cell r="T35">
            <v>251</v>
          </cell>
          <cell r="U35">
            <v>5400.5483870967737</v>
          </cell>
          <cell r="V35">
            <v>251</v>
          </cell>
          <cell r="W35">
            <v>5400.5483870967737</v>
          </cell>
          <cell r="X35">
            <v>0.80967741935483861</v>
          </cell>
          <cell r="Y35">
            <v>59406.032258064508</v>
          </cell>
          <cell r="Z35">
            <v>257</v>
          </cell>
          <cell r="AA35">
            <v>2570</v>
          </cell>
          <cell r="AB35">
            <v>257</v>
          </cell>
          <cell r="AC35">
            <v>2570</v>
          </cell>
          <cell r="AD35">
            <v>257</v>
          </cell>
          <cell r="AE35">
            <v>2570</v>
          </cell>
          <cell r="AF35">
            <v>257</v>
          </cell>
          <cell r="AG35">
            <v>2570</v>
          </cell>
          <cell r="AH35">
            <v>257</v>
          </cell>
          <cell r="AI35">
            <v>2570</v>
          </cell>
          <cell r="AJ35">
            <v>257</v>
          </cell>
          <cell r="AK35">
            <v>2570</v>
          </cell>
          <cell r="AL35">
            <v>257</v>
          </cell>
          <cell r="AM35">
            <v>2570</v>
          </cell>
          <cell r="AN35">
            <v>0.91785714285714282</v>
          </cell>
          <cell r="AO35">
            <v>17990</v>
          </cell>
          <cell r="AQ35">
            <v>0.83248394383203739</v>
          </cell>
          <cell r="AR35">
            <v>77396.032258064515</v>
          </cell>
          <cell r="AS35">
            <v>-1274.0451612903271</v>
          </cell>
          <cell r="AV35">
            <v>0.503</v>
          </cell>
          <cell r="AW35">
            <v>0</v>
          </cell>
          <cell r="AX35">
            <v>-1274.0451612903271</v>
          </cell>
          <cell r="AY35">
            <v>-1274.0451612903271</v>
          </cell>
          <cell r="AZ35">
            <v>0</v>
          </cell>
          <cell r="BA35">
            <v>28.5</v>
          </cell>
          <cell r="BB35">
            <v>0.65</v>
          </cell>
          <cell r="BC35">
            <v>0</v>
          </cell>
          <cell r="BD35">
            <v>19222</v>
          </cell>
          <cell r="BE35" t="e">
            <v>#REF!</v>
          </cell>
          <cell r="BG35" t="e">
            <v>#REF!</v>
          </cell>
        </row>
      </sheetData>
      <sheetData sheetId="8">
        <row r="32">
          <cell r="B32">
            <v>9208</v>
          </cell>
          <cell r="C32">
            <v>6</v>
          </cell>
          <cell r="D32">
            <v>244563</v>
          </cell>
          <cell r="E32">
            <v>1004</v>
          </cell>
          <cell r="F32">
            <v>167.33333333333334</v>
          </cell>
          <cell r="H32">
            <v>9298</v>
          </cell>
          <cell r="I32" t="str">
            <v>ok</v>
          </cell>
          <cell r="J32">
            <v>10698</v>
          </cell>
          <cell r="K32">
            <v>0</v>
          </cell>
          <cell r="L32">
            <v>238500</v>
          </cell>
          <cell r="M32">
            <v>0</v>
          </cell>
          <cell r="N32">
            <v>0</v>
          </cell>
          <cell r="P32">
            <v>10873</v>
          </cell>
          <cell r="Q32" t="str">
            <v>ok</v>
          </cell>
          <cell r="R32">
            <v>11705</v>
          </cell>
          <cell r="S32">
            <v>0</v>
          </cell>
          <cell r="T32">
            <v>357658</v>
          </cell>
          <cell r="U32">
            <v>0</v>
          </cell>
          <cell r="V32">
            <v>0</v>
          </cell>
          <cell r="X32">
            <v>12609</v>
          </cell>
          <cell r="Y32" t="str">
            <v>ok</v>
          </cell>
          <cell r="Z32">
            <v>6</v>
          </cell>
          <cell r="AA32">
            <v>1004</v>
          </cell>
          <cell r="AB32">
            <v>167.33333333333334</v>
          </cell>
          <cell r="AC32">
            <v>167.33333333333334</v>
          </cell>
          <cell r="AD32">
            <v>4000</v>
          </cell>
          <cell r="AE32">
            <v>666.66666666666663</v>
          </cell>
          <cell r="AF32">
            <v>0.41666666666666663</v>
          </cell>
          <cell r="AG32">
            <v>133.33333333333331</v>
          </cell>
          <cell r="AH32">
            <v>34.000000000000028</v>
          </cell>
          <cell r="AI32">
            <v>1029.535864978903</v>
          </cell>
          <cell r="AJ32">
            <v>0.25738396624472576</v>
          </cell>
          <cell r="AK32">
            <v>171.58931082981715</v>
          </cell>
        </row>
      </sheetData>
      <sheetData sheetId="9"/>
      <sheetData sheetId="10"/>
      <sheetData sheetId="11"/>
      <sheetData sheetId="12">
        <row r="14">
          <cell r="X14">
            <v>5.387096774193548</v>
          </cell>
        </row>
        <row r="26">
          <cell r="V26">
            <v>119653</v>
          </cell>
          <cell r="W26">
            <v>164328</v>
          </cell>
          <cell r="X26" t="str">
            <v>Night</v>
          </cell>
          <cell r="Y26">
            <v>80</v>
          </cell>
          <cell r="Z26">
            <v>1</v>
          </cell>
          <cell r="AA26">
            <v>44675</v>
          </cell>
          <cell r="AB26">
            <v>3574000</v>
          </cell>
          <cell r="AC26">
            <v>1033333</v>
          </cell>
          <cell r="AD26">
            <v>0.37081458855558691</v>
          </cell>
        </row>
        <row r="27">
          <cell r="V27">
            <v>182116</v>
          </cell>
          <cell r="W27">
            <v>242131</v>
          </cell>
          <cell r="Y27">
            <v>112</v>
          </cell>
          <cell r="Z27">
            <v>1</v>
          </cell>
          <cell r="AA27">
            <v>60015</v>
          </cell>
          <cell r="AB27">
            <v>6721680</v>
          </cell>
          <cell r="AC27">
            <v>6200000</v>
          </cell>
          <cell r="AD27">
            <v>0.49814073938810405</v>
          </cell>
        </row>
        <row r="28">
          <cell r="V28">
            <v>47510</v>
          </cell>
          <cell r="W28">
            <v>63298</v>
          </cell>
          <cell r="Y28">
            <v>320</v>
          </cell>
          <cell r="Z28">
            <v>1</v>
          </cell>
          <cell r="AA28">
            <v>15788</v>
          </cell>
          <cell r="AB28">
            <v>5052160</v>
          </cell>
          <cell r="AC28">
            <v>1000</v>
          </cell>
          <cell r="AD28">
            <v>0.13104467205630904</v>
          </cell>
        </row>
        <row r="29">
          <cell r="AA29">
            <v>120478</v>
          </cell>
        </row>
        <row r="30">
          <cell r="W30">
            <v>0</v>
          </cell>
          <cell r="AB30">
            <v>15347840</v>
          </cell>
          <cell r="AC30">
            <v>7234333</v>
          </cell>
        </row>
        <row r="31">
          <cell r="W31">
            <v>151</v>
          </cell>
          <cell r="Y31">
            <v>2.5166666666666666</v>
          </cell>
          <cell r="AB31">
            <v>22582173</v>
          </cell>
          <cell r="AC31">
            <v>7234333</v>
          </cell>
        </row>
        <row r="32">
          <cell r="W32">
            <v>0</v>
          </cell>
        </row>
        <row r="33">
          <cell r="B33">
            <v>469756</v>
          </cell>
          <cell r="C33">
            <v>4253</v>
          </cell>
          <cell r="D33">
            <v>4254</v>
          </cell>
          <cell r="E33">
            <v>469757</v>
          </cell>
          <cell r="F33">
            <v>63298</v>
          </cell>
          <cell r="G33">
            <v>695</v>
          </cell>
          <cell r="H33">
            <v>242131</v>
          </cell>
          <cell r="I33">
            <v>1832</v>
          </cell>
          <cell r="J33">
            <v>164328</v>
          </cell>
          <cell r="K33">
            <v>1727</v>
          </cell>
          <cell r="L33">
            <v>147.5290215588723</v>
          </cell>
          <cell r="M33">
            <v>136.10878938640133</v>
          </cell>
          <cell r="N33">
            <v>91.64842454394693</v>
          </cell>
          <cell r="O33">
            <v>159.96313985627418</v>
          </cell>
          <cell r="P33">
            <v>535.24937534549474</v>
          </cell>
          <cell r="Q33">
            <v>656.55793978494864</v>
          </cell>
          <cell r="R33">
            <v>1191.8073151304434</v>
          </cell>
          <cell r="S33">
            <v>11854</v>
          </cell>
          <cell r="T33">
            <v>0.100540519245018</v>
          </cell>
          <cell r="W33">
            <v>306.99999999999983</v>
          </cell>
        </row>
        <row r="35">
          <cell r="AB35">
            <v>2484039.0299999998</v>
          </cell>
        </row>
        <row r="36">
          <cell r="AB36">
            <v>25066212.030000001</v>
          </cell>
        </row>
      </sheetData>
      <sheetData sheetId="13"/>
      <sheetData sheetId="14"/>
      <sheetData sheetId="15">
        <row r="48">
          <cell r="J48">
            <v>32</v>
          </cell>
          <cell r="K48">
            <v>28</v>
          </cell>
        </row>
        <row r="49">
          <cell r="J49">
            <v>31</v>
          </cell>
          <cell r="K49">
            <v>27</v>
          </cell>
        </row>
        <row r="50">
          <cell r="J50">
            <v>34</v>
          </cell>
          <cell r="K50">
            <v>29</v>
          </cell>
        </row>
        <row r="51">
          <cell r="J51">
            <v>33</v>
          </cell>
          <cell r="K51">
            <v>27</v>
          </cell>
        </row>
        <row r="52">
          <cell r="J52">
            <v>31</v>
          </cell>
          <cell r="K52">
            <v>25</v>
          </cell>
        </row>
        <row r="53">
          <cell r="J53">
            <v>31</v>
          </cell>
          <cell r="K53">
            <v>25</v>
          </cell>
        </row>
        <row r="54">
          <cell r="J54">
            <v>32</v>
          </cell>
          <cell r="K54">
            <v>27</v>
          </cell>
        </row>
        <row r="55">
          <cell r="J55">
            <v>32</v>
          </cell>
          <cell r="K55">
            <v>27</v>
          </cell>
        </row>
        <row r="56">
          <cell r="J56">
            <v>31</v>
          </cell>
          <cell r="K56">
            <v>28</v>
          </cell>
        </row>
        <row r="57">
          <cell r="J57">
            <v>32</v>
          </cell>
          <cell r="K57">
            <v>26</v>
          </cell>
        </row>
        <row r="58">
          <cell r="J58">
            <v>32</v>
          </cell>
          <cell r="K58">
            <v>28</v>
          </cell>
        </row>
        <row r="59">
          <cell r="J59">
            <v>31</v>
          </cell>
          <cell r="K59">
            <v>28</v>
          </cell>
        </row>
        <row r="60">
          <cell r="J60">
            <v>31</v>
          </cell>
          <cell r="K60">
            <v>25</v>
          </cell>
        </row>
        <row r="61">
          <cell r="J61">
            <v>31</v>
          </cell>
          <cell r="K61">
            <v>26</v>
          </cell>
        </row>
        <row r="62">
          <cell r="J62">
            <v>30</v>
          </cell>
          <cell r="K62">
            <v>23</v>
          </cell>
        </row>
        <row r="63">
          <cell r="J63">
            <v>31</v>
          </cell>
          <cell r="K63">
            <v>26</v>
          </cell>
        </row>
        <row r="64">
          <cell r="J64">
            <v>30</v>
          </cell>
          <cell r="K64">
            <v>26</v>
          </cell>
        </row>
        <row r="65">
          <cell r="J65">
            <v>30</v>
          </cell>
          <cell r="K65">
            <v>25</v>
          </cell>
        </row>
        <row r="66">
          <cell r="J66">
            <v>32</v>
          </cell>
          <cell r="K66">
            <v>25</v>
          </cell>
        </row>
        <row r="67">
          <cell r="J67">
            <v>30</v>
          </cell>
          <cell r="K67">
            <v>22</v>
          </cell>
        </row>
        <row r="68">
          <cell r="J68">
            <v>30</v>
          </cell>
          <cell r="K68">
            <v>27</v>
          </cell>
        </row>
        <row r="69">
          <cell r="J69">
            <v>30</v>
          </cell>
          <cell r="K69">
            <v>27</v>
          </cell>
        </row>
        <row r="70">
          <cell r="J70">
            <v>30</v>
          </cell>
          <cell r="K70">
            <v>26</v>
          </cell>
        </row>
        <row r="71">
          <cell r="J71">
            <v>31</v>
          </cell>
          <cell r="K71">
            <v>26</v>
          </cell>
        </row>
        <row r="72">
          <cell r="J72">
            <v>29</v>
          </cell>
          <cell r="K72">
            <v>26</v>
          </cell>
        </row>
        <row r="73">
          <cell r="J73">
            <v>30</v>
          </cell>
          <cell r="K73">
            <v>26</v>
          </cell>
        </row>
        <row r="74">
          <cell r="J74">
            <v>30</v>
          </cell>
          <cell r="K74">
            <v>25</v>
          </cell>
        </row>
        <row r="75">
          <cell r="J75">
            <v>30</v>
          </cell>
          <cell r="K75">
            <v>25</v>
          </cell>
        </row>
        <row r="76">
          <cell r="J76">
            <v>32</v>
          </cell>
          <cell r="K76">
            <v>25</v>
          </cell>
        </row>
        <row r="77">
          <cell r="J77">
            <v>31</v>
          </cell>
          <cell r="K77">
            <v>26</v>
          </cell>
        </row>
      </sheetData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0.3609</v>
          </cell>
        </row>
      </sheetData>
      <sheetData sheetId="3">
        <row r="35">
          <cell r="B35">
            <v>218</v>
          </cell>
        </row>
      </sheetData>
      <sheetData sheetId="4">
        <row r="36">
          <cell r="B36">
            <v>108972</v>
          </cell>
        </row>
      </sheetData>
      <sheetData sheetId="5"/>
      <sheetData sheetId="6">
        <row r="36">
          <cell r="B36">
            <v>31</v>
          </cell>
        </row>
      </sheetData>
      <sheetData sheetId="7">
        <row r="36">
          <cell r="B36">
            <v>218</v>
          </cell>
        </row>
      </sheetData>
      <sheetData sheetId="8">
        <row r="33">
          <cell r="B33">
            <v>8997</v>
          </cell>
        </row>
      </sheetData>
      <sheetData sheetId="9"/>
      <sheetData sheetId="10"/>
      <sheetData sheetId="11"/>
      <sheetData sheetId="12">
        <row r="26">
          <cell r="V26">
            <v>41646</v>
          </cell>
        </row>
        <row r="27">
          <cell r="X27" t="str">
            <v>day</v>
          </cell>
        </row>
        <row r="28">
          <cell r="X28" t="str">
            <v>Peak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  <cell r="AB10">
            <v>0</v>
          </cell>
        </row>
        <row r="11">
          <cell r="AA11">
            <v>-153.49999999999997</v>
          </cell>
          <cell r="AB11">
            <v>0.69999999999999929</v>
          </cell>
        </row>
        <row r="12">
          <cell r="AA12">
            <v>-61.799999999999983</v>
          </cell>
          <cell r="AB12">
            <v>11.499999999999996</v>
          </cell>
        </row>
        <row r="13">
          <cell r="AA13">
            <v>-54.600000000000009</v>
          </cell>
          <cell r="AB13">
            <v>25.29999999999999</v>
          </cell>
        </row>
        <row r="14">
          <cell r="AA14">
            <v>-0.80000000000000071</v>
          </cell>
          <cell r="AB14">
            <v>131.50000000000003</v>
          </cell>
        </row>
        <row r="15">
          <cell r="AA15">
            <v>-18.3</v>
          </cell>
          <cell r="AB15">
            <v>182.99999999999997</v>
          </cell>
        </row>
        <row r="16">
          <cell r="AA16">
            <v>0</v>
          </cell>
          <cell r="AB16">
            <v>275.69999999999987</v>
          </cell>
        </row>
        <row r="48">
          <cell r="B48">
            <v>28</v>
          </cell>
          <cell r="C48">
            <v>24</v>
          </cell>
        </row>
        <row r="49">
          <cell r="B49">
            <v>29</v>
          </cell>
          <cell r="C49">
            <v>23</v>
          </cell>
        </row>
        <row r="50">
          <cell r="B50">
            <v>29</v>
          </cell>
          <cell r="C50">
            <v>24</v>
          </cell>
        </row>
        <row r="51">
          <cell r="B51">
            <v>28</v>
          </cell>
          <cell r="C51">
            <v>24</v>
          </cell>
        </row>
        <row r="52">
          <cell r="B52">
            <v>30</v>
          </cell>
          <cell r="C52">
            <v>26</v>
          </cell>
        </row>
        <row r="53">
          <cell r="B53">
            <v>29</v>
          </cell>
          <cell r="C53">
            <v>25</v>
          </cell>
        </row>
        <row r="54">
          <cell r="B54">
            <v>30</v>
          </cell>
          <cell r="C54">
            <v>22</v>
          </cell>
        </row>
        <row r="55">
          <cell r="B55">
            <v>30</v>
          </cell>
          <cell r="C55">
            <v>22</v>
          </cell>
        </row>
        <row r="56">
          <cell r="B56">
            <v>30</v>
          </cell>
          <cell r="C56">
            <v>22</v>
          </cell>
        </row>
        <row r="57">
          <cell r="B57">
            <v>30</v>
          </cell>
          <cell r="C57">
            <v>22</v>
          </cell>
        </row>
        <row r="58">
          <cell r="B58">
            <v>30</v>
          </cell>
          <cell r="C58">
            <v>26</v>
          </cell>
        </row>
        <row r="59">
          <cell r="B59">
            <v>30</v>
          </cell>
          <cell r="C59">
            <v>22</v>
          </cell>
        </row>
        <row r="60">
          <cell r="B60">
            <v>30</v>
          </cell>
          <cell r="C60">
            <v>23</v>
          </cell>
        </row>
        <row r="61">
          <cell r="B61">
            <v>30</v>
          </cell>
          <cell r="C61">
            <v>25</v>
          </cell>
        </row>
        <row r="62">
          <cell r="B62">
            <v>30</v>
          </cell>
          <cell r="C62">
            <v>23</v>
          </cell>
        </row>
        <row r="63">
          <cell r="B63">
            <v>30</v>
          </cell>
          <cell r="C63">
            <v>25</v>
          </cell>
        </row>
        <row r="64">
          <cell r="B64">
            <v>31</v>
          </cell>
          <cell r="C64">
            <v>23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23</v>
          </cell>
        </row>
        <row r="67">
          <cell r="B67">
            <v>31</v>
          </cell>
          <cell r="C67">
            <v>23</v>
          </cell>
        </row>
        <row r="68">
          <cell r="B68">
            <v>31</v>
          </cell>
          <cell r="C68">
            <v>23</v>
          </cell>
        </row>
        <row r="69">
          <cell r="B69">
            <v>31</v>
          </cell>
          <cell r="C69">
            <v>23</v>
          </cell>
        </row>
        <row r="70">
          <cell r="B70">
            <v>32</v>
          </cell>
          <cell r="C70">
            <v>27</v>
          </cell>
        </row>
        <row r="71">
          <cell r="B71">
            <v>30</v>
          </cell>
          <cell r="C71">
            <v>24</v>
          </cell>
        </row>
        <row r="72">
          <cell r="B72">
            <v>30</v>
          </cell>
          <cell r="C72">
            <v>24</v>
          </cell>
        </row>
        <row r="73">
          <cell r="B73">
            <v>30</v>
          </cell>
          <cell r="C73">
            <v>25</v>
          </cell>
        </row>
        <row r="74">
          <cell r="B74">
            <v>33</v>
          </cell>
          <cell r="C74">
            <v>27</v>
          </cell>
        </row>
        <row r="75">
          <cell r="B75">
            <v>31</v>
          </cell>
          <cell r="C75">
            <v>27</v>
          </cell>
        </row>
        <row r="76">
          <cell r="B76">
            <v>31</v>
          </cell>
          <cell r="C76">
            <v>28</v>
          </cell>
        </row>
        <row r="77">
          <cell r="B77">
            <v>31</v>
          </cell>
          <cell r="C77">
            <v>23</v>
          </cell>
        </row>
        <row r="78">
          <cell r="B78">
            <v>31</v>
          </cell>
          <cell r="C78">
            <v>26</v>
          </cell>
        </row>
      </sheetData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>
        <row r="6">
          <cell r="C6">
            <v>672</v>
          </cell>
        </row>
      </sheetData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3">
          <cell r="D33">
            <v>31738156</v>
          </cell>
        </row>
      </sheetData>
      <sheetData sheetId="3">
        <row r="35">
          <cell r="B35">
            <v>179</v>
          </cell>
        </row>
      </sheetData>
      <sheetData sheetId="4">
        <row r="36">
          <cell r="B36">
            <v>108473</v>
          </cell>
        </row>
      </sheetData>
      <sheetData sheetId="5" refreshError="1"/>
      <sheetData sheetId="6">
        <row r="36">
          <cell r="B36">
            <v>24</v>
          </cell>
        </row>
      </sheetData>
      <sheetData sheetId="7">
        <row r="36">
          <cell r="B36">
            <v>179</v>
          </cell>
        </row>
      </sheetData>
      <sheetData sheetId="8">
        <row r="33">
          <cell r="B33">
            <v>8655</v>
          </cell>
        </row>
      </sheetData>
      <sheetData sheetId="9" refreshError="1"/>
      <sheetData sheetId="10" refreshError="1"/>
      <sheetData sheetId="11" refreshError="1"/>
      <sheetData sheetId="12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B36">
            <v>2</v>
          </cell>
          <cell r="N36">
            <v>642</v>
          </cell>
          <cell r="O36">
            <v>6836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>
        <row r="32">
          <cell r="A32">
            <v>4.7800000000000002E-2</v>
          </cell>
        </row>
      </sheetData>
      <sheetData sheetId="3">
        <row r="34">
          <cell r="B34">
            <v>140</v>
          </cell>
        </row>
      </sheetData>
      <sheetData sheetId="4">
        <row r="35">
          <cell r="A35">
            <v>44012</v>
          </cell>
        </row>
      </sheetData>
      <sheetData sheetId="5"/>
      <sheetData sheetId="6">
        <row r="35">
          <cell r="B35">
            <v>30</v>
          </cell>
        </row>
      </sheetData>
      <sheetData sheetId="7">
        <row r="35">
          <cell r="B35">
            <v>140</v>
          </cell>
        </row>
      </sheetData>
      <sheetData sheetId="8">
        <row r="32">
          <cell r="B32">
            <v>8777</v>
          </cell>
        </row>
      </sheetData>
      <sheetData sheetId="9"/>
      <sheetData sheetId="10"/>
      <sheetData sheetId="11"/>
      <sheetData sheetId="12">
        <row r="9">
          <cell r="X9" t="str">
            <v>Night</v>
          </cell>
        </row>
        <row r="16">
          <cell r="X16">
            <v>0</v>
          </cell>
        </row>
      </sheetData>
      <sheetData sheetId="13">
        <row r="35">
          <cell r="B35">
            <v>2.5</v>
          </cell>
        </row>
      </sheetData>
      <sheetData sheetId="14">
        <row r="10">
          <cell r="B10">
            <v>16</v>
          </cell>
          <cell r="C10">
            <v>11</v>
          </cell>
          <cell r="E10">
            <v>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M10">
            <v>1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  <cell r="V10">
            <v>25</v>
          </cell>
          <cell r="W10">
            <v>20</v>
          </cell>
        </row>
        <row r="11">
          <cell r="B11">
            <v>17</v>
          </cell>
          <cell r="C11">
            <v>12</v>
          </cell>
          <cell r="E11">
            <v>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M11">
            <v>2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  <cell r="V11">
            <v>24</v>
          </cell>
          <cell r="W11">
            <v>20</v>
          </cell>
        </row>
        <row r="12">
          <cell r="B12">
            <v>16</v>
          </cell>
          <cell r="C12">
            <v>12</v>
          </cell>
          <cell r="E12">
            <v>3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M12">
            <v>3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  <cell r="V12">
            <v>27</v>
          </cell>
          <cell r="W12">
            <v>19</v>
          </cell>
        </row>
        <row r="13">
          <cell r="B13">
            <v>15</v>
          </cell>
          <cell r="C13">
            <v>11</v>
          </cell>
          <cell r="E13">
            <v>4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M13">
            <v>4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  <cell r="V13">
            <v>26</v>
          </cell>
          <cell r="W13">
            <v>18</v>
          </cell>
        </row>
        <row r="14">
          <cell r="B14">
            <v>15</v>
          </cell>
          <cell r="C14">
            <v>11</v>
          </cell>
          <cell r="E14">
            <v>5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M14">
            <v>5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  <cell r="V14">
            <v>25</v>
          </cell>
          <cell r="W14">
            <v>17</v>
          </cell>
        </row>
        <row r="15">
          <cell r="B15">
            <v>16</v>
          </cell>
          <cell r="C15">
            <v>12</v>
          </cell>
          <cell r="E15">
            <v>6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M15">
            <v>6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  <cell r="V15">
            <v>26</v>
          </cell>
          <cell r="W15">
            <v>18</v>
          </cell>
        </row>
        <row r="16">
          <cell r="B16">
            <v>16</v>
          </cell>
          <cell r="C16">
            <v>12</v>
          </cell>
          <cell r="E16">
            <v>7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M16">
            <v>7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  <cell r="V16">
            <v>27</v>
          </cell>
          <cell r="W16">
            <v>21</v>
          </cell>
        </row>
        <row r="17">
          <cell r="B17">
            <v>14</v>
          </cell>
          <cell r="C17">
            <v>11</v>
          </cell>
          <cell r="E17">
            <v>8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M17">
            <v>8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  <cell r="V17">
            <v>26</v>
          </cell>
          <cell r="W17">
            <v>22</v>
          </cell>
        </row>
        <row r="18">
          <cell r="B18">
            <v>14</v>
          </cell>
          <cell r="C18">
            <v>11</v>
          </cell>
          <cell r="E18">
            <v>9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M18">
            <v>9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  <cell r="V18">
            <v>28</v>
          </cell>
          <cell r="W18">
            <v>20</v>
          </cell>
        </row>
        <row r="19">
          <cell r="B19">
            <v>17</v>
          </cell>
          <cell r="C19">
            <v>12</v>
          </cell>
          <cell r="E19">
            <v>10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M19">
            <v>10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  <cell r="V19">
            <v>28</v>
          </cell>
          <cell r="W19">
            <v>20</v>
          </cell>
        </row>
        <row r="20">
          <cell r="B20">
            <v>17</v>
          </cell>
          <cell r="C20">
            <v>13</v>
          </cell>
          <cell r="E20">
            <v>11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M20">
            <v>11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  <cell r="V20">
            <v>28</v>
          </cell>
          <cell r="W20">
            <v>20</v>
          </cell>
        </row>
        <row r="21">
          <cell r="B21">
            <v>16</v>
          </cell>
          <cell r="C21">
            <v>12</v>
          </cell>
          <cell r="E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M21">
            <v>12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  <cell r="V21">
            <v>27</v>
          </cell>
          <cell r="W21">
            <v>20</v>
          </cell>
        </row>
        <row r="22">
          <cell r="B22">
            <v>17</v>
          </cell>
          <cell r="C22">
            <v>13</v>
          </cell>
          <cell r="E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M22">
            <v>13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  <cell r="V22">
            <v>25</v>
          </cell>
          <cell r="W22">
            <v>20</v>
          </cell>
        </row>
        <row r="23">
          <cell r="B23">
            <v>16</v>
          </cell>
          <cell r="C23">
            <v>12</v>
          </cell>
          <cell r="E23">
            <v>14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M23">
            <v>14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  <cell r="V23">
            <v>26</v>
          </cell>
          <cell r="W23">
            <v>21</v>
          </cell>
        </row>
        <row r="24">
          <cell r="B24">
            <v>17</v>
          </cell>
          <cell r="C24">
            <v>13</v>
          </cell>
          <cell r="E24">
            <v>15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M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  <cell r="V24">
            <v>26</v>
          </cell>
          <cell r="W24">
            <v>20</v>
          </cell>
        </row>
        <row r="25">
          <cell r="B25">
            <v>19</v>
          </cell>
          <cell r="C25">
            <v>13</v>
          </cell>
          <cell r="E25">
            <v>16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M25">
            <v>16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  <cell r="V25">
            <v>26</v>
          </cell>
          <cell r="W25">
            <v>21</v>
          </cell>
        </row>
        <row r="26">
          <cell r="B26">
            <v>20</v>
          </cell>
          <cell r="C26">
            <v>13</v>
          </cell>
          <cell r="E26">
            <v>17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M26">
            <v>17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  <cell r="V26">
            <v>27</v>
          </cell>
          <cell r="W26">
            <v>22</v>
          </cell>
        </row>
        <row r="27">
          <cell r="B27">
            <v>14</v>
          </cell>
          <cell r="C27">
            <v>13</v>
          </cell>
          <cell r="E27">
            <v>18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M27">
            <v>18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  <cell r="V27">
            <v>27</v>
          </cell>
          <cell r="W27">
            <v>24</v>
          </cell>
        </row>
        <row r="28">
          <cell r="B28">
            <v>15</v>
          </cell>
          <cell r="C28">
            <v>13</v>
          </cell>
          <cell r="E28">
            <v>19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M28">
            <v>19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  <cell r="V28">
            <v>27</v>
          </cell>
          <cell r="W28">
            <v>24</v>
          </cell>
        </row>
        <row r="29">
          <cell r="B29">
            <v>15</v>
          </cell>
          <cell r="C29">
            <v>10</v>
          </cell>
          <cell r="E29">
            <v>20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M29">
            <v>20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  <cell r="V29">
            <v>26</v>
          </cell>
          <cell r="W29">
            <v>23</v>
          </cell>
        </row>
        <row r="30">
          <cell r="B30">
            <v>13</v>
          </cell>
          <cell r="C30">
            <v>9</v>
          </cell>
          <cell r="E30">
            <v>21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M30">
            <v>21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  <cell r="V30">
            <v>29</v>
          </cell>
          <cell r="W30">
            <v>21</v>
          </cell>
        </row>
        <row r="31">
          <cell r="B31">
            <v>14</v>
          </cell>
          <cell r="C31">
            <v>10</v>
          </cell>
          <cell r="E31">
            <v>22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M31">
            <v>22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  <cell r="V31">
            <v>29</v>
          </cell>
          <cell r="W31">
            <v>22</v>
          </cell>
        </row>
        <row r="32">
          <cell r="B32">
            <v>13</v>
          </cell>
          <cell r="C32">
            <v>7</v>
          </cell>
          <cell r="E32">
            <v>23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M32">
            <v>23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  <cell r="V32">
            <v>27</v>
          </cell>
          <cell r="W32">
            <v>23</v>
          </cell>
        </row>
        <row r="33">
          <cell r="B33">
            <v>14</v>
          </cell>
          <cell r="C33">
            <v>8</v>
          </cell>
          <cell r="E33">
            <v>24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M33">
            <v>24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  <cell r="V33">
            <v>27</v>
          </cell>
          <cell r="W33">
            <v>23</v>
          </cell>
        </row>
        <row r="34">
          <cell r="B34">
            <v>16</v>
          </cell>
          <cell r="C34">
            <v>10</v>
          </cell>
          <cell r="E34">
            <v>25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M34">
            <v>25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  <cell r="V34">
            <v>33</v>
          </cell>
          <cell r="W34">
            <v>27</v>
          </cell>
        </row>
        <row r="35">
          <cell r="B35">
            <v>15</v>
          </cell>
          <cell r="C35">
            <v>9</v>
          </cell>
          <cell r="E35">
            <v>26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M35">
            <v>26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  <cell r="V35">
            <v>28</v>
          </cell>
          <cell r="W35">
            <v>24</v>
          </cell>
        </row>
        <row r="36">
          <cell r="B36">
            <v>17</v>
          </cell>
          <cell r="C36">
            <v>11</v>
          </cell>
          <cell r="E36">
            <v>27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M36">
            <v>27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  <cell r="V36">
            <v>29</v>
          </cell>
          <cell r="W36">
            <v>25</v>
          </cell>
        </row>
        <row r="37">
          <cell r="B37">
            <v>16</v>
          </cell>
          <cell r="C37">
            <v>10</v>
          </cell>
          <cell r="E37">
            <v>28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M37">
            <v>28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  <cell r="V37">
            <v>30</v>
          </cell>
          <cell r="W37">
            <v>26</v>
          </cell>
        </row>
        <row r="38">
          <cell r="B38">
            <v>16</v>
          </cell>
          <cell r="C38">
            <v>10</v>
          </cell>
          <cell r="E38">
            <v>29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M38">
            <v>29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  <cell r="V38">
            <v>28</v>
          </cell>
          <cell r="W38">
            <v>24</v>
          </cell>
        </row>
        <row r="39">
          <cell r="B39">
            <v>16</v>
          </cell>
          <cell r="C39">
            <v>11</v>
          </cell>
          <cell r="E39">
            <v>0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M39">
            <v>30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  <cell r="V39">
            <v>30</v>
          </cell>
          <cell r="W39">
            <v>22</v>
          </cell>
        </row>
        <row r="40">
          <cell r="B40">
            <v>17</v>
          </cell>
          <cell r="C40">
            <v>13</v>
          </cell>
          <cell r="E40">
            <v>0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M40">
            <v>0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>
        <row r="6">
          <cell r="B6">
            <v>62</v>
          </cell>
        </row>
      </sheetData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">
          <cell r="D6">
            <v>19000</v>
          </cell>
        </row>
        <row r="7">
          <cell r="D7">
            <v>1000</v>
          </cell>
        </row>
        <row r="8">
          <cell r="D8">
            <v>30000</v>
          </cell>
        </row>
        <row r="9">
          <cell r="C9">
            <v>7500</v>
          </cell>
        </row>
      </sheetData>
      <sheetData sheetId="1"/>
      <sheetData sheetId="2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4">
          <cell r="C14">
            <v>151</v>
          </cell>
        </row>
        <row r="15">
          <cell r="C15">
            <v>-18.3</v>
          </cell>
        </row>
        <row r="16">
          <cell r="C16">
            <v>25.306451612903224</v>
          </cell>
        </row>
        <row r="17">
          <cell r="C17">
            <v>0.45897096774193541</v>
          </cell>
        </row>
        <row r="18">
          <cell r="C18">
            <v>247.5</v>
          </cell>
        </row>
        <row r="19">
          <cell r="C19">
            <v>7.9838709677419351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0">
          <cell r="K60">
            <v>291.50666666666666</v>
          </cell>
        </row>
        <row r="62">
          <cell r="K62">
            <v>0.61470000000000002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O31" sqref="O31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6" bestFit="1" customWidth="1"/>
    <col min="13" max="13" width="12.140625" style="296" customWidth="1"/>
    <col min="14" max="14" width="12.140625" style="507" customWidth="1"/>
    <col min="15" max="15" width="11.7109375" bestFit="1" customWidth="1"/>
  </cols>
  <sheetData>
    <row r="1" spans="1:15" ht="60">
      <c r="A1" t="s">
        <v>343</v>
      </c>
      <c r="B1" t="s">
        <v>198</v>
      </c>
      <c r="C1" t="s">
        <v>344</v>
      </c>
      <c r="D1" t="s">
        <v>345</v>
      </c>
      <c r="E1" s="275" t="s">
        <v>355</v>
      </c>
      <c r="F1" s="275" t="s">
        <v>356</v>
      </c>
      <c r="G1" s="275" t="s">
        <v>357</v>
      </c>
      <c r="H1" s="275" t="s">
        <v>358</v>
      </c>
      <c r="I1" s="275" t="s">
        <v>359</v>
      </c>
      <c r="J1" s="275" t="s">
        <v>360</v>
      </c>
      <c r="K1" s="275" t="s">
        <v>361</v>
      </c>
      <c r="L1" s="308" t="s">
        <v>362</v>
      </c>
      <c r="M1" s="504" t="s">
        <v>403</v>
      </c>
      <c r="N1" s="505" t="s">
        <v>404</v>
      </c>
      <c r="O1" s="275" t="s">
        <v>346</v>
      </c>
    </row>
    <row r="2" spans="1:15">
      <c r="A2" t="s">
        <v>347</v>
      </c>
      <c r="B2">
        <v>1</v>
      </c>
      <c r="C2">
        <v>10</v>
      </c>
      <c r="D2">
        <v>2020</v>
      </c>
      <c r="E2" s="204">
        <f>ELEC!N3</f>
        <v>10203</v>
      </c>
      <c r="F2" s="333">
        <f>SUM('EDl log'!T4)</f>
        <v>4.0557486329759786E-2</v>
      </c>
      <c r="G2" s="204">
        <f>-tanks!AW6</f>
        <v>1.7999999999883585</v>
      </c>
      <c r="H2" s="333">
        <f>SUM(tanks!AV6)</f>
        <v>0</v>
      </c>
      <c r="I2" s="10">
        <f>('B5'!AU5)*0.51</f>
        <v>-15.3</v>
      </c>
      <c r="J2" s="312">
        <f>'B5'!AX5/0.51</f>
        <v>1.5686274509803921</v>
      </c>
      <c r="K2" s="204">
        <f>WATER!I6</f>
        <v>0</v>
      </c>
      <c r="L2" s="334">
        <f>SUM(WATER!J6)</f>
        <v>0</v>
      </c>
      <c r="M2" s="334">
        <f>WATER!Q6</f>
        <v>0</v>
      </c>
      <c r="N2" s="506">
        <v>0.6</v>
      </c>
      <c r="O2" s="10">
        <f>ELEC!B3</f>
        <v>0</v>
      </c>
    </row>
    <row r="3" spans="1:15">
      <c r="A3" t="s">
        <v>347</v>
      </c>
      <c r="B3">
        <f>B2+1</f>
        <v>2</v>
      </c>
      <c r="C3">
        <v>10</v>
      </c>
      <c r="D3">
        <v>2020</v>
      </c>
      <c r="E3" s="204">
        <f>ELEC!N4</f>
        <v>10041</v>
      </c>
      <c r="F3" s="333">
        <f>SUM('EDl log'!T5)</f>
        <v>4.8724118991503168E-2</v>
      </c>
      <c r="G3" s="204">
        <f>-tanks!AW7</f>
        <v>232</v>
      </c>
      <c r="H3" s="333">
        <f>SUM(tanks!AV7)</f>
        <v>0</v>
      </c>
      <c r="I3" s="10">
        <f>('B5'!AU6)*0.51</f>
        <v>0</v>
      </c>
      <c r="J3" s="312">
        <f>'B5'!AX6/0.51</f>
        <v>1.5686274509803921</v>
      </c>
      <c r="K3" s="204">
        <f>WATER!I7</f>
        <v>90</v>
      </c>
      <c r="L3" s="334">
        <f>SUM(WATER!J7)</f>
        <v>2.6881720430107525</v>
      </c>
      <c r="M3" s="334">
        <f>WATER!Q7</f>
        <v>0</v>
      </c>
      <c r="N3" s="506">
        <v>0.6</v>
      </c>
      <c r="O3" s="10">
        <f>ELEC!B4</f>
        <v>0</v>
      </c>
    </row>
    <row r="4" spans="1:15">
      <c r="A4" t="s">
        <v>347</v>
      </c>
      <c r="B4">
        <f t="shared" ref="B4:B32" si="0">B3+1</f>
        <v>3</v>
      </c>
      <c r="C4">
        <v>10</v>
      </c>
      <c r="D4">
        <v>2020</v>
      </c>
      <c r="E4" s="204">
        <f>ELEC!N5</f>
        <v>8684</v>
      </c>
      <c r="F4" s="333">
        <f>SUM('EDl log'!T6)</f>
        <v>4.5868585048156864E-2</v>
      </c>
      <c r="G4" s="204">
        <f>-tanks!AW8</f>
        <v>116</v>
      </c>
      <c r="H4" s="333">
        <f>SUM(tanks!AV8)</f>
        <v>0</v>
      </c>
      <c r="I4" s="10">
        <f>('B5'!AU7)*0.51</f>
        <v>0</v>
      </c>
      <c r="J4" s="312">
        <f>'B5'!AX7/0.51</f>
        <v>1.5686274509803921</v>
      </c>
      <c r="K4" s="204">
        <f>WATER!I8</f>
        <v>0</v>
      </c>
      <c r="L4" s="334">
        <f>SUM(WATER!J8)</f>
        <v>0</v>
      </c>
      <c r="M4" s="334">
        <f>WATER!Q8</f>
        <v>0</v>
      </c>
      <c r="N4" s="506">
        <v>0.6</v>
      </c>
      <c r="O4" s="10">
        <f>ELEC!B5</f>
        <v>0</v>
      </c>
    </row>
    <row r="5" spans="1:15">
      <c r="A5" t="s">
        <v>347</v>
      </c>
      <c r="B5">
        <f t="shared" si="0"/>
        <v>4</v>
      </c>
      <c r="C5">
        <v>10</v>
      </c>
      <c r="D5">
        <v>2020</v>
      </c>
      <c r="E5" s="204">
        <f>ELEC!N6</f>
        <v>7992</v>
      </c>
      <c r="F5" s="333">
        <f>SUM('EDl log'!T7)</f>
        <v>4.3581193945311618E-2</v>
      </c>
      <c r="G5" s="204">
        <f>-tanks!AW9</f>
        <v>53</v>
      </c>
      <c r="H5" s="333">
        <f>SUM(tanks!AV9)</f>
        <v>0</v>
      </c>
      <c r="I5" s="10">
        <f>('B5'!AU8)*0.51</f>
        <v>0</v>
      </c>
      <c r="J5" s="312">
        <f>'B5'!AX8/0.51</f>
        <v>1.5686274509803921</v>
      </c>
      <c r="K5" s="204">
        <f>WATER!I9</f>
        <v>98</v>
      </c>
      <c r="L5" s="334">
        <f>SUM(WATER!J9)</f>
        <v>2.4687294272547731</v>
      </c>
      <c r="M5" s="334">
        <f>WATER!Q9</f>
        <v>0</v>
      </c>
      <c r="N5" s="506">
        <v>0.6</v>
      </c>
      <c r="O5" s="10">
        <f>ELEC!B6</f>
        <v>0</v>
      </c>
    </row>
    <row r="6" spans="1:15">
      <c r="A6" t="s">
        <v>347</v>
      </c>
      <c r="B6">
        <f t="shared" si="0"/>
        <v>5</v>
      </c>
      <c r="C6">
        <v>10</v>
      </c>
      <c r="D6">
        <v>2020</v>
      </c>
      <c r="E6" s="204">
        <f>ELEC!N7</f>
        <v>9176</v>
      </c>
      <c r="F6" s="333">
        <f>SUM('EDl log'!T8)</f>
        <v>4.3506357328547442E-2</v>
      </c>
      <c r="G6" s="204">
        <f>-tanks!AW10</f>
        <v>96</v>
      </c>
      <c r="H6" s="333">
        <f>SUM(tanks!AV10)</f>
        <v>0</v>
      </c>
      <c r="I6" s="10">
        <f>('B5'!AU9)*0.51</f>
        <v>0</v>
      </c>
      <c r="J6" s="312">
        <f>'B5'!AX9/0.51</f>
        <v>1.5686274509803921</v>
      </c>
      <c r="K6" s="204">
        <f>WATER!I10</f>
        <v>0</v>
      </c>
      <c r="L6" s="334">
        <f>SUM(WATER!J10)</f>
        <v>0</v>
      </c>
      <c r="M6" s="334">
        <f>WATER!Q10</f>
        <v>0</v>
      </c>
      <c r="N6" s="506">
        <v>0.6</v>
      </c>
      <c r="O6" s="10">
        <f>ELEC!B7</f>
        <v>0</v>
      </c>
    </row>
    <row r="7" spans="1:15">
      <c r="A7" t="s">
        <v>347</v>
      </c>
      <c r="B7">
        <f t="shared" si="0"/>
        <v>6</v>
      </c>
      <c r="C7">
        <v>10</v>
      </c>
      <c r="D7">
        <v>2020</v>
      </c>
      <c r="E7" s="204">
        <f>ELEC!N8</f>
        <v>0</v>
      </c>
      <c r="F7" s="333">
        <f>SUM('EDl log'!T9)</f>
        <v>0</v>
      </c>
      <c r="G7" s="204">
        <f>-tanks!AW11</f>
        <v>0</v>
      </c>
      <c r="H7" s="333">
        <f>SUM(tanks!AV11)</f>
        <v>0</v>
      </c>
      <c r="I7" s="10">
        <f>('B5'!AU10)*0.51</f>
        <v>0</v>
      </c>
      <c r="J7" s="312">
        <f>'B5'!AX10/0.51</f>
        <v>1.5686274509803921</v>
      </c>
      <c r="K7" s="204">
        <f>WATER!I11</f>
        <v>0</v>
      </c>
      <c r="L7" s="334">
        <f>SUM(WATER!J11)</f>
        <v>0</v>
      </c>
      <c r="M7" s="334">
        <f>WATER!Q11</f>
        <v>0</v>
      </c>
      <c r="N7" s="506">
        <v>0.6</v>
      </c>
      <c r="O7" s="10">
        <f>ELEC!B8</f>
        <v>0</v>
      </c>
    </row>
    <row r="8" spans="1:15">
      <c r="A8" t="s">
        <v>347</v>
      </c>
      <c r="B8">
        <f t="shared" si="0"/>
        <v>7</v>
      </c>
      <c r="C8">
        <v>10</v>
      </c>
      <c r="D8">
        <v>2020</v>
      </c>
      <c r="E8" s="204">
        <f>ELEC!N9</f>
        <v>0</v>
      </c>
      <c r="F8" s="333">
        <f>SUM('EDl log'!T10)</f>
        <v>0</v>
      </c>
      <c r="G8" s="204">
        <f>-tanks!AW12</f>
        <v>0</v>
      </c>
      <c r="H8" s="333">
        <f>SUM(tanks!AV12)</f>
        <v>0</v>
      </c>
      <c r="I8" s="10">
        <f>('B5'!AU11)*0.51</f>
        <v>0</v>
      </c>
      <c r="J8" s="312">
        <f>'B5'!AX11/0.51</f>
        <v>1.5686274509803921</v>
      </c>
      <c r="K8" s="204">
        <f>WATER!I12</f>
        <v>0</v>
      </c>
      <c r="L8" s="334">
        <f>SUM(WATER!J12)</f>
        <v>0</v>
      </c>
      <c r="M8" s="334">
        <f>WATER!Q12</f>
        <v>0</v>
      </c>
      <c r="N8" s="506">
        <v>0.6</v>
      </c>
      <c r="O8" s="10">
        <f>ELEC!B9</f>
        <v>0</v>
      </c>
    </row>
    <row r="9" spans="1:15">
      <c r="A9" t="s">
        <v>347</v>
      </c>
      <c r="B9">
        <f t="shared" si="0"/>
        <v>8</v>
      </c>
      <c r="C9">
        <v>10</v>
      </c>
      <c r="D9">
        <v>2020</v>
      </c>
      <c r="E9" s="204">
        <f>ELEC!N10</f>
        <v>0</v>
      </c>
      <c r="F9" s="333">
        <f>SUM('EDl log'!T11)</f>
        <v>0</v>
      </c>
      <c r="G9" s="204">
        <f>-tanks!AW13</f>
        <v>0</v>
      </c>
      <c r="H9" s="333">
        <f>SUM(tanks!AV13)</f>
        <v>0</v>
      </c>
      <c r="I9" s="10">
        <f>('B5'!AU12)*0.51</f>
        <v>0</v>
      </c>
      <c r="J9" s="312">
        <f>'B5'!AX12/0.51</f>
        <v>1.5686274509803921</v>
      </c>
      <c r="K9" s="204">
        <f>WATER!I13</f>
        <v>0</v>
      </c>
      <c r="L9" s="334">
        <f>SUM(WATER!J13)</f>
        <v>0</v>
      </c>
      <c r="M9" s="334">
        <f>WATER!Q13</f>
        <v>0</v>
      </c>
      <c r="N9" s="506">
        <v>0.6</v>
      </c>
      <c r="O9" s="10">
        <f>ELEC!B10</f>
        <v>0</v>
      </c>
    </row>
    <row r="10" spans="1:15">
      <c r="A10" t="s">
        <v>347</v>
      </c>
      <c r="B10">
        <f t="shared" si="0"/>
        <v>9</v>
      </c>
      <c r="C10">
        <v>10</v>
      </c>
      <c r="D10">
        <v>2020</v>
      </c>
      <c r="E10" s="204">
        <f>ELEC!N11</f>
        <v>0</v>
      </c>
      <c r="F10" s="333">
        <f>SUM('EDl log'!T12)</f>
        <v>0</v>
      </c>
      <c r="G10" s="204">
        <f>-tanks!AW14</f>
        <v>0</v>
      </c>
      <c r="H10" s="333">
        <f>SUM(tanks!AV14)</f>
        <v>0</v>
      </c>
      <c r="I10" s="10">
        <f>('B5'!AU13)*0.51</f>
        <v>0</v>
      </c>
      <c r="J10" s="312">
        <f>'B5'!AX13/0.51</f>
        <v>1.5686274509803921</v>
      </c>
      <c r="K10" s="204">
        <f>WATER!I14</f>
        <v>0</v>
      </c>
      <c r="L10" s="334">
        <f>SUM(WATER!J14)</f>
        <v>0</v>
      </c>
      <c r="M10" s="334">
        <f>WATER!Q14</f>
        <v>0</v>
      </c>
      <c r="N10" s="506">
        <v>0.6</v>
      </c>
      <c r="O10" s="10">
        <f>ELEC!B11</f>
        <v>0</v>
      </c>
    </row>
    <row r="11" spans="1:15">
      <c r="A11" t="s">
        <v>347</v>
      </c>
      <c r="B11">
        <f t="shared" si="0"/>
        <v>10</v>
      </c>
      <c r="C11">
        <v>10</v>
      </c>
      <c r="D11">
        <v>2020</v>
      </c>
      <c r="E11" s="204">
        <f>ELEC!N12</f>
        <v>0</v>
      </c>
      <c r="F11" s="333">
        <f>SUM('EDl log'!T13)</f>
        <v>0</v>
      </c>
      <c r="G11" s="204">
        <f>-tanks!AW15</f>
        <v>0</v>
      </c>
      <c r="H11" s="333">
        <f>SUM(tanks!AV15)</f>
        <v>0</v>
      </c>
      <c r="I11" s="10">
        <f>('B5'!AU14)*0.51</f>
        <v>0</v>
      </c>
      <c r="J11" s="312">
        <f>'B5'!AX14/0.51</f>
        <v>1.5686274509803921</v>
      </c>
      <c r="K11" s="204">
        <f>WATER!I15</f>
        <v>0</v>
      </c>
      <c r="L11" s="334">
        <f>SUM(WATER!J15)</f>
        <v>0</v>
      </c>
      <c r="M11" s="334">
        <f>WATER!Q15</f>
        <v>0</v>
      </c>
      <c r="N11" s="506">
        <v>0.6</v>
      </c>
      <c r="O11" s="10">
        <f>ELEC!B12</f>
        <v>0</v>
      </c>
    </row>
    <row r="12" spans="1:15">
      <c r="A12" t="s">
        <v>347</v>
      </c>
      <c r="B12">
        <f t="shared" si="0"/>
        <v>11</v>
      </c>
      <c r="C12">
        <v>10</v>
      </c>
      <c r="D12">
        <v>2020</v>
      </c>
      <c r="E12" s="204">
        <f>ELEC!N13</f>
        <v>0</v>
      </c>
      <c r="F12" s="333">
        <f>SUM('EDl log'!T14)</f>
        <v>0</v>
      </c>
      <c r="G12" s="204">
        <f>-tanks!AW16</f>
        <v>0</v>
      </c>
      <c r="H12" s="333">
        <f>SUM(tanks!AV16)</f>
        <v>0</v>
      </c>
      <c r="I12" s="10">
        <f>('B5'!AU15)*0.51</f>
        <v>0</v>
      </c>
      <c r="J12" s="312">
        <f>'B5'!AX15/0.51</f>
        <v>1.5686274509803921</v>
      </c>
      <c r="K12" s="204">
        <f>WATER!I16</f>
        <v>0</v>
      </c>
      <c r="L12" s="334">
        <f>SUM(WATER!J16)</f>
        <v>0</v>
      </c>
      <c r="M12" s="334">
        <f>WATER!Q16</f>
        <v>0</v>
      </c>
      <c r="N12" s="506">
        <v>0.6</v>
      </c>
      <c r="O12" s="10">
        <f>ELEC!B13</f>
        <v>0</v>
      </c>
    </row>
    <row r="13" spans="1:15">
      <c r="A13" t="s">
        <v>347</v>
      </c>
      <c r="B13">
        <f t="shared" si="0"/>
        <v>12</v>
      </c>
      <c r="C13">
        <v>10</v>
      </c>
      <c r="D13">
        <v>2020</v>
      </c>
      <c r="E13" s="204">
        <f>ELEC!N14</f>
        <v>0</v>
      </c>
      <c r="F13" s="333">
        <f>SUM('EDl log'!T15)</f>
        <v>0</v>
      </c>
      <c r="G13" s="204">
        <f>-tanks!AW17</f>
        <v>0</v>
      </c>
      <c r="H13" s="333">
        <f>SUM(tanks!AV17)</f>
        <v>0</v>
      </c>
      <c r="I13" s="10">
        <f>('B5'!AU16)*0.51</f>
        <v>0</v>
      </c>
      <c r="J13" s="312">
        <f>'B5'!AX16/0.51</f>
        <v>1.5686274509803921</v>
      </c>
      <c r="K13" s="204">
        <f>WATER!I17</f>
        <v>0</v>
      </c>
      <c r="L13" s="334">
        <f>SUM(WATER!J17)</f>
        <v>0</v>
      </c>
      <c r="M13" s="334">
        <f>WATER!Q17</f>
        <v>0</v>
      </c>
      <c r="N13" s="506">
        <v>0.6</v>
      </c>
      <c r="O13" s="10">
        <f>ELEC!B14</f>
        <v>0</v>
      </c>
    </row>
    <row r="14" spans="1:15">
      <c r="A14" t="s">
        <v>347</v>
      </c>
      <c r="B14">
        <f t="shared" si="0"/>
        <v>13</v>
      </c>
      <c r="C14">
        <v>10</v>
      </c>
      <c r="D14">
        <v>2020</v>
      </c>
      <c r="E14" s="204">
        <f>ELEC!N15</f>
        <v>0</v>
      </c>
      <c r="F14" s="333">
        <f>SUM('EDl log'!T16)</f>
        <v>0</v>
      </c>
      <c r="G14" s="204">
        <f>-tanks!AW18</f>
        <v>0</v>
      </c>
      <c r="H14" s="333">
        <f>SUM(tanks!AV18)</f>
        <v>0</v>
      </c>
      <c r="I14" s="10">
        <f>('B5'!AU17)*0.51</f>
        <v>0</v>
      </c>
      <c r="J14" s="312">
        <f>'B5'!AX17/0.51</f>
        <v>1.5686274509803921</v>
      </c>
      <c r="K14" s="204">
        <f>WATER!I18</f>
        <v>0</v>
      </c>
      <c r="L14" s="334">
        <f>SUM(WATER!J18)</f>
        <v>0</v>
      </c>
      <c r="M14" s="334">
        <f>WATER!Q18</f>
        <v>0</v>
      </c>
      <c r="N14" s="506">
        <v>0.6</v>
      </c>
      <c r="O14" s="10">
        <f>ELEC!B15</f>
        <v>0</v>
      </c>
    </row>
    <row r="15" spans="1:15">
      <c r="A15" t="s">
        <v>347</v>
      </c>
      <c r="B15">
        <f t="shared" si="0"/>
        <v>14</v>
      </c>
      <c r="C15">
        <v>10</v>
      </c>
      <c r="D15">
        <v>2020</v>
      </c>
      <c r="E15" s="204">
        <f>ELEC!N16</f>
        <v>0</v>
      </c>
      <c r="F15" s="333">
        <f>SUM('EDl log'!T17)</f>
        <v>0</v>
      </c>
      <c r="G15" s="204">
        <f>-tanks!AW19</f>
        <v>0</v>
      </c>
      <c r="H15" s="333">
        <f>SUM(tanks!AV19)</f>
        <v>0</v>
      </c>
      <c r="I15" s="10">
        <f>('B5'!AU18)*0.51</f>
        <v>0</v>
      </c>
      <c r="J15" s="312">
        <f>'B5'!AX18/0.51</f>
        <v>1.5686274509803921</v>
      </c>
      <c r="K15" s="204">
        <f>WATER!I19</f>
        <v>0</v>
      </c>
      <c r="L15" s="334">
        <f>SUM(WATER!J19)</f>
        <v>0</v>
      </c>
      <c r="M15" s="334">
        <f>WATER!Q19</f>
        <v>0</v>
      </c>
      <c r="N15" s="506">
        <v>0.6</v>
      </c>
      <c r="O15" s="10">
        <f>ELEC!B16</f>
        <v>0</v>
      </c>
    </row>
    <row r="16" spans="1:15">
      <c r="A16" t="s">
        <v>347</v>
      </c>
      <c r="B16">
        <f t="shared" si="0"/>
        <v>15</v>
      </c>
      <c r="C16">
        <v>10</v>
      </c>
      <c r="D16">
        <v>2020</v>
      </c>
      <c r="E16" s="204">
        <f>ELEC!N17</f>
        <v>0</v>
      </c>
      <c r="F16" s="333">
        <f>SUM('EDl log'!T18)</f>
        <v>0</v>
      </c>
      <c r="G16" s="204">
        <f>-tanks!AW20</f>
        <v>0</v>
      </c>
      <c r="H16" s="333">
        <f>SUM(tanks!AV20)</f>
        <v>0</v>
      </c>
      <c r="I16" s="10">
        <f>('B5'!AU19)*0.51</f>
        <v>0</v>
      </c>
      <c r="J16" s="312">
        <f>'B5'!AX19/0.51</f>
        <v>1.5686274509803921</v>
      </c>
      <c r="K16" s="204">
        <f>WATER!I20</f>
        <v>0</v>
      </c>
      <c r="L16" s="334">
        <f>SUM(WATER!J20)</f>
        <v>0</v>
      </c>
      <c r="M16" s="334">
        <f>WATER!Q20</f>
        <v>0</v>
      </c>
      <c r="N16" s="506">
        <v>0.6</v>
      </c>
      <c r="O16" s="10">
        <f>ELEC!B17</f>
        <v>0</v>
      </c>
    </row>
    <row r="17" spans="1:15">
      <c r="A17" t="s">
        <v>347</v>
      </c>
      <c r="B17">
        <f t="shared" si="0"/>
        <v>16</v>
      </c>
      <c r="C17">
        <v>10</v>
      </c>
      <c r="D17">
        <v>2020</v>
      </c>
      <c r="E17" s="204">
        <f>ELEC!N18</f>
        <v>0</v>
      </c>
      <c r="F17" s="333">
        <f>SUM('EDl log'!T19)</f>
        <v>0</v>
      </c>
      <c r="G17" s="204">
        <f>-tanks!AW21</f>
        <v>0</v>
      </c>
      <c r="H17" s="333">
        <f>SUM(tanks!AV21)</f>
        <v>0</v>
      </c>
      <c r="I17" s="10">
        <f>('B5'!AU20)*0.51</f>
        <v>0</v>
      </c>
      <c r="J17" s="312">
        <f>'B5'!AX20/0.51</f>
        <v>1.5686274509803921</v>
      </c>
      <c r="K17" s="204">
        <f>WATER!I21</f>
        <v>0</v>
      </c>
      <c r="L17" s="334">
        <f>SUM(WATER!J21)</f>
        <v>0</v>
      </c>
      <c r="M17" s="334">
        <f>WATER!Q21</f>
        <v>0</v>
      </c>
      <c r="N17" s="506">
        <v>0.6</v>
      </c>
      <c r="O17" s="10">
        <f>ELEC!B18</f>
        <v>0</v>
      </c>
    </row>
    <row r="18" spans="1:15">
      <c r="A18" t="s">
        <v>347</v>
      </c>
      <c r="B18">
        <f t="shared" si="0"/>
        <v>17</v>
      </c>
      <c r="C18">
        <v>10</v>
      </c>
      <c r="D18">
        <v>2020</v>
      </c>
      <c r="E18" s="204">
        <f>ELEC!N19</f>
        <v>0</v>
      </c>
      <c r="F18" s="333">
        <f>SUM('EDl log'!T20)</f>
        <v>0</v>
      </c>
      <c r="G18" s="204">
        <f>-tanks!AW22</f>
        <v>0</v>
      </c>
      <c r="H18" s="333">
        <f>SUM(tanks!AV22)</f>
        <v>0</v>
      </c>
      <c r="I18" s="10">
        <f>('B5'!AU21)*0.51</f>
        <v>0</v>
      </c>
      <c r="J18" s="312">
        <f>'B5'!AX21/0.51</f>
        <v>1.5686274509803921</v>
      </c>
      <c r="K18" s="204">
        <f>WATER!I22</f>
        <v>0</v>
      </c>
      <c r="L18" s="334">
        <f>SUM(WATER!J22)</f>
        <v>0</v>
      </c>
      <c r="M18" s="334">
        <f>WATER!Q22</f>
        <v>0</v>
      </c>
      <c r="N18" s="506">
        <v>0.6</v>
      </c>
      <c r="O18" s="10">
        <f>ELEC!B19</f>
        <v>0</v>
      </c>
    </row>
    <row r="19" spans="1:15">
      <c r="A19" t="s">
        <v>347</v>
      </c>
      <c r="B19">
        <f t="shared" si="0"/>
        <v>18</v>
      </c>
      <c r="C19">
        <v>10</v>
      </c>
      <c r="D19">
        <v>2020</v>
      </c>
      <c r="E19" s="204">
        <f>ELEC!N20</f>
        <v>0</v>
      </c>
      <c r="F19" s="333">
        <f>SUM('EDl log'!T21)</f>
        <v>0</v>
      </c>
      <c r="G19" s="204">
        <f>-tanks!AW23</f>
        <v>0</v>
      </c>
      <c r="H19" s="333">
        <f>SUM(tanks!AV23)</f>
        <v>0</v>
      </c>
      <c r="I19" s="10">
        <f>('B5'!AU22)*0.51</f>
        <v>0</v>
      </c>
      <c r="J19" s="312">
        <f>'B5'!AX22/0.51</f>
        <v>1.5686274509803921</v>
      </c>
      <c r="K19" s="204">
        <f>WATER!I23</f>
        <v>0</v>
      </c>
      <c r="L19" s="334">
        <f>SUM(WATER!J23)</f>
        <v>0</v>
      </c>
      <c r="M19" s="334">
        <f>WATER!Q23</f>
        <v>0</v>
      </c>
      <c r="N19" s="506">
        <v>0.6</v>
      </c>
      <c r="O19" s="10">
        <f>ELEC!B20</f>
        <v>0</v>
      </c>
    </row>
    <row r="20" spans="1:15">
      <c r="A20" t="s">
        <v>347</v>
      </c>
      <c r="B20">
        <f t="shared" si="0"/>
        <v>19</v>
      </c>
      <c r="C20">
        <v>10</v>
      </c>
      <c r="D20">
        <v>2020</v>
      </c>
      <c r="E20" s="204">
        <f>ELEC!N21</f>
        <v>0</v>
      </c>
      <c r="F20" s="333">
        <f>SUM('EDl log'!T22)</f>
        <v>0</v>
      </c>
      <c r="G20" s="204">
        <f>-tanks!AW24</f>
        <v>0</v>
      </c>
      <c r="H20" s="333">
        <f>SUM(tanks!AV24)</f>
        <v>0</v>
      </c>
      <c r="I20" s="10">
        <f>('B5'!AU23)*0.51</f>
        <v>0</v>
      </c>
      <c r="J20" s="312">
        <f>'B5'!AX23/0.51</f>
        <v>1.5686274509803921</v>
      </c>
      <c r="K20" s="204">
        <f>WATER!I24</f>
        <v>0</v>
      </c>
      <c r="L20" s="334">
        <f>SUM(WATER!J24)</f>
        <v>0</v>
      </c>
      <c r="M20" s="334">
        <f>WATER!Q24</f>
        <v>0</v>
      </c>
      <c r="N20" s="506">
        <v>0.6</v>
      </c>
      <c r="O20" s="10">
        <f>ELEC!B21</f>
        <v>0</v>
      </c>
    </row>
    <row r="21" spans="1:15">
      <c r="A21" t="s">
        <v>347</v>
      </c>
      <c r="B21">
        <f t="shared" si="0"/>
        <v>20</v>
      </c>
      <c r="C21">
        <v>10</v>
      </c>
      <c r="D21">
        <v>2020</v>
      </c>
      <c r="E21" s="204">
        <f>ELEC!N22</f>
        <v>0</v>
      </c>
      <c r="F21" s="333">
        <f>SUM('EDl log'!T23)</f>
        <v>0</v>
      </c>
      <c r="G21" s="204">
        <f>-tanks!AW25</f>
        <v>0</v>
      </c>
      <c r="H21" s="333">
        <f>SUM(tanks!AV25)</f>
        <v>0</v>
      </c>
      <c r="I21" s="10">
        <f>('B5'!AU24)*0.51</f>
        <v>0</v>
      </c>
      <c r="J21" s="312">
        <f>'B5'!AX24/0.51</f>
        <v>1.5686274509803921</v>
      </c>
      <c r="K21" s="204">
        <f>WATER!I25</f>
        <v>0</v>
      </c>
      <c r="L21" s="334">
        <f>SUM(WATER!J25)</f>
        <v>0</v>
      </c>
      <c r="M21" s="334">
        <f>WATER!Q25</f>
        <v>0</v>
      </c>
      <c r="N21" s="506">
        <v>0.6</v>
      </c>
      <c r="O21" s="10">
        <f>ELEC!B22</f>
        <v>0</v>
      </c>
    </row>
    <row r="22" spans="1:15">
      <c r="A22" t="s">
        <v>347</v>
      </c>
      <c r="B22">
        <f t="shared" si="0"/>
        <v>21</v>
      </c>
      <c r="C22">
        <v>10</v>
      </c>
      <c r="D22">
        <v>2020</v>
      </c>
      <c r="E22" s="204">
        <f>ELEC!N23</f>
        <v>0</v>
      </c>
      <c r="F22" s="333">
        <f>SUM('EDl log'!T24)</f>
        <v>0</v>
      </c>
      <c r="G22" s="204">
        <f>-tanks!AW26</f>
        <v>0</v>
      </c>
      <c r="H22" s="333">
        <f>SUM(tanks!AV26)</f>
        <v>0</v>
      </c>
      <c r="I22" s="10">
        <f>('B5'!AU25)*0.51</f>
        <v>0</v>
      </c>
      <c r="J22" s="312">
        <f>'B5'!AX25/0.51</f>
        <v>1.5686274509803921</v>
      </c>
      <c r="K22" s="204">
        <f>WATER!I26</f>
        <v>0</v>
      </c>
      <c r="L22" s="334">
        <f>SUM(WATER!J26)</f>
        <v>0</v>
      </c>
      <c r="M22" s="334">
        <f>WATER!Q26</f>
        <v>0</v>
      </c>
      <c r="N22" s="506">
        <v>0.6</v>
      </c>
      <c r="O22" s="10">
        <f>ELEC!B23</f>
        <v>0</v>
      </c>
    </row>
    <row r="23" spans="1:15">
      <c r="A23" t="s">
        <v>347</v>
      </c>
      <c r="B23">
        <f t="shared" si="0"/>
        <v>22</v>
      </c>
      <c r="C23">
        <v>10</v>
      </c>
      <c r="D23">
        <v>2020</v>
      </c>
      <c r="E23" s="204">
        <f>ELEC!N24</f>
        <v>0</v>
      </c>
      <c r="F23" s="333">
        <f>SUM('EDl log'!T25)</f>
        <v>0</v>
      </c>
      <c r="G23" s="204">
        <f>-tanks!AW27</f>
        <v>0</v>
      </c>
      <c r="H23" s="333">
        <f>SUM(tanks!AV27)</f>
        <v>0</v>
      </c>
      <c r="I23" s="10">
        <f>('B5'!AU26)*0.51</f>
        <v>0</v>
      </c>
      <c r="J23" s="312">
        <f>'B5'!AX26/0.51</f>
        <v>1.5686274509803921</v>
      </c>
      <c r="K23" s="204">
        <f>WATER!I27</f>
        <v>0</v>
      </c>
      <c r="L23" s="334">
        <f>SUM(WATER!J27)</f>
        <v>0</v>
      </c>
      <c r="M23" s="334">
        <f>WATER!Q27</f>
        <v>0</v>
      </c>
      <c r="N23" s="506">
        <v>0.6</v>
      </c>
      <c r="O23" s="10">
        <f>ELEC!B24</f>
        <v>0</v>
      </c>
    </row>
    <row r="24" spans="1:15">
      <c r="A24" t="s">
        <v>347</v>
      </c>
      <c r="B24">
        <f t="shared" si="0"/>
        <v>23</v>
      </c>
      <c r="C24">
        <v>10</v>
      </c>
      <c r="D24">
        <v>2020</v>
      </c>
      <c r="E24" s="204">
        <f>ELEC!N25</f>
        <v>0</v>
      </c>
      <c r="F24" s="333">
        <f>SUM('EDl log'!T26)</f>
        <v>0</v>
      </c>
      <c r="G24" s="204">
        <f>-tanks!AW28</f>
        <v>0</v>
      </c>
      <c r="H24" s="333">
        <f>SUM(tanks!AV28)</f>
        <v>0</v>
      </c>
      <c r="I24" s="10">
        <f>('B5'!AU27)*0.51</f>
        <v>0</v>
      </c>
      <c r="J24" s="312">
        <f>'B5'!AX27/0.51</f>
        <v>1.5686274509803921</v>
      </c>
      <c r="K24" s="204">
        <f>WATER!I28</f>
        <v>0</v>
      </c>
      <c r="L24" s="334">
        <f>SUM(WATER!J28)</f>
        <v>0</v>
      </c>
      <c r="M24" s="334">
        <f>WATER!Q28</f>
        <v>0</v>
      </c>
      <c r="N24" s="506">
        <v>0.6</v>
      </c>
      <c r="O24" s="10">
        <f>ELEC!B25</f>
        <v>0</v>
      </c>
    </row>
    <row r="25" spans="1:15">
      <c r="A25" t="s">
        <v>347</v>
      </c>
      <c r="B25">
        <f t="shared" si="0"/>
        <v>24</v>
      </c>
      <c r="C25">
        <v>10</v>
      </c>
      <c r="D25">
        <v>2020</v>
      </c>
      <c r="E25" s="204">
        <f>ELEC!N26</f>
        <v>0</v>
      </c>
      <c r="F25" s="333">
        <f>SUM('EDl log'!T27)</f>
        <v>0</v>
      </c>
      <c r="G25" s="204">
        <f>-tanks!AW29</f>
        <v>0</v>
      </c>
      <c r="H25" s="333">
        <f>SUM(tanks!AV29)</f>
        <v>0</v>
      </c>
      <c r="I25" s="10">
        <f>('B5'!AU28)*0.51</f>
        <v>0</v>
      </c>
      <c r="J25" s="312">
        <f>'B5'!AX28/0.51</f>
        <v>1.5686274509803921</v>
      </c>
      <c r="K25" s="204">
        <f>WATER!I29</f>
        <v>0</v>
      </c>
      <c r="L25" s="334">
        <f>SUM(WATER!J29)</f>
        <v>0</v>
      </c>
      <c r="M25" s="334">
        <f>WATER!Q29</f>
        <v>0</v>
      </c>
      <c r="N25" s="506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10</v>
      </c>
      <c r="D26">
        <v>2020</v>
      </c>
      <c r="E26" s="204">
        <f>ELEC!N27</f>
        <v>0</v>
      </c>
      <c r="F26" s="333">
        <f>SUM('EDl log'!T28)</f>
        <v>0</v>
      </c>
      <c r="G26" s="204">
        <f>-tanks!AW30</f>
        <v>0</v>
      </c>
      <c r="H26" s="333">
        <f>SUM(tanks!AV30)</f>
        <v>0</v>
      </c>
      <c r="I26" s="10">
        <f>('B5'!AU29)*0.51</f>
        <v>0</v>
      </c>
      <c r="J26" s="312">
        <f>'B5'!AX29/0.51</f>
        <v>1.5686274509803921</v>
      </c>
      <c r="K26" s="204">
        <f>WATER!I30</f>
        <v>0</v>
      </c>
      <c r="L26" s="334">
        <f>SUM(WATER!J30)</f>
        <v>0</v>
      </c>
      <c r="M26" s="334">
        <f>WATER!Q30</f>
        <v>0</v>
      </c>
      <c r="N26" s="506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10</v>
      </c>
      <c r="D27">
        <v>2020</v>
      </c>
      <c r="E27" s="204">
        <f>ELEC!N28</f>
        <v>0</v>
      </c>
      <c r="F27" s="333">
        <f>SUM('EDl log'!T29)</f>
        <v>0</v>
      </c>
      <c r="G27" s="204">
        <f>-tanks!AW31</f>
        <v>0</v>
      </c>
      <c r="H27" s="333">
        <f>SUM(tanks!AV31)</f>
        <v>0</v>
      </c>
      <c r="I27" s="10">
        <f>('B5'!AU30)*0.51</f>
        <v>0</v>
      </c>
      <c r="J27" s="312">
        <f>'B5'!AX30/0.51</f>
        <v>1.5686274509803921</v>
      </c>
      <c r="K27" s="204">
        <f>WATER!I31</f>
        <v>0</v>
      </c>
      <c r="L27" s="334">
        <f>SUM(WATER!J31)</f>
        <v>0</v>
      </c>
      <c r="M27" s="334">
        <f>WATER!Q31</f>
        <v>0</v>
      </c>
      <c r="N27" s="506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10</v>
      </c>
      <c r="D28">
        <v>2020</v>
      </c>
      <c r="E28" s="204">
        <f>ELEC!N29</f>
        <v>0</v>
      </c>
      <c r="F28" s="333">
        <f>SUM('EDl log'!T30)</f>
        <v>0</v>
      </c>
      <c r="G28" s="204">
        <f>-tanks!AW32</f>
        <v>0</v>
      </c>
      <c r="H28" s="333">
        <f>SUM(tanks!AV32)</f>
        <v>0</v>
      </c>
      <c r="I28" s="10">
        <f>('B5'!AU31)*0.51</f>
        <v>0</v>
      </c>
      <c r="J28" s="312">
        <f>'B5'!AX31/0.51</f>
        <v>1.5686274509803921</v>
      </c>
      <c r="K28" s="204">
        <f>WATER!I32</f>
        <v>0</v>
      </c>
      <c r="L28" s="334">
        <f>SUM(WATER!J32)</f>
        <v>0</v>
      </c>
      <c r="M28" s="334">
        <f>WATER!Q32</f>
        <v>0</v>
      </c>
      <c r="N28" s="506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10</v>
      </c>
      <c r="D29">
        <v>2020</v>
      </c>
      <c r="E29" s="204">
        <f>ELEC!N30</f>
        <v>0</v>
      </c>
      <c r="F29" s="333">
        <f>SUM('EDl log'!T31)</f>
        <v>0</v>
      </c>
      <c r="G29" s="204">
        <f>-tanks!AW33</f>
        <v>0</v>
      </c>
      <c r="H29" s="333">
        <f>SUM(tanks!AV33)</f>
        <v>0</v>
      </c>
      <c r="I29" s="10">
        <f>('B5'!AU32)*0.51</f>
        <v>0</v>
      </c>
      <c r="J29" s="312">
        <f>'B5'!AX32/0.51</f>
        <v>1.5686274509803921</v>
      </c>
      <c r="K29" s="204">
        <f>WATER!I33</f>
        <v>0</v>
      </c>
      <c r="L29" s="334">
        <f>SUM(WATER!J33)</f>
        <v>0</v>
      </c>
      <c r="M29" s="334">
        <f>WATER!Q33</f>
        <v>0</v>
      </c>
      <c r="N29" s="506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10</v>
      </c>
      <c r="D30">
        <v>2020</v>
      </c>
      <c r="E30" s="204">
        <f>ELEC!N31</f>
        <v>0</v>
      </c>
      <c r="F30" s="333">
        <f>SUM('EDl log'!T32)</f>
        <v>0</v>
      </c>
      <c r="G30" s="204">
        <f>-tanks!AW34</f>
        <v>0</v>
      </c>
      <c r="H30" s="333">
        <f>SUM(tanks!AV34)</f>
        <v>0</v>
      </c>
      <c r="I30" s="10">
        <f>('B5'!AU33)*0.51</f>
        <v>0</v>
      </c>
      <c r="J30" s="312">
        <f>'B5'!AX33/0.51</f>
        <v>1.5686274509803921</v>
      </c>
      <c r="K30" s="204">
        <f>WATER!I34</f>
        <v>0</v>
      </c>
      <c r="L30" s="334">
        <f>SUM(WATER!J34)</f>
        <v>0</v>
      </c>
      <c r="M30" s="334">
        <f>WATER!Q34</f>
        <v>0</v>
      </c>
      <c r="N30" s="506">
        <v>0.6</v>
      </c>
      <c r="O30" s="10">
        <f>ELEC!B31</f>
        <v>0</v>
      </c>
    </row>
    <row r="31" spans="1:15">
      <c r="A31" t="s">
        <v>347</v>
      </c>
      <c r="B31">
        <f t="shared" si="0"/>
        <v>30</v>
      </c>
      <c r="C31">
        <v>10</v>
      </c>
      <c r="D31">
        <v>2020</v>
      </c>
      <c r="E31" s="204">
        <f>ELEC!N32</f>
        <v>0</v>
      </c>
      <c r="F31" s="333">
        <f>SUM('EDl log'!T33)</f>
        <v>0</v>
      </c>
      <c r="G31" s="204">
        <f>-tanks!AW35</f>
        <v>0</v>
      </c>
      <c r="H31" s="333">
        <f>SUM(tanks!AV35)</f>
        <v>0</v>
      </c>
      <c r="I31" s="10">
        <f>('B5'!AU34)*0.51</f>
        <v>0</v>
      </c>
      <c r="J31" s="312">
        <f>'B5'!AX34/0.51</f>
        <v>1.5686274509803921</v>
      </c>
      <c r="K31" s="204">
        <f>WATER!I35</f>
        <v>0</v>
      </c>
      <c r="L31" s="334">
        <f>SUM(WATER!J35)</f>
        <v>0</v>
      </c>
      <c r="M31" s="334">
        <f>WATER!Q35</f>
        <v>0</v>
      </c>
      <c r="N31" s="506">
        <v>0.6</v>
      </c>
      <c r="O31" s="10">
        <f>ELEC!B32</f>
        <v>0</v>
      </c>
    </row>
    <row r="32" spans="1:15">
      <c r="A32" t="s">
        <v>347</v>
      </c>
      <c r="B32">
        <f t="shared" si="0"/>
        <v>31</v>
      </c>
      <c r="C32">
        <v>10</v>
      </c>
      <c r="D32">
        <v>2020</v>
      </c>
      <c r="E32" s="204">
        <f>ELEC!N33</f>
        <v>0</v>
      </c>
      <c r="F32" s="333">
        <f>SUM('EDl log'!T34)</f>
        <v>0</v>
      </c>
      <c r="G32" s="204">
        <f>-tanks!AW36</f>
        <v>0</v>
      </c>
      <c r="H32" s="333">
        <f>SUM(tanks!AV36)</f>
        <v>0</v>
      </c>
      <c r="I32" s="10">
        <f>('B5'!AU35)*0.51</f>
        <v>0</v>
      </c>
      <c r="J32" s="312">
        <f>'B5'!AX35/0.51</f>
        <v>1.5686274509803921</v>
      </c>
      <c r="K32" s="204">
        <f>WATER!I36</f>
        <v>0</v>
      </c>
      <c r="L32" s="334">
        <f>SUM(WATER!J36)</f>
        <v>0</v>
      </c>
      <c r="M32" s="334">
        <f>WATER!Q36</f>
        <v>0</v>
      </c>
      <c r="N32" s="506">
        <v>0.6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Q5" sqref="Q5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75" t="s">
        <v>346</v>
      </c>
    </row>
    <row r="2" spans="1:13">
      <c r="A2" t="s">
        <v>347</v>
      </c>
      <c r="B2">
        <v>1</v>
      </c>
      <c r="C2">
        <v>10</v>
      </c>
      <c r="D2">
        <v>2020</v>
      </c>
      <c r="E2" s="204">
        <f>ELEC!M3</f>
        <v>4538</v>
      </c>
      <c r="F2" s="204">
        <f>ELEC!K3</f>
        <v>868</v>
      </c>
      <c r="G2" s="204">
        <f>ELEC!I3</f>
        <v>884</v>
      </c>
      <c r="H2" s="204">
        <f>ELEC!E3</f>
        <v>3070</v>
      </c>
      <c r="I2" s="204">
        <f>ELEC!G3</f>
        <v>843</v>
      </c>
      <c r="J2" s="204">
        <f>WATER!Y6</f>
        <v>0</v>
      </c>
      <c r="K2" s="204">
        <f>WATER!AJ6</f>
        <v>0</v>
      </c>
      <c r="L2" s="10">
        <f>ELEC!B3</f>
        <v>0</v>
      </c>
      <c r="M2" s="10"/>
    </row>
    <row r="3" spans="1:13">
      <c r="A3" t="s">
        <v>347</v>
      </c>
      <c r="B3">
        <f>B2+1</f>
        <v>2</v>
      </c>
      <c r="C3">
        <v>10</v>
      </c>
      <c r="D3">
        <v>2020</v>
      </c>
      <c r="E3" s="204">
        <f>ELEC!M4</f>
        <v>4024</v>
      </c>
      <c r="F3" s="204">
        <f>ELEC!K4</f>
        <v>1146</v>
      </c>
      <c r="G3" s="204">
        <f>ELEC!I4</f>
        <v>898</v>
      </c>
      <c r="H3" s="204">
        <f>ELEC!E4</f>
        <v>3146</v>
      </c>
      <c r="I3" s="204">
        <f>ELEC!G4</f>
        <v>827</v>
      </c>
      <c r="J3" s="204">
        <f>WATER!Y7</f>
        <v>21</v>
      </c>
      <c r="K3" s="204">
        <f>WATER!AJ7</f>
        <v>13</v>
      </c>
      <c r="L3" s="10">
        <f>ELEC!B4</f>
        <v>0</v>
      </c>
      <c r="M3" s="10"/>
    </row>
    <row r="4" spans="1:13">
      <c r="A4" t="s">
        <v>347</v>
      </c>
      <c r="B4">
        <f t="shared" ref="B4:B32" si="0">B3+1</f>
        <v>3</v>
      </c>
      <c r="C4">
        <v>10</v>
      </c>
      <c r="D4">
        <v>2020</v>
      </c>
      <c r="E4" s="204">
        <f>ELEC!M5</f>
        <v>3390</v>
      </c>
      <c r="F4" s="204">
        <f>ELEC!K5</f>
        <v>994</v>
      </c>
      <c r="G4" s="204">
        <f>ELEC!I5</f>
        <v>802</v>
      </c>
      <c r="H4" s="204">
        <f>ELEC!E5</f>
        <v>2750</v>
      </c>
      <c r="I4" s="204">
        <f>ELEC!G5</f>
        <v>748</v>
      </c>
      <c r="J4" s="204">
        <f>WATER!Y8</f>
        <v>11</v>
      </c>
      <c r="K4" s="204">
        <f>WATER!AJ8</f>
        <v>25</v>
      </c>
      <c r="L4" s="10">
        <f>ELEC!B5</f>
        <v>0</v>
      </c>
      <c r="M4" s="10"/>
    </row>
    <row r="5" spans="1:13">
      <c r="A5" t="s">
        <v>347</v>
      </c>
      <c r="B5">
        <f t="shared" si="0"/>
        <v>4</v>
      </c>
      <c r="C5">
        <v>10</v>
      </c>
      <c r="D5">
        <v>2020</v>
      </c>
      <c r="E5" s="204">
        <f>ELEC!M6</f>
        <v>3224</v>
      </c>
      <c r="F5" s="204">
        <f>ELEC!K6</f>
        <v>968</v>
      </c>
      <c r="G5" s="204">
        <f>ELEC!I6</f>
        <v>744</v>
      </c>
      <c r="H5" s="204">
        <f>ELEC!E6</f>
        <v>2345</v>
      </c>
      <c r="I5" s="204">
        <f>ELEC!G6</f>
        <v>711</v>
      </c>
      <c r="J5" s="204">
        <f>WATER!Y9</f>
        <v>0</v>
      </c>
      <c r="K5" s="204">
        <f>WATER!AJ9</f>
        <v>0</v>
      </c>
      <c r="L5" s="10">
        <f>ELEC!B6</f>
        <v>0</v>
      </c>
      <c r="M5" s="10"/>
    </row>
    <row r="6" spans="1:13">
      <c r="A6" t="s">
        <v>347</v>
      </c>
      <c r="B6">
        <f t="shared" si="0"/>
        <v>5</v>
      </c>
      <c r="C6">
        <v>10</v>
      </c>
      <c r="D6">
        <v>2020</v>
      </c>
      <c r="E6" s="204">
        <f>ELEC!M7</f>
        <v>3524</v>
      </c>
      <c r="F6" s="204">
        <f>ELEC!K7</f>
        <v>1138</v>
      </c>
      <c r="G6" s="204">
        <f>ELEC!I7</f>
        <v>872</v>
      </c>
      <c r="H6" s="204">
        <f>ELEC!E7</f>
        <v>2839</v>
      </c>
      <c r="I6" s="204">
        <f>ELEC!G7</f>
        <v>803</v>
      </c>
      <c r="J6" s="204">
        <f>WATER!Y10</f>
        <v>47</v>
      </c>
      <c r="K6" s="204">
        <f>WATER!AJ10</f>
        <v>21</v>
      </c>
      <c r="L6" s="10">
        <f>ELEC!B7</f>
        <v>0</v>
      </c>
      <c r="M6" s="10"/>
    </row>
    <row r="7" spans="1:13">
      <c r="A7" t="s">
        <v>347</v>
      </c>
      <c r="B7">
        <f t="shared" si="0"/>
        <v>6</v>
      </c>
      <c r="C7">
        <v>10</v>
      </c>
      <c r="D7">
        <v>2020</v>
      </c>
      <c r="E7" s="204">
        <f>ELEC!M8</f>
        <v>0</v>
      </c>
      <c r="F7" s="204">
        <f>ELEC!K8</f>
        <v>0</v>
      </c>
      <c r="G7" s="204">
        <f>ELEC!I8</f>
        <v>0</v>
      </c>
      <c r="H7" s="204">
        <f>ELEC!E8</f>
        <v>0</v>
      </c>
      <c r="I7" s="204">
        <f>ELEC!G8</f>
        <v>0</v>
      </c>
      <c r="J7" s="204">
        <f>WATER!Y11</f>
        <v>0</v>
      </c>
      <c r="K7" s="204">
        <f>WATER!AJ11</f>
        <v>0</v>
      </c>
      <c r="L7" s="10">
        <f>ELEC!B8</f>
        <v>0</v>
      </c>
      <c r="M7" s="10"/>
    </row>
    <row r="8" spans="1:13">
      <c r="A8" t="s">
        <v>347</v>
      </c>
      <c r="B8">
        <f t="shared" si="0"/>
        <v>7</v>
      </c>
      <c r="C8">
        <v>10</v>
      </c>
      <c r="D8">
        <v>2020</v>
      </c>
      <c r="E8" s="204">
        <f>ELEC!M9</f>
        <v>0</v>
      </c>
      <c r="F8" s="204">
        <f>ELEC!K9</f>
        <v>0</v>
      </c>
      <c r="G8" s="204">
        <f>ELEC!I9</f>
        <v>0</v>
      </c>
      <c r="H8" s="204">
        <f>ELEC!E9</f>
        <v>0</v>
      </c>
      <c r="I8" s="204">
        <f>ELEC!G9</f>
        <v>0</v>
      </c>
      <c r="J8" s="204">
        <f>WATER!Y12</f>
        <v>0</v>
      </c>
      <c r="K8" s="204">
        <f>WATER!AJ12</f>
        <v>0</v>
      </c>
      <c r="L8" s="10">
        <f>ELEC!B9</f>
        <v>0</v>
      </c>
      <c r="M8" s="10"/>
    </row>
    <row r="9" spans="1:13">
      <c r="A9" t="s">
        <v>347</v>
      </c>
      <c r="B9">
        <f t="shared" si="0"/>
        <v>8</v>
      </c>
      <c r="C9">
        <v>10</v>
      </c>
      <c r="D9">
        <v>2020</v>
      </c>
      <c r="E9" s="204">
        <f>ELEC!M10</f>
        <v>0</v>
      </c>
      <c r="F9" s="204">
        <f>ELEC!K10</f>
        <v>0</v>
      </c>
      <c r="G9" s="204">
        <f>ELEC!I10</f>
        <v>0</v>
      </c>
      <c r="H9" s="204">
        <f>ELEC!E10</f>
        <v>0</v>
      </c>
      <c r="I9" s="204">
        <f>ELEC!G10</f>
        <v>0</v>
      </c>
      <c r="J9" s="204">
        <f>WATER!Y13</f>
        <v>0</v>
      </c>
      <c r="K9" s="204">
        <f>WATER!AJ13</f>
        <v>0</v>
      </c>
      <c r="L9" s="10">
        <f>ELEC!B10</f>
        <v>0</v>
      </c>
      <c r="M9" s="10"/>
    </row>
    <row r="10" spans="1:13">
      <c r="A10" t="s">
        <v>347</v>
      </c>
      <c r="B10">
        <f t="shared" si="0"/>
        <v>9</v>
      </c>
      <c r="C10">
        <v>10</v>
      </c>
      <c r="D10">
        <v>2020</v>
      </c>
      <c r="E10" s="204">
        <f>ELEC!M11</f>
        <v>0</v>
      </c>
      <c r="F10" s="204">
        <f>ELEC!K11</f>
        <v>0</v>
      </c>
      <c r="G10" s="204">
        <f>ELEC!I11</f>
        <v>0</v>
      </c>
      <c r="H10" s="204">
        <f>ELEC!E11</f>
        <v>0</v>
      </c>
      <c r="I10" s="204">
        <f>ELEC!G11</f>
        <v>0</v>
      </c>
      <c r="J10" s="204">
        <f>WATER!Y14</f>
        <v>0</v>
      </c>
      <c r="K10" s="204">
        <f>WATER!AJ14</f>
        <v>0</v>
      </c>
      <c r="L10" s="10">
        <f>ELEC!B11</f>
        <v>0</v>
      </c>
      <c r="M10" s="10"/>
    </row>
    <row r="11" spans="1:13">
      <c r="A11" t="s">
        <v>347</v>
      </c>
      <c r="B11">
        <f t="shared" si="0"/>
        <v>10</v>
      </c>
      <c r="C11">
        <v>10</v>
      </c>
      <c r="D11">
        <v>2020</v>
      </c>
      <c r="E11" s="204">
        <f>ELEC!M12</f>
        <v>0</v>
      </c>
      <c r="F11" s="204">
        <f>ELEC!K12</f>
        <v>0</v>
      </c>
      <c r="G11" s="204">
        <f>ELEC!I12</f>
        <v>0</v>
      </c>
      <c r="H11" s="204">
        <f>ELEC!E12</f>
        <v>0</v>
      </c>
      <c r="I11" s="204">
        <f>ELEC!G12</f>
        <v>0</v>
      </c>
      <c r="J11" s="204">
        <f>WATER!Y15</f>
        <v>0</v>
      </c>
      <c r="K11" s="204">
        <f>WATER!AJ15</f>
        <v>0</v>
      </c>
      <c r="L11" s="10">
        <f>ELEC!B12</f>
        <v>0</v>
      </c>
      <c r="M11" s="10"/>
    </row>
    <row r="12" spans="1:13">
      <c r="A12" t="s">
        <v>347</v>
      </c>
      <c r="B12">
        <f t="shared" si="0"/>
        <v>11</v>
      </c>
      <c r="C12">
        <v>10</v>
      </c>
      <c r="D12">
        <v>2020</v>
      </c>
      <c r="E12" s="204">
        <f>ELEC!M13</f>
        <v>0</v>
      </c>
      <c r="F12" s="204">
        <f>ELEC!K13</f>
        <v>0</v>
      </c>
      <c r="G12" s="204">
        <f>ELEC!I13</f>
        <v>0</v>
      </c>
      <c r="H12" s="204">
        <f>ELEC!E13</f>
        <v>0</v>
      </c>
      <c r="I12" s="204">
        <f>ELEC!G13</f>
        <v>0</v>
      </c>
      <c r="J12" s="204">
        <f>WATER!Y16</f>
        <v>0</v>
      </c>
      <c r="K12" s="204">
        <f>WATER!AJ16</f>
        <v>0</v>
      </c>
      <c r="L12" s="10">
        <f>ELEC!B13</f>
        <v>0</v>
      </c>
      <c r="M12" s="10"/>
    </row>
    <row r="13" spans="1:13">
      <c r="A13" t="s">
        <v>347</v>
      </c>
      <c r="B13">
        <f t="shared" si="0"/>
        <v>12</v>
      </c>
      <c r="C13">
        <v>10</v>
      </c>
      <c r="D13">
        <v>2020</v>
      </c>
      <c r="E13" s="204">
        <f>ELEC!M14</f>
        <v>0</v>
      </c>
      <c r="F13" s="204">
        <f>ELEC!K14</f>
        <v>0</v>
      </c>
      <c r="G13" s="204">
        <f>ELEC!I14</f>
        <v>0</v>
      </c>
      <c r="H13" s="204">
        <f>ELEC!E14</f>
        <v>0</v>
      </c>
      <c r="I13" s="204">
        <f>ELEC!G14</f>
        <v>0</v>
      </c>
      <c r="J13" s="204">
        <f>WATER!Y17</f>
        <v>0</v>
      </c>
      <c r="K13" s="204">
        <f>WATER!AJ17</f>
        <v>0</v>
      </c>
      <c r="L13" s="10">
        <f>ELEC!B14</f>
        <v>0</v>
      </c>
      <c r="M13" s="10"/>
    </row>
    <row r="14" spans="1:13">
      <c r="A14" t="s">
        <v>347</v>
      </c>
      <c r="B14">
        <f t="shared" si="0"/>
        <v>13</v>
      </c>
      <c r="C14">
        <v>10</v>
      </c>
      <c r="D14">
        <v>2020</v>
      </c>
      <c r="E14" s="204">
        <f>ELEC!M15</f>
        <v>0</v>
      </c>
      <c r="F14" s="204">
        <f>ELEC!K15</f>
        <v>0</v>
      </c>
      <c r="G14" s="204">
        <f>ELEC!I15</f>
        <v>0</v>
      </c>
      <c r="H14" s="204">
        <f>ELEC!E15</f>
        <v>0</v>
      </c>
      <c r="I14" s="204">
        <f>ELEC!G15</f>
        <v>0</v>
      </c>
      <c r="J14" s="204">
        <f>WATER!Y18</f>
        <v>0</v>
      </c>
      <c r="K14" s="204">
        <f>WATER!AJ18</f>
        <v>0</v>
      </c>
      <c r="L14" s="10">
        <f>ELEC!B15</f>
        <v>0</v>
      </c>
      <c r="M14" s="10"/>
    </row>
    <row r="15" spans="1:13">
      <c r="A15" t="s">
        <v>347</v>
      </c>
      <c r="B15">
        <f t="shared" si="0"/>
        <v>14</v>
      </c>
      <c r="C15">
        <v>10</v>
      </c>
      <c r="D15">
        <v>2020</v>
      </c>
      <c r="E15" s="204">
        <f>ELEC!M16</f>
        <v>0</v>
      </c>
      <c r="F15" s="204">
        <f>ELEC!K16</f>
        <v>0</v>
      </c>
      <c r="G15" s="204">
        <f>ELEC!I16</f>
        <v>0</v>
      </c>
      <c r="H15" s="204">
        <f>ELEC!E16</f>
        <v>0</v>
      </c>
      <c r="I15" s="204">
        <f>ELEC!G16</f>
        <v>0</v>
      </c>
      <c r="J15" s="204">
        <f>WATER!Y19</f>
        <v>0</v>
      </c>
      <c r="K15" s="204">
        <f>WATER!AJ19</f>
        <v>0</v>
      </c>
      <c r="L15" s="10">
        <f>ELEC!B16</f>
        <v>0</v>
      </c>
      <c r="M15" s="10"/>
    </row>
    <row r="16" spans="1:13">
      <c r="A16" t="s">
        <v>347</v>
      </c>
      <c r="B16">
        <f t="shared" si="0"/>
        <v>15</v>
      </c>
      <c r="C16">
        <v>10</v>
      </c>
      <c r="D16">
        <v>2020</v>
      </c>
      <c r="E16" s="204">
        <f>ELEC!M17</f>
        <v>0</v>
      </c>
      <c r="F16" s="204">
        <f>ELEC!K17</f>
        <v>0</v>
      </c>
      <c r="G16" s="204">
        <f>ELEC!I17</f>
        <v>0</v>
      </c>
      <c r="H16" s="204">
        <f>ELEC!E17</f>
        <v>0</v>
      </c>
      <c r="I16" s="204">
        <f>ELEC!G17</f>
        <v>0</v>
      </c>
      <c r="J16" s="204">
        <f>WATER!Y20</f>
        <v>0</v>
      </c>
      <c r="K16" s="204">
        <f>WATER!AJ20</f>
        <v>0</v>
      </c>
      <c r="L16" s="10">
        <f>ELEC!B17</f>
        <v>0</v>
      </c>
      <c r="M16" s="10"/>
    </row>
    <row r="17" spans="1:13">
      <c r="A17" t="s">
        <v>347</v>
      </c>
      <c r="B17">
        <f t="shared" si="0"/>
        <v>16</v>
      </c>
      <c r="C17">
        <v>10</v>
      </c>
      <c r="D17">
        <v>2020</v>
      </c>
      <c r="E17" s="204">
        <f>ELEC!M18</f>
        <v>0</v>
      </c>
      <c r="F17" s="204">
        <f>ELEC!K18</f>
        <v>0</v>
      </c>
      <c r="G17" s="204">
        <f>ELEC!I18</f>
        <v>0</v>
      </c>
      <c r="H17" s="204">
        <f>ELEC!E18</f>
        <v>0</v>
      </c>
      <c r="I17" s="204">
        <f>ELEC!G18</f>
        <v>0</v>
      </c>
      <c r="J17" s="204">
        <f>WATER!Y21</f>
        <v>0</v>
      </c>
      <c r="K17" s="204">
        <f>WATER!AJ21</f>
        <v>0</v>
      </c>
      <c r="L17" s="10">
        <f>ELEC!B18</f>
        <v>0</v>
      </c>
      <c r="M17" s="10"/>
    </row>
    <row r="18" spans="1:13">
      <c r="A18" t="s">
        <v>347</v>
      </c>
      <c r="B18">
        <f t="shared" si="0"/>
        <v>17</v>
      </c>
      <c r="C18">
        <v>10</v>
      </c>
      <c r="D18">
        <v>2020</v>
      </c>
      <c r="E18" s="204">
        <f>ELEC!M19</f>
        <v>0</v>
      </c>
      <c r="F18" s="204">
        <f>ELEC!K19</f>
        <v>0</v>
      </c>
      <c r="G18" s="204">
        <f>ELEC!I19</f>
        <v>0</v>
      </c>
      <c r="H18" s="204">
        <f>ELEC!E19</f>
        <v>0</v>
      </c>
      <c r="I18" s="204">
        <f>ELEC!G19</f>
        <v>0</v>
      </c>
      <c r="J18" s="204">
        <f>WATER!Y22</f>
        <v>0</v>
      </c>
      <c r="K18" s="204">
        <f>WATER!AJ22</f>
        <v>0</v>
      </c>
      <c r="L18" s="10">
        <f>ELEC!B19</f>
        <v>0</v>
      </c>
      <c r="M18" s="10"/>
    </row>
    <row r="19" spans="1:13">
      <c r="A19" t="s">
        <v>347</v>
      </c>
      <c r="B19">
        <f t="shared" si="0"/>
        <v>18</v>
      </c>
      <c r="C19">
        <v>10</v>
      </c>
      <c r="D19">
        <v>2020</v>
      </c>
      <c r="E19" s="204">
        <f>ELEC!M20</f>
        <v>0</v>
      </c>
      <c r="F19" s="204">
        <f>ELEC!K20</f>
        <v>0</v>
      </c>
      <c r="G19" s="204">
        <f>ELEC!I20</f>
        <v>0</v>
      </c>
      <c r="H19" s="204">
        <f>ELEC!E20</f>
        <v>0</v>
      </c>
      <c r="I19" s="204">
        <f>ELEC!G20</f>
        <v>0</v>
      </c>
      <c r="J19" s="204">
        <f>WATER!Y23</f>
        <v>0</v>
      </c>
      <c r="K19" s="204">
        <f>WATER!AJ23</f>
        <v>0</v>
      </c>
      <c r="L19" s="10">
        <f>ELEC!B20</f>
        <v>0</v>
      </c>
      <c r="M19" s="10"/>
    </row>
    <row r="20" spans="1:13">
      <c r="A20" t="s">
        <v>347</v>
      </c>
      <c r="B20">
        <f t="shared" si="0"/>
        <v>19</v>
      </c>
      <c r="C20">
        <v>10</v>
      </c>
      <c r="D20">
        <v>2020</v>
      </c>
      <c r="E20" s="204">
        <f>ELEC!M21</f>
        <v>0</v>
      </c>
      <c r="F20" s="204">
        <f>ELEC!K21</f>
        <v>0</v>
      </c>
      <c r="G20" s="204">
        <f>ELEC!I21</f>
        <v>0</v>
      </c>
      <c r="H20" s="204">
        <f>ELEC!E21</f>
        <v>0</v>
      </c>
      <c r="I20" s="204">
        <f>ELEC!G21</f>
        <v>0</v>
      </c>
      <c r="J20" s="204">
        <f>WATER!Y24</f>
        <v>0</v>
      </c>
      <c r="K20" s="204">
        <f>WATER!AJ24</f>
        <v>0</v>
      </c>
      <c r="L20" s="10">
        <f>ELEC!B21</f>
        <v>0</v>
      </c>
      <c r="M20" s="10"/>
    </row>
    <row r="21" spans="1:13">
      <c r="A21" t="s">
        <v>347</v>
      </c>
      <c r="B21">
        <f t="shared" si="0"/>
        <v>20</v>
      </c>
      <c r="C21">
        <v>10</v>
      </c>
      <c r="D21">
        <v>2020</v>
      </c>
      <c r="E21" s="204">
        <f>ELEC!M22</f>
        <v>0</v>
      </c>
      <c r="F21" s="204">
        <f>ELEC!K22</f>
        <v>0</v>
      </c>
      <c r="G21" s="204">
        <f>ELEC!I22</f>
        <v>0</v>
      </c>
      <c r="H21" s="204">
        <f>ELEC!E22</f>
        <v>0</v>
      </c>
      <c r="I21" s="204">
        <f>ELEC!G22</f>
        <v>0</v>
      </c>
      <c r="J21" s="204">
        <f>WATER!Y25</f>
        <v>0</v>
      </c>
      <c r="K21" s="204">
        <f>WATER!AJ25</f>
        <v>0</v>
      </c>
      <c r="L21" s="10">
        <f>ELEC!B22</f>
        <v>0</v>
      </c>
      <c r="M21" s="10"/>
    </row>
    <row r="22" spans="1:13">
      <c r="A22" t="s">
        <v>347</v>
      </c>
      <c r="B22">
        <f t="shared" si="0"/>
        <v>21</v>
      </c>
      <c r="C22">
        <v>10</v>
      </c>
      <c r="D22">
        <v>2020</v>
      </c>
      <c r="E22" s="204">
        <f>ELEC!M23</f>
        <v>0</v>
      </c>
      <c r="F22" s="204">
        <f>ELEC!K23</f>
        <v>0</v>
      </c>
      <c r="G22" s="204">
        <f>ELEC!I23</f>
        <v>0</v>
      </c>
      <c r="H22" s="204">
        <f>ELEC!E23</f>
        <v>0</v>
      </c>
      <c r="I22" s="204">
        <f>ELEC!G23</f>
        <v>0</v>
      </c>
      <c r="J22" s="204">
        <f>WATER!Y26</f>
        <v>0</v>
      </c>
      <c r="K22" s="204">
        <f>WATER!AJ26</f>
        <v>0</v>
      </c>
      <c r="L22" s="10">
        <f>ELEC!B23</f>
        <v>0</v>
      </c>
      <c r="M22" s="10"/>
    </row>
    <row r="23" spans="1:13">
      <c r="A23" t="s">
        <v>347</v>
      </c>
      <c r="B23">
        <f t="shared" si="0"/>
        <v>22</v>
      </c>
      <c r="C23">
        <v>10</v>
      </c>
      <c r="D23">
        <v>2020</v>
      </c>
      <c r="E23" s="204">
        <f>ELEC!M24</f>
        <v>0</v>
      </c>
      <c r="F23" s="204">
        <f>ELEC!K24</f>
        <v>0</v>
      </c>
      <c r="G23" s="204">
        <f>ELEC!I24</f>
        <v>0</v>
      </c>
      <c r="H23" s="204">
        <f>ELEC!E24</f>
        <v>0</v>
      </c>
      <c r="I23" s="204">
        <f>ELEC!G24</f>
        <v>0</v>
      </c>
      <c r="J23" s="204">
        <f>WATER!Y27</f>
        <v>0</v>
      </c>
      <c r="K23" s="204">
        <f>WATER!AJ27</f>
        <v>0</v>
      </c>
      <c r="L23" s="10">
        <f>ELEC!B24</f>
        <v>0</v>
      </c>
      <c r="M23" s="10"/>
    </row>
    <row r="24" spans="1:13">
      <c r="A24" t="s">
        <v>347</v>
      </c>
      <c r="B24">
        <f t="shared" si="0"/>
        <v>23</v>
      </c>
      <c r="C24">
        <v>10</v>
      </c>
      <c r="D24">
        <v>2020</v>
      </c>
      <c r="E24" s="204">
        <f>ELEC!M25</f>
        <v>0</v>
      </c>
      <c r="F24" s="204">
        <f>ELEC!K25</f>
        <v>0</v>
      </c>
      <c r="G24" s="204">
        <f>ELEC!I25</f>
        <v>0</v>
      </c>
      <c r="H24" s="204">
        <f>ELEC!E25</f>
        <v>0</v>
      </c>
      <c r="I24" s="204">
        <f>ELEC!G25</f>
        <v>0</v>
      </c>
      <c r="J24" s="204">
        <f>WATER!Y28</f>
        <v>0</v>
      </c>
      <c r="K24" s="204">
        <f>WATER!AJ28</f>
        <v>0</v>
      </c>
      <c r="L24" s="10">
        <f>ELEC!B25</f>
        <v>0</v>
      </c>
      <c r="M24" s="10"/>
    </row>
    <row r="25" spans="1:13">
      <c r="A25" t="s">
        <v>347</v>
      </c>
      <c r="B25">
        <f t="shared" si="0"/>
        <v>24</v>
      </c>
      <c r="C25">
        <v>10</v>
      </c>
      <c r="D25">
        <v>2020</v>
      </c>
      <c r="E25" s="204">
        <f>ELEC!M26</f>
        <v>0</v>
      </c>
      <c r="F25" s="204">
        <f>ELEC!K26</f>
        <v>0</v>
      </c>
      <c r="G25" s="204">
        <f>ELEC!I26</f>
        <v>0</v>
      </c>
      <c r="H25" s="204">
        <f>ELEC!E26</f>
        <v>0</v>
      </c>
      <c r="I25" s="204">
        <f>ELEC!G26</f>
        <v>0</v>
      </c>
      <c r="J25" s="204">
        <f>WATER!Y29</f>
        <v>0</v>
      </c>
      <c r="K25" s="204">
        <f>WATER!AJ29</f>
        <v>0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10</v>
      </c>
      <c r="D26">
        <v>2020</v>
      </c>
      <c r="E26" s="204">
        <f>ELEC!M27</f>
        <v>0</v>
      </c>
      <c r="F26" s="204">
        <f>ELEC!K27</f>
        <v>0</v>
      </c>
      <c r="G26" s="204">
        <f>ELEC!I27</f>
        <v>0</v>
      </c>
      <c r="H26" s="204">
        <f>ELEC!E27</f>
        <v>0</v>
      </c>
      <c r="I26" s="204">
        <f>ELEC!G27</f>
        <v>0</v>
      </c>
      <c r="J26" s="204">
        <f>WATER!Y30</f>
        <v>0</v>
      </c>
      <c r="K26" s="204">
        <f>WATER!AJ30</f>
        <v>0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10</v>
      </c>
      <c r="D27">
        <v>2020</v>
      </c>
      <c r="E27" s="204">
        <f>ELEC!M28</f>
        <v>0</v>
      </c>
      <c r="F27" s="204">
        <f>ELEC!K28</f>
        <v>0</v>
      </c>
      <c r="G27" s="204">
        <f>ELEC!I28</f>
        <v>0</v>
      </c>
      <c r="H27" s="204">
        <f>ELEC!E28</f>
        <v>0</v>
      </c>
      <c r="I27" s="204">
        <f>ELEC!G28</f>
        <v>0</v>
      </c>
      <c r="J27" s="204">
        <f>WATER!Y31</f>
        <v>0</v>
      </c>
      <c r="K27" s="204">
        <f>WATER!AJ31</f>
        <v>0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10</v>
      </c>
      <c r="D28">
        <v>2020</v>
      </c>
      <c r="E28" s="204">
        <f>ELEC!M29</f>
        <v>0</v>
      </c>
      <c r="F28" s="204">
        <f>ELEC!K29</f>
        <v>0</v>
      </c>
      <c r="G28" s="204">
        <f>ELEC!I29</f>
        <v>0</v>
      </c>
      <c r="H28" s="204">
        <f>ELEC!E29</f>
        <v>0</v>
      </c>
      <c r="I28" s="204">
        <f>ELEC!G29</f>
        <v>0</v>
      </c>
      <c r="J28" s="204">
        <f>WATER!Y32</f>
        <v>0</v>
      </c>
      <c r="K28" s="204">
        <f>WATER!AJ32</f>
        <v>0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10</v>
      </c>
      <c r="D29">
        <v>2020</v>
      </c>
      <c r="E29" s="204">
        <f>ELEC!M30</f>
        <v>0</v>
      </c>
      <c r="F29" s="204">
        <f>ELEC!K30</f>
        <v>0</v>
      </c>
      <c r="G29" s="204">
        <f>ELEC!I30</f>
        <v>0</v>
      </c>
      <c r="H29" s="204">
        <f>ELEC!E30</f>
        <v>0</v>
      </c>
      <c r="I29" s="204">
        <f>ELEC!G30</f>
        <v>0</v>
      </c>
      <c r="J29" s="204">
        <f>WATER!Y33</f>
        <v>0</v>
      </c>
      <c r="K29" s="204">
        <f>WATER!AJ33</f>
        <v>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10</v>
      </c>
      <c r="D30">
        <v>2020</v>
      </c>
      <c r="E30" s="204">
        <f>ELEC!M31</f>
        <v>0</v>
      </c>
      <c r="F30" s="204">
        <f>ELEC!K31</f>
        <v>0</v>
      </c>
      <c r="G30" s="204">
        <f>ELEC!I31</f>
        <v>0</v>
      </c>
      <c r="H30" s="204">
        <f>ELEC!E31</f>
        <v>0</v>
      </c>
      <c r="I30" s="204">
        <f>ELEC!G31</f>
        <v>0</v>
      </c>
      <c r="J30" s="204">
        <f>WATER!Y34</f>
        <v>0</v>
      </c>
      <c r="K30" s="204">
        <f>WATER!AJ34</f>
        <v>0</v>
      </c>
      <c r="L30" s="10">
        <f>ELEC!B31</f>
        <v>0</v>
      </c>
      <c r="M30" s="10"/>
    </row>
    <row r="31" spans="1:13">
      <c r="A31" t="s">
        <v>347</v>
      </c>
      <c r="B31">
        <f t="shared" si="0"/>
        <v>30</v>
      </c>
      <c r="C31">
        <v>10</v>
      </c>
      <c r="D31">
        <v>2020</v>
      </c>
      <c r="E31" s="204">
        <f>ELEC!M32</f>
        <v>0</v>
      </c>
      <c r="F31" s="204">
        <f>ELEC!K32</f>
        <v>0</v>
      </c>
      <c r="G31" s="204">
        <f>ELEC!I32</f>
        <v>0</v>
      </c>
      <c r="H31" s="204">
        <f>ELEC!E32</f>
        <v>0</v>
      </c>
      <c r="I31" s="204">
        <f>ELEC!G32</f>
        <v>0</v>
      </c>
      <c r="J31" s="204">
        <f>WATER!Y35</f>
        <v>0</v>
      </c>
      <c r="K31" s="204">
        <f>WATER!AJ35</f>
        <v>0</v>
      </c>
      <c r="L31" s="10">
        <f>ELEC!B32</f>
        <v>0</v>
      </c>
      <c r="M31" s="10"/>
    </row>
    <row r="32" spans="1:13">
      <c r="A32" t="s">
        <v>347</v>
      </c>
      <c r="B32">
        <f t="shared" si="0"/>
        <v>31</v>
      </c>
      <c r="C32">
        <v>10</v>
      </c>
      <c r="D32">
        <v>2020</v>
      </c>
      <c r="E32" s="204">
        <f>ELEC!M33</f>
        <v>0</v>
      </c>
      <c r="F32" s="204">
        <f>ELEC!K33</f>
        <v>0</v>
      </c>
      <c r="G32" s="204">
        <f>ELEC!I33</f>
        <v>0</v>
      </c>
      <c r="H32" s="204">
        <f>ELEC!E33</f>
        <v>0</v>
      </c>
      <c r="I32" s="204">
        <f>ELEC!G33</f>
        <v>0</v>
      </c>
      <c r="J32" s="204">
        <f>WATER!Y36</f>
        <v>0</v>
      </c>
      <c r="K32" s="204">
        <f>WATER!AJ36</f>
        <v>0</v>
      </c>
      <c r="L32" s="10">
        <f>ELEC!B33</f>
        <v>0</v>
      </c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zoomScale="85" zoomScaleNormal="85" zoomScaleSheetLayoutView="100" workbookViewId="0">
      <pane ySplit="1" topLeftCell="A2" activePane="bottomLeft" state="frozen"/>
      <selection activeCell="C1" sqref="C1"/>
      <selection pane="bottomLeft" activeCell="D11" sqref="D11"/>
    </sheetView>
  </sheetViews>
  <sheetFormatPr defaultRowHeight="15"/>
  <cols>
    <col min="1" max="1" width="7.7109375" style="473" bestFit="1" customWidth="1"/>
    <col min="2" max="2" width="10.28515625" style="481" bestFit="1" customWidth="1"/>
    <col min="3" max="3" width="11.5703125" style="473" customWidth="1"/>
    <col min="4" max="4" width="18" style="482" bestFit="1" customWidth="1"/>
    <col min="5" max="5" width="14.42578125" style="482" bestFit="1" customWidth="1"/>
    <col min="6" max="6" width="15.28515625" style="482" bestFit="1" customWidth="1"/>
    <col min="7" max="7" width="12" style="482" bestFit="1" customWidth="1"/>
    <col min="8" max="8" width="18" style="482" bestFit="1" customWidth="1"/>
    <col min="9" max="9" width="13" style="482" bestFit="1" customWidth="1"/>
    <col min="10" max="10" width="18" style="482" bestFit="1" customWidth="1"/>
    <col min="11" max="11" width="11.7109375" style="482" customWidth="1"/>
    <col min="12" max="12" width="18" style="482" bestFit="1" customWidth="1"/>
    <col min="13" max="13" width="12.5703125" style="482" bestFit="1" customWidth="1"/>
    <col min="14" max="14" width="15.42578125" style="473" bestFit="1" customWidth="1"/>
    <col min="15" max="15" width="13.140625" style="483" bestFit="1" customWidth="1"/>
    <col min="16" max="16" width="14.28515625" style="473" bestFit="1" customWidth="1"/>
    <col min="17" max="17" width="13.7109375" style="473" bestFit="1" customWidth="1"/>
    <col min="18" max="18" width="12.42578125" style="473" bestFit="1" customWidth="1"/>
    <col min="19" max="21" width="11.5703125" style="473" bestFit="1" customWidth="1"/>
    <col min="22" max="22" width="13.140625" style="473" bestFit="1" customWidth="1"/>
    <col min="23" max="25" width="11.5703125" style="473" bestFit="1" customWidth="1"/>
    <col min="26" max="26" width="13.140625" style="473" bestFit="1" customWidth="1"/>
    <col min="27" max="29" width="11.5703125" style="473" bestFit="1" customWidth="1"/>
    <col min="30" max="30" width="13.140625" style="473" bestFit="1" customWidth="1"/>
    <col min="31" max="32" width="11.5703125" style="473" bestFit="1" customWidth="1"/>
    <col min="33" max="33" width="14.42578125" style="473" bestFit="1" customWidth="1"/>
    <col min="34" max="34" width="9.140625" style="473"/>
    <col min="35" max="35" width="9.7109375" style="473" bestFit="1" customWidth="1"/>
    <col min="36" max="16384" width="9.140625" style="473"/>
  </cols>
  <sheetData>
    <row r="1" spans="1:115" s="457" customFormat="1" ht="18.75" customHeight="1">
      <c r="A1" s="457" t="s">
        <v>19</v>
      </c>
      <c r="B1" s="458" t="s">
        <v>155</v>
      </c>
      <c r="C1" s="459"/>
      <c r="D1" s="460" t="s">
        <v>20</v>
      </c>
      <c r="E1" s="460" t="s">
        <v>21</v>
      </c>
      <c r="F1" s="460" t="s">
        <v>22</v>
      </c>
      <c r="G1" s="460" t="s">
        <v>23</v>
      </c>
      <c r="H1" s="460" t="s">
        <v>24</v>
      </c>
      <c r="I1" s="460" t="s">
        <v>25</v>
      </c>
      <c r="J1" s="460" t="s">
        <v>26</v>
      </c>
      <c r="K1" s="460" t="s">
        <v>27</v>
      </c>
      <c r="L1" s="460" t="s">
        <v>28</v>
      </c>
      <c r="M1" s="460" t="s">
        <v>29</v>
      </c>
      <c r="N1" s="461" t="s">
        <v>30</v>
      </c>
      <c r="O1" s="462" t="s">
        <v>156</v>
      </c>
      <c r="P1" s="463" t="s">
        <v>328</v>
      </c>
      <c r="Q1" s="461" t="s">
        <v>31</v>
      </c>
      <c r="R1" s="461" t="s">
        <v>32</v>
      </c>
      <c r="S1" s="461" t="s">
        <v>363</v>
      </c>
      <c r="T1" s="461" t="s">
        <v>33</v>
      </c>
      <c r="U1" s="461" t="s">
        <v>34</v>
      </c>
      <c r="V1" s="461" t="s">
        <v>35</v>
      </c>
      <c r="W1" s="461" t="s">
        <v>36</v>
      </c>
      <c r="X1" s="461" t="s">
        <v>33</v>
      </c>
      <c r="Y1" s="461" t="s">
        <v>37</v>
      </c>
      <c r="Z1" s="461" t="s">
        <v>38</v>
      </c>
      <c r="AA1" s="461" t="s">
        <v>39</v>
      </c>
      <c r="AB1" s="461" t="s">
        <v>33</v>
      </c>
      <c r="AC1" s="461" t="s">
        <v>77</v>
      </c>
      <c r="AD1" s="461" t="s">
        <v>40</v>
      </c>
      <c r="AE1" s="461" t="s">
        <v>41</v>
      </c>
      <c r="AF1" s="461" t="s">
        <v>42</v>
      </c>
      <c r="AG1" s="457" t="s">
        <v>132</v>
      </c>
    </row>
    <row r="2" spans="1:115" s="456" customFormat="1">
      <c r="A2" s="543">
        <f>[1]ELEC!$A$33</f>
        <v>0</v>
      </c>
      <c r="B2" s="544">
        <f>[2]ELEC!B32</f>
        <v>0</v>
      </c>
      <c r="C2" s="465">
        <v>44104</v>
      </c>
      <c r="D2" s="544">
        <f>[2]ELEC!D32</f>
        <v>32287200</v>
      </c>
      <c r="E2" s="544">
        <f>[2]ELEC!E32</f>
        <v>3568</v>
      </c>
      <c r="F2" s="544">
        <f>[2]ELEC!F32</f>
        <v>3872020</v>
      </c>
      <c r="G2" s="544">
        <f>[2]ELEC!G32</f>
        <v>794</v>
      </c>
      <c r="H2" s="544">
        <f>[2]ELEC!H32</f>
        <v>17670874</v>
      </c>
      <c r="I2" s="544">
        <f>[2]ELEC!I32</f>
        <v>940</v>
      </c>
      <c r="J2" s="544">
        <f>[2]ELEC!J32</f>
        <v>28719638</v>
      </c>
      <c r="K2" s="544">
        <f>[2]ELEC!K32</f>
        <v>1056</v>
      </c>
      <c r="L2" s="544">
        <f>[2]ELEC!L32</f>
        <v>23688570</v>
      </c>
      <c r="M2" s="544">
        <f>[2]ELEC!M32</f>
        <v>5496</v>
      </c>
      <c r="N2" s="544">
        <f>[2]ELEC!N32</f>
        <v>11854</v>
      </c>
      <c r="O2" s="544">
        <f>[2]ELEC!O32</f>
        <v>0</v>
      </c>
      <c r="P2" s="544">
        <f>[2]ELEC!P32</f>
        <v>16346</v>
      </c>
      <c r="Q2" s="544">
        <f>[2]ELEC!Q32</f>
        <v>4000</v>
      </c>
      <c r="R2" s="544">
        <f>[2]ELEC!R32</f>
        <v>7854</v>
      </c>
      <c r="S2" s="544">
        <f>[2]ELEC!S32</f>
        <v>9708</v>
      </c>
      <c r="T2" s="544">
        <f>[2]ELEC!T32</f>
        <v>13</v>
      </c>
      <c r="U2" s="544">
        <f>[2]ELEC!U32</f>
        <v>333763</v>
      </c>
      <c r="V2" s="544">
        <f>[2]ELEC!V32</f>
        <v>3020</v>
      </c>
      <c r="W2" s="544">
        <f>[2]ELEC!W32</f>
        <v>32049</v>
      </c>
      <c r="X2" s="544">
        <f>[2]ELEC!X32</f>
        <v>0</v>
      </c>
      <c r="Y2" s="544">
        <f>[2]ELEC!Y32</f>
        <v>673052</v>
      </c>
      <c r="Z2" s="544">
        <f>[2]ELEC!Z32</f>
        <v>0</v>
      </c>
      <c r="AA2" s="544">
        <f>[2]ELEC!AA32</f>
        <v>35607</v>
      </c>
      <c r="AB2" s="544">
        <f>[2]ELEC!AB32</f>
        <v>0</v>
      </c>
      <c r="AC2" s="544">
        <f>[2]ELEC!AC32</f>
        <v>899488</v>
      </c>
      <c r="AD2" s="544">
        <f>[2]ELEC!AD32</f>
        <v>0</v>
      </c>
      <c r="AE2" s="544">
        <f>[2]ELEC!AE32</f>
        <v>13</v>
      </c>
      <c r="AF2" s="544">
        <f>[2]ELEC!AF32</f>
        <v>3020</v>
      </c>
      <c r="AG2" s="544">
        <f>[2]ELEC!AG32</f>
        <v>232.30769230769232</v>
      </c>
      <c r="AH2" s="544">
        <f>[2]ELEC!AH32</f>
        <v>0</v>
      </c>
      <c r="AI2" s="544">
        <f>[2]ELEC!AI32</f>
        <v>-448502</v>
      </c>
      <c r="AJ2" s="544">
        <f>[2]ELEC!AJ32</f>
        <v>0</v>
      </c>
      <c r="AK2" s="544">
        <f>[2]ELEC!AK32</f>
        <v>0</v>
      </c>
      <c r="AL2" s="544">
        <f>[2]ELEC!AL32</f>
        <v>0</v>
      </c>
      <c r="AM2" s="487"/>
      <c r="AN2" s="487"/>
      <c r="AO2" s="487"/>
      <c r="AP2" s="487"/>
      <c r="AQ2" s="487"/>
      <c r="AR2" s="487"/>
      <c r="AS2" s="487"/>
      <c r="AT2" s="487"/>
      <c r="AU2" s="487"/>
      <c r="AV2" s="487"/>
      <c r="AW2" s="487"/>
      <c r="AX2" s="487"/>
      <c r="AY2" s="487"/>
      <c r="AZ2" s="487"/>
      <c r="BA2" s="487"/>
      <c r="BB2" s="487"/>
      <c r="BC2" s="487"/>
      <c r="BD2" s="487"/>
      <c r="BE2" s="487"/>
      <c r="BF2" s="487"/>
      <c r="BG2" s="487"/>
      <c r="BH2" s="487"/>
      <c r="BI2" s="487"/>
      <c r="BJ2" s="487"/>
      <c r="BK2" s="487"/>
      <c r="BL2" s="487"/>
      <c r="BM2" s="487"/>
      <c r="BN2" s="487"/>
      <c r="BO2" s="487"/>
      <c r="BP2" s="487"/>
      <c r="BQ2" s="487"/>
      <c r="BR2" s="487"/>
      <c r="BS2" s="487"/>
      <c r="BT2" s="487"/>
      <c r="BU2" s="487"/>
      <c r="BV2" s="487"/>
      <c r="BW2" s="487"/>
      <c r="BX2" s="487"/>
      <c r="BY2" s="487"/>
      <c r="BZ2" s="487"/>
      <c r="CA2" s="487"/>
      <c r="CB2" s="487"/>
      <c r="CC2" s="487"/>
      <c r="CD2" s="487"/>
      <c r="CE2" s="487"/>
      <c r="CF2" s="487"/>
      <c r="CG2" s="487"/>
      <c r="CH2" s="487"/>
      <c r="CI2" s="487"/>
      <c r="CJ2" s="487"/>
      <c r="CK2" s="487"/>
      <c r="CL2" s="487"/>
      <c r="CM2" s="487"/>
      <c r="CN2" s="487"/>
      <c r="CO2" s="487"/>
      <c r="CP2" s="487"/>
      <c r="CQ2" s="487"/>
      <c r="CR2" s="487"/>
      <c r="CS2" s="487"/>
      <c r="CT2" s="487"/>
      <c r="CU2" s="487"/>
      <c r="CV2" s="487"/>
      <c r="CW2" s="487"/>
      <c r="CX2" s="487"/>
      <c r="CY2" s="487"/>
      <c r="CZ2" s="487"/>
      <c r="DA2" s="487"/>
      <c r="DB2" s="487"/>
      <c r="DC2" s="487"/>
      <c r="DD2" s="487"/>
      <c r="DE2" s="487"/>
      <c r="DF2" s="487"/>
      <c r="DG2" s="487"/>
      <c r="DH2" s="487"/>
      <c r="DI2" s="487"/>
      <c r="DJ2" s="487"/>
      <c r="DK2" s="487"/>
    </row>
    <row r="3" spans="1:115">
      <c r="A3" s="464">
        <f>'General information '!F6</f>
        <v>0</v>
      </c>
      <c r="B3" s="458">
        <f>SUM(230*A3)</f>
        <v>0</v>
      </c>
      <c r="C3" s="465">
        <v>44105</v>
      </c>
      <c r="D3" s="452">
        <v>32290270</v>
      </c>
      <c r="E3" s="453">
        <f>D3-D2</f>
        <v>3070</v>
      </c>
      <c r="F3" s="605">
        <v>3872863</v>
      </c>
      <c r="G3" s="454">
        <f t="shared" ref="G3:G31" si="0">F3-F2</f>
        <v>843</v>
      </c>
      <c r="H3" s="452">
        <v>17671758</v>
      </c>
      <c r="I3" s="454">
        <f>H3-H2</f>
        <v>884</v>
      </c>
      <c r="J3" s="605">
        <v>28720506</v>
      </c>
      <c r="K3" s="454">
        <f>J3-J2</f>
        <v>868</v>
      </c>
      <c r="L3" s="452">
        <v>23693108</v>
      </c>
      <c r="M3" s="454">
        <f>L3-L2</f>
        <v>4538</v>
      </c>
      <c r="N3" s="455">
        <f>M3+K3+I3+G3+E3</f>
        <v>10203</v>
      </c>
      <c r="O3" s="466">
        <f t="shared" ref="O3:O9" si="1">IF(B3&gt;0,N3/B3,0)</f>
        <v>0</v>
      </c>
      <c r="P3" s="606">
        <v>16348</v>
      </c>
      <c r="Q3" s="475">
        <f t="shared" ref="Q3:Q12" si="2">(P3-P2)*1000</f>
        <v>2000</v>
      </c>
      <c r="R3" s="468">
        <f>+N3-Q3</f>
        <v>8203</v>
      </c>
      <c r="S3" s="452">
        <v>9718</v>
      </c>
      <c r="T3" s="469">
        <f t="shared" ref="T3:T32" si="3">S3-S2</f>
        <v>10</v>
      </c>
      <c r="U3" s="452">
        <v>336003</v>
      </c>
      <c r="V3" s="467">
        <f>U3-U2</f>
        <v>2240</v>
      </c>
      <c r="W3" s="452">
        <v>32049</v>
      </c>
      <c r="X3" s="467">
        <f t="shared" ref="X3:X8" si="4">W3-W2</f>
        <v>0</v>
      </c>
      <c r="Y3" s="452">
        <v>673052</v>
      </c>
      <c r="Z3" s="467">
        <f>Y3-Y2</f>
        <v>0</v>
      </c>
      <c r="AA3" s="452">
        <f>AA2</f>
        <v>35607</v>
      </c>
      <c r="AB3" s="467">
        <f>AA3-AA2</f>
        <v>0</v>
      </c>
      <c r="AC3" s="452">
        <f>AC2</f>
        <v>899488</v>
      </c>
      <c r="AD3" s="470">
        <f>AC3-AC2</f>
        <v>0</v>
      </c>
      <c r="AE3" s="471">
        <f>AB3+X3+T3</f>
        <v>10</v>
      </c>
      <c r="AF3" s="452">
        <f>V3+Z3+AD3</f>
        <v>2240</v>
      </c>
      <c r="AG3" s="472">
        <f t="shared" ref="AG3:AG9" si="5">IF(AE3&gt;0,AF3/AE3,0)</f>
        <v>224</v>
      </c>
    </row>
    <row r="4" spans="1:115">
      <c r="A4" s="464">
        <f>'General information '!F7</f>
        <v>0</v>
      </c>
      <c r="B4" s="458">
        <f t="shared" ref="B4:B31" si="6">SUM(230*A4)</f>
        <v>0</v>
      </c>
      <c r="C4" s="465">
        <v>44106</v>
      </c>
      <c r="D4" s="452">
        <v>32293416</v>
      </c>
      <c r="E4" s="314">
        <f>D4-D3</f>
        <v>3146</v>
      </c>
      <c r="F4" s="452">
        <v>3873690</v>
      </c>
      <c r="G4" s="315">
        <f t="shared" si="0"/>
        <v>827</v>
      </c>
      <c r="H4" s="452">
        <v>17672656</v>
      </c>
      <c r="I4" s="315">
        <f>H4-H3</f>
        <v>898</v>
      </c>
      <c r="J4" s="452">
        <v>28721652</v>
      </c>
      <c r="K4" s="315">
        <f>J4-J3</f>
        <v>1146</v>
      </c>
      <c r="L4" s="452">
        <v>23697132</v>
      </c>
      <c r="M4" s="315">
        <f>L4-L3</f>
        <v>4024</v>
      </c>
      <c r="N4" s="313">
        <f>M4+K4+I4+G4+E4</f>
        <v>10041</v>
      </c>
      <c r="O4" s="474">
        <f t="shared" si="1"/>
        <v>0</v>
      </c>
      <c r="P4" s="452">
        <v>16348</v>
      </c>
      <c r="Q4" s="475">
        <f t="shared" si="2"/>
        <v>0</v>
      </c>
      <c r="R4" s="456">
        <f>N4-Q4</f>
        <v>10041</v>
      </c>
      <c r="S4" s="452">
        <v>9727</v>
      </c>
      <c r="T4" s="476">
        <f t="shared" si="3"/>
        <v>9</v>
      </c>
      <c r="U4" s="452">
        <v>337715</v>
      </c>
      <c r="V4" s="456">
        <f>U4-U3</f>
        <v>1712</v>
      </c>
      <c r="W4" s="452">
        <f t="shared" ref="W4:W33" si="7">W3</f>
        <v>32049</v>
      </c>
      <c r="X4" s="456">
        <f t="shared" si="4"/>
        <v>0</v>
      </c>
      <c r="Y4" s="452">
        <f t="shared" ref="Y4:Y33" si="8">Y3</f>
        <v>673052</v>
      </c>
      <c r="Z4" s="456">
        <f>Y4-Y3</f>
        <v>0</v>
      </c>
      <c r="AA4" s="452">
        <f t="shared" ref="AA4:AA33" si="9">AA3</f>
        <v>35607</v>
      </c>
      <c r="AB4" s="477">
        <f>AA4-AA3</f>
        <v>0</v>
      </c>
      <c r="AC4" s="452">
        <f t="shared" ref="AC4:AC33" si="10">AC3</f>
        <v>899488</v>
      </c>
      <c r="AD4" s="478">
        <f>AC4-AC3</f>
        <v>0</v>
      </c>
      <c r="AE4" s="479">
        <f t="shared" ref="AE4:AE32" si="11">AB4+X4+T4</f>
        <v>9</v>
      </c>
      <c r="AF4" s="480">
        <f t="shared" ref="AF4:AF31" si="12">V4+Z4+AD4</f>
        <v>1712</v>
      </c>
      <c r="AG4" s="472">
        <f t="shared" si="5"/>
        <v>190.22222222222223</v>
      </c>
    </row>
    <row r="5" spans="1:115">
      <c r="A5" s="464">
        <f>'General information '!F8</f>
        <v>0</v>
      </c>
      <c r="B5" s="458">
        <f>SUM(230*A5)</f>
        <v>0</v>
      </c>
      <c r="C5" s="465">
        <v>44107</v>
      </c>
      <c r="D5" s="452">
        <v>32296166</v>
      </c>
      <c r="E5" s="314">
        <f t="shared" ref="E5:E32" si="13">D5-D4</f>
        <v>2750</v>
      </c>
      <c r="F5" s="452">
        <v>3874438</v>
      </c>
      <c r="G5" s="315">
        <f t="shared" si="0"/>
        <v>748</v>
      </c>
      <c r="H5" s="452">
        <v>17673458</v>
      </c>
      <c r="I5" s="315">
        <f t="shared" ref="I5:I31" si="14">H5-H4</f>
        <v>802</v>
      </c>
      <c r="J5" s="452">
        <v>28722646</v>
      </c>
      <c r="K5" s="315">
        <f t="shared" ref="K5:K31" si="15">J5-J4</f>
        <v>994</v>
      </c>
      <c r="L5" s="452">
        <v>23700522</v>
      </c>
      <c r="M5" s="315">
        <f t="shared" ref="M5:M31" si="16">L5-L4</f>
        <v>3390</v>
      </c>
      <c r="N5" s="313">
        <f t="shared" ref="N5:N31" si="17">M5+K5+I5+G5+E5</f>
        <v>8684</v>
      </c>
      <c r="O5" s="474">
        <f t="shared" si="1"/>
        <v>0</v>
      </c>
      <c r="P5" s="452">
        <v>16349</v>
      </c>
      <c r="Q5" s="475">
        <f>(P5-P4)*1000</f>
        <v>1000</v>
      </c>
      <c r="R5" s="456">
        <f>N5-Q5</f>
        <v>7684</v>
      </c>
      <c r="S5" s="452">
        <v>9735</v>
      </c>
      <c r="T5" s="476">
        <f t="shared" si="3"/>
        <v>8</v>
      </c>
      <c r="U5" s="452">
        <v>339671</v>
      </c>
      <c r="V5" s="456">
        <f t="shared" ref="V5:V32" si="18">U5-U4</f>
        <v>1956</v>
      </c>
      <c r="W5" s="452">
        <v>32049</v>
      </c>
      <c r="X5" s="456">
        <f t="shared" si="4"/>
        <v>0</v>
      </c>
      <c r="Y5" s="452">
        <f t="shared" si="8"/>
        <v>673052</v>
      </c>
      <c r="Z5" s="456">
        <f>Y5-Y4</f>
        <v>0</v>
      </c>
      <c r="AA5" s="452">
        <f t="shared" si="9"/>
        <v>35607</v>
      </c>
      <c r="AB5" s="456">
        <f t="shared" ref="AB5:AB32" si="19">AA5-AA4</f>
        <v>0</v>
      </c>
      <c r="AC5" s="452">
        <f t="shared" si="10"/>
        <v>899488</v>
      </c>
      <c r="AD5" s="456">
        <f t="shared" ref="AD5:AD16" si="20">AC5-AC4</f>
        <v>0</v>
      </c>
      <c r="AE5" s="479">
        <f t="shared" si="11"/>
        <v>8</v>
      </c>
      <c r="AF5" s="480">
        <f t="shared" si="12"/>
        <v>1956</v>
      </c>
      <c r="AG5" s="472">
        <f t="shared" si="5"/>
        <v>244.5</v>
      </c>
      <c r="AI5" s="473">
        <f>R5-'EDl log'!B3</f>
        <v>-462072</v>
      </c>
    </row>
    <row r="6" spans="1:115">
      <c r="A6" s="464">
        <f>'General information '!F9</f>
        <v>0</v>
      </c>
      <c r="B6" s="458">
        <f t="shared" si="6"/>
        <v>0</v>
      </c>
      <c r="C6" s="465">
        <v>44108</v>
      </c>
      <c r="D6" s="452">
        <v>32298511</v>
      </c>
      <c r="E6" s="314">
        <f t="shared" si="13"/>
        <v>2345</v>
      </c>
      <c r="F6" s="452">
        <v>3875149</v>
      </c>
      <c r="G6" s="315">
        <f t="shared" si="0"/>
        <v>711</v>
      </c>
      <c r="H6" s="452">
        <v>17674202</v>
      </c>
      <c r="I6" s="315">
        <f t="shared" si="14"/>
        <v>744</v>
      </c>
      <c r="J6" s="452">
        <v>28723614</v>
      </c>
      <c r="K6" s="315">
        <f t="shared" si="15"/>
        <v>968</v>
      </c>
      <c r="L6" s="452">
        <v>23703746</v>
      </c>
      <c r="M6" s="315">
        <f t="shared" si="16"/>
        <v>3224</v>
      </c>
      <c r="N6" s="313">
        <f t="shared" si="17"/>
        <v>7992</v>
      </c>
      <c r="O6" s="474">
        <f t="shared" si="1"/>
        <v>0</v>
      </c>
      <c r="P6" s="452">
        <v>16351</v>
      </c>
      <c r="Q6" s="456">
        <f t="shared" si="2"/>
        <v>2000</v>
      </c>
      <c r="R6" s="456">
        <f t="shared" ref="R6:R12" si="21">N6-Q6</f>
        <v>5992</v>
      </c>
      <c r="S6" s="452">
        <v>9740</v>
      </c>
      <c r="T6" s="476">
        <f t="shared" si="3"/>
        <v>5</v>
      </c>
      <c r="U6" s="452">
        <v>340916</v>
      </c>
      <c r="V6" s="456">
        <f t="shared" si="18"/>
        <v>1245</v>
      </c>
      <c r="W6" s="452">
        <f t="shared" si="7"/>
        <v>32049</v>
      </c>
      <c r="X6" s="456">
        <f t="shared" si="4"/>
        <v>0</v>
      </c>
      <c r="Y6" s="452">
        <f t="shared" si="8"/>
        <v>673052</v>
      </c>
      <c r="Z6" s="456">
        <f t="shared" ref="Z6:Z30" si="22">Y6-Y5</f>
        <v>0</v>
      </c>
      <c r="AA6" s="452">
        <f t="shared" si="9"/>
        <v>35607</v>
      </c>
      <c r="AB6" s="456">
        <f t="shared" si="19"/>
        <v>0</v>
      </c>
      <c r="AC6" s="452">
        <f t="shared" si="10"/>
        <v>899488</v>
      </c>
      <c r="AD6" s="456">
        <f t="shared" si="20"/>
        <v>0</v>
      </c>
      <c r="AE6" s="479">
        <f t="shared" si="11"/>
        <v>5</v>
      </c>
      <c r="AF6" s="480">
        <f t="shared" si="12"/>
        <v>1245</v>
      </c>
      <c r="AG6" s="472">
        <f t="shared" si="5"/>
        <v>249</v>
      </c>
      <c r="AI6" s="473">
        <f>R6-'EDl log'!B4</f>
        <v>-468150</v>
      </c>
    </row>
    <row r="7" spans="1:115">
      <c r="A7" s="464">
        <f>'General information '!F10</f>
        <v>0</v>
      </c>
      <c r="B7" s="458">
        <f t="shared" si="6"/>
        <v>0</v>
      </c>
      <c r="C7" s="465">
        <v>44109</v>
      </c>
      <c r="D7" s="452">
        <v>32301350</v>
      </c>
      <c r="E7" s="314">
        <f t="shared" si="13"/>
        <v>2839</v>
      </c>
      <c r="F7" s="452">
        <v>3875952</v>
      </c>
      <c r="G7" s="315">
        <f t="shared" si="0"/>
        <v>803</v>
      </c>
      <c r="H7" s="452">
        <v>17675074</v>
      </c>
      <c r="I7" s="315">
        <f t="shared" si="14"/>
        <v>872</v>
      </c>
      <c r="J7" s="452">
        <v>28724752</v>
      </c>
      <c r="K7" s="315">
        <f t="shared" si="15"/>
        <v>1138</v>
      </c>
      <c r="L7" s="452">
        <v>23707270</v>
      </c>
      <c r="M7" s="315">
        <f t="shared" si="16"/>
        <v>3524</v>
      </c>
      <c r="N7" s="313">
        <f t="shared" si="17"/>
        <v>9176</v>
      </c>
      <c r="O7" s="474">
        <f t="shared" si="1"/>
        <v>0</v>
      </c>
      <c r="P7" s="452">
        <v>16353</v>
      </c>
      <c r="Q7" s="456">
        <f t="shared" si="2"/>
        <v>2000</v>
      </c>
      <c r="R7" s="456">
        <f t="shared" si="21"/>
        <v>7176</v>
      </c>
      <c r="S7" s="452">
        <v>9749</v>
      </c>
      <c r="T7" s="476">
        <f t="shared" si="3"/>
        <v>9</v>
      </c>
      <c r="U7" s="452">
        <v>342794</v>
      </c>
      <c r="V7" s="456">
        <f t="shared" si="18"/>
        <v>1878</v>
      </c>
      <c r="W7" s="452">
        <v>32049</v>
      </c>
      <c r="X7" s="456">
        <f t="shared" si="4"/>
        <v>0</v>
      </c>
      <c r="Y7" s="452">
        <f t="shared" si="8"/>
        <v>673052</v>
      </c>
      <c r="Z7" s="456">
        <f t="shared" si="22"/>
        <v>0</v>
      </c>
      <c r="AA7" s="452">
        <f t="shared" si="9"/>
        <v>35607</v>
      </c>
      <c r="AB7" s="456">
        <f t="shared" si="19"/>
        <v>0</v>
      </c>
      <c r="AC7" s="452">
        <f t="shared" si="10"/>
        <v>899488</v>
      </c>
      <c r="AD7" s="456">
        <f t="shared" si="20"/>
        <v>0</v>
      </c>
      <c r="AE7" s="479">
        <f t="shared" si="11"/>
        <v>9</v>
      </c>
      <c r="AF7" s="480">
        <f t="shared" si="12"/>
        <v>1878</v>
      </c>
      <c r="AG7" s="472">
        <f t="shared" si="5"/>
        <v>208.66666666666666</v>
      </c>
      <c r="AI7" s="473">
        <f>R7-'EDl log'!B5</f>
        <v>-472184</v>
      </c>
    </row>
    <row r="8" spans="1:115">
      <c r="A8" s="464">
        <f>'General information '!F11</f>
        <v>0</v>
      </c>
      <c r="B8" s="458">
        <f t="shared" si="6"/>
        <v>0</v>
      </c>
      <c r="C8" s="465">
        <v>44110</v>
      </c>
      <c r="D8" s="452">
        <f t="shared" ref="D8:D33" si="23">D7</f>
        <v>32301350</v>
      </c>
      <c r="E8" s="314">
        <f t="shared" si="13"/>
        <v>0</v>
      </c>
      <c r="F8" s="452">
        <f t="shared" ref="F8:F33" si="24">F7</f>
        <v>3875952</v>
      </c>
      <c r="G8" s="315">
        <f t="shared" si="0"/>
        <v>0</v>
      </c>
      <c r="H8" s="452">
        <f t="shared" ref="H8:H33" si="25">H7</f>
        <v>17675074</v>
      </c>
      <c r="I8" s="315">
        <f t="shared" si="14"/>
        <v>0</v>
      </c>
      <c r="J8" s="452">
        <f t="shared" ref="J8:J33" si="26">J7</f>
        <v>28724752</v>
      </c>
      <c r="K8" s="315">
        <f t="shared" si="15"/>
        <v>0</v>
      </c>
      <c r="L8" s="452">
        <f t="shared" ref="L8:L33" si="27">L7</f>
        <v>23707270</v>
      </c>
      <c r="M8" s="315">
        <f t="shared" si="16"/>
        <v>0</v>
      </c>
      <c r="N8" s="313">
        <f t="shared" si="17"/>
        <v>0</v>
      </c>
      <c r="O8" s="474">
        <f t="shared" si="1"/>
        <v>0</v>
      </c>
      <c r="P8" s="452">
        <f t="shared" ref="P8:P33" si="28">P7</f>
        <v>16353</v>
      </c>
      <c r="Q8" s="456">
        <f t="shared" si="2"/>
        <v>0</v>
      </c>
      <c r="R8" s="456">
        <f t="shared" si="21"/>
        <v>0</v>
      </c>
      <c r="S8" s="452">
        <f t="shared" ref="S8:S33" si="29">S7</f>
        <v>9749</v>
      </c>
      <c r="T8" s="476">
        <f t="shared" si="3"/>
        <v>0</v>
      </c>
      <c r="U8" s="452">
        <f t="shared" ref="U8:U33" si="30">U7</f>
        <v>342794</v>
      </c>
      <c r="V8" s="456">
        <f t="shared" si="18"/>
        <v>0</v>
      </c>
      <c r="W8" s="452">
        <f t="shared" si="7"/>
        <v>32049</v>
      </c>
      <c r="X8" s="456">
        <f t="shared" si="4"/>
        <v>0</v>
      </c>
      <c r="Y8" s="452">
        <f t="shared" si="8"/>
        <v>673052</v>
      </c>
      <c r="Z8" s="456">
        <f t="shared" si="22"/>
        <v>0</v>
      </c>
      <c r="AA8" s="452">
        <f t="shared" si="9"/>
        <v>35607</v>
      </c>
      <c r="AB8" s="456">
        <f t="shared" si="19"/>
        <v>0</v>
      </c>
      <c r="AC8" s="452">
        <f t="shared" si="10"/>
        <v>899488</v>
      </c>
      <c r="AD8" s="456">
        <f t="shared" si="20"/>
        <v>0</v>
      </c>
      <c r="AE8" s="479">
        <f t="shared" si="11"/>
        <v>0</v>
      </c>
      <c r="AF8" s="480">
        <f t="shared" si="12"/>
        <v>0</v>
      </c>
      <c r="AG8" s="472">
        <f t="shared" si="5"/>
        <v>0</v>
      </c>
      <c r="AI8" s="473">
        <f>R8-'EDl log'!B6</f>
        <v>-483076</v>
      </c>
    </row>
    <row r="9" spans="1:115">
      <c r="A9" s="464">
        <f>'General information '!F12</f>
        <v>0</v>
      </c>
      <c r="B9" s="458">
        <f t="shared" si="6"/>
        <v>0</v>
      </c>
      <c r="C9" s="465">
        <v>44111</v>
      </c>
      <c r="D9" s="452">
        <f t="shared" si="23"/>
        <v>32301350</v>
      </c>
      <c r="E9" s="314">
        <f t="shared" si="13"/>
        <v>0</v>
      </c>
      <c r="F9" s="452">
        <f t="shared" si="24"/>
        <v>3875952</v>
      </c>
      <c r="G9" s="315">
        <f t="shared" si="0"/>
        <v>0</v>
      </c>
      <c r="H9" s="452">
        <f t="shared" si="25"/>
        <v>17675074</v>
      </c>
      <c r="I9" s="315">
        <f t="shared" si="14"/>
        <v>0</v>
      </c>
      <c r="J9" s="452">
        <f t="shared" si="26"/>
        <v>28724752</v>
      </c>
      <c r="K9" s="315">
        <f t="shared" si="15"/>
        <v>0</v>
      </c>
      <c r="L9" s="452">
        <f t="shared" si="27"/>
        <v>23707270</v>
      </c>
      <c r="M9" s="315">
        <f t="shared" si="16"/>
        <v>0</v>
      </c>
      <c r="N9" s="313">
        <f t="shared" si="17"/>
        <v>0</v>
      </c>
      <c r="O9" s="474">
        <f t="shared" si="1"/>
        <v>0</v>
      </c>
      <c r="P9" s="452">
        <f t="shared" si="28"/>
        <v>16353</v>
      </c>
      <c r="Q9" s="456">
        <f t="shared" si="2"/>
        <v>0</v>
      </c>
      <c r="R9" s="456">
        <f t="shared" si="21"/>
        <v>0</v>
      </c>
      <c r="S9" s="452">
        <f t="shared" si="29"/>
        <v>9749</v>
      </c>
      <c r="T9" s="476">
        <f t="shared" si="3"/>
        <v>0</v>
      </c>
      <c r="U9" s="452">
        <f t="shared" si="30"/>
        <v>342794</v>
      </c>
      <c r="V9" s="456">
        <f t="shared" si="18"/>
        <v>0</v>
      </c>
      <c r="W9" s="452">
        <f t="shared" si="7"/>
        <v>32049</v>
      </c>
      <c r="X9" s="456">
        <f t="shared" ref="X9:X32" si="31">W9-W8</f>
        <v>0</v>
      </c>
      <c r="Y9" s="452">
        <f t="shared" si="8"/>
        <v>673052</v>
      </c>
      <c r="Z9" s="456">
        <f t="shared" si="22"/>
        <v>0</v>
      </c>
      <c r="AA9" s="452">
        <f t="shared" si="9"/>
        <v>35607</v>
      </c>
      <c r="AB9" s="456">
        <f t="shared" si="19"/>
        <v>0</v>
      </c>
      <c r="AC9" s="452">
        <f t="shared" si="10"/>
        <v>899488</v>
      </c>
      <c r="AD9" s="456">
        <f t="shared" si="20"/>
        <v>0</v>
      </c>
      <c r="AE9" s="479">
        <f t="shared" si="11"/>
        <v>0</v>
      </c>
      <c r="AF9" s="480">
        <f t="shared" si="12"/>
        <v>0</v>
      </c>
      <c r="AG9" s="472">
        <f t="shared" si="5"/>
        <v>0</v>
      </c>
      <c r="AI9" s="473">
        <f>R9-'EDl log'!B7</f>
        <v>-486458</v>
      </c>
    </row>
    <row r="10" spans="1:115">
      <c r="A10" s="464">
        <f>'General information '!F13</f>
        <v>0</v>
      </c>
      <c r="B10" s="458">
        <f t="shared" si="6"/>
        <v>0</v>
      </c>
      <c r="C10" s="465">
        <v>44112</v>
      </c>
      <c r="D10" s="452">
        <f t="shared" si="23"/>
        <v>32301350</v>
      </c>
      <c r="E10" s="314">
        <f t="shared" si="13"/>
        <v>0</v>
      </c>
      <c r="F10" s="452">
        <f t="shared" si="24"/>
        <v>3875952</v>
      </c>
      <c r="G10" s="315">
        <f t="shared" si="0"/>
        <v>0</v>
      </c>
      <c r="H10" s="452">
        <f t="shared" si="25"/>
        <v>17675074</v>
      </c>
      <c r="I10" s="315">
        <f t="shared" si="14"/>
        <v>0</v>
      </c>
      <c r="J10" s="452">
        <f t="shared" si="26"/>
        <v>28724752</v>
      </c>
      <c r="K10" s="315">
        <f t="shared" si="15"/>
        <v>0</v>
      </c>
      <c r="L10" s="452">
        <f t="shared" si="27"/>
        <v>23707270</v>
      </c>
      <c r="M10" s="315">
        <f t="shared" si="16"/>
        <v>0</v>
      </c>
      <c r="N10" s="313">
        <f t="shared" si="17"/>
        <v>0</v>
      </c>
      <c r="O10" s="474">
        <f t="shared" ref="O10:O32" si="32">IF(B10&gt;0,N10/B10,0)</f>
        <v>0</v>
      </c>
      <c r="P10" s="452">
        <f t="shared" si="28"/>
        <v>16353</v>
      </c>
      <c r="Q10" s="456">
        <f t="shared" si="2"/>
        <v>0</v>
      </c>
      <c r="R10" s="456">
        <f t="shared" si="21"/>
        <v>0</v>
      </c>
      <c r="S10" s="452">
        <f t="shared" si="29"/>
        <v>9749</v>
      </c>
      <c r="T10" s="476">
        <f t="shared" si="3"/>
        <v>0</v>
      </c>
      <c r="U10" s="452">
        <f t="shared" si="30"/>
        <v>342794</v>
      </c>
      <c r="V10" s="456">
        <f t="shared" si="18"/>
        <v>0</v>
      </c>
      <c r="W10" s="452">
        <v>32049</v>
      </c>
      <c r="X10" s="456">
        <f t="shared" si="31"/>
        <v>0</v>
      </c>
      <c r="Y10" s="452">
        <f t="shared" si="8"/>
        <v>673052</v>
      </c>
      <c r="Z10" s="456">
        <f t="shared" si="22"/>
        <v>0</v>
      </c>
      <c r="AA10" s="452">
        <f t="shared" si="9"/>
        <v>35607</v>
      </c>
      <c r="AB10" s="456">
        <f t="shared" si="19"/>
        <v>0</v>
      </c>
      <c r="AC10" s="452">
        <f t="shared" si="10"/>
        <v>899488</v>
      </c>
      <c r="AD10" s="456">
        <f t="shared" si="20"/>
        <v>0</v>
      </c>
      <c r="AE10" s="479">
        <f t="shared" si="11"/>
        <v>0</v>
      </c>
      <c r="AF10" s="480">
        <f t="shared" si="12"/>
        <v>0</v>
      </c>
      <c r="AG10" s="472">
        <f t="shared" ref="AG10:AG32" si="33">IF(AE10&gt;0,AF10/AE10,0)</f>
        <v>0</v>
      </c>
      <c r="AI10" s="473">
        <f>R10-'EDl log'!B8</f>
        <v>-490415</v>
      </c>
    </row>
    <row r="11" spans="1:115">
      <c r="A11" s="464">
        <f>'General information '!F14</f>
        <v>0</v>
      </c>
      <c r="B11" s="458">
        <f>SUM(230*A11)</f>
        <v>0</v>
      </c>
      <c r="C11" s="465">
        <v>44113</v>
      </c>
      <c r="D11" s="452">
        <f t="shared" si="23"/>
        <v>32301350</v>
      </c>
      <c r="E11" s="314">
        <f t="shared" si="13"/>
        <v>0</v>
      </c>
      <c r="F11" s="452">
        <f t="shared" si="24"/>
        <v>3875952</v>
      </c>
      <c r="G11" s="315">
        <f t="shared" si="0"/>
        <v>0</v>
      </c>
      <c r="H11" s="452">
        <f t="shared" si="25"/>
        <v>17675074</v>
      </c>
      <c r="I11" s="315">
        <f t="shared" si="14"/>
        <v>0</v>
      </c>
      <c r="J11" s="452">
        <f t="shared" si="26"/>
        <v>28724752</v>
      </c>
      <c r="K11" s="315">
        <f t="shared" si="15"/>
        <v>0</v>
      </c>
      <c r="L11" s="452">
        <f t="shared" si="27"/>
        <v>23707270</v>
      </c>
      <c r="M11" s="315">
        <f t="shared" si="16"/>
        <v>0</v>
      </c>
      <c r="N11" s="313">
        <f>M11+K11+I11+G11+E11</f>
        <v>0</v>
      </c>
      <c r="O11" s="474">
        <f t="shared" si="32"/>
        <v>0</v>
      </c>
      <c r="P11" s="452">
        <f t="shared" si="28"/>
        <v>16353</v>
      </c>
      <c r="Q11" s="456">
        <f t="shared" si="2"/>
        <v>0</v>
      </c>
      <c r="R11" s="456">
        <f t="shared" si="21"/>
        <v>0</v>
      </c>
      <c r="S11" s="452">
        <f t="shared" si="29"/>
        <v>9749</v>
      </c>
      <c r="T11" s="476">
        <f t="shared" si="3"/>
        <v>0</v>
      </c>
      <c r="U11" s="452">
        <f t="shared" si="30"/>
        <v>342794</v>
      </c>
      <c r="V11" s="456">
        <f t="shared" si="18"/>
        <v>0</v>
      </c>
      <c r="W11" s="452">
        <f t="shared" si="7"/>
        <v>32049</v>
      </c>
      <c r="X11" s="456">
        <f t="shared" si="31"/>
        <v>0</v>
      </c>
      <c r="Y11" s="452">
        <f t="shared" si="8"/>
        <v>673052</v>
      </c>
      <c r="Z11" s="456">
        <f t="shared" si="22"/>
        <v>0</v>
      </c>
      <c r="AA11" s="452">
        <f t="shared" si="9"/>
        <v>35607</v>
      </c>
      <c r="AB11" s="456">
        <f t="shared" si="19"/>
        <v>0</v>
      </c>
      <c r="AC11" s="452">
        <f t="shared" si="10"/>
        <v>899488</v>
      </c>
      <c r="AD11" s="456">
        <f t="shared" si="20"/>
        <v>0</v>
      </c>
      <c r="AE11" s="479">
        <f t="shared" si="11"/>
        <v>0</v>
      </c>
      <c r="AF11" s="480">
        <f t="shared" si="12"/>
        <v>0</v>
      </c>
      <c r="AG11" s="472">
        <f t="shared" si="33"/>
        <v>0</v>
      </c>
      <c r="AI11" s="473">
        <f>R11-'EDl log'!B9</f>
        <v>-490415</v>
      </c>
    </row>
    <row r="12" spans="1:115">
      <c r="A12" s="464">
        <f>'General information '!F15</f>
        <v>0</v>
      </c>
      <c r="B12" s="458">
        <f t="shared" si="6"/>
        <v>0</v>
      </c>
      <c r="C12" s="465">
        <v>44114</v>
      </c>
      <c r="D12" s="452">
        <f t="shared" si="23"/>
        <v>32301350</v>
      </c>
      <c r="E12" s="314">
        <f t="shared" si="13"/>
        <v>0</v>
      </c>
      <c r="F12" s="452">
        <f t="shared" si="24"/>
        <v>3875952</v>
      </c>
      <c r="G12" s="315">
        <f t="shared" si="0"/>
        <v>0</v>
      </c>
      <c r="H12" s="452">
        <f t="shared" si="25"/>
        <v>17675074</v>
      </c>
      <c r="I12" s="315">
        <f t="shared" si="14"/>
        <v>0</v>
      </c>
      <c r="J12" s="452">
        <f t="shared" si="26"/>
        <v>28724752</v>
      </c>
      <c r="K12" s="315">
        <f t="shared" si="15"/>
        <v>0</v>
      </c>
      <c r="L12" s="452">
        <f t="shared" si="27"/>
        <v>23707270</v>
      </c>
      <c r="M12" s="315">
        <f t="shared" si="16"/>
        <v>0</v>
      </c>
      <c r="N12" s="313">
        <f>M12+K12+I12+G12+E12</f>
        <v>0</v>
      </c>
      <c r="O12" s="474">
        <f t="shared" si="32"/>
        <v>0</v>
      </c>
      <c r="P12" s="452">
        <f t="shared" si="28"/>
        <v>16353</v>
      </c>
      <c r="Q12" s="456">
        <f t="shared" si="2"/>
        <v>0</v>
      </c>
      <c r="R12" s="456">
        <f t="shared" si="21"/>
        <v>0</v>
      </c>
      <c r="S12" s="452">
        <f t="shared" si="29"/>
        <v>9749</v>
      </c>
      <c r="T12" s="476">
        <f t="shared" si="3"/>
        <v>0</v>
      </c>
      <c r="U12" s="452">
        <f t="shared" si="30"/>
        <v>342794</v>
      </c>
      <c r="V12" s="456">
        <f t="shared" si="18"/>
        <v>0</v>
      </c>
      <c r="W12" s="452">
        <f t="shared" si="7"/>
        <v>32049</v>
      </c>
      <c r="X12" s="456">
        <f t="shared" si="31"/>
        <v>0</v>
      </c>
      <c r="Y12" s="452">
        <f t="shared" si="8"/>
        <v>673052</v>
      </c>
      <c r="Z12" s="456">
        <f t="shared" si="22"/>
        <v>0</v>
      </c>
      <c r="AA12" s="452">
        <f t="shared" si="9"/>
        <v>35607</v>
      </c>
      <c r="AB12" s="456">
        <f t="shared" si="19"/>
        <v>0</v>
      </c>
      <c r="AC12" s="452">
        <f t="shared" si="10"/>
        <v>899488</v>
      </c>
      <c r="AD12" s="456">
        <f t="shared" si="20"/>
        <v>0</v>
      </c>
      <c r="AE12" s="479">
        <f t="shared" si="11"/>
        <v>0</v>
      </c>
      <c r="AF12" s="480">
        <f t="shared" si="12"/>
        <v>0</v>
      </c>
      <c r="AG12" s="472">
        <f t="shared" si="33"/>
        <v>0</v>
      </c>
      <c r="AI12" s="473">
        <f>R12-'EDl log'!B10</f>
        <v>-490415</v>
      </c>
    </row>
    <row r="13" spans="1:115">
      <c r="A13" s="464">
        <f>'General information '!F16</f>
        <v>0</v>
      </c>
      <c r="B13" s="458">
        <f t="shared" si="6"/>
        <v>0</v>
      </c>
      <c r="C13" s="465">
        <v>44115</v>
      </c>
      <c r="D13" s="452">
        <f t="shared" si="23"/>
        <v>32301350</v>
      </c>
      <c r="E13" s="314">
        <f t="shared" si="13"/>
        <v>0</v>
      </c>
      <c r="F13" s="452">
        <f t="shared" si="24"/>
        <v>3875952</v>
      </c>
      <c r="G13" s="315">
        <f t="shared" si="0"/>
        <v>0</v>
      </c>
      <c r="H13" s="452">
        <f t="shared" si="25"/>
        <v>17675074</v>
      </c>
      <c r="I13" s="315">
        <f t="shared" si="14"/>
        <v>0</v>
      </c>
      <c r="J13" s="452">
        <f t="shared" si="26"/>
        <v>28724752</v>
      </c>
      <c r="K13" s="315">
        <f t="shared" si="15"/>
        <v>0</v>
      </c>
      <c r="L13" s="452">
        <f t="shared" si="27"/>
        <v>23707270</v>
      </c>
      <c r="M13" s="315">
        <f t="shared" si="16"/>
        <v>0</v>
      </c>
      <c r="N13" s="313">
        <f t="shared" si="17"/>
        <v>0</v>
      </c>
      <c r="O13" s="474">
        <f t="shared" si="32"/>
        <v>0</v>
      </c>
      <c r="P13" s="452">
        <f t="shared" si="28"/>
        <v>16353</v>
      </c>
      <c r="Q13" s="456">
        <f>(P13-P12)*1000</f>
        <v>0</v>
      </c>
      <c r="R13" s="456">
        <f t="shared" ref="R13" si="34">N13-Q13</f>
        <v>0</v>
      </c>
      <c r="S13" s="452">
        <f t="shared" si="29"/>
        <v>9749</v>
      </c>
      <c r="T13" s="476">
        <f t="shared" si="3"/>
        <v>0</v>
      </c>
      <c r="U13" s="452">
        <f t="shared" si="30"/>
        <v>342794</v>
      </c>
      <c r="V13" s="456">
        <f t="shared" si="18"/>
        <v>0</v>
      </c>
      <c r="W13" s="452">
        <f t="shared" si="7"/>
        <v>32049</v>
      </c>
      <c r="X13" s="456">
        <f t="shared" si="31"/>
        <v>0</v>
      </c>
      <c r="Y13" s="452">
        <f t="shared" si="8"/>
        <v>673052</v>
      </c>
      <c r="Z13" s="456">
        <f t="shared" si="22"/>
        <v>0</v>
      </c>
      <c r="AA13" s="452">
        <f t="shared" si="9"/>
        <v>35607</v>
      </c>
      <c r="AB13" s="456">
        <f t="shared" si="19"/>
        <v>0</v>
      </c>
      <c r="AC13" s="452">
        <f t="shared" si="10"/>
        <v>899488</v>
      </c>
      <c r="AD13" s="456">
        <f t="shared" si="20"/>
        <v>0</v>
      </c>
      <c r="AE13" s="479">
        <f t="shared" si="11"/>
        <v>0</v>
      </c>
      <c r="AF13" s="480">
        <f t="shared" si="12"/>
        <v>0</v>
      </c>
      <c r="AG13" s="472">
        <f t="shared" si="33"/>
        <v>0</v>
      </c>
      <c r="AI13" s="473">
        <f>R13-'EDl log'!B11</f>
        <v>-490415</v>
      </c>
    </row>
    <row r="14" spans="1:115">
      <c r="A14" s="464">
        <f>'General information '!F17</f>
        <v>0</v>
      </c>
      <c r="B14" s="458">
        <f t="shared" si="6"/>
        <v>0</v>
      </c>
      <c r="C14" s="465">
        <v>44116</v>
      </c>
      <c r="D14" s="452">
        <f t="shared" si="23"/>
        <v>32301350</v>
      </c>
      <c r="E14" s="314">
        <f t="shared" si="13"/>
        <v>0</v>
      </c>
      <c r="F14" s="452">
        <f t="shared" si="24"/>
        <v>3875952</v>
      </c>
      <c r="G14" s="315">
        <f t="shared" si="0"/>
        <v>0</v>
      </c>
      <c r="H14" s="452">
        <f t="shared" si="25"/>
        <v>17675074</v>
      </c>
      <c r="I14" s="315">
        <f t="shared" si="14"/>
        <v>0</v>
      </c>
      <c r="J14" s="452">
        <f t="shared" si="26"/>
        <v>28724752</v>
      </c>
      <c r="K14" s="315">
        <f t="shared" si="15"/>
        <v>0</v>
      </c>
      <c r="L14" s="452">
        <f t="shared" si="27"/>
        <v>23707270</v>
      </c>
      <c r="M14" s="315">
        <f t="shared" si="16"/>
        <v>0</v>
      </c>
      <c r="N14" s="313">
        <f t="shared" si="17"/>
        <v>0</v>
      </c>
      <c r="O14" s="474">
        <f t="shared" si="32"/>
        <v>0</v>
      </c>
      <c r="P14" s="452">
        <f t="shared" si="28"/>
        <v>16353</v>
      </c>
      <c r="Q14" s="456">
        <f t="shared" ref="Q14:Q33" si="35">(P14-P13)*1000</f>
        <v>0</v>
      </c>
      <c r="R14" s="456">
        <f t="shared" ref="R14:R33" si="36">N14-Q14</f>
        <v>0</v>
      </c>
      <c r="S14" s="452">
        <f t="shared" si="29"/>
        <v>9749</v>
      </c>
      <c r="T14" s="476">
        <f t="shared" si="3"/>
        <v>0</v>
      </c>
      <c r="U14" s="452">
        <f t="shared" si="30"/>
        <v>342794</v>
      </c>
      <c r="V14" s="456">
        <f t="shared" si="18"/>
        <v>0</v>
      </c>
      <c r="W14" s="452">
        <f t="shared" si="7"/>
        <v>32049</v>
      </c>
      <c r="X14" s="456">
        <f t="shared" si="31"/>
        <v>0</v>
      </c>
      <c r="Y14" s="452">
        <f t="shared" si="8"/>
        <v>673052</v>
      </c>
      <c r="Z14" s="456">
        <f t="shared" si="22"/>
        <v>0</v>
      </c>
      <c r="AA14" s="452">
        <f t="shared" si="9"/>
        <v>35607</v>
      </c>
      <c r="AB14" s="456">
        <f t="shared" si="19"/>
        <v>0</v>
      </c>
      <c r="AC14" s="452">
        <f t="shared" si="10"/>
        <v>899488</v>
      </c>
      <c r="AD14" s="456">
        <f t="shared" si="20"/>
        <v>0</v>
      </c>
      <c r="AE14" s="479">
        <f t="shared" si="11"/>
        <v>0</v>
      </c>
      <c r="AF14" s="480">
        <f t="shared" si="12"/>
        <v>0</v>
      </c>
      <c r="AG14" s="472">
        <f t="shared" si="33"/>
        <v>0</v>
      </c>
      <c r="AI14" s="473">
        <f>R14-'EDl log'!B12</f>
        <v>-490415</v>
      </c>
    </row>
    <row r="15" spans="1:115">
      <c r="A15" s="464">
        <f>'General information '!F18</f>
        <v>0</v>
      </c>
      <c r="B15" s="458">
        <f t="shared" si="6"/>
        <v>0</v>
      </c>
      <c r="C15" s="465">
        <v>44117</v>
      </c>
      <c r="D15" s="452">
        <f t="shared" si="23"/>
        <v>32301350</v>
      </c>
      <c r="E15" s="314">
        <f t="shared" si="13"/>
        <v>0</v>
      </c>
      <c r="F15" s="452">
        <f t="shared" si="24"/>
        <v>3875952</v>
      </c>
      <c r="G15" s="315">
        <f t="shared" si="0"/>
        <v>0</v>
      </c>
      <c r="H15" s="452">
        <f t="shared" si="25"/>
        <v>17675074</v>
      </c>
      <c r="I15" s="315">
        <f t="shared" si="14"/>
        <v>0</v>
      </c>
      <c r="J15" s="452">
        <f t="shared" si="26"/>
        <v>28724752</v>
      </c>
      <c r="K15" s="315">
        <f t="shared" si="15"/>
        <v>0</v>
      </c>
      <c r="L15" s="452">
        <f t="shared" si="27"/>
        <v>23707270</v>
      </c>
      <c r="M15" s="315">
        <f t="shared" si="16"/>
        <v>0</v>
      </c>
      <c r="N15" s="313">
        <f t="shared" si="17"/>
        <v>0</v>
      </c>
      <c r="O15" s="474">
        <f t="shared" si="32"/>
        <v>0</v>
      </c>
      <c r="P15" s="452">
        <f t="shared" si="28"/>
        <v>16353</v>
      </c>
      <c r="Q15" s="456">
        <f t="shared" si="35"/>
        <v>0</v>
      </c>
      <c r="R15" s="456">
        <f t="shared" si="36"/>
        <v>0</v>
      </c>
      <c r="S15" s="452">
        <f t="shared" si="29"/>
        <v>9749</v>
      </c>
      <c r="T15" s="476">
        <f t="shared" si="3"/>
        <v>0</v>
      </c>
      <c r="U15" s="452">
        <f t="shared" si="30"/>
        <v>342794</v>
      </c>
      <c r="V15" s="456">
        <f t="shared" si="18"/>
        <v>0</v>
      </c>
      <c r="W15" s="452">
        <f t="shared" si="7"/>
        <v>32049</v>
      </c>
      <c r="X15" s="456">
        <f t="shared" si="31"/>
        <v>0</v>
      </c>
      <c r="Y15" s="452">
        <f t="shared" si="8"/>
        <v>673052</v>
      </c>
      <c r="Z15" s="456">
        <f t="shared" si="22"/>
        <v>0</v>
      </c>
      <c r="AA15" s="452">
        <f t="shared" si="9"/>
        <v>35607</v>
      </c>
      <c r="AB15" s="456">
        <f t="shared" si="19"/>
        <v>0</v>
      </c>
      <c r="AC15" s="452">
        <f t="shared" si="10"/>
        <v>899488</v>
      </c>
      <c r="AD15" s="456">
        <f t="shared" si="20"/>
        <v>0</v>
      </c>
      <c r="AE15" s="479">
        <f t="shared" si="11"/>
        <v>0</v>
      </c>
      <c r="AF15" s="480">
        <f t="shared" si="12"/>
        <v>0</v>
      </c>
      <c r="AG15" s="472">
        <f t="shared" si="33"/>
        <v>0</v>
      </c>
      <c r="AI15" s="473">
        <f>R15-'EDl log'!B13</f>
        <v>-490415</v>
      </c>
    </row>
    <row r="16" spans="1:115">
      <c r="A16" s="464">
        <f>'General information '!F19</f>
        <v>0</v>
      </c>
      <c r="B16" s="458">
        <f t="shared" si="6"/>
        <v>0</v>
      </c>
      <c r="C16" s="465">
        <v>44118</v>
      </c>
      <c r="D16" s="452">
        <f t="shared" si="23"/>
        <v>32301350</v>
      </c>
      <c r="E16" s="314">
        <f t="shared" si="13"/>
        <v>0</v>
      </c>
      <c r="F16" s="452">
        <f t="shared" si="24"/>
        <v>3875952</v>
      </c>
      <c r="G16" s="315">
        <f t="shared" si="0"/>
        <v>0</v>
      </c>
      <c r="H16" s="452">
        <f t="shared" si="25"/>
        <v>17675074</v>
      </c>
      <c r="I16" s="315">
        <f t="shared" si="14"/>
        <v>0</v>
      </c>
      <c r="J16" s="452">
        <f t="shared" si="26"/>
        <v>28724752</v>
      </c>
      <c r="K16" s="315">
        <f t="shared" si="15"/>
        <v>0</v>
      </c>
      <c r="L16" s="452">
        <f t="shared" si="27"/>
        <v>23707270</v>
      </c>
      <c r="M16" s="315">
        <f t="shared" si="16"/>
        <v>0</v>
      </c>
      <c r="N16" s="313">
        <f t="shared" si="17"/>
        <v>0</v>
      </c>
      <c r="O16" s="474">
        <f t="shared" si="32"/>
        <v>0</v>
      </c>
      <c r="P16" s="452">
        <f t="shared" si="28"/>
        <v>16353</v>
      </c>
      <c r="Q16" s="456">
        <f t="shared" si="35"/>
        <v>0</v>
      </c>
      <c r="R16" s="456">
        <f t="shared" si="36"/>
        <v>0</v>
      </c>
      <c r="S16" s="452">
        <f t="shared" si="29"/>
        <v>9749</v>
      </c>
      <c r="T16" s="476">
        <f t="shared" si="3"/>
        <v>0</v>
      </c>
      <c r="U16" s="452">
        <f t="shared" si="30"/>
        <v>342794</v>
      </c>
      <c r="V16" s="456">
        <f t="shared" si="18"/>
        <v>0</v>
      </c>
      <c r="W16" s="452">
        <f t="shared" si="7"/>
        <v>32049</v>
      </c>
      <c r="X16" s="456">
        <f>W16-W15</f>
        <v>0</v>
      </c>
      <c r="Y16" s="452">
        <f t="shared" si="8"/>
        <v>673052</v>
      </c>
      <c r="Z16" s="456">
        <f>Y16-Y15</f>
        <v>0</v>
      </c>
      <c r="AA16" s="452">
        <f t="shared" si="9"/>
        <v>35607</v>
      </c>
      <c r="AB16" s="456">
        <f>AA16-AA15</f>
        <v>0</v>
      </c>
      <c r="AC16" s="452">
        <f t="shared" si="10"/>
        <v>899488</v>
      </c>
      <c r="AD16" s="456">
        <f t="shared" si="20"/>
        <v>0</v>
      </c>
      <c r="AE16" s="479">
        <f t="shared" si="11"/>
        <v>0</v>
      </c>
      <c r="AF16" s="480">
        <f t="shared" si="12"/>
        <v>0</v>
      </c>
      <c r="AG16" s="472">
        <f t="shared" si="33"/>
        <v>0</v>
      </c>
      <c r="AI16" s="473">
        <f>R16-'EDl log'!B14</f>
        <v>-490415</v>
      </c>
    </row>
    <row r="17" spans="1:35">
      <c r="A17" s="464">
        <f>'General information '!F20</f>
        <v>0</v>
      </c>
      <c r="B17" s="458">
        <f t="shared" si="6"/>
        <v>0</v>
      </c>
      <c r="C17" s="465">
        <v>44119</v>
      </c>
      <c r="D17" s="452">
        <f t="shared" si="23"/>
        <v>32301350</v>
      </c>
      <c r="E17" s="314">
        <f t="shared" si="13"/>
        <v>0</v>
      </c>
      <c r="F17" s="452">
        <f t="shared" si="24"/>
        <v>3875952</v>
      </c>
      <c r="G17" s="315">
        <f t="shared" si="0"/>
        <v>0</v>
      </c>
      <c r="H17" s="452">
        <f t="shared" si="25"/>
        <v>17675074</v>
      </c>
      <c r="I17" s="315">
        <f t="shared" si="14"/>
        <v>0</v>
      </c>
      <c r="J17" s="452">
        <f t="shared" si="26"/>
        <v>28724752</v>
      </c>
      <c r="K17" s="315">
        <f t="shared" si="15"/>
        <v>0</v>
      </c>
      <c r="L17" s="452">
        <f t="shared" si="27"/>
        <v>23707270</v>
      </c>
      <c r="M17" s="315">
        <f t="shared" si="16"/>
        <v>0</v>
      </c>
      <c r="N17" s="313">
        <f t="shared" si="17"/>
        <v>0</v>
      </c>
      <c r="O17" s="474">
        <f t="shared" si="32"/>
        <v>0</v>
      </c>
      <c r="P17" s="452">
        <f t="shared" si="28"/>
        <v>16353</v>
      </c>
      <c r="Q17" s="456">
        <f t="shared" si="35"/>
        <v>0</v>
      </c>
      <c r="R17" s="456">
        <f t="shared" si="36"/>
        <v>0</v>
      </c>
      <c r="S17" s="452">
        <f t="shared" si="29"/>
        <v>9749</v>
      </c>
      <c r="T17" s="476">
        <f t="shared" si="3"/>
        <v>0</v>
      </c>
      <c r="U17" s="452">
        <f t="shared" si="30"/>
        <v>342794</v>
      </c>
      <c r="V17" s="456">
        <f t="shared" si="18"/>
        <v>0</v>
      </c>
      <c r="W17" s="452">
        <f t="shared" si="7"/>
        <v>32049</v>
      </c>
      <c r="X17" s="456">
        <f t="shared" si="31"/>
        <v>0</v>
      </c>
      <c r="Y17" s="452">
        <f t="shared" si="8"/>
        <v>673052</v>
      </c>
      <c r="Z17" s="456">
        <f t="shared" si="22"/>
        <v>0</v>
      </c>
      <c r="AA17" s="452">
        <f t="shared" si="9"/>
        <v>35607</v>
      </c>
      <c r="AB17" s="456">
        <f t="shared" si="19"/>
        <v>0</v>
      </c>
      <c r="AC17" s="452">
        <f t="shared" si="10"/>
        <v>899488</v>
      </c>
      <c r="AD17" s="456">
        <f t="shared" ref="AD17:AD32" si="37">AC17-AC16</f>
        <v>0</v>
      </c>
      <c r="AE17" s="479">
        <f t="shared" si="11"/>
        <v>0</v>
      </c>
      <c r="AF17" s="480">
        <f t="shared" si="12"/>
        <v>0</v>
      </c>
      <c r="AG17" s="472">
        <f t="shared" si="33"/>
        <v>0</v>
      </c>
      <c r="AI17" s="473">
        <f>R17-'EDl log'!B15</f>
        <v>-490415</v>
      </c>
    </row>
    <row r="18" spans="1:35">
      <c r="A18" s="464">
        <f>'General information '!F21</f>
        <v>0</v>
      </c>
      <c r="B18" s="458">
        <f t="shared" si="6"/>
        <v>0</v>
      </c>
      <c r="C18" s="465">
        <v>44120</v>
      </c>
      <c r="D18" s="452">
        <f t="shared" si="23"/>
        <v>32301350</v>
      </c>
      <c r="E18" s="314">
        <f t="shared" si="13"/>
        <v>0</v>
      </c>
      <c r="F18" s="452">
        <f t="shared" si="24"/>
        <v>3875952</v>
      </c>
      <c r="G18" s="315">
        <f t="shared" si="0"/>
        <v>0</v>
      </c>
      <c r="H18" s="452">
        <f t="shared" si="25"/>
        <v>17675074</v>
      </c>
      <c r="I18" s="315">
        <f t="shared" si="14"/>
        <v>0</v>
      </c>
      <c r="J18" s="452">
        <f t="shared" si="26"/>
        <v>28724752</v>
      </c>
      <c r="K18" s="315">
        <f t="shared" si="15"/>
        <v>0</v>
      </c>
      <c r="L18" s="452">
        <f t="shared" si="27"/>
        <v>23707270</v>
      </c>
      <c r="M18" s="315">
        <f t="shared" si="16"/>
        <v>0</v>
      </c>
      <c r="N18" s="313">
        <f t="shared" si="17"/>
        <v>0</v>
      </c>
      <c r="O18" s="474">
        <f t="shared" si="32"/>
        <v>0</v>
      </c>
      <c r="P18" s="452">
        <f t="shared" si="28"/>
        <v>16353</v>
      </c>
      <c r="Q18" s="456">
        <f t="shared" si="35"/>
        <v>0</v>
      </c>
      <c r="R18" s="456">
        <f t="shared" si="36"/>
        <v>0</v>
      </c>
      <c r="S18" s="452">
        <f t="shared" si="29"/>
        <v>9749</v>
      </c>
      <c r="T18" s="476">
        <f t="shared" si="3"/>
        <v>0</v>
      </c>
      <c r="U18" s="452">
        <f t="shared" si="30"/>
        <v>342794</v>
      </c>
      <c r="V18" s="456">
        <f t="shared" si="18"/>
        <v>0</v>
      </c>
      <c r="W18" s="452">
        <f t="shared" si="7"/>
        <v>32049</v>
      </c>
      <c r="X18" s="456">
        <f t="shared" si="31"/>
        <v>0</v>
      </c>
      <c r="Y18" s="452">
        <f t="shared" si="8"/>
        <v>673052</v>
      </c>
      <c r="Z18" s="456">
        <f t="shared" si="22"/>
        <v>0</v>
      </c>
      <c r="AA18" s="452">
        <f t="shared" si="9"/>
        <v>35607</v>
      </c>
      <c r="AB18" s="456">
        <f t="shared" si="19"/>
        <v>0</v>
      </c>
      <c r="AC18" s="452">
        <f t="shared" si="10"/>
        <v>899488</v>
      </c>
      <c r="AD18" s="456">
        <f t="shared" si="37"/>
        <v>0</v>
      </c>
      <c r="AE18" s="479">
        <f t="shared" si="11"/>
        <v>0</v>
      </c>
      <c r="AF18" s="480">
        <f t="shared" si="12"/>
        <v>0</v>
      </c>
      <c r="AG18" s="472">
        <f t="shared" si="33"/>
        <v>0</v>
      </c>
      <c r="AI18" s="473">
        <f>R18-'EDl log'!B16</f>
        <v>-490415</v>
      </c>
    </row>
    <row r="19" spans="1:35">
      <c r="A19" s="464">
        <f>'General information '!F22</f>
        <v>0</v>
      </c>
      <c r="B19" s="458">
        <f t="shared" si="6"/>
        <v>0</v>
      </c>
      <c r="C19" s="465">
        <v>44121</v>
      </c>
      <c r="D19" s="452">
        <f t="shared" si="23"/>
        <v>32301350</v>
      </c>
      <c r="E19" s="314">
        <f t="shared" si="13"/>
        <v>0</v>
      </c>
      <c r="F19" s="452">
        <f t="shared" si="24"/>
        <v>3875952</v>
      </c>
      <c r="G19" s="315">
        <f t="shared" si="0"/>
        <v>0</v>
      </c>
      <c r="H19" s="452">
        <f t="shared" si="25"/>
        <v>17675074</v>
      </c>
      <c r="I19" s="315">
        <f t="shared" si="14"/>
        <v>0</v>
      </c>
      <c r="J19" s="452">
        <f t="shared" si="26"/>
        <v>28724752</v>
      </c>
      <c r="K19" s="315">
        <f t="shared" si="15"/>
        <v>0</v>
      </c>
      <c r="L19" s="452">
        <f t="shared" si="27"/>
        <v>23707270</v>
      </c>
      <c r="M19" s="315">
        <f t="shared" si="16"/>
        <v>0</v>
      </c>
      <c r="N19" s="313">
        <f t="shared" si="17"/>
        <v>0</v>
      </c>
      <c r="O19" s="474">
        <f t="shared" si="32"/>
        <v>0</v>
      </c>
      <c r="P19" s="452">
        <f t="shared" si="28"/>
        <v>16353</v>
      </c>
      <c r="Q19" s="456">
        <f t="shared" si="35"/>
        <v>0</v>
      </c>
      <c r="R19" s="456">
        <f t="shared" si="36"/>
        <v>0</v>
      </c>
      <c r="S19" s="452">
        <f t="shared" si="29"/>
        <v>9749</v>
      </c>
      <c r="T19" s="476">
        <f t="shared" si="3"/>
        <v>0</v>
      </c>
      <c r="U19" s="452">
        <f t="shared" si="30"/>
        <v>342794</v>
      </c>
      <c r="V19" s="456">
        <f t="shared" si="18"/>
        <v>0</v>
      </c>
      <c r="W19" s="452">
        <f t="shared" si="7"/>
        <v>32049</v>
      </c>
      <c r="X19" s="456">
        <f t="shared" si="31"/>
        <v>0</v>
      </c>
      <c r="Y19" s="452">
        <f t="shared" si="8"/>
        <v>673052</v>
      </c>
      <c r="Z19" s="456">
        <f t="shared" si="22"/>
        <v>0</v>
      </c>
      <c r="AA19" s="452">
        <f t="shared" si="9"/>
        <v>35607</v>
      </c>
      <c r="AB19" s="456">
        <f t="shared" si="19"/>
        <v>0</v>
      </c>
      <c r="AC19" s="452">
        <f t="shared" si="10"/>
        <v>899488</v>
      </c>
      <c r="AD19" s="456">
        <f t="shared" si="37"/>
        <v>0</v>
      </c>
      <c r="AE19" s="479">
        <f t="shared" si="11"/>
        <v>0</v>
      </c>
      <c r="AF19" s="480">
        <f t="shared" si="12"/>
        <v>0</v>
      </c>
      <c r="AG19" s="472">
        <f t="shared" si="33"/>
        <v>0</v>
      </c>
      <c r="AI19" s="473">
        <f>R19-'EDl log'!B17</f>
        <v>-490415</v>
      </c>
    </row>
    <row r="20" spans="1:35">
      <c r="A20" s="464">
        <f>'General information '!F23</f>
        <v>0</v>
      </c>
      <c r="B20" s="458">
        <f t="shared" si="6"/>
        <v>0</v>
      </c>
      <c r="C20" s="465">
        <v>44122</v>
      </c>
      <c r="D20" s="452">
        <f t="shared" si="23"/>
        <v>32301350</v>
      </c>
      <c r="E20" s="314">
        <f t="shared" si="13"/>
        <v>0</v>
      </c>
      <c r="F20" s="452">
        <f t="shared" si="24"/>
        <v>3875952</v>
      </c>
      <c r="G20" s="315">
        <f t="shared" si="0"/>
        <v>0</v>
      </c>
      <c r="H20" s="452">
        <f t="shared" si="25"/>
        <v>17675074</v>
      </c>
      <c r="I20" s="315">
        <f t="shared" si="14"/>
        <v>0</v>
      </c>
      <c r="J20" s="452">
        <f t="shared" si="26"/>
        <v>28724752</v>
      </c>
      <c r="K20" s="315">
        <f t="shared" si="15"/>
        <v>0</v>
      </c>
      <c r="L20" s="452">
        <f t="shared" si="27"/>
        <v>23707270</v>
      </c>
      <c r="M20" s="315">
        <f t="shared" si="16"/>
        <v>0</v>
      </c>
      <c r="N20" s="313">
        <f t="shared" si="17"/>
        <v>0</v>
      </c>
      <c r="O20" s="474">
        <f t="shared" si="32"/>
        <v>0</v>
      </c>
      <c r="P20" s="452">
        <f t="shared" si="28"/>
        <v>16353</v>
      </c>
      <c r="Q20" s="456">
        <f t="shared" si="35"/>
        <v>0</v>
      </c>
      <c r="R20" s="456">
        <f t="shared" si="36"/>
        <v>0</v>
      </c>
      <c r="S20" s="452">
        <f t="shared" si="29"/>
        <v>9749</v>
      </c>
      <c r="T20" s="476">
        <f t="shared" si="3"/>
        <v>0</v>
      </c>
      <c r="U20" s="452">
        <f t="shared" si="30"/>
        <v>342794</v>
      </c>
      <c r="V20" s="456">
        <f t="shared" si="18"/>
        <v>0</v>
      </c>
      <c r="W20" s="452">
        <f t="shared" si="7"/>
        <v>32049</v>
      </c>
      <c r="X20" s="456">
        <f t="shared" si="31"/>
        <v>0</v>
      </c>
      <c r="Y20" s="452">
        <f t="shared" si="8"/>
        <v>673052</v>
      </c>
      <c r="Z20" s="456">
        <f t="shared" si="22"/>
        <v>0</v>
      </c>
      <c r="AA20" s="452">
        <f t="shared" si="9"/>
        <v>35607</v>
      </c>
      <c r="AB20" s="456">
        <f t="shared" si="19"/>
        <v>0</v>
      </c>
      <c r="AC20" s="452">
        <f t="shared" si="10"/>
        <v>899488</v>
      </c>
      <c r="AD20" s="456">
        <f t="shared" si="37"/>
        <v>0</v>
      </c>
      <c r="AE20" s="479">
        <f t="shared" si="11"/>
        <v>0</v>
      </c>
      <c r="AF20" s="480">
        <f t="shared" si="12"/>
        <v>0</v>
      </c>
      <c r="AG20" s="472">
        <f t="shared" si="33"/>
        <v>0</v>
      </c>
      <c r="AI20" s="473">
        <f>R20-'EDl log'!B18</f>
        <v>-490415</v>
      </c>
    </row>
    <row r="21" spans="1:35">
      <c r="A21" s="464">
        <f>'General information '!F24</f>
        <v>0</v>
      </c>
      <c r="B21" s="458">
        <f t="shared" si="6"/>
        <v>0</v>
      </c>
      <c r="C21" s="465">
        <v>44123</v>
      </c>
      <c r="D21" s="452">
        <f t="shared" si="23"/>
        <v>32301350</v>
      </c>
      <c r="E21" s="314">
        <f t="shared" si="13"/>
        <v>0</v>
      </c>
      <c r="F21" s="452">
        <f t="shared" si="24"/>
        <v>3875952</v>
      </c>
      <c r="G21" s="315">
        <f t="shared" si="0"/>
        <v>0</v>
      </c>
      <c r="H21" s="452">
        <f t="shared" si="25"/>
        <v>17675074</v>
      </c>
      <c r="I21" s="315">
        <f t="shared" si="14"/>
        <v>0</v>
      </c>
      <c r="J21" s="452">
        <f t="shared" si="26"/>
        <v>28724752</v>
      </c>
      <c r="K21" s="315">
        <f t="shared" si="15"/>
        <v>0</v>
      </c>
      <c r="L21" s="452">
        <f t="shared" si="27"/>
        <v>23707270</v>
      </c>
      <c r="M21" s="315">
        <f t="shared" si="16"/>
        <v>0</v>
      </c>
      <c r="N21" s="313">
        <f t="shared" si="17"/>
        <v>0</v>
      </c>
      <c r="O21" s="474">
        <f t="shared" si="32"/>
        <v>0</v>
      </c>
      <c r="P21" s="452">
        <f t="shared" si="28"/>
        <v>16353</v>
      </c>
      <c r="Q21" s="456">
        <f t="shared" si="35"/>
        <v>0</v>
      </c>
      <c r="R21" s="456">
        <f t="shared" si="36"/>
        <v>0</v>
      </c>
      <c r="S21" s="452">
        <f t="shared" si="29"/>
        <v>9749</v>
      </c>
      <c r="T21" s="476">
        <f t="shared" si="3"/>
        <v>0</v>
      </c>
      <c r="U21" s="452">
        <f t="shared" si="30"/>
        <v>342794</v>
      </c>
      <c r="V21" s="456">
        <f t="shared" si="18"/>
        <v>0</v>
      </c>
      <c r="W21" s="452">
        <f t="shared" si="7"/>
        <v>32049</v>
      </c>
      <c r="X21" s="456">
        <f t="shared" si="31"/>
        <v>0</v>
      </c>
      <c r="Y21" s="452">
        <f t="shared" si="8"/>
        <v>673052</v>
      </c>
      <c r="Z21" s="456">
        <f t="shared" si="22"/>
        <v>0</v>
      </c>
      <c r="AA21" s="452">
        <f t="shared" si="9"/>
        <v>35607</v>
      </c>
      <c r="AB21" s="456">
        <f t="shared" si="19"/>
        <v>0</v>
      </c>
      <c r="AC21" s="452">
        <f t="shared" si="10"/>
        <v>899488</v>
      </c>
      <c r="AD21" s="456">
        <f t="shared" si="37"/>
        <v>0</v>
      </c>
      <c r="AE21" s="479">
        <f t="shared" si="11"/>
        <v>0</v>
      </c>
      <c r="AF21" s="480">
        <f t="shared" si="12"/>
        <v>0</v>
      </c>
      <c r="AG21" s="472">
        <f t="shared" si="33"/>
        <v>0</v>
      </c>
      <c r="AI21" s="473">
        <f>R21-'EDl log'!B19</f>
        <v>-490415</v>
      </c>
    </row>
    <row r="22" spans="1:35">
      <c r="A22" s="464">
        <f>'General information '!F25</f>
        <v>0</v>
      </c>
      <c r="B22" s="458">
        <f t="shared" si="6"/>
        <v>0</v>
      </c>
      <c r="C22" s="465">
        <v>44124</v>
      </c>
      <c r="D22" s="452">
        <f t="shared" si="23"/>
        <v>32301350</v>
      </c>
      <c r="E22" s="314">
        <f t="shared" si="13"/>
        <v>0</v>
      </c>
      <c r="F22" s="452">
        <f t="shared" si="24"/>
        <v>3875952</v>
      </c>
      <c r="G22" s="315">
        <f t="shared" si="0"/>
        <v>0</v>
      </c>
      <c r="H22" s="452">
        <f t="shared" si="25"/>
        <v>17675074</v>
      </c>
      <c r="I22" s="315">
        <f t="shared" si="14"/>
        <v>0</v>
      </c>
      <c r="J22" s="452">
        <f t="shared" si="26"/>
        <v>28724752</v>
      </c>
      <c r="K22" s="315">
        <f t="shared" si="15"/>
        <v>0</v>
      </c>
      <c r="L22" s="452">
        <f t="shared" si="27"/>
        <v>23707270</v>
      </c>
      <c r="M22" s="315">
        <f t="shared" si="16"/>
        <v>0</v>
      </c>
      <c r="N22" s="313">
        <f t="shared" si="17"/>
        <v>0</v>
      </c>
      <c r="O22" s="474">
        <f t="shared" si="32"/>
        <v>0</v>
      </c>
      <c r="P22" s="452">
        <f t="shared" si="28"/>
        <v>16353</v>
      </c>
      <c r="Q22" s="456">
        <f t="shared" si="35"/>
        <v>0</v>
      </c>
      <c r="R22" s="456">
        <f t="shared" si="36"/>
        <v>0</v>
      </c>
      <c r="S22" s="452">
        <f t="shared" si="29"/>
        <v>9749</v>
      </c>
      <c r="T22" s="476">
        <f t="shared" si="3"/>
        <v>0</v>
      </c>
      <c r="U22" s="452">
        <f t="shared" si="30"/>
        <v>342794</v>
      </c>
      <c r="V22" s="456">
        <f t="shared" si="18"/>
        <v>0</v>
      </c>
      <c r="W22" s="452">
        <f t="shared" si="7"/>
        <v>32049</v>
      </c>
      <c r="X22" s="456">
        <f t="shared" si="31"/>
        <v>0</v>
      </c>
      <c r="Y22" s="452">
        <f t="shared" si="8"/>
        <v>673052</v>
      </c>
      <c r="Z22" s="456">
        <f t="shared" si="22"/>
        <v>0</v>
      </c>
      <c r="AA22" s="452">
        <f t="shared" si="9"/>
        <v>35607</v>
      </c>
      <c r="AB22" s="456">
        <f t="shared" si="19"/>
        <v>0</v>
      </c>
      <c r="AC22" s="452">
        <f t="shared" si="10"/>
        <v>899488</v>
      </c>
      <c r="AD22" s="456">
        <f t="shared" si="37"/>
        <v>0</v>
      </c>
      <c r="AE22" s="479">
        <f t="shared" si="11"/>
        <v>0</v>
      </c>
      <c r="AF22" s="480">
        <f t="shared" si="12"/>
        <v>0</v>
      </c>
      <c r="AG22" s="472">
        <f t="shared" si="33"/>
        <v>0</v>
      </c>
      <c r="AI22" s="473">
        <f>R22-'EDl log'!B20</f>
        <v>-490415</v>
      </c>
    </row>
    <row r="23" spans="1:35">
      <c r="A23" s="464">
        <f>'General information '!F26</f>
        <v>0</v>
      </c>
      <c r="B23" s="458">
        <f t="shared" si="6"/>
        <v>0</v>
      </c>
      <c r="C23" s="465">
        <v>44125</v>
      </c>
      <c r="D23" s="452">
        <f t="shared" si="23"/>
        <v>32301350</v>
      </c>
      <c r="E23" s="314">
        <f t="shared" si="13"/>
        <v>0</v>
      </c>
      <c r="F23" s="452">
        <f t="shared" si="24"/>
        <v>3875952</v>
      </c>
      <c r="G23" s="315">
        <f t="shared" si="0"/>
        <v>0</v>
      </c>
      <c r="H23" s="452">
        <f t="shared" si="25"/>
        <v>17675074</v>
      </c>
      <c r="I23" s="445">
        <f t="shared" si="14"/>
        <v>0</v>
      </c>
      <c r="J23" s="452">
        <f t="shared" si="26"/>
        <v>28724752</v>
      </c>
      <c r="K23" s="315">
        <f t="shared" si="15"/>
        <v>0</v>
      </c>
      <c r="L23" s="452">
        <f t="shared" si="27"/>
        <v>23707270</v>
      </c>
      <c r="M23" s="315">
        <f t="shared" si="16"/>
        <v>0</v>
      </c>
      <c r="N23" s="313">
        <f t="shared" si="17"/>
        <v>0</v>
      </c>
      <c r="O23" s="474">
        <f t="shared" si="32"/>
        <v>0</v>
      </c>
      <c r="P23" s="452">
        <f t="shared" si="28"/>
        <v>16353</v>
      </c>
      <c r="Q23" s="456">
        <f t="shared" si="35"/>
        <v>0</v>
      </c>
      <c r="R23" s="456">
        <f t="shared" si="36"/>
        <v>0</v>
      </c>
      <c r="S23" s="452">
        <f t="shared" si="29"/>
        <v>9749</v>
      </c>
      <c r="T23" s="476">
        <f t="shared" si="3"/>
        <v>0</v>
      </c>
      <c r="U23" s="452">
        <f t="shared" si="30"/>
        <v>342794</v>
      </c>
      <c r="V23" s="456">
        <f t="shared" si="18"/>
        <v>0</v>
      </c>
      <c r="W23" s="452">
        <f t="shared" si="7"/>
        <v>32049</v>
      </c>
      <c r="X23" s="456">
        <f t="shared" si="31"/>
        <v>0</v>
      </c>
      <c r="Y23" s="452">
        <f t="shared" si="8"/>
        <v>673052</v>
      </c>
      <c r="Z23" s="456">
        <f t="shared" si="22"/>
        <v>0</v>
      </c>
      <c r="AA23" s="452">
        <f t="shared" si="9"/>
        <v>35607</v>
      </c>
      <c r="AB23" s="456">
        <f t="shared" si="19"/>
        <v>0</v>
      </c>
      <c r="AC23" s="452">
        <f t="shared" si="10"/>
        <v>899488</v>
      </c>
      <c r="AD23" s="456">
        <f t="shared" si="37"/>
        <v>0</v>
      </c>
      <c r="AE23" s="479">
        <f t="shared" si="11"/>
        <v>0</v>
      </c>
      <c r="AF23" s="480">
        <f t="shared" si="12"/>
        <v>0</v>
      </c>
      <c r="AG23" s="472">
        <f t="shared" si="33"/>
        <v>0</v>
      </c>
      <c r="AI23" s="473">
        <f>R23-'EDl log'!B21</f>
        <v>-490415</v>
      </c>
    </row>
    <row r="24" spans="1:35">
      <c r="A24" s="464">
        <f>'General information '!F27</f>
        <v>0</v>
      </c>
      <c r="B24" s="458">
        <f t="shared" si="6"/>
        <v>0</v>
      </c>
      <c r="C24" s="465">
        <v>44126</v>
      </c>
      <c r="D24" s="452">
        <f t="shared" si="23"/>
        <v>32301350</v>
      </c>
      <c r="E24" s="314">
        <f t="shared" si="13"/>
        <v>0</v>
      </c>
      <c r="F24" s="452">
        <f t="shared" si="24"/>
        <v>3875952</v>
      </c>
      <c r="G24" s="315">
        <f t="shared" si="0"/>
        <v>0</v>
      </c>
      <c r="H24" s="452">
        <f t="shared" si="25"/>
        <v>17675074</v>
      </c>
      <c r="I24" s="315">
        <f t="shared" si="14"/>
        <v>0</v>
      </c>
      <c r="J24" s="452">
        <f t="shared" si="26"/>
        <v>28724752</v>
      </c>
      <c r="K24" s="315">
        <f t="shared" si="15"/>
        <v>0</v>
      </c>
      <c r="L24" s="452">
        <f t="shared" si="27"/>
        <v>23707270</v>
      </c>
      <c r="M24" s="315">
        <f t="shared" si="16"/>
        <v>0</v>
      </c>
      <c r="N24" s="313">
        <f t="shared" si="17"/>
        <v>0</v>
      </c>
      <c r="O24" s="474">
        <f t="shared" si="32"/>
        <v>0</v>
      </c>
      <c r="P24" s="452">
        <f t="shared" si="28"/>
        <v>16353</v>
      </c>
      <c r="Q24" s="456">
        <f t="shared" si="35"/>
        <v>0</v>
      </c>
      <c r="R24" s="456">
        <f t="shared" si="36"/>
        <v>0</v>
      </c>
      <c r="S24" s="452">
        <f t="shared" si="29"/>
        <v>9749</v>
      </c>
      <c r="T24" s="476">
        <f t="shared" si="3"/>
        <v>0</v>
      </c>
      <c r="U24" s="452">
        <f t="shared" si="30"/>
        <v>342794</v>
      </c>
      <c r="V24" s="456">
        <f t="shared" si="18"/>
        <v>0</v>
      </c>
      <c r="W24" s="452">
        <f t="shared" si="7"/>
        <v>32049</v>
      </c>
      <c r="X24" s="456">
        <f t="shared" si="31"/>
        <v>0</v>
      </c>
      <c r="Y24" s="452">
        <f t="shared" si="8"/>
        <v>673052</v>
      </c>
      <c r="Z24" s="456">
        <f t="shared" si="22"/>
        <v>0</v>
      </c>
      <c r="AA24" s="452">
        <f t="shared" si="9"/>
        <v>35607</v>
      </c>
      <c r="AB24" s="456">
        <f t="shared" si="19"/>
        <v>0</v>
      </c>
      <c r="AC24" s="452">
        <f t="shared" si="10"/>
        <v>899488</v>
      </c>
      <c r="AD24" s="456">
        <f t="shared" si="37"/>
        <v>0</v>
      </c>
      <c r="AE24" s="479">
        <f t="shared" si="11"/>
        <v>0</v>
      </c>
      <c r="AF24" s="480">
        <f t="shared" si="12"/>
        <v>0</v>
      </c>
      <c r="AG24" s="472">
        <f t="shared" si="33"/>
        <v>0</v>
      </c>
      <c r="AI24" s="473">
        <f>R24-'EDl log'!B22</f>
        <v>-490415</v>
      </c>
    </row>
    <row r="25" spans="1:35">
      <c r="A25" s="464">
        <f>'General information '!F28</f>
        <v>0</v>
      </c>
      <c r="B25" s="458">
        <f t="shared" si="6"/>
        <v>0</v>
      </c>
      <c r="C25" s="465">
        <v>44127</v>
      </c>
      <c r="D25" s="452">
        <f t="shared" si="23"/>
        <v>32301350</v>
      </c>
      <c r="E25" s="314">
        <f t="shared" si="13"/>
        <v>0</v>
      </c>
      <c r="F25" s="452">
        <f t="shared" si="24"/>
        <v>3875952</v>
      </c>
      <c r="G25" s="315">
        <f t="shared" si="0"/>
        <v>0</v>
      </c>
      <c r="H25" s="452">
        <f t="shared" si="25"/>
        <v>17675074</v>
      </c>
      <c r="I25" s="315">
        <f t="shared" si="14"/>
        <v>0</v>
      </c>
      <c r="J25" s="452">
        <f t="shared" si="26"/>
        <v>28724752</v>
      </c>
      <c r="K25" s="315">
        <f t="shared" si="15"/>
        <v>0</v>
      </c>
      <c r="L25" s="452">
        <f t="shared" si="27"/>
        <v>23707270</v>
      </c>
      <c r="M25" s="315">
        <f t="shared" si="16"/>
        <v>0</v>
      </c>
      <c r="N25" s="313">
        <f t="shared" si="17"/>
        <v>0</v>
      </c>
      <c r="O25" s="474">
        <f t="shared" si="32"/>
        <v>0</v>
      </c>
      <c r="P25" s="452">
        <f t="shared" si="28"/>
        <v>16353</v>
      </c>
      <c r="Q25" s="456">
        <f t="shared" si="35"/>
        <v>0</v>
      </c>
      <c r="R25" s="456">
        <f t="shared" si="36"/>
        <v>0</v>
      </c>
      <c r="S25" s="452">
        <f t="shared" si="29"/>
        <v>9749</v>
      </c>
      <c r="T25" s="476">
        <f t="shared" si="3"/>
        <v>0</v>
      </c>
      <c r="U25" s="452">
        <f t="shared" si="30"/>
        <v>342794</v>
      </c>
      <c r="V25" s="456">
        <f t="shared" si="18"/>
        <v>0</v>
      </c>
      <c r="W25" s="452">
        <f t="shared" si="7"/>
        <v>32049</v>
      </c>
      <c r="X25" s="456">
        <f t="shared" si="31"/>
        <v>0</v>
      </c>
      <c r="Y25" s="452">
        <f t="shared" si="8"/>
        <v>673052</v>
      </c>
      <c r="Z25" s="456">
        <f t="shared" si="22"/>
        <v>0</v>
      </c>
      <c r="AA25" s="452">
        <f t="shared" si="9"/>
        <v>35607</v>
      </c>
      <c r="AB25" s="456">
        <f t="shared" si="19"/>
        <v>0</v>
      </c>
      <c r="AC25" s="452">
        <f t="shared" si="10"/>
        <v>899488</v>
      </c>
      <c r="AD25" s="456">
        <f t="shared" si="37"/>
        <v>0</v>
      </c>
      <c r="AE25" s="479">
        <f t="shared" si="11"/>
        <v>0</v>
      </c>
      <c r="AF25" s="480">
        <f t="shared" si="12"/>
        <v>0</v>
      </c>
      <c r="AG25" s="472">
        <f t="shared" si="33"/>
        <v>0</v>
      </c>
      <c r="AI25" s="473">
        <f>R25-'EDl log'!B23</f>
        <v>-490415</v>
      </c>
    </row>
    <row r="26" spans="1:35">
      <c r="A26" s="464">
        <f>'General information '!F29</f>
        <v>0</v>
      </c>
      <c r="B26" s="458">
        <f t="shared" si="6"/>
        <v>0</v>
      </c>
      <c r="C26" s="465">
        <v>44128</v>
      </c>
      <c r="D26" s="452">
        <f t="shared" si="23"/>
        <v>32301350</v>
      </c>
      <c r="E26" s="314">
        <f t="shared" si="13"/>
        <v>0</v>
      </c>
      <c r="F26" s="452">
        <f t="shared" si="24"/>
        <v>3875952</v>
      </c>
      <c r="G26" s="315">
        <f t="shared" si="0"/>
        <v>0</v>
      </c>
      <c r="H26" s="452">
        <f t="shared" si="25"/>
        <v>17675074</v>
      </c>
      <c r="I26" s="315">
        <f t="shared" si="14"/>
        <v>0</v>
      </c>
      <c r="J26" s="452">
        <f t="shared" si="26"/>
        <v>28724752</v>
      </c>
      <c r="K26" s="315">
        <f t="shared" si="15"/>
        <v>0</v>
      </c>
      <c r="L26" s="452">
        <f t="shared" si="27"/>
        <v>23707270</v>
      </c>
      <c r="M26" s="315">
        <f t="shared" si="16"/>
        <v>0</v>
      </c>
      <c r="N26" s="313">
        <f t="shared" si="17"/>
        <v>0</v>
      </c>
      <c r="O26" s="474">
        <f t="shared" si="32"/>
        <v>0</v>
      </c>
      <c r="P26" s="452">
        <f t="shared" si="28"/>
        <v>16353</v>
      </c>
      <c r="Q26" s="456">
        <f t="shared" si="35"/>
        <v>0</v>
      </c>
      <c r="R26" s="456">
        <f t="shared" si="36"/>
        <v>0</v>
      </c>
      <c r="S26" s="452">
        <f t="shared" si="29"/>
        <v>9749</v>
      </c>
      <c r="T26" s="476">
        <f t="shared" si="3"/>
        <v>0</v>
      </c>
      <c r="U26" s="452">
        <f t="shared" si="30"/>
        <v>342794</v>
      </c>
      <c r="V26" s="456">
        <f t="shared" si="18"/>
        <v>0</v>
      </c>
      <c r="W26" s="452">
        <f t="shared" si="7"/>
        <v>32049</v>
      </c>
      <c r="X26" s="456">
        <f t="shared" si="31"/>
        <v>0</v>
      </c>
      <c r="Y26" s="452">
        <f t="shared" si="8"/>
        <v>673052</v>
      </c>
      <c r="Z26" s="456">
        <f t="shared" si="22"/>
        <v>0</v>
      </c>
      <c r="AA26" s="452">
        <f t="shared" si="9"/>
        <v>35607</v>
      </c>
      <c r="AB26" s="456">
        <f t="shared" si="19"/>
        <v>0</v>
      </c>
      <c r="AC26" s="452">
        <f t="shared" si="10"/>
        <v>899488</v>
      </c>
      <c r="AD26" s="456">
        <f t="shared" si="37"/>
        <v>0</v>
      </c>
      <c r="AE26" s="479">
        <f t="shared" si="11"/>
        <v>0</v>
      </c>
      <c r="AF26" s="480">
        <f t="shared" si="12"/>
        <v>0</v>
      </c>
      <c r="AG26" s="472">
        <f t="shared" si="33"/>
        <v>0</v>
      </c>
      <c r="AI26" s="473">
        <f>R26-'EDl log'!B24</f>
        <v>-490415</v>
      </c>
    </row>
    <row r="27" spans="1:35">
      <c r="A27" s="464">
        <f>'General information '!F30</f>
        <v>0</v>
      </c>
      <c r="B27" s="458">
        <f t="shared" si="6"/>
        <v>0</v>
      </c>
      <c r="C27" s="465">
        <v>44129</v>
      </c>
      <c r="D27" s="452">
        <f t="shared" si="23"/>
        <v>32301350</v>
      </c>
      <c r="E27" s="314">
        <f t="shared" si="13"/>
        <v>0</v>
      </c>
      <c r="F27" s="452">
        <f t="shared" si="24"/>
        <v>3875952</v>
      </c>
      <c r="G27" s="315">
        <f>F27-F26</f>
        <v>0</v>
      </c>
      <c r="H27" s="452">
        <f t="shared" si="25"/>
        <v>17675074</v>
      </c>
      <c r="I27" s="315">
        <f t="shared" si="14"/>
        <v>0</v>
      </c>
      <c r="J27" s="452">
        <f t="shared" si="26"/>
        <v>28724752</v>
      </c>
      <c r="K27" s="315">
        <f t="shared" si="15"/>
        <v>0</v>
      </c>
      <c r="L27" s="452">
        <f t="shared" si="27"/>
        <v>23707270</v>
      </c>
      <c r="M27" s="315">
        <f t="shared" si="16"/>
        <v>0</v>
      </c>
      <c r="N27" s="313">
        <f t="shared" si="17"/>
        <v>0</v>
      </c>
      <c r="O27" s="474">
        <f t="shared" si="32"/>
        <v>0</v>
      </c>
      <c r="P27" s="452">
        <f t="shared" si="28"/>
        <v>16353</v>
      </c>
      <c r="Q27" s="456">
        <f t="shared" si="35"/>
        <v>0</v>
      </c>
      <c r="R27" s="456">
        <f t="shared" si="36"/>
        <v>0</v>
      </c>
      <c r="S27" s="452">
        <f t="shared" si="29"/>
        <v>9749</v>
      </c>
      <c r="T27" s="476">
        <f t="shared" si="3"/>
        <v>0</v>
      </c>
      <c r="U27" s="452">
        <f t="shared" si="30"/>
        <v>342794</v>
      </c>
      <c r="V27" s="456">
        <f t="shared" si="18"/>
        <v>0</v>
      </c>
      <c r="W27" s="452">
        <f t="shared" si="7"/>
        <v>32049</v>
      </c>
      <c r="X27" s="456">
        <f t="shared" si="31"/>
        <v>0</v>
      </c>
      <c r="Y27" s="452">
        <f t="shared" si="8"/>
        <v>673052</v>
      </c>
      <c r="Z27" s="456">
        <f t="shared" si="22"/>
        <v>0</v>
      </c>
      <c r="AA27" s="452">
        <f t="shared" si="9"/>
        <v>35607</v>
      </c>
      <c r="AB27" s="456">
        <f t="shared" si="19"/>
        <v>0</v>
      </c>
      <c r="AC27" s="452">
        <f t="shared" si="10"/>
        <v>899488</v>
      </c>
      <c r="AD27" s="456">
        <f t="shared" si="37"/>
        <v>0</v>
      </c>
      <c r="AE27" s="479">
        <f t="shared" si="11"/>
        <v>0</v>
      </c>
      <c r="AF27" s="480">
        <f t="shared" si="12"/>
        <v>0</v>
      </c>
      <c r="AG27" s="472">
        <f t="shared" si="33"/>
        <v>0</v>
      </c>
      <c r="AI27" s="473">
        <f>R27-'EDl log'!B25</f>
        <v>-490415</v>
      </c>
    </row>
    <row r="28" spans="1:35">
      <c r="A28" s="464">
        <f>'General information '!F31</f>
        <v>0</v>
      </c>
      <c r="B28" s="458">
        <f t="shared" si="6"/>
        <v>0</v>
      </c>
      <c r="C28" s="465">
        <v>44130</v>
      </c>
      <c r="D28" s="452">
        <f t="shared" si="23"/>
        <v>32301350</v>
      </c>
      <c r="E28" s="314">
        <f t="shared" si="13"/>
        <v>0</v>
      </c>
      <c r="F28" s="452">
        <f t="shared" si="24"/>
        <v>3875952</v>
      </c>
      <c r="G28" s="315">
        <f t="shared" si="0"/>
        <v>0</v>
      </c>
      <c r="H28" s="452">
        <f t="shared" si="25"/>
        <v>17675074</v>
      </c>
      <c r="I28" s="315">
        <f t="shared" si="14"/>
        <v>0</v>
      </c>
      <c r="J28" s="452">
        <f t="shared" si="26"/>
        <v>28724752</v>
      </c>
      <c r="K28" s="315">
        <f t="shared" si="15"/>
        <v>0</v>
      </c>
      <c r="L28" s="452">
        <f t="shared" si="27"/>
        <v>23707270</v>
      </c>
      <c r="M28" s="315">
        <f t="shared" si="16"/>
        <v>0</v>
      </c>
      <c r="N28" s="313">
        <f t="shared" si="17"/>
        <v>0</v>
      </c>
      <c r="O28" s="474">
        <f t="shared" si="32"/>
        <v>0</v>
      </c>
      <c r="P28" s="452">
        <f t="shared" si="28"/>
        <v>16353</v>
      </c>
      <c r="Q28" s="456">
        <f t="shared" si="35"/>
        <v>0</v>
      </c>
      <c r="R28" s="456">
        <f t="shared" si="36"/>
        <v>0</v>
      </c>
      <c r="S28" s="452">
        <f t="shared" si="29"/>
        <v>9749</v>
      </c>
      <c r="T28" s="476">
        <f t="shared" si="3"/>
        <v>0</v>
      </c>
      <c r="U28" s="452">
        <f t="shared" si="30"/>
        <v>342794</v>
      </c>
      <c r="V28" s="456">
        <f t="shared" si="18"/>
        <v>0</v>
      </c>
      <c r="W28" s="452">
        <f t="shared" si="7"/>
        <v>32049</v>
      </c>
      <c r="X28" s="456">
        <f t="shared" si="31"/>
        <v>0</v>
      </c>
      <c r="Y28" s="452">
        <f t="shared" si="8"/>
        <v>673052</v>
      </c>
      <c r="Z28" s="456">
        <f t="shared" si="22"/>
        <v>0</v>
      </c>
      <c r="AA28" s="452">
        <f t="shared" si="9"/>
        <v>35607</v>
      </c>
      <c r="AB28" s="456">
        <f t="shared" si="19"/>
        <v>0</v>
      </c>
      <c r="AC28" s="452">
        <f t="shared" si="10"/>
        <v>899488</v>
      </c>
      <c r="AD28" s="456">
        <f t="shared" si="37"/>
        <v>0</v>
      </c>
      <c r="AE28" s="479">
        <f t="shared" si="11"/>
        <v>0</v>
      </c>
      <c r="AF28" s="480">
        <f t="shared" si="12"/>
        <v>0</v>
      </c>
      <c r="AG28" s="472">
        <f t="shared" si="33"/>
        <v>0</v>
      </c>
      <c r="AI28" s="473">
        <f>R28-'EDl log'!B26</f>
        <v>-490415</v>
      </c>
    </row>
    <row r="29" spans="1:35">
      <c r="A29" s="464">
        <f>'General information '!F32</f>
        <v>0</v>
      </c>
      <c r="B29" s="458">
        <f>SUM(230*A29)</f>
        <v>0</v>
      </c>
      <c r="C29" s="465">
        <v>44131</v>
      </c>
      <c r="D29" s="452">
        <f t="shared" si="23"/>
        <v>32301350</v>
      </c>
      <c r="E29" s="314">
        <f t="shared" si="13"/>
        <v>0</v>
      </c>
      <c r="F29" s="452">
        <f t="shared" si="24"/>
        <v>3875952</v>
      </c>
      <c r="G29" s="315">
        <f t="shared" si="0"/>
        <v>0</v>
      </c>
      <c r="H29" s="452">
        <f t="shared" si="25"/>
        <v>17675074</v>
      </c>
      <c r="I29" s="315">
        <f t="shared" si="14"/>
        <v>0</v>
      </c>
      <c r="J29" s="452">
        <f t="shared" si="26"/>
        <v>28724752</v>
      </c>
      <c r="K29" s="315">
        <f t="shared" si="15"/>
        <v>0</v>
      </c>
      <c r="L29" s="452">
        <f t="shared" si="27"/>
        <v>23707270</v>
      </c>
      <c r="M29" s="315">
        <f t="shared" si="16"/>
        <v>0</v>
      </c>
      <c r="N29" s="313">
        <f t="shared" si="17"/>
        <v>0</v>
      </c>
      <c r="O29" s="474">
        <f t="shared" si="32"/>
        <v>0</v>
      </c>
      <c r="P29" s="452">
        <f t="shared" si="28"/>
        <v>16353</v>
      </c>
      <c r="Q29" s="456">
        <f t="shared" si="35"/>
        <v>0</v>
      </c>
      <c r="R29" s="456">
        <f t="shared" si="36"/>
        <v>0</v>
      </c>
      <c r="S29" s="452">
        <f t="shared" si="29"/>
        <v>9749</v>
      </c>
      <c r="T29" s="476">
        <f t="shared" si="3"/>
        <v>0</v>
      </c>
      <c r="U29" s="452">
        <f t="shared" si="30"/>
        <v>342794</v>
      </c>
      <c r="V29" s="456">
        <f t="shared" si="18"/>
        <v>0</v>
      </c>
      <c r="W29" s="452">
        <f>W28</f>
        <v>32049</v>
      </c>
      <c r="X29" s="456">
        <f t="shared" si="31"/>
        <v>0</v>
      </c>
      <c r="Y29" s="452">
        <f t="shared" si="8"/>
        <v>673052</v>
      </c>
      <c r="Z29" s="456">
        <f t="shared" si="22"/>
        <v>0</v>
      </c>
      <c r="AA29" s="452">
        <f t="shared" si="9"/>
        <v>35607</v>
      </c>
      <c r="AB29" s="456">
        <f t="shared" si="19"/>
        <v>0</v>
      </c>
      <c r="AC29" s="452">
        <f t="shared" si="10"/>
        <v>899488</v>
      </c>
      <c r="AD29" s="456">
        <f t="shared" si="37"/>
        <v>0</v>
      </c>
      <c r="AE29" s="479">
        <f t="shared" si="11"/>
        <v>0</v>
      </c>
      <c r="AF29" s="480">
        <f t="shared" si="12"/>
        <v>0</v>
      </c>
      <c r="AG29" s="472">
        <f t="shared" si="33"/>
        <v>0</v>
      </c>
      <c r="AI29" s="473">
        <f>R29-'EDl log'!B27</f>
        <v>-490415</v>
      </c>
    </row>
    <row r="30" spans="1:35">
      <c r="A30" s="464">
        <f>'General information '!F33</f>
        <v>0</v>
      </c>
      <c r="B30" s="458">
        <f t="shared" si="6"/>
        <v>0</v>
      </c>
      <c r="C30" s="465">
        <v>44132</v>
      </c>
      <c r="D30" s="452">
        <f t="shared" si="23"/>
        <v>32301350</v>
      </c>
      <c r="E30" s="314">
        <f t="shared" si="13"/>
        <v>0</v>
      </c>
      <c r="F30" s="452">
        <f t="shared" si="24"/>
        <v>3875952</v>
      </c>
      <c r="G30" s="315">
        <f t="shared" si="0"/>
        <v>0</v>
      </c>
      <c r="H30" s="452">
        <f t="shared" si="25"/>
        <v>17675074</v>
      </c>
      <c r="I30" s="315">
        <f t="shared" si="14"/>
        <v>0</v>
      </c>
      <c r="J30" s="452">
        <f t="shared" si="26"/>
        <v>28724752</v>
      </c>
      <c r="K30" s="315">
        <f t="shared" si="15"/>
        <v>0</v>
      </c>
      <c r="L30" s="452">
        <f t="shared" si="27"/>
        <v>23707270</v>
      </c>
      <c r="M30" s="315">
        <f t="shared" si="16"/>
        <v>0</v>
      </c>
      <c r="N30" s="313">
        <f t="shared" si="17"/>
        <v>0</v>
      </c>
      <c r="O30" s="474">
        <f t="shared" si="32"/>
        <v>0</v>
      </c>
      <c r="P30" s="452">
        <f t="shared" si="28"/>
        <v>16353</v>
      </c>
      <c r="Q30" s="456">
        <f t="shared" si="35"/>
        <v>0</v>
      </c>
      <c r="R30" s="456">
        <f t="shared" si="36"/>
        <v>0</v>
      </c>
      <c r="S30" s="452">
        <f t="shared" si="29"/>
        <v>9749</v>
      </c>
      <c r="T30" s="476">
        <f t="shared" si="3"/>
        <v>0</v>
      </c>
      <c r="U30" s="452">
        <f t="shared" si="30"/>
        <v>342794</v>
      </c>
      <c r="V30" s="456">
        <f t="shared" si="18"/>
        <v>0</v>
      </c>
      <c r="W30" s="452">
        <f t="shared" si="7"/>
        <v>32049</v>
      </c>
      <c r="X30" s="477">
        <f t="shared" si="31"/>
        <v>0</v>
      </c>
      <c r="Y30" s="452">
        <f t="shared" si="8"/>
        <v>673052</v>
      </c>
      <c r="Z30" s="456">
        <f t="shared" si="22"/>
        <v>0</v>
      </c>
      <c r="AA30" s="452">
        <f t="shared" si="9"/>
        <v>35607</v>
      </c>
      <c r="AB30" s="456">
        <f t="shared" si="19"/>
        <v>0</v>
      </c>
      <c r="AC30" s="452">
        <f t="shared" si="10"/>
        <v>899488</v>
      </c>
      <c r="AD30" s="456">
        <f t="shared" si="37"/>
        <v>0</v>
      </c>
      <c r="AE30" s="479">
        <f t="shared" si="11"/>
        <v>0</v>
      </c>
      <c r="AF30" s="480">
        <f t="shared" si="12"/>
        <v>0</v>
      </c>
      <c r="AG30" s="472">
        <f t="shared" si="33"/>
        <v>0</v>
      </c>
      <c r="AI30" s="473">
        <f>R30-'EDl log'!B28</f>
        <v>-490415</v>
      </c>
    </row>
    <row r="31" spans="1:35">
      <c r="A31" s="464">
        <f>'General information '!F34</f>
        <v>0</v>
      </c>
      <c r="B31" s="458">
        <f t="shared" si="6"/>
        <v>0</v>
      </c>
      <c r="C31" s="465">
        <v>44133</v>
      </c>
      <c r="D31" s="452">
        <f t="shared" si="23"/>
        <v>32301350</v>
      </c>
      <c r="E31" s="314">
        <f t="shared" si="13"/>
        <v>0</v>
      </c>
      <c r="F31" s="452">
        <f t="shared" si="24"/>
        <v>3875952</v>
      </c>
      <c r="G31" s="315">
        <f t="shared" si="0"/>
        <v>0</v>
      </c>
      <c r="H31" s="452">
        <f t="shared" si="25"/>
        <v>17675074</v>
      </c>
      <c r="I31" s="315">
        <f t="shared" si="14"/>
        <v>0</v>
      </c>
      <c r="J31" s="452">
        <f t="shared" si="26"/>
        <v>28724752</v>
      </c>
      <c r="K31" s="315">
        <f t="shared" si="15"/>
        <v>0</v>
      </c>
      <c r="L31" s="452">
        <f t="shared" si="27"/>
        <v>23707270</v>
      </c>
      <c r="M31" s="315">
        <f t="shared" si="16"/>
        <v>0</v>
      </c>
      <c r="N31" s="313">
        <f t="shared" si="17"/>
        <v>0</v>
      </c>
      <c r="O31" s="474">
        <f t="shared" si="32"/>
        <v>0</v>
      </c>
      <c r="P31" s="452">
        <f t="shared" si="28"/>
        <v>16353</v>
      </c>
      <c r="Q31" s="456">
        <f t="shared" si="35"/>
        <v>0</v>
      </c>
      <c r="R31" s="456">
        <f t="shared" si="36"/>
        <v>0</v>
      </c>
      <c r="S31" s="452">
        <f t="shared" si="29"/>
        <v>9749</v>
      </c>
      <c r="T31" s="476">
        <f t="shared" si="3"/>
        <v>0</v>
      </c>
      <c r="U31" s="452">
        <f t="shared" si="30"/>
        <v>342794</v>
      </c>
      <c r="V31" s="456">
        <f t="shared" si="18"/>
        <v>0</v>
      </c>
      <c r="W31" s="452">
        <f t="shared" si="7"/>
        <v>32049</v>
      </c>
      <c r="X31" s="477">
        <f t="shared" si="31"/>
        <v>0</v>
      </c>
      <c r="Y31" s="452">
        <f t="shared" si="8"/>
        <v>673052</v>
      </c>
      <c r="Z31" s="478">
        <f>Y31-Y30</f>
        <v>0</v>
      </c>
      <c r="AA31" s="452">
        <f t="shared" si="9"/>
        <v>35607</v>
      </c>
      <c r="AB31" s="456">
        <f t="shared" si="19"/>
        <v>0</v>
      </c>
      <c r="AC31" s="452">
        <f t="shared" si="10"/>
        <v>899488</v>
      </c>
      <c r="AD31" s="456">
        <f t="shared" si="37"/>
        <v>0</v>
      </c>
      <c r="AE31" s="479">
        <f t="shared" si="11"/>
        <v>0</v>
      </c>
      <c r="AF31" s="480">
        <f t="shared" si="12"/>
        <v>0</v>
      </c>
      <c r="AG31" s="472">
        <f t="shared" si="33"/>
        <v>0</v>
      </c>
      <c r="AI31" s="473">
        <f>R31-'EDl log'!B29</f>
        <v>-490415</v>
      </c>
    </row>
    <row r="32" spans="1:35">
      <c r="A32" s="464">
        <f>'General information '!F35</f>
        <v>0</v>
      </c>
      <c r="B32" s="458">
        <f>SUM(230*A32)</f>
        <v>0</v>
      </c>
      <c r="C32" s="465">
        <v>44134</v>
      </c>
      <c r="D32" s="452">
        <f t="shared" si="23"/>
        <v>32301350</v>
      </c>
      <c r="E32" s="314">
        <f t="shared" si="13"/>
        <v>0</v>
      </c>
      <c r="F32" s="452">
        <f t="shared" si="24"/>
        <v>3875952</v>
      </c>
      <c r="G32" s="315">
        <f>F32-F31</f>
        <v>0</v>
      </c>
      <c r="H32" s="452">
        <f t="shared" si="25"/>
        <v>17675074</v>
      </c>
      <c r="I32" s="315">
        <f>H32-H31</f>
        <v>0</v>
      </c>
      <c r="J32" s="452">
        <f t="shared" si="26"/>
        <v>28724752</v>
      </c>
      <c r="K32" s="315">
        <f>J32-J31</f>
        <v>0</v>
      </c>
      <c r="L32" s="452">
        <f t="shared" si="27"/>
        <v>23707270</v>
      </c>
      <c r="M32" s="315">
        <f>L32-L31</f>
        <v>0</v>
      </c>
      <c r="N32" s="313">
        <f>M32+K32+I32+G32+E32</f>
        <v>0</v>
      </c>
      <c r="O32" s="474">
        <f t="shared" si="32"/>
        <v>0</v>
      </c>
      <c r="P32" s="452">
        <f t="shared" si="28"/>
        <v>16353</v>
      </c>
      <c r="Q32" s="456">
        <f t="shared" si="35"/>
        <v>0</v>
      </c>
      <c r="R32" s="456">
        <f t="shared" si="36"/>
        <v>0</v>
      </c>
      <c r="S32" s="452">
        <f t="shared" si="29"/>
        <v>9749</v>
      </c>
      <c r="T32" s="476">
        <f t="shared" si="3"/>
        <v>0</v>
      </c>
      <c r="U32" s="452">
        <f t="shared" si="30"/>
        <v>342794</v>
      </c>
      <c r="V32" s="456">
        <f t="shared" si="18"/>
        <v>0</v>
      </c>
      <c r="W32" s="452">
        <f t="shared" si="7"/>
        <v>32049</v>
      </c>
      <c r="X32" s="456">
        <f t="shared" si="31"/>
        <v>0</v>
      </c>
      <c r="Y32" s="452">
        <f t="shared" si="8"/>
        <v>673052</v>
      </c>
      <c r="Z32" s="478">
        <f>Y32-Y31</f>
        <v>0</v>
      </c>
      <c r="AA32" s="452">
        <f t="shared" si="9"/>
        <v>35607</v>
      </c>
      <c r="AB32" s="456">
        <f t="shared" si="19"/>
        <v>0</v>
      </c>
      <c r="AC32" s="452">
        <f t="shared" si="10"/>
        <v>899488</v>
      </c>
      <c r="AD32" s="456">
        <f t="shared" si="37"/>
        <v>0</v>
      </c>
      <c r="AE32" s="479">
        <f t="shared" si="11"/>
        <v>0</v>
      </c>
      <c r="AF32" s="480">
        <f>V32+Z32+AD32</f>
        <v>0</v>
      </c>
      <c r="AG32" s="472">
        <f t="shared" si="33"/>
        <v>0</v>
      </c>
      <c r="AI32" s="473">
        <f>R32-'EDl log'!B30</f>
        <v>-490415</v>
      </c>
    </row>
    <row r="33" spans="1:35">
      <c r="A33" s="464">
        <f>'General information '!F36</f>
        <v>0</v>
      </c>
      <c r="B33" s="458">
        <f>SUM(230*A33)</f>
        <v>0</v>
      </c>
      <c r="C33" s="465">
        <v>44135</v>
      </c>
      <c r="D33" s="452">
        <f t="shared" si="23"/>
        <v>32301350</v>
      </c>
      <c r="E33" s="314">
        <f t="shared" ref="E33" si="38">D33-D32</f>
        <v>0</v>
      </c>
      <c r="F33" s="452">
        <f t="shared" si="24"/>
        <v>3875952</v>
      </c>
      <c r="G33" s="315">
        <f>F33-F32</f>
        <v>0</v>
      </c>
      <c r="H33" s="452">
        <f t="shared" si="25"/>
        <v>17675074</v>
      </c>
      <c r="I33" s="315">
        <f>H33-H32</f>
        <v>0</v>
      </c>
      <c r="J33" s="452">
        <f t="shared" si="26"/>
        <v>28724752</v>
      </c>
      <c r="K33" s="315">
        <f>J33-J32</f>
        <v>0</v>
      </c>
      <c r="L33" s="452">
        <f t="shared" si="27"/>
        <v>23707270</v>
      </c>
      <c r="M33" s="315">
        <f>L33-L32</f>
        <v>0</v>
      </c>
      <c r="N33" s="313">
        <f>M33+K33+I33+G33+E33</f>
        <v>0</v>
      </c>
      <c r="O33" s="474">
        <f t="shared" ref="O33" si="39">IF(B33&gt;0,N33/B33,0)</f>
        <v>0</v>
      </c>
      <c r="P33" s="452">
        <f t="shared" si="28"/>
        <v>16353</v>
      </c>
      <c r="Q33" s="456">
        <f t="shared" si="35"/>
        <v>0</v>
      </c>
      <c r="R33" s="456">
        <f t="shared" si="36"/>
        <v>0</v>
      </c>
      <c r="S33" s="452">
        <f t="shared" si="29"/>
        <v>9749</v>
      </c>
      <c r="T33" s="476">
        <f t="shared" ref="T33" si="40">S33-S32</f>
        <v>0</v>
      </c>
      <c r="U33" s="452">
        <f t="shared" si="30"/>
        <v>342794</v>
      </c>
      <c r="V33" s="456">
        <f t="shared" ref="V33" si="41">U33-U32</f>
        <v>0</v>
      </c>
      <c r="W33" s="452">
        <f t="shared" si="7"/>
        <v>32049</v>
      </c>
      <c r="X33" s="456">
        <f t="shared" ref="X33" si="42">W33-W32</f>
        <v>0</v>
      </c>
      <c r="Y33" s="452">
        <f t="shared" si="8"/>
        <v>673052</v>
      </c>
      <c r="Z33" s="478">
        <f>Y33-Y32</f>
        <v>0</v>
      </c>
      <c r="AA33" s="452">
        <f t="shared" si="9"/>
        <v>35607</v>
      </c>
      <c r="AB33" s="456">
        <f t="shared" ref="AB33" si="43">AA33-AA32</f>
        <v>0</v>
      </c>
      <c r="AC33" s="452">
        <f t="shared" si="10"/>
        <v>899488</v>
      </c>
      <c r="AD33" s="456">
        <f t="shared" ref="AD33" si="44">AC33-AC32</f>
        <v>0</v>
      </c>
      <c r="AE33" s="479">
        <f t="shared" ref="AE33" si="45">AB33+X33+T33</f>
        <v>0</v>
      </c>
      <c r="AF33" s="480">
        <f>V33+Z33+AD33</f>
        <v>0</v>
      </c>
      <c r="AG33" s="472">
        <f t="shared" ref="AG33" si="46">IF(AE33&gt;0,AF33/AE33,0)</f>
        <v>0</v>
      </c>
      <c r="AI33" s="473">
        <f>R33-'EDl log'!B31</f>
        <v>-490415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2" activePane="bottomLeft" state="frozen"/>
      <selection activeCell="K1" sqref="K1"/>
      <selection pane="bottomLeft" activeCell="U9" sqref="U9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4" customWidth="1"/>
    <col min="38" max="38" width="11.140625" style="324" bestFit="1" customWidth="1"/>
    <col min="39" max="39" width="11.42578125" style="324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6"/>
    <col min="51" max="16384" width="9.140625" style="42"/>
  </cols>
  <sheetData>
    <row r="1" spans="1:52" ht="30.75" thickBot="1">
      <c r="F1" s="618" t="s">
        <v>2</v>
      </c>
      <c r="G1" s="619"/>
      <c r="H1" s="619"/>
      <c r="I1" s="620"/>
      <c r="J1" s="285">
        <f>J36</f>
        <v>1</v>
      </c>
      <c r="K1" s="621" t="s">
        <v>4</v>
      </c>
      <c r="L1" s="622"/>
      <c r="M1" s="622"/>
      <c r="N1" s="622"/>
      <c r="O1" s="623"/>
      <c r="P1" s="612" t="s">
        <v>6</v>
      </c>
      <c r="Q1" s="613"/>
      <c r="R1" s="613"/>
      <c r="S1" s="613"/>
      <c r="T1" s="614"/>
      <c r="U1" s="401"/>
      <c r="V1" s="27" t="s">
        <v>104</v>
      </c>
      <c r="W1" s="402"/>
      <c r="X1" s="612" t="s">
        <v>8</v>
      </c>
      <c r="Y1" s="613"/>
      <c r="Z1" s="613"/>
      <c r="AA1" s="613"/>
      <c r="AB1" s="613"/>
      <c r="AC1" s="615" t="s">
        <v>10</v>
      </c>
      <c r="AD1" s="616"/>
      <c r="AE1" s="616"/>
      <c r="AF1" s="617"/>
      <c r="AG1" s="208"/>
      <c r="AH1" s="85" t="s">
        <v>105</v>
      </c>
      <c r="AI1" s="317" t="s">
        <v>128</v>
      </c>
      <c r="AJ1" s="317"/>
      <c r="AK1" s="317"/>
      <c r="AL1" s="317" t="s">
        <v>133</v>
      </c>
      <c r="AM1" s="317" t="s">
        <v>134</v>
      </c>
      <c r="AN1" s="319" t="s">
        <v>12</v>
      </c>
      <c r="AO1" s="319" t="s">
        <v>13</v>
      </c>
      <c r="AP1" s="319" t="s">
        <v>14</v>
      </c>
      <c r="AQ1" s="319" t="s">
        <v>15</v>
      </c>
      <c r="AR1" s="319" t="s">
        <v>16</v>
      </c>
      <c r="AS1" s="319" t="s">
        <v>17</v>
      </c>
      <c r="AT1" s="319"/>
      <c r="AU1" s="320" t="s">
        <v>18</v>
      </c>
      <c r="AV1" s="177" t="s">
        <v>71</v>
      </c>
      <c r="AW1" s="177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610"/>
      <c r="R2" s="611"/>
      <c r="S2" s="52" t="s">
        <v>7</v>
      </c>
      <c r="T2" s="53"/>
      <c r="U2" s="405" t="s">
        <v>383</v>
      </c>
      <c r="V2" s="54" t="s">
        <v>103</v>
      </c>
      <c r="W2" s="403"/>
      <c r="X2" s="55" t="s">
        <v>8</v>
      </c>
      <c r="Y2" s="46" t="s">
        <v>9</v>
      </c>
      <c r="Z2" s="394" t="s">
        <v>379</v>
      </c>
      <c r="AA2" s="395" t="s">
        <v>380</v>
      </c>
      <c r="AB2" s="284"/>
      <c r="AC2" s="49" t="s">
        <v>10</v>
      </c>
      <c r="AD2" s="56" t="s">
        <v>11</v>
      </c>
      <c r="AE2" s="57" t="s">
        <v>81</v>
      </c>
      <c r="AF2" s="58" t="s">
        <v>82</v>
      </c>
      <c r="AG2" s="209" t="s">
        <v>127</v>
      </c>
      <c r="AH2" s="54" t="s">
        <v>103</v>
      </c>
      <c r="AI2" s="318" t="s">
        <v>103</v>
      </c>
      <c r="AJ2" s="397"/>
      <c r="AK2" s="397"/>
      <c r="AL2" s="397"/>
      <c r="AM2" s="397"/>
      <c r="AN2" s="396"/>
      <c r="AO2" s="396"/>
      <c r="AP2" s="396"/>
      <c r="AQ2" s="396"/>
      <c r="AR2" s="396"/>
      <c r="AS2" s="396"/>
      <c r="AT2" s="396"/>
      <c r="AU2" s="396"/>
      <c r="AV2" s="271"/>
      <c r="AW2" s="271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5"/>
      <c r="V3" s="59"/>
      <c r="W3" s="403"/>
      <c r="X3" s="55"/>
      <c r="Y3" s="52"/>
      <c r="Z3" s="47"/>
      <c r="AA3" s="47"/>
      <c r="AB3" s="47"/>
      <c r="AC3" s="49"/>
      <c r="AD3" s="45"/>
      <c r="AE3" s="60"/>
      <c r="AF3" s="61"/>
      <c r="AG3" s="210"/>
      <c r="AH3" s="62"/>
      <c r="AI3" s="321"/>
      <c r="AJ3" s="322"/>
      <c r="AK3" s="322"/>
      <c r="AL3" s="322"/>
      <c r="AM3" s="322"/>
    </row>
    <row r="4" spans="1:52" s="342" customFormat="1">
      <c r="A4" s="63">
        <f>ELEC!C2</f>
        <v>44104</v>
      </c>
      <c r="B4" s="399">
        <f>[2]B5!B34</f>
        <v>251</v>
      </c>
      <c r="C4" s="399">
        <f>[2]B5!C34</f>
        <v>257</v>
      </c>
      <c r="D4" s="399">
        <f>[2]B5!D34</f>
        <v>4</v>
      </c>
      <c r="E4" s="399">
        <f>[2]B5!E34</f>
        <v>33.520000000000003</v>
      </c>
      <c r="F4" s="399">
        <f>[2]B5!F34</f>
        <v>1648</v>
      </c>
      <c r="G4" s="399">
        <f>[2]B5!G34</f>
        <v>0</v>
      </c>
      <c r="H4" s="399">
        <f>[2]B5!H34</f>
        <v>357868</v>
      </c>
      <c r="I4" s="399">
        <f>[2]B5!I34</f>
        <v>0</v>
      </c>
      <c r="J4" s="399">
        <f>[2]B5!J34</f>
        <v>0</v>
      </c>
      <c r="K4" s="399">
        <f>[2]B5!K34</f>
        <v>2110</v>
      </c>
      <c r="L4" s="399">
        <f>[2]B5!L34</f>
        <v>0</v>
      </c>
      <c r="M4" s="399">
        <f>[2]B5!M34</f>
        <v>154820</v>
      </c>
      <c r="N4" s="399">
        <f>[2]B5!N34</f>
        <v>0</v>
      </c>
      <c r="O4" s="399">
        <f>[2]B5!O34</f>
        <v>211.87499999999994</v>
      </c>
      <c r="P4" s="399">
        <f>[2]B5!P34</f>
        <v>1839</v>
      </c>
      <c r="Q4" s="399">
        <f>[2]B5!Q34</f>
        <v>156094</v>
      </c>
      <c r="R4" s="399">
        <f>[2]B5!R34</f>
        <v>0</v>
      </c>
      <c r="S4" s="399">
        <f>[2]B5!S34</f>
        <v>0</v>
      </c>
      <c r="T4" s="399">
        <f>[2]B5!T34</f>
        <v>0</v>
      </c>
      <c r="U4" s="399">
        <f>[2]B5!U34</f>
        <v>0</v>
      </c>
      <c r="V4" s="399">
        <f>[2]B5!V34</f>
        <v>0</v>
      </c>
      <c r="W4" s="399">
        <f>[2]B5!W34</f>
        <v>0</v>
      </c>
      <c r="X4" s="399">
        <f>[2]B5!X34</f>
        <v>2448</v>
      </c>
      <c r="Y4" s="399">
        <f>[2]B5!Y34</f>
        <v>0</v>
      </c>
      <c r="Z4" s="399">
        <f>[2]B5!Z34</f>
        <v>137506</v>
      </c>
      <c r="AA4" s="399">
        <f>[2]B5!AA34</f>
        <v>0</v>
      </c>
      <c r="AB4" s="399">
        <f>[2]B5!AB34</f>
        <v>0</v>
      </c>
      <c r="AC4" s="399">
        <f>[2]B5!AC34</f>
        <v>1933</v>
      </c>
      <c r="AD4" s="399">
        <f>[2]B5!AD34</f>
        <v>0</v>
      </c>
      <c r="AE4" s="399">
        <f>[2]B5!AE34</f>
        <v>365210.2</v>
      </c>
      <c r="AF4" s="399">
        <f>[2]B5!AF34</f>
        <v>0</v>
      </c>
      <c r="AG4" s="399">
        <f>[2]B5!AG34</f>
        <v>0</v>
      </c>
      <c r="AH4" s="399">
        <f>[2]B5!AH34</f>
        <v>0</v>
      </c>
      <c r="AI4" s="399">
        <f>[2]B5!AI34</f>
        <v>0</v>
      </c>
      <c r="AJ4" s="399">
        <f>[2]B5!AJ34</f>
        <v>0</v>
      </c>
      <c r="AK4" s="399">
        <f>[2]B5!AK34</f>
        <v>0</v>
      </c>
      <c r="AL4" s="399">
        <f>[2]B5!AL34</f>
        <v>0</v>
      </c>
      <c r="AM4" s="399">
        <f>[2]B5!AM34</f>
        <v>0</v>
      </c>
      <c r="AN4" s="399">
        <f>[2]B5!AN34</f>
        <v>62</v>
      </c>
      <c r="AO4" s="399">
        <f>[2]B5!AO34</f>
        <v>1860</v>
      </c>
      <c r="AP4" s="399">
        <v>52</v>
      </c>
      <c r="AQ4" s="399">
        <f>[2]B5!AQ34</f>
        <v>1530</v>
      </c>
      <c r="AR4" s="399">
        <f>[2]B5!AR34</f>
        <v>68</v>
      </c>
      <c r="AS4" s="399">
        <f>[2]B5!AS34</f>
        <v>2040.0000000000002</v>
      </c>
      <c r="AT4" s="399">
        <f>[2]B5!AT34</f>
        <v>5430</v>
      </c>
      <c r="AU4" s="399">
        <f>[2]B5!AU34</f>
        <v>0</v>
      </c>
      <c r="AV4" s="399">
        <f>[2]B5!AV34</f>
        <v>0</v>
      </c>
      <c r="AW4" s="399">
        <f>[2]B5!AW34</f>
        <v>0</v>
      </c>
      <c r="AX4" s="399">
        <f>[2]B5!AX34</f>
        <v>0.8</v>
      </c>
    </row>
    <row r="5" spans="1:52">
      <c r="A5" s="63">
        <f>ELEC!C3</f>
        <v>44105</v>
      </c>
      <c r="B5" s="64">
        <v>249</v>
      </c>
      <c r="C5" s="64">
        <v>255</v>
      </c>
      <c r="D5" s="45">
        <f>C4-C5</f>
        <v>2</v>
      </c>
      <c r="E5" s="45">
        <f>D5*8.38</f>
        <v>16.760000000000002</v>
      </c>
      <c r="F5" s="64">
        <f>F4</f>
        <v>1648</v>
      </c>
      <c r="G5" s="52">
        <f t="shared" ref="G5:G34" si="0">F5-F4</f>
        <v>0</v>
      </c>
      <c r="H5" s="64">
        <f>H4</f>
        <v>357868</v>
      </c>
      <c r="I5" s="400">
        <f t="shared" ref="I5:I34" si="1">SUM(H5-H4)</f>
        <v>0</v>
      </c>
      <c r="J5" s="66">
        <v>1</v>
      </c>
      <c r="K5" s="64">
        <f>K4</f>
        <v>2110</v>
      </c>
      <c r="L5" s="52">
        <f t="shared" ref="L5:L34" si="2">K5-K4</f>
        <v>0</v>
      </c>
      <c r="M5" s="64">
        <f>M4</f>
        <v>154820</v>
      </c>
      <c r="N5" s="400">
        <f t="shared" ref="N5:N34" si="3">M5-M4</f>
        <v>0</v>
      </c>
      <c r="O5" s="64">
        <f>O4</f>
        <v>211.87499999999994</v>
      </c>
      <c r="P5" s="64">
        <f>P4</f>
        <v>1839</v>
      </c>
      <c r="Q5" s="64">
        <f>Q4</f>
        <v>156094</v>
      </c>
      <c r="R5" s="399">
        <f t="shared" ref="R5:R10" si="4">Q5-Q4</f>
        <v>0</v>
      </c>
      <c r="S5" s="52">
        <f t="shared" ref="S5:S34" si="5">SUM(P5-P4)</f>
        <v>0</v>
      </c>
      <c r="T5" s="67">
        <f>SUM(S5*$T$2)</f>
        <v>0</v>
      </c>
      <c r="U5" s="406">
        <f>SUM(G5+L5+S5)</f>
        <v>0</v>
      </c>
      <c r="V5" s="62">
        <f>R5+N5+I5:I5</f>
        <v>0</v>
      </c>
      <c r="W5" s="404" t="e">
        <f>SUM(V5/U5)</f>
        <v>#DIV/0!</v>
      </c>
      <c r="X5" s="64">
        <f>X4</f>
        <v>2448</v>
      </c>
      <c r="Y5" s="52">
        <f>X5-X4</f>
        <v>0</v>
      </c>
      <c r="Z5" s="64">
        <f>Z4</f>
        <v>137506</v>
      </c>
      <c r="AA5" s="65">
        <f t="shared" ref="AA5:AA34" si="6">Z5-Z4</f>
        <v>0</v>
      </c>
      <c r="AB5" s="287">
        <f>SUM(Y5*$AB$2)</f>
        <v>0</v>
      </c>
      <c r="AC5" s="64">
        <f>AC4</f>
        <v>1933</v>
      </c>
      <c r="AD5" s="45">
        <f t="shared" ref="AD5:AD34" si="7">AC5-AC4</f>
        <v>0</v>
      </c>
      <c r="AE5" s="607">
        <v>365212</v>
      </c>
      <c r="AF5" s="309">
        <f>AE5-AE4</f>
        <v>1.7999999999883585</v>
      </c>
      <c r="AG5" s="210">
        <f>IF(AD5&gt;0,AF5/AD5,0)</f>
        <v>0</v>
      </c>
      <c r="AH5" s="62">
        <f>AF5+AA5</f>
        <v>1.7999999999883585</v>
      </c>
      <c r="AI5" s="321">
        <f>SUM(AH5+V5)</f>
        <v>1.7999999999883585</v>
      </c>
      <c r="AJ5" s="321">
        <f>-tanks!AW6</f>
        <v>1.7999999999883585</v>
      </c>
      <c r="AK5" s="321">
        <f>SUM(AJ5-AI5)</f>
        <v>0</v>
      </c>
      <c r="AL5" s="321">
        <f t="shared" ref="AL5:AL18" si="8">S5+L5+G5</f>
        <v>0</v>
      </c>
      <c r="AM5" s="321">
        <f>Y5+AD5</f>
        <v>0</v>
      </c>
      <c r="AN5" s="64">
        <f>AN4</f>
        <v>62</v>
      </c>
      <c r="AO5" s="323">
        <f>(AN5/100)*3000</f>
        <v>1860</v>
      </c>
      <c r="AP5" s="64">
        <v>52</v>
      </c>
      <c r="AQ5" s="323">
        <f>(AP5/100)*3000</f>
        <v>1560</v>
      </c>
      <c r="AR5" s="64">
        <f>AR4</f>
        <v>68</v>
      </c>
      <c r="AS5" s="323">
        <f>(AR5/100)*3000</f>
        <v>2040.0000000000002</v>
      </c>
      <c r="AT5" s="323">
        <f>SUM(AO5+AQ5+AS5)</f>
        <v>5460</v>
      </c>
      <c r="AU5" s="323">
        <f>AT4-AT5+AV5</f>
        <v>-30</v>
      </c>
      <c r="AV5" s="271"/>
      <c r="AW5" s="271">
        <v>0.1</v>
      </c>
      <c r="AX5" s="316">
        <f>IF(AV5&gt;0,AW5,AX4)</f>
        <v>0.8</v>
      </c>
    </row>
    <row r="6" spans="1:52">
      <c r="A6" s="63">
        <f>ELEC!C4</f>
        <v>44106</v>
      </c>
      <c r="B6" s="64">
        <v>248</v>
      </c>
      <c r="C6" s="64">
        <v>254.5</v>
      </c>
      <c r="D6" s="45">
        <f>C5-C6</f>
        <v>0.5</v>
      </c>
      <c r="E6" s="45">
        <f t="shared" ref="E6:E31" si="9">D6*8.38</f>
        <v>4.1900000000000004</v>
      </c>
      <c r="F6" s="64">
        <f t="shared" ref="F6:F35" si="10">F5</f>
        <v>1648</v>
      </c>
      <c r="G6" s="52">
        <f t="shared" si="0"/>
        <v>0</v>
      </c>
      <c r="H6" s="64">
        <f t="shared" ref="H6:H35" si="11">H5</f>
        <v>357868</v>
      </c>
      <c r="I6" s="400">
        <f t="shared" si="1"/>
        <v>0</v>
      </c>
      <c r="J6" s="66">
        <f t="shared" ref="J6:J34" si="12">IF(G6&gt;0,I6/G6,0)</f>
        <v>0</v>
      </c>
      <c r="K6" s="64">
        <v>2113</v>
      </c>
      <c r="L6" s="52">
        <f t="shared" si="2"/>
        <v>3</v>
      </c>
      <c r="M6" s="64">
        <v>155052</v>
      </c>
      <c r="N6" s="400">
        <f t="shared" si="3"/>
        <v>232</v>
      </c>
      <c r="O6" s="64">
        <f t="shared" ref="O6:Q35" si="13">O5</f>
        <v>211.87499999999994</v>
      </c>
      <c r="P6" s="64">
        <f t="shared" si="13"/>
        <v>1839</v>
      </c>
      <c r="Q6" s="64">
        <f t="shared" si="13"/>
        <v>156094</v>
      </c>
      <c r="R6" s="399">
        <f t="shared" si="4"/>
        <v>0</v>
      </c>
      <c r="S6" s="52">
        <f t="shared" si="5"/>
        <v>0</v>
      </c>
      <c r="T6" s="67">
        <f>SUM(S6*$T$2)</f>
        <v>0</v>
      </c>
      <c r="U6" s="406">
        <f t="shared" ref="U6:U34" si="14">SUM(G6+L6+S6)</f>
        <v>3</v>
      </c>
      <c r="V6" s="62">
        <f t="shared" ref="V6:V34" si="15">R6+N6+I6:I6</f>
        <v>232</v>
      </c>
      <c r="W6" s="404">
        <f t="shared" ref="W6:W16" si="16">SUM(V6/U6)</f>
        <v>77.333333333333329</v>
      </c>
      <c r="X6" s="64">
        <f t="shared" ref="X6:X35" si="17">X5</f>
        <v>2448</v>
      </c>
      <c r="Y6" s="52">
        <f t="shared" ref="Y6:Y34" si="18">X6-X5</f>
        <v>0</v>
      </c>
      <c r="Z6" s="64">
        <f t="shared" ref="Z6:Z35" si="19">Z5</f>
        <v>137506</v>
      </c>
      <c r="AA6" s="65">
        <f t="shared" si="6"/>
        <v>0</v>
      </c>
      <c r="AB6" s="287">
        <f>SUM(Y6*$AB$2)</f>
        <v>0</v>
      </c>
      <c r="AC6" s="64">
        <f t="shared" ref="AC6:AC35" si="20">AC5</f>
        <v>1933</v>
      </c>
      <c r="AD6" s="45">
        <f t="shared" si="7"/>
        <v>0</v>
      </c>
      <c r="AE6" s="64">
        <f t="shared" ref="AE6:AE35" si="21">AE5</f>
        <v>365212</v>
      </c>
      <c r="AF6" s="309">
        <f t="shared" ref="AF6:AF34" si="22">AE6-AE5</f>
        <v>0</v>
      </c>
      <c r="AG6" s="210">
        <f>IF(AD6&gt;0,AF6/AD6,0)</f>
        <v>0</v>
      </c>
      <c r="AH6" s="62">
        <f>AF6+AA6</f>
        <v>0</v>
      </c>
      <c r="AI6" s="321">
        <f t="shared" ref="AI6:AI34" si="23">SUM(AH6+V6)</f>
        <v>232</v>
      </c>
      <c r="AJ6" s="321">
        <f>-tanks!AW7</f>
        <v>232</v>
      </c>
      <c r="AK6" s="321">
        <f t="shared" ref="AK6:AK34" si="24">SUM(AJ6-AI6)</f>
        <v>0</v>
      </c>
      <c r="AL6" s="321">
        <f t="shared" si="8"/>
        <v>3</v>
      </c>
      <c r="AM6" s="321">
        <f t="shared" ref="AM6:AM33" si="25">Y6+AD6</f>
        <v>0</v>
      </c>
      <c r="AN6" s="64">
        <v>62</v>
      </c>
      <c r="AO6" s="323">
        <f t="shared" ref="AO6:AO26" si="26">(AN6/100)*3000</f>
        <v>1860</v>
      </c>
      <c r="AP6" s="64">
        <v>52</v>
      </c>
      <c r="AQ6" s="323">
        <f t="shared" ref="AQ6:AQ24" si="27">(AP6/100)*3000</f>
        <v>1560</v>
      </c>
      <c r="AR6" s="64">
        <f t="shared" ref="AR6:AR35" si="28">AR5</f>
        <v>68</v>
      </c>
      <c r="AS6" s="323">
        <f>(AR6/100)*3000</f>
        <v>2040.0000000000002</v>
      </c>
      <c r="AT6" s="323">
        <f>SUM(AO6+AQ6+AS6)</f>
        <v>5460</v>
      </c>
      <c r="AU6" s="323">
        <f>AT5-AT6+AV6</f>
        <v>0</v>
      </c>
      <c r="AV6" s="271"/>
      <c r="AW6" s="271"/>
      <c r="AX6" s="316">
        <f t="shared" ref="AX6:AX34" si="29">IF(AV6&gt;0,AW6,AX5)</f>
        <v>0.8</v>
      </c>
    </row>
    <row r="7" spans="1:52">
      <c r="A7" s="63">
        <f>ELEC!C5</f>
        <v>44107</v>
      </c>
      <c r="B7" s="64">
        <v>246.5</v>
      </c>
      <c r="C7" s="64">
        <v>251.2</v>
      </c>
      <c r="D7" s="45">
        <f t="shared" ref="D7:D34" si="30">C6-C7</f>
        <v>3.3000000000000114</v>
      </c>
      <c r="E7" s="45">
        <f t="shared" si="9"/>
        <v>27.654000000000099</v>
      </c>
      <c r="F7" s="64">
        <f t="shared" si="10"/>
        <v>1648</v>
      </c>
      <c r="G7" s="52">
        <f t="shared" si="0"/>
        <v>0</v>
      </c>
      <c r="H7" s="64">
        <f t="shared" si="11"/>
        <v>357868</v>
      </c>
      <c r="I7" s="400">
        <f t="shared" si="1"/>
        <v>0</v>
      </c>
      <c r="J7" s="66">
        <f t="shared" si="12"/>
        <v>0</v>
      </c>
      <c r="K7" s="64">
        <v>2114</v>
      </c>
      <c r="L7" s="52">
        <f t="shared" si="2"/>
        <v>1</v>
      </c>
      <c r="M7" s="64">
        <v>155125</v>
      </c>
      <c r="N7" s="400">
        <f t="shared" si="3"/>
        <v>73</v>
      </c>
      <c r="O7" s="64">
        <f t="shared" si="13"/>
        <v>211.87499999999994</v>
      </c>
      <c r="P7" s="64">
        <v>1839</v>
      </c>
      <c r="Q7" s="64">
        <v>156137</v>
      </c>
      <c r="R7" s="399">
        <f t="shared" si="4"/>
        <v>43</v>
      </c>
      <c r="S7" s="52">
        <f t="shared" si="5"/>
        <v>0</v>
      </c>
      <c r="T7" s="67">
        <f t="shared" ref="T7:T34" si="31">SUM(S7*$T$2)</f>
        <v>0</v>
      </c>
      <c r="U7" s="406">
        <f t="shared" si="14"/>
        <v>1</v>
      </c>
      <c r="V7" s="62">
        <f t="shared" si="15"/>
        <v>116</v>
      </c>
      <c r="W7" s="404">
        <f t="shared" si="16"/>
        <v>116</v>
      </c>
      <c r="X7" s="64">
        <f t="shared" si="17"/>
        <v>2448</v>
      </c>
      <c r="Y7" s="52">
        <f t="shared" si="18"/>
        <v>0</v>
      </c>
      <c r="Z7" s="64">
        <f t="shared" si="19"/>
        <v>137506</v>
      </c>
      <c r="AA7" s="65">
        <f t="shared" si="6"/>
        <v>0</v>
      </c>
      <c r="AB7" s="287">
        <f t="shared" ref="AB7:AB17" si="32">SUM(Y7*$AB$2)</f>
        <v>0</v>
      </c>
      <c r="AC7" s="64">
        <f t="shared" si="20"/>
        <v>1933</v>
      </c>
      <c r="AD7" s="45">
        <f t="shared" si="7"/>
        <v>0</v>
      </c>
      <c r="AE7" s="64">
        <f t="shared" si="21"/>
        <v>365212</v>
      </c>
      <c r="AF7" s="309">
        <f t="shared" si="22"/>
        <v>0</v>
      </c>
      <c r="AG7" s="210">
        <f t="shared" ref="AG7:AG34" si="33">IF(AD7&gt;0,AF7/AD7,0)</f>
        <v>0</v>
      </c>
      <c r="AH7" s="62">
        <f t="shared" ref="AH7:AH34" si="34">AF7+AA7</f>
        <v>0</v>
      </c>
      <c r="AI7" s="321">
        <f t="shared" si="23"/>
        <v>116</v>
      </c>
      <c r="AJ7" s="321">
        <f>-tanks!AW8</f>
        <v>116</v>
      </c>
      <c r="AK7" s="321">
        <f t="shared" si="24"/>
        <v>0</v>
      </c>
      <c r="AL7" s="321">
        <f t="shared" si="8"/>
        <v>1</v>
      </c>
      <c r="AM7" s="321">
        <f t="shared" si="25"/>
        <v>0</v>
      </c>
      <c r="AN7" s="64">
        <f t="shared" ref="AN7:AN35" si="35">AN6</f>
        <v>62</v>
      </c>
      <c r="AO7" s="323">
        <f t="shared" si="26"/>
        <v>1860</v>
      </c>
      <c r="AP7" s="64">
        <f t="shared" ref="AP7:AP35" si="36">AP6</f>
        <v>52</v>
      </c>
      <c r="AQ7" s="323">
        <f t="shared" si="27"/>
        <v>1560</v>
      </c>
      <c r="AR7" s="64">
        <f t="shared" si="28"/>
        <v>68</v>
      </c>
      <c r="AS7" s="323">
        <f t="shared" ref="AS7:AS34" si="37">(AR7/100)*3000</f>
        <v>2040.0000000000002</v>
      </c>
      <c r="AT7" s="323">
        <f t="shared" ref="AT7:AT23" si="38">SUM(AO7+AQ7+AS7)</f>
        <v>5460</v>
      </c>
      <c r="AU7" s="323">
        <f t="shared" ref="AU7:AU34" si="39">AT6-AT7+AV7</f>
        <v>0</v>
      </c>
      <c r="AV7" s="271"/>
      <c r="AW7" s="271"/>
      <c r="AX7" s="316">
        <f t="shared" si="29"/>
        <v>0.8</v>
      </c>
      <c r="AZ7" s="42" t="s">
        <v>415</v>
      </c>
    </row>
    <row r="8" spans="1:52">
      <c r="A8" s="63">
        <f>ELEC!C6</f>
        <v>44108</v>
      </c>
      <c r="B8" s="64">
        <v>244</v>
      </c>
      <c r="C8" s="64">
        <v>249</v>
      </c>
      <c r="D8" s="45">
        <f t="shared" si="30"/>
        <v>2.1999999999999886</v>
      </c>
      <c r="E8" s="45">
        <f t="shared" si="9"/>
        <v>18.435999999999908</v>
      </c>
      <c r="F8" s="64">
        <f t="shared" si="10"/>
        <v>1648</v>
      </c>
      <c r="G8" s="52">
        <f t="shared" si="0"/>
        <v>0</v>
      </c>
      <c r="H8" s="64">
        <f t="shared" si="11"/>
        <v>357868</v>
      </c>
      <c r="I8" s="400">
        <f t="shared" si="1"/>
        <v>0</v>
      </c>
      <c r="J8" s="66">
        <f t="shared" si="12"/>
        <v>0</v>
      </c>
      <c r="K8" s="64">
        <v>2114</v>
      </c>
      <c r="L8" s="52">
        <f t="shared" si="2"/>
        <v>0</v>
      </c>
      <c r="M8" s="64">
        <v>155125</v>
      </c>
      <c r="N8" s="400">
        <f t="shared" si="3"/>
        <v>0</v>
      </c>
      <c r="O8" s="64">
        <f t="shared" si="13"/>
        <v>211.87499999999994</v>
      </c>
      <c r="P8" s="64">
        <v>1840</v>
      </c>
      <c r="Q8" s="64">
        <v>156190</v>
      </c>
      <c r="R8" s="399">
        <f t="shared" si="4"/>
        <v>53</v>
      </c>
      <c r="S8" s="52">
        <f t="shared" si="5"/>
        <v>1</v>
      </c>
      <c r="T8" s="67">
        <f t="shared" si="31"/>
        <v>0</v>
      </c>
      <c r="U8" s="406">
        <f t="shared" si="14"/>
        <v>1</v>
      </c>
      <c r="V8" s="62">
        <f t="shared" si="15"/>
        <v>53</v>
      </c>
      <c r="W8" s="404">
        <f t="shared" si="16"/>
        <v>53</v>
      </c>
      <c r="X8" s="64">
        <v>2448</v>
      </c>
      <c r="Y8" s="52">
        <f t="shared" si="18"/>
        <v>0</v>
      </c>
      <c r="Z8" s="64">
        <f t="shared" si="19"/>
        <v>137506</v>
      </c>
      <c r="AA8" s="65">
        <f t="shared" si="6"/>
        <v>0</v>
      </c>
      <c r="AB8" s="287">
        <f t="shared" si="32"/>
        <v>0</v>
      </c>
      <c r="AC8" s="64">
        <f t="shared" si="20"/>
        <v>1933</v>
      </c>
      <c r="AD8" s="45">
        <f t="shared" si="7"/>
        <v>0</v>
      </c>
      <c r="AE8" s="64">
        <f t="shared" si="21"/>
        <v>365212</v>
      </c>
      <c r="AF8" s="309">
        <f t="shared" si="22"/>
        <v>0</v>
      </c>
      <c r="AG8" s="210">
        <f t="shared" si="33"/>
        <v>0</v>
      </c>
      <c r="AH8" s="62">
        <f t="shared" si="34"/>
        <v>0</v>
      </c>
      <c r="AI8" s="321">
        <f t="shared" si="23"/>
        <v>53</v>
      </c>
      <c r="AJ8" s="321">
        <f>-tanks!AW9</f>
        <v>53</v>
      </c>
      <c r="AK8" s="321">
        <f t="shared" si="24"/>
        <v>0</v>
      </c>
      <c r="AL8" s="321">
        <f t="shared" si="8"/>
        <v>1</v>
      </c>
      <c r="AM8" s="321">
        <f t="shared" si="25"/>
        <v>0</v>
      </c>
      <c r="AN8" s="64">
        <f t="shared" si="35"/>
        <v>62</v>
      </c>
      <c r="AO8" s="323">
        <f t="shared" si="26"/>
        <v>1860</v>
      </c>
      <c r="AP8" s="64">
        <f t="shared" si="36"/>
        <v>52</v>
      </c>
      <c r="AQ8" s="323">
        <f t="shared" si="27"/>
        <v>1560</v>
      </c>
      <c r="AR8" s="64">
        <f t="shared" si="28"/>
        <v>68</v>
      </c>
      <c r="AS8" s="323">
        <f t="shared" si="37"/>
        <v>2040.0000000000002</v>
      </c>
      <c r="AT8" s="323">
        <f t="shared" si="38"/>
        <v>5460</v>
      </c>
      <c r="AU8" s="323">
        <f t="shared" si="39"/>
        <v>0</v>
      </c>
      <c r="AV8" s="271"/>
      <c r="AW8" s="271"/>
      <c r="AX8" s="316">
        <f t="shared" si="29"/>
        <v>0.8</v>
      </c>
    </row>
    <row r="9" spans="1:52">
      <c r="A9" s="63">
        <f>ELEC!C7</f>
        <v>44109</v>
      </c>
      <c r="B9" s="64">
        <v>242</v>
      </c>
      <c r="C9" s="64">
        <v>247.3</v>
      </c>
      <c r="D9" s="45">
        <f t="shared" si="30"/>
        <v>1.6999999999999886</v>
      </c>
      <c r="E9" s="45">
        <f t="shared" si="9"/>
        <v>14.245999999999906</v>
      </c>
      <c r="F9" s="64">
        <f t="shared" si="10"/>
        <v>1648</v>
      </c>
      <c r="G9" s="52">
        <f t="shared" si="0"/>
        <v>0</v>
      </c>
      <c r="H9" s="64">
        <f t="shared" si="11"/>
        <v>357868</v>
      </c>
      <c r="I9" s="400">
        <f t="shared" si="1"/>
        <v>0</v>
      </c>
      <c r="J9" s="66">
        <f t="shared" si="12"/>
        <v>0</v>
      </c>
      <c r="K9" s="64">
        <v>2115</v>
      </c>
      <c r="L9" s="52">
        <f t="shared" si="2"/>
        <v>1</v>
      </c>
      <c r="M9" s="64">
        <v>155221</v>
      </c>
      <c r="N9" s="400">
        <f t="shared" si="3"/>
        <v>96</v>
      </c>
      <c r="O9" s="64">
        <f t="shared" si="13"/>
        <v>211.87499999999994</v>
      </c>
      <c r="P9" s="64">
        <f t="shared" si="13"/>
        <v>1840</v>
      </c>
      <c r="Q9" s="64">
        <f t="shared" si="13"/>
        <v>156190</v>
      </c>
      <c r="R9" s="399">
        <f t="shared" si="4"/>
        <v>0</v>
      </c>
      <c r="S9" s="52">
        <f t="shared" si="5"/>
        <v>0</v>
      </c>
      <c r="T9" s="67">
        <f t="shared" si="31"/>
        <v>0</v>
      </c>
      <c r="U9" s="406">
        <f t="shared" si="14"/>
        <v>1</v>
      </c>
      <c r="V9" s="62">
        <f t="shared" si="15"/>
        <v>96</v>
      </c>
      <c r="W9" s="404">
        <f t="shared" si="16"/>
        <v>96</v>
      </c>
      <c r="X9" s="64">
        <f t="shared" si="17"/>
        <v>2448</v>
      </c>
      <c r="Y9" s="52">
        <f t="shared" si="18"/>
        <v>0</v>
      </c>
      <c r="Z9" s="64">
        <f t="shared" si="19"/>
        <v>137506</v>
      </c>
      <c r="AA9" s="65">
        <f t="shared" si="6"/>
        <v>0</v>
      </c>
      <c r="AB9" s="287">
        <f t="shared" si="32"/>
        <v>0</v>
      </c>
      <c r="AC9" s="64">
        <f t="shared" si="20"/>
        <v>1933</v>
      </c>
      <c r="AD9" s="45">
        <f t="shared" si="7"/>
        <v>0</v>
      </c>
      <c r="AE9" s="64">
        <f t="shared" si="21"/>
        <v>365212</v>
      </c>
      <c r="AF9" s="309">
        <f t="shared" si="22"/>
        <v>0</v>
      </c>
      <c r="AG9" s="210">
        <f t="shared" si="33"/>
        <v>0</v>
      </c>
      <c r="AH9" s="62">
        <f t="shared" si="34"/>
        <v>0</v>
      </c>
      <c r="AI9" s="321">
        <f t="shared" si="23"/>
        <v>96</v>
      </c>
      <c r="AJ9" s="321">
        <f>-tanks!AW10</f>
        <v>96</v>
      </c>
      <c r="AK9" s="321">
        <f t="shared" si="24"/>
        <v>0</v>
      </c>
      <c r="AL9" s="321">
        <f t="shared" si="8"/>
        <v>1</v>
      </c>
      <c r="AM9" s="321">
        <f t="shared" si="25"/>
        <v>0</v>
      </c>
      <c r="AN9" s="64">
        <f t="shared" si="35"/>
        <v>62</v>
      </c>
      <c r="AO9" s="323">
        <f t="shared" si="26"/>
        <v>1860</v>
      </c>
      <c r="AP9" s="64">
        <f t="shared" si="36"/>
        <v>52</v>
      </c>
      <c r="AQ9" s="323">
        <f t="shared" si="27"/>
        <v>1560</v>
      </c>
      <c r="AR9" s="64">
        <f t="shared" si="28"/>
        <v>68</v>
      </c>
      <c r="AS9" s="323">
        <f>(AR9/100)*3000</f>
        <v>2040.0000000000002</v>
      </c>
      <c r="AT9" s="323">
        <f t="shared" si="38"/>
        <v>5460</v>
      </c>
      <c r="AU9" s="323">
        <f t="shared" si="39"/>
        <v>0</v>
      </c>
      <c r="AV9" s="271"/>
      <c r="AW9" s="271"/>
      <c r="AX9" s="316">
        <f t="shared" si="29"/>
        <v>0.8</v>
      </c>
    </row>
    <row r="10" spans="1:52">
      <c r="A10" s="63">
        <f>ELEC!C8</f>
        <v>44110</v>
      </c>
      <c r="B10" s="64">
        <f t="shared" ref="B10:B35" si="40">B9</f>
        <v>242</v>
      </c>
      <c r="C10" s="64">
        <f t="shared" ref="C10:C35" si="41">C9</f>
        <v>247.3</v>
      </c>
      <c r="D10" s="45">
        <f t="shared" si="30"/>
        <v>0</v>
      </c>
      <c r="E10" s="45">
        <f t="shared" si="9"/>
        <v>0</v>
      </c>
      <c r="F10" s="64">
        <f t="shared" si="10"/>
        <v>1648</v>
      </c>
      <c r="G10" s="52">
        <f t="shared" si="0"/>
        <v>0</v>
      </c>
      <c r="H10" s="64">
        <f t="shared" si="11"/>
        <v>357868</v>
      </c>
      <c r="I10" s="400">
        <f t="shared" si="1"/>
        <v>0</v>
      </c>
      <c r="J10" s="66">
        <f t="shared" si="12"/>
        <v>0</v>
      </c>
      <c r="K10" s="64">
        <f t="shared" ref="K10:K34" si="42">K9</f>
        <v>2115</v>
      </c>
      <c r="L10" s="52">
        <f t="shared" si="2"/>
        <v>0</v>
      </c>
      <c r="M10" s="64">
        <f t="shared" ref="M10:M35" si="43">M9</f>
        <v>155221</v>
      </c>
      <c r="N10" s="400">
        <f t="shared" si="3"/>
        <v>0</v>
      </c>
      <c r="O10" s="64">
        <f t="shared" si="13"/>
        <v>211.87499999999994</v>
      </c>
      <c r="P10" s="64">
        <f t="shared" si="13"/>
        <v>1840</v>
      </c>
      <c r="Q10" s="64">
        <f t="shared" si="13"/>
        <v>156190</v>
      </c>
      <c r="R10" s="399">
        <f t="shared" si="4"/>
        <v>0</v>
      </c>
      <c r="S10" s="52">
        <f t="shared" si="5"/>
        <v>0</v>
      </c>
      <c r="T10" s="67">
        <f t="shared" si="31"/>
        <v>0</v>
      </c>
      <c r="U10" s="406">
        <f t="shared" si="14"/>
        <v>0</v>
      </c>
      <c r="V10" s="62">
        <f t="shared" si="15"/>
        <v>0</v>
      </c>
      <c r="W10" s="404" t="e">
        <f t="shared" si="16"/>
        <v>#DIV/0!</v>
      </c>
      <c r="X10" s="64">
        <f t="shared" si="17"/>
        <v>2448</v>
      </c>
      <c r="Y10" s="52">
        <f t="shared" si="18"/>
        <v>0</v>
      </c>
      <c r="Z10" s="64">
        <f t="shared" si="19"/>
        <v>137506</v>
      </c>
      <c r="AA10" s="65">
        <f t="shared" si="6"/>
        <v>0</v>
      </c>
      <c r="AB10" s="287">
        <f t="shared" si="32"/>
        <v>0</v>
      </c>
      <c r="AC10" s="64">
        <f t="shared" si="20"/>
        <v>1933</v>
      </c>
      <c r="AD10" s="45">
        <f t="shared" si="7"/>
        <v>0</v>
      </c>
      <c r="AE10" s="64">
        <f t="shared" si="21"/>
        <v>365212</v>
      </c>
      <c r="AF10" s="309">
        <f t="shared" si="22"/>
        <v>0</v>
      </c>
      <c r="AG10" s="210">
        <f t="shared" si="33"/>
        <v>0</v>
      </c>
      <c r="AH10" s="62">
        <f t="shared" si="34"/>
        <v>0</v>
      </c>
      <c r="AI10" s="321">
        <f>SUM(AH10+V10)</f>
        <v>0</v>
      </c>
      <c r="AJ10" s="321">
        <f>-tanks!AW11</f>
        <v>0</v>
      </c>
      <c r="AK10" s="321">
        <f t="shared" si="24"/>
        <v>0</v>
      </c>
      <c r="AL10" s="321">
        <f t="shared" si="8"/>
        <v>0</v>
      </c>
      <c r="AM10" s="321">
        <f t="shared" si="25"/>
        <v>0</v>
      </c>
      <c r="AN10" s="64">
        <f t="shared" si="35"/>
        <v>62</v>
      </c>
      <c r="AO10" s="323">
        <f t="shared" si="26"/>
        <v>1860</v>
      </c>
      <c r="AP10" s="64">
        <f t="shared" si="36"/>
        <v>52</v>
      </c>
      <c r="AQ10" s="323">
        <f t="shared" si="27"/>
        <v>1560</v>
      </c>
      <c r="AR10" s="64">
        <f t="shared" si="28"/>
        <v>68</v>
      </c>
      <c r="AS10" s="323">
        <f t="shared" si="37"/>
        <v>2040.0000000000002</v>
      </c>
      <c r="AT10" s="323">
        <f t="shared" si="38"/>
        <v>5460</v>
      </c>
      <c r="AU10" s="323">
        <f t="shared" si="39"/>
        <v>0</v>
      </c>
      <c r="AV10" s="271"/>
      <c r="AW10" s="271"/>
      <c r="AX10" s="316">
        <f t="shared" si="29"/>
        <v>0.8</v>
      </c>
    </row>
    <row r="11" spans="1:52">
      <c r="A11" s="63">
        <f>ELEC!C9</f>
        <v>44111</v>
      </c>
      <c r="B11" s="64">
        <f t="shared" si="40"/>
        <v>242</v>
      </c>
      <c r="C11" s="64">
        <f t="shared" si="41"/>
        <v>247.3</v>
      </c>
      <c r="D11" s="45">
        <f t="shared" si="30"/>
        <v>0</v>
      </c>
      <c r="E11" s="45">
        <f t="shared" si="9"/>
        <v>0</v>
      </c>
      <c r="F11" s="64">
        <f t="shared" si="10"/>
        <v>1648</v>
      </c>
      <c r="G11" s="52">
        <f t="shared" si="0"/>
        <v>0</v>
      </c>
      <c r="H11" s="64">
        <f t="shared" si="11"/>
        <v>357868</v>
      </c>
      <c r="I11" s="400">
        <f t="shared" si="1"/>
        <v>0</v>
      </c>
      <c r="J11" s="66">
        <f t="shared" si="12"/>
        <v>0</v>
      </c>
      <c r="K11" s="64">
        <f t="shared" si="42"/>
        <v>2115</v>
      </c>
      <c r="L11" s="52">
        <f t="shared" si="2"/>
        <v>0</v>
      </c>
      <c r="M11" s="64">
        <f t="shared" si="43"/>
        <v>155221</v>
      </c>
      <c r="N11" s="400">
        <f t="shared" si="3"/>
        <v>0</v>
      </c>
      <c r="O11" s="64">
        <f t="shared" si="13"/>
        <v>211.87499999999994</v>
      </c>
      <c r="P11" s="64">
        <f t="shared" si="13"/>
        <v>1840</v>
      </c>
      <c r="Q11" s="64">
        <f t="shared" si="13"/>
        <v>156190</v>
      </c>
      <c r="R11" s="399">
        <f t="shared" ref="R11:R34" si="44">Q11-Q10</f>
        <v>0</v>
      </c>
      <c r="S11" s="52">
        <f t="shared" si="5"/>
        <v>0</v>
      </c>
      <c r="T11" s="67">
        <f t="shared" si="31"/>
        <v>0</v>
      </c>
      <c r="U11" s="406">
        <f t="shared" si="14"/>
        <v>0</v>
      </c>
      <c r="V11" s="62">
        <f t="shared" si="15"/>
        <v>0</v>
      </c>
      <c r="W11" s="404" t="e">
        <f t="shared" si="16"/>
        <v>#DIV/0!</v>
      </c>
      <c r="X11" s="64">
        <f t="shared" si="17"/>
        <v>2448</v>
      </c>
      <c r="Y11" s="52">
        <f t="shared" si="18"/>
        <v>0</v>
      </c>
      <c r="Z11" s="64">
        <f t="shared" si="19"/>
        <v>137506</v>
      </c>
      <c r="AA11" s="65">
        <f t="shared" si="6"/>
        <v>0</v>
      </c>
      <c r="AB11" s="287">
        <f t="shared" si="32"/>
        <v>0</v>
      </c>
      <c r="AC11" s="64">
        <f t="shared" si="20"/>
        <v>1933</v>
      </c>
      <c r="AD11" s="45">
        <f t="shared" si="7"/>
        <v>0</v>
      </c>
      <c r="AE11" s="64">
        <f t="shared" si="21"/>
        <v>365212</v>
      </c>
      <c r="AF11" s="309">
        <f t="shared" si="22"/>
        <v>0</v>
      </c>
      <c r="AG11" s="210">
        <f t="shared" si="33"/>
        <v>0</v>
      </c>
      <c r="AH11" s="62">
        <f>AF11+AA11</f>
        <v>0</v>
      </c>
      <c r="AI11" s="321">
        <f>SUM(AH11+V11)</f>
        <v>0</v>
      </c>
      <c r="AJ11" s="321">
        <f>-tanks!AW12</f>
        <v>0</v>
      </c>
      <c r="AK11" s="321">
        <f t="shared" si="24"/>
        <v>0</v>
      </c>
      <c r="AL11" s="321">
        <f t="shared" si="8"/>
        <v>0</v>
      </c>
      <c r="AM11" s="321">
        <f t="shared" si="25"/>
        <v>0</v>
      </c>
      <c r="AN11" s="64">
        <f t="shared" si="35"/>
        <v>62</v>
      </c>
      <c r="AO11" s="323">
        <f t="shared" si="26"/>
        <v>1860</v>
      </c>
      <c r="AP11" s="64">
        <f t="shared" si="36"/>
        <v>52</v>
      </c>
      <c r="AQ11" s="323">
        <f t="shared" si="27"/>
        <v>1560</v>
      </c>
      <c r="AR11" s="64">
        <f t="shared" si="28"/>
        <v>68</v>
      </c>
      <c r="AS11" s="323">
        <f t="shared" si="37"/>
        <v>2040.0000000000002</v>
      </c>
      <c r="AT11" s="323">
        <f t="shared" si="38"/>
        <v>5460</v>
      </c>
      <c r="AU11" s="323">
        <f t="shared" si="39"/>
        <v>0</v>
      </c>
      <c r="AV11" s="271"/>
      <c r="AW11" s="271"/>
      <c r="AX11" s="316">
        <f t="shared" si="29"/>
        <v>0.8</v>
      </c>
    </row>
    <row r="12" spans="1:52">
      <c r="A12" s="63">
        <f>ELEC!C10</f>
        <v>44112</v>
      </c>
      <c r="B12" s="64">
        <f t="shared" si="40"/>
        <v>242</v>
      </c>
      <c r="C12" s="64">
        <f t="shared" si="41"/>
        <v>247.3</v>
      </c>
      <c r="D12" s="45">
        <f t="shared" si="30"/>
        <v>0</v>
      </c>
      <c r="E12" s="45">
        <f t="shared" si="9"/>
        <v>0</v>
      </c>
      <c r="F12" s="64">
        <f t="shared" si="10"/>
        <v>1648</v>
      </c>
      <c r="G12" s="52">
        <f t="shared" si="0"/>
        <v>0</v>
      </c>
      <c r="H12" s="64">
        <f t="shared" si="11"/>
        <v>357868</v>
      </c>
      <c r="I12" s="400">
        <f t="shared" si="1"/>
        <v>0</v>
      </c>
      <c r="J12" s="66">
        <f t="shared" si="12"/>
        <v>0</v>
      </c>
      <c r="K12" s="64">
        <f t="shared" si="42"/>
        <v>2115</v>
      </c>
      <c r="L12" s="52">
        <f t="shared" si="2"/>
        <v>0</v>
      </c>
      <c r="M12" s="64">
        <f t="shared" si="43"/>
        <v>155221</v>
      </c>
      <c r="N12" s="400">
        <f t="shared" si="3"/>
        <v>0</v>
      </c>
      <c r="O12" s="64">
        <f t="shared" si="13"/>
        <v>211.87499999999994</v>
      </c>
      <c r="P12" s="64">
        <f t="shared" si="13"/>
        <v>1840</v>
      </c>
      <c r="Q12" s="64">
        <f t="shared" si="13"/>
        <v>156190</v>
      </c>
      <c r="R12" s="399">
        <f t="shared" si="44"/>
        <v>0</v>
      </c>
      <c r="S12" s="52">
        <f t="shared" si="5"/>
        <v>0</v>
      </c>
      <c r="T12" s="67">
        <f t="shared" si="31"/>
        <v>0</v>
      </c>
      <c r="U12" s="406">
        <f t="shared" si="14"/>
        <v>0</v>
      </c>
      <c r="V12" s="62">
        <f t="shared" si="15"/>
        <v>0</v>
      </c>
      <c r="W12" s="404" t="e">
        <f t="shared" si="16"/>
        <v>#DIV/0!</v>
      </c>
      <c r="X12" s="64">
        <f t="shared" si="17"/>
        <v>2448</v>
      </c>
      <c r="Y12" s="52">
        <f t="shared" si="18"/>
        <v>0</v>
      </c>
      <c r="Z12" s="64">
        <f t="shared" si="19"/>
        <v>137506</v>
      </c>
      <c r="AA12" s="65">
        <f t="shared" si="6"/>
        <v>0</v>
      </c>
      <c r="AB12" s="287">
        <f t="shared" si="32"/>
        <v>0</v>
      </c>
      <c r="AC12" s="64">
        <f t="shared" si="20"/>
        <v>1933</v>
      </c>
      <c r="AD12" s="45">
        <f t="shared" si="7"/>
        <v>0</v>
      </c>
      <c r="AE12" s="64">
        <f t="shared" si="21"/>
        <v>365212</v>
      </c>
      <c r="AF12" s="309">
        <f t="shared" si="22"/>
        <v>0</v>
      </c>
      <c r="AG12" s="210">
        <f t="shared" si="33"/>
        <v>0</v>
      </c>
      <c r="AH12" s="62">
        <f t="shared" si="34"/>
        <v>0</v>
      </c>
      <c r="AI12" s="321">
        <f t="shared" si="23"/>
        <v>0</v>
      </c>
      <c r="AJ12" s="321">
        <f>-tanks!AW13</f>
        <v>0</v>
      </c>
      <c r="AK12" s="321">
        <f t="shared" si="24"/>
        <v>0</v>
      </c>
      <c r="AL12" s="321">
        <f t="shared" si="8"/>
        <v>0</v>
      </c>
      <c r="AM12" s="321">
        <f t="shared" si="25"/>
        <v>0</v>
      </c>
      <c r="AN12" s="64">
        <f t="shared" si="35"/>
        <v>62</v>
      </c>
      <c r="AO12" s="323">
        <f t="shared" si="26"/>
        <v>1860</v>
      </c>
      <c r="AP12" s="64">
        <f t="shared" si="36"/>
        <v>52</v>
      </c>
      <c r="AQ12" s="323">
        <f t="shared" si="27"/>
        <v>1560</v>
      </c>
      <c r="AR12" s="64">
        <f t="shared" si="28"/>
        <v>68</v>
      </c>
      <c r="AS12" s="323">
        <f t="shared" si="37"/>
        <v>2040.0000000000002</v>
      </c>
      <c r="AT12" s="323">
        <f t="shared" si="38"/>
        <v>5460</v>
      </c>
      <c r="AU12" s="323">
        <f t="shared" si="39"/>
        <v>0</v>
      </c>
      <c r="AV12" s="271"/>
      <c r="AW12" s="271"/>
      <c r="AX12" s="316">
        <f t="shared" si="29"/>
        <v>0.8</v>
      </c>
    </row>
    <row r="13" spans="1:52">
      <c r="A13" s="63">
        <f>ELEC!C11</f>
        <v>44113</v>
      </c>
      <c r="B13" s="64">
        <f t="shared" si="40"/>
        <v>242</v>
      </c>
      <c r="C13" s="64">
        <f t="shared" si="41"/>
        <v>247.3</v>
      </c>
      <c r="D13" s="45">
        <f t="shared" si="30"/>
        <v>0</v>
      </c>
      <c r="E13" s="45">
        <f t="shared" si="9"/>
        <v>0</v>
      </c>
      <c r="F13" s="64">
        <f t="shared" si="10"/>
        <v>1648</v>
      </c>
      <c r="G13" s="52">
        <f t="shared" si="0"/>
        <v>0</v>
      </c>
      <c r="H13" s="64">
        <f t="shared" si="11"/>
        <v>357868</v>
      </c>
      <c r="I13" s="400">
        <f t="shared" si="1"/>
        <v>0</v>
      </c>
      <c r="J13" s="66">
        <f t="shared" si="12"/>
        <v>0</v>
      </c>
      <c r="K13" s="64">
        <f t="shared" si="42"/>
        <v>2115</v>
      </c>
      <c r="L13" s="52">
        <f t="shared" si="2"/>
        <v>0</v>
      </c>
      <c r="M13" s="64">
        <f t="shared" si="43"/>
        <v>155221</v>
      </c>
      <c r="N13" s="400">
        <f t="shared" si="3"/>
        <v>0</v>
      </c>
      <c r="O13" s="64">
        <f t="shared" si="13"/>
        <v>211.87499999999994</v>
      </c>
      <c r="P13" s="64">
        <f t="shared" si="13"/>
        <v>1840</v>
      </c>
      <c r="Q13" s="64">
        <f t="shared" si="13"/>
        <v>156190</v>
      </c>
      <c r="R13" s="399">
        <f t="shared" si="44"/>
        <v>0</v>
      </c>
      <c r="S13" s="52">
        <f t="shared" si="5"/>
        <v>0</v>
      </c>
      <c r="T13" s="67">
        <f t="shared" si="31"/>
        <v>0</v>
      </c>
      <c r="U13" s="406">
        <f t="shared" si="14"/>
        <v>0</v>
      </c>
      <c r="V13" s="62">
        <f>R13+N13+I13:I13</f>
        <v>0</v>
      </c>
      <c r="W13" s="404" t="e">
        <f t="shared" si="16"/>
        <v>#DIV/0!</v>
      </c>
      <c r="X13" s="64">
        <f t="shared" si="17"/>
        <v>2448</v>
      </c>
      <c r="Y13" s="52">
        <f t="shared" si="18"/>
        <v>0</v>
      </c>
      <c r="Z13" s="64">
        <f t="shared" si="19"/>
        <v>137506</v>
      </c>
      <c r="AA13" s="287">
        <f t="shared" si="6"/>
        <v>0</v>
      </c>
      <c r="AB13" s="287">
        <f t="shared" si="32"/>
        <v>0</v>
      </c>
      <c r="AC13" s="64">
        <f t="shared" si="20"/>
        <v>1933</v>
      </c>
      <c r="AD13" s="45">
        <f t="shared" si="7"/>
        <v>0</v>
      </c>
      <c r="AE13" s="64">
        <f t="shared" si="21"/>
        <v>365212</v>
      </c>
      <c r="AF13" s="309">
        <f t="shared" si="22"/>
        <v>0</v>
      </c>
      <c r="AG13" s="210">
        <f t="shared" si="33"/>
        <v>0</v>
      </c>
      <c r="AH13" s="62">
        <f t="shared" si="34"/>
        <v>0</v>
      </c>
      <c r="AI13" s="321">
        <f t="shared" si="23"/>
        <v>0</v>
      </c>
      <c r="AJ13" s="321">
        <f>-tanks!AW14</f>
        <v>0</v>
      </c>
      <c r="AK13" s="321">
        <f t="shared" si="24"/>
        <v>0</v>
      </c>
      <c r="AL13" s="321">
        <f t="shared" si="8"/>
        <v>0</v>
      </c>
      <c r="AM13" s="321">
        <f t="shared" si="25"/>
        <v>0</v>
      </c>
      <c r="AN13" s="64">
        <f t="shared" si="35"/>
        <v>62</v>
      </c>
      <c r="AO13" s="323">
        <f t="shared" si="26"/>
        <v>1860</v>
      </c>
      <c r="AP13" s="64">
        <f t="shared" si="36"/>
        <v>52</v>
      </c>
      <c r="AQ13" s="323">
        <f t="shared" si="27"/>
        <v>1560</v>
      </c>
      <c r="AR13" s="64">
        <f t="shared" si="28"/>
        <v>68</v>
      </c>
      <c r="AS13" s="323">
        <f t="shared" si="37"/>
        <v>2040.0000000000002</v>
      </c>
      <c r="AT13" s="323">
        <f t="shared" si="38"/>
        <v>5460</v>
      </c>
      <c r="AU13" s="323">
        <f t="shared" si="39"/>
        <v>0</v>
      </c>
      <c r="AV13" s="271"/>
      <c r="AW13" s="271"/>
      <c r="AX13" s="316">
        <f t="shared" si="29"/>
        <v>0.8</v>
      </c>
    </row>
    <row r="14" spans="1:52">
      <c r="A14" s="63">
        <f>ELEC!C12</f>
        <v>44114</v>
      </c>
      <c r="B14" s="64">
        <f t="shared" si="40"/>
        <v>242</v>
      </c>
      <c r="C14" s="64">
        <f t="shared" si="41"/>
        <v>247.3</v>
      </c>
      <c r="D14" s="45">
        <f t="shared" si="30"/>
        <v>0</v>
      </c>
      <c r="E14" s="45">
        <f t="shared" si="9"/>
        <v>0</v>
      </c>
      <c r="F14" s="64">
        <f t="shared" si="10"/>
        <v>1648</v>
      </c>
      <c r="G14" s="52">
        <f t="shared" si="0"/>
        <v>0</v>
      </c>
      <c r="H14" s="64">
        <f t="shared" si="11"/>
        <v>357868</v>
      </c>
      <c r="I14" s="400">
        <f t="shared" si="1"/>
        <v>0</v>
      </c>
      <c r="J14" s="66">
        <f t="shared" si="12"/>
        <v>0</v>
      </c>
      <c r="K14" s="64">
        <f t="shared" si="42"/>
        <v>2115</v>
      </c>
      <c r="L14" s="52">
        <f t="shared" si="2"/>
        <v>0</v>
      </c>
      <c r="M14" s="64">
        <f t="shared" si="43"/>
        <v>155221</v>
      </c>
      <c r="N14" s="400">
        <f t="shared" si="3"/>
        <v>0</v>
      </c>
      <c r="O14" s="64">
        <f t="shared" si="13"/>
        <v>211.87499999999994</v>
      </c>
      <c r="P14" s="64">
        <f t="shared" si="13"/>
        <v>1840</v>
      </c>
      <c r="Q14" s="64">
        <f t="shared" si="13"/>
        <v>156190</v>
      </c>
      <c r="R14" s="399">
        <f t="shared" si="44"/>
        <v>0</v>
      </c>
      <c r="S14" s="52">
        <f t="shared" si="5"/>
        <v>0</v>
      </c>
      <c r="T14" s="67">
        <f t="shared" si="31"/>
        <v>0</v>
      </c>
      <c r="U14" s="406">
        <f t="shared" si="14"/>
        <v>0</v>
      </c>
      <c r="V14" s="62">
        <f t="shared" si="15"/>
        <v>0</v>
      </c>
      <c r="W14" s="404" t="e">
        <f t="shared" si="16"/>
        <v>#DIV/0!</v>
      </c>
      <c r="X14" s="64">
        <f t="shared" si="17"/>
        <v>2448</v>
      </c>
      <c r="Y14" s="52">
        <f t="shared" si="18"/>
        <v>0</v>
      </c>
      <c r="Z14" s="64">
        <f t="shared" si="19"/>
        <v>137506</v>
      </c>
      <c r="AA14" s="65">
        <f t="shared" si="6"/>
        <v>0</v>
      </c>
      <c r="AB14" s="287">
        <f t="shared" si="32"/>
        <v>0</v>
      </c>
      <c r="AC14" s="64">
        <f t="shared" si="20"/>
        <v>1933</v>
      </c>
      <c r="AD14" s="45">
        <f t="shared" si="7"/>
        <v>0</v>
      </c>
      <c r="AE14" s="64">
        <f t="shared" si="21"/>
        <v>365212</v>
      </c>
      <c r="AF14" s="309">
        <f>AE14-AE13</f>
        <v>0</v>
      </c>
      <c r="AG14" s="210">
        <f t="shared" si="33"/>
        <v>0</v>
      </c>
      <c r="AH14" s="62">
        <f>AF14+AA14</f>
        <v>0</v>
      </c>
      <c r="AI14" s="321">
        <f>SUM(AH14+V14)</f>
        <v>0</v>
      </c>
      <c r="AJ14" s="321">
        <f>-tanks!AW15</f>
        <v>0</v>
      </c>
      <c r="AK14" s="321">
        <f t="shared" si="24"/>
        <v>0</v>
      </c>
      <c r="AL14" s="321">
        <f t="shared" si="8"/>
        <v>0</v>
      </c>
      <c r="AM14" s="321">
        <f t="shared" si="25"/>
        <v>0</v>
      </c>
      <c r="AN14" s="64">
        <f t="shared" si="35"/>
        <v>62</v>
      </c>
      <c r="AO14" s="323">
        <f t="shared" si="26"/>
        <v>1860</v>
      </c>
      <c r="AP14" s="64">
        <f t="shared" si="36"/>
        <v>52</v>
      </c>
      <c r="AQ14" s="323">
        <f t="shared" si="27"/>
        <v>1560</v>
      </c>
      <c r="AR14" s="64">
        <f t="shared" si="28"/>
        <v>68</v>
      </c>
      <c r="AS14" s="323">
        <f t="shared" si="37"/>
        <v>2040.0000000000002</v>
      </c>
      <c r="AT14" s="323">
        <f t="shared" si="38"/>
        <v>5460</v>
      </c>
      <c r="AU14" s="323">
        <f t="shared" si="39"/>
        <v>0</v>
      </c>
      <c r="AV14" s="271"/>
      <c r="AW14" s="271"/>
      <c r="AX14" s="316">
        <f t="shared" si="29"/>
        <v>0.8</v>
      </c>
    </row>
    <row r="15" spans="1:52" ht="15" customHeight="1">
      <c r="A15" s="63">
        <f>ELEC!C13</f>
        <v>44115</v>
      </c>
      <c r="B15" s="64">
        <f t="shared" si="40"/>
        <v>242</v>
      </c>
      <c r="C15" s="64">
        <f t="shared" si="41"/>
        <v>247.3</v>
      </c>
      <c r="D15" s="45">
        <f t="shared" si="30"/>
        <v>0</v>
      </c>
      <c r="E15" s="45">
        <f t="shared" si="9"/>
        <v>0</v>
      </c>
      <c r="F15" s="64">
        <f t="shared" si="10"/>
        <v>1648</v>
      </c>
      <c r="G15" s="52">
        <f t="shared" si="0"/>
        <v>0</v>
      </c>
      <c r="H15" s="64">
        <f t="shared" si="11"/>
        <v>357868</v>
      </c>
      <c r="I15" s="400">
        <f t="shared" si="1"/>
        <v>0</v>
      </c>
      <c r="J15" s="66">
        <f t="shared" si="12"/>
        <v>0</v>
      </c>
      <c r="K15" s="64">
        <f t="shared" si="42"/>
        <v>2115</v>
      </c>
      <c r="L15" s="52">
        <f t="shared" si="2"/>
        <v>0</v>
      </c>
      <c r="M15" s="64">
        <f t="shared" si="43"/>
        <v>155221</v>
      </c>
      <c r="N15" s="400">
        <f t="shared" si="3"/>
        <v>0</v>
      </c>
      <c r="O15" s="64">
        <f t="shared" si="13"/>
        <v>211.87499999999994</v>
      </c>
      <c r="P15" s="64">
        <f t="shared" si="13"/>
        <v>1840</v>
      </c>
      <c r="Q15" s="64">
        <f t="shared" si="13"/>
        <v>156190</v>
      </c>
      <c r="R15" s="399">
        <f t="shared" si="44"/>
        <v>0</v>
      </c>
      <c r="S15" s="52">
        <f t="shared" si="5"/>
        <v>0</v>
      </c>
      <c r="T15" s="67">
        <f t="shared" si="31"/>
        <v>0</v>
      </c>
      <c r="U15" s="406">
        <f t="shared" si="14"/>
        <v>0</v>
      </c>
      <c r="V15" s="62">
        <f t="shared" si="15"/>
        <v>0</v>
      </c>
      <c r="W15" s="404" t="e">
        <f t="shared" si="16"/>
        <v>#DIV/0!</v>
      </c>
      <c r="X15" s="64">
        <f t="shared" si="17"/>
        <v>2448</v>
      </c>
      <c r="Y15" s="52">
        <f t="shared" si="18"/>
        <v>0</v>
      </c>
      <c r="Z15" s="64">
        <f t="shared" si="19"/>
        <v>137506</v>
      </c>
      <c r="AA15" s="65">
        <f t="shared" si="6"/>
        <v>0</v>
      </c>
      <c r="AB15" s="287">
        <f t="shared" si="32"/>
        <v>0</v>
      </c>
      <c r="AC15" s="64">
        <f t="shared" si="20"/>
        <v>1933</v>
      </c>
      <c r="AD15" s="45">
        <f t="shared" si="7"/>
        <v>0</v>
      </c>
      <c r="AE15" s="64">
        <f t="shared" si="21"/>
        <v>365212</v>
      </c>
      <c r="AF15" s="309">
        <f t="shared" si="22"/>
        <v>0</v>
      </c>
      <c r="AG15" s="210">
        <f t="shared" si="33"/>
        <v>0</v>
      </c>
      <c r="AH15" s="62">
        <f t="shared" si="34"/>
        <v>0</v>
      </c>
      <c r="AI15" s="321">
        <f t="shared" si="23"/>
        <v>0</v>
      </c>
      <c r="AJ15" s="321">
        <f>-tanks!AW16</f>
        <v>0</v>
      </c>
      <c r="AK15" s="321">
        <f t="shared" si="24"/>
        <v>0</v>
      </c>
      <c r="AL15" s="321">
        <f t="shared" si="8"/>
        <v>0</v>
      </c>
      <c r="AM15" s="321">
        <f t="shared" si="25"/>
        <v>0</v>
      </c>
      <c r="AN15" s="64">
        <f t="shared" si="35"/>
        <v>62</v>
      </c>
      <c r="AO15" s="323">
        <f t="shared" si="26"/>
        <v>1860</v>
      </c>
      <c r="AP15" s="64">
        <f t="shared" si="36"/>
        <v>52</v>
      </c>
      <c r="AQ15" s="323">
        <f t="shared" si="27"/>
        <v>1560</v>
      </c>
      <c r="AR15" s="64">
        <f t="shared" si="28"/>
        <v>68</v>
      </c>
      <c r="AS15" s="323">
        <f t="shared" si="37"/>
        <v>2040.0000000000002</v>
      </c>
      <c r="AT15" s="323">
        <f t="shared" si="38"/>
        <v>5460</v>
      </c>
      <c r="AU15" s="323">
        <f t="shared" si="39"/>
        <v>0</v>
      </c>
      <c r="AV15" s="271"/>
      <c r="AW15" s="271"/>
      <c r="AX15" s="316">
        <f t="shared" si="29"/>
        <v>0.8</v>
      </c>
    </row>
    <row r="16" spans="1:52">
      <c r="A16" s="63">
        <f>ELEC!C14</f>
        <v>44116</v>
      </c>
      <c r="B16" s="64">
        <f t="shared" si="40"/>
        <v>242</v>
      </c>
      <c r="C16" s="64">
        <f t="shared" si="41"/>
        <v>247.3</v>
      </c>
      <c r="D16" s="45">
        <f t="shared" si="30"/>
        <v>0</v>
      </c>
      <c r="E16" s="45">
        <f t="shared" si="9"/>
        <v>0</v>
      </c>
      <c r="F16" s="64">
        <f t="shared" si="10"/>
        <v>1648</v>
      </c>
      <c r="G16" s="52">
        <f t="shared" si="0"/>
        <v>0</v>
      </c>
      <c r="H16" s="64">
        <f t="shared" si="11"/>
        <v>357868</v>
      </c>
      <c r="I16" s="400">
        <f t="shared" si="1"/>
        <v>0</v>
      </c>
      <c r="J16" s="66">
        <f t="shared" si="12"/>
        <v>0</v>
      </c>
      <c r="K16" s="64">
        <f t="shared" si="42"/>
        <v>2115</v>
      </c>
      <c r="L16" s="52">
        <f t="shared" si="2"/>
        <v>0</v>
      </c>
      <c r="M16" s="64">
        <f t="shared" si="43"/>
        <v>155221</v>
      </c>
      <c r="N16" s="400">
        <f t="shared" si="3"/>
        <v>0</v>
      </c>
      <c r="O16" s="64">
        <f t="shared" si="13"/>
        <v>211.87499999999994</v>
      </c>
      <c r="P16" s="64">
        <f t="shared" si="13"/>
        <v>1840</v>
      </c>
      <c r="Q16" s="64">
        <f t="shared" si="13"/>
        <v>156190</v>
      </c>
      <c r="R16" s="399">
        <f t="shared" si="44"/>
        <v>0</v>
      </c>
      <c r="S16" s="52">
        <f t="shared" si="5"/>
        <v>0</v>
      </c>
      <c r="T16" s="67">
        <f t="shared" si="31"/>
        <v>0</v>
      </c>
      <c r="U16" s="406">
        <f t="shared" si="14"/>
        <v>0</v>
      </c>
      <c r="V16" s="62">
        <f t="shared" si="15"/>
        <v>0</v>
      </c>
      <c r="W16" s="404" t="e">
        <f t="shared" si="16"/>
        <v>#DIV/0!</v>
      </c>
      <c r="X16" s="64">
        <f t="shared" si="17"/>
        <v>2448</v>
      </c>
      <c r="Y16" s="52">
        <f t="shared" si="18"/>
        <v>0</v>
      </c>
      <c r="Z16" s="64">
        <f t="shared" si="19"/>
        <v>137506</v>
      </c>
      <c r="AA16" s="65">
        <f t="shared" si="6"/>
        <v>0</v>
      </c>
      <c r="AB16" s="287">
        <f t="shared" si="32"/>
        <v>0</v>
      </c>
      <c r="AC16" s="64">
        <f t="shared" si="20"/>
        <v>1933</v>
      </c>
      <c r="AD16" s="45">
        <f t="shared" si="7"/>
        <v>0</v>
      </c>
      <c r="AE16" s="64">
        <f t="shared" si="21"/>
        <v>365212</v>
      </c>
      <c r="AF16" s="309">
        <f t="shared" si="22"/>
        <v>0</v>
      </c>
      <c r="AG16" s="210">
        <f t="shared" si="33"/>
        <v>0</v>
      </c>
      <c r="AH16" s="62">
        <f t="shared" si="34"/>
        <v>0</v>
      </c>
      <c r="AI16" s="321">
        <f t="shared" si="23"/>
        <v>0</v>
      </c>
      <c r="AJ16" s="321">
        <f>-tanks!AW17</f>
        <v>0</v>
      </c>
      <c r="AK16" s="321">
        <f t="shared" si="24"/>
        <v>0</v>
      </c>
      <c r="AL16" s="321">
        <f t="shared" si="8"/>
        <v>0</v>
      </c>
      <c r="AM16" s="321">
        <f t="shared" si="25"/>
        <v>0</v>
      </c>
      <c r="AN16" s="64">
        <f t="shared" si="35"/>
        <v>62</v>
      </c>
      <c r="AO16" s="323">
        <f t="shared" si="26"/>
        <v>1860</v>
      </c>
      <c r="AP16" s="64">
        <f t="shared" si="36"/>
        <v>52</v>
      </c>
      <c r="AQ16" s="323">
        <f t="shared" si="27"/>
        <v>1560</v>
      </c>
      <c r="AR16" s="64">
        <f t="shared" si="28"/>
        <v>68</v>
      </c>
      <c r="AS16" s="323">
        <f t="shared" si="37"/>
        <v>2040.0000000000002</v>
      </c>
      <c r="AT16" s="323">
        <f t="shared" si="38"/>
        <v>5460</v>
      </c>
      <c r="AU16" s="323">
        <f t="shared" si="39"/>
        <v>0</v>
      </c>
      <c r="AV16" s="271"/>
      <c r="AW16" s="271"/>
      <c r="AX16" s="316">
        <f t="shared" si="29"/>
        <v>0.8</v>
      </c>
    </row>
    <row r="17" spans="1:50">
      <c r="A17" s="63">
        <f>ELEC!C15</f>
        <v>44117</v>
      </c>
      <c r="B17" s="64">
        <f t="shared" si="40"/>
        <v>242</v>
      </c>
      <c r="C17" s="64">
        <f t="shared" si="41"/>
        <v>247.3</v>
      </c>
      <c r="D17" s="45">
        <f t="shared" si="30"/>
        <v>0</v>
      </c>
      <c r="E17" s="45">
        <f t="shared" si="9"/>
        <v>0</v>
      </c>
      <c r="F17" s="64">
        <f t="shared" si="10"/>
        <v>1648</v>
      </c>
      <c r="G17" s="52">
        <f t="shared" si="0"/>
        <v>0</v>
      </c>
      <c r="H17" s="64">
        <f t="shared" si="11"/>
        <v>357868</v>
      </c>
      <c r="I17" s="400">
        <f t="shared" si="1"/>
        <v>0</v>
      </c>
      <c r="J17" s="66">
        <f t="shared" si="12"/>
        <v>0</v>
      </c>
      <c r="K17" s="64">
        <f t="shared" si="42"/>
        <v>2115</v>
      </c>
      <c r="L17" s="52">
        <f t="shared" si="2"/>
        <v>0</v>
      </c>
      <c r="M17" s="64">
        <f t="shared" si="43"/>
        <v>155221</v>
      </c>
      <c r="N17" s="400">
        <f t="shared" si="3"/>
        <v>0</v>
      </c>
      <c r="O17" s="64">
        <f t="shared" si="13"/>
        <v>211.87499999999994</v>
      </c>
      <c r="P17" s="64">
        <f t="shared" si="13"/>
        <v>1840</v>
      </c>
      <c r="Q17" s="64">
        <f t="shared" si="13"/>
        <v>156190</v>
      </c>
      <c r="R17" s="399">
        <f t="shared" si="44"/>
        <v>0</v>
      </c>
      <c r="S17" s="52">
        <f t="shared" si="5"/>
        <v>0</v>
      </c>
      <c r="T17" s="67">
        <f t="shared" si="31"/>
        <v>0</v>
      </c>
      <c r="U17" s="406">
        <f t="shared" si="14"/>
        <v>0</v>
      </c>
      <c r="V17" s="62">
        <f t="shared" si="15"/>
        <v>0</v>
      </c>
      <c r="W17" s="404"/>
      <c r="X17" s="64">
        <f t="shared" si="17"/>
        <v>2448</v>
      </c>
      <c r="Y17" s="52">
        <f t="shared" si="18"/>
        <v>0</v>
      </c>
      <c r="Z17" s="64">
        <f t="shared" si="19"/>
        <v>137506</v>
      </c>
      <c r="AA17" s="65">
        <f t="shared" si="6"/>
        <v>0</v>
      </c>
      <c r="AB17" s="287">
        <f t="shared" si="32"/>
        <v>0</v>
      </c>
      <c r="AC17" s="64">
        <f t="shared" si="20"/>
        <v>1933</v>
      </c>
      <c r="AD17" s="45">
        <f t="shared" si="7"/>
        <v>0</v>
      </c>
      <c r="AE17" s="64">
        <f t="shared" si="21"/>
        <v>365212</v>
      </c>
      <c r="AF17" s="309">
        <f t="shared" si="22"/>
        <v>0</v>
      </c>
      <c r="AG17" s="210">
        <f t="shared" si="33"/>
        <v>0</v>
      </c>
      <c r="AH17" s="62">
        <f t="shared" si="34"/>
        <v>0</v>
      </c>
      <c r="AI17" s="321">
        <f t="shared" si="23"/>
        <v>0</v>
      </c>
      <c r="AJ17" s="321">
        <f>-tanks!AW18</f>
        <v>0</v>
      </c>
      <c r="AK17" s="321">
        <f t="shared" si="24"/>
        <v>0</v>
      </c>
      <c r="AL17" s="321">
        <f t="shared" si="8"/>
        <v>0</v>
      </c>
      <c r="AM17" s="321">
        <f t="shared" si="25"/>
        <v>0</v>
      </c>
      <c r="AN17" s="64">
        <f t="shared" si="35"/>
        <v>62</v>
      </c>
      <c r="AO17" s="323">
        <f t="shared" si="26"/>
        <v>1860</v>
      </c>
      <c r="AP17" s="64">
        <f t="shared" si="36"/>
        <v>52</v>
      </c>
      <c r="AQ17" s="323">
        <f t="shared" si="27"/>
        <v>1560</v>
      </c>
      <c r="AR17" s="64">
        <f t="shared" si="28"/>
        <v>68</v>
      </c>
      <c r="AS17" s="323">
        <f t="shared" si="37"/>
        <v>2040.0000000000002</v>
      </c>
      <c r="AT17" s="323">
        <f t="shared" si="38"/>
        <v>5460</v>
      </c>
      <c r="AU17" s="323">
        <f t="shared" si="39"/>
        <v>0</v>
      </c>
      <c r="AV17" s="271"/>
      <c r="AW17" s="271"/>
      <c r="AX17" s="316">
        <f t="shared" si="29"/>
        <v>0.8</v>
      </c>
    </row>
    <row r="18" spans="1:50">
      <c r="A18" s="63">
        <f>ELEC!C16</f>
        <v>44118</v>
      </c>
      <c r="B18" s="64">
        <f t="shared" si="40"/>
        <v>242</v>
      </c>
      <c r="C18" s="64">
        <f t="shared" si="41"/>
        <v>247.3</v>
      </c>
      <c r="D18" s="45">
        <f t="shared" si="30"/>
        <v>0</v>
      </c>
      <c r="E18" s="45">
        <f t="shared" si="9"/>
        <v>0</v>
      </c>
      <c r="F18" s="64">
        <f t="shared" si="10"/>
        <v>1648</v>
      </c>
      <c r="G18" s="52">
        <f t="shared" si="0"/>
        <v>0</v>
      </c>
      <c r="H18" s="64">
        <f t="shared" si="11"/>
        <v>357868</v>
      </c>
      <c r="I18" s="400">
        <f t="shared" si="1"/>
        <v>0</v>
      </c>
      <c r="J18" s="66">
        <f t="shared" si="12"/>
        <v>0</v>
      </c>
      <c r="K18" s="64">
        <f t="shared" si="42"/>
        <v>2115</v>
      </c>
      <c r="L18" s="52">
        <f t="shared" si="2"/>
        <v>0</v>
      </c>
      <c r="M18" s="64">
        <f t="shared" si="43"/>
        <v>155221</v>
      </c>
      <c r="N18" s="400">
        <f t="shared" si="3"/>
        <v>0</v>
      </c>
      <c r="O18" s="64">
        <f t="shared" si="13"/>
        <v>211.87499999999994</v>
      </c>
      <c r="P18" s="64">
        <f t="shared" si="13"/>
        <v>1840</v>
      </c>
      <c r="Q18" s="64">
        <f t="shared" si="13"/>
        <v>156190</v>
      </c>
      <c r="R18" s="399">
        <f t="shared" si="44"/>
        <v>0</v>
      </c>
      <c r="S18" s="52">
        <f t="shared" si="5"/>
        <v>0</v>
      </c>
      <c r="T18" s="67">
        <f t="shared" si="31"/>
        <v>0</v>
      </c>
      <c r="U18" s="406">
        <f t="shared" si="14"/>
        <v>0</v>
      </c>
      <c r="V18" s="62">
        <f t="shared" si="15"/>
        <v>0</v>
      </c>
      <c r="W18" s="404"/>
      <c r="X18" s="64">
        <f t="shared" si="17"/>
        <v>2448</v>
      </c>
      <c r="Y18" s="52">
        <f t="shared" si="18"/>
        <v>0</v>
      </c>
      <c r="Z18" s="64">
        <f t="shared" si="19"/>
        <v>137506</v>
      </c>
      <c r="AA18" s="65">
        <f t="shared" si="6"/>
        <v>0</v>
      </c>
      <c r="AB18" s="287">
        <f t="shared" ref="AB18:AB23" si="45">SUM(Y18*$AB$2)</f>
        <v>0</v>
      </c>
      <c r="AC18" s="64">
        <f t="shared" si="20"/>
        <v>1933</v>
      </c>
      <c r="AD18" s="45">
        <f t="shared" si="7"/>
        <v>0</v>
      </c>
      <c r="AE18" s="64">
        <f t="shared" si="21"/>
        <v>365212</v>
      </c>
      <c r="AF18" s="309">
        <f t="shared" si="22"/>
        <v>0</v>
      </c>
      <c r="AG18" s="210">
        <f t="shared" si="33"/>
        <v>0</v>
      </c>
      <c r="AH18" s="62">
        <f t="shared" si="34"/>
        <v>0</v>
      </c>
      <c r="AI18" s="321">
        <f t="shared" si="23"/>
        <v>0</v>
      </c>
      <c r="AJ18" s="321">
        <f>-tanks!AW19</f>
        <v>0</v>
      </c>
      <c r="AK18" s="321">
        <f t="shared" si="24"/>
        <v>0</v>
      </c>
      <c r="AL18" s="321">
        <f t="shared" si="8"/>
        <v>0</v>
      </c>
      <c r="AM18" s="321">
        <f t="shared" si="25"/>
        <v>0</v>
      </c>
      <c r="AN18" s="64">
        <f t="shared" si="35"/>
        <v>62</v>
      </c>
      <c r="AO18" s="323">
        <f t="shared" si="26"/>
        <v>1860</v>
      </c>
      <c r="AP18" s="64">
        <f t="shared" si="36"/>
        <v>52</v>
      </c>
      <c r="AQ18" s="323">
        <f t="shared" si="27"/>
        <v>1560</v>
      </c>
      <c r="AR18" s="64">
        <f t="shared" si="28"/>
        <v>68</v>
      </c>
      <c r="AS18" s="323">
        <f t="shared" si="37"/>
        <v>2040.0000000000002</v>
      </c>
      <c r="AT18" s="323">
        <f t="shared" si="38"/>
        <v>5460</v>
      </c>
      <c r="AU18" s="323">
        <f t="shared" si="39"/>
        <v>0</v>
      </c>
      <c r="AV18" s="271"/>
      <c r="AW18" s="271"/>
      <c r="AX18" s="316">
        <f t="shared" si="29"/>
        <v>0.8</v>
      </c>
    </row>
    <row r="19" spans="1:50">
      <c r="A19" s="63">
        <f>ELEC!C17</f>
        <v>44119</v>
      </c>
      <c r="B19" s="64">
        <f t="shared" si="40"/>
        <v>242</v>
      </c>
      <c r="C19" s="64">
        <f t="shared" si="41"/>
        <v>247.3</v>
      </c>
      <c r="D19" s="45">
        <f t="shared" si="30"/>
        <v>0</v>
      </c>
      <c r="E19" s="45">
        <f t="shared" si="9"/>
        <v>0</v>
      </c>
      <c r="F19" s="64">
        <f t="shared" si="10"/>
        <v>1648</v>
      </c>
      <c r="G19" s="52">
        <f t="shared" si="0"/>
        <v>0</v>
      </c>
      <c r="H19" s="64">
        <f t="shared" si="11"/>
        <v>357868</v>
      </c>
      <c r="I19" s="400">
        <f t="shared" si="1"/>
        <v>0</v>
      </c>
      <c r="J19" s="66">
        <f t="shared" si="12"/>
        <v>0</v>
      </c>
      <c r="K19" s="64">
        <f t="shared" si="42"/>
        <v>2115</v>
      </c>
      <c r="L19" s="52">
        <f t="shared" si="2"/>
        <v>0</v>
      </c>
      <c r="M19" s="64">
        <f t="shared" si="43"/>
        <v>155221</v>
      </c>
      <c r="N19" s="400">
        <f t="shared" si="3"/>
        <v>0</v>
      </c>
      <c r="O19" s="64">
        <f t="shared" si="13"/>
        <v>211.87499999999994</v>
      </c>
      <c r="P19" s="64">
        <f t="shared" si="13"/>
        <v>1840</v>
      </c>
      <c r="Q19" s="64">
        <f t="shared" si="13"/>
        <v>156190</v>
      </c>
      <c r="R19" s="399">
        <f t="shared" si="44"/>
        <v>0</v>
      </c>
      <c r="S19" s="52">
        <f t="shared" si="5"/>
        <v>0</v>
      </c>
      <c r="T19" s="67">
        <f t="shared" si="31"/>
        <v>0</v>
      </c>
      <c r="U19" s="406">
        <f t="shared" si="14"/>
        <v>0</v>
      </c>
      <c r="V19" s="62">
        <f t="shared" si="15"/>
        <v>0</v>
      </c>
      <c r="W19" s="404"/>
      <c r="X19" s="64">
        <f t="shared" si="17"/>
        <v>2448</v>
      </c>
      <c r="Y19" s="52">
        <f t="shared" si="18"/>
        <v>0</v>
      </c>
      <c r="Z19" s="64">
        <f t="shared" si="19"/>
        <v>137506</v>
      </c>
      <c r="AA19" s="65">
        <f t="shared" si="6"/>
        <v>0</v>
      </c>
      <c r="AB19" s="287">
        <f t="shared" si="45"/>
        <v>0</v>
      </c>
      <c r="AC19" s="64">
        <f t="shared" si="20"/>
        <v>1933</v>
      </c>
      <c r="AD19" s="45">
        <f t="shared" si="7"/>
        <v>0</v>
      </c>
      <c r="AE19" s="64">
        <f t="shared" si="21"/>
        <v>365212</v>
      </c>
      <c r="AF19" s="309">
        <f t="shared" si="22"/>
        <v>0</v>
      </c>
      <c r="AG19" s="210">
        <f t="shared" si="33"/>
        <v>0</v>
      </c>
      <c r="AH19" s="62">
        <f t="shared" si="34"/>
        <v>0</v>
      </c>
      <c r="AI19" s="321">
        <f t="shared" si="23"/>
        <v>0</v>
      </c>
      <c r="AJ19" s="321">
        <f>-tanks!AW20</f>
        <v>0</v>
      </c>
      <c r="AK19" s="321">
        <f t="shared" si="24"/>
        <v>0</v>
      </c>
      <c r="AL19" s="321">
        <f>S19+L20+G19</f>
        <v>0</v>
      </c>
      <c r="AM19" s="321">
        <f t="shared" si="25"/>
        <v>0</v>
      </c>
      <c r="AN19" s="64">
        <f t="shared" si="35"/>
        <v>62</v>
      </c>
      <c r="AO19" s="323">
        <f t="shared" si="26"/>
        <v>1860</v>
      </c>
      <c r="AP19" s="64">
        <f t="shared" si="36"/>
        <v>52</v>
      </c>
      <c r="AQ19" s="323">
        <f t="shared" si="27"/>
        <v>1560</v>
      </c>
      <c r="AR19" s="64">
        <f t="shared" si="28"/>
        <v>68</v>
      </c>
      <c r="AS19" s="323">
        <f t="shared" si="37"/>
        <v>2040.0000000000002</v>
      </c>
      <c r="AT19" s="323">
        <f t="shared" si="38"/>
        <v>5460</v>
      </c>
      <c r="AU19" s="323">
        <f t="shared" si="39"/>
        <v>0</v>
      </c>
      <c r="AV19" s="271"/>
      <c r="AW19" s="271"/>
      <c r="AX19" s="316">
        <f t="shared" si="29"/>
        <v>0.8</v>
      </c>
    </row>
    <row r="20" spans="1:50">
      <c r="A20" s="63">
        <f>ELEC!C18</f>
        <v>44120</v>
      </c>
      <c r="B20" s="64">
        <f t="shared" si="40"/>
        <v>242</v>
      </c>
      <c r="C20" s="64">
        <f t="shared" si="41"/>
        <v>247.3</v>
      </c>
      <c r="D20" s="45">
        <f>C19-C20</f>
        <v>0</v>
      </c>
      <c r="E20" s="45">
        <f t="shared" si="9"/>
        <v>0</v>
      </c>
      <c r="F20" s="64">
        <f t="shared" si="10"/>
        <v>1648</v>
      </c>
      <c r="G20" s="52">
        <f t="shared" si="0"/>
        <v>0</v>
      </c>
      <c r="H20" s="64">
        <f t="shared" si="11"/>
        <v>357868</v>
      </c>
      <c r="I20" s="400">
        <f t="shared" si="1"/>
        <v>0</v>
      </c>
      <c r="J20" s="66">
        <f t="shared" si="12"/>
        <v>0</v>
      </c>
      <c r="K20" s="64">
        <f t="shared" si="42"/>
        <v>2115</v>
      </c>
      <c r="L20" s="52">
        <f t="shared" si="2"/>
        <v>0</v>
      </c>
      <c r="M20" s="64">
        <f t="shared" si="43"/>
        <v>155221</v>
      </c>
      <c r="N20" s="400">
        <f t="shared" si="3"/>
        <v>0</v>
      </c>
      <c r="O20" s="64">
        <f t="shared" si="13"/>
        <v>211.87499999999994</v>
      </c>
      <c r="P20" s="64">
        <f t="shared" si="13"/>
        <v>1840</v>
      </c>
      <c r="Q20" s="64">
        <f t="shared" si="13"/>
        <v>156190</v>
      </c>
      <c r="R20" s="399">
        <f t="shared" si="44"/>
        <v>0</v>
      </c>
      <c r="S20" s="52">
        <f t="shared" si="5"/>
        <v>0</v>
      </c>
      <c r="T20" s="67">
        <f t="shared" si="31"/>
        <v>0</v>
      </c>
      <c r="U20" s="406">
        <f t="shared" si="14"/>
        <v>0</v>
      </c>
      <c r="V20" s="62">
        <f t="shared" si="15"/>
        <v>0</v>
      </c>
      <c r="W20" s="404"/>
      <c r="X20" s="64">
        <f t="shared" si="17"/>
        <v>2448</v>
      </c>
      <c r="Y20" s="52">
        <f t="shared" si="18"/>
        <v>0</v>
      </c>
      <c r="Z20" s="64">
        <f t="shared" si="19"/>
        <v>137506</v>
      </c>
      <c r="AA20" s="65">
        <f t="shared" si="6"/>
        <v>0</v>
      </c>
      <c r="AB20" s="287">
        <f t="shared" si="45"/>
        <v>0</v>
      </c>
      <c r="AC20" s="64">
        <f t="shared" si="20"/>
        <v>1933</v>
      </c>
      <c r="AD20" s="45">
        <f t="shared" si="7"/>
        <v>0</v>
      </c>
      <c r="AE20" s="64">
        <f t="shared" si="21"/>
        <v>365212</v>
      </c>
      <c r="AF20" s="309">
        <f t="shared" si="22"/>
        <v>0</v>
      </c>
      <c r="AG20" s="210">
        <f t="shared" si="33"/>
        <v>0</v>
      </c>
      <c r="AH20" s="62">
        <f t="shared" si="34"/>
        <v>0</v>
      </c>
      <c r="AI20" s="321">
        <f t="shared" si="23"/>
        <v>0</v>
      </c>
      <c r="AJ20" s="321">
        <f>-tanks!AW21</f>
        <v>0</v>
      </c>
      <c r="AK20" s="321">
        <f t="shared" si="24"/>
        <v>0</v>
      </c>
      <c r="AL20" s="321">
        <f>S20+L21+G20</f>
        <v>0</v>
      </c>
      <c r="AM20" s="321">
        <f t="shared" si="25"/>
        <v>0</v>
      </c>
      <c r="AN20" s="64">
        <f t="shared" si="35"/>
        <v>62</v>
      </c>
      <c r="AO20" s="323">
        <f t="shared" si="26"/>
        <v>1860</v>
      </c>
      <c r="AP20" s="64">
        <f t="shared" si="36"/>
        <v>52</v>
      </c>
      <c r="AQ20" s="323">
        <f t="shared" si="27"/>
        <v>1560</v>
      </c>
      <c r="AR20" s="64">
        <f t="shared" si="28"/>
        <v>68</v>
      </c>
      <c r="AS20" s="323">
        <f t="shared" si="37"/>
        <v>2040.0000000000002</v>
      </c>
      <c r="AT20" s="323">
        <f t="shared" si="38"/>
        <v>5460</v>
      </c>
      <c r="AU20" s="323">
        <f t="shared" si="39"/>
        <v>0</v>
      </c>
      <c r="AV20" s="271"/>
      <c r="AW20" s="271"/>
      <c r="AX20" s="316">
        <f t="shared" si="29"/>
        <v>0.8</v>
      </c>
    </row>
    <row r="21" spans="1:50">
      <c r="A21" s="63">
        <f>ELEC!C19</f>
        <v>44121</v>
      </c>
      <c r="B21" s="64">
        <f t="shared" si="40"/>
        <v>242</v>
      </c>
      <c r="C21" s="64">
        <f t="shared" si="41"/>
        <v>247.3</v>
      </c>
      <c r="D21" s="45">
        <f t="shared" ref="D21:D31" si="46">C20-C21</f>
        <v>0</v>
      </c>
      <c r="E21" s="45">
        <f t="shared" si="9"/>
        <v>0</v>
      </c>
      <c r="F21" s="64">
        <f t="shared" si="10"/>
        <v>1648</v>
      </c>
      <c r="G21" s="52">
        <f t="shared" si="0"/>
        <v>0</v>
      </c>
      <c r="H21" s="64">
        <f t="shared" si="11"/>
        <v>357868</v>
      </c>
      <c r="I21" s="400">
        <f t="shared" si="1"/>
        <v>0</v>
      </c>
      <c r="J21" s="66">
        <f t="shared" si="12"/>
        <v>0</v>
      </c>
      <c r="K21" s="64">
        <f t="shared" si="42"/>
        <v>2115</v>
      </c>
      <c r="L21" s="52">
        <f t="shared" si="2"/>
        <v>0</v>
      </c>
      <c r="M21" s="64">
        <f t="shared" si="43"/>
        <v>155221</v>
      </c>
      <c r="N21" s="400">
        <f t="shared" si="3"/>
        <v>0</v>
      </c>
      <c r="O21" s="64">
        <f t="shared" si="13"/>
        <v>211.87499999999994</v>
      </c>
      <c r="P21" s="64">
        <f t="shared" si="13"/>
        <v>1840</v>
      </c>
      <c r="Q21" s="64">
        <f t="shared" si="13"/>
        <v>156190</v>
      </c>
      <c r="R21" s="399">
        <f t="shared" si="44"/>
        <v>0</v>
      </c>
      <c r="S21" s="52">
        <f t="shared" si="5"/>
        <v>0</v>
      </c>
      <c r="T21" s="67">
        <f t="shared" si="31"/>
        <v>0</v>
      </c>
      <c r="U21" s="406">
        <f t="shared" si="14"/>
        <v>0</v>
      </c>
      <c r="V21" s="62">
        <f t="shared" si="15"/>
        <v>0</v>
      </c>
      <c r="W21" s="404"/>
      <c r="X21" s="64">
        <f t="shared" si="17"/>
        <v>2448</v>
      </c>
      <c r="Y21" s="52">
        <f t="shared" si="18"/>
        <v>0</v>
      </c>
      <c r="Z21" s="64">
        <f t="shared" si="19"/>
        <v>137506</v>
      </c>
      <c r="AA21" s="65">
        <f t="shared" si="6"/>
        <v>0</v>
      </c>
      <c r="AB21" s="287">
        <f t="shared" si="45"/>
        <v>0</v>
      </c>
      <c r="AC21" s="64">
        <f t="shared" si="20"/>
        <v>1933</v>
      </c>
      <c r="AD21" s="45">
        <f t="shared" si="7"/>
        <v>0</v>
      </c>
      <c r="AE21" s="64">
        <f t="shared" si="21"/>
        <v>365212</v>
      </c>
      <c r="AF21" s="309">
        <f t="shared" si="22"/>
        <v>0</v>
      </c>
      <c r="AG21" s="210">
        <f t="shared" si="33"/>
        <v>0</v>
      </c>
      <c r="AH21" s="62">
        <f t="shared" si="34"/>
        <v>0</v>
      </c>
      <c r="AI21" s="321">
        <f t="shared" si="23"/>
        <v>0</v>
      </c>
      <c r="AJ21" s="321">
        <f>-tanks!AW22</f>
        <v>0</v>
      </c>
      <c r="AK21" s="321">
        <f t="shared" si="24"/>
        <v>0</v>
      </c>
      <c r="AL21" s="321">
        <f t="shared" ref="AL21:AL34" si="47">S21+L21+G21</f>
        <v>0</v>
      </c>
      <c r="AM21" s="321">
        <f t="shared" si="25"/>
        <v>0</v>
      </c>
      <c r="AN21" s="64">
        <f t="shared" si="35"/>
        <v>62</v>
      </c>
      <c r="AO21" s="323">
        <f t="shared" si="26"/>
        <v>1860</v>
      </c>
      <c r="AP21" s="64">
        <f t="shared" si="36"/>
        <v>52</v>
      </c>
      <c r="AQ21" s="323">
        <f t="shared" si="27"/>
        <v>1560</v>
      </c>
      <c r="AR21" s="64">
        <f t="shared" si="28"/>
        <v>68</v>
      </c>
      <c r="AS21" s="323">
        <f t="shared" si="37"/>
        <v>2040.0000000000002</v>
      </c>
      <c r="AT21" s="323">
        <f t="shared" si="38"/>
        <v>5460</v>
      </c>
      <c r="AU21" s="323">
        <f t="shared" si="39"/>
        <v>0</v>
      </c>
      <c r="AV21" s="271"/>
      <c r="AW21" s="271"/>
      <c r="AX21" s="316">
        <f t="shared" si="29"/>
        <v>0.8</v>
      </c>
    </row>
    <row r="22" spans="1:50" ht="16.5" customHeight="1">
      <c r="A22" s="63">
        <f>ELEC!C20</f>
        <v>44122</v>
      </c>
      <c r="B22" s="64">
        <f t="shared" si="40"/>
        <v>242</v>
      </c>
      <c r="C22" s="64">
        <f t="shared" si="41"/>
        <v>247.3</v>
      </c>
      <c r="D22" s="45">
        <f t="shared" si="46"/>
        <v>0</v>
      </c>
      <c r="E22" s="45">
        <f t="shared" si="9"/>
        <v>0</v>
      </c>
      <c r="F22" s="64">
        <f t="shared" si="10"/>
        <v>1648</v>
      </c>
      <c r="G22" s="52">
        <f t="shared" si="0"/>
        <v>0</v>
      </c>
      <c r="H22" s="64">
        <f t="shared" si="11"/>
        <v>357868</v>
      </c>
      <c r="I22" s="400">
        <f t="shared" si="1"/>
        <v>0</v>
      </c>
      <c r="J22" s="66">
        <f t="shared" si="12"/>
        <v>0</v>
      </c>
      <c r="K22" s="64">
        <f t="shared" si="42"/>
        <v>2115</v>
      </c>
      <c r="L22" s="52">
        <f t="shared" si="2"/>
        <v>0</v>
      </c>
      <c r="M22" s="64">
        <f t="shared" si="43"/>
        <v>155221</v>
      </c>
      <c r="N22" s="400">
        <f t="shared" si="3"/>
        <v>0</v>
      </c>
      <c r="O22" s="64">
        <f t="shared" si="13"/>
        <v>211.87499999999994</v>
      </c>
      <c r="P22" s="64">
        <f t="shared" si="13"/>
        <v>1840</v>
      </c>
      <c r="Q22" s="64">
        <f t="shared" si="13"/>
        <v>156190</v>
      </c>
      <c r="R22" s="399">
        <f t="shared" si="44"/>
        <v>0</v>
      </c>
      <c r="S22" s="52">
        <f t="shared" si="5"/>
        <v>0</v>
      </c>
      <c r="T22" s="67">
        <f t="shared" si="31"/>
        <v>0</v>
      </c>
      <c r="U22" s="406">
        <f t="shared" si="14"/>
        <v>0</v>
      </c>
      <c r="V22" s="62">
        <f t="shared" si="15"/>
        <v>0</v>
      </c>
      <c r="W22" s="404"/>
      <c r="X22" s="64">
        <f t="shared" si="17"/>
        <v>2448</v>
      </c>
      <c r="Y22" s="52">
        <f t="shared" si="18"/>
        <v>0</v>
      </c>
      <c r="Z22" s="64">
        <f t="shared" si="19"/>
        <v>137506</v>
      </c>
      <c r="AA22" s="65">
        <f t="shared" si="6"/>
        <v>0</v>
      </c>
      <c r="AB22" s="287">
        <f t="shared" si="45"/>
        <v>0</v>
      </c>
      <c r="AC22" s="64">
        <f t="shared" si="20"/>
        <v>1933</v>
      </c>
      <c r="AD22" s="45">
        <f t="shared" si="7"/>
        <v>0</v>
      </c>
      <c r="AE22" s="64">
        <f t="shared" si="21"/>
        <v>365212</v>
      </c>
      <c r="AF22" s="309">
        <f t="shared" si="22"/>
        <v>0</v>
      </c>
      <c r="AG22" s="210">
        <f t="shared" si="33"/>
        <v>0</v>
      </c>
      <c r="AH22" s="62">
        <f t="shared" si="34"/>
        <v>0</v>
      </c>
      <c r="AI22" s="321">
        <f t="shared" si="23"/>
        <v>0</v>
      </c>
      <c r="AJ22" s="321">
        <f>-tanks!AW23</f>
        <v>0</v>
      </c>
      <c r="AK22" s="321">
        <f t="shared" si="24"/>
        <v>0</v>
      </c>
      <c r="AL22" s="321">
        <f t="shared" si="47"/>
        <v>0</v>
      </c>
      <c r="AM22" s="321">
        <f t="shared" si="25"/>
        <v>0</v>
      </c>
      <c r="AN22" s="64">
        <f t="shared" si="35"/>
        <v>62</v>
      </c>
      <c r="AO22" s="323">
        <f t="shared" si="26"/>
        <v>1860</v>
      </c>
      <c r="AP22" s="64">
        <f t="shared" si="36"/>
        <v>52</v>
      </c>
      <c r="AQ22" s="323">
        <f t="shared" si="27"/>
        <v>1560</v>
      </c>
      <c r="AR22" s="64">
        <f t="shared" si="28"/>
        <v>68</v>
      </c>
      <c r="AS22" s="323">
        <f t="shared" si="37"/>
        <v>2040.0000000000002</v>
      </c>
      <c r="AT22" s="323">
        <f t="shared" si="38"/>
        <v>5460</v>
      </c>
      <c r="AU22" s="323">
        <f t="shared" si="39"/>
        <v>0</v>
      </c>
      <c r="AV22" s="271"/>
      <c r="AW22" s="271"/>
      <c r="AX22" s="316">
        <f t="shared" si="29"/>
        <v>0.8</v>
      </c>
    </row>
    <row r="23" spans="1:50">
      <c r="A23" s="63">
        <f>ELEC!C21</f>
        <v>44123</v>
      </c>
      <c r="B23" s="64">
        <f t="shared" si="40"/>
        <v>242</v>
      </c>
      <c r="C23" s="64">
        <f t="shared" si="41"/>
        <v>247.3</v>
      </c>
      <c r="D23" s="45">
        <f t="shared" si="46"/>
        <v>0</v>
      </c>
      <c r="E23" s="45">
        <f t="shared" si="9"/>
        <v>0</v>
      </c>
      <c r="F23" s="64">
        <f t="shared" si="10"/>
        <v>1648</v>
      </c>
      <c r="G23" s="52">
        <f t="shared" si="0"/>
        <v>0</v>
      </c>
      <c r="H23" s="64">
        <f t="shared" si="11"/>
        <v>357868</v>
      </c>
      <c r="I23" s="400">
        <f t="shared" si="1"/>
        <v>0</v>
      </c>
      <c r="J23" s="66">
        <f t="shared" si="12"/>
        <v>0</v>
      </c>
      <c r="K23" s="64">
        <f t="shared" si="42"/>
        <v>2115</v>
      </c>
      <c r="L23" s="52">
        <f t="shared" si="2"/>
        <v>0</v>
      </c>
      <c r="M23" s="64">
        <f t="shared" si="43"/>
        <v>155221</v>
      </c>
      <c r="N23" s="400">
        <f t="shared" si="3"/>
        <v>0</v>
      </c>
      <c r="O23" s="64">
        <f t="shared" si="13"/>
        <v>211.87499999999994</v>
      </c>
      <c r="P23" s="64">
        <f t="shared" si="13"/>
        <v>1840</v>
      </c>
      <c r="Q23" s="64">
        <f t="shared" si="13"/>
        <v>156190</v>
      </c>
      <c r="R23" s="399">
        <f t="shared" si="44"/>
        <v>0</v>
      </c>
      <c r="S23" s="52">
        <f t="shared" si="5"/>
        <v>0</v>
      </c>
      <c r="T23" s="67">
        <f t="shared" si="31"/>
        <v>0</v>
      </c>
      <c r="U23" s="406">
        <f t="shared" si="14"/>
        <v>0</v>
      </c>
      <c r="V23" s="62">
        <f t="shared" si="15"/>
        <v>0</v>
      </c>
      <c r="W23" s="404"/>
      <c r="X23" s="64">
        <f t="shared" si="17"/>
        <v>2448</v>
      </c>
      <c r="Y23" s="52">
        <f t="shared" si="18"/>
        <v>0</v>
      </c>
      <c r="Z23" s="64">
        <f t="shared" si="19"/>
        <v>137506</v>
      </c>
      <c r="AA23" s="65">
        <f t="shared" si="6"/>
        <v>0</v>
      </c>
      <c r="AB23" s="287">
        <f t="shared" si="45"/>
        <v>0</v>
      </c>
      <c r="AC23" s="64">
        <f t="shared" si="20"/>
        <v>1933</v>
      </c>
      <c r="AD23" s="45">
        <f t="shared" si="7"/>
        <v>0</v>
      </c>
      <c r="AE23" s="64">
        <f t="shared" si="21"/>
        <v>365212</v>
      </c>
      <c r="AF23" s="309">
        <f t="shared" si="22"/>
        <v>0</v>
      </c>
      <c r="AG23" s="210">
        <f t="shared" si="33"/>
        <v>0</v>
      </c>
      <c r="AH23" s="62">
        <f t="shared" si="34"/>
        <v>0</v>
      </c>
      <c r="AI23" s="321">
        <f t="shared" si="23"/>
        <v>0</v>
      </c>
      <c r="AJ23" s="321">
        <f>-tanks!AW24</f>
        <v>0</v>
      </c>
      <c r="AK23" s="321">
        <f t="shared" si="24"/>
        <v>0</v>
      </c>
      <c r="AL23" s="321">
        <f t="shared" si="47"/>
        <v>0</v>
      </c>
      <c r="AM23" s="321">
        <f t="shared" si="25"/>
        <v>0</v>
      </c>
      <c r="AN23" s="64">
        <f t="shared" si="35"/>
        <v>62</v>
      </c>
      <c r="AO23" s="323">
        <f t="shared" si="26"/>
        <v>1860</v>
      </c>
      <c r="AP23" s="64">
        <f t="shared" si="36"/>
        <v>52</v>
      </c>
      <c r="AQ23" s="323">
        <f t="shared" si="27"/>
        <v>1560</v>
      </c>
      <c r="AR23" s="64">
        <f t="shared" si="28"/>
        <v>68</v>
      </c>
      <c r="AS23" s="323">
        <f t="shared" si="37"/>
        <v>2040.0000000000002</v>
      </c>
      <c r="AT23" s="323">
        <f t="shared" si="38"/>
        <v>5460</v>
      </c>
      <c r="AU23" s="323">
        <f t="shared" si="39"/>
        <v>0</v>
      </c>
      <c r="AV23" s="271"/>
      <c r="AW23" s="271"/>
      <c r="AX23" s="316">
        <f t="shared" si="29"/>
        <v>0.8</v>
      </c>
    </row>
    <row r="24" spans="1:50">
      <c r="A24" s="63">
        <f>ELEC!C22</f>
        <v>44124</v>
      </c>
      <c r="B24" s="64">
        <f t="shared" si="40"/>
        <v>242</v>
      </c>
      <c r="C24" s="64">
        <f t="shared" si="41"/>
        <v>247.3</v>
      </c>
      <c r="D24" s="45">
        <f t="shared" si="46"/>
        <v>0</v>
      </c>
      <c r="E24" s="45">
        <f t="shared" si="9"/>
        <v>0</v>
      </c>
      <c r="F24" s="64">
        <f t="shared" si="10"/>
        <v>1648</v>
      </c>
      <c r="G24" s="52">
        <f t="shared" si="0"/>
        <v>0</v>
      </c>
      <c r="H24" s="64">
        <f t="shared" si="11"/>
        <v>357868</v>
      </c>
      <c r="I24" s="400">
        <f t="shared" si="1"/>
        <v>0</v>
      </c>
      <c r="J24" s="66">
        <f t="shared" si="12"/>
        <v>0</v>
      </c>
      <c r="K24" s="64">
        <f t="shared" si="42"/>
        <v>2115</v>
      </c>
      <c r="L24" s="52">
        <f t="shared" si="2"/>
        <v>0</v>
      </c>
      <c r="M24" s="64">
        <f t="shared" si="43"/>
        <v>155221</v>
      </c>
      <c r="N24" s="400">
        <f t="shared" si="3"/>
        <v>0</v>
      </c>
      <c r="O24" s="64">
        <f t="shared" si="13"/>
        <v>211.87499999999994</v>
      </c>
      <c r="P24" s="64">
        <f t="shared" si="13"/>
        <v>1840</v>
      </c>
      <c r="Q24" s="64">
        <f t="shared" si="13"/>
        <v>156190</v>
      </c>
      <c r="R24" s="399">
        <f t="shared" si="44"/>
        <v>0</v>
      </c>
      <c r="S24" s="52">
        <f t="shared" si="5"/>
        <v>0</v>
      </c>
      <c r="T24" s="67">
        <f t="shared" si="31"/>
        <v>0</v>
      </c>
      <c r="U24" s="406">
        <f t="shared" si="14"/>
        <v>0</v>
      </c>
      <c r="V24" s="62">
        <f t="shared" si="15"/>
        <v>0</v>
      </c>
      <c r="W24" s="404"/>
      <c r="X24" s="64">
        <f t="shared" si="17"/>
        <v>2448</v>
      </c>
      <c r="Y24" s="52">
        <f t="shared" si="18"/>
        <v>0</v>
      </c>
      <c r="Z24" s="64">
        <f t="shared" si="19"/>
        <v>137506</v>
      </c>
      <c r="AA24" s="65">
        <f t="shared" si="6"/>
        <v>0</v>
      </c>
      <c r="AB24" s="287">
        <f t="shared" ref="AB24:AB34" si="48">SUM(Y24*$AB$2)</f>
        <v>0</v>
      </c>
      <c r="AC24" s="64">
        <f t="shared" si="20"/>
        <v>1933</v>
      </c>
      <c r="AD24" s="45">
        <f t="shared" si="7"/>
        <v>0</v>
      </c>
      <c r="AE24" s="64">
        <f t="shared" si="21"/>
        <v>365212</v>
      </c>
      <c r="AF24" s="309">
        <f t="shared" si="22"/>
        <v>0</v>
      </c>
      <c r="AG24" s="210">
        <f t="shared" si="33"/>
        <v>0</v>
      </c>
      <c r="AH24" s="62">
        <f t="shared" si="34"/>
        <v>0</v>
      </c>
      <c r="AI24" s="321">
        <f t="shared" si="23"/>
        <v>0</v>
      </c>
      <c r="AJ24" s="321">
        <f>-tanks!AW25</f>
        <v>0</v>
      </c>
      <c r="AK24" s="321">
        <f t="shared" si="24"/>
        <v>0</v>
      </c>
      <c r="AL24" s="321">
        <f t="shared" si="47"/>
        <v>0</v>
      </c>
      <c r="AM24" s="321">
        <f t="shared" si="25"/>
        <v>0</v>
      </c>
      <c r="AN24" s="64">
        <f t="shared" si="35"/>
        <v>62</v>
      </c>
      <c r="AO24" s="323">
        <f t="shared" si="26"/>
        <v>1860</v>
      </c>
      <c r="AP24" s="64">
        <f t="shared" si="36"/>
        <v>52</v>
      </c>
      <c r="AQ24" s="323">
        <f t="shared" si="27"/>
        <v>1560</v>
      </c>
      <c r="AR24" s="64">
        <f t="shared" si="28"/>
        <v>68</v>
      </c>
      <c r="AS24" s="323">
        <f t="shared" si="37"/>
        <v>2040.0000000000002</v>
      </c>
      <c r="AT24" s="323">
        <f t="shared" ref="AT24:AT34" si="49">SUM(AO24+AQ24+AS24)</f>
        <v>5460</v>
      </c>
      <c r="AU24" s="323">
        <f t="shared" si="39"/>
        <v>0</v>
      </c>
      <c r="AV24" s="271"/>
      <c r="AW24" s="271"/>
      <c r="AX24" s="316">
        <f t="shared" si="29"/>
        <v>0.8</v>
      </c>
    </row>
    <row r="25" spans="1:50" ht="13.5" customHeight="1">
      <c r="A25" s="63">
        <f>ELEC!C23</f>
        <v>44125</v>
      </c>
      <c r="B25" s="64">
        <f t="shared" si="40"/>
        <v>242</v>
      </c>
      <c r="C25" s="64">
        <f t="shared" si="41"/>
        <v>247.3</v>
      </c>
      <c r="D25" s="45">
        <f t="shared" si="46"/>
        <v>0</v>
      </c>
      <c r="E25" s="45">
        <f t="shared" si="9"/>
        <v>0</v>
      </c>
      <c r="F25" s="64">
        <f t="shared" si="10"/>
        <v>1648</v>
      </c>
      <c r="G25" s="52">
        <f t="shared" si="0"/>
        <v>0</v>
      </c>
      <c r="H25" s="64">
        <f t="shared" si="11"/>
        <v>357868</v>
      </c>
      <c r="I25" s="400">
        <f t="shared" si="1"/>
        <v>0</v>
      </c>
      <c r="J25" s="66">
        <f t="shared" si="12"/>
        <v>0</v>
      </c>
      <c r="K25" s="64">
        <f t="shared" si="42"/>
        <v>2115</v>
      </c>
      <c r="L25" s="52">
        <f t="shared" si="2"/>
        <v>0</v>
      </c>
      <c r="M25" s="64">
        <f t="shared" si="43"/>
        <v>155221</v>
      </c>
      <c r="N25" s="400">
        <f t="shared" si="3"/>
        <v>0</v>
      </c>
      <c r="O25" s="64">
        <f t="shared" si="13"/>
        <v>211.87499999999994</v>
      </c>
      <c r="P25" s="64">
        <f t="shared" si="13"/>
        <v>1840</v>
      </c>
      <c r="Q25" s="64">
        <f t="shared" si="13"/>
        <v>156190</v>
      </c>
      <c r="R25" s="399">
        <f t="shared" si="44"/>
        <v>0</v>
      </c>
      <c r="S25" s="52">
        <f t="shared" si="5"/>
        <v>0</v>
      </c>
      <c r="T25" s="67">
        <f t="shared" si="31"/>
        <v>0</v>
      </c>
      <c r="U25" s="406">
        <f t="shared" si="14"/>
        <v>0</v>
      </c>
      <c r="V25" s="62">
        <f t="shared" si="15"/>
        <v>0</v>
      </c>
      <c r="W25" s="404"/>
      <c r="X25" s="64">
        <f t="shared" si="17"/>
        <v>2448</v>
      </c>
      <c r="Y25" s="52">
        <f t="shared" si="18"/>
        <v>0</v>
      </c>
      <c r="Z25" s="64">
        <f t="shared" si="19"/>
        <v>137506</v>
      </c>
      <c r="AA25" s="65">
        <f t="shared" si="6"/>
        <v>0</v>
      </c>
      <c r="AB25" s="287">
        <f t="shared" si="48"/>
        <v>0</v>
      </c>
      <c r="AC25" s="64">
        <f t="shared" si="20"/>
        <v>1933</v>
      </c>
      <c r="AD25" s="45">
        <f t="shared" si="7"/>
        <v>0</v>
      </c>
      <c r="AE25" s="64">
        <f t="shared" si="21"/>
        <v>365212</v>
      </c>
      <c r="AF25" s="309">
        <f t="shared" si="22"/>
        <v>0</v>
      </c>
      <c r="AG25" s="210">
        <f t="shared" si="33"/>
        <v>0</v>
      </c>
      <c r="AH25" s="62">
        <f t="shared" si="34"/>
        <v>0</v>
      </c>
      <c r="AI25" s="321">
        <f t="shared" si="23"/>
        <v>0</v>
      </c>
      <c r="AJ25" s="321">
        <f>-tanks!AW26</f>
        <v>0</v>
      </c>
      <c r="AK25" s="321">
        <f t="shared" si="24"/>
        <v>0</v>
      </c>
      <c r="AL25" s="321">
        <f t="shared" si="47"/>
        <v>0</v>
      </c>
      <c r="AM25" s="321">
        <f t="shared" si="25"/>
        <v>0</v>
      </c>
      <c r="AN25" s="64">
        <f t="shared" si="35"/>
        <v>62</v>
      </c>
      <c r="AO25" s="323">
        <f t="shared" si="26"/>
        <v>1860</v>
      </c>
      <c r="AP25" s="64">
        <f t="shared" si="36"/>
        <v>52</v>
      </c>
      <c r="AQ25" s="323">
        <f t="shared" ref="AQ25:AQ34" si="50">(AP25/100)*3000</f>
        <v>1560</v>
      </c>
      <c r="AR25" s="64">
        <f t="shared" si="28"/>
        <v>68</v>
      </c>
      <c r="AS25" s="323">
        <f t="shared" si="37"/>
        <v>2040.0000000000002</v>
      </c>
      <c r="AT25" s="323">
        <f t="shared" si="49"/>
        <v>5460</v>
      </c>
      <c r="AU25" s="323">
        <f t="shared" si="39"/>
        <v>0</v>
      </c>
      <c r="AV25" s="271"/>
      <c r="AW25" s="271"/>
      <c r="AX25" s="316">
        <f t="shared" si="29"/>
        <v>0.8</v>
      </c>
    </row>
    <row r="26" spans="1:50" ht="14.25" customHeight="1">
      <c r="A26" s="63">
        <f>ELEC!C24</f>
        <v>44126</v>
      </c>
      <c r="B26" s="64">
        <f t="shared" si="40"/>
        <v>242</v>
      </c>
      <c r="C26" s="64">
        <f t="shared" si="41"/>
        <v>247.3</v>
      </c>
      <c r="D26" s="45">
        <f t="shared" si="46"/>
        <v>0</v>
      </c>
      <c r="E26" s="45">
        <f t="shared" si="9"/>
        <v>0</v>
      </c>
      <c r="F26" s="64">
        <f t="shared" si="10"/>
        <v>1648</v>
      </c>
      <c r="G26" s="52">
        <f t="shared" si="0"/>
        <v>0</v>
      </c>
      <c r="H26" s="64">
        <f t="shared" si="11"/>
        <v>357868</v>
      </c>
      <c r="I26" s="400">
        <f t="shared" si="1"/>
        <v>0</v>
      </c>
      <c r="J26" s="66">
        <f t="shared" si="12"/>
        <v>0</v>
      </c>
      <c r="K26" s="64">
        <f t="shared" si="42"/>
        <v>2115</v>
      </c>
      <c r="L26" s="52">
        <f t="shared" si="2"/>
        <v>0</v>
      </c>
      <c r="M26" s="64">
        <f t="shared" si="43"/>
        <v>155221</v>
      </c>
      <c r="N26" s="400">
        <f t="shared" si="3"/>
        <v>0</v>
      </c>
      <c r="O26" s="64">
        <f t="shared" si="13"/>
        <v>211.87499999999994</v>
      </c>
      <c r="P26" s="64">
        <f t="shared" si="13"/>
        <v>1840</v>
      </c>
      <c r="Q26" s="64">
        <f t="shared" si="13"/>
        <v>156190</v>
      </c>
      <c r="R26" s="399">
        <f t="shared" si="44"/>
        <v>0</v>
      </c>
      <c r="S26" s="52">
        <f t="shared" si="5"/>
        <v>0</v>
      </c>
      <c r="T26" s="67">
        <f t="shared" si="31"/>
        <v>0</v>
      </c>
      <c r="U26" s="406">
        <f t="shared" si="14"/>
        <v>0</v>
      </c>
      <c r="V26" s="62">
        <f t="shared" si="15"/>
        <v>0</v>
      </c>
      <c r="W26" s="404"/>
      <c r="X26" s="64">
        <f t="shared" si="17"/>
        <v>2448</v>
      </c>
      <c r="Y26" s="52">
        <f t="shared" si="18"/>
        <v>0</v>
      </c>
      <c r="Z26" s="64">
        <f t="shared" si="19"/>
        <v>137506</v>
      </c>
      <c r="AA26" s="65">
        <f t="shared" si="6"/>
        <v>0</v>
      </c>
      <c r="AB26" s="287">
        <f t="shared" si="48"/>
        <v>0</v>
      </c>
      <c r="AC26" s="64">
        <f t="shared" si="20"/>
        <v>1933</v>
      </c>
      <c r="AD26" s="45">
        <f t="shared" si="7"/>
        <v>0</v>
      </c>
      <c r="AE26" s="64">
        <f t="shared" si="21"/>
        <v>365212</v>
      </c>
      <c r="AF26" s="309">
        <f t="shared" si="22"/>
        <v>0</v>
      </c>
      <c r="AG26" s="210">
        <f t="shared" si="33"/>
        <v>0</v>
      </c>
      <c r="AH26" s="62">
        <f t="shared" si="34"/>
        <v>0</v>
      </c>
      <c r="AI26" s="321">
        <f t="shared" si="23"/>
        <v>0</v>
      </c>
      <c r="AJ26" s="321">
        <f>-tanks!AW27</f>
        <v>0</v>
      </c>
      <c r="AK26" s="321">
        <f t="shared" si="24"/>
        <v>0</v>
      </c>
      <c r="AL26" s="321">
        <f t="shared" si="47"/>
        <v>0</v>
      </c>
      <c r="AM26" s="321">
        <f t="shared" si="25"/>
        <v>0</v>
      </c>
      <c r="AN26" s="64">
        <f t="shared" si="35"/>
        <v>62</v>
      </c>
      <c r="AO26" s="323">
        <f t="shared" si="26"/>
        <v>1860</v>
      </c>
      <c r="AP26" s="64">
        <f t="shared" si="36"/>
        <v>52</v>
      </c>
      <c r="AQ26" s="323">
        <f t="shared" si="50"/>
        <v>1560</v>
      </c>
      <c r="AR26" s="64">
        <f t="shared" si="28"/>
        <v>68</v>
      </c>
      <c r="AS26" s="323">
        <f t="shared" si="37"/>
        <v>2040.0000000000002</v>
      </c>
      <c r="AT26" s="323">
        <f t="shared" si="49"/>
        <v>5460</v>
      </c>
      <c r="AU26" s="323">
        <f t="shared" si="39"/>
        <v>0</v>
      </c>
      <c r="AV26" s="271"/>
      <c r="AW26" s="271"/>
      <c r="AX26" s="316">
        <f t="shared" si="29"/>
        <v>0.8</v>
      </c>
    </row>
    <row r="27" spans="1:50">
      <c r="A27" s="63">
        <f>ELEC!C25</f>
        <v>44127</v>
      </c>
      <c r="B27" s="64">
        <f t="shared" si="40"/>
        <v>242</v>
      </c>
      <c r="C27" s="64">
        <f t="shared" si="41"/>
        <v>247.3</v>
      </c>
      <c r="D27" s="45">
        <f t="shared" si="46"/>
        <v>0</v>
      </c>
      <c r="E27" s="45">
        <f t="shared" si="9"/>
        <v>0</v>
      </c>
      <c r="F27" s="64">
        <f t="shared" si="10"/>
        <v>1648</v>
      </c>
      <c r="G27" s="52">
        <f t="shared" si="0"/>
        <v>0</v>
      </c>
      <c r="H27" s="64">
        <f t="shared" si="11"/>
        <v>357868</v>
      </c>
      <c r="I27" s="400">
        <f t="shared" si="1"/>
        <v>0</v>
      </c>
      <c r="J27" s="66">
        <f t="shared" si="12"/>
        <v>0</v>
      </c>
      <c r="K27" s="64">
        <f t="shared" si="42"/>
        <v>2115</v>
      </c>
      <c r="L27" s="52">
        <f t="shared" si="2"/>
        <v>0</v>
      </c>
      <c r="M27" s="64">
        <f t="shared" si="43"/>
        <v>155221</v>
      </c>
      <c r="N27" s="400">
        <f t="shared" si="3"/>
        <v>0</v>
      </c>
      <c r="O27" s="64">
        <f t="shared" si="13"/>
        <v>211.87499999999994</v>
      </c>
      <c r="P27" s="64">
        <f t="shared" si="13"/>
        <v>1840</v>
      </c>
      <c r="Q27" s="64">
        <f t="shared" si="13"/>
        <v>156190</v>
      </c>
      <c r="R27" s="399">
        <f t="shared" si="44"/>
        <v>0</v>
      </c>
      <c r="S27" s="52">
        <f t="shared" si="5"/>
        <v>0</v>
      </c>
      <c r="T27" s="67">
        <f t="shared" si="31"/>
        <v>0</v>
      </c>
      <c r="U27" s="406">
        <f t="shared" si="14"/>
        <v>0</v>
      </c>
      <c r="V27" s="62">
        <f t="shared" si="15"/>
        <v>0</v>
      </c>
      <c r="W27" s="404"/>
      <c r="X27" s="64">
        <f t="shared" si="17"/>
        <v>2448</v>
      </c>
      <c r="Y27" s="52">
        <f t="shared" si="18"/>
        <v>0</v>
      </c>
      <c r="Z27" s="64">
        <f t="shared" si="19"/>
        <v>137506</v>
      </c>
      <c r="AA27" s="65">
        <f t="shared" si="6"/>
        <v>0</v>
      </c>
      <c r="AB27" s="287">
        <f t="shared" si="48"/>
        <v>0</v>
      </c>
      <c r="AC27" s="64">
        <f t="shared" si="20"/>
        <v>1933</v>
      </c>
      <c r="AD27" s="45">
        <f t="shared" si="7"/>
        <v>0</v>
      </c>
      <c r="AE27" s="64">
        <f t="shared" si="21"/>
        <v>365212</v>
      </c>
      <c r="AF27" s="309">
        <f t="shared" si="22"/>
        <v>0</v>
      </c>
      <c r="AG27" s="210">
        <f t="shared" si="33"/>
        <v>0</v>
      </c>
      <c r="AH27" s="62">
        <f t="shared" si="34"/>
        <v>0</v>
      </c>
      <c r="AI27" s="321">
        <f t="shared" si="23"/>
        <v>0</v>
      </c>
      <c r="AJ27" s="321">
        <f>-tanks!AW28</f>
        <v>0</v>
      </c>
      <c r="AK27" s="321">
        <f t="shared" si="24"/>
        <v>0</v>
      </c>
      <c r="AL27" s="321">
        <f t="shared" si="47"/>
        <v>0</v>
      </c>
      <c r="AM27" s="321">
        <f t="shared" si="25"/>
        <v>0</v>
      </c>
      <c r="AN27" s="64">
        <f t="shared" si="35"/>
        <v>62</v>
      </c>
      <c r="AO27" s="323">
        <f>(AN27/100)*3000</f>
        <v>1860</v>
      </c>
      <c r="AP27" s="64">
        <f t="shared" si="36"/>
        <v>52</v>
      </c>
      <c r="AQ27" s="323">
        <f t="shared" si="50"/>
        <v>1560</v>
      </c>
      <c r="AR27" s="64">
        <f t="shared" si="28"/>
        <v>68</v>
      </c>
      <c r="AS27" s="323">
        <f t="shared" si="37"/>
        <v>2040.0000000000002</v>
      </c>
      <c r="AT27" s="323">
        <f t="shared" si="49"/>
        <v>5460</v>
      </c>
      <c r="AU27" s="323">
        <f t="shared" si="39"/>
        <v>0</v>
      </c>
      <c r="AV27" s="271"/>
      <c r="AW27" s="510"/>
      <c r="AX27" s="316">
        <f t="shared" si="29"/>
        <v>0.8</v>
      </c>
    </row>
    <row r="28" spans="1:50">
      <c r="A28" s="63">
        <f>ELEC!C26</f>
        <v>44128</v>
      </c>
      <c r="B28" s="64">
        <f t="shared" si="40"/>
        <v>242</v>
      </c>
      <c r="C28" s="64">
        <f t="shared" si="41"/>
        <v>247.3</v>
      </c>
      <c r="D28" s="45">
        <f t="shared" si="46"/>
        <v>0</v>
      </c>
      <c r="E28" s="45">
        <f t="shared" si="9"/>
        <v>0</v>
      </c>
      <c r="F28" s="64">
        <f t="shared" si="10"/>
        <v>1648</v>
      </c>
      <c r="G28" s="52">
        <f t="shared" si="0"/>
        <v>0</v>
      </c>
      <c r="H28" s="64">
        <f t="shared" si="11"/>
        <v>357868</v>
      </c>
      <c r="I28" s="400">
        <f t="shared" si="1"/>
        <v>0</v>
      </c>
      <c r="J28" s="66">
        <f t="shared" si="12"/>
        <v>0</v>
      </c>
      <c r="K28" s="64">
        <f t="shared" si="42"/>
        <v>2115</v>
      </c>
      <c r="L28" s="52">
        <f t="shared" si="2"/>
        <v>0</v>
      </c>
      <c r="M28" s="64">
        <f t="shared" si="43"/>
        <v>155221</v>
      </c>
      <c r="N28" s="400">
        <f t="shared" si="3"/>
        <v>0</v>
      </c>
      <c r="O28" s="64">
        <f t="shared" si="13"/>
        <v>211.87499999999994</v>
      </c>
      <c r="P28" s="64">
        <f t="shared" si="13"/>
        <v>1840</v>
      </c>
      <c r="Q28" s="64">
        <f t="shared" si="13"/>
        <v>156190</v>
      </c>
      <c r="R28" s="399">
        <f t="shared" si="44"/>
        <v>0</v>
      </c>
      <c r="S28" s="52">
        <f t="shared" si="5"/>
        <v>0</v>
      </c>
      <c r="T28" s="67">
        <f t="shared" si="31"/>
        <v>0</v>
      </c>
      <c r="U28" s="406">
        <f t="shared" si="14"/>
        <v>0</v>
      </c>
      <c r="V28" s="62">
        <f t="shared" si="15"/>
        <v>0</v>
      </c>
      <c r="W28" s="404"/>
      <c r="X28" s="64">
        <f t="shared" si="17"/>
        <v>2448</v>
      </c>
      <c r="Y28" s="52">
        <f t="shared" si="18"/>
        <v>0</v>
      </c>
      <c r="Z28" s="64">
        <f t="shared" si="19"/>
        <v>137506</v>
      </c>
      <c r="AA28" s="65">
        <f t="shared" si="6"/>
        <v>0</v>
      </c>
      <c r="AB28" s="287">
        <f t="shared" si="48"/>
        <v>0</v>
      </c>
      <c r="AC28" s="64">
        <f t="shared" si="20"/>
        <v>1933</v>
      </c>
      <c r="AD28" s="45">
        <f t="shared" si="7"/>
        <v>0</v>
      </c>
      <c r="AE28" s="64">
        <f t="shared" si="21"/>
        <v>365212</v>
      </c>
      <c r="AF28" s="309">
        <f t="shared" si="22"/>
        <v>0</v>
      </c>
      <c r="AG28" s="210">
        <f t="shared" si="33"/>
        <v>0</v>
      </c>
      <c r="AH28" s="62">
        <f t="shared" si="34"/>
        <v>0</v>
      </c>
      <c r="AI28" s="321">
        <f t="shared" si="23"/>
        <v>0</v>
      </c>
      <c r="AJ28" s="321">
        <f>-tanks!AW29</f>
        <v>0</v>
      </c>
      <c r="AK28" s="321">
        <f t="shared" si="24"/>
        <v>0</v>
      </c>
      <c r="AL28" s="321">
        <f t="shared" si="47"/>
        <v>0</v>
      </c>
      <c r="AM28" s="321">
        <f t="shared" si="25"/>
        <v>0</v>
      </c>
      <c r="AN28" s="64">
        <f t="shared" si="35"/>
        <v>62</v>
      </c>
      <c r="AO28" s="323">
        <f t="shared" ref="AO28:AO34" si="51">(AN28/100)*3000</f>
        <v>1860</v>
      </c>
      <c r="AP28" s="64">
        <f t="shared" si="36"/>
        <v>52</v>
      </c>
      <c r="AQ28" s="323">
        <f t="shared" si="50"/>
        <v>1560</v>
      </c>
      <c r="AR28" s="64">
        <f t="shared" si="28"/>
        <v>68</v>
      </c>
      <c r="AS28" s="323">
        <f t="shared" si="37"/>
        <v>2040.0000000000002</v>
      </c>
      <c r="AT28" s="323">
        <f t="shared" si="49"/>
        <v>5460</v>
      </c>
      <c r="AU28" s="323">
        <f t="shared" si="39"/>
        <v>0</v>
      </c>
      <c r="AV28" s="271"/>
      <c r="AW28" s="271"/>
      <c r="AX28" s="316">
        <f t="shared" si="29"/>
        <v>0.8</v>
      </c>
    </row>
    <row r="29" spans="1:50">
      <c r="A29" s="63">
        <f>ELEC!C27</f>
        <v>44129</v>
      </c>
      <c r="B29" s="64">
        <f t="shared" si="40"/>
        <v>242</v>
      </c>
      <c r="C29" s="64">
        <f t="shared" si="41"/>
        <v>247.3</v>
      </c>
      <c r="D29" s="45">
        <f t="shared" si="46"/>
        <v>0</v>
      </c>
      <c r="E29" s="45">
        <f t="shared" si="9"/>
        <v>0</v>
      </c>
      <c r="F29" s="64">
        <f t="shared" si="10"/>
        <v>1648</v>
      </c>
      <c r="G29" s="52">
        <f t="shared" si="0"/>
        <v>0</v>
      </c>
      <c r="H29" s="64">
        <f t="shared" si="11"/>
        <v>357868</v>
      </c>
      <c r="I29" s="400">
        <f t="shared" si="1"/>
        <v>0</v>
      </c>
      <c r="J29" s="66">
        <f t="shared" si="12"/>
        <v>0</v>
      </c>
      <c r="K29" s="64">
        <f t="shared" si="42"/>
        <v>2115</v>
      </c>
      <c r="L29" s="52">
        <f t="shared" si="2"/>
        <v>0</v>
      </c>
      <c r="M29" s="64">
        <f t="shared" si="43"/>
        <v>155221</v>
      </c>
      <c r="N29" s="400">
        <f t="shared" si="3"/>
        <v>0</v>
      </c>
      <c r="O29" s="64">
        <f t="shared" si="13"/>
        <v>211.87499999999994</v>
      </c>
      <c r="P29" s="64">
        <f t="shared" si="13"/>
        <v>1840</v>
      </c>
      <c r="Q29" s="64">
        <f t="shared" si="13"/>
        <v>156190</v>
      </c>
      <c r="R29" s="399">
        <f t="shared" si="44"/>
        <v>0</v>
      </c>
      <c r="S29" s="52">
        <f t="shared" si="5"/>
        <v>0</v>
      </c>
      <c r="T29" s="67">
        <f t="shared" si="31"/>
        <v>0</v>
      </c>
      <c r="U29" s="406">
        <f t="shared" si="14"/>
        <v>0</v>
      </c>
      <c r="V29" s="62">
        <f t="shared" si="15"/>
        <v>0</v>
      </c>
      <c r="W29" s="404"/>
      <c r="X29" s="64">
        <f t="shared" si="17"/>
        <v>2448</v>
      </c>
      <c r="Y29" s="52">
        <f t="shared" si="18"/>
        <v>0</v>
      </c>
      <c r="Z29" s="64">
        <f t="shared" si="19"/>
        <v>137506</v>
      </c>
      <c r="AA29" s="65">
        <f t="shared" si="6"/>
        <v>0</v>
      </c>
      <c r="AB29" s="287">
        <f t="shared" si="48"/>
        <v>0</v>
      </c>
      <c r="AC29" s="64">
        <f t="shared" si="20"/>
        <v>1933</v>
      </c>
      <c r="AD29" s="45">
        <f t="shared" si="7"/>
        <v>0</v>
      </c>
      <c r="AE29" s="64">
        <f t="shared" si="21"/>
        <v>365212</v>
      </c>
      <c r="AF29" s="309">
        <f t="shared" si="22"/>
        <v>0</v>
      </c>
      <c r="AG29" s="210">
        <f t="shared" si="33"/>
        <v>0</v>
      </c>
      <c r="AH29" s="62">
        <f t="shared" si="34"/>
        <v>0</v>
      </c>
      <c r="AI29" s="321">
        <f t="shared" si="23"/>
        <v>0</v>
      </c>
      <c r="AJ29" s="321">
        <f>-tanks!AW30</f>
        <v>0</v>
      </c>
      <c r="AK29" s="321">
        <f t="shared" si="24"/>
        <v>0</v>
      </c>
      <c r="AL29" s="321">
        <f t="shared" si="47"/>
        <v>0</v>
      </c>
      <c r="AM29" s="321">
        <f t="shared" si="25"/>
        <v>0</v>
      </c>
      <c r="AN29" s="64">
        <f t="shared" si="35"/>
        <v>62</v>
      </c>
      <c r="AO29" s="323">
        <f t="shared" si="51"/>
        <v>1860</v>
      </c>
      <c r="AP29" s="64">
        <f t="shared" si="36"/>
        <v>52</v>
      </c>
      <c r="AQ29" s="323">
        <f t="shared" si="50"/>
        <v>1560</v>
      </c>
      <c r="AR29" s="64">
        <f t="shared" si="28"/>
        <v>68</v>
      </c>
      <c r="AS29" s="323">
        <f t="shared" si="37"/>
        <v>2040.0000000000002</v>
      </c>
      <c r="AT29" s="323">
        <f>SUM(AO29+AQ29+AS29)</f>
        <v>5460</v>
      </c>
      <c r="AU29" s="323">
        <f>AT28-AT29+AV29</f>
        <v>0</v>
      </c>
      <c r="AV29" s="271"/>
      <c r="AW29" s="271"/>
      <c r="AX29" s="316">
        <f t="shared" si="29"/>
        <v>0.8</v>
      </c>
    </row>
    <row r="30" spans="1:50">
      <c r="A30" s="63">
        <f>ELEC!C28</f>
        <v>44130</v>
      </c>
      <c r="B30" s="64">
        <f t="shared" si="40"/>
        <v>242</v>
      </c>
      <c r="C30" s="64">
        <f t="shared" si="41"/>
        <v>247.3</v>
      </c>
      <c r="D30" s="45">
        <f t="shared" si="46"/>
        <v>0</v>
      </c>
      <c r="E30" s="45">
        <f t="shared" si="9"/>
        <v>0</v>
      </c>
      <c r="F30" s="64">
        <f t="shared" si="10"/>
        <v>1648</v>
      </c>
      <c r="G30" s="52">
        <f t="shared" si="0"/>
        <v>0</v>
      </c>
      <c r="H30" s="64">
        <f t="shared" si="11"/>
        <v>357868</v>
      </c>
      <c r="I30" s="400">
        <f t="shared" si="1"/>
        <v>0</v>
      </c>
      <c r="J30" s="66">
        <f t="shared" si="12"/>
        <v>0</v>
      </c>
      <c r="K30" s="64">
        <f t="shared" si="42"/>
        <v>2115</v>
      </c>
      <c r="L30" s="52">
        <f t="shared" si="2"/>
        <v>0</v>
      </c>
      <c r="M30" s="64">
        <f t="shared" si="43"/>
        <v>155221</v>
      </c>
      <c r="N30" s="400">
        <f t="shared" si="3"/>
        <v>0</v>
      </c>
      <c r="O30" s="64">
        <f t="shared" si="13"/>
        <v>211.87499999999994</v>
      </c>
      <c r="P30" s="64">
        <f t="shared" si="13"/>
        <v>1840</v>
      </c>
      <c r="Q30" s="64">
        <f t="shared" si="13"/>
        <v>156190</v>
      </c>
      <c r="R30" s="399">
        <f t="shared" si="44"/>
        <v>0</v>
      </c>
      <c r="S30" s="52">
        <f t="shared" si="5"/>
        <v>0</v>
      </c>
      <c r="T30" s="67">
        <f t="shared" si="31"/>
        <v>0</v>
      </c>
      <c r="U30" s="406">
        <f t="shared" si="14"/>
        <v>0</v>
      </c>
      <c r="V30" s="62">
        <f t="shared" si="15"/>
        <v>0</v>
      </c>
      <c r="W30" s="404"/>
      <c r="X30" s="64">
        <f t="shared" si="17"/>
        <v>2448</v>
      </c>
      <c r="Y30" s="52">
        <f t="shared" si="18"/>
        <v>0</v>
      </c>
      <c r="Z30" s="64">
        <f t="shared" si="19"/>
        <v>137506</v>
      </c>
      <c r="AA30" s="65">
        <f t="shared" si="6"/>
        <v>0</v>
      </c>
      <c r="AB30" s="287">
        <f t="shared" si="48"/>
        <v>0</v>
      </c>
      <c r="AC30" s="64">
        <f t="shared" si="20"/>
        <v>1933</v>
      </c>
      <c r="AD30" s="45">
        <f t="shared" si="7"/>
        <v>0</v>
      </c>
      <c r="AE30" s="64">
        <f t="shared" si="21"/>
        <v>365212</v>
      </c>
      <c r="AF30" s="309">
        <f t="shared" si="22"/>
        <v>0</v>
      </c>
      <c r="AG30" s="210">
        <f t="shared" si="33"/>
        <v>0</v>
      </c>
      <c r="AH30" s="62">
        <f t="shared" si="34"/>
        <v>0</v>
      </c>
      <c r="AI30" s="321">
        <f t="shared" si="23"/>
        <v>0</v>
      </c>
      <c r="AJ30" s="321">
        <f>-tanks!AW31</f>
        <v>0</v>
      </c>
      <c r="AK30" s="321">
        <f t="shared" si="24"/>
        <v>0</v>
      </c>
      <c r="AL30" s="321">
        <f t="shared" si="47"/>
        <v>0</v>
      </c>
      <c r="AM30" s="321">
        <f t="shared" si="25"/>
        <v>0</v>
      </c>
      <c r="AN30" s="64">
        <f t="shared" si="35"/>
        <v>62</v>
      </c>
      <c r="AO30" s="323">
        <f t="shared" si="51"/>
        <v>1860</v>
      </c>
      <c r="AP30" s="64">
        <f t="shared" si="36"/>
        <v>52</v>
      </c>
      <c r="AQ30" s="323">
        <f t="shared" si="50"/>
        <v>1560</v>
      </c>
      <c r="AR30" s="64">
        <f t="shared" si="28"/>
        <v>68</v>
      </c>
      <c r="AS30" s="323">
        <f t="shared" si="37"/>
        <v>2040.0000000000002</v>
      </c>
      <c r="AT30" s="323">
        <f t="shared" si="49"/>
        <v>5460</v>
      </c>
      <c r="AU30" s="323">
        <f t="shared" si="39"/>
        <v>0</v>
      </c>
      <c r="AV30" s="271"/>
      <c r="AW30" s="271"/>
      <c r="AX30" s="316">
        <f t="shared" si="29"/>
        <v>0.8</v>
      </c>
    </row>
    <row r="31" spans="1:50">
      <c r="A31" s="63">
        <f>ELEC!C29</f>
        <v>44131</v>
      </c>
      <c r="B31" s="64">
        <f t="shared" si="40"/>
        <v>242</v>
      </c>
      <c r="C31" s="64">
        <f t="shared" si="41"/>
        <v>247.3</v>
      </c>
      <c r="D31" s="45">
        <f t="shared" si="46"/>
        <v>0</v>
      </c>
      <c r="E31" s="45">
        <f t="shared" si="9"/>
        <v>0</v>
      </c>
      <c r="F31" s="64">
        <f t="shared" si="10"/>
        <v>1648</v>
      </c>
      <c r="G31" s="52">
        <f t="shared" si="0"/>
        <v>0</v>
      </c>
      <c r="H31" s="64">
        <f t="shared" si="11"/>
        <v>357868</v>
      </c>
      <c r="I31" s="400">
        <f t="shared" si="1"/>
        <v>0</v>
      </c>
      <c r="J31" s="66">
        <f t="shared" si="12"/>
        <v>0</v>
      </c>
      <c r="K31" s="64">
        <f t="shared" si="42"/>
        <v>2115</v>
      </c>
      <c r="L31" s="52">
        <f t="shared" si="2"/>
        <v>0</v>
      </c>
      <c r="M31" s="64">
        <f t="shared" si="43"/>
        <v>155221</v>
      </c>
      <c r="N31" s="400">
        <f t="shared" si="3"/>
        <v>0</v>
      </c>
      <c r="O31" s="64">
        <f t="shared" si="13"/>
        <v>211.87499999999994</v>
      </c>
      <c r="P31" s="64">
        <f t="shared" si="13"/>
        <v>1840</v>
      </c>
      <c r="Q31" s="64">
        <f t="shared" si="13"/>
        <v>156190</v>
      </c>
      <c r="R31" s="399">
        <f t="shared" si="44"/>
        <v>0</v>
      </c>
      <c r="S31" s="52">
        <f t="shared" si="5"/>
        <v>0</v>
      </c>
      <c r="T31" s="67">
        <f t="shared" si="31"/>
        <v>0</v>
      </c>
      <c r="U31" s="406">
        <f t="shared" si="14"/>
        <v>0</v>
      </c>
      <c r="V31" s="62">
        <f t="shared" si="15"/>
        <v>0</v>
      </c>
      <c r="W31" s="404"/>
      <c r="X31" s="64">
        <f t="shared" si="17"/>
        <v>2448</v>
      </c>
      <c r="Y31" s="52">
        <f t="shared" si="18"/>
        <v>0</v>
      </c>
      <c r="Z31" s="64">
        <f t="shared" si="19"/>
        <v>137506</v>
      </c>
      <c r="AA31" s="65">
        <f t="shared" si="6"/>
        <v>0</v>
      </c>
      <c r="AB31" s="287">
        <f t="shared" si="48"/>
        <v>0</v>
      </c>
      <c r="AC31" s="64">
        <f t="shared" si="20"/>
        <v>1933</v>
      </c>
      <c r="AD31" s="271">
        <f t="shared" si="7"/>
        <v>0</v>
      </c>
      <c r="AE31" s="64">
        <f t="shared" si="21"/>
        <v>365212</v>
      </c>
      <c r="AF31" s="309">
        <f t="shared" si="22"/>
        <v>0</v>
      </c>
      <c r="AG31" s="210">
        <f t="shared" si="33"/>
        <v>0</v>
      </c>
      <c r="AH31" s="62">
        <f t="shared" si="34"/>
        <v>0</v>
      </c>
      <c r="AI31" s="321">
        <f t="shared" si="23"/>
        <v>0</v>
      </c>
      <c r="AJ31" s="321">
        <f>-tanks!AW32</f>
        <v>0</v>
      </c>
      <c r="AK31" s="321">
        <f t="shared" si="24"/>
        <v>0</v>
      </c>
      <c r="AL31" s="321">
        <f t="shared" si="47"/>
        <v>0</v>
      </c>
      <c r="AM31" s="321">
        <f t="shared" si="25"/>
        <v>0</v>
      </c>
      <c r="AN31" s="64">
        <f t="shared" si="35"/>
        <v>62</v>
      </c>
      <c r="AO31" s="323">
        <f t="shared" si="51"/>
        <v>1860</v>
      </c>
      <c r="AP31" s="64">
        <f t="shared" si="36"/>
        <v>52</v>
      </c>
      <c r="AQ31" s="323">
        <f t="shared" si="50"/>
        <v>1560</v>
      </c>
      <c r="AR31" s="64">
        <f t="shared" si="28"/>
        <v>68</v>
      </c>
      <c r="AS31" s="323">
        <f t="shared" si="37"/>
        <v>2040.0000000000002</v>
      </c>
      <c r="AT31" s="323">
        <f t="shared" si="49"/>
        <v>5460</v>
      </c>
      <c r="AU31" s="323">
        <f t="shared" si="39"/>
        <v>0</v>
      </c>
      <c r="AV31" s="271"/>
      <c r="AW31" s="271"/>
      <c r="AX31" s="316">
        <f t="shared" si="29"/>
        <v>0.8</v>
      </c>
    </row>
    <row r="32" spans="1:50">
      <c r="A32" s="63">
        <f>ELEC!C30</f>
        <v>44132</v>
      </c>
      <c r="B32" s="64">
        <f t="shared" si="40"/>
        <v>242</v>
      </c>
      <c r="C32" s="64">
        <f t="shared" si="41"/>
        <v>247.3</v>
      </c>
      <c r="D32" s="45">
        <f t="shared" si="30"/>
        <v>0</v>
      </c>
      <c r="E32" s="45">
        <f t="shared" ref="E32:E34" si="52">D32*8.38</f>
        <v>0</v>
      </c>
      <c r="F32" s="64">
        <f t="shared" si="10"/>
        <v>1648</v>
      </c>
      <c r="G32" s="52">
        <f t="shared" si="0"/>
        <v>0</v>
      </c>
      <c r="H32" s="64">
        <f t="shared" si="11"/>
        <v>357868</v>
      </c>
      <c r="I32" s="400">
        <f t="shared" si="1"/>
        <v>0</v>
      </c>
      <c r="J32" s="66">
        <f t="shared" si="12"/>
        <v>0</v>
      </c>
      <c r="K32" s="64">
        <f t="shared" si="42"/>
        <v>2115</v>
      </c>
      <c r="L32" s="52">
        <f t="shared" si="2"/>
        <v>0</v>
      </c>
      <c r="M32" s="64">
        <f t="shared" si="43"/>
        <v>155221</v>
      </c>
      <c r="N32" s="400">
        <f t="shared" si="3"/>
        <v>0</v>
      </c>
      <c r="O32" s="64">
        <f t="shared" si="13"/>
        <v>211.87499999999994</v>
      </c>
      <c r="P32" s="64">
        <f t="shared" si="13"/>
        <v>1840</v>
      </c>
      <c r="Q32" s="64">
        <f t="shared" si="13"/>
        <v>156190</v>
      </c>
      <c r="R32" s="399">
        <f t="shared" si="44"/>
        <v>0</v>
      </c>
      <c r="S32" s="52">
        <f t="shared" si="5"/>
        <v>0</v>
      </c>
      <c r="T32" s="67">
        <f t="shared" si="31"/>
        <v>0</v>
      </c>
      <c r="U32" s="406">
        <f t="shared" si="14"/>
        <v>0</v>
      </c>
      <c r="V32" s="62">
        <f t="shared" si="15"/>
        <v>0</v>
      </c>
      <c r="W32" s="404"/>
      <c r="X32" s="64">
        <f t="shared" si="17"/>
        <v>2448</v>
      </c>
      <c r="Y32" s="52">
        <f t="shared" si="18"/>
        <v>0</v>
      </c>
      <c r="Z32" s="64">
        <f t="shared" si="19"/>
        <v>137506</v>
      </c>
      <c r="AA32" s="65">
        <f t="shared" si="6"/>
        <v>0</v>
      </c>
      <c r="AB32" s="287">
        <f t="shared" si="48"/>
        <v>0</v>
      </c>
      <c r="AC32" s="64">
        <f t="shared" si="20"/>
        <v>1933</v>
      </c>
      <c r="AD32" s="271">
        <f t="shared" si="7"/>
        <v>0</v>
      </c>
      <c r="AE32" s="64">
        <f t="shared" si="21"/>
        <v>365212</v>
      </c>
      <c r="AF32" s="309">
        <f t="shared" si="22"/>
        <v>0</v>
      </c>
      <c r="AG32" s="210">
        <f t="shared" si="33"/>
        <v>0</v>
      </c>
      <c r="AH32" s="62">
        <f t="shared" si="34"/>
        <v>0</v>
      </c>
      <c r="AI32" s="321">
        <f t="shared" si="23"/>
        <v>0</v>
      </c>
      <c r="AJ32" s="321">
        <f>-tanks!AW33</f>
        <v>0</v>
      </c>
      <c r="AK32" s="321">
        <f t="shared" si="24"/>
        <v>0</v>
      </c>
      <c r="AL32" s="321">
        <f t="shared" si="47"/>
        <v>0</v>
      </c>
      <c r="AM32" s="321">
        <f t="shared" si="25"/>
        <v>0</v>
      </c>
      <c r="AN32" s="64">
        <f t="shared" si="35"/>
        <v>62</v>
      </c>
      <c r="AO32" s="323">
        <f t="shared" si="51"/>
        <v>1860</v>
      </c>
      <c r="AP32" s="64">
        <f t="shared" si="36"/>
        <v>52</v>
      </c>
      <c r="AQ32" s="323">
        <f t="shared" si="50"/>
        <v>1560</v>
      </c>
      <c r="AR32" s="64">
        <f t="shared" si="28"/>
        <v>68</v>
      </c>
      <c r="AS32" s="323">
        <f t="shared" si="37"/>
        <v>2040.0000000000002</v>
      </c>
      <c r="AT32" s="323">
        <f t="shared" si="49"/>
        <v>5460</v>
      </c>
      <c r="AU32" s="323">
        <f t="shared" si="39"/>
        <v>0</v>
      </c>
      <c r="AV32" s="271"/>
      <c r="AW32" s="271"/>
      <c r="AX32" s="316">
        <f t="shared" si="29"/>
        <v>0.8</v>
      </c>
    </row>
    <row r="33" spans="1:50">
      <c r="A33" s="63">
        <f>ELEC!C31</f>
        <v>44133</v>
      </c>
      <c r="B33" s="64">
        <f t="shared" si="40"/>
        <v>242</v>
      </c>
      <c r="C33" s="64">
        <f t="shared" si="41"/>
        <v>247.3</v>
      </c>
      <c r="D33" s="45">
        <f t="shared" si="30"/>
        <v>0</v>
      </c>
      <c r="E33" s="45">
        <f t="shared" si="52"/>
        <v>0</v>
      </c>
      <c r="F33" s="64">
        <f t="shared" si="10"/>
        <v>1648</v>
      </c>
      <c r="G33" s="52">
        <f t="shared" si="0"/>
        <v>0</v>
      </c>
      <c r="H33" s="64">
        <f t="shared" si="11"/>
        <v>357868</v>
      </c>
      <c r="I33" s="400">
        <f t="shared" si="1"/>
        <v>0</v>
      </c>
      <c r="J33" s="66">
        <f t="shared" si="12"/>
        <v>0</v>
      </c>
      <c r="K33" s="64">
        <f t="shared" si="42"/>
        <v>2115</v>
      </c>
      <c r="L33" s="52">
        <f t="shared" si="2"/>
        <v>0</v>
      </c>
      <c r="M33" s="64">
        <f t="shared" si="43"/>
        <v>155221</v>
      </c>
      <c r="N33" s="400">
        <f t="shared" si="3"/>
        <v>0</v>
      </c>
      <c r="O33" s="64">
        <f t="shared" si="13"/>
        <v>211.87499999999994</v>
      </c>
      <c r="P33" s="64">
        <f t="shared" si="13"/>
        <v>1840</v>
      </c>
      <c r="Q33" s="64">
        <f t="shared" si="13"/>
        <v>156190</v>
      </c>
      <c r="R33" s="399">
        <f t="shared" si="44"/>
        <v>0</v>
      </c>
      <c r="S33" s="52">
        <f t="shared" si="5"/>
        <v>0</v>
      </c>
      <c r="T33" s="67">
        <f t="shared" si="31"/>
        <v>0</v>
      </c>
      <c r="U33" s="406">
        <f t="shared" si="14"/>
        <v>0</v>
      </c>
      <c r="V33" s="62">
        <f t="shared" si="15"/>
        <v>0</v>
      </c>
      <c r="W33" s="404"/>
      <c r="X33" s="64">
        <f t="shared" si="17"/>
        <v>2448</v>
      </c>
      <c r="Y33" s="52">
        <f t="shared" si="18"/>
        <v>0</v>
      </c>
      <c r="Z33" s="64">
        <f t="shared" si="19"/>
        <v>137506</v>
      </c>
      <c r="AA33" s="65">
        <f t="shared" si="6"/>
        <v>0</v>
      </c>
      <c r="AB33" s="287">
        <f t="shared" si="48"/>
        <v>0</v>
      </c>
      <c r="AC33" s="64">
        <f t="shared" si="20"/>
        <v>1933</v>
      </c>
      <c r="AD33" s="45">
        <f t="shared" si="7"/>
        <v>0</v>
      </c>
      <c r="AE33" s="64">
        <f t="shared" si="21"/>
        <v>365212</v>
      </c>
      <c r="AF33" s="309">
        <f t="shared" si="22"/>
        <v>0</v>
      </c>
      <c r="AG33" s="210">
        <f t="shared" si="33"/>
        <v>0</v>
      </c>
      <c r="AH33" s="62">
        <f t="shared" si="34"/>
        <v>0</v>
      </c>
      <c r="AI33" s="321">
        <f t="shared" si="23"/>
        <v>0</v>
      </c>
      <c r="AJ33" s="321">
        <f>-tanks!AW34</f>
        <v>0</v>
      </c>
      <c r="AK33" s="321">
        <f t="shared" si="24"/>
        <v>0</v>
      </c>
      <c r="AL33" s="321">
        <f t="shared" si="47"/>
        <v>0</v>
      </c>
      <c r="AM33" s="321">
        <f t="shared" si="25"/>
        <v>0</v>
      </c>
      <c r="AN33" s="64">
        <f t="shared" si="35"/>
        <v>62</v>
      </c>
      <c r="AO33" s="323">
        <f t="shared" si="51"/>
        <v>1860</v>
      </c>
      <c r="AP33" s="64">
        <f t="shared" si="36"/>
        <v>52</v>
      </c>
      <c r="AQ33" s="323">
        <f t="shared" si="50"/>
        <v>1560</v>
      </c>
      <c r="AR33" s="64">
        <f t="shared" si="28"/>
        <v>68</v>
      </c>
      <c r="AS33" s="323">
        <f t="shared" si="37"/>
        <v>2040.0000000000002</v>
      </c>
      <c r="AT33" s="323">
        <f t="shared" si="49"/>
        <v>5460</v>
      </c>
      <c r="AU33" s="323">
        <f t="shared" si="39"/>
        <v>0</v>
      </c>
      <c r="AV33" s="271"/>
      <c r="AW33" s="271"/>
      <c r="AX33" s="316">
        <f t="shared" si="29"/>
        <v>0.8</v>
      </c>
    </row>
    <row r="34" spans="1:50">
      <c r="A34" s="63">
        <f>ELEC!C32</f>
        <v>44134</v>
      </c>
      <c r="B34" s="64">
        <f t="shared" si="40"/>
        <v>242</v>
      </c>
      <c r="C34" s="64">
        <f t="shared" si="41"/>
        <v>247.3</v>
      </c>
      <c r="D34" s="45">
        <f t="shared" si="30"/>
        <v>0</v>
      </c>
      <c r="E34" s="45">
        <f t="shared" si="52"/>
        <v>0</v>
      </c>
      <c r="F34" s="64">
        <f t="shared" si="10"/>
        <v>1648</v>
      </c>
      <c r="G34" s="52">
        <f t="shared" si="0"/>
        <v>0</v>
      </c>
      <c r="H34" s="64">
        <f t="shared" si="11"/>
        <v>357868</v>
      </c>
      <c r="I34" s="400">
        <f t="shared" si="1"/>
        <v>0</v>
      </c>
      <c r="J34" s="66">
        <f t="shared" si="12"/>
        <v>0</v>
      </c>
      <c r="K34" s="64">
        <f t="shared" si="42"/>
        <v>2115</v>
      </c>
      <c r="L34" s="52">
        <f t="shared" si="2"/>
        <v>0</v>
      </c>
      <c r="M34" s="64">
        <f t="shared" si="43"/>
        <v>155221</v>
      </c>
      <c r="N34" s="400">
        <f t="shared" si="3"/>
        <v>0</v>
      </c>
      <c r="O34" s="64">
        <f t="shared" si="13"/>
        <v>211.87499999999994</v>
      </c>
      <c r="P34" s="64">
        <f t="shared" si="13"/>
        <v>1840</v>
      </c>
      <c r="Q34" s="64">
        <f t="shared" si="13"/>
        <v>156190</v>
      </c>
      <c r="R34" s="399">
        <f t="shared" si="44"/>
        <v>0</v>
      </c>
      <c r="S34" s="52">
        <f t="shared" si="5"/>
        <v>0</v>
      </c>
      <c r="T34" s="67">
        <f t="shared" si="31"/>
        <v>0</v>
      </c>
      <c r="U34" s="406">
        <f t="shared" si="14"/>
        <v>0</v>
      </c>
      <c r="V34" s="62">
        <f t="shared" si="15"/>
        <v>0</v>
      </c>
      <c r="W34" s="404"/>
      <c r="X34" s="64">
        <f t="shared" si="17"/>
        <v>2448</v>
      </c>
      <c r="Y34" s="52">
        <f t="shared" si="18"/>
        <v>0</v>
      </c>
      <c r="Z34" s="64">
        <f t="shared" si="19"/>
        <v>137506</v>
      </c>
      <c r="AA34" s="65">
        <f t="shared" si="6"/>
        <v>0</v>
      </c>
      <c r="AB34" s="287">
        <f t="shared" si="48"/>
        <v>0</v>
      </c>
      <c r="AC34" s="64">
        <f t="shared" si="20"/>
        <v>1933</v>
      </c>
      <c r="AD34" s="45">
        <f t="shared" si="7"/>
        <v>0</v>
      </c>
      <c r="AE34" s="64">
        <f t="shared" si="21"/>
        <v>365212</v>
      </c>
      <c r="AF34" s="309">
        <f t="shared" si="22"/>
        <v>0</v>
      </c>
      <c r="AG34" s="210">
        <f t="shared" si="33"/>
        <v>0</v>
      </c>
      <c r="AH34" s="62">
        <f t="shared" si="34"/>
        <v>0</v>
      </c>
      <c r="AI34" s="321">
        <f t="shared" si="23"/>
        <v>0</v>
      </c>
      <c r="AJ34" s="321">
        <f>-tanks!AW35</f>
        <v>0</v>
      </c>
      <c r="AK34" s="321">
        <f t="shared" si="24"/>
        <v>0</v>
      </c>
      <c r="AL34" s="321">
        <f t="shared" si="47"/>
        <v>0</v>
      </c>
      <c r="AM34" s="321">
        <f>Y34+AD34</f>
        <v>0</v>
      </c>
      <c r="AN34" s="64">
        <f t="shared" si="35"/>
        <v>62</v>
      </c>
      <c r="AO34" s="323">
        <f t="shared" si="51"/>
        <v>1860</v>
      </c>
      <c r="AP34" s="64">
        <f t="shared" si="36"/>
        <v>52</v>
      </c>
      <c r="AQ34" s="323">
        <f t="shared" si="50"/>
        <v>1560</v>
      </c>
      <c r="AR34" s="64">
        <f t="shared" si="28"/>
        <v>68</v>
      </c>
      <c r="AS34" s="323">
        <f t="shared" si="37"/>
        <v>2040.0000000000002</v>
      </c>
      <c r="AT34" s="323">
        <f t="shared" si="49"/>
        <v>5460</v>
      </c>
      <c r="AU34" s="323">
        <f t="shared" si="39"/>
        <v>0</v>
      </c>
      <c r="AV34" s="271"/>
      <c r="AW34" s="271"/>
      <c r="AX34" s="316">
        <f t="shared" si="29"/>
        <v>0.8</v>
      </c>
    </row>
    <row r="35" spans="1:50">
      <c r="A35" s="63">
        <f>ELEC!C33</f>
        <v>44135</v>
      </c>
      <c r="B35" s="64">
        <f t="shared" si="40"/>
        <v>242</v>
      </c>
      <c r="C35" s="64">
        <f t="shared" si="41"/>
        <v>247.3</v>
      </c>
      <c r="D35" s="45">
        <f t="shared" ref="D35" si="53">C34-C35</f>
        <v>0</v>
      </c>
      <c r="E35" s="45">
        <f t="shared" ref="E35" si="54">D35*8.38</f>
        <v>0</v>
      </c>
      <c r="F35" s="64">
        <f t="shared" si="10"/>
        <v>1648</v>
      </c>
      <c r="G35" s="52">
        <f t="shared" ref="G35" si="55">F35-F34</f>
        <v>0</v>
      </c>
      <c r="H35" s="64">
        <f t="shared" si="11"/>
        <v>357868</v>
      </c>
      <c r="I35" s="400">
        <f t="shared" ref="I35" si="56">SUM(H35-H34)</f>
        <v>0</v>
      </c>
      <c r="J35" s="66">
        <f t="shared" ref="J35" si="57">IF(G35&gt;0,I35/G35,0)</f>
        <v>0</v>
      </c>
      <c r="K35" s="64">
        <f t="shared" ref="K35" si="58">K34</f>
        <v>2115</v>
      </c>
      <c r="L35" s="52">
        <f t="shared" ref="L35" si="59">K35-K34</f>
        <v>0</v>
      </c>
      <c r="M35" s="64">
        <f t="shared" si="43"/>
        <v>155221</v>
      </c>
      <c r="N35" s="400">
        <f t="shared" ref="N35" si="60">M35-M34</f>
        <v>0</v>
      </c>
      <c r="O35" s="64">
        <f t="shared" si="13"/>
        <v>211.87499999999994</v>
      </c>
      <c r="P35" s="64">
        <f t="shared" si="13"/>
        <v>1840</v>
      </c>
      <c r="Q35" s="64">
        <f t="shared" si="13"/>
        <v>156190</v>
      </c>
      <c r="R35" s="399">
        <f t="shared" ref="R35" si="61">Q35-Q34</f>
        <v>0</v>
      </c>
      <c r="S35" s="52">
        <f t="shared" ref="S35" si="62">SUM(P35-P34)</f>
        <v>0</v>
      </c>
      <c r="T35" s="67">
        <f t="shared" ref="T35" si="63">SUM(S35*$T$2)</f>
        <v>0</v>
      </c>
      <c r="U35" s="406">
        <f t="shared" ref="U35" si="64">SUM(G35+L35+S35)</f>
        <v>0</v>
      </c>
      <c r="V35" s="62">
        <f t="shared" ref="V35" si="65">R35+N35+I35:I35</f>
        <v>0</v>
      </c>
      <c r="W35" s="404"/>
      <c r="X35" s="64">
        <f t="shared" si="17"/>
        <v>2448</v>
      </c>
      <c r="Y35" s="52">
        <f t="shared" ref="Y35" si="66">X35-X34</f>
        <v>0</v>
      </c>
      <c r="Z35" s="64">
        <f t="shared" si="19"/>
        <v>137506</v>
      </c>
      <c r="AA35" s="65">
        <f t="shared" ref="AA35" si="67">Z35-Z34</f>
        <v>0</v>
      </c>
      <c r="AB35" s="287">
        <f t="shared" ref="AB35" si="68">SUM(Y35*$AB$2)</f>
        <v>0</v>
      </c>
      <c r="AC35" s="64">
        <f t="shared" si="20"/>
        <v>1933</v>
      </c>
      <c r="AD35" s="45">
        <f t="shared" ref="AD35" si="69">AC35-AC34</f>
        <v>0</v>
      </c>
      <c r="AE35" s="64">
        <f t="shared" si="21"/>
        <v>365212</v>
      </c>
      <c r="AF35" s="309">
        <f t="shared" ref="AF35" si="70">AE35-AE34</f>
        <v>0</v>
      </c>
      <c r="AG35" s="210">
        <f t="shared" ref="AG35" si="71">IF(AD35&gt;0,AF35/AD35,0)</f>
        <v>0</v>
      </c>
      <c r="AH35" s="62">
        <f t="shared" ref="AH35" si="72">AF35+AA35</f>
        <v>0</v>
      </c>
      <c r="AI35" s="321">
        <f t="shared" ref="AI35" si="73">SUM(AH35+V35)</f>
        <v>0</v>
      </c>
      <c r="AJ35" s="321">
        <f>-tanks!AW37</f>
        <v>0</v>
      </c>
      <c r="AK35" s="321">
        <f t="shared" ref="AK35" si="74">SUM(AJ35-AI35)</f>
        <v>0</v>
      </c>
      <c r="AL35" s="321">
        <f t="shared" ref="AL35" si="75">S35+L35+G35</f>
        <v>0</v>
      </c>
      <c r="AM35" s="321">
        <f>Y35+AD35</f>
        <v>0</v>
      </c>
      <c r="AN35" s="64">
        <f t="shared" si="35"/>
        <v>62</v>
      </c>
      <c r="AO35" s="323">
        <f t="shared" ref="AO35" si="76">(AN35/100)*3000</f>
        <v>1860</v>
      </c>
      <c r="AP35" s="64">
        <f t="shared" si="36"/>
        <v>52</v>
      </c>
      <c r="AQ35" s="323">
        <f t="shared" ref="AQ35" si="77">(AP35/100)*3000</f>
        <v>1560</v>
      </c>
      <c r="AR35" s="64">
        <f t="shared" si="28"/>
        <v>68</v>
      </c>
      <c r="AS35" s="323">
        <f t="shared" ref="AS35" si="78">(AR35/100)*3000</f>
        <v>2040.0000000000002</v>
      </c>
      <c r="AT35" s="323">
        <f t="shared" ref="AT35" si="79">SUM(AO35+AQ35+AS35)</f>
        <v>5460</v>
      </c>
      <c r="AU35" s="323">
        <f t="shared" ref="AU35" si="80">AT34-AT35+AV35</f>
        <v>0</v>
      </c>
      <c r="AV35" s="271"/>
      <c r="AW35" s="271"/>
      <c r="AX35" s="316">
        <f t="shared" ref="AX35" si="81">IF(AV35&gt;0,AW35,AX34)</f>
        <v>0.8</v>
      </c>
    </row>
    <row r="36" spans="1:50">
      <c r="J36" s="286">
        <f>SUM(J5:J34)/(COUNT(J5:J34)-COUNTIF(J5:J34,0))</f>
        <v>1</v>
      </c>
      <c r="V36" s="62">
        <f>SUM(V5:V35)</f>
        <v>497</v>
      </c>
      <c r="AE36" s="71" t="s">
        <v>385</v>
      </c>
      <c r="AG36" s="348"/>
      <c r="AH36" s="62">
        <f>SUM(AH5:AH35)</f>
        <v>1.7999999999883585</v>
      </c>
      <c r="AL36" s="62">
        <f>SUM(AL5:AL35)</f>
        <v>6</v>
      </c>
      <c r="AM36" s="62">
        <f>SUM(AM5:AM35)</f>
        <v>0</v>
      </c>
      <c r="AP36" s="316"/>
      <c r="AQ36" s="316"/>
      <c r="AR36" s="316" t="s">
        <v>224</v>
      </c>
      <c r="AS36" s="316">
        <f>COUNT(AW5:AW34)</f>
        <v>1</v>
      </c>
      <c r="AT36" s="316"/>
      <c r="AU36" s="316">
        <f>SUM(AU5:AU34)</f>
        <v>-30</v>
      </c>
      <c r="AV36" s="71">
        <f>SUM(AV5:AV34)</f>
        <v>0</v>
      </c>
      <c r="AW36" s="316">
        <f>SUM(AW5:AW34)/AS36</f>
        <v>0.1</v>
      </c>
    </row>
    <row r="37" spans="1:50">
      <c r="AH37" s="62">
        <f>AF37+AA37</f>
        <v>0</v>
      </c>
      <c r="AI37" s="324">
        <f>SUM(AI5:AI34)</f>
        <v>498.79999999998836</v>
      </c>
      <c r="AP37" s="316"/>
      <c r="AQ37" s="316"/>
      <c r="AR37" s="316"/>
      <c r="AS37" s="316"/>
      <c r="AT37" s="316"/>
      <c r="AU37" s="316"/>
      <c r="AV37" s="316"/>
      <c r="AW37" s="316"/>
    </row>
    <row r="38" spans="1:50">
      <c r="AH38" s="62">
        <f>AF38+AA38</f>
        <v>0</v>
      </c>
      <c r="AP38" s="316"/>
      <c r="AQ38" s="316"/>
      <c r="AR38" s="316"/>
      <c r="AS38" s="316"/>
      <c r="AT38" s="316"/>
      <c r="AU38" s="316">
        <f>AU36*0.51</f>
        <v>-15.3</v>
      </c>
      <c r="AV38" s="316">
        <f>AV36/0.51</f>
        <v>0</v>
      </c>
      <c r="AW38" s="316">
        <f>SUM(AW5:AW34)/AS36</f>
        <v>0.1</v>
      </c>
    </row>
    <row r="39" spans="1:50">
      <c r="AP39" s="316"/>
      <c r="AQ39" s="316"/>
      <c r="AR39" s="316"/>
      <c r="AS39" s="316"/>
      <c r="AT39" s="316"/>
      <c r="AU39" s="316"/>
      <c r="AV39" s="316">
        <f>AV36*0.51</f>
        <v>0</v>
      </c>
      <c r="AW39" s="316"/>
    </row>
    <row r="40" spans="1:50">
      <c r="AP40" s="316"/>
      <c r="AQ40" s="316"/>
      <c r="AR40" s="316"/>
      <c r="AS40" s="316"/>
      <c r="AT40" s="316"/>
      <c r="AU40" s="316"/>
      <c r="AV40" s="316"/>
      <c r="AW40" s="316"/>
    </row>
    <row r="41" spans="1:50">
      <c r="P41" s="69"/>
      <c r="Q41" s="69"/>
      <c r="R41" s="69"/>
      <c r="AP41" s="316"/>
      <c r="AQ41" s="316"/>
      <c r="AR41" s="316"/>
      <c r="AS41" s="316"/>
      <c r="AT41" s="316"/>
      <c r="AU41" s="316"/>
      <c r="AV41" s="316"/>
      <c r="AW41" s="316"/>
    </row>
    <row r="43" spans="1:50">
      <c r="AG43" s="361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I1" zoomScaleNormal="100" workbookViewId="0">
      <pane ySplit="3" topLeftCell="A4" activePane="bottomLeft" state="frozen"/>
      <selection pane="bottomLeft" activeCell="AV10" sqref="AV10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5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5" customWidth="1"/>
    <col min="11" max="11" width="13.5703125" style="1" customWidth="1"/>
    <col min="12" max="12" width="13.28515625" style="1" customWidth="1"/>
    <col min="13" max="13" width="10.7109375" style="500" customWidth="1"/>
    <col min="14" max="14" width="10.7109375" style="502" customWidth="1"/>
    <col min="15" max="15" width="11.140625" style="500" customWidth="1"/>
    <col min="16" max="16" width="11.140625" style="502" customWidth="1"/>
    <col min="17" max="17" width="17.28515625" style="500" customWidth="1"/>
    <col min="18" max="18" width="10.85546875" style="500" customWidth="1"/>
    <col min="19" max="19" width="10.7109375" style="500" customWidth="1"/>
    <col min="20" max="20" width="13.28515625" style="410" customWidth="1"/>
    <col min="21" max="21" width="8.7109375" style="414" customWidth="1"/>
    <col min="22" max="22" width="13.28515625" style="325" customWidth="1"/>
    <col min="23" max="23" width="9.7109375" style="325" bestFit="1" customWidth="1"/>
    <col min="24" max="27" width="9.7109375" style="325" customWidth="1"/>
    <col min="28" max="28" width="14.42578125" style="325" customWidth="1"/>
    <col min="29" max="32" width="9.7109375" style="325" customWidth="1"/>
    <col min="33" max="33" width="11.28515625" style="325" customWidth="1"/>
    <col min="34" max="36" width="9.7109375" style="325" customWidth="1"/>
    <col min="37" max="37" width="7.42578125" style="325" customWidth="1"/>
    <col min="38" max="39" width="8.7109375" style="325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63" customFormat="1" ht="15.75" thickBot="1">
      <c r="B1" s="364"/>
      <c r="C1" s="364"/>
      <c r="D1" s="421">
        <f>SUM(G21:G35)</f>
        <v>9133950</v>
      </c>
      <c r="E1" s="365"/>
      <c r="F1" s="365"/>
      <c r="G1" s="364"/>
      <c r="H1" s="364"/>
      <c r="I1" s="364"/>
      <c r="J1" s="365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6"/>
      <c r="W1" s="366"/>
      <c r="X1" s="366"/>
      <c r="Y1" s="366"/>
      <c r="Z1" s="366"/>
      <c r="AA1" s="366"/>
      <c r="AB1" s="366"/>
      <c r="AC1" s="366"/>
      <c r="AD1" s="366"/>
      <c r="AE1" s="366"/>
      <c r="AF1" s="366"/>
      <c r="AG1" s="366"/>
      <c r="AH1" s="366"/>
      <c r="AI1" s="366"/>
      <c r="AJ1" s="366"/>
      <c r="AK1" s="366"/>
      <c r="AL1" s="366"/>
      <c r="AM1" s="366"/>
      <c r="AN1" s="364"/>
      <c r="AR1" s="367" t="s">
        <v>92</v>
      </c>
      <c r="AS1" s="368"/>
      <c r="AT1" s="368" t="s">
        <v>60</v>
      </c>
      <c r="AU1" s="368"/>
      <c r="AV1" s="369" t="s">
        <v>61</v>
      </c>
    </row>
    <row r="2" spans="1:65" s="363" customFormat="1" ht="15.75" customHeight="1" thickBot="1">
      <c r="B2" s="364"/>
      <c r="C2" s="364"/>
      <c r="D2" s="364"/>
      <c r="E2" s="365"/>
      <c r="F2" s="365"/>
      <c r="G2" s="364"/>
      <c r="H2" s="364"/>
      <c r="I2" s="364"/>
      <c r="J2" s="365"/>
      <c r="K2" s="364"/>
      <c r="L2" s="364"/>
      <c r="M2" s="364"/>
      <c r="N2" s="364"/>
      <c r="O2" s="364"/>
      <c r="P2" s="364"/>
      <c r="Q2" s="364"/>
      <c r="R2" s="364"/>
      <c r="S2" s="364"/>
      <c r="T2" s="364"/>
      <c r="U2" s="364"/>
      <c r="V2" s="366"/>
      <c r="W2" s="366"/>
      <c r="X2" s="366"/>
      <c r="Y2" s="366"/>
      <c r="Z2" s="366"/>
      <c r="AA2" s="366"/>
      <c r="AB2" s="366"/>
      <c r="AC2" s="366"/>
      <c r="AD2" s="366"/>
      <c r="AE2" s="366"/>
      <c r="AF2" s="366"/>
      <c r="AG2" s="366"/>
      <c r="AH2" s="366"/>
      <c r="AI2" s="366"/>
      <c r="AJ2" s="366"/>
      <c r="AK2" s="366"/>
      <c r="AL2" s="366"/>
      <c r="AM2" s="366"/>
      <c r="AN2" s="364"/>
      <c r="AR2" s="627" t="s">
        <v>95</v>
      </c>
      <c r="AS2" s="628"/>
      <c r="AT2" s="628"/>
      <c r="AU2" s="628"/>
      <c r="AV2" s="629"/>
      <c r="AW2" s="627" t="s">
        <v>96</v>
      </c>
      <c r="AX2" s="628"/>
      <c r="AY2" s="629"/>
      <c r="AZ2" s="627" t="s">
        <v>98</v>
      </c>
      <c r="BA2" s="628"/>
      <c r="BB2" s="629"/>
      <c r="BC2" s="370"/>
      <c r="BE2" s="371"/>
    </row>
    <row r="3" spans="1:65" s="363" customFormat="1" ht="48" customHeight="1" thickBot="1">
      <c r="A3" s="372" t="s">
        <v>51</v>
      </c>
      <c r="B3" s="373" t="s">
        <v>52</v>
      </c>
      <c r="C3" s="373" t="s">
        <v>53</v>
      </c>
      <c r="D3" s="373" t="s">
        <v>54</v>
      </c>
      <c r="E3" s="374"/>
      <c r="F3" s="375" t="s">
        <v>80</v>
      </c>
      <c r="G3" s="373" t="s">
        <v>55</v>
      </c>
      <c r="H3" s="373" t="s">
        <v>56</v>
      </c>
      <c r="I3" s="373" t="s">
        <v>100</v>
      </c>
      <c r="J3" s="374"/>
      <c r="K3" s="373" t="s">
        <v>394</v>
      </c>
      <c r="L3" s="376" t="s">
        <v>329</v>
      </c>
      <c r="M3" s="519" t="s">
        <v>401</v>
      </c>
      <c r="N3" s="520"/>
      <c r="O3" s="521" t="s">
        <v>402</v>
      </c>
      <c r="P3" s="521"/>
      <c r="Q3" s="521" t="s">
        <v>398</v>
      </c>
      <c r="R3" s="521" t="s">
        <v>400</v>
      </c>
      <c r="S3" s="521" t="s">
        <v>399</v>
      </c>
      <c r="T3" s="373" t="s">
        <v>382</v>
      </c>
      <c r="U3" s="373" t="s">
        <v>384</v>
      </c>
      <c r="V3" s="377" t="s">
        <v>333</v>
      </c>
      <c r="W3" s="378" t="s">
        <v>334</v>
      </c>
      <c r="X3" s="377" t="s">
        <v>337</v>
      </c>
      <c r="Y3" s="378" t="s">
        <v>338</v>
      </c>
      <c r="Z3" s="379" t="s">
        <v>339</v>
      </c>
      <c r="AA3" s="380" t="s">
        <v>397</v>
      </c>
      <c r="AB3" s="448" t="s">
        <v>396</v>
      </c>
      <c r="AC3" s="446" t="s">
        <v>395</v>
      </c>
      <c r="AD3" s="446"/>
      <c r="AE3" s="381" t="s">
        <v>406</v>
      </c>
      <c r="AF3" s="381" t="s">
        <v>407</v>
      </c>
      <c r="AG3" s="381" t="s">
        <v>408</v>
      </c>
      <c r="AH3" s="381" t="s">
        <v>409</v>
      </c>
      <c r="AI3" s="380" t="s">
        <v>410</v>
      </c>
      <c r="AJ3" s="380" t="s">
        <v>340</v>
      </c>
      <c r="AK3" s="381" t="s">
        <v>342</v>
      </c>
      <c r="AL3" s="381" t="s">
        <v>341</v>
      </c>
      <c r="AM3" s="382" t="s">
        <v>125</v>
      </c>
      <c r="AN3" s="624" t="s">
        <v>126</v>
      </c>
      <c r="AO3" s="625"/>
      <c r="AP3" s="626"/>
      <c r="AR3" s="383" t="s">
        <v>51</v>
      </c>
      <c r="AS3" s="384"/>
      <c r="AT3" s="383" t="s">
        <v>94</v>
      </c>
      <c r="AU3" s="384"/>
      <c r="AV3" s="385" t="s">
        <v>57</v>
      </c>
      <c r="AW3" s="386"/>
      <c r="AX3" s="384" t="s">
        <v>59</v>
      </c>
      <c r="AY3" s="387" t="s">
        <v>93</v>
      </c>
      <c r="AZ3" s="385" t="s">
        <v>57</v>
      </c>
      <c r="BA3" s="388" t="s">
        <v>59</v>
      </c>
      <c r="BB3" s="389" t="s">
        <v>57</v>
      </c>
      <c r="BC3" s="389" t="s">
        <v>58</v>
      </c>
      <c r="BD3" s="390" t="s">
        <v>59</v>
      </c>
      <c r="BE3" s="391" t="s">
        <v>99</v>
      </c>
      <c r="BF3" s="390" t="s">
        <v>97</v>
      </c>
      <c r="BG3" s="392"/>
      <c r="BI3" s="393"/>
      <c r="BJ3" s="393"/>
      <c r="BK3" s="393"/>
      <c r="BL3" s="393"/>
      <c r="BM3" s="393"/>
    </row>
    <row r="4" spans="1:65" ht="16.5" thickBot="1">
      <c r="A4" s="87"/>
      <c r="B4" s="5"/>
      <c r="C4" s="5"/>
      <c r="D4" s="268"/>
      <c r="E4" s="336">
        <v>1.66</v>
      </c>
      <c r="F4" s="336"/>
      <c r="G4" s="5"/>
      <c r="H4" s="5"/>
      <c r="I4" s="5"/>
      <c r="J4" s="337"/>
      <c r="K4" s="5"/>
      <c r="L4" s="83"/>
      <c r="M4" s="522"/>
      <c r="N4" s="522"/>
      <c r="O4" s="522"/>
      <c r="P4" s="522"/>
      <c r="Q4" s="522"/>
      <c r="R4" s="522"/>
      <c r="S4" s="522"/>
      <c r="T4" s="83"/>
      <c r="U4" s="83"/>
      <c r="V4" s="326"/>
      <c r="W4" s="327"/>
      <c r="X4" s="326"/>
      <c r="Y4" s="327"/>
      <c r="Z4" s="328"/>
      <c r="AA4" s="447"/>
      <c r="AB4" s="449"/>
      <c r="AC4" s="447"/>
      <c r="AD4" s="447"/>
      <c r="AE4" s="447"/>
      <c r="AF4" s="447"/>
      <c r="AG4" s="447"/>
      <c r="AH4" s="447"/>
      <c r="AI4" s="447"/>
      <c r="AJ4" s="329"/>
      <c r="AK4" s="330"/>
      <c r="AL4" s="330"/>
      <c r="AM4" s="331"/>
      <c r="AN4" s="88" t="s">
        <v>129</v>
      </c>
      <c r="AO4" s="88" t="s">
        <v>130</v>
      </c>
      <c r="AP4" s="88" t="s">
        <v>157</v>
      </c>
      <c r="AR4" s="232"/>
      <c r="AS4" s="233"/>
      <c r="AT4" s="232">
        <v>180</v>
      </c>
      <c r="AU4" s="233"/>
      <c r="AV4" s="234">
        <v>220</v>
      </c>
      <c r="AW4" s="235"/>
      <c r="AX4" s="233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v>44104</v>
      </c>
      <c r="B5" s="415">
        <f>[2]WATER!B35</f>
        <v>109096</v>
      </c>
      <c r="C5" s="415">
        <f>[2]WATER!C35</f>
        <v>0</v>
      </c>
      <c r="D5" s="415">
        <f>[2]WATER!D35</f>
        <v>0</v>
      </c>
      <c r="E5" s="415">
        <f>[2]WATER!E35</f>
        <v>250</v>
      </c>
      <c r="F5" s="415">
        <f>[2]WATER!F35</f>
        <v>0</v>
      </c>
      <c r="G5" s="415">
        <f>[2]WATER!G35</f>
        <v>608742</v>
      </c>
      <c r="H5" s="415">
        <f>[2]WATER!H35</f>
        <v>0</v>
      </c>
      <c r="I5" s="415">
        <f>[2]WATER!I35</f>
        <v>0</v>
      </c>
      <c r="J5" s="415">
        <f>[2]WATER!J35</f>
        <v>0</v>
      </c>
      <c r="K5" s="415">
        <f>[2]WATER!K35</f>
        <v>6555</v>
      </c>
      <c r="L5" s="415">
        <f>[2]WATER!L35</f>
        <v>0</v>
      </c>
      <c r="M5" s="415">
        <f>[2]WATER!M35</f>
        <v>457.44</v>
      </c>
      <c r="N5" s="415">
        <f>[2]WATER!N35</f>
        <v>0</v>
      </c>
      <c r="O5" s="415">
        <f>[2]WATER!O35</f>
        <v>529.52</v>
      </c>
      <c r="P5" s="415">
        <f>[2]WATER!P35</f>
        <v>0</v>
      </c>
      <c r="Q5" s="415">
        <f>[2]WATER!Q35</f>
        <v>0</v>
      </c>
      <c r="R5" s="415">
        <f>[2]WATER!R35</f>
        <v>0</v>
      </c>
      <c r="S5" s="415">
        <f>[2]WATER!S35</f>
        <v>0</v>
      </c>
      <c r="T5" s="415">
        <v>5127</v>
      </c>
      <c r="U5" s="415">
        <f>[2]WATER!U35</f>
        <v>3</v>
      </c>
      <c r="V5" s="415">
        <f>[2]WATER!V35</f>
        <v>452</v>
      </c>
      <c r="W5" s="415">
        <f>[2]WATER!W35</f>
        <v>0</v>
      </c>
      <c r="X5" s="415">
        <f>[2]WATER!X35</f>
        <v>147647</v>
      </c>
      <c r="Y5" s="415">
        <f>[2]WATER!Y35</f>
        <v>60</v>
      </c>
      <c r="Z5" s="415">
        <f>[2]WATER!Z35</f>
        <v>97058</v>
      </c>
      <c r="AA5" s="415">
        <f>[2]WATER!AA35</f>
        <v>23</v>
      </c>
      <c r="AB5" s="415">
        <f>[2]WATER!AB35</f>
        <v>264</v>
      </c>
      <c r="AC5" s="415">
        <f>[2]WATER!AC35</f>
        <v>698</v>
      </c>
      <c r="AD5" s="415">
        <f>[2]WATER!AD35</f>
        <v>0</v>
      </c>
      <c r="AE5" s="415">
        <f>[2]WATER!AE35</f>
        <v>217.84</v>
      </c>
      <c r="AF5" s="415">
        <f>[2]WATER!AF35</f>
        <v>0</v>
      </c>
      <c r="AG5" s="415">
        <f>[2]WATER!AG35</f>
        <v>2176.58</v>
      </c>
      <c r="AH5" s="415">
        <f>[2]WATER!AH35</f>
        <v>0</v>
      </c>
      <c r="AI5" s="415">
        <f>[2]WATER!AI35</f>
        <v>0</v>
      </c>
      <c r="AJ5" s="415">
        <f>[2]WATER!AJ35</f>
        <v>23</v>
      </c>
      <c r="AK5" s="415">
        <f>[2]WATER!AK35</f>
        <v>60</v>
      </c>
      <c r="AL5" s="415">
        <f>[2]WATER!AL35</f>
        <v>23</v>
      </c>
      <c r="AM5" s="415">
        <f>[2]WATER!AM35</f>
        <v>28.5</v>
      </c>
      <c r="AN5" s="415">
        <f>[2]WATER!AN35</f>
        <v>0</v>
      </c>
      <c r="AO5" s="415">
        <f>[2]WATER!AO35</f>
        <v>0</v>
      </c>
      <c r="AP5" s="415">
        <f>[2]WATER!AP35</f>
        <v>0</v>
      </c>
      <c r="AQ5" s="415">
        <f>[2]WATER!AQ35</f>
        <v>0</v>
      </c>
      <c r="AR5" s="415">
        <f>[2]WATER!AR35</f>
        <v>44104</v>
      </c>
      <c r="AS5" s="415">
        <f>[2]WATER!AS35</f>
        <v>0.9</v>
      </c>
      <c r="AT5" s="415">
        <f>[2]WATER!AT35</f>
        <v>63</v>
      </c>
      <c r="AU5" s="415">
        <f>[2]WATER!AU35</f>
        <v>1.1000000000000001</v>
      </c>
      <c r="AV5" s="415">
        <f>[2]WATER!AV35</f>
        <v>41</v>
      </c>
      <c r="AW5" s="415">
        <f>[2]WATER!AW35</f>
        <v>2.9</v>
      </c>
      <c r="AX5" s="415">
        <f>[2]WATER!AX35</f>
        <v>44</v>
      </c>
      <c r="AY5" s="415">
        <f>[2]WATER!AY35</f>
        <v>56.7</v>
      </c>
      <c r="AZ5" s="415">
        <f>[2]WATER!AZ35</f>
        <v>45.1</v>
      </c>
      <c r="BA5" s="415">
        <f>[2]WATER!BA35</f>
        <v>127.6</v>
      </c>
      <c r="BB5" s="415">
        <f>[2]WATER!BB35</f>
        <v>-98.100000000000009</v>
      </c>
      <c r="BC5" s="415">
        <f>[2]WATER!BC35</f>
        <v>12.100000000000001</v>
      </c>
      <c r="BD5" s="415">
        <f>[2]WATER!BD35</f>
        <v>31.899999999999991</v>
      </c>
      <c r="BE5" s="415">
        <f>[2]WATER!BE35</f>
        <v>-54.100000000000009</v>
      </c>
      <c r="BF5" s="415">
        <f>[2]WATER!BF35</f>
        <v>54.100000000000009</v>
      </c>
      <c r="BG5" s="415">
        <f>[2]WATER!BG35</f>
        <v>-54.100000000000009</v>
      </c>
    </row>
    <row r="6" spans="1:65" ht="15.75" thickBot="1">
      <c r="A6" s="6">
        <f>ELEC!C3</f>
        <v>44105</v>
      </c>
      <c r="B6" s="5">
        <f>B5</f>
        <v>109096</v>
      </c>
      <c r="C6" s="5">
        <f>B6-B5</f>
        <v>0</v>
      </c>
      <c r="D6" s="424">
        <f>C6/27</f>
        <v>0</v>
      </c>
      <c r="E6" s="336">
        <f>SUM((C6*$E$4)+(7500/'EDl log'!$A$38))</f>
        <v>241.93548387096774</v>
      </c>
      <c r="F6" s="423"/>
      <c r="G6" s="5">
        <f>G5</f>
        <v>608742</v>
      </c>
      <c r="H6" s="5">
        <f>G6-G5</f>
        <v>0</v>
      </c>
      <c r="I6" s="5">
        <f t="shared" ref="I6:I35" si="0">C6+H6</f>
        <v>0</v>
      </c>
      <c r="J6" s="337">
        <f t="shared" ref="J6:J35" si="1">IF(I6&gt;0,E6/I6,0)</f>
        <v>0</v>
      </c>
      <c r="K6" s="5">
        <v>6555</v>
      </c>
      <c r="L6" s="83">
        <v>0</v>
      </c>
      <c r="M6" s="415">
        <f>M5</f>
        <v>457.44</v>
      </c>
      <c r="N6" s="522">
        <f t="shared" ref="N6:N13" si="2">SUM(M6-M5)</f>
        <v>0</v>
      </c>
      <c r="O6" s="415">
        <f>O5</f>
        <v>529.52</v>
      </c>
      <c r="P6" s="522">
        <f t="shared" ref="P6:P13" si="3">SUM(O6-O5)</f>
        <v>0</v>
      </c>
      <c r="Q6" s="523">
        <f>P6+N6</f>
        <v>0</v>
      </c>
      <c r="R6" s="522"/>
      <c r="S6" s="522"/>
      <c r="T6" s="5">
        <f>T5</f>
        <v>5127</v>
      </c>
      <c r="U6" s="5">
        <f t="shared" ref="U6:U35" si="4">SUM(T6-T5)</f>
        <v>0</v>
      </c>
      <c r="V6" s="5">
        <f>V5</f>
        <v>452</v>
      </c>
      <c r="W6" s="327">
        <f>+V6-V5</f>
        <v>0</v>
      </c>
      <c r="X6" s="5">
        <f>X5</f>
        <v>147647</v>
      </c>
      <c r="Y6" s="327">
        <f>SUM(X6-X5)</f>
        <v>0</v>
      </c>
      <c r="Z6" s="5">
        <f>Z5</f>
        <v>97058</v>
      </c>
      <c r="AA6" s="83">
        <f>Z6-Z5</f>
        <v>0</v>
      </c>
      <c r="AB6" s="5">
        <f>AB5</f>
        <v>264</v>
      </c>
      <c r="AC6" s="5">
        <f>AC5</f>
        <v>698</v>
      </c>
      <c r="AD6" s="83">
        <v>0</v>
      </c>
      <c r="AE6" s="5">
        <f>AE5</f>
        <v>217.84</v>
      </c>
      <c r="AF6" s="83">
        <f>AE6-AE5</f>
        <v>0</v>
      </c>
      <c r="AG6" s="5">
        <f>AG5</f>
        <v>2176.58</v>
      </c>
      <c r="AH6" s="83">
        <f>AG6-AG5</f>
        <v>0</v>
      </c>
      <c r="AI6" s="83">
        <f>AF6+AH6</f>
        <v>0</v>
      </c>
      <c r="AJ6" s="329">
        <f>+Z6-Z5</f>
        <v>0</v>
      </c>
      <c r="AK6" s="330">
        <f t="shared" ref="AK6:AK38" si="5">SUM(Y6-L6)</f>
        <v>0</v>
      </c>
      <c r="AL6" s="330">
        <f>SUM(AJ6-W6)</f>
        <v>0</v>
      </c>
      <c r="AM6" s="330">
        <f>'General information '!D6</f>
        <v>27.5</v>
      </c>
      <c r="AN6" s="84">
        <f>'General information '!H6</f>
        <v>0</v>
      </c>
      <c r="AO6" s="84"/>
      <c r="AP6" s="84">
        <f>'General information '!J6</f>
        <v>0</v>
      </c>
      <c r="AQ6" s="81"/>
      <c r="AR6" s="279">
        <f>A6</f>
        <v>44105</v>
      </c>
      <c r="AS6" s="429">
        <f t="shared" ref="AS6:AT21" si="6">AS5</f>
        <v>0.9</v>
      </c>
      <c r="AT6" s="202">
        <v>32</v>
      </c>
      <c r="AU6" s="430">
        <f>AU5</f>
        <v>1.1000000000000001</v>
      </c>
      <c r="AV6" s="202">
        <v>42</v>
      </c>
      <c r="AW6" s="5">
        <v>2.9</v>
      </c>
      <c r="AX6" s="202">
        <v>43</v>
      </c>
      <c r="AY6" s="433">
        <f t="shared" ref="AY6:AY35" si="7">AS6*AT6</f>
        <v>28.8</v>
      </c>
      <c r="AZ6" s="433">
        <f>AU6*AV6</f>
        <v>46.2</v>
      </c>
      <c r="BA6" s="433">
        <f>AW6*AX6</f>
        <v>124.7</v>
      </c>
      <c r="BB6" s="21">
        <f>AY6-AY5</f>
        <v>-27.900000000000002</v>
      </c>
      <c r="BC6" s="21">
        <f>AZ6-AZ5</f>
        <v>1.1000000000000014</v>
      </c>
      <c r="BD6" s="21">
        <f>BA6-BA5</f>
        <v>-2.8999999999999915</v>
      </c>
      <c r="BE6" s="24">
        <f>SUM(BB6:BD6)</f>
        <v>-29.699999999999992</v>
      </c>
      <c r="BF6" s="96">
        <f t="shared" ref="BF6:BF35" si="8">SUM(I6-BE6)</f>
        <v>29.699999999999992</v>
      </c>
      <c r="BG6" s="82">
        <f t="shared" ref="BG6:BG35" si="9">SUM(I6-BF6)</f>
        <v>-29.699999999999992</v>
      </c>
      <c r="BI6" s="17"/>
      <c r="BJ6" s="17"/>
      <c r="BK6" s="17"/>
      <c r="BL6" s="17"/>
      <c r="BM6" s="17"/>
    </row>
    <row r="7" spans="1:65" ht="15.75" thickBot="1">
      <c r="A7" s="6">
        <f>ELEC!C4</f>
        <v>44106</v>
      </c>
      <c r="B7" s="5">
        <f t="shared" ref="B7:B36" si="10">B6</f>
        <v>109096</v>
      </c>
      <c r="C7" s="5">
        <f t="shared" ref="C7:C35" si="11">B7-B6</f>
        <v>0</v>
      </c>
      <c r="D7" s="424">
        <f t="shared" ref="D7:D35" si="12">C7/27</f>
        <v>0</v>
      </c>
      <c r="E7" s="336">
        <f>SUM((C7*$E$4)+(7500/'EDl log'!$A$38))</f>
        <v>241.93548387096774</v>
      </c>
      <c r="F7" s="423"/>
      <c r="G7" s="5">
        <v>608832</v>
      </c>
      <c r="H7" s="5">
        <f t="shared" ref="H7:H35" si="13">G7-G6</f>
        <v>90</v>
      </c>
      <c r="I7" s="5">
        <f t="shared" si="0"/>
        <v>90</v>
      </c>
      <c r="J7" s="337">
        <f t="shared" si="1"/>
        <v>2.6881720430107525</v>
      </c>
      <c r="K7" s="5">
        <f>'Swimming Pool quality check '!H7</f>
        <v>6555</v>
      </c>
      <c r="L7" s="83">
        <f>K7-K6</f>
        <v>0</v>
      </c>
      <c r="M7" s="415">
        <f t="shared" ref="M7:M36" si="14">M6</f>
        <v>457.44</v>
      </c>
      <c r="N7" s="522">
        <f t="shared" si="2"/>
        <v>0</v>
      </c>
      <c r="O7" s="415">
        <f t="shared" ref="O7:O36" si="15">O6</f>
        <v>529.52</v>
      </c>
      <c r="P7" s="522">
        <f t="shared" si="3"/>
        <v>0</v>
      </c>
      <c r="Q7" s="523">
        <f>P7+N7</f>
        <v>0</v>
      </c>
      <c r="R7" s="522"/>
      <c r="S7" s="522"/>
      <c r="T7" s="5">
        <v>5129</v>
      </c>
      <c r="U7" s="5">
        <f t="shared" si="4"/>
        <v>2</v>
      </c>
      <c r="V7" s="5">
        <f t="shared" ref="V7:V36" si="16">V6</f>
        <v>452</v>
      </c>
      <c r="W7" s="327">
        <f t="shared" ref="W7:W35" si="17">+V7-V6</f>
        <v>0</v>
      </c>
      <c r="X7" s="5">
        <v>147668</v>
      </c>
      <c r="Y7" s="327">
        <f>SUM(X7-X6)</f>
        <v>21</v>
      </c>
      <c r="Z7" s="5">
        <v>97071</v>
      </c>
      <c r="AA7" s="83">
        <f t="shared" ref="AA7:AA35" si="18">Z7-Z6</f>
        <v>13</v>
      </c>
      <c r="AB7" s="5">
        <v>260</v>
      </c>
      <c r="AC7" s="5">
        <f t="shared" ref="AC7:AC36" si="19">AC6</f>
        <v>698</v>
      </c>
      <c r="AD7" s="83">
        <f>AC7-AC6</f>
        <v>0</v>
      </c>
      <c r="AE7" s="5">
        <f t="shared" ref="AE7:AE36" si="20">AE6</f>
        <v>217.84</v>
      </c>
      <c r="AF7" s="83">
        <f t="shared" ref="AF7:AF35" si="21">AE7-AE6</f>
        <v>0</v>
      </c>
      <c r="AG7" s="5">
        <f t="shared" ref="AG7:AG36" si="22">AG6</f>
        <v>2176.58</v>
      </c>
      <c r="AH7" s="83">
        <f t="shared" ref="AH7:AH35" si="23">AG7-AG6</f>
        <v>0</v>
      </c>
      <c r="AI7" s="83">
        <f t="shared" ref="AI7:AI35" si="24">AF7+AH7</f>
        <v>0</v>
      </c>
      <c r="AJ7" s="329">
        <f t="shared" ref="AJ7:AJ35" si="25">+Z7-Z6</f>
        <v>13</v>
      </c>
      <c r="AK7" s="330">
        <f>SUM(Y7-L7)</f>
        <v>21</v>
      </c>
      <c r="AL7" s="330">
        <f t="shared" ref="AL7:AL35" si="26">SUM(AJ7-W7)</f>
        <v>13</v>
      </c>
      <c r="AM7" s="330">
        <f>'General information '!D7</f>
        <v>28</v>
      </c>
      <c r="AN7" s="84">
        <f>'General information '!H7</f>
        <v>0</v>
      </c>
      <c r="AO7" s="84"/>
      <c r="AP7" s="84">
        <f>'General information '!J7</f>
        <v>0</v>
      </c>
      <c r="AQ7" s="81"/>
      <c r="AR7" s="279">
        <f t="shared" ref="AR7:AR35" si="27">A7</f>
        <v>44106</v>
      </c>
      <c r="AS7" s="429">
        <f t="shared" si="6"/>
        <v>0.9</v>
      </c>
      <c r="AT7" s="202">
        <v>62</v>
      </c>
      <c r="AU7" s="430">
        <f>AU6</f>
        <v>1.1000000000000001</v>
      </c>
      <c r="AV7" s="202">
        <v>33</v>
      </c>
      <c r="AW7" s="5">
        <v>2.9</v>
      </c>
      <c r="AX7" s="202">
        <v>41</v>
      </c>
      <c r="AY7" s="433">
        <f t="shared" si="7"/>
        <v>55.800000000000004</v>
      </c>
      <c r="AZ7" s="433">
        <f t="shared" ref="AZ7:AZ35" si="28">AU7*AV7</f>
        <v>36.300000000000004</v>
      </c>
      <c r="BA7" s="433">
        <f t="shared" ref="BA7:BA35" si="29">AW7*AX7</f>
        <v>118.89999999999999</v>
      </c>
      <c r="BB7" s="21">
        <f t="shared" ref="BB7:BD35" si="30">AY7-AY6</f>
        <v>27.000000000000004</v>
      </c>
      <c r="BC7" s="21">
        <f t="shared" ref="BC7:BD21" si="31">AZ7-AZ6</f>
        <v>-9.8999999999999986</v>
      </c>
      <c r="BD7" s="21">
        <f t="shared" si="31"/>
        <v>-5.8000000000000114</v>
      </c>
      <c r="BE7" s="24">
        <f t="shared" ref="BE7:BE35" si="32">SUM(BB7:BD7)</f>
        <v>11.299999999999994</v>
      </c>
      <c r="BF7" s="96">
        <f t="shared" si="8"/>
        <v>78.7</v>
      </c>
      <c r="BG7" s="82">
        <f t="shared" si="9"/>
        <v>11.299999999999997</v>
      </c>
      <c r="BI7" s="86"/>
      <c r="BJ7" s="17"/>
      <c r="BK7" s="17"/>
      <c r="BL7" s="17"/>
      <c r="BM7" s="17"/>
    </row>
    <row r="8" spans="1:65" ht="15.75" thickBot="1">
      <c r="A8" s="6">
        <f>ELEC!C5</f>
        <v>44107</v>
      </c>
      <c r="B8" s="5">
        <f t="shared" si="10"/>
        <v>109096</v>
      </c>
      <c r="C8" s="5">
        <f>B8-B7</f>
        <v>0</v>
      </c>
      <c r="D8" s="424">
        <f t="shared" si="12"/>
        <v>0</v>
      </c>
      <c r="E8" s="336">
        <f>SUM((C8*$E$4)+(7500/'EDl log'!$A$38))</f>
        <v>241.93548387096774</v>
      </c>
      <c r="F8" s="423"/>
      <c r="G8" s="5">
        <f t="shared" ref="G8:G36" si="33">G7</f>
        <v>608832</v>
      </c>
      <c r="H8" s="5">
        <f t="shared" si="13"/>
        <v>0</v>
      </c>
      <c r="I8" s="5">
        <f t="shared" si="0"/>
        <v>0</v>
      </c>
      <c r="J8" s="337">
        <f t="shared" si="1"/>
        <v>0</v>
      </c>
      <c r="K8" s="5">
        <f>'Swimming Pool quality check '!H8</f>
        <v>6555</v>
      </c>
      <c r="L8" s="83">
        <f>K8-K7</f>
        <v>0</v>
      </c>
      <c r="M8" s="415">
        <f t="shared" si="14"/>
        <v>457.44</v>
      </c>
      <c r="N8" s="522">
        <f t="shared" si="2"/>
        <v>0</v>
      </c>
      <c r="O8" s="415">
        <f t="shared" si="15"/>
        <v>529.52</v>
      </c>
      <c r="P8" s="522">
        <f t="shared" si="3"/>
        <v>0</v>
      </c>
      <c r="Q8" s="523">
        <f>P8+N8</f>
        <v>0</v>
      </c>
      <c r="R8" s="522"/>
      <c r="S8" s="522"/>
      <c r="T8" s="5">
        <v>5132</v>
      </c>
      <c r="U8" s="5">
        <f t="shared" si="4"/>
        <v>3</v>
      </c>
      <c r="V8" s="5">
        <f t="shared" si="16"/>
        <v>452</v>
      </c>
      <c r="W8" s="327">
        <f t="shared" si="17"/>
        <v>0</v>
      </c>
      <c r="X8" s="5">
        <v>147679</v>
      </c>
      <c r="Y8" s="327">
        <f>SUM(X8-X7)</f>
        <v>11</v>
      </c>
      <c r="Z8" s="5">
        <v>97096</v>
      </c>
      <c r="AA8" s="83">
        <f t="shared" si="18"/>
        <v>25</v>
      </c>
      <c r="AB8" s="5">
        <f t="shared" ref="AB8:AB35" si="34">AB7</f>
        <v>260</v>
      </c>
      <c r="AC8" s="5">
        <f t="shared" si="19"/>
        <v>698</v>
      </c>
      <c r="AD8" s="83">
        <f t="shared" ref="AD8:AD35" si="35">AC8-AC7</f>
        <v>0</v>
      </c>
      <c r="AE8" s="5">
        <f t="shared" si="20"/>
        <v>217.84</v>
      </c>
      <c r="AF8" s="83">
        <f t="shared" si="21"/>
        <v>0</v>
      </c>
      <c r="AG8" s="5">
        <f t="shared" si="22"/>
        <v>2176.58</v>
      </c>
      <c r="AH8" s="83">
        <f t="shared" si="23"/>
        <v>0</v>
      </c>
      <c r="AI8" s="83">
        <f t="shared" si="24"/>
        <v>0</v>
      </c>
      <c r="AJ8" s="329">
        <f t="shared" si="25"/>
        <v>25</v>
      </c>
      <c r="AK8" s="330">
        <f t="shared" ref="AK8:AK36" si="36">SUM(Y8-L8)</f>
        <v>11</v>
      </c>
      <c r="AL8" s="330">
        <f t="shared" si="26"/>
        <v>25</v>
      </c>
      <c r="AM8" s="330">
        <f>'General information '!D8</f>
        <v>26.5</v>
      </c>
      <c r="AN8" s="84">
        <f>'General information '!H8</f>
        <v>0</v>
      </c>
      <c r="AO8" s="84"/>
      <c r="AP8" s="84">
        <f>'General information '!J8</f>
        <v>0</v>
      </c>
      <c r="AQ8" s="81"/>
      <c r="AR8" s="279">
        <f t="shared" si="27"/>
        <v>44107</v>
      </c>
      <c r="AS8" s="429">
        <f t="shared" si="6"/>
        <v>0.9</v>
      </c>
      <c r="AT8" s="202">
        <v>19</v>
      </c>
      <c r="AU8" s="430">
        <v>1.1000000000000001</v>
      </c>
      <c r="AV8" s="202">
        <v>43</v>
      </c>
      <c r="AW8" s="5">
        <v>2.9</v>
      </c>
      <c r="AX8" s="202">
        <v>43</v>
      </c>
      <c r="AY8" s="433">
        <f t="shared" si="7"/>
        <v>17.100000000000001</v>
      </c>
      <c r="AZ8" s="433">
        <f t="shared" si="28"/>
        <v>47.300000000000004</v>
      </c>
      <c r="BA8" s="433">
        <f t="shared" si="29"/>
        <v>124.7</v>
      </c>
      <c r="BB8" s="21">
        <f t="shared" si="30"/>
        <v>-38.700000000000003</v>
      </c>
      <c r="BC8" s="21">
        <f t="shared" si="31"/>
        <v>11</v>
      </c>
      <c r="BD8" s="21">
        <f t="shared" si="31"/>
        <v>5.8000000000000114</v>
      </c>
      <c r="BE8" s="24">
        <f t="shared" si="32"/>
        <v>-21.899999999999991</v>
      </c>
      <c r="BF8" s="96">
        <f t="shared" si="8"/>
        <v>21.899999999999991</v>
      </c>
      <c r="BG8" s="82">
        <f t="shared" si="9"/>
        <v>-21.899999999999991</v>
      </c>
      <c r="BI8" s="86"/>
      <c r="BJ8" s="17"/>
      <c r="BK8" s="17"/>
    </row>
    <row r="9" spans="1:65" ht="15.75" thickBot="1">
      <c r="A9" s="6">
        <f>ELEC!C6</f>
        <v>44108</v>
      </c>
      <c r="B9" s="5">
        <f t="shared" si="10"/>
        <v>109096</v>
      </c>
      <c r="C9" s="5">
        <f t="shared" si="11"/>
        <v>0</v>
      </c>
      <c r="D9" s="424">
        <f t="shared" si="12"/>
        <v>0</v>
      </c>
      <c r="E9" s="336">
        <f>SUM((C9*$E$4)+(7500/'EDl log'!$A$38))</f>
        <v>241.93548387096774</v>
      </c>
      <c r="F9" s="423"/>
      <c r="G9" s="5">
        <v>608930</v>
      </c>
      <c r="H9" s="5">
        <f t="shared" si="13"/>
        <v>98</v>
      </c>
      <c r="I9" s="5">
        <f t="shared" si="0"/>
        <v>98</v>
      </c>
      <c r="J9" s="337">
        <f t="shared" si="1"/>
        <v>2.4687294272547731</v>
      </c>
      <c r="K9" s="5">
        <f>'Swimming Pool quality check '!H9</f>
        <v>6555</v>
      </c>
      <c r="L9" s="83">
        <f t="shared" ref="L9:L35" si="37">K9-K8</f>
        <v>0</v>
      </c>
      <c r="M9" s="415">
        <f t="shared" si="14"/>
        <v>457.44</v>
      </c>
      <c r="N9" s="522">
        <f t="shared" si="2"/>
        <v>0</v>
      </c>
      <c r="O9" s="415">
        <f t="shared" si="15"/>
        <v>529.52</v>
      </c>
      <c r="P9" s="522">
        <f t="shared" si="3"/>
        <v>0</v>
      </c>
      <c r="Q9" s="523">
        <f>P9+N9</f>
        <v>0</v>
      </c>
      <c r="R9" s="522"/>
      <c r="S9" s="522"/>
      <c r="T9" s="5">
        <v>5133</v>
      </c>
      <c r="U9" s="5">
        <f t="shared" si="4"/>
        <v>1</v>
      </c>
      <c r="V9" s="5">
        <f t="shared" si="16"/>
        <v>452</v>
      </c>
      <c r="W9" s="327">
        <f t="shared" si="17"/>
        <v>0</v>
      </c>
      <c r="X9" s="5">
        <f t="shared" ref="X9:X36" si="38">X8</f>
        <v>147679</v>
      </c>
      <c r="Y9" s="327">
        <f t="shared" ref="Y9:Y35" si="39">SUM(X9-X8)</f>
        <v>0</v>
      </c>
      <c r="Z9" s="5">
        <f t="shared" ref="Z9:Z36" si="40">Z8</f>
        <v>97096</v>
      </c>
      <c r="AA9" s="83">
        <f t="shared" si="18"/>
        <v>0</v>
      </c>
      <c r="AB9" s="5">
        <f t="shared" si="34"/>
        <v>260</v>
      </c>
      <c r="AC9" s="5">
        <f t="shared" si="19"/>
        <v>698</v>
      </c>
      <c r="AD9" s="83">
        <f t="shared" si="35"/>
        <v>0</v>
      </c>
      <c r="AE9" s="5">
        <f t="shared" si="20"/>
        <v>217.84</v>
      </c>
      <c r="AF9" s="83">
        <f t="shared" si="21"/>
        <v>0</v>
      </c>
      <c r="AG9" s="5">
        <f t="shared" si="22"/>
        <v>2176.58</v>
      </c>
      <c r="AH9" s="83">
        <f t="shared" si="23"/>
        <v>0</v>
      </c>
      <c r="AI9" s="83">
        <f t="shared" si="24"/>
        <v>0</v>
      </c>
      <c r="AJ9" s="329">
        <f t="shared" si="25"/>
        <v>0</v>
      </c>
      <c r="AK9" s="330">
        <f t="shared" si="36"/>
        <v>0</v>
      </c>
      <c r="AL9" s="330">
        <f t="shared" si="26"/>
        <v>0</v>
      </c>
      <c r="AM9" s="330">
        <f>'General information '!D9</f>
        <v>27</v>
      </c>
      <c r="AN9" s="84">
        <f>'General information '!H9</f>
        <v>0</v>
      </c>
      <c r="AO9" s="84"/>
      <c r="AP9" s="84">
        <f>'General information '!J9</f>
        <v>0</v>
      </c>
      <c r="AQ9" s="81"/>
      <c r="AR9" s="279">
        <f t="shared" si="27"/>
        <v>44108</v>
      </c>
      <c r="AS9" s="429">
        <f t="shared" si="6"/>
        <v>0.9</v>
      </c>
      <c r="AT9" s="202">
        <v>74</v>
      </c>
      <c r="AU9" s="430">
        <f t="shared" ref="AU9:AU36" si="41">AU8</f>
        <v>1.1000000000000001</v>
      </c>
      <c r="AV9" s="202">
        <v>38</v>
      </c>
      <c r="AW9" s="5">
        <v>2.9</v>
      </c>
      <c r="AX9" s="202">
        <v>42</v>
      </c>
      <c r="AY9" s="433">
        <f t="shared" si="7"/>
        <v>66.600000000000009</v>
      </c>
      <c r="AZ9" s="433">
        <f t="shared" si="28"/>
        <v>41.800000000000004</v>
      </c>
      <c r="BA9" s="433">
        <f t="shared" si="29"/>
        <v>121.8</v>
      </c>
      <c r="BB9" s="21">
        <f t="shared" si="30"/>
        <v>49.500000000000007</v>
      </c>
      <c r="BC9" s="21">
        <f t="shared" si="31"/>
        <v>-5.5</v>
      </c>
      <c r="BD9" s="21">
        <f t="shared" si="31"/>
        <v>-2.9000000000000057</v>
      </c>
      <c r="BE9" s="24">
        <f t="shared" si="32"/>
        <v>41.1</v>
      </c>
      <c r="BF9" s="349">
        <f t="shared" si="8"/>
        <v>56.9</v>
      </c>
      <c r="BG9" s="82">
        <f t="shared" si="9"/>
        <v>41.1</v>
      </c>
    </row>
    <row r="10" spans="1:65" ht="15.75" thickBot="1">
      <c r="A10" s="6">
        <f>ELEC!C7</f>
        <v>44109</v>
      </c>
      <c r="B10" s="5">
        <f t="shared" si="10"/>
        <v>109096</v>
      </c>
      <c r="C10" s="5">
        <f t="shared" si="11"/>
        <v>0</v>
      </c>
      <c r="D10" s="424">
        <f t="shared" si="12"/>
        <v>0</v>
      </c>
      <c r="E10" s="336">
        <f>SUM((C10*$E$4)+(7500/'EDl log'!$A$38))</f>
        <v>241.93548387096774</v>
      </c>
      <c r="F10" s="423"/>
      <c r="G10" s="5">
        <v>608930</v>
      </c>
      <c r="H10" s="5">
        <f t="shared" si="13"/>
        <v>0</v>
      </c>
      <c r="I10" s="5">
        <f t="shared" si="0"/>
        <v>0</v>
      </c>
      <c r="J10" s="337">
        <f t="shared" si="1"/>
        <v>0</v>
      </c>
      <c r="K10" s="5">
        <f>'Swimming Pool quality check '!H10</f>
        <v>6555</v>
      </c>
      <c r="L10" s="83">
        <f>K10-K9</f>
        <v>0</v>
      </c>
      <c r="M10" s="415">
        <f t="shared" si="14"/>
        <v>457.44</v>
      </c>
      <c r="N10" s="522">
        <f t="shared" si="2"/>
        <v>0</v>
      </c>
      <c r="O10" s="415">
        <f t="shared" si="15"/>
        <v>529.52</v>
      </c>
      <c r="P10" s="522">
        <f t="shared" si="3"/>
        <v>0</v>
      </c>
      <c r="Q10" s="523">
        <f>P10+N10</f>
        <v>0</v>
      </c>
      <c r="R10" s="522"/>
      <c r="S10" s="522"/>
      <c r="T10" s="5">
        <v>5135</v>
      </c>
      <c r="U10" s="5">
        <f t="shared" si="4"/>
        <v>2</v>
      </c>
      <c r="V10" s="5">
        <f t="shared" si="16"/>
        <v>452</v>
      </c>
      <c r="W10" s="327">
        <f t="shared" si="17"/>
        <v>0</v>
      </c>
      <c r="X10" s="5">
        <v>147726</v>
      </c>
      <c r="Y10" s="327">
        <f t="shared" si="39"/>
        <v>47</v>
      </c>
      <c r="Z10" s="5">
        <v>97117</v>
      </c>
      <c r="AA10" s="83">
        <f t="shared" si="18"/>
        <v>21</v>
      </c>
      <c r="AB10" s="5">
        <f t="shared" si="34"/>
        <v>260</v>
      </c>
      <c r="AC10" s="5">
        <f t="shared" si="19"/>
        <v>698</v>
      </c>
      <c r="AD10" s="83">
        <f t="shared" si="35"/>
        <v>0</v>
      </c>
      <c r="AE10" s="5">
        <f t="shared" si="20"/>
        <v>217.84</v>
      </c>
      <c r="AF10" s="83">
        <f t="shared" si="21"/>
        <v>0</v>
      </c>
      <c r="AG10" s="5">
        <f t="shared" si="22"/>
        <v>2176.58</v>
      </c>
      <c r="AH10" s="83">
        <f t="shared" si="23"/>
        <v>0</v>
      </c>
      <c r="AI10" s="83">
        <f t="shared" si="24"/>
        <v>0</v>
      </c>
      <c r="AJ10" s="329">
        <f t="shared" si="25"/>
        <v>21</v>
      </c>
      <c r="AK10" s="330">
        <f t="shared" si="36"/>
        <v>47</v>
      </c>
      <c r="AL10" s="330">
        <f t="shared" si="26"/>
        <v>21</v>
      </c>
      <c r="AM10" s="330">
        <f>'General information '!D10</f>
        <v>28.5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9">
        <f t="shared" si="27"/>
        <v>44109</v>
      </c>
      <c r="AS10" s="429">
        <f t="shared" si="6"/>
        <v>0.9</v>
      </c>
      <c r="AT10" s="202">
        <v>0</v>
      </c>
      <c r="AU10" s="430">
        <f t="shared" si="41"/>
        <v>1.1000000000000001</v>
      </c>
      <c r="AV10" s="202">
        <v>46</v>
      </c>
      <c r="AW10" s="5">
        <v>2.9</v>
      </c>
      <c r="AX10" s="202">
        <v>48</v>
      </c>
      <c r="AY10" s="433">
        <f t="shared" si="7"/>
        <v>0</v>
      </c>
      <c r="AZ10" s="433">
        <f t="shared" si="28"/>
        <v>50.6</v>
      </c>
      <c r="BA10" s="433">
        <f t="shared" si="29"/>
        <v>139.19999999999999</v>
      </c>
      <c r="BB10" s="21">
        <f t="shared" si="30"/>
        <v>-66.600000000000009</v>
      </c>
      <c r="BC10" s="21">
        <f t="shared" si="31"/>
        <v>8.7999999999999972</v>
      </c>
      <c r="BD10" s="21">
        <f t="shared" si="31"/>
        <v>17.399999999999991</v>
      </c>
      <c r="BE10" s="24">
        <f t="shared" si="32"/>
        <v>-40.40000000000002</v>
      </c>
      <c r="BF10" s="96">
        <f t="shared" si="8"/>
        <v>40.40000000000002</v>
      </c>
      <c r="BG10" s="82">
        <f t="shared" si="9"/>
        <v>-40.40000000000002</v>
      </c>
    </row>
    <row r="11" spans="1:65" ht="15.75" thickBot="1">
      <c r="A11" s="6">
        <f>ELEC!C8</f>
        <v>44110</v>
      </c>
      <c r="B11" s="5">
        <f t="shared" si="10"/>
        <v>109096</v>
      </c>
      <c r="C11" s="5">
        <f t="shared" si="11"/>
        <v>0</v>
      </c>
      <c r="D11" s="424">
        <f t="shared" si="12"/>
        <v>0</v>
      </c>
      <c r="E11" s="336">
        <f>SUM((C11*$E$4)+(7500/'EDl log'!$A$38))</f>
        <v>241.93548387096774</v>
      </c>
      <c r="F11" s="423"/>
      <c r="G11" s="5">
        <f t="shared" si="33"/>
        <v>608930</v>
      </c>
      <c r="H11" s="5">
        <f t="shared" si="13"/>
        <v>0</v>
      </c>
      <c r="I11" s="5">
        <f t="shared" si="0"/>
        <v>0</v>
      </c>
      <c r="J11" s="337">
        <f t="shared" si="1"/>
        <v>0</v>
      </c>
      <c r="K11" s="5">
        <f>'Swimming Pool quality check '!H11</f>
        <v>6555</v>
      </c>
      <c r="L11" s="83">
        <f t="shared" si="37"/>
        <v>0</v>
      </c>
      <c r="M11" s="415">
        <f t="shared" si="14"/>
        <v>457.44</v>
      </c>
      <c r="N11" s="522">
        <f t="shared" si="2"/>
        <v>0</v>
      </c>
      <c r="O11" s="415">
        <f t="shared" si="15"/>
        <v>529.52</v>
      </c>
      <c r="P11" s="522">
        <f t="shared" si="3"/>
        <v>0</v>
      </c>
      <c r="Q11" s="522">
        <f>SUM(P11+N11)</f>
        <v>0</v>
      </c>
      <c r="R11" s="522"/>
      <c r="S11" s="522"/>
      <c r="T11" s="5">
        <f t="shared" ref="T11:T36" si="42">T10</f>
        <v>5135</v>
      </c>
      <c r="U11" s="5">
        <f t="shared" si="4"/>
        <v>0</v>
      </c>
      <c r="V11" s="5">
        <f t="shared" si="16"/>
        <v>452</v>
      </c>
      <c r="W11" s="327">
        <f t="shared" si="17"/>
        <v>0</v>
      </c>
      <c r="X11" s="5">
        <f t="shared" si="38"/>
        <v>147726</v>
      </c>
      <c r="Y11" s="327">
        <f t="shared" si="39"/>
        <v>0</v>
      </c>
      <c r="Z11" s="5">
        <f t="shared" si="40"/>
        <v>97117</v>
      </c>
      <c r="AA11" s="83">
        <f t="shared" si="18"/>
        <v>0</v>
      </c>
      <c r="AB11" s="5">
        <f t="shared" si="34"/>
        <v>260</v>
      </c>
      <c r="AC11" s="5">
        <f t="shared" si="19"/>
        <v>698</v>
      </c>
      <c r="AD11" s="83">
        <f t="shared" si="35"/>
        <v>0</v>
      </c>
      <c r="AE11" s="5">
        <f t="shared" si="20"/>
        <v>217.84</v>
      </c>
      <c r="AF11" s="83">
        <f t="shared" si="21"/>
        <v>0</v>
      </c>
      <c r="AG11" s="5">
        <f t="shared" si="22"/>
        <v>2176.58</v>
      </c>
      <c r="AH11" s="83">
        <f t="shared" si="23"/>
        <v>0</v>
      </c>
      <c r="AI11" s="83">
        <f t="shared" si="24"/>
        <v>0</v>
      </c>
      <c r="AJ11" s="329">
        <f t="shared" si="25"/>
        <v>0</v>
      </c>
      <c r="AK11" s="330">
        <f t="shared" si="36"/>
        <v>0</v>
      </c>
      <c r="AL11" s="330">
        <f t="shared" si="26"/>
        <v>0</v>
      </c>
      <c r="AM11" s="330">
        <f>'General information '!D11</f>
        <v>0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9">
        <f t="shared" si="27"/>
        <v>44110</v>
      </c>
      <c r="AS11" s="429">
        <f t="shared" si="6"/>
        <v>0.9</v>
      </c>
      <c r="AT11" s="202">
        <f t="shared" si="6"/>
        <v>0</v>
      </c>
      <c r="AU11" s="430">
        <f t="shared" si="41"/>
        <v>1.1000000000000001</v>
      </c>
      <c r="AV11" s="202">
        <f t="shared" ref="AV11:AV36" si="43">AV10</f>
        <v>46</v>
      </c>
      <c r="AW11" s="5">
        <v>2.9</v>
      </c>
      <c r="AX11" s="202">
        <f t="shared" ref="AX11:AX36" si="44">AX10</f>
        <v>48</v>
      </c>
      <c r="AY11" s="433">
        <f t="shared" si="7"/>
        <v>0</v>
      </c>
      <c r="AZ11" s="433">
        <f t="shared" si="28"/>
        <v>50.6</v>
      </c>
      <c r="BA11" s="433">
        <f t="shared" si="29"/>
        <v>139.19999999999999</v>
      </c>
      <c r="BB11" s="21">
        <f t="shared" si="30"/>
        <v>0</v>
      </c>
      <c r="BC11" s="21">
        <f t="shared" si="31"/>
        <v>0</v>
      </c>
      <c r="BD11" s="21">
        <f t="shared" si="31"/>
        <v>0</v>
      </c>
      <c r="BE11" s="24">
        <f t="shared" si="32"/>
        <v>0</v>
      </c>
      <c r="BF11" s="96">
        <f t="shared" si="8"/>
        <v>0</v>
      </c>
      <c r="BG11" s="82">
        <f t="shared" si="9"/>
        <v>0</v>
      </c>
    </row>
    <row r="12" spans="1:65" ht="15.75" thickBot="1">
      <c r="A12" s="6">
        <f>ELEC!C9</f>
        <v>44111</v>
      </c>
      <c r="B12" s="5">
        <f t="shared" si="10"/>
        <v>109096</v>
      </c>
      <c r="C12" s="5">
        <f>B12-B11</f>
        <v>0</v>
      </c>
      <c r="D12" s="424">
        <f t="shared" si="12"/>
        <v>0</v>
      </c>
      <c r="E12" s="336">
        <f>SUM((C12*$E$4)+(7500/'EDl log'!$A$38))</f>
        <v>241.93548387096774</v>
      </c>
      <c r="F12" s="423"/>
      <c r="G12" s="5">
        <f t="shared" si="33"/>
        <v>608930</v>
      </c>
      <c r="H12" s="5">
        <f t="shared" si="13"/>
        <v>0</v>
      </c>
      <c r="I12" s="5">
        <f t="shared" si="0"/>
        <v>0</v>
      </c>
      <c r="J12" s="337">
        <f t="shared" si="1"/>
        <v>0</v>
      </c>
      <c r="K12" s="5">
        <f>'Swimming Pool quality check '!H12</f>
        <v>6555</v>
      </c>
      <c r="L12" s="83">
        <f t="shared" si="37"/>
        <v>0</v>
      </c>
      <c r="M12" s="415">
        <f t="shared" si="14"/>
        <v>457.44</v>
      </c>
      <c r="N12" s="522">
        <f t="shared" si="2"/>
        <v>0</v>
      </c>
      <c r="O12" s="415">
        <f t="shared" si="15"/>
        <v>529.52</v>
      </c>
      <c r="P12" s="522">
        <f t="shared" si="3"/>
        <v>0</v>
      </c>
      <c r="Q12" s="522">
        <f>SUM(P12+N12)</f>
        <v>0</v>
      </c>
      <c r="R12" s="522"/>
      <c r="S12" s="522"/>
      <c r="T12" s="5">
        <f t="shared" si="42"/>
        <v>5135</v>
      </c>
      <c r="U12" s="5">
        <f t="shared" si="4"/>
        <v>0</v>
      </c>
      <c r="V12" s="5">
        <f t="shared" si="16"/>
        <v>452</v>
      </c>
      <c r="W12" s="327">
        <f t="shared" si="17"/>
        <v>0</v>
      </c>
      <c r="X12" s="5">
        <f t="shared" si="38"/>
        <v>147726</v>
      </c>
      <c r="Y12" s="327">
        <f t="shared" si="39"/>
        <v>0</v>
      </c>
      <c r="Z12" s="5">
        <f t="shared" si="40"/>
        <v>97117</v>
      </c>
      <c r="AA12" s="83">
        <f t="shared" si="18"/>
        <v>0</v>
      </c>
      <c r="AB12" s="5">
        <f t="shared" si="34"/>
        <v>260</v>
      </c>
      <c r="AC12" s="5">
        <f t="shared" si="19"/>
        <v>698</v>
      </c>
      <c r="AD12" s="83">
        <f t="shared" si="35"/>
        <v>0</v>
      </c>
      <c r="AE12" s="5">
        <f t="shared" si="20"/>
        <v>217.84</v>
      </c>
      <c r="AF12" s="83">
        <f t="shared" si="21"/>
        <v>0</v>
      </c>
      <c r="AG12" s="5">
        <f t="shared" si="22"/>
        <v>2176.58</v>
      </c>
      <c r="AH12" s="83">
        <f t="shared" si="23"/>
        <v>0</v>
      </c>
      <c r="AI12" s="83">
        <f t="shared" si="24"/>
        <v>0</v>
      </c>
      <c r="AJ12" s="329">
        <f t="shared" si="25"/>
        <v>0</v>
      </c>
      <c r="AK12" s="330">
        <f t="shared" si="36"/>
        <v>0</v>
      </c>
      <c r="AL12" s="330">
        <f t="shared" si="26"/>
        <v>0</v>
      </c>
      <c r="AM12" s="330">
        <f>'General information '!D12</f>
        <v>0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9">
        <f t="shared" si="27"/>
        <v>44111</v>
      </c>
      <c r="AS12" s="429">
        <f t="shared" si="6"/>
        <v>0.9</v>
      </c>
      <c r="AT12" s="202">
        <f t="shared" si="6"/>
        <v>0</v>
      </c>
      <c r="AU12" s="430">
        <f t="shared" si="41"/>
        <v>1.1000000000000001</v>
      </c>
      <c r="AV12" s="202">
        <f t="shared" si="43"/>
        <v>46</v>
      </c>
      <c r="AW12" s="5">
        <v>2.9</v>
      </c>
      <c r="AX12" s="202">
        <f t="shared" si="44"/>
        <v>48</v>
      </c>
      <c r="AY12" s="433">
        <f t="shared" si="7"/>
        <v>0</v>
      </c>
      <c r="AZ12" s="433">
        <f t="shared" si="28"/>
        <v>50.6</v>
      </c>
      <c r="BA12" s="433">
        <f t="shared" si="29"/>
        <v>139.19999999999999</v>
      </c>
      <c r="BB12" s="21">
        <f t="shared" si="30"/>
        <v>0</v>
      </c>
      <c r="BC12" s="21">
        <f t="shared" si="31"/>
        <v>0</v>
      </c>
      <c r="BD12" s="21">
        <f t="shared" si="31"/>
        <v>0</v>
      </c>
      <c r="BE12" s="24">
        <f t="shared" si="32"/>
        <v>0</v>
      </c>
      <c r="BF12" s="96">
        <f t="shared" si="8"/>
        <v>0</v>
      </c>
      <c r="BG12" s="82">
        <f t="shared" si="9"/>
        <v>0</v>
      </c>
    </row>
    <row r="13" spans="1:65" ht="15.75" thickBot="1">
      <c r="A13" s="6">
        <f>ELEC!C10</f>
        <v>44112</v>
      </c>
      <c r="B13" s="5">
        <f t="shared" si="10"/>
        <v>109096</v>
      </c>
      <c r="C13" s="5">
        <f t="shared" si="11"/>
        <v>0</v>
      </c>
      <c r="D13" s="424">
        <f t="shared" si="12"/>
        <v>0</v>
      </c>
      <c r="E13" s="336">
        <f>SUM((C13*$E$4)+(7500/'EDl log'!$A$38))</f>
        <v>241.93548387096774</v>
      </c>
      <c r="F13" s="423"/>
      <c r="G13" s="5">
        <f t="shared" si="33"/>
        <v>608930</v>
      </c>
      <c r="H13" s="5">
        <f t="shared" si="13"/>
        <v>0</v>
      </c>
      <c r="I13" s="5">
        <f t="shared" si="0"/>
        <v>0</v>
      </c>
      <c r="J13" s="337">
        <f t="shared" si="1"/>
        <v>0</v>
      </c>
      <c r="K13" s="5">
        <f>'Swimming Pool quality check '!H13</f>
        <v>6555</v>
      </c>
      <c r="L13" s="83">
        <f t="shared" si="37"/>
        <v>0</v>
      </c>
      <c r="M13" s="415">
        <f t="shared" si="14"/>
        <v>457.44</v>
      </c>
      <c r="N13" s="522">
        <f t="shared" si="2"/>
        <v>0</v>
      </c>
      <c r="O13" s="415">
        <f t="shared" si="15"/>
        <v>529.52</v>
      </c>
      <c r="P13" s="522">
        <f t="shared" si="3"/>
        <v>0</v>
      </c>
      <c r="Q13" s="522">
        <f>SUM(P13+N13)</f>
        <v>0</v>
      </c>
      <c r="R13" s="522"/>
      <c r="S13" s="522"/>
      <c r="T13" s="5">
        <f t="shared" si="42"/>
        <v>5135</v>
      </c>
      <c r="U13" s="5">
        <f t="shared" si="4"/>
        <v>0</v>
      </c>
      <c r="V13" s="5">
        <f t="shared" si="16"/>
        <v>452</v>
      </c>
      <c r="W13" s="327">
        <f t="shared" si="17"/>
        <v>0</v>
      </c>
      <c r="X13" s="5">
        <f t="shared" si="38"/>
        <v>147726</v>
      </c>
      <c r="Y13" s="327">
        <f t="shared" si="39"/>
        <v>0</v>
      </c>
      <c r="Z13" s="5">
        <f t="shared" si="40"/>
        <v>97117</v>
      </c>
      <c r="AA13" s="83">
        <f t="shared" si="18"/>
        <v>0</v>
      </c>
      <c r="AB13" s="5">
        <f t="shared" si="34"/>
        <v>260</v>
      </c>
      <c r="AC13" s="5">
        <f t="shared" si="19"/>
        <v>698</v>
      </c>
      <c r="AD13" s="83">
        <f t="shared" si="35"/>
        <v>0</v>
      </c>
      <c r="AE13" s="5">
        <f t="shared" si="20"/>
        <v>217.84</v>
      </c>
      <c r="AF13" s="83">
        <f t="shared" si="21"/>
        <v>0</v>
      </c>
      <c r="AG13" s="5">
        <f t="shared" si="22"/>
        <v>2176.58</v>
      </c>
      <c r="AH13" s="83">
        <f t="shared" si="23"/>
        <v>0</v>
      </c>
      <c r="AI13" s="83">
        <f t="shared" si="24"/>
        <v>0</v>
      </c>
      <c r="AJ13" s="329">
        <f t="shared" si="25"/>
        <v>0</v>
      </c>
      <c r="AK13" s="330">
        <f t="shared" si="36"/>
        <v>0</v>
      </c>
      <c r="AL13" s="330">
        <f t="shared" si="26"/>
        <v>0</v>
      </c>
      <c r="AM13" s="330">
        <f>'General information '!D13</f>
        <v>0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9">
        <f t="shared" si="27"/>
        <v>44112</v>
      </c>
      <c r="AS13" s="429">
        <f t="shared" si="6"/>
        <v>0.9</v>
      </c>
      <c r="AT13" s="202">
        <f t="shared" si="6"/>
        <v>0</v>
      </c>
      <c r="AU13" s="430">
        <f t="shared" si="41"/>
        <v>1.1000000000000001</v>
      </c>
      <c r="AV13" s="202">
        <f t="shared" si="43"/>
        <v>46</v>
      </c>
      <c r="AW13" s="5">
        <v>2.9</v>
      </c>
      <c r="AX13" s="202">
        <f t="shared" si="44"/>
        <v>48</v>
      </c>
      <c r="AY13" s="433">
        <f t="shared" si="7"/>
        <v>0</v>
      </c>
      <c r="AZ13" s="433">
        <f t="shared" si="28"/>
        <v>50.6</v>
      </c>
      <c r="BA13" s="433">
        <f t="shared" si="29"/>
        <v>139.19999999999999</v>
      </c>
      <c r="BB13" s="21">
        <f t="shared" si="30"/>
        <v>0</v>
      </c>
      <c r="BC13" s="21">
        <f t="shared" si="31"/>
        <v>0</v>
      </c>
      <c r="BD13" s="21">
        <f t="shared" si="31"/>
        <v>0</v>
      </c>
      <c r="BE13" s="24">
        <f t="shared" si="32"/>
        <v>0</v>
      </c>
      <c r="BF13" s="96">
        <f t="shared" si="8"/>
        <v>0</v>
      </c>
      <c r="BG13" s="82">
        <f t="shared" si="9"/>
        <v>0</v>
      </c>
    </row>
    <row r="14" spans="1:65" ht="15.75" thickBot="1">
      <c r="A14" s="6">
        <f>ELEC!C11</f>
        <v>44113</v>
      </c>
      <c r="B14" s="5">
        <f t="shared" si="10"/>
        <v>109096</v>
      </c>
      <c r="C14" s="5">
        <f t="shared" si="11"/>
        <v>0</v>
      </c>
      <c r="D14" s="424">
        <f t="shared" si="12"/>
        <v>0</v>
      </c>
      <c r="E14" s="336">
        <f>SUM((C14*$E$4)+(7500/'EDl log'!$A$38))</f>
        <v>241.93548387096774</v>
      </c>
      <c r="F14" s="423"/>
      <c r="G14" s="5">
        <f t="shared" si="33"/>
        <v>608930</v>
      </c>
      <c r="H14" s="5">
        <f t="shared" si="13"/>
        <v>0</v>
      </c>
      <c r="I14" s="5">
        <f t="shared" si="0"/>
        <v>0</v>
      </c>
      <c r="J14" s="337">
        <f t="shared" si="1"/>
        <v>0</v>
      </c>
      <c r="K14" s="5">
        <f>'Swimming Pool quality check '!H14</f>
        <v>6555</v>
      </c>
      <c r="L14" s="83">
        <f t="shared" si="37"/>
        <v>0</v>
      </c>
      <c r="M14" s="415">
        <f t="shared" si="14"/>
        <v>457.44</v>
      </c>
      <c r="N14" s="522">
        <f t="shared" ref="N14:N35" si="45">SUM(M14-M13)</f>
        <v>0</v>
      </c>
      <c r="O14" s="415">
        <f t="shared" si="15"/>
        <v>529.52</v>
      </c>
      <c r="P14" s="522">
        <f t="shared" ref="P14:P35" si="46">SUM(O14-O13)</f>
        <v>0</v>
      </c>
      <c r="Q14" s="522">
        <f t="shared" ref="Q14:Q35" si="47">SUM(P14+N14)</f>
        <v>0</v>
      </c>
      <c r="R14" s="522"/>
      <c r="S14" s="522"/>
      <c r="T14" s="5">
        <f t="shared" si="42"/>
        <v>5135</v>
      </c>
      <c r="U14" s="5">
        <f t="shared" si="4"/>
        <v>0</v>
      </c>
      <c r="V14" s="5">
        <f t="shared" si="16"/>
        <v>452</v>
      </c>
      <c r="W14" s="327">
        <f t="shared" si="17"/>
        <v>0</v>
      </c>
      <c r="X14" s="5">
        <f t="shared" si="38"/>
        <v>147726</v>
      </c>
      <c r="Y14" s="327">
        <f t="shared" si="39"/>
        <v>0</v>
      </c>
      <c r="Z14" s="5">
        <f t="shared" si="40"/>
        <v>97117</v>
      </c>
      <c r="AA14" s="83">
        <f t="shared" si="18"/>
        <v>0</v>
      </c>
      <c r="AB14" s="5">
        <f t="shared" si="34"/>
        <v>260</v>
      </c>
      <c r="AC14" s="5">
        <f t="shared" si="19"/>
        <v>698</v>
      </c>
      <c r="AD14" s="83">
        <f t="shared" si="35"/>
        <v>0</v>
      </c>
      <c r="AE14" s="5">
        <f t="shared" si="20"/>
        <v>217.84</v>
      </c>
      <c r="AF14" s="83">
        <f t="shared" si="21"/>
        <v>0</v>
      </c>
      <c r="AG14" s="5">
        <f t="shared" si="22"/>
        <v>2176.58</v>
      </c>
      <c r="AH14" s="83">
        <f t="shared" si="23"/>
        <v>0</v>
      </c>
      <c r="AI14" s="83">
        <f t="shared" si="24"/>
        <v>0</v>
      </c>
      <c r="AJ14" s="329">
        <f t="shared" si="25"/>
        <v>0</v>
      </c>
      <c r="AK14" s="330">
        <f t="shared" si="36"/>
        <v>0</v>
      </c>
      <c r="AL14" s="330">
        <f t="shared" si="26"/>
        <v>0</v>
      </c>
      <c r="AM14" s="330">
        <f>'General information '!D14</f>
        <v>0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9">
        <f t="shared" si="27"/>
        <v>44113</v>
      </c>
      <c r="AS14" s="429">
        <f t="shared" si="6"/>
        <v>0.9</v>
      </c>
      <c r="AT14" s="202">
        <f t="shared" si="6"/>
        <v>0</v>
      </c>
      <c r="AU14" s="430">
        <f t="shared" si="41"/>
        <v>1.1000000000000001</v>
      </c>
      <c r="AV14" s="202">
        <f t="shared" si="43"/>
        <v>46</v>
      </c>
      <c r="AW14" s="5">
        <v>2.9</v>
      </c>
      <c r="AX14" s="202">
        <f t="shared" si="44"/>
        <v>48</v>
      </c>
      <c r="AY14" s="433">
        <f t="shared" si="7"/>
        <v>0</v>
      </c>
      <c r="AZ14" s="433">
        <f t="shared" si="28"/>
        <v>50.6</v>
      </c>
      <c r="BA14" s="433">
        <f t="shared" si="29"/>
        <v>139.19999999999999</v>
      </c>
      <c r="BB14" s="21">
        <f t="shared" si="30"/>
        <v>0</v>
      </c>
      <c r="BC14" s="21">
        <f t="shared" si="31"/>
        <v>0</v>
      </c>
      <c r="BD14" s="21">
        <f t="shared" si="31"/>
        <v>0</v>
      </c>
      <c r="BE14" s="24">
        <f t="shared" si="32"/>
        <v>0</v>
      </c>
      <c r="BF14" s="96">
        <f t="shared" si="8"/>
        <v>0</v>
      </c>
      <c r="BG14" s="82">
        <f t="shared" si="9"/>
        <v>0</v>
      </c>
    </row>
    <row r="15" spans="1:65" ht="16.5" customHeight="1" thickBot="1">
      <c r="A15" s="6">
        <f>ELEC!C12</f>
        <v>44114</v>
      </c>
      <c r="B15" s="5">
        <f t="shared" si="10"/>
        <v>109096</v>
      </c>
      <c r="C15" s="5">
        <f t="shared" si="11"/>
        <v>0</v>
      </c>
      <c r="D15" s="424">
        <f t="shared" si="12"/>
        <v>0</v>
      </c>
      <c r="E15" s="336">
        <f>SUM((C15*$E$4)+(7500/'EDl log'!$A$38))</f>
        <v>241.93548387096774</v>
      </c>
      <c r="F15" s="423"/>
      <c r="G15" s="5">
        <f t="shared" si="33"/>
        <v>608930</v>
      </c>
      <c r="H15" s="5">
        <f t="shared" si="13"/>
        <v>0</v>
      </c>
      <c r="I15" s="5">
        <f t="shared" si="0"/>
        <v>0</v>
      </c>
      <c r="J15" s="337">
        <f t="shared" si="1"/>
        <v>0</v>
      </c>
      <c r="K15" s="5">
        <f>'Swimming Pool quality check '!H15</f>
        <v>6555</v>
      </c>
      <c r="L15" s="83">
        <f t="shared" si="37"/>
        <v>0</v>
      </c>
      <c r="M15" s="415">
        <f t="shared" si="14"/>
        <v>457.44</v>
      </c>
      <c r="N15" s="522">
        <f t="shared" si="45"/>
        <v>0</v>
      </c>
      <c r="O15" s="415">
        <f t="shared" si="15"/>
        <v>529.52</v>
      </c>
      <c r="P15" s="522">
        <f t="shared" si="46"/>
        <v>0</v>
      </c>
      <c r="Q15" s="522">
        <f t="shared" si="47"/>
        <v>0</v>
      </c>
      <c r="R15" s="522"/>
      <c r="S15" s="522"/>
      <c r="T15" s="5">
        <f t="shared" si="42"/>
        <v>5135</v>
      </c>
      <c r="U15" s="5">
        <f t="shared" si="4"/>
        <v>0</v>
      </c>
      <c r="V15" s="5">
        <f t="shared" si="16"/>
        <v>452</v>
      </c>
      <c r="W15" s="327">
        <f t="shared" si="17"/>
        <v>0</v>
      </c>
      <c r="X15" s="5">
        <f t="shared" si="38"/>
        <v>147726</v>
      </c>
      <c r="Y15" s="327">
        <f t="shared" si="39"/>
        <v>0</v>
      </c>
      <c r="Z15" s="5">
        <f t="shared" si="40"/>
        <v>97117</v>
      </c>
      <c r="AA15" s="83">
        <f t="shared" si="18"/>
        <v>0</v>
      </c>
      <c r="AB15" s="5">
        <f t="shared" si="34"/>
        <v>260</v>
      </c>
      <c r="AC15" s="5">
        <f t="shared" si="19"/>
        <v>698</v>
      </c>
      <c r="AD15" s="83">
        <f t="shared" si="35"/>
        <v>0</v>
      </c>
      <c r="AE15" s="5">
        <f t="shared" si="20"/>
        <v>217.84</v>
      </c>
      <c r="AF15" s="83">
        <f t="shared" si="21"/>
        <v>0</v>
      </c>
      <c r="AG15" s="5">
        <f t="shared" si="22"/>
        <v>2176.58</v>
      </c>
      <c r="AH15" s="83">
        <f t="shared" si="23"/>
        <v>0</v>
      </c>
      <c r="AI15" s="83">
        <f t="shared" si="24"/>
        <v>0</v>
      </c>
      <c r="AJ15" s="329">
        <f t="shared" si="25"/>
        <v>0</v>
      </c>
      <c r="AK15" s="330">
        <f t="shared" si="36"/>
        <v>0</v>
      </c>
      <c r="AL15" s="330">
        <f t="shared" si="26"/>
        <v>0</v>
      </c>
      <c r="AM15" s="330">
        <f>'General information '!D15</f>
        <v>0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9">
        <f t="shared" si="27"/>
        <v>44114</v>
      </c>
      <c r="AS15" s="429">
        <f t="shared" si="6"/>
        <v>0.9</v>
      </c>
      <c r="AT15" s="202">
        <f t="shared" si="6"/>
        <v>0</v>
      </c>
      <c r="AU15" s="430">
        <f t="shared" si="41"/>
        <v>1.1000000000000001</v>
      </c>
      <c r="AV15" s="202">
        <f t="shared" si="43"/>
        <v>46</v>
      </c>
      <c r="AW15" s="5">
        <v>2.9</v>
      </c>
      <c r="AX15" s="202">
        <f t="shared" si="44"/>
        <v>48</v>
      </c>
      <c r="AY15" s="433">
        <f t="shared" si="7"/>
        <v>0</v>
      </c>
      <c r="AZ15" s="433">
        <f t="shared" si="28"/>
        <v>50.6</v>
      </c>
      <c r="BA15" s="433">
        <f t="shared" si="29"/>
        <v>139.19999999999999</v>
      </c>
      <c r="BB15" s="21">
        <f t="shared" si="30"/>
        <v>0</v>
      </c>
      <c r="BC15" s="21">
        <f t="shared" si="31"/>
        <v>0</v>
      </c>
      <c r="BD15" s="21">
        <f t="shared" si="31"/>
        <v>0</v>
      </c>
      <c r="BE15" s="24">
        <f t="shared" si="32"/>
        <v>0</v>
      </c>
      <c r="BF15" s="96">
        <f t="shared" si="8"/>
        <v>0</v>
      </c>
      <c r="BG15" s="82">
        <f t="shared" si="9"/>
        <v>0</v>
      </c>
    </row>
    <row r="16" spans="1:65" ht="15.75" thickBot="1">
      <c r="A16" s="6">
        <f>ELEC!C13</f>
        <v>44115</v>
      </c>
      <c r="B16" s="5">
        <f t="shared" si="10"/>
        <v>109096</v>
      </c>
      <c r="C16" s="5">
        <f t="shared" si="11"/>
        <v>0</v>
      </c>
      <c r="D16" s="424">
        <f t="shared" si="12"/>
        <v>0</v>
      </c>
      <c r="E16" s="336">
        <f>SUM((C16*$E$4)+(7500/'EDl log'!$A$38))</f>
        <v>241.93548387096774</v>
      </c>
      <c r="F16" s="423"/>
      <c r="G16" s="5">
        <f t="shared" si="33"/>
        <v>608930</v>
      </c>
      <c r="H16" s="5">
        <f t="shared" si="13"/>
        <v>0</v>
      </c>
      <c r="I16" s="5">
        <f t="shared" si="0"/>
        <v>0</v>
      </c>
      <c r="J16" s="337">
        <f t="shared" si="1"/>
        <v>0</v>
      </c>
      <c r="K16" s="5">
        <f>'Swimming Pool quality check '!H16</f>
        <v>6555</v>
      </c>
      <c r="L16" s="276">
        <f t="shared" si="37"/>
        <v>0</v>
      </c>
      <c r="M16" s="415">
        <f t="shared" si="14"/>
        <v>457.44</v>
      </c>
      <c r="N16" s="522">
        <f t="shared" si="45"/>
        <v>0</v>
      </c>
      <c r="O16" s="415">
        <f t="shared" si="15"/>
        <v>529.52</v>
      </c>
      <c r="P16" s="522">
        <f t="shared" si="46"/>
        <v>0</v>
      </c>
      <c r="Q16" s="522">
        <f t="shared" si="47"/>
        <v>0</v>
      </c>
      <c r="R16" s="524"/>
      <c r="S16" s="524"/>
      <c r="T16" s="5">
        <f t="shared" si="42"/>
        <v>5135</v>
      </c>
      <c r="U16" s="5">
        <f t="shared" si="4"/>
        <v>0</v>
      </c>
      <c r="V16" s="5">
        <f t="shared" si="16"/>
        <v>452</v>
      </c>
      <c r="W16" s="327">
        <f t="shared" si="17"/>
        <v>0</v>
      </c>
      <c r="X16" s="5">
        <f t="shared" si="38"/>
        <v>147726</v>
      </c>
      <c r="Y16" s="327">
        <f t="shared" si="39"/>
        <v>0</v>
      </c>
      <c r="Z16" s="5">
        <f t="shared" si="40"/>
        <v>97117</v>
      </c>
      <c r="AA16" s="83">
        <f t="shared" si="18"/>
        <v>0</v>
      </c>
      <c r="AB16" s="5">
        <f t="shared" si="34"/>
        <v>260</v>
      </c>
      <c r="AC16" s="5">
        <f t="shared" si="19"/>
        <v>698</v>
      </c>
      <c r="AD16" s="83">
        <f t="shared" si="35"/>
        <v>0</v>
      </c>
      <c r="AE16" s="5">
        <f t="shared" si="20"/>
        <v>217.84</v>
      </c>
      <c r="AF16" s="83">
        <f t="shared" si="21"/>
        <v>0</v>
      </c>
      <c r="AG16" s="5">
        <f t="shared" si="22"/>
        <v>2176.58</v>
      </c>
      <c r="AH16" s="83">
        <f t="shared" si="23"/>
        <v>0</v>
      </c>
      <c r="AI16" s="83">
        <f t="shared" si="24"/>
        <v>0</v>
      </c>
      <c r="AJ16" s="329">
        <f t="shared" si="25"/>
        <v>0</v>
      </c>
      <c r="AK16" s="330">
        <f t="shared" si="36"/>
        <v>0</v>
      </c>
      <c r="AL16" s="330">
        <f t="shared" si="26"/>
        <v>0</v>
      </c>
      <c r="AM16" s="330">
        <f>'General information '!D16</f>
        <v>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9">
        <f t="shared" si="27"/>
        <v>44115</v>
      </c>
      <c r="AS16" s="429">
        <f t="shared" si="6"/>
        <v>0.9</v>
      </c>
      <c r="AT16" s="202">
        <f t="shared" si="6"/>
        <v>0</v>
      </c>
      <c r="AU16" s="430">
        <f t="shared" si="41"/>
        <v>1.1000000000000001</v>
      </c>
      <c r="AV16" s="202">
        <f t="shared" si="43"/>
        <v>46</v>
      </c>
      <c r="AW16" s="5">
        <v>2.9</v>
      </c>
      <c r="AX16" s="202">
        <f t="shared" si="44"/>
        <v>48</v>
      </c>
      <c r="AY16" s="433">
        <f t="shared" si="7"/>
        <v>0</v>
      </c>
      <c r="AZ16" s="433">
        <f t="shared" si="28"/>
        <v>50.6</v>
      </c>
      <c r="BA16" s="433">
        <f t="shared" si="29"/>
        <v>139.19999999999999</v>
      </c>
      <c r="BB16" s="21">
        <f t="shared" si="30"/>
        <v>0</v>
      </c>
      <c r="BC16" s="21">
        <f t="shared" si="31"/>
        <v>0</v>
      </c>
      <c r="BD16" s="21">
        <f t="shared" si="31"/>
        <v>0</v>
      </c>
      <c r="BE16" s="24">
        <f t="shared" si="32"/>
        <v>0</v>
      </c>
      <c r="BF16" s="96">
        <f t="shared" si="8"/>
        <v>0</v>
      </c>
      <c r="BG16" s="82">
        <f t="shared" si="9"/>
        <v>0</v>
      </c>
    </row>
    <row r="17" spans="1:61" ht="15.75" thickBot="1">
      <c r="A17" s="6">
        <f>ELEC!C14</f>
        <v>44116</v>
      </c>
      <c r="B17" s="5">
        <f t="shared" si="10"/>
        <v>109096</v>
      </c>
      <c r="C17" s="5">
        <f t="shared" si="11"/>
        <v>0</v>
      </c>
      <c r="D17" s="424">
        <f t="shared" si="12"/>
        <v>0</v>
      </c>
      <c r="E17" s="336">
        <f>SUM((C17*$E$4)+(7500/'EDl log'!$A$38))</f>
        <v>241.93548387096774</v>
      </c>
      <c r="F17" s="423"/>
      <c r="G17" s="5">
        <f t="shared" si="33"/>
        <v>608930</v>
      </c>
      <c r="H17" s="5">
        <f t="shared" si="13"/>
        <v>0</v>
      </c>
      <c r="I17" s="5">
        <f t="shared" si="0"/>
        <v>0</v>
      </c>
      <c r="J17" s="337">
        <f t="shared" si="1"/>
        <v>0</v>
      </c>
      <c r="K17" s="5">
        <f>'Swimming Pool quality check '!H17</f>
        <v>6555</v>
      </c>
      <c r="L17" s="83">
        <f t="shared" si="37"/>
        <v>0</v>
      </c>
      <c r="M17" s="415">
        <f t="shared" si="14"/>
        <v>457.44</v>
      </c>
      <c r="N17" s="522">
        <f t="shared" si="45"/>
        <v>0</v>
      </c>
      <c r="O17" s="415">
        <f t="shared" si="15"/>
        <v>529.52</v>
      </c>
      <c r="P17" s="522">
        <f t="shared" si="46"/>
        <v>0</v>
      </c>
      <c r="Q17" s="522">
        <f t="shared" si="47"/>
        <v>0</v>
      </c>
      <c r="R17" s="522"/>
      <c r="S17" s="522"/>
      <c r="T17" s="5">
        <f t="shared" si="42"/>
        <v>5135</v>
      </c>
      <c r="U17" s="5">
        <f t="shared" si="4"/>
        <v>0</v>
      </c>
      <c r="V17" s="5">
        <f t="shared" si="16"/>
        <v>452</v>
      </c>
      <c r="W17" s="327">
        <f t="shared" si="17"/>
        <v>0</v>
      </c>
      <c r="X17" s="5">
        <f t="shared" si="38"/>
        <v>147726</v>
      </c>
      <c r="Y17" s="327">
        <f t="shared" si="39"/>
        <v>0</v>
      </c>
      <c r="Z17" s="5">
        <f t="shared" si="40"/>
        <v>97117</v>
      </c>
      <c r="AA17" s="83">
        <f t="shared" si="18"/>
        <v>0</v>
      </c>
      <c r="AB17" s="5">
        <f t="shared" si="34"/>
        <v>260</v>
      </c>
      <c r="AC17" s="5">
        <f t="shared" si="19"/>
        <v>698</v>
      </c>
      <c r="AD17" s="83">
        <f t="shared" si="35"/>
        <v>0</v>
      </c>
      <c r="AE17" s="5">
        <f t="shared" si="20"/>
        <v>217.84</v>
      </c>
      <c r="AF17" s="83">
        <f t="shared" si="21"/>
        <v>0</v>
      </c>
      <c r="AG17" s="5">
        <f t="shared" si="22"/>
        <v>2176.58</v>
      </c>
      <c r="AH17" s="83">
        <f t="shared" si="23"/>
        <v>0</v>
      </c>
      <c r="AI17" s="83">
        <f t="shared" si="24"/>
        <v>0</v>
      </c>
      <c r="AJ17" s="329">
        <f t="shared" si="25"/>
        <v>0</v>
      </c>
      <c r="AK17" s="330">
        <f t="shared" si="36"/>
        <v>0</v>
      </c>
      <c r="AL17" s="330">
        <f t="shared" si="26"/>
        <v>0</v>
      </c>
      <c r="AM17" s="330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9">
        <f t="shared" si="27"/>
        <v>44116</v>
      </c>
      <c r="AS17" s="429">
        <f t="shared" si="6"/>
        <v>0.9</v>
      </c>
      <c r="AT17" s="202">
        <f t="shared" si="6"/>
        <v>0</v>
      </c>
      <c r="AU17" s="430">
        <f t="shared" si="41"/>
        <v>1.1000000000000001</v>
      </c>
      <c r="AV17" s="202">
        <f t="shared" si="43"/>
        <v>46</v>
      </c>
      <c r="AW17" s="5">
        <v>2.9</v>
      </c>
      <c r="AX17" s="202">
        <f t="shared" si="44"/>
        <v>48</v>
      </c>
      <c r="AY17" s="433">
        <f t="shared" si="7"/>
        <v>0</v>
      </c>
      <c r="AZ17" s="433">
        <f t="shared" si="28"/>
        <v>50.6</v>
      </c>
      <c r="BA17" s="433">
        <f t="shared" si="29"/>
        <v>139.19999999999999</v>
      </c>
      <c r="BB17" s="21">
        <f t="shared" si="30"/>
        <v>0</v>
      </c>
      <c r="BC17" s="21">
        <f t="shared" si="31"/>
        <v>0</v>
      </c>
      <c r="BD17" s="21">
        <f t="shared" si="31"/>
        <v>0</v>
      </c>
      <c r="BE17" s="24">
        <f t="shared" si="32"/>
        <v>0</v>
      </c>
      <c r="BF17" s="96">
        <f t="shared" si="8"/>
        <v>0</v>
      </c>
      <c r="BG17" s="82">
        <f t="shared" si="9"/>
        <v>0</v>
      </c>
    </row>
    <row r="18" spans="1:61" ht="15.75" thickBot="1">
      <c r="A18" s="6">
        <f>ELEC!C15</f>
        <v>44117</v>
      </c>
      <c r="B18" s="5">
        <f t="shared" si="10"/>
        <v>109096</v>
      </c>
      <c r="C18" s="5">
        <f t="shared" si="11"/>
        <v>0</v>
      </c>
      <c r="D18" s="424">
        <f t="shared" si="12"/>
        <v>0</v>
      </c>
      <c r="E18" s="336">
        <f>SUM((C18*$E$4)+(7500/'EDl log'!$A$38))</f>
        <v>241.93548387096774</v>
      </c>
      <c r="F18" s="423"/>
      <c r="G18" s="5">
        <f t="shared" si="33"/>
        <v>608930</v>
      </c>
      <c r="H18" s="5">
        <f t="shared" si="13"/>
        <v>0</v>
      </c>
      <c r="I18" s="5">
        <f t="shared" si="0"/>
        <v>0</v>
      </c>
      <c r="J18" s="337">
        <f t="shared" si="1"/>
        <v>0</v>
      </c>
      <c r="K18" s="5">
        <f>'Swimming Pool quality check '!H18</f>
        <v>6555</v>
      </c>
      <c r="L18" s="83">
        <f t="shared" si="37"/>
        <v>0</v>
      </c>
      <c r="M18" s="415">
        <f t="shared" si="14"/>
        <v>457.44</v>
      </c>
      <c r="N18" s="522">
        <f t="shared" si="45"/>
        <v>0</v>
      </c>
      <c r="O18" s="415">
        <f t="shared" si="15"/>
        <v>529.52</v>
      </c>
      <c r="P18" s="522">
        <f t="shared" si="46"/>
        <v>0</v>
      </c>
      <c r="Q18" s="522">
        <f t="shared" si="47"/>
        <v>0</v>
      </c>
      <c r="R18" s="522"/>
      <c r="S18" s="522"/>
      <c r="T18" s="5">
        <f t="shared" si="42"/>
        <v>5135</v>
      </c>
      <c r="U18" s="5">
        <f t="shared" si="4"/>
        <v>0</v>
      </c>
      <c r="V18" s="5">
        <f t="shared" si="16"/>
        <v>452</v>
      </c>
      <c r="W18" s="327">
        <f t="shared" si="17"/>
        <v>0</v>
      </c>
      <c r="X18" s="5">
        <f t="shared" si="38"/>
        <v>147726</v>
      </c>
      <c r="Y18" s="327">
        <f t="shared" si="39"/>
        <v>0</v>
      </c>
      <c r="Z18" s="5">
        <f t="shared" si="40"/>
        <v>97117</v>
      </c>
      <c r="AA18" s="83">
        <f t="shared" si="18"/>
        <v>0</v>
      </c>
      <c r="AB18" s="5">
        <f t="shared" si="34"/>
        <v>260</v>
      </c>
      <c r="AC18" s="5">
        <f t="shared" si="19"/>
        <v>698</v>
      </c>
      <c r="AD18" s="83">
        <f t="shared" si="35"/>
        <v>0</v>
      </c>
      <c r="AE18" s="5">
        <f t="shared" si="20"/>
        <v>217.84</v>
      </c>
      <c r="AF18" s="83">
        <f t="shared" si="21"/>
        <v>0</v>
      </c>
      <c r="AG18" s="5">
        <f t="shared" si="22"/>
        <v>2176.58</v>
      </c>
      <c r="AH18" s="83">
        <f t="shared" si="23"/>
        <v>0</v>
      </c>
      <c r="AI18" s="83">
        <f t="shared" si="24"/>
        <v>0</v>
      </c>
      <c r="AJ18" s="329">
        <f t="shared" si="25"/>
        <v>0</v>
      </c>
      <c r="AK18" s="330">
        <f t="shared" si="36"/>
        <v>0</v>
      </c>
      <c r="AL18" s="330">
        <f t="shared" si="26"/>
        <v>0</v>
      </c>
      <c r="AM18" s="330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9">
        <f t="shared" si="27"/>
        <v>44117</v>
      </c>
      <c r="AS18" s="429">
        <f t="shared" si="6"/>
        <v>0.9</v>
      </c>
      <c r="AT18" s="202">
        <f t="shared" si="6"/>
        <v>0</v>
      </c>
      <c r="AU18" s="430">
        <f t="shared" si="41"/>
        <v>1.1000000000000001</v>
      </c>
      <c r="AV18" s="202">
        <f t="shared" si="43"/>
        <v>46</v>
      </c>
      <c r="AW18" s="5">
        <v>2.9</v>
      </c>
      <c r="AX18" s="202">
        <f t="shared" si="44"/>
        <v>48</v>
      </c>
      <c r="AY18" s="433">
        <f t="shared" si="7"/>
        <v>0</v>
      </c>
      <c r="AZ18" s="433">
        <f t="shared" si="28"/>
        <v>50.6</v>
      </c>
      <c r="BA18" s="433">
        <f t="shared" si="29"/>
        <v>139.19999999999999</v>
      </c>
      <c r="BB18" s="21">
        <f t="shared" si="30"/>
        <v>0</v>
      </c>
      <c r="BC18" s="21">
        <f t="shared" si="31"/>
        <v>0</v>
      </c>
      <c r="BD18" s="21">
        <f t="shared" si="31"/>
        <v>0</v>
      </c>
      <c r="BE18" s="24">
        <f t="shared" si="32"/>
        <v>0</v>
      </c>
      <c r="BF18" s="96">
        <f t="shared" si="8"/>
        <v>0</v>
      </c>
      <c r="BG18" s="82">
        <f t="shared" si="9"/>
        <v>0</v>
      </c>
    </row>
    <row r="19" spans="1:61" ht="15.75" thickBot="1">
      <c r="A19" s="6">
        <f>ELEC!C16</f>
        <v>44118</v>
      </c>
      <c r="B19" s="5">
        <f t="shared" si="10"/>
        <v>109096</v>
      </c>
      <c r="C19" s="5">
        <f t="shared" si="11"/>
        <v>0</v>
      </c>
      <c r="D19" s="424">
        <f t="shared" si="12"/>
        <v>0</v>
      </c>
      <c r="E19" s="336">
        <f>SUM((C19*$E$4)+(7500/'EDl log'!$A$38))</f>
        <v>241.93548387096774</v>
      </c>
      <c r="F19" s="423"/>
      <c r="G19" s="5">
        <f t="shared" si="33"/>
        <v>608930</v>
      </c>
      <c r="H19" s="5">
        <f t="shared" si="13"/>
        <v>0</v>
      </c>
      <c r="I19" s="5">
        <f t="shared" si="0"/>
        <v>0</v>
      </c>
      <c r="J19" s="337">
        <f t="shared" si="1"/>
        <v>0</v>
      </c>
      <c r="K19" s="5">
        <f>'Swimming Pool quality check '!H19</f>
        <v>6555</v>
      </c>
      <c r="L19" s="83">
        <f t="shared" si="37"/>
        <v>0</v>
      </c>
      <c r="M19" s="415">
        <f t="shared" si="14"/>
        <v>457.44</v>
      </c>
      <c r="N19" s="522">
        <f t="shared" si="45"/>
        <v>0</v>
      </c>
      <c r="O19" s="415">
        <f t="shared" si="15"/>
        <v>529.52</v>
      </c>
      <c r="P19" s="522">
        <f t="shared" si="46"/>
        <v>0</v>
      </c>
      <c r="Q19" s="522">
        <f t="shared" si="47"/>
        <v>0</v>
      </c>
      <c r="R19" s="522"/>
      <c r="S19" s="522"/>
      <c r="T19" s="5">
        <f t="shared" si="42"/>
        <v>5135</v>
      </c>
      <c r="U19" s="5">
        <f t="shared" si="4"/>
        <v>0</v>
      </c>
      <c r="V19" s="5">
        <f t="shared" si="16"/>
        <v>452</v>
      </c>
      <c r="W19" s="327">
        <f t="shared" si="17"/>
        <v>0</v>
      </c>
      <c r="X19" s="5">
        <f t="shared" si="38"/>
        <v>147726</v>
      </c>
      <c r="Y19" s="327">
        <f t="shared" si="39"/>
        <v>0</v>
      </c>
      <c r="Z19" s="5">
        <f t="shared" si="40"/>
        <v>97117</v>
      </c>
      <c r="AA19" s="83">
        <f t="shared" si="18"/>
        <v>0</v>
      </c>
      <c r="AB19" s="5">
        <f t="shared" si="34"/>
        <v>260</v>
      </c>
      <c r="AC19" s="5">
        <f t="shared" si="19"/>
        <v>698</v>
      </c>
      <c r="AD19" s="83">
        <f t="shared" si="35"/>
        <v>0</v>
      </c>
      <c r="AE19" s="5">
        <f t="shared" si="20"/>
        <v>217.84</v>
      </c>
      <c r="AF19" s="83">
        <f t="shared" si="21"/>
        <v>0</v>
      </c>
      <c r="AG19" s="5">
        <f t="shared" si="22"/>
        <v>2176.58</v>
      </c>
      <c r="AH19" s="83">
        <f t="shared" si="23"/>
        <v>0</v>
      </c>
      <c r="AI19" s="83">
        <f t="shared" si="24"/>
        <v>0</v>
      </c>
      <c r="AJ19" s="329">
        <f t="shared" si="25"/>
        <v>0</v>
      </c>
      <c r="AK19" s="330">
        <f t="shared" si="36"/>
        <v>0</v>
      </c>
      <c r="AL19" s="330">
        <f t="shared" si="26"/>
        <v>0</v>
      </c>
      <c r="AM19" s="330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9">
        <f t="shared" si="27"/>
        <v>44118</v>
      </c>
      <c r="AS19" s="429">
        <f t="shared" si="6"/>
        <v>0.9</v>
      </c>
      <c r="AT19" s="202">
        <f t="shared" si="6"/>
        <v>0</v>
      </c>
      <c r="AU19" s="430">
        <f t="shared" si="41"/>
        <v>1.1000000000000001</v>
      </c>
      <c r="AV19" s="202">
        <f t="shared" si="43"/>
        <v>46</v>
      </c>
      <c r="AW19" s="5">
        <v>2.9</v>
      </c>
      <c r="AX19" s="202">
        <f t="shared" si="44"/>
        <v>48</v>
      </c>
      <c r="AY19" s="433">
        <f t="shared" si="7"/>
        <v>0</v>
      </c>
      <c r="AZ19" s="433">
        <f t="shared" si="28"/>
        <v>50.6</v>
      </c>
      <c r="BA19" s="433">
        <f t="shared" si="29"/>
        <v>139.19999999999999</v>
      </c>
      <c r="BB19" s="21">
        <f t="shared" si="30"/>
        <v>0</v>
      </c>
      <c r="BC19" s="21">
        <f t="shared" si="31"/>
        <v>0</v>
      </c>
      <c r="BD19" s="21">
        <f t="shared" si="31"/>
        <v>0</v>
      </c>
      <c r="BE19" s="24">
        <f t="shared" si="32"/>
        <v>0</v>
      </c>
      <c r="BF19" s="96">
        <f t="shared" si="8"/>
        <v>0</v>
      </c>
      <c r="BG19" s="82">
        <f t="shared" si="9"/>
        <v>0</v>
      </c>
    </row>
    <row r="20" spans="1:61" ht="15.75" thickBot="1">
      <c r="A20" s="6">
        <f>ELEC!C17</f>
        <v>44119</v>
      </c>
      <c r="B20" s="5">
        <f t="shared" si="10"/>
        <v>109096</v>
      </c>
      <c r="C20" s="5">
        <f t="shared" si="11"/>
        <v>0</v>
      </c>
      <c r="D20" s="424">
        <f t="shared" si="12"/>
        <v>0</v>
      </c>
      <c r="E20" s="336">
        <f>SUM((C20*$E$4)+(7500/'EDl log'!$A$38))</f>
        <v>241.93548387096774</v>
      </c>
      <c r="F20" s="423"/>
      <c r="G20" s="5">
        <f t="shared" si="33"/>
        <v>608930</v>
      </c>
      <c r="H20" s="5">
        <f t="shared" si="13"/>
        <v>0</v>
      </c>
      <c r="I20" s="5">
        <f t="shared" si="0"/>
        <v>0</v>
      </c>
      <c r="J20" s="337">
        <f t="shared" si="1"/>
        <v>0</v>
      </c>
      <c r="K20" s="5">
        <f>'Swimming Pool quality check '!H20</f>
        <v>6555</v>
      </c>
      <c r="L20" s="83">
        <f t="shared" si="37"/>
        <v>0</v>
      </c>
      <c r="M20" s="415">
        <f t="shared" si="14"/>
        <v>457.44</v>
      </c>
      <c r="N20" s="522">
        <f t="shared" si="45"/>
        <v>0</v>
      </c>
      <c r="O20" s="415">
        <f t="shared" si="15"/>
        <v>529.52</v>
      </c>
      <c r="P20" s="522">
        <f t="shared" si="46"/>
        <v>0</v>
      </c>
      <c r="Q20" s="522">
        <f t="shared" si="47"/>
        <v>0</v>
      </c>
      <c r="R20" s="522"/>
      <c r="S20" s="522"/>
      <c r="T20" s="5">
        <f t="shared" si="42"/>
        <v>5135</v>
      </c>
      <c r="U20" s="5">
        <f t="shared" si="4"/>
        <v>0</v>
      </c>
      <c r="V20" s="5">
        <f t="shared" si="16"/>
        <v>452</v>
      </c>
      <c r="W20" s="327">
        <f t="shared" si="17"/>
        <v>0</v>
      </c>
      <c r="X20" s="5">
        <f t="shared" si="38"/>
        <v>147726</v>
      </c>
      <c r="Y20" s="327">
        <f t="shared" si="39"/>
        <v>0</v>
      </c>
      <c r="Z20" s="5">
        <f t="shared" si="40"/>
        <v>97117</v>
      </c>
      <c r="AA20" s="83">
        <f t="shared" si="18"/>
        <v>0</v>
      </c>
      <c r="AB20" s="5">
        <f t="shared" si="34"/>
        <v>260</v>
      </c>
      <c r="AC20" s="5">
        <f t="shared" si="19"/>
        <v>698</v>
      </c>
      <c r="AD20" s="83">
        <f t="shared" si="35"/>
        <v>0</v>
      </c>
      <c r="AE20" s="5">
        <f t="shared" si="20"/>
        <v>217.84</v>
      </c>
      <c r="AF20" s="83">
        <f t="shared" si="21"/>
        <v>0</v>
      </c>
      <c r="AG20" s="5">
        <f t="shared" si="22"/>
        <v>2176.58</v>
      </c>
      <c r="AH20" s="83">
        <f t="shared" si="23"/>
        <v>0</v>
      </c>
      <c r="AI20" s="83">
        <f t="shared" si="24"/>
        <v>0</v>
      </c>
      <c r="AJ20" s="329">
        <f t="shared" si="25"/>
        <v>0</v>
      </c>
      <c r="AK20" s="330">
        <f t="shared" si="36"/>
        <v>0</v>
      </c>
      <c r="AL20" s="330">
        <f t="shared" si="26"/>
        <v>0</v>
      </c>
      <c r="AM20" s="330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9">
        <f t="shared" si="27"/>
        <v>44119</v>
      </c>
      <c r="AS20" s="429">
        <f t="shared" si="6"/>
        <v>0.9</v>
      </c>
      <c r="AT20" s="202">
        <f t="shared" si="6"/>
        <v>0</v>
      </c>
      <c r="AU20" s="430">
        <f t="shared" si="41"/>
        <v>1.1000000000000001</v>
      </c>
      <c r="AV20" s="202">
        <f t="shared" si="43"/>
        <v>46</v>
      </c>
      <c r="AW20" s="5">
        <v>2.9</v>
      </c>
      <c r="AX20" s="202">
        <f t="shared" si="44"/>
        <v>48</v>
      </c>
      <c r="AY20" s="433">
        <f t="shared" si="7"/>
        <v>0</v>
      </c>
      <c r="AZ20" s="433">
        <f t="shared" si="28"/>
        <v>50.6</v>
      </c>
      <c r="BA20" s="433">
        <f t="shared" si="29"/>
        <v>139.19999999999999</v>
      </c>
      <c r="BB20" s="21">
        <f t="shared" si="30"/>
        <v>0</v>
      </c>
      <c r="BC20" s="21">
        <f t="shared" si="31"/>
        <v>0</v>
      </c>
      <c r="BD20" s="21">
        <f t="shared" si="31"/>
        <v>0</v>
      </c>
      <c r="BE20" s="24">
        <f t="shared" si="32"/>
        <v>0</v>
      </c>
      <c r="BF20" s="96">
        <f t="shared" si="8"/>
        <v>0</v>
      </c>
      <c r="BG20" s="82">
        <f t="shared" si="9"/>
        <v>0</v>
      </c>
    </row>
    <row r="21" spans="1:61" ht="15.75" thickBot="1">
      <c r="A21" s="6">
        <f>ELEC!C18</f>
        <v>44120</v>
      </c>
      <c r="B21" s="5">
        <f t="shared" si="10"/>
        <v>109096</v>
      </c>
      <c r="C21" s="5">
        <f t="shared" si="11"/>
        <v>0</v>
      </c>
      <c r="D21" s="424">
        <f t="shared" si="12"/>
        <v>0</v>
      </c>
      <c r="E21" s="336">
        <f>SUM((C21*$E$4)+(7500/'EDl log'!$A$38))</f>
        <v>241.93548387096774</v>
      </c>
      <c r="F21" s="330"/>
      <c r="G21" s="5">
        <f t="shared" si="33"/>
        <v>608930</v>
      </c>
      <c r="H21" s="5">
        <f t="shared" si="13"/>
        <v>0</v>
      </c>
      <c r="I21" s="5">
        <f t="shared" si="0"/>
        <v>0</v>
      </c>
      <c r="J21" s="337">
        <f t="shared" si="1"/>
        <v>0</v>
      </c>
      <c r="K21" s="5">
        <f>'Swimming Pool quality check '!H21</f>
        <v>6555</v>
      </c>
      <c r="L21" s="83">
        <f t="shared" si="37"/>
        <v>0</v>
      </c>
      <c r="M21" s="415">
        <f t="shared" si="14"/>
        <v>457.44</v>
      </c>
      <c r="N21" s="522">
        <f t="shared" si="45"/>
        <v>0</v>
      </c>
      <c r="O21" s="415">
        <f t="shared" si="15"/>
        <v>529.52</v>
      </c>
      <c r="P21" s="522">
        <f t="shared" si="46"/>
        <v>0</v>
      </c>
      <c r="Q21" s="522">
        <f t="shared" si="47"/>
        <v>0</v>
      </c>
      <c r="R21" s="522"/>
      <c r="S21" s="522"/>
      <c r="T21" s="5">
        <f t="shared" si="42"/>
        <v>5135</v>
      </c>
      <c r="U21" s="5">
        <f t="shared" si="4"/>
        <v>0</v>
      </c>
      <c r="V21" s="5">
        <f t="shared" si="16"/>
        <v>452</v>
      </c>
      <c r="W21" s="327">
        <f t="shared" si="17"/>
        <v>0</v>
      </c>
      <c r="X21" s="5">
        <f t="shared" si="38"/>
        <v>147726</v>
      </c>
      <c r="Y21" s="327">
        <f>SUM(X21-X20)</f>
        <v>0</v>
      </c>
      <c r="Z21" s="5">
        <f t="shared" si="40"/>
        <v>97117</v>
      </c>
      <c r="AA21" s="83">
        <f t="shared" si="18"/>
        <v>0</v>
      </c>
      <c r="AB21" s="5">
        <f t="shared" si="34"/>
        <v>260</v>
      </c>
      <c r="AC21" s="5">
        <f t="shared" si="19"/>
        <v>698</v>
      </c>
      <c r="AD21" s="83">
        <f t="shared" si="35"/>
        <v>0</v>
      </c>
      <c r="AE21" s="5">
        <f t="shared" si="20"/>
        <v>217.84</v>
      </c>
      <c r="AF21" s="83">
        <f t="shared" si="21"/>
        <v>0</v>
      </c>
      <c r="AG21" s="5">
        <f t="shared" si="22"/>
        <v>2176.58</v>
      </c>
      <c r="AH21" s="83">
        <f t="shared" si="23"/>
        <v>0</v>
      </c>
      <c r="AI21" s="83">
        <f t="shared" si="24"/>
        <v>0</v>
      </c>
      <c r="AJ21" s="329">
        <f t="shared" si="25"/>
        <v>0</v>
      </c>
      <c r="AK21" s="330">
        <f t="shared" si="36"/>
        <v>0</v>
      </c>
      <c r="AL21" s="330">
        <f t="shared" si="26"/>
        <v>0</v>
      </c>
      <c r="AM21" s="330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9">
        <f t="shared" si="27"/>
        <v>44120</v>
      </c>
      <c r="AS21" s="429">
        <f t="shared" si="6"/>
        <v>0.9</v>
      </c>
      <c r="AT21" s="202">
        <f t="shared" si="6"/>
        <v>0</v>
      </c>
      <c r="AU21" s="430">
        <f t="shared" si="41"/>
        <v>1.1000000000000001</v>
      </c>
      <c r="AV21" s="202">
        <f t="shared" si="43"/>
        <v>46</v>
      </c>
      <c r="AW21" s="5">
        <v>2.9</v>
      </c>
      <c r="AX21" s="202">
        <f t="shared" si="44"/>
        <v>48</v>
      </c>
      <c r="AY21" s="433">
        <f t="shared" si="7"/>
        <v>0</v>
      </c>
      <c r="AZ21" s="433">
        <f t="shared" si="28"/>
        <v>50.6</v>
      </c>
      <c r="BA21" s="433">
        <f t="shared" si="29"/>
        <v>139.19999999999999</v>
      </c>
      <c r="BB21" s="21">
        <f t="shared" si="30"/>
        <v>0</v>
      </c>
      <c r="BC21" s="21">
        <f t="shared" si="31"/>
        <v>0</v>
      </c>
      <c r="BD21" s="21">
        <f t="shared" si="31"/>
        <v>0</v>
      </c>
      <c r="BE21" s="24">
        <f t="shared" si="32"/>
        <v>0</v>
      </c>
      <c r="BF21" s="96">
        <f t="shared" si="8"/>
        <v>0</v>
      </c>
      <c r="BG21" s="82">
        <f t="shared" si="9"/>
        <v>0</v>
      </c>
    </row>
    <row r="22" spans="1:61" ht="15.75" thickBot="1">
      <c r="A22" s="6">
        <f>ELEC!C19</f>
        <v>44121</v>
      </c>
      <c r="B22" s="5">
        <f t="shared" si="10"/>
        <v>109096</v>
      </c>
      <c r="C22" s="5">
        <f t="shared" si="11"/>
        <v>0</v>
      </c>
      <c r="D22" s="424">
        <f t="shared" si="12"/>
        <v>0</v>
      </c>
      <c r="E22" s="336">
        <f>SUM((C22*$E$4)+(7500/'EDl log'!$A$38))</f>
        <v>241.93548387096774</v>
      </c>
      <c r="F22" s="330"/>
      <c r="G22" s="5">
        <f t="shared" si="33"/>
        <v>608930</v>
      </c>
      <c r="H22" s="5">
        <f t="shared" si="13"/>
        <v>0</v>
      </c>
      <c r="I22" s="5">
        <f t="shared" si="0"/>
        <v>0</v>
      </c>
      <c r="J22" s="337">
        <f t="shared" si="1"/>
        <v>0</v>
      </c>
      <c r="K22" s="5">
        <f>'Swimming Pool quality check '!H22</f>
        <v>6555</v>
      </c>
      <c r="L22" s="83">
        <f t="shared" si="37"/>
        <v>0</v>
      </c>
      <c r="M22" s="415">
        <f t="shared" si="14"/>
        <v>457.44</v>
      </c>
      <c r="N22" s="522">
        <f t="shared" si="45"/>
        <v>0</v>
      </c>
      <c r="O22" s="415">
        <f t="shared" si="15"/>
        <v>529.52</v>
      </c>
      <c r="P22" s="522">
        <f t="shared" si="46"/>
        <v>0</v>
      </c>
      <c r="Q22" s="522">
        <f t="shared" si="47"/>
        <v>0</v>
      </c>
      <c r="R22" s="522"/>
      <c r="S22" s="522"/>
      <c r="T22" s="5">
        <f t="shared" si="42"/>
        <v>5135</v>
      </c>
      <c r="U22" s="5">
        <f t="shared" si="4"/>
        <v>0</v>
      </c>
      <c r="V22" s="5">
        <f t="shared" si="16"/>
        <v>452</v>
      </c>
      <c r="W22" s="327">
        <f t="shared" si="17"/>
        <v>0</v>
      </c>
      <c r="X22" s="5">
        <f t="shared" si="38"/>
        <v>147726</v>
      </c>
      <c r="Y22" s="327">
        <f t="shared" si="39"/>
        <v>0</v>
      </c>
      <c r="Z22" s="5">
        <f t="shared" si="40"/>
        <v>97117</v>
      </c>
      <c r="AA22" s="83">
        <f t="shared" si="18"/>
        <v>0</v>
      </c>
      <c r="AB22" s="5">
        <f t="shared" si="34"/>
        <v>260</v>
      </c>
      <c r="AC22" s="5">
        <f t="shared" si="19"/>
        <v>698</v>
      </c>
      <c r="AD22" s="83">
        <f t="shared" si="35"/>
        <v>0</v>
      </c>
      <c r="AE22" s="5">
        <f t="shared" si="20"/>
        <v>217.84</v>
      </c>
      <c r="AF22" s="83">
        <f t="shared" si="21"/>
        <v>0</v>
      </c>
      <c r="AG22" s="5">
        <f t="shared" si="22"/>
        <v>2176.58</v>
      </c>
      <c r="AH22" s="83">
        <f t="shared" si="23"/>
        <v>0</v>
      </c>
      <c r="AI22" s="83">
        <f t="shared" si="24"/>
        <v>0</v>
      </c>
      <c r="AJ22" s="329">
        <f t="shared" si="25"/>
        <v>0</v>
      </c>
      <c r="AK22" s="330">
        <f t="shared" si="36"/>
        <v>0</v>
      </c>
      <c r="AL22" s="330">
        <f t="shared" si="26"/>
        <v>0</v>
      </c>
      <c r="AM22" s="330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9">
        <f t="shared" si="27"/>
        <v>44121</v>
      </c>
      <c r="AS22" s="429">
        <f t="shared" ref="AS22:AT36" si="48">AS21</f>
        <v>0.9</v>
      </c>
      <c r="AT22" s="202">
        <f t="shared" si="48"/>
        <v>0</v>
      </c>
      <c r="AU22" s="430">
        <f t="shared" si="41"/>
        <v>1.1000000000000001</v>
      </c>
      <c r="AV22" s="202">
        <f t="shared" si="43"/>
        <v>46</v>
      </c>
      <c r="AW22" s="5">
        <v>2.9</v>
      </c>
      <c r="AX22" s="202">
        <f t="shared" si="44"/>
        <v>48</v>
      </c>
      <c r="AY22" s="433">
        <f t="shared" si="7"/>
        <v>0</v>
      </c>
      <c r="AZ22" s="433">
        <f t="shared" si="28"/>
        <v>50.6</v>
      </c>
      <c r="BA22" s="433">
        <f t="shared" si="29"/>
        <v>139.19999999999999</v>
      </c>
      <c r="BB22" s="21">
        <f>AY22-AY21</f>
        <v>0</v>
      </c>
      <c r="BC22" s="21">
        <f t="shared" si="30"/>
        <v>0</v>
      </c>
      <c r="BD22" s="21">
        <f t="shared" si="30"/>
        <v>0</v>
      </c>
      <c r="BE22" s="24">
        <f t="shared" si="32"/>
        <v>0</v>
      </c>
      <c r="BF22" s="96">
        <f t="shared" si="8"/>
        <v>0</v>
      </c>
      <c r="BG22" s="82">
        <f t="shared" si="9"/>
        <v>0</v>
      </c>
    </row>
    <row r="23" spans="1:61" ht="15.75" thickBot="1">
      <c r="A23" s="6">
        <f>ELEC!C20</f>
        <v>44122</v>
      </c>
      <c r="B23" s="5">
        <f t="shared" si="10"/>
        <v>109096</v>
      </c>
      <c r="C23" s="5">
        <f t="shared" si="11"/>
        <v>0</v>
      </c>
      <c r="D23" s="424">
        <f t="shared" si="12"/>
        <v>0</v>
      </c>
      <c r="E23" s="336">
        <f>SUM((C23*$E$4)+(7500/'EDl log'!$A$38))</f>
        <v>241.93548387096774</v>
      </c>
      <c r="F23" s="330"/>
      <c r="G23" s="5">
        <f t="shared" si="33"/>
        <v>608930</v>
      </c>
      <c r="H23" s="5">
        <f t="shared" si="13"/>
        <v>0</v>
      </c>
      <c r="I23" s="5">
        <f t="shared" si="0"/>
        <v>0</v>
      </c>
      <c r="J23" s="337">
        <f t="shared" si="1"/>
        <v>0</v>
      </c>
      <c r="K23" s="5">
        <f>'Swimming Pool quality check '!H23</f>
        <v>6555</v>
      </c>
      <c r="L23" s="276">
        <f t="shared" si="37"/>
        <v>0</v>
      </c>
      <c r="M23" s="415">
        <f t="shared" si="14"/>
        <v>457.44</v>
      </c>
      <c r="N23" s="522">
        <f t="shared" si="45"/>
        <v>0</v>
      </c>
      <c r="O23" s="415">
        <f t="shared" si="15"/>
        <v>529.52</v>
      </c>
      <c r="P23" s="522">
        <f t="shared" si="46"/>
        <v>0</v>
      </c>
      <c r="Q23" s="522">
        <f t="shared" si="47"/>
        <v>0</v>
      </c>
      <c r="R23" s="524"/>
      <c r="S23" s="524"/>
      <c r="T23" s="5">
        <f t="shared" si="42"/>
        <v>5135</v>
      </c>
      <c r="U23" s="5">
        <f t="shared" si="4"/>
        <v>0</v>
      </c>
      <c r="V23" s="5">
        <f t="shared" si="16"/>
        <v>452</v>
      </c>
      <c r="W23" s="327">
        <f t="shared" si="17"/>
        <v>0</v>
      </c>
      <c r="X23" s="5">
        <f t="shared" si="38"/>
        <v>147726</v>
      </c>
      <c r="Y23" s="327">
        <f t="shared" si="39"/>
        <v>0</v>
      </c>
      <c r="Z23" s="5">
        <f t="shared" si="40"/>
        <v>97117</v>
      </c>
      <c r="AA23" s="83">
        <f t="shared" si="18"/>
        <v>0</v>
      </c>
      <c r="AB23" s="5">
        <f t="shared" si="34"/>
        <v>260</v>
      </c>
      <c r="AC23" s="5">
        <f t="shared" si="19"/>
        <v>698</v>
      </c>
      <c r="AD23" s="83">
        <f t="shared" si="35"/>
        <v>0</v>
      </c>
      <c r="AE23" s="5">
        <f t="shared" si="20"/>
        <v>217.84</v>
      </c>
      <c r="AF23" s="83">
        <f t="shared" si="21"/>
        <v>0</v>
      </c>
      <c r="AG23" s="5">
        <f t="shared" si="22"/>
        <v>2176.58</v>
      </c>
      <c r="AH23" s="83">
        <f t="shared" si="23"/>
        <v>0</v>
      </c>
      <c r="AI23" s="83">
        <f t="shared" si="24"/>
        <v>0</v>
      </c>
      <c r="AJ23" s="329">
        <f t="shared" si="25"/>
        <v>0</v>
      </c>
      <c r="AK23" s="330">
        <f t="shared" si="36"/>
        <v>0</v>
      </c>
      <c r="AL23" s="330">
        <f t="shared" si="26"/>
        <v>0</v>
      </c>
      <c r="AM23" s="330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9">
        <f t="shared" si="27"/>
        <v>44122</v>
      </c>
      <c r="AS23" s="429">
        <f t="shared" si="48"/>
        <v>0.9</v>
      </c>
      <c r="AT23" s="202">
        <f t="shared" si="48"/>
        <v>0</v>
      </c>
      <c r="AU23" s="430">
        <f t="shared" si="41"/>
        <v>1.1000000000000001</v>
      </c>
      <c r="AV23" s="202">
        <f t="shared" si="43"/>
        <v>46</v>
      </c>
      <c r="AW23" s="5">
        <v>2.9</v>
      </c>
      <c r="AX23" s="202">
        <f t="shared" si="44"/>
        <v>48</v>
      </c>
      <c r="AY23" s="433">
        <f t="shared" si="7"/>
        <v>0</v>
      </c>
      <c r="AZ23" s="433">
        <f t="shared" si="28"/>
        <v>50.6</v>
      </c>
      <c r="BA23" s="433">
        <f t="shared" si="29"/>
        <v>139.19999999999999</v>
      </c>
      <c r="BB23" s="21">
        <f t="shared" si="30"/>
        <v>0</v>
      </c>
      <c r="BC23" s="21">
        <f t="shared" si="30"/>
        <v>0</v>
      </c>
      <c r="BD23" s="21">
        <f t="shared" si="30"/>
        <v>0</v>
      </c>
      <c r="BE23" s="24">
        <f t="shared" si="32"/>
        <v>0</v>
      </c>
      <c r="BF23" s="96">
        <f t="shared" si="8"/>
        <v>0</v>
      </c>
      <c r="BG23" s="82">
        <f t="shared" si="9"/>
        <v>0</v>
      </c>
    </row>
    <row r="24" spans="1:61" ht="15.75" thickBot="1">
      <c r="A24" s="6">
        <f>ELEC!C21</f>
        <v>44123</v>
      </c>
      <c r="B24" s="5">
        <f t="shared" si="10"/>
        <v>109096</v>
      </c>
      <c r="C24" s="5">
        <f t="shared" si="11"/>
        <v>0</v>
      </c>
      <c r="D24" s="424">
        <f t="shared" si="12"/>
        <v>0</v>
      </c>
      <c r="E24" s="336">
        <f>SUM((C24*$E$4)+(7500/'EDl log'!$A$38))</f>
        <v>241.93548387096774</v>
      </c>
      <c r="F24" s="330"/>
      <c r="G24" s="5">
        <f t="shared" si="33"/>
        <v>608930</v>
      </c>
      <c r="H24" s="5">
        <f t="shared" si="13"/>
        <v>0</v>
      </c>
      <c r="I24" s="5">
        <f t="shared" si="0"/>
        <v>0</v>
      </c>
      <c r="J24" s="337">
        <f t="shared" si="1"/>
        <v>0</v>
      </c>
      <c r="K24" s="5">
        <f>'Swimming Pool quality check '!H24</f>
        <v>6555</v>
      </c>
      <c r="L24" s="276">
        <f t="shared" si="37"/>
        <v>0</v>
      </c>
      <c r="M24" s="415">
        <f t="shared" si="14"/>
        <v>457.44</v>
      </c>
      <c r="N24" s="522">
        <f t="shared" si="45"/>
        <v>0</v>
      </c>
      <c r="O24" s="415">
        <f t="shared" si="15"/>
        <v>529.52</v>
      </c>
      <c r="P24" s="522">
        <f t="shared" si="46"/>
        <v>0</v>
      </c>
      <c r="Q24" s="522">
        <f t="shared" si="47"/>
        <v>0</v>
      </c>
      <c r="R24" s="524"/>
      <c r="S24" s="524"/>
      <c r="T24" s="5">
        <f t="shared" si="42"/>
        <v>5135</v>
      </c>
      <c r="U24" s="5">
        <f t="shared" si="4"/>
        <v>0</v>
      </c>
      <c r="V24" s="5">
        <f t="shared" si="16"/>
        <v>452</v>
      </c>
      <c r="W24" s="327">
        <f t="shared" si="17"/>
        <v>0</v>
      </c>
      <c r="X24" s="5">
        <f t="shared" si="38"/>
        <v>147726</v>
      </c>
      <c r="Y24" s="327">
        <f t="shared" si="39"/>
        <v>0</v>
      </c>
      <c r="Z24" s="5">
        <f t="shared" si="40"/>
        <v>97117</v>
      </c>
      <c r="AA24" s="83">
        <f t="shared" si="18"/>
        <v>0</v>
      </c>
      <c r="AB24" s="5">
        <f t="shared" si="34"/>
        <v>260</v>
      </c>
      <c r="AC24" s="5">
        <f t="shared" si="19"/>
        <v>698</v>
      </c>
      <c r="AD24" s="83">
        <f t="shared" si="35"/>
        <v>0</v>
      </c>
      <c r="AE24" s="5">
        <f t="shared" si="20"/>
        <v>217.84</v>
      </c>
      <c r="AF24" s="83">
        <f t="shared" si="21"/>
        <v>0</v>
      </c>
      <c r="AG24" s="5">
        <f t="shared" si="22"/>
        <v>2176.58</v>
      </c>
      <c r="AH24" s="83">
        <f t="shared" si="23"/>
        <v>0</v>
      </c>
      <c r="AI24" s="83">
        <f t="shared" si="24"/>
        <v>0</v>
      </c>
      <c r="AJ24" s="329">
        <f t="shared" si="25"/>
        <v>0</v>
      </c>
      <c r="AK24" s="330">
        <f t="shared" si="36"/>
        <v>0</v>
      </c>
      <c r="AL24" s="330">
        <f t="shared" si="26"/>
        <v>0</v>
      </c>
      <c r="AM24" s="330">
        <f>'General information '!D24</f>
        <v>0</v>
      </c>
      <c r="AN24" s="84">
        <f>'General information '!H24</f>
        <v>0</v>
      </c>
      <c r="AO24" s="84"/>
      <c r="AP24" s="84">
        <f>'General information '!J24</f>
        <v>0</v>
      </c>
      <c r="AR24" s="279">
        <f t="shared" si="27"/>
        <v>44123</v>
      </c>
      <c r="AS24" s="429">
        <f t="shared" si="48"/>
        <v>0.9</v>
      </c>
      <c r="AT24" s="202">
        <f t="shared" si="48"/>
        <v>0</v>
      </c>
      <c r="AU24" s="430">
        <f t="shared" si="41"/>
        <v>1.1000000000000001</v>
      </c>
      <c r="AV24" s="202">
        <f t="shared" si="43"/>
        <v>46</v>
      </c>
      <c r="AW24" s="5">
        <v>2.9</v>
      </c>
      <c r="AX24" s="202">
        <f t="shared" si="44"/>
        <v>48</v>
      </c>
      <c r="AY24" s="433">
        <f t="shared" si="7"/>
        <v>0</v>
      </c>
      <c r="AZ24" s="433">
        <f t="shared" si="28"/>
        <v>50.6</v>
      </c>
      <c r="BA24" s="433">
        <f t="shared" si="29"/>
        <v>139.19999999999999</v>
      </c>
      <c r="BB24" s="21">
        <f t="shared" si="30"/>
        <v>0</v>
      </c>
      <c r="BC24" s="21">
        <f t="shared" si="30"/>
        <v>0</v>
      </c>
      <c r="BD24" s="21">
        <f t="shared" si="30"/>
        <v>0</v>
      </c>
      <c r="BE24" s="24">
        <f t="shared" si="32"/>
        <v>0</v>
      </c>
      <c r="BF24" s="96">
        <f t="shared" si="8"/>
        <v>0</v>
      </c>
      <c r="BG24" s="82">
        <f t="shared" si="9"/>
        <v>0</v>
      </c>
      <c r="BI24" s="82"/>
    </row>
    <row r="25" spans="1:61" ht="15.75" thickBot="1">
      <c r="A25" s="6">
        <f>ELEC!C22</f>
        <v>44124</v>
      </c>
      <c r="B25" s="5">
        <f t="shared" si="10"/>
        <v>109096</v>
      </c>
      <c r="C25" s="5">
        <f t="shared" si="11"/>
        <v>0</v>
      </c>
      <c r="D25" s="424">
        <f t="shared" si="12"/>
        <v>0</v>
      </c>
      <c r="E25" s="336">
        <f>SUM((C25*$E$4)+(7500/'EDl log'!$A$38))</f>
        <v>241.93548387096774</v>
      </c>
      <c r="F25" s="330"/>
      <c r="G25" s="5">
        <f t="shared" si="33"/>
        <v>608930</v>
      </c>
      <c r="H25" s="5">
        <f t="shared" si="13"/>
        <v>0</v>
      </c>
      <c r="I25" s="5">
        <f t="shared" si="0"/>
        <v>0</v>
      </c>
      <c r="J25" s="337">
        <f t="shared" si="1"/>
        <v>0</v>
      </c>
      <c r="K25" s="5">
        <f>'Swimming Pool quality check '!H25</f>
        <v>6555</v>
      </c>
      <c r="L25" s="276">
        <f t="shared" si="37"/>
        <v>0</v>
      </c>
      <c r="M25" s="415">
        <f t="shared" si="14"/>
        <v>457.44</v>
      </c>
      <c r="N25" s="522">
        <f t="shared" si="45"/>
        <v>0</v>
      </c>
      <c r="O25" s="415">
        <f t="shared" si="15"/>
        <v>529.52</v>
      </c>
      <c r="P25" s="522">
        <f t="shared" si="46"/>
        <v>0</v>
      </c>
      <c r="Q25" s="522">
        <f t="shared" si="47"/>
        <v>0</v>
      </c>
      <c r="R25" s="524"/>
      <c r="S25" s="524"/>
      <c r="T25" s="5">
        <f t="shared" si="42"/>
        <v>5135</v>
      </c>
      <c r="U25" s="5">
        <f t="shared" si="4"/>
        <v>0</v>
      </c>
      <c r="V25" s="5">
        <f t="shared" si="16"/>
        <v>452</v>
      </c>
      <c r="W25" s="327">
        <f t="shared" si="17"/>
        <v>0</v>
      </c>
      <c r="X25" s="5">
        <f t="shared" si="38"/>
        <v>147726</v>
      </c>
      <c r="Y25" s="327">
        <f t="shared" si="39"/>
        <v>0</v>
      </c>
      <c r="Z25" s="5">
        <f t="shared" si="40"/>
        <v>97117</v>
      </c>
      <c r="AA25" s="83">
        <f t="shared" si="18"/>
        <v>0</v>
      </c>
      <c r="AB25" s="5">
        <f t="shared" si="34"/>
        <v>260</v>
      </c>
      <c r="AC25" s="5">
        <f t="shared" si="19"/>
        <v>698</v>
      </c>
      <c r="AD25" s="83">
        <f t="shared" si="35"/>
        <v>0</v>
      </c>
      <c r="AE25" s="5">
        <f t="shared" si="20"/>
        <v>217.84</v>
      </c>
      <c r="AF25" s="83">
        <f t="shared" si="21"/>
        <v>0</v>
      </c>
      <c r="AG25" s="5">
        <f t="shared" si="22"/>
        <v>2176.58</v>
      </c>
      <c r="AH25" s="83">
        <f t="shared" si="23"/>
        <v>0</v>
      </c>
      <c r="AI25" s="83">
        <f t="shared" si="24"/>
        <v>0</v>
      </c>
      <c r="AJ25" s="329">
        <f t="shared" si="25"/>
        <v>0</v>
      </c>
      <c r="AK25" s="330">
        <f t="shared" si="36"/>
        <v>0</v>
      </c>
      <c r="AL25" s="330">
        <f t="shared" si="26"/>
        <v>0</v>
      </c>
      <c r="AM25" s="330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9">
        <f t="shared" si="27"/>
        <v>44124</v>
      </c>
      <c r="AS25" s="429">
        <f t="shared" si="48"/>
        <v>0.9</v>
      </c>
      <c r="AT25" s="202">
        <f t="shared" si="48"/>
        <v>0</v>
      </c>
      <c r="AU25" s="430">
        <f t="shared" si="41"/>
        <v>1.1000000000000001</v>
      </c>
      <c r="AV25" s="202">
        <f t="shared" si="43"/>
        <v>46</v>
      </c>
      <c r="AW25" s="5">
        <v>2.9</v>
      </c>
      <c r="AX25" s="202">
        <f t="shared" si="44"/>
        <v>48</v>
      </c>
      <c r="AY25" s="433">
        <f t="shared" si="7"/>
        <v>0</v>
      </c>
      <c r="AZ25" s="433">
        <f t="shared" si="28"/>
        <v>50.6</v>
      </c>
      <c r="BA25" s="433">
        <f t="shared" si="29"/>
        <v>139.19999999999999</v>
      </c>
      <c r="BB25" s="21">
        <f t="shared" si="30"/>
        <v>0</v>
      </c>
      <c r="BC25" s="21">
        <f t="shared" si="30"/>
        <v>0</v>
      </c>
      <c r="BD25" s="21">
        <f t="shared" si="30"/>
        <v>0</v>
      </c>
      <c r="BE25" s="24">
        <f t="shared" si="32"/>
        <v>0</v>
      </c>
      <c r="BF25" s="96">
        <f t="shared" si="8"/>
        <v>0</v>
      </c>
      <c r="BG25" s="82">
        <f t="shared" si="9"/>
        <v>0</v>
      </c>
    </row>
    <row r="26" spans="1:61" ht="15.75" thickBot="1">
      <c r="A26" s="6">
        <f>ELEC!C23</f>
        <v>44125</v>
      </c>
      <c r="B26" s="5">
        <f t="shared" si="10"/>
        <v>109096</v>
      </c>
      <c r="C26" s="5">
        <f t="shared" si="11"/>
        <v>0</v>
      </c>
      <c r="D26" s="424">
        <f t="shared" si="12"/>
        <v>0</v>
      </c>
      <c r="E26" s="336">
        <f>SUM((C26*$E$4)+(7500/'EDl log'!$A$38))</f>
        <v>241.93548387096774</v>
      </c>
      <c r="F26" s="330"/>
      <c r="G26" s="5">
        <f t="shared" si="33"/>
        <v>608930</v>
      </c>
      <c r="H26" s="5">
        <f>G26-G25</f>
        <v>0</v>
      </c>
      <c r="I26" s="5">
        <f t="shared" si="0"/>
        <v>0</v>
      </c>
      <c r="J26" s="337">
        <f t="shared" si="1"/>
        <v>0</v>
      </c>
      <c r="K26" s="5">
        <f>'Swimming Pool quality check '!H26</f>
        <v>6555</v>
      </c>
      <c r="L26" s="276">
        <f t="shared" si="37"/>
        <v>0</v>
      </c>
      <c r="M26" s="415">
        <f t="shared" si="14"/>
        <v>457.44</v>
      </c>
      <c r="N26" s="522">
        <f t="shared" si="45"/>
        <v>0</v>
      </c>
      <c r="O26" s="415">
        <f t="shared" si="15"/>
        <v>529.52</v>
      </c>
      <c r="P26" s="522">
        <f t="shared" si="46"/>
        <v>0</v>
      </c>
      <c r="Q26" s="522">
        <f t="shared" si="47"/>
        <v>0</v>
      </c>
      <c r="R26" s="524"/>
      <c r="S26" s="524"/>
      <c r="T26" s="5">
        <f t="shared" si="42"/>
        <v>5135</v>
      </c>
      <c r="U26" s="5">
        <f t="shared" si="4"/>
        <v>0</v>
      </c>
      <c r="V26" s="5">
        <f t="shared" si="16"/>
        <v>452</v>
      </c>
      <c r="W26" s="327">
        <f t="shared" si="17"/>
        <v>0</v>
      </c>
      <c r="X26" s="5">
        <f t="shared" si="38"/>
        <v>147726</v>
      </c>
      <c r="Y26" s="327">
        <f t="shared" si="39"/>
        <v>0</v>
      </c>
      <c r="Z26" s="5">
        <f t="shared" si="40"/>
        <v>97117</v>
      </c>
      <c r="AA26" s="83">
        <f t="shared" si="18"/>
        <v>0</v>
      </c>
      <c r="AB26" s="5">
        <f t="shared" si="34"/>
        <v>260</v>
      </c>
      <c r="AC26" s="5">
        <f t="shared" si="19"/>
        <v>698</v>
      </c>
      <c r="AD26" s="83">
        <f t="shared" si="35"/>
        <v>0</v>
      </c>
      <c r="AE26" s="5">
        <f t="shared" si="20"/>
        <v>217.84</v>
      </c>
      <c r="AF26" s="83">
        <f t="shared" si="21"/>
        <v>0</v>
      </c>
      <c r="AG26" s="5">
        <f t="shared" si="22"/>
        <v>2176.58</v>
      </c>
      <c r="AH26" s="83">
        <f t="shared" si="23"/>
        <v>0</v>
      </c>
      <c r="AI26" s="83">
        <f t="shared" si="24"/>
        <v>0</v>
      </c>
      <c r="AJ26" s="329">
        <f t="shared" si="25"/>
        <v>0</v>
      </c>
      <c r="AK26" s="330">
        <f t="shared" si="36"/>
        <v>0</v>
      </c>
      <c r="AL26" s="330">
        <f>SUM(AJ26-W26)</f>
        <v>0</v>
      </c>
      <c r="AM26" s="330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9">
        <f t="shared" si="27"/>
        <v>44125</v>
      </c>
      <c r="AS26" s="429">
        <f t="shared" si="48"/>
        <v>0.9</v>
      </c>
      <c r="AT26" s="202">
        <f t="shared" si="48"/>
        <v>0</v>
      </c>
      <c r="AU26" s="430">
        <f t="shared" si="41"/>
        <v>1.1000000000000001</v>
      </c>
      <c r="AV26" s="202">
        <f t="shared" si="43"/>
        <v>46</v>
      </c>
      <c r="AW26" s="5">
        <v>2.9</v>
      </c>
      <c r="AX26" s="202">
        <f t="shared" si="44"/>
        <v>48</v>
      </c>
      <c r="AY26" s="433">
        <f t="shared" si="7"/>
        <v>0</v>
      </c>
      <c r="AZ26" s="433">
        <f t="shared" si="28"/>
        <v>50.6</v>
      </c>
      <c r="BA26" s="433">
        <f t="shared" si="29"/>
        <v>139.19999999999999</v>
      </c>
      <c r="BB26" s="21">
        <f t="shared" si="30"/>
        <v>0</v>
      </c>
      <c r="BC26" s="21">
        <f t="shared" si="30"/>
        <v>0</v>
      </c>
      <c r="BD26" s="21">
        <f t="shared" si="30"/>
        <v>0</v>
      </c>
      <c r="BE26" s="24">
        <f t="shared" si="32"/>
        <v>0</v>
      </c>
      <c r="BF26" s="345">
        <f t="shared" si="8"/>
        <v>0</v>
      </c>
      <c r="BG26" s="82">
        <f t="shared" si="9"/>
        <v>0</v>
      </c>
    </row>
    <row r="27" spans="1:61" ht="15.75" thickBot="1">
      <c r="A27" s="6">
        <f>ELEC!C24</f>
        <v>44126</v>
      </c>
      <c r="B27" s="5">
        <f t="shared" si="10"/>
        <v>109096</v>
      </c>
      <c r="C27" s="5">
        <f t="shared" si="11"/>
        <v>0</v>
      </c>
      <c r="D27" s="424">
        <f t="shared" si="12"/>
        <v>0</v>
      </c>
      <c r="E27" s="336">
        <f>SUM((C27*$E$4)+(7500/'EDl log'!$A$38))</f>
        <v>241.93548387096774</v>
      </c>
      <c r="F27" s="330"/>
      <c r="G27" s="5">
        <f t="shared" si="33"/>
        <v>608930</v>
      </c>
      <c r="H27" s="5">
        <f t="shared" si="13"/>
        <v>0</v>
      </c>
      <c r="I27" s="5">
        <f t="shared" si="0"/>
        <v>0</v>
      </c>
      <c r="J27" s="337">
        <f t="shared" si="1"/>
        <v>0</v>
      </c>
      <c r="K27" s="5">
        <f>'Swimming Pool quality check '!H27</f>
        <v>6555</v>
      </c>
      <c r="L27" s="276">
        <f t="shared" si="37"/>
        <v>0</v>
      </c>
      <c r="M27" s="415">
        <f t="shared" si="14"/>
        <v>457.44</v>
      </c>
      <c r="N27" s="522">
        <f t="shared" si="45"/>
        <v>0</v>
      </c>
      <c r="O27" s="415">
        <f t="shared" si="15"/>
        <v>529.52</v>
      </c>
      <c r="P27" s="522">
        <f t="shared" si="46"/>
        <v>0</v>
      </c>
      <c r="Q27" s="522">
        <f t="shared" si="47"/>
        <v>0</v>
      </c>
      <c r="R27" s="524"/>
      <c r="S27" s="524"/>
      <c r="T27" s="5">
        <f t="shared" si="42"/>
        <v>5135</v>
      </c>
      <c r="U27" s="5">
        <f t="shared" si="4"/>
        <v>0</v>
      </c>
      <c r="V27" s="5">
        <f t="shared" si="16"/>
        <v>452</v>
      </c>
      <c r="W27" s="327">
        <f t="shared" si="17"/>
        <v>0</v>
      </c>
      <c r="X27" s="5">
        <f t="shared" si="38"/>
        <v>147726</v>
      </c>
      <c r="Y27" s="327">
        <f>SUM(X27-X26)</f>
        <v>0</v>
      </c>
      <c r="Z27" s="5">
        <f t="shared" si="40"/>
        <v>97117</v>
      </c>
      <c r="AA27" s="83">
        <f t="shared" si="18"/>
        <v>0</v>
      </c>
      <c r="AB27" s="5">
        <f t="shared" si="34"/>
        <v>260</v>
      </c>
      <c r="AC27" s="5">
        <f t="shared" si="19"/>
        <v>698</v>
      </c>
      <c r="AD27" s="83">
        <f t="shared" si="35"/>
        <v>0</v>
      </c>
      <c r="AE27" s="5">
        <f t="shared" si="20"/>
        <v>217.84</v>
      </c>
      <c r="AF27" s="83">
        <f t="shared" si="21"/>
        <v>0</v>
      </c>
      <c r="AG27" s="5">
        <f t="shared" si="22"/>
        <v>2176.58</v>
      </c>
      <c r="AH27" s="83">
        <f t="shared" si="23"/>
        <v>0</v>
      </c>
      <c r="AI27" s="83">
        <f t="shared" si="24"/>
        <v>0</v>
      </c>
      <c r="AJ27" s="329">
        <f t="shared" si="25"/>
        <v>0</v>
      </c>
      <c r="AK27" s="330">
        <f t="shared" si="36"/>
        <v>0</v>
      </c>
      <c r="AL27" s="330">
        <f t="shared" si="26"/>
        <v>0</v>
      </c>
      <c r="AM27" s="330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9">
        <f t="shared" si="27"/>
        <v>44126</v>
      </c>
      <c r="AS27" s="429">
        <f t="shared" si="48"/>
        <v>0.9</v>
      </c>
      <c r="AT27" s="202">
        <f t="shared" si="48"/>
        <v>0</v>
      </c>
      <c r="AU27" s="430">
        <f t="shared" si="41"/>
        <v>1.1000000000000001</v>
      </c>
      <c r="AV27" s="202">
        <f t="shared" si="43"/>
        <v>46</v>
      </c>
      <c r="AW27" s="5">
        <v>2.9</v>
      </c>
      <c r="AX27" s="202">
        <f t="shared" si="44"/>
        <v>48</v>
      </c>
      <c r="AY27" s="433">
        <f t="shared" si="7"/>
        <v>0</v>
      </c>
      <c r="AZ27" s="433">
        <f t="shared" si="28"/>
        <v>50.6</v>
      </c>
      <c r="BA27" s="433">
        <f t="shared" si="29"/>
        <v>139.19999999999999</v>
      </c>
      <c r="BB27" s="21">
        <f t="shared" si="30"/>
        <v>0</v>
      </c>
      <c r="BC27" s="21">
        <f t="shared" si="30"/>
        <v>0</v>
      </c>
      <c r="BD27" s="21">
        <f t="shared" si="30"/>
        <v>0</v>
      </c>
      <c r="BE27" s="24">
        <f t="shared" si="32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44127</v>
      </c>
      <c r="B28" s="5">
        <f t="shared" si="10"/>
        <v>109096</v>
      </c>
      <c r="C28" s="5">
        <f t="shared" si="11"/>
        <v>0</v>
      </c>
      <c r="D28" s="424">
        <f t="shared" si="12"/>
        <v>0</v>
      </c>
      <c r="E28" s="336">
        <f>SUM((C28*$E$4)+(7500/'EDl log'!$A$38))</f>
        <v>241.93548387096774</v>
      </c>
      <c r="F28" s="330"/>
      <c r="G28" s="5">
        <f t="shared" si="33"/>
        <v>608930</v>
      </c>
      <c r="H28" s="5">
        <f t="shared" si="13"/>
        <v>0</v>
      </c>
      <c r="I28" s="5">
        <f t="shared" si="0"/>
        <v>0</v>
      </c>
      <c r="J28" s="337">
        <f t="shared" si="1"/>
        <v>0</v>
      </c>
      <c r="K28" s="5">
        <f>'Swimming Pool quality check '!H28</f>
        <v>6555</v>
      </c>
      <c r="L28" s="276">
        <f t="shared" si="37"/>
        <v>0</v>
      </c>
      <c r="M28" s="415">
        <f t="shared" si="14"/>
        <v>457.44</v>
      </c>
      <c r="N28" s="522">
        <f t="shared" si="45"/>
        <v>0</v>
      </c>
      <c r="O28" s="415">
        <f t="shared" si="15"/>
        <v>529.52</v>
      </c>
      <c r="P28" s="522">
        <f t="shared" si="46"/>
        <v>0</v>
      </c>
      <c r="Q28" s="522">
        <f t="shared" si="47"/>
        <v>0</v>
      </c>
      <c r="R28" s="524"/>
      <c r="S28" s="524"/>
      <c r="T28" s="5">
        <f t="shared" si="42"/>
        <v>5135</v>
      </c>
      <c r="U28" s="5">
        <f t="shared" si="4"/>
        <v>0</v>
      </c>
      <c r="V28" s="5">
        <f t="shared" si="16"/>
        <v>452</v>
      </c>
      <c r="W28" s="327">
        <f t="shared" si="17"/>
        <v>0</v>
      </c>
      <c r="X28" s="5">
        <f t="shared" si="38"/>
        <v>147726</v>
      </c>
      <c r="Y28" s="327">
        <f t="shared" si="39"/>
        <v>0</v>
      </c>
      <c r="Z28" s="5">
        <f t="shared" si="40"/>
        <v>97117</v>
      </c>
      <c r="AA28" s="83">
        <f t="shared" si="18"/>
        <v>0</v>
      </c>
      <c r="AB28" s="5">
        <f t="shared" si="34"/>
        <v>260</v>
      </c>
      <c r="AC28" s="5">
        <f t="shared" si="19"/>
        <v>698</v>
      </c>
      <c r="AD28" s="83">
        <f t="shared" si="35"/>
        <v>0</v>
      </c>
      <c r="AE28" s="5">
        <f t="shared" si="20"/>
        <v>217.84</v>
      </c>
      <c r="AF28" s="83">
        <f t="shared" si="21"/>
        <v>0</v>
      </c>
      <c r="AG28" s="5">
        <f t="shared" si="22"/>
        <v>2176.58</v>
      </c>
      <c r="AH28" s="83">
        <f t="shared" si="23"/>
        <v>0</v>
      </c>
      <c r="AI28" s="83">
        <f t="shared" si="24"/>
        <v>0</v>
      </c>
      <c r="AJ28" s="329">
        <f t="shared" si="25"/>
        <v>0</v>
      </c>
      <c r="AK28" s="330">
        <f t="shared" si="36"/>
        <v>0</v>
      </c>
      <c r="AL28" s="330">
        <f t="shared" si="26"/>
        <v>0</v>
      </c>
      <c r="AM28" s="330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9">
        <f t="shared" si="27"/>
        <v>44127</v>
      </c>
      <c r="AS28" s="429">
        <f t="shared" si="48"/>
        <v>0.9</v>
      </c>
      <c r="AT28" s="202">
        <f t="shared" si="48"/>
        <v>0</v>
      </c>
      <c r="AU28" s="430">
        <f t="shared" si="41"/>
        <v>1.1000000000000001</v>
      </c>
      <c r="AV28" s="202">
        <f t="shared" si="43"/>
        <v>46</v>
      </c>
      <c r="AW28" s="5">
        <v>2.9</v>
      </c>
      <c r="AX28" s="202">
        <f t="shared" si="44"/>
        <v>48</v>
      </c>
      <c r="AY28" s="433">
        <f t="shared" si="7"/>
        <v>0</v>
      </c>
      <c r="AZ28" s="433">
        <f t="shared" si="28"/>
        <v>50.6</v>
      </c>
      <c r="BA28" s="433">
        <f t="shared" si="29"/>
        <v>139.19999999999999</v>
      </c>
      <c r="BB28" s="21">
        <f t="shared" si="30"/>
        <v>0</v>
      </c>
      <c r="BC28" s="21">
        <f t="shared" si="30"/>
        <v>0</v>
      </c>
      <c r="BD28" s="21">
        <f t="shared" si="30"/>
        <v>0</v>
      </c>
      <c r="BE28" s="24">
        <f t="shared" si="32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44128</v>
      </c>
      <c r="B29" s="5">
        <f t="shared" si="10"/>
        <v>109096</v>
      </c>
      <c r="C29" s="5">
        <f t="shared" si="11"/>
        <v>0</v>
      </c>
      <c r="D29" s="424">
        <f t="shared" si="12"/>
        <v>0</v>
      </c>
      <c r="E29" s="336">
        <f>SUM((C29*$E$4)+(7500/'EDl log'!$A$38))</f>
        <v>241.93548387096774</v>
      </c>
      <c r="F29" s="330"/>
      <c r="G29" s="5">
        <f t="shared" si="33"/>
        <v>608930</v>
      </c>
      <c r="H29" s="5">
        <f t="shared" si="13"/>
        <v>0</v>
      </c>
      <c r="I29" s="5">
        <f t="shared" si="0"/>
        <v>0</v>
      </c>
      <c r="J29" s="337">
        <f t="shared" si="1"/>
        <v>0</v>
      </c>
      <c r="K29" s="5">
        <f>'Swimming Pool quality check '!H29</f>
        <v>6555</v>
      </c>
      <c r="L29" s="276">
        <f t="shared" si="37"/>
        <v>0</v>
      </c>
      <c r="M29" s="415">
        <f t="shared" si="14"/>
        <v>457.44</v>
      </c>
      <c r="N29" s="522">
        <f t="shared" si="45"/>
        <v>0</v>
      </c>
      <c r="O29" s="415">
        <f t="shared" si="15"/>
        <v>529.52</v>
      </c>
      <c r="P29" s="522">
        <f t="shared" si="46"/>
        <v>0</v>
      </c>
      <c r="Q29" s="522">
        <f t="shared" si="47"/>
        <v>0</v>
      </c>
      <c r="R29" s="524"/>
      <c r="S29" s="524"/>
      <c r="T29" s="5">
        <f t="shared" si="42"/>
        <v>5135</v>
      </c>
      <c r="U29" s="5">
        <f t="shared" si="4"/>
        <v>0</v>
      </c>
      <c r="V29" s="5">
        <f t="shared" si="16"/>
        <v>452</v>
      </c>
      <c r="W29" s="327">
        <f t="shared" si="17"/>
        <v>0</v>
      </c>
      <c r="X29" s="5">
        <f t="shared" si="38"/>
        <v>147726</v>
      </c>
      <c r="Y29" s="327">
        <f t="shared" si="39"/>
        <v>0</v>
      </c>
      <c r="Z29" s="5">
        <f t="shared" si="40"/>
        <v>97117</v>
      </c>
      <c r="AA29" s="83">
        <f t="shared" si="18"/>
        <v>0</v>
      </c>
      <c r="AB29" s="5">
        <f t="shared" si="34"/>
        <v>260</v>
      </c>
      <c r="AC29" s="5">
        <f t="shared" si="19"/>
        <v>698</v>
      </c>
      <c r="AD29" s="83">
        <f t="shared" si="35"/>
        <v>0</v>
      </c>
      <c r="AE29" s="5">
        <f t="shared" si="20"/>
        <v>217.84</v>
      </c>
      <c r="AF29" s="83">
        <f t="shared" si="21"/>
        <v>0</v>
      </c>
      <c r="AG29" s="5">
        <f t="shared" si="22"/>
        <v>2176.58</v>
      </c>
      <c r="AH29" s="83">
        <f t="shared" si="23"/>
        <v>0</v>
      </c>
      <c r="AI29" s="83">
        <f t="shared" si="24"/>
        <v>0</v>
      </c>
      <c r="AJ29" s="329">
        <f t="shared" si="25"/>
        <v>0</v>
      </c>
      <c r="AK29" s="330">
        <f t="shared" si="36"/>
        <v>0</v>
      </c>
      <c r="AL29" s="330">
        <f t="shared" si="26"/>
        <v>0</v>
      </c>
      <c r="AM29" s="330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9">
        <f t="shared" si="27"/>
        <v>44128</v>
      </c>
      <c r="AS29" s="429">
        <f t="shared" si="48"/>
        <v>0.9</v>
      </c>
      <c r="AT29" s="202">
        <f t="shared" si="48"/>
        <v>0</v>
      </c>
      <c r="AU29" s="430">
        <f t="shared" si="41"/>
        <v>1.1000000000000001</v>
      </c>
      <c r="AV29" s="202">
        <f t="shared" si="43"/>
        <v>46</v>
      </c>
      <c r="AW29" s="5">
        <v>2.9</v>
      </c>
      <c r="AX29" s="202">
        <f t="shared" si="44"/>
        <v>48</v>
      </c>
      <c r="AY29" s="433">
        <f t="shared" si="7"/>
        <v>0</v>
      </c>
      <c r="AZ29" s="433">
        <f t="shared" si="28"/>
        <v>50.6</v>
      </c>
      <c r="BA29" s="433">
        <f t="shared" si="29"/>
        <v>139.19999999999999</v>
      </c>
      <c r="BB29" s="21">
        <f t="shared" si="30"/>
        <v>0</v>
      </c>
      <c r="BC29" s="21">
        <f t="shared" si="30"/>
        <v>0</v>
      </c>
      <c r="BD29" s="21">
        <f t="shared" si="30"/>
        <v>0</v>
      </c>
      <c r="BE29" s="24">
        <f t="shared" si="32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44129</v>
      </c>
      <c r="B30" s="5">
        <f t="shared" si="10"/>
        <v>109096</v>
      </c>
      <c r="C30" s="5">
        <f t="shared" si="11"/>
        <v>0</v>
      </c>
      <c r="D30" s="424">
        <f t="shared" si="12"/>
        <v>0</v>
      </c>
      <c r="E30" s="336">
        <f>SUM((C30*$E$4)+(7500/'EDl log'!$A$38))</f>
        <v>241.93548387096774</v>
      </c>
      <c r="F30" s="330"/>
      <c r="G30" s="5">
        <f t="shared" si="33"/>
        <v>608930</v>
      </c>
      <c r="H30" s="5">
        <f t="shared" si="13"/>
        <v>0</v>
      </c>
      <c r="I30" s="5">
        <f t="shared" si="0"/>
        <v>0</v>
      </c>
      <c r="J30" s="337">
        <f t="shared" si="1"/>
        <v>0</v>
      </c>
      <c r="K30" s="5">
        <f>'Swimming Pool quality check '!H30</f>
        <v>6555</v>
      </c>
      <c r="L30" s="276">
        <f t="shared" si="37"/>
        <v>0</v>
      </c>
      <c r="M30" s="415">
        <f t="shared" si="14"/>
        <v>457.44</v>
      </c>
      <c r="N30" s="522">
        <f t="shared" si="45"/>
        <v>0</v>
      </c>
      <c r="O30" s="415">
        <f t="shared" si="15"/>
        <v>529.52</v>
      </c>
      <c r="P30" s="522">
        <f t="shared" si="46"/>
        <v>0</v>
      </c>
      <c r="Q30" s="522">
        <f t="shared" si="47"/>
        <v>0</v>
      </c>
      <c r="R30" s="524"/>
      <c r="S30" s="524"/>
      <c r="T30" s="5">
        <f t="shared" si="42"/>
        <v>5135</v>
      </c>
      <c r="U30" s="5">
        <f t="shared" si="4"/>
        <v>0</v>
      </c>
      <c r="V30" s="5">
        <f t="shared" si="16"/>
        <v>452</v>
      </c>
      <c r="W30" s="327">
        <f t="shared" si="17"/>
        <v>0</v>
      </c>
      <c r="X30" s="5">
        <f t="shared" si="38"/>
        <v>147726</v>
      </c>
      <c r="Y30" s="327">
        <f t="shared" si="39"/>
        <v>0</v>
      </c>
      <c r="Z30" s="5">
        <f t="shared" si="40"/>
        <v>97117</v>
      </c>
      <c r="AA30" s="83">
        <f t="shared" si="18"/>
        <v>0</v>
      </c>
      <c r="AB30" s="5">
        <f t="shared" si="34"/>
        <v>260</v>
      </c>
      <c r="AC30" s="5">
        <f t="shared" si="19"/>
        <v>698</v>
      </c>
      <c r="AD30" s="83">
        <f t="shared" si="35"/>
        <v>0</v>
      </c>
      <c r="AE30" s="5">
        <f t="shared" si="20"/>
        <v>217.84</v>
      </c>
      <c r="AF30" s="83">
        <f t="shared" si="21"/>
        <v>0</v>
      </c>
      <c r="AG30" s="5">
        <f t="shared" si="22"/>
        <v>2176.58</v>
      </c>
      <c r="AH30" s="83">
        <f t="shared" si="23"/>
        <v>0</v>
      </c>
      <c r="AI30" s="83">
        <f t="shared" si="24"/>
        <v>0</v>
      </c>
      <c r="AJ30" s="329">
        <f t="shared" si="25"/>
        <v>0</v>
      </c>
      <c r="AK30" s="330">
        <f t="shared" si="36"/>
        <v>0</v>
      </c>
      <c r="AL30" s="330">
        <f t="shared" si="26"/>
        <v>0</v>
      </c>
      <c r="AM30" s="330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9">
        <f t="shared" si="27"/>
        <v>44129</v>
      </c>
      <c r="AS30" s="429">
        <f t="shared" si="48"/>
        <v>0.9</v>
      </c>
      <c r="AT30" s="202">
        <f t="shared" si="48"/>
        <v>0</v>
      </c>
      <c r="AU30" s="430">
        <f t="shared" si="41"/>
        <v>1.1000000000000001</v>
      </c>
      <c r="AV30" s="202">
        <f t="shared" si="43"/>
        <v>46</v>
      </c>
      <c r="AW30" s="5">
        <v>2.9</v>
      </c>
      <c r="AX30" s="202">
        <f t="shared" si="44"/>
        <v>48</v>
      </c>
      <c r="AY30" s="433">
        <f t="shared" si="7"/>
        <v>0</v>
      </c>
      <c r="AZ30" s="433">
        <f t="shared" si="28"/>
        <v>50.6</v>
      </c>
      <c r="BA30" s="433">
        <f t="shared" si="29"/>
        <v>139.19999999999999</v>
      </c>
      <c r="BB30" s="21">
        <f t="shared" si="30"/>
        <v>0</v>
      </c>
      <c r="BC30" s="21">
        <f t="shared" si="30"/>
        <v>0</v>
      </c>
      <c r="BD30" s="21">
        <f t="shared" si="30"/>
        <v>0</v>
      </c>
      <c r="BE30" s="24">
        <f t="shared" si="32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44130</v>
      </c>
      <c r="B31" s="5">
        <f t="shared" si="10"/>
        <v>109096</v>
      </c>
      <c r="C31" s="5">
        <f t="shared" si="11"/>
        <v>0</v>
      </c>
      <c r="D31" s="424">
        <f t="shared" si="12"/>
        <v>0</v>
      </c>
      <c r="E31" s="336">
        <f>SUM((C31*$E$4)+(7500/'EDl log'!$A$38))</f>
        <v>241.93548387096774</v>
      </c>
      <c r="F31" s="330"/>
      <c r="G31" s="5">
        <f t="shared" si="33"/>
        <v>608930</v>
      </c>
      <c r="H31" s="5">
        <f t="shared" si="13"/>
        <v>0</v>
      </c>
      <c r="I31" s="5">
        <f t="shared" si="0"/>
        <v>0</v>
      </c>
      <c r="J31" s="337">
        <f t="shared" si="1"/>
        <v>0</v>
      </c>
      <c r="K31" s="5">
        <f>'Swimming Pool quality check '!H31</f>
        <v>6555</v>
      </c>
      <c r="L31" s="276">
        <f t="shared" si="37"/>
        <v>0</v>
      </c>
      <c r="M31" s="415">
        <f t="shared" si="14"/>
        <v>457.44</v>
      </c>
      <c r="N31" s="522">
        <f t="shared" si="45"/>
        <v>0</v>
      </c>
      <c r="O31" s="415">
        <f t="shared" si="15"/>
        <v>529.52</v>
      </c>
      <c r="P31" s="522">
        <f t="shared" si="46"/>
        <v>0</v>
      </c>
      <c r="Q31" s="522">
        <f t="shared" si="47"/>
        <v>0</v>
      </c>
      <c r="R31" s="524"/>
      <c r="S31" s="524"/>
      <c r="T31" s="5">
        <f t="shared" si="42"/>
        <v>5135</v>
      </c>
      <c r="U31" s="5">
        <f t="shared" si="4"/>
        <v>0</v>
      </c>
      <c r="V31" s="5">
        <f t="shared" si="16"/>
        <v>452</v>
      </c>
      <c r="W31" s="327">
        <f t="shared" si="17"/>
        <v>0</v>
      </c>
      <c r="X31" s="5">
        <f t="shared" si="38"/>
        <v>147726</v>
      </c>
      <c r="Y31" s="327">
        <f t="shared" si="39"/>
        <v>0</v>
      </c>
      <c r="Z31" s="5">
        <f t="shared" si="40"/>
        <v>97117</v>
      </c>
      <c r="AA31" s="83">
        <f t="shared" si="18"/>
        <v>0</v>
      </c>
      <c r="AB31" s="5">
        <f t="shared" si="34"/>
        <v>260</v>
      </c>
      <c r="AC31" s="5">
        <f t="shared" si="19"/>
        <v>698</v>
      </c>
      <c r="AD31" s="83">
        <f t="shared" si="35"/>
        <v>0</v>
      </c>
      <c r="AE31" s="5">
        <f t="shared" si="20"/>
        <v>217.84</v>
      </c>
      <c r="AF31" s="83">
        <f t="shared" si="21"/>
        <v>0</v>
      </c>
      <c r="AG31" s="5">
        <f t="shared" si="22"/>
        <v>2176.58</v>
      </c>
      <c r="AH31" s="83">
        <f>AG31-AG30</f>
        <v>0</v>
      </c>
      <c r="AI31" s="83">
        <f>AF31+AH31</f>
        <v>0</v>
      </c>
      <c r="AJ31" s="329">
        <f t="shared" si="25"/>
        <v>0</v>
      </c>
      <c r="AK31" s="330">
        <f t="shared" si="36"/>
        <v>0</v>
      </c>
      <c r="AL31" s="330">
        <f t="shared" si="26"/>
        <v>0</v>
      </c>
      <c r="AM31" s="330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9">
        <f t="shared" si="27"/>
        <v>44130</v>
      </c>
      <c r="AS31" s="429">
        <f t="shared" si="48"/>
        <v>0.9</v>
      </c>
      <c r="AT31" s="202">
        <f t="shared" si="48"/>
        <v>0</v>
      </c>
      <c r="AU31" s="430">
        <f t="shared" si="41"/>
        <v>1.1000000000000001</v>
      </c>
      <c r="AV31" s="202">
        <f t="shared" si="43"/>
        <v>46</v>
      </c>
      <c r="AW31" s="5">
        <v>2.9</v>
      </c>
      <c r="AX31" s="202">
        <f t="shared" si="44"/>
        <v>48</v>
      </c>
      <c r="AY31" s="433">
        <f t="shared" si="7"/>
        <v>0</v>
      </c>
      <c r="AZ31" s="433">
        <f t="shared" si="28"/>
        <v>50.6</v>
      </c>
      <c r="BA31" s="433">
        <f t="shared" si="29"/>
        <v>139.19999999999999</v>
      </c>
      <c r="BB31" s="21">
        <f t="shared" si="30"/>
        <v>0</v>
      </c>
      <c r="BC31" s="21">
        <f t="shared" si="30"/>
        <v>0</v>
      </c>
      <c r="BD31" s="21">
        <f t="shared" si="30"/>
        <v>0</v>
      </c>
      <c r="BE31" s="24">
        <f t="shared" si="32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44131</v>
      </c>
      <c r="B32" s="5">
        <f t="shared" si="10"/>
        <v>109096</v>
      </c>
      <c r="C32" s="5">
        <f t="shared" si="11"/>
        <v>0</v>
      </c>
      <c r="D32" s="424">
        <f t="shared" si="12"/>
        <v>0</v>
      </c>
      <c r="E32" s="336">
        <f>SUM((C32*$E$4)+(7500/'EDl log'!$A$38))</f>
        <v>241.93548387096774</v>
      </c>
      <c r="F32" s="330"/>
      <c r="G32" s="5">
        <f t="shared" si="33"/>
        <v>608930</v>
      </c>
      <c r="H32" s="5">
        <f t="shared" si="13"/>
        <v>0</v>
      </c>
      <c r="I32" s="5">
        <f t="shared" si="0"/>
        <v>0</v>
      </c>
      <c r="J32" s="337">
        <f t="shared" si="1"/>
        <v>0</v>
      </c>
      <c r="K32" s="5">
        <f>'Swimming Pool quality check '!H32</f>
        <v>6555</v>
      </c>
      <c r="L32" s="276">
        <f t="shared" si="37"/>
        <v>0</v>
      </c>
      <c r="M32" s="415">
        <f t="shared" si="14"/>
        <v>457.44</v>
      </c>
      <c r="N32" s="522">
        <f t="shared" si="45"/>
        <v>0</v>
      </c>
      <c r="O32" s="415">
        <f t="shared" si="15"/>
        <v>529.52</v>
      </c>
      <c r="P32" s="522">
        <f t="shared" si="46"/>
        <v>0</v>
      </c>
      <c r="Q32" s="522">
        <f t="shared" si="47"/>
        <v>0</v>
      </c>
      <c r="R32" s="524"/>
      <c r="S32" s="524"/>
      <c r="T32" s="5">
        <f t="shared" si="42"/>
        <v>5135</v>
      </c>
      <c r="U32" s="5">
        <f t="shared" si="4"/>
        <v>0</v>
      </c>
      <c r="V32" s="5">
        <f t="shared" si="16"/>
        <v>452</v>
      </c>
      <c r="W32" s="327">
        <f t="shared" si="17"/>
        <v>0</v>
      </c>
      <c r="X32" s="5">
        <f t="shared" si="38"/>
        <v>147726</v>
      </c>
      <c r="Y32" s="327">
        <f t="shared" si="39"/>
        <v>0</v>
      </c>
      <c r="Z32" s="5">
        <f t="shared" si="40"/>
        <v>97117</v>
      </c>
      <c r="AA32" s="83">
        <f t="shared" si="18"/>
        <v>0</v>
      </c>
      <c r="AB32" s="5">
        <f t="shared" si="34"/>
        <v>260</v>
      </c>
      <c r="AC32" s="5">
        <f t="shared" si="19"/>
        <v>698</v>
      </c>
      <c r="AD32" s="83">
        <f t="shared" si="35"/>
        <v>0</v>
      </c>
      <c r="AE32" s="5">
        <f t="shared" si="20"/>
        <v>217.84</v>
      </c>
      <c r="AF32" s="83">
        <f t="shared" si="21"/>
        <v>0</v>
      </c>
      <c r="AG32" s="5">
        <f t="shared" si="22"/>
        <v>2176.58</v>
      </c>
      <c r="AH32" s="83">
        <f t="shared" si="23"/>
        <v>0</v>
      </c>
      <c r="AI32" s="83">
        <f t="shared" si="24"/>
        <v>0</v>
      </c>
      <c r="AJ32" s="329">
        <f t="shared" si="25"/>
        <v>0</v>
      </c>
      <c r="AK32" s="330">
        <f t="shared" si="36"/>
        <v>0</v>
      </c>
      <c r="AL32" s="330">
        <f t="shared" si="26"/>
        <v>0</v>
      </c>
      <c r="AM32" s="330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9">
        <f t="shared" si="27"/>
        <v>44131</v>
      </c>
      <c r="AS32" s="429">
        <f t="shared" si="48"/>
        <v>0.9</v>
      </c>
      <c r="AT32" s="202">
        <f t="shared" si="48"/>
        <v>0</v>
      </c>
      <c r="AU32" s="430">
        <f t="shared" si="41"/>
        <v>1.1000000000000001</v>
      </c>
      <c r="AV32" s="202">
        <f t="shared" si="43"/>
        <v>46</v>
      </c>
      <c r="AW32" s="5">
        <v>2.9</v>
      </c>
      <c r="AX32" s="202">
        <f t="shared" si="44"/>
        <v>48</v>
      </c>
      <c r="AY32" s="433">
        <f t="shared" si="7"/>
        <v>0</v>
      </c>
      <c r="AZ32" s="433">
        <f t="shared" si="28"/>
        <v>50.6</v>
      </c>
      <c r="BA32" s="433">
        <f t="shared" si="29"/>
        <v>139.19999999999999</v>
      </c>
      <c r="BB32" s="21">
        <f t="shared" si="30"/>
        <v>0</v>
      </c>
      <c r="BC32" s="21">
        <f t="shared" si="30"/>
        <v>0</v>
      </c>
      <c r="BD32" s="21">
        <f t="shared" si="30"/>
        <v>0</v>
      </c>
      <c r="BE32" s="24">
        <f t="shared" si="32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44132</v>
      </c>
      <c r="B33" s="5">
        <f t="shared" si="10"/>
        <v>109096</v>
      </c>
      <c r="C33" s="5">
        <f t="shared" si="11"/>
        <v>0</v>
      </c>
      <c r="D33" s="424">
        <f t="shared" si="12"/>
        <v>0</v>
      </c>
      <c r="E33" s="336">
        <f>SUM((C33*$E$4)+(7500/'EDl log'!$A$38))</f>
        <v>241.93548387096774</v>
      </c>
      <c r="F33" s="330"/>
      <c r="G33" s="5">
        <f t="shared" si="33"/>
        <v>608930</v>
      </c>
      <c r="H33" s="5">
        <f t="shared" si="13"/>
        <v>0</v>
      </c>
      <c r="I33" s="5">
        <f t="shared" si="0"/>
        <v>0</v>
      </c>
      <c r="J33" s="337">
        <f t="shared" si="1"/>
        <v>0</v>
      </c>
      <c r="K33" s="5">
        <f>'Swimming Pool quality check '!H33</f>
        <v>6555</v>
      </c>
      <c r="L33" s="276">
        <f t="shared" si="37"/>
        <v>0</v>
      </c>
      <c r="M33" s="415">
        <f t="shared" si="14"/>
        <v>457.44</v>
      </c>
      <c r="N33" s="522">
        <f t="shared" si="45"/>
        <v>0</v>
      </c>
      <c r="O33" s="415">
        <f t="shared" si="15"/>
        <v>529.52</v>
      </c>
      <c r="P33" s="522">
        <f t="shared" si="46"/>
        <v>0</v>
      </c>
      <c r="Q33" s="522">
        <f t="shared" si="47"/>
        <v>0</v>
      </c>
      <c r="R33" s="524"/>
      <c r="S33" s="524"/>
      <c r="T33" s="5">
        <f t="shared" si="42"/>
        <v>5135</v>
      </c>
      <c r="U33" s="5">
        <f t="shared" si="4"/>
        <v>0</v>
      </c>
      <c r="V33" s="5">
        <f t="shared" si="16"/>
        <v>452</v>
      </c>
      <c r="W33" s="327">
        <f t="shared" si="17"/>
        <v>0</v>
      </c>
      <c r="X33" s="5">
        <f t="shared" si="38"/>
        <v>147726</v>
      </c>
      <c r="Y33" s="327">
        <f t="shared" si="39"/>
        <v>0</v>
      </c>
      <c r="Z33" s="5">
        <f t="shared" si="40"/>
        <v>97117</v>
      </c>
      <c r="AA33" s="83">
        <f t="shared" si="18"/>
        <v>0</v>
      </c>
      <c r="AB33" s="5">
        <f t="shared" si="34"/>
        <v>260</v>
      </c>
      <c r="AC33" s="5">
        <f t="shared" si="19"/>
        <v>698</v>
      </c>
      <c r="AD33" s="83">
        <f t="shared" si="35"/>
        <v>0</v>
      </c>
      <c r="AE33" s="5">
        <f t="shared" si="20"/>
        <v>217.84</v>
      </c>
      <c r="AF33" s="83">
        <f>AE33-AE32</f>
        <v>0</v>
      </c>
      <c r="AG33" s="5">
        <f t="shared" si="22"/>
        <v>2176.58</v>
      </c>
      <c r="AH33" s="83">
        <f t="shared" si="23"/>
        <v>0</v>
      </c>
      <c r="AI33" s="83">
        <f t="shared" si="24"/>
        <v>0</v>
      </c>
      <c r="AJ33" s="329">
        <f t="shared" si="25"/>
        <v>0</v>
      </c>
      <c r="AK33" s="330">
        <f t="shared" si="36"/>
        <v>0</v>
      </c>
      <c r="AL33" s="330">
        <f t="shared" si="26"/>
        <v>0</v>
      </c>
      <c r="AM33" s="330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9">
        <f t="shared" si="27"/>
        <v>44132</v>
      </c>
      <c r="AS33" s="429">
        <f t="shared" si="48"/>
        <v>0.9</v>
      </c>
      <c r="AT33" s="202">
        <f t="shared" si="48"/>
        <v>0</v>
      </c>
      <c r="AU33" s="430">
        <f t="shared" si="41"/>
        <v>1.1000000000000001</v>
      </c>
      <c r="AV33" s="202">
        <f t="shared" si="43"/>
        <v>46</v>
      </c>
      <c r="AW33" s="5">
        <v>2.9</v>
      </c>
      <c r="AX33" s="202">
        <f t="shared" si="44"/>
        <v>48</v>
      </c>
      <c r="AY33" s="433">
        <f t="shared" si="7"/>
        <v>0</v>
      </c>
      <c r="AZ33" s="433">
        <f t="shared" si="28"/>
        <v>50.6</v>
      </c>
      <c r="BA33" s="433">
        <f t="shared" si="29"/>
        <v>139.19999999999999</v>
      </c>
      <c r="BB33" s="21">
        <f t="shared" si="30"/>
        <v>0</v>
      </c>
      <c r="BC33" s="21">
        <f t="shared" si="30"/>
        <v>0</v>
      </c>
      <c r="BD33" s="21">
        <f t="shared" si="30"/>
        <v>0</v>
      </c>
      <c r="BE33" s="24">
        <f t="shared" si="32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44133</v>
      </c>
      <c r="B34" s="5">
        <f t="shared" si="10"/>
        <v>109096</v>
      </c>
      <c r="C34" s="5">
        <f t="shared" si="11"/>
        <v>0</v>
      </c>
      <c r="D34" s="424">
        <f t="shared" si="12"/>
        <v>0</v>
      </c>
      <c r="E34" s="336">
        <f>SUM((C34*$E$4)+(7500/'EDl log'!$A$38))</f>
        <v>241.93548387096774</v>
      </c>
      <c r="F34" s="330"/>
      <c r="G34" s="5">
        <f t="shared" si="33"/>
        <v>608930</v>
      </c>
      <c r="H34" s="5">
        <f t="shared" si="13"/>
        <v>0</v>
      </c>
      <c r="I34" s="5">
        <f t="shared" si="0"/>
        <v>0</v>
      </c>
      <c r="J34" s="337">
        <f t="shared" si="1"/>
        <v>0</v>
      </c>
      <c r="K34" s="5">
        <f>'Swimming Pool quality check '!H34</f>
        <v>6555</v>
      </c>
      <c r="L34" s="276">
        <f t="shared" si="37"/>
        <v>0</v>
      </c>
      <c r="M34" s="415">
        <f t="shared" si="14"/>
        <v>457.44</v>
      </c>
      <c r="N34" s="522">
        <f t="shared" si="45"/>
        <v>0</v>
      </c>
      <c r="O34" s="415">
        <f t="shared" si="15"/>
        <v>529.52</v>
      </c>
      <c r="P34" s="522">
        <f t="shared" si="46"/>
        <v>0</v>
      </c>
      <c r="Q34" s="522">
        <f t="shared" si="47"/>
        <v>0</v>
      </c>
      <c r="R34" s="524"/>
      <c r="S34" s="524"/>
      <c r="T34" s="5">
        <f t="shared" si="42"/>
        <v>5135</v>
      </c>
      <c r="U34" s="5">
        <f t="shared" si="4"/>
        <v>0</v>
      </c>
      <c r="V34" s="5">
        <f t="shared" si="16"/>
        <v>452</v>
      </c>
      <c r="W34" s="327">
        <f t="shared" si="17"/>
        <v>0</v>
      </c>
      <c r="X34" s="5">
        <f t="shared" si="38"/>
        <v>147726</v>
      </c>
      <c r="Y34" s="327">
        <f t="shared" si="39"/>
        <v>0</v>
      </c>
      <c r="Z34" s="5">
        <f t="shared" si="40"/>
        <v>97117</v>
      </c>
      <c r="AA34" s="83">
        <f t="shared" si="18"/>
        <v>0</v>
      </c>
      <c r="AB34" s="5">
        <f t="shared" si="34"/>
        <v>260</v>
      </c>
      <c r="AC34" s="5">
        <f t="shared" si="19"/>
        <v>698</v>
      </c>
      <c r="AD34" s="83">
        <f t="shared" si="35"/>
        <v>0</v>
      </c>
      <c r="AE34" s="5">
        <f t="shared" si="20"/>
        <v>217.84</v>
      </c>
      <c r="AF34" s="83">
        <f t="shared" si="21"/>
        <v>0</v>
      </c>
      <c r="AG34" s="5">
        <f t="shared" si="22"/>
        <v>2176.58</v>
      </c>
      <c r="AH34" s="83">
        <f t="shared" si="23"/>
        <v>0</v>
      </c>
      <c r="AI34" s="83">
        <f t="shared" si="24"/>
        <v>0</v>
      </c>
      <c r="AJ34" s="329">
        <f t="shared" si="25"/>
        <v>0</v>
      </c>
      <c r="AK34" s="330">
        <f t="shared" si="36"/>
        <v>0</v>
      </c>
      <c r="AL34" s="330">
        <f t="shared" si="26"/>
        <v>0</v>
      </c>
      <c r="AM34" s="330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9">
        <f t="shared" si="27"/>
        <v>44133</v>
      </c>
      <c r="AS34" s="429">
        <f t="shared" si="48"/>
        <v>0.9</v>
      </c>
      <c r="AT34" s="202">
        <f t="shared" si="48"/>
        <v>0</v>
      </c>
      <c r="AU34" s="431">
        <f t="shared" si="41"/>
        <v>1.1000000000000001</v>
      </c>
      <c r="AV34" s="202">
        <f t="shared" si="43"/>
        <v>46</v>
      </c>
      <c r="AW34" s="5">
        <v>2.9</v>
      </c>
      <c r="AX34" s="202">
        <f t="shared" si="44"/>
        <v>48</v>
      </c>
      <c r="AY34" s="433">
        <f t="shared" si="7"/>
        <v>0</v>
      </c>
      <c r="AZ34" s="433">
        <f t="shared" si="28"/>
        <v>50.6</v>
      </c>
      <c r="BA34" s="433">
        <f t="shared" si="29"/>
        <v>139.19999999999999</v>
      </c>
      <c r="BB34" s="21">
        <f t="shared" si="30"/>
        <v>0</v>
      </c>
      <c r="BC34" s="21">
        <f t="shared" si="30"/>
        <v>0</v>
      </c>
      <c r="BD34" s="21">
        <f t="shared" si="30"/>
        <v>0</v>
      </c>
      <c r="BE34" s="24">
        <f t="shared" si="32"/>
        <v>0</v>
      </c>
      <c r="BF34" s="96">
        <f t="shared" si="8"/>
        <v>0</v>
      </c>
      <c r="BG34" s="82">
        <f t="shared" si="9"/>
        <v>0</v>
      </c>
    </row>
    <row r="35" spans="1:59" ht="15.75" thickBot="1">
      <c r="A35" s="6">
        <f>ELEC!C32</f>
        <v>44134</v>
      </c>
      <c r="B35" s="5">
        <f t="shared" si="10"/>
        <v>109096</v>
      </c>
      <c r="C35" s="5">
        <f t="shared" si="11"/>
        <v>0</v>
      </c>
      <c r="D35" s="424">
        <f t="shared" si="12"/>
        <v>0</v>
      </c>
      <c r="E35" s="336">
        <f>SUM((C35*$E$4)+(7500/'EDl log'!$A$38))</f>
        <v>241.93548387096774</v>
      </c>
      <c r="F35" s="330"/>
      <c r="G35" s="5">
        <f t="shared" si="33"/>
        <v>608930</v>
      </c>
      <c r="H35" s="5">
        <f t="shared" si="13"/>
        <v>0</v>
      </c>
      <c r="I35" s="5">
        <f t="shared" si="0"/>
        <v>0</v>
      </c>
      <c r="J35" s="337">
        <f t="shared" si="1"/>
        <v>0</v>
      </c>
      <c r="K35" s="5">
        <f>'Swimming Pool quality check '!H35</f>
        <v>6555</v>
      </c>
      <c r="L35" s="83">
        <f t="shared" si="37"/>
        <v>0</v>
      </c>
      <c r="M35" s="415">
        <f t="shared" si="14"/>
        <v>457.44</v>
      </c>
      <c r="N35" s="522">
        <f t="shared" si="45"/>
        <v>0</v>
      </c>
      <c r="O35" s="415">
        <f t="shared" si="15"/>
        <v>529.52</v>
      </c>
      <c r="P35" s="522">
        <f t="shared" si="46"/>
        <v>0</v>
      </c>
      <c r="Q35" s="522">
        <f t="shared" si="47"/>
        <v>0</v>
      </c>
      <c r="R35" s="522"/>
      <c r="S35" s="522"/>
      <c r="T35" s="5">
        <f t="shared" si="42"/>
        <v>5135</v>
      </c>
      <c r="U35" s="5">
        <f t="shared" si="4"/>
        <v>0</v>
      </c>
      <c r="V35" s="5">
        <f t="shared" si="16"/>
        <v>452</v>
      </c>
      <c r="W35" s="327">
        <f t="shared" si="17"/>
        <v>0</v>
      </c>
      <c r="X35" s="5">
        <f t="shared" si="38"/>
        <v>147726</v>
      </c>
      <c r="Y35" s="327">
        <f t="shared" si="39"/>
        <v>0</v>
      </c>
      <c r="Z35" s="5">
        <f t="shared" si="40"/>
        <v>97117</v>
      </c>
      <c r="AA35" s="83">
        <f t="shared" si="18"/>
        <v>0</v>
      </c>
      <c r="AB35" s="5">
        <f t="shared" si="34"/>
        <v>260</v>
      </c>
      <c r="AC35" s="5">
        <f t="shared" si="19"/>
        <v>698</v>
      </c>
      <c r="AD35" s="83">
        <f t="shared" si="35"/>
        <v>0</v>
      </c>
      <c r="AE35" s="5">
        <f t="shared" si="20"/>
        <v>217.84</v>
      </c>
      <c r="AF35" s="83">
        <f t="shared" si="21"/>
        <v>0</v>
      </c>
      <c r="AG35" s="5">
        <f t="shared" si="22"/>
        <v>2176.58</v>
      </c>
      <c r="AH35" s="83">
        <f t="shared" si="23"/>
        <v>0</v>
      </c>
      <c r="AI35" s="83">
        <f t="shared" si="24"/>
        <v>0</v>
      </c>
      <c r="AJ35" s="329">
        <f t="shared" si="25"/>
        <v>0</v>
      </c>
      <c r="AK35" s="330">
        <f t="shared" si="36"/>
        <v>0</v>
      </c>
      <c r="AL35" s="330">
        <f t="shared" si="26"/>
        <v>0</v>
      </c>
      <c r="AM35" s="330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9">
        <f t="shared" si="27"/>
        <v>44134</v>
      </c>
      <c r="AS35" s="429">
        <f t="shared" si="48"/>
        <v>0.9</v>
      </c>
      <c r="AT35" s="202">
        <f t="shared" si="48"/>
        <v>0</v>
      </c>
      <c r="AU35" s="432">
        <f t="shared" si="41"/>
        <v>1.1000000000000001</v>
      </c>
      <c r="AV35" s="202">
        <f t="shared" si="43"/>
        <v>46</v>
      </c>
      <c r="AW35" s="5">
        <v>2.9</v>
      </c>
      <c r="AX35" s="202">
        <f t="shared" si="44"/>
        <v>48</v>
      </c>
      <c r="AY35" s="433">
        <f t="shared" si="7"/>
        <v>0</v>
      </c>
      <c r="AZ35" s="433">
        <f t="shared" si="28"/>
        <v>50.6</v>
      </c>
      <c r="BA35" s="433">
        <f t="shared" si="29"/>
        <v>139.19999999999999</v>
      </c>
      <c r="BB35" s="21">
        <f t="shared" si="30"/>
        <v>0</v>
      </c>
      <c r="BC35" s="228">
        <f t="shared" si="30"/>
        <v>0</v>
      </c>
      <c r="BD35" s="228">
        <f t="shared" si="30"/>
        <v>0</v>
      </c>
      <c r="BE35" s="24">
        <f t="shared" si="32"/>
        <v>0</v>
      </c>
      <c r="BF35" s="96">
        <f t="shared" si="8"/>
        <v>0</v>
      </c>
      <c r="BG35" s="82">
        <f t="shared" si="9"/>
        <v>0</v>
      </c>
    </row>
    <row r="36" spans="1:59" ht="15.75" thickBot="1">
      <c r="A36" s="6">
        <f>ELEC!C33</f>
        <v>44135</v>
      </c>
      <c r="B36" s="5">
        <f t="shared" si="10"/>
        <v>109096</v>
      </c>
      <c r="C36" s="5">
        <f t="shared" ref="C36" si="49">B36-B35</f>
        <v>0</v>
      </c>
      <c r="D36" s="424">
        <f t="shared" ref="D36" si="50">C36/27</f>
        <v>0</v>
      </c>
      <c r="E36" s="336">
        <f>SUM((C36*$E$4)+(7500/'EDl log'!$A$38))</f>
        <v>241.93548387096774</v>
      </c>
      <c r="F36" s="330"/>
      <c r="G36" s="5">
        <f t="shared" si="33"/>
        <v>608930</v>
      </c>
      <c r="H36" s="5">
        <f t="shared" ref="H36" si="51">G36-G35</f>
        <v>0</v>
      </c>
      <c r="I36" s="5">
        <f t="shared" ref="I36" si="52">C36+H36</f>
        <v>0</v>
      </c>
      <c r="J36" s="337">
        <f t="shared" ref="J36" si="53">IF(I36&gt;0,E36/I36,0)</f>
        <v>0</v>
      </c>
      <c r="K36" s="5">
        <f>'Swimming Pool quality check '!H36</f>
        <v>6555</v>
      </c>
      <c r="L36" s="83">
        <f t="shared" ref="L36" si="54">K36-K35</f>
        <v>0</v>
      </c>
      <c r="M36" s="415">
        <f t="shared" si="14"/>
        <v>457.44</v>
      </c>
      <c r="N36" s="522">
        <f t="shared" ref="N36" si="55">SUM(M36-M35)</f>
        <v>0</v>
      </c>
      <c r="O36" s="415">
        <f t="shared" si="15"/>
        <v>529.52</v>
      </c>
      <c r="P36" s="522">
        <f t="shared" ref="P36" si="56">SUM(O36-O35)</f>
        <v>0</v>
      </c>
      <c r="Q36" s="522">
        <f t="shared" ref="Q36" si="57">SUM(P36+N36)</f>
        <v>0</v>
      </c>
      <c r="R36" s="522"/>
      <c r="S36" s="522"/>
      <c r="T36" s="5">
        <f t="shared" si="42"/>
        <v>5135</v>
      </c>
      <c r="U36" s="5">
        <f t="shared" ref="U36" si="58">SUM(T36-T35)</f>
        <v>0</v>
      </c>
      <c r="V36" s="5">
        <f t="shared" si="16"/>
        <v>452</v>
      </c>
      <c r="W36" s="327">
        <f t="shared" ref="W36" si="59">+V36-V35</f>
        <v>0</v>
      </c>
      <c r="X36" s="5">
        <f t="shared" si="38"/>
        <v>147726</v>
      </c>
      <c r="Y36" s="327">
        <f t="shared" ref="Y36" si="60">SUM(X36-X35)</f>
        <v>0</v>
      </c>
      <c r="Z36" s="5">
        <f t="shared" si="40"/>
        <v>97117</v>
      </c>
      <c r="AA36" s="83">
        <f t="shared" ref="AA36" si="61">Z36-Z35</f>
        <v>0</v>
      </c>
      <c r="AB36" s="5">
        <f t="shared" ref="AB36" si="62">AB35</f>
        <v>260</v>
      </c>
      <c r="AC36" s="5">
        <f t="shared" si="19"/>
        <v>698</v>
      </c>
      <c r="AD36" s="83">
        <f t="shared" ref="AD36" si="63">AC36-AC35</f>
        <v>0</v>
      </c>
      <c r="AE36" s="5">
        <f t="shared" si="20"/>
        <v>217.84</v>
      </c>
      <c r="AF36" s="83">
        <f t="shared" ref="AF36" si="64">AE36-AE35</f>
        <v>0</v>
      </c>
      <c r="AG36" s="5">
        <f t="shared" si="22"/>
        <v>2176.58</v>
      </c>
      <c r="AH36" s="83">
        <f t="shared" ref="AH36" si="65">AG36-AG35</f>
        <v>0</v>
      </c>
      <c r="AI36" s="83">
        <f t="shared" ref="AI36" si="66">AF36+AH36</f>
        <v>0</v>
      </c>
      <c r="AJ36" s="329">
        <f t="shared" ref="AJ36" si="67">+Z36-Z35</f>
        <v>0</v>
      </c>
      <c r="AK36" s="330">
        <f t="shared" si="36"/>
        <v>0</v>
      </c>
      <c r="AL36" s="330">
        <f t="shared" ref="AL36" si="68">SUM(AJ36-W36)</f>
        <v>0</v>
      </c>
      <c r="AM36" s="330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279">
        <f t="shared" ref="AR36" si="69">A36</f>
        <v>44135</v>
      </c>
      <c r="AS36" s="429">
        <f t="shared" si="48"/>
        <v>0.9</v>
      </c>
      <c r="AT36" s="202">
        <f t="shared" si="48"/>
        <v>0</v>
      </c>
      <c r="AU36" s="432">
        <f t="shared" si="41"/>
        <v>1.1000000000000001</v>
      </c>
      <c r="AV36" s="202">
        <f t="shared" si="43"/>
        <v>46</v>
      </c>
      <c r="AW36" s="5">
        <v>2.9</v>
      </c>
      <c r="AX36" s="202">
        <f t="shared" si="44"/>
        <v>48</v>
      </c>
      <c r="AY36" s="433">
        <f t="shared" ref="AY36" si="70">AS36*AT36</f>
        <v>0</v>
      </c>
      <c r="AZ36" s="433">
        <f t="shared" ref="AZ36" si="71">AU36*AV36</f>
        <v>50.6</v>
      </c>
      <c r="BA36" s="433">
        <f t="shared" ref="BA36" si="72">AW36*AX36</f>
        <v>139.19999999999999</v>
      </c>
      <c r="BB36" s="21">
        <f t="shared" ref="BB36" si="73">AY36-AY35</f>
        <v>0</v>
      </c>
      <c r="BC36" s="228">
        <f t="shared" ref="BC36" si="74">AZ36-AZ35</f>
        <v>0</v>
      </c>
      <c r="BD36" s="228">
        <f t="shared" ref="BD36" si="75">BA36-BA35</f>
        <v>0</v>
      </c>
      <c r="BE36" s="24">
        <f t="shared" ref="BE36" si="76">SUM(BB36:BD36)</f>
        <v>0</v>
      </c>
      <c r="BF36" s="96">
        <f t="shared" ref="BF36" si="77">SUM(I36-BE36)</f>
        <v>0</v>
      </c>
      <c r="BG36" s="82">
        <f t="shared" ref="BG36" si="78">SUM(I36-BF36)</f>
        <v>0</v>
      </c>
    </row>
    <row r="37" spans="1:59">
      <c r="C37" s="417">
        <f>SUM(C6:C35)</f>
        <v>0</v>
      </c>
      <c r="D37" s="325">
        <f>SUM(D6:D35)</f>
        <v>0</v>
      </c>
      <c r="F37" s="419">
        <f>SUM(F6:F35)</f>
        <v>0</v>
      </c>
      <c r="H37" s="417">
        <f>SUM(H6:H35)</f>
        <v>188</v>
      </c>
      <c r="I37" s="417">
        <f>SUM(I6:I35)</f>
        <v>188</v>
      </c>
      <c r="L37" s="270">
        <f>SUM(L7:L35)</f>
        <v>0</v>
      </c>
      <c r="Q37" s="503">
        <f>SUM(Q5:Q35)</f>
        <v>0</v>
      </c>
      <c r="U37" s="414">
        <f>SUM(U6:U35)</f>
        <v>8</v>
      </c>
      <c r="X37" s="326"/>
      <c r="Y37" s="325" t="e">
        <f>SUM(Y35,Y33,Y31,Y29,Y27,Y25,Y23,Y21,Y19,Y17,Y15,Y13,Y11,Y9,Y7+#REF!)</f>
        <v>#REF!</v>
      </c>
      <c r="AJ37" s="325">
        <f>SUM(AJ6:AJ35)</f>
        <v>59</v>
      </c>
      <c r="AK37" s="330" t="e">
        <f t="shared" si="5"/>
        <v>#REF!</v>
      </c>
      <c r="AL37" s="325">
        <f>SUM(AL6:AL35)</f>
        <v>59</v>
      </c>
      <c r="AP37" s="17"/>
      <c r="AQ37" s="17"/>
      <c r="AR37" s="17"/>
      <c r="AS37" s="227"/>
      <c r="AT37" s="5"/>
      <c r="AU37" s="227"/>
      <c r="AV37" s="17"/>
      <c r="AW37" s="229"/>
      <c r="AX37" s="229"/>
      <c r="AY37" s="229"/>
      <c r="AZ37" s="17"/>
      <c r="BA37" s="17"/>
      <c r="BB37" s="17"/>
      <c r="BC37" s="17"/>
      <c r="BD37" s="17"/>
    </row>
    <row r="38" spans="1:59">
      <c r="C38" s="1">
        <f>+C37*1.66</f>
        <v>0</v>
      </c>
      <c r="E38" s="335">
        <f>SUM(E6:E35)</f>
        <v>7258.0645161290331</v>
      </c>
      <c r="F38" s="422">
        <f>SUM(F6:F35)</f>
        <v>0</v>
      </c>
      <c r="H38" s="157">
        <v>7500</v>
      </c>
      <c r="I38" s="418">
        <f>SUM('General information '!G37/WATER!I37)</f>
        <v>0</v>
      </c>
      <c r="L38" s="157"/>
      <c r="O38" s="500">
        <f>SUM(Q37+I37)</f>
        <v>188</v>
      </c>
      <c r="Z38" s="325" t="e">
        <f>SUM(Y37:AJ37)</f>
        <v>#REF!</v>
      </c>
      <c r="AK38" s="330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7">
        <f>9*27</f>
        <v>243</v>
      </c>
      <c r="D39" s="419">
        <f>SUM(D21:D35)</f>
        <v>0</v>
      </c>
      <c r="F39" s="420">
        <f>SUM(F6:F35)</f>
        <v>0</v>
      </c>
      <c r="G39" s="1">
        <f>SUM(I37)</f>
        <v>188</v>
      </c>
      <c r="H39" s="1">
        <f>SUM(H38+C38)</f>
        <v>7500</v>
      </c>
      <c r="K39" s="1">
        <f>SUM(H39/G39)</f>
        <v>39.893617021276597</v>
      </c>
      <c r="AJ39" s="325">
        <f>SUM(C38-AK38)</f>
        <v>0</v>
      </c>
      <c r="AM39" s="350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opLeftCell="A19"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F11" sqref="F11"/>
    </sheetView>
  </sheetViews>
  <sheetFormatPr defaultRowHeight="15"/>
  <cols>
    <col min="1" max="1" width="11.85546875" style="491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30" t="s">
        <v>193</v>
      </c>
      <c r="B1" s="631"/>
      <c r="C1" s="631"/>
      <c r="D1" s="631"/>
      <c r="E1" s="631"/>
      <c r="F1" s="631"/>
      <c r="G1" s="631"/>
      <c r="H1" s="631"/>
      <c r="I1" s="631"/>
      <c r="J1" s="631"/>
      <c r="K1" s="631"/>
      <c r="L1" s="631"/>
      <c r="M1" s="631"/>
      <c r="N1" s="631"/>
      <c r="O1" s="632"/>
    </row>
    <row r="2" spans="1:15" ht="15.75" customHeight="1" thickBot="1">
      <c r="A2" s="633"/>
      <c r="B2" s="634"/>
      <c r="C2" s="634"/>
      <c r="D2" s="634"/>
      <c r="E2" s="634"/>
      <c r="F2" s="634"/>
      <c r="G2" s="634"/>
      <c r="H2" s="634"/>
      <c r="I2" s="634"/>
      <c r="J2" s="634"/>
      <c r="K2" s="634"/>
      <c r="L2" s="634"/>
      <c r="M2" s="634"/>
      <c r="N2" s="634"/>
      <c r="O2" s="635"/>
    </row>
    <row r="3" spans="1:15" ht="9" customHeight="1" thickBot="1">
      <c r="A3" s="488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89"/>
      <c r="B4" s="149" t="s">
        <v>389</v>
      </c>
      <c r="C4" s="150" t="s">
        <v>158</v>
      </c>
      <c r="D4" s="147" t="s">
        <v>160</v>
      </c>
      <c r="E4" s="151" t="s">
        <v>159</v>
      </c>
      <c r="F4" s="511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90">
        <f>ELEC!C2</f>
        <v>44104</v>
      </c>
      <c r="B5" s="360">
        <f>'[1]General information '!B36</f>
        <v>32</v>
      </c>
      <c r="C5" s="360">
        <f>'[1]General information '!C36</f>
        <v>28</v>
      </c>
      <c r="D5" s="360">
        <f>'[1]General information '!D36</f>
        <v>30</v>
      </c>
      <c r="E5" s="588">
        <f>'[1]General information '!E36</f>
        <v>0.76</v>
      </c>
      <c r="F5" s="588">
        <f>'[1]General information '!F36</f>
        <v>0</v>
      </c>
      <c r="G5" s="360">
        <f>'[1]General information '!G36</f>
        <v>0</v>
      </c>
      <c r="H5" s="360">
        <f>'[1]General information '!H36</f>
        <v>0</v>
      </c>
      <c r="I5" s="360">
        <f>'[1]General information '!I36</f>
        <v>0</v>
      </c>
      <c r="J5" s="360">
        <f>'[1]General information '!J36</f>
        <v>0</v>
      </c>
      <c r="K5" s="360">
        <f>'[1]General information '!K36</f>
        <v>0</v>
      </c>
      <c r="L5" s="360">
        <f>'[1]General information '!L36</f>
        <v>0</v>
      </c>
      <c r="M5" s="360">
        <f>'[1]General information '!M36</f>
        <v>0</v>
      </c>
      <c r="N5" s="360">
        <f>'[1]General information '!N36</f>
        <v>0</v>
      </c>
      <c r="O5" s="360">
        <f>'[1]General information '!O36</f>
        <v>0</v>
      </c>
    </row>
    <row r="6" spans="1:15">
      <c r="A6" s="490">
        <f>ELEC!C3</f>
        <v>44105</v>
      </c>
      <c r="B6" s="37">
        <v>30</v>
      </c>
      <c r="C6" s="37">
        <v>25</v>
      </c>
      <c r="D6" s="26">
        <f t="shared" ref="D6:D12" si="0">(C6+B6)/2</f>
        <v>27.5</v>
      </c>
      <c r="E6" s="343">
        <v>0.66</v>
      </c>
      <c r="F6" s="347">
        <v>0</v>
      </c>
      <c r="G6" s="243">
        <f t="shared" ref="G6:G12" si="1">F6*230</f>
        <v>0</v>
      </c>
      <c r="H6" s="3"/>
      <c r="I6" s="3"/>
      <c r="J6" s="37"/>
      <c r="K6" s="265">
        <f t="shared" ref="K6:K26" si="2">+J6+H6</f>
        <v>0</v>
      </c>
      <c r="L6" s="3"/>
      <c r="M6" s="3"/>
      <c r="N6" s="155"/>
      <c r="O6" s="3"/>
    </row>
    <row r="7" spans="1:15">
      <c r="A7" s="490">
        <f>ELEC!C4</f>
        <v>44106</v>
      </c>
      <c r="B7" s="37">
        <v>30</v>
      </c>
      <c r="C7" s="37">
        <v>26</v>
      </c>
      <c r="D7" s="26">
        <f t="shared" si="0"/>
        <v>28</v>
      </c>
      <c r="E7" s="343">
        <v>0.65</v>
      </c>
      <c r="F7" s="398">
        <v>0</v>
      </c>
      <c r="G7" s="243">
        <f t="shared" si="1"/>
        <v>0</v>
      </c>
      <c r="H7" s="3">
        <v>0</v>
      </c>
      <c r="I7" s="3">
        <v>0</v>
      </c>
      <c r="J7" s="37">
        <v>0</v>
      </c>
      <c r="K7" s="265">
        <f t="shared" si="2"/>
        <v>0</v>
      </c>
      <c r="L7" s="3"/>
      <c r="M7" s="3"/>
      <c r="N7" s="155"/>
      <c r="O7" s="3"/>
    </row>
    <row r="8" spans="1:15">
      <c r="A8" s="490">
        <f>ELEC!C5</f>
        <v>44107</v>
      </c>
      <c r="B8" s="37">
        <v>29</v>
      </c>
      <c r="C8" s="37">
        <v>24</v>
      </c>
      <c r="D8" s="26">
        <f t="shared" si="0"/>
        <v>26.5</v>
      </c>
      <c r="E8" s="343">
        <v>0.56999999999999995</v>
      </c>
      <c r="F8" s="343">
        <v>0</v>
      </c>
      <c r="G8" s="243">
        <f t="shared" si="1"/>
        <v>0</v>
      </c>
      <c r="H8" s="3"/>
      <c r="I8" s="3"/>
      <c r="J8" s="37"/>
      <c r="K8" s="265">
        <f t="shared" si="2"/>
        <v>0</v>
      </c>
      <c r="L8" s="3"/>
      <c r="M8" s="170"/>
      <c r="N8" s="155"/>
      <c r="O8" s="3"/>
    </row>
    <row r="9" spans="1:15">
      <c r="A9" s="490">
        <f>ELEC!C6</f>
        <v>44108</v>
      </c>
      <c r="B9" s="37">
        <v>29</v>
      </c>
      <c r="C9" s="37">
        <v>25</v>
      </c>
      <c r="D9" s="26">
        <f>(C9+B9)/2</f>
        <v>27</v>
      </c>
      <c r="E9" s="398">
        <v>0.45</v>
      </c>
      <c r="F9" s="398">
        <v>0</v>
      </c>
      <c r="G9" s="243">
        <f>F9*230</f>
        <v>0</v>
      </c>
      <c r="H9" s="3"/>
      <c r="I9" s="3"/>
      <c r="J9" s="37"/>
      <c r="K9" s="265">
        <f>+J9+H9</f>
        <v>0</v>
      </c>
      <c r="L9" s="3"/>
      <c r="M9" s="3"/>
      <c r="N9" s="155"/>
      <c r="O9" s="3"/>
    </row>
    <row r="10" spans="1:15">
      <c r="A10" s="490">
        <f>ELEC!C7</f>
        <v>44109</v>
      </c>
      <c r="B10" s="37">
        <v>31</v>
      </c>
      <c r="C10" s="37">
        <v>26</v>
      </c>
      <c r="D10" s="26">
        <f t="shared" si="0"/>
        <v>28.5</v>
      </c>
      <c r="E10" s="358">
        <v>0.5</v>
      </c>
      <c r="F10" s="343">
        <v>0</v>
      </c>
      <c r="G10" s="243">
        <f t="shared" si="1"/>
        <v>0</v>
      </c>
      <c r="H10" s="3"/>
      <c r="I10" s="3"/>
      <c r="J10" s="37"/>
      <c r="K10" s="265">
        <f t="shared" si="2"/>
        <v>0</v>
      </c>
      <c r="L10" s="3"/>
      <c r="M10" s="3"/>
      <c r="N10" s="155"/>
      <c r="O10" s="3"/>
    </row>
    <row r="11" spans="1:15">
      <c r="A11" s="490">
        <f>ELEC!C8</f>
        <v>44110</v>
      </c>
      <c r="B11" s="37"/>
      <c r="C11" s="37"/>
      <c r="D11" s="26">
        <f t="shared" si="0"/>
        <v>0</v>
      </c>
      <c r="E11" s="398"/>
      <c r="F11" s="398"/>
      <c r="G11" s="243">
        <f t="shared" si="1"/>
        <v>0</v>
      </c>
      <c r="H11" s="3"/>
      <c r="I11" s="3"/>
      <c r="J11" s="37"/>
      <c r="K11" s="265">
        <f>+J11+H11</f>
        <v>0</v>
      </c>
      <c r="L11" s="3"/>
      <c r="M11" s="3"/>
      <c r="N11" s="155"/>
      <c r="O11" s="3"/>
    </row>
    <row r="12" spans="1:15">
      <c r="A12" s="490">
        <f>ELEC!C9</f>
        <v>44111</v>
      </c>
      <c r="B12" s="37"/>
      <c r="C12" s="37"/>
      <c r="D12" s="26">
        <f t="shared" si="0"/>
        <v>0</v>
      </c>
      <c r="E12" s="398"/>
      <c r="F12" s="398"/>
      <c r="G12" s="243">
        <f t="shared" si="1"/>
        <v>0</v>
      </c>
      <c r="H12" s="3"/>
      <c r="I12" s="3"/>
      <c r="J12" s="37"/>
      <c r="K12" s="265">
        <f t="shared" si="2"/>
        <v>0</v>
      </c>
      <c r="L12" s="3"/>
      <c r="M12" s="3"/>
      <c r="N12" s="155"/>
      <c r="O12" s="3"/>
    </row>
    <row r="13" spans="1:15">
      <c r="A13" s="490">
        <f>ELEC!C10</f>
        <v>44112</v>
      </c>
      <c r="B13" s="37"/>
      <c r="C13" s="37"/>
      <c r="D13" s="26">
        <f>(C13+B13)/2</f>
        <v>0</v>
      </c>
      <c r="E13" s="358"/>
      <c r="F13" s="398"/>
      <c r="G13" s="243">
        <f>F13*230</f>
        <v>0</v>
      </c>
      <c r="H13" s="3"/>
      <c r="I13" s="3"/>
      <c r="J13" s="37"/>
      <c r="K13" s="265">
        <f t="shared" si="2"/>
        <v>0</v>
      </c>
      <c r="L13" s="3"/>
      <c r="M13" s="3"/>
      <c r="N13" s="155"/>
      <c r="O13" s="3"/>
    </row>
    <row r="14" spans="1:15">
      <c r="A14" s="490">
        <f>ELEC!C11</f>
        <v>44113</v>
      </c>
      <c r="B14" s="37"/>
      <c r="C14" s="37"/>
      <c r="D14" s="26">
        <f t="shared" ref="D14:D34" si="3">(C14+B14)/2</f>
        <v>0</v>
      </c>
      <c r="E14" s="343"/>
      <c r="F14" s="343"/>
      <c r="G14" s="243">
        <f t="shared" ref="G14:G34" si="4">F14*230</f>
        <v>0</v>
      </c>
      <c r="H14" s="3"/>
      <c r="I14" s="3"/>
      <c r="J14" s="37"/>
      <c r="K14" s="265">
        <f t="shared" si="2"/>
        <v>0</v>
      </c>
      <c r="L14" s="3"/>
      <c r="M14" s="3"/>
      <c r="N14" s="155"/>
      <c r="O14" s="3"/>
    </row>
    <row r="15" spans="1:15">
      <c r="A15" s="490">
        <f>ELEC!C12</f>
        <v>44114</v>
      </c>
      <c r="B15" s="37"/>
      <c r="C15" s="37"/>
      <c r="D15" s="26">
        <f t="shared" si="3"/>
        <v>0</v>
      </c>
      <c r="E15" s="343"/>
      <c r="F15" s="343"/>
      <c r="G15" s="243">
        <f>F15*230</f>
        <v>0</v>
      </c>
      <c r="H15" s="3"/>
      <c r="I15" s="3"/>
      <c r="J15" s="37"/>
      <c r="K15" s="265">
        <f>+J15+H15</f>
        <v>0</v>
      </c>
      <c r="L15" s="3"/>
      <c r="M15" s="3"/>
      <c r="N15" s="155"/>
      <c r="O15" s="3"/>
    </row>
    <row r="16" spans="1:15">
      <c r="A16" s="490">
        <f>ELEC!C13</f>
        <v>44115</v>
      </c>
      <c r="B16" s="37"/>
      <c r="C16" s="37"/>
      <c r="D16" s="26">
        <f t="shared" si="3"/>
        <v>0</v>
      </c>
      <c r="E16" s="343"/>
      <c r="F16" s="343"/>
      <c r="G16" s="243">
        <f t="shared" si="4"/>
        <v>0</v>
      </c>
      <c r="H16" s="3"/>
      <c r="I16" s="3"/>
      <c r="J16" s="37"/>
      <c r="K16" s="265">
        <f>+J16+H16</f>
        <v>0</v>
      </c>
      <c r="L16" s="3"/>
      <c r="M16" s="3"/>
      <c r="N16" s="155"/>
      <c r="O16" s="3"/>
    </row>
    <row r="17" spans="1:15">
      <c r="A17" s="490">
        <f>ELEC!C14</f>
        <v>44116</v>
      </c>
      <c r="B17" s="37"/>
      <c r="C17" s="37"/>
      <c r="D17" s="26">
        <f t="shared" si="3"/>
        <v>0</v>
      </c>
      <c r="E17" s="343"/>
      <c r="F17" s="343"/>
      <c r="G17" s="243">
        <f t="shared" si="4"/>
        <v>0</v>
      </c>
      <c r="H17" s="3"/>
      <c r="I17" s="3"/>
      <c r="J17" s="37"/>
      <c r="K17" s="265">
        <f t="shared" si="2"/>
        <v>0</v>
      </c>
      <c r="L17" s="3"/>
      <c r="M17" s="3"/>
      <c r="N17" s="155"/>
      <c r="O17" s="3"/>
    </row>
    <row r="18" spans="1:15">
      <c r="A18" s="490">
        <f>ELEC!C15</f>
        <v>44117</v>
      </c>
      <c r="B18" s="37"/>
      <c r="C18" s="37"/>
      <c r="D18" s="26">
        <f t="shared" si="3"/>
        <v>0</v>
      </c>
      <c r="E18" s="434"/>
      <c r="F18" s="343"/>
      <c r="G18" s="243">
        <f t="shared" si="4"/>
        <v>0</v>
      </c>
      <c r="H18" s="3"/>
      <c r="I18" s="3"/>
      <c r="J18" s="37"/>
      <c r="K18" s="265">
        <f t="shared" si="2"/>
        <v>0</v>
      </c>
      <c r="L18" s="3"/>
      <c r="M18" s="3"/>
      <c r="N18" s="155"/>
      <c r="O18" s="3"/>
    </row>
    <row r="19" spans="1:15">
      <c r="A19" s="490">
        <f>ELEC!C16</f>
        <v>44118</v>
      </c>
      <c r="B19" s="37"/>
      <c r="C19" s="37"/>
      <c r="D19" s="26">
        <f t="shared" si="3"/>
        <v>0</v>
      </c>
      <c r="E19" s="343"/>
      <c r="F19" s="343"/>
      <c r="G19" s="243">
        <v>0</v>
      </c>
      <c r="H19" s="3"/>
      <c r="I19" s="3"/>
      <c r="J19" s="37"/>
      <c r="K19" s="265">
        <f t="shared" si="2"/>
        <v>0</v>
      </c>
      <c r="L19" s="3"/>
      <c r="M19" s="3"/>
      <c r="N19" s="155"/>
      <c r="O19" s="3"/>
    </row>
    <row r="20" spans="1:15">
      <c r="A20" s="490">
        <f>ELEC!C17</f>
        <v>44119</v>
      </c>
      <c r="B20" s="37"/>
      <c r="C20" s="37"/>
      <c r="D20" s="26">
        <f t="shared" si="3"/>
        <v>0</v>
      </c>
      <c r="E20" s="343"/>
      <c r="F20" s="343"/>
      <c r="G20" s="243">
        <f t="shared" si="4"/>
        <v>0</v>
      </c>
      <c r="H20" s="3"/>
      <c r="I20" s="3"/>
      <c r="J20" s="37"/>
      <c r="K20" s="265">
        <f t="shared" si="2"/>
        <v>0</v>
      </c>
      <c r="L20" s="3"/>
      <c r="M20" s="3"/>
      <c r="N20" s="155"/>
      <c r="O20" s="3"/>
    </row>
    <row r="21" spans="1:15">
      <c r="A21" s="490">
        <f>ELEC!C18</f>
        <v>44120</v>
      </c>
      <c r="B21" s="37"/>
      <c r="C21" s="37"/>
      <c r="D21" s="26">
        <f>(C21+B21)/2</f>
        <v>0</v>
      </c>
      <c r="E21" s="343"/>
      <c r="F21" s="398"/>
      <c r="G21" s="243">
        <f t="shared" si="4"/>
        <v>0</v>
      </c>
      <c r="H21" s="3"/>
      <c r="I21" s="3"/>
      <c r="J21" s="37"/>
      <c r="K21" s="265">
        <f t="shared" si="2"/>
        <v>0</v>
      </c>
      <c r="L21" s="3"/>
      <c r="M21" s="3"/>
      <c r="N21" s="155"/>
      <c r="O21" s="3"/>
    </row>
    <row r="22" spans="1:15">
      <c r="A22" s="490">
        <f>ELEC!C19</f>
        <v>44121</v>
      </c>
      <c r="B22" s="37"/>
      <c r="C22" s="37"/>
      <c r="D22" s="26">
        <f t="shared" si="3"/>
        <v>0</v>
      </c>
      <c r="E22" s="343"/>
      <c r="F22" s="398"/>
      <c r="G22" s="243">
        <f t="shared" si="4"/>
        <v>0</v>
      </c>
      <c r="H22" s="3"/>
      <c r="I22" s="3"/>
      <c r="J22" s="37"/>
      <c r="K22" s="265">
        <f t="shared" si="2"/>
        <v>0</v>
      </c>
      <c r="L22" s="3"/>
      <c r="M22" s="3"/>
      <c r="N22" s="155"/>
      <c r="O22" s="3"/>
    </row>
    <row r="23" spans="1:15">
      <c r="A23" s="490">
        <f>ELEC!C20</f>
        <v>44122</v>
      </c>
      <c r="B23" s="37"/>
      <c r="C23" s="37"/>
      <c r="D23" s="26">
        <f>(C23+B23)/2</f>
        <v>0</v>
      </c>
      <c r="E23" s="343"/>
      <c r="F23" s="398"/>
      <c r="G23" s="243">
        <f t="shared" si="4"/>
        <v>0</v>
      </c>
      <c r="H23" s="3"/>
      <c r="I23" s="3"/>
      <c r="J23" s="37"/>
      <c r="K23" s="265">
        <f t="shared" si="2"/>
        <v>0</v>
      </c>
      <c r="L23" s="3"/>
      <c r="M23" s="3"/>
      <c r="N23" s="155"/>
      <c r="O23" s="3"/>
    </row>
    <row r="24" spans="1:15">
      <c r="A24" s="490">
        <f>ELEC!C21</f>
        <v>44123</v>
      </c>
      <c r="B24" s="37"/>
      <c r="C24" s="37"/>
      <c r="D24" s="26">
        <f t="shared" si="3"/>
        <v>0</v>
      </c>
      <c r="E24" s="343"/>
      <c r="F24" s="343"/>
      <c r="G24" s="243">
        <f t="shared" si="4"/>
        <v>0</v>
      </c>
      <c r="H24" s="3"/>
      <c r="I24" s="3"/>
      <c r="J24" s="37"/>
      <c r="K24" s="265">
        <f t="shared" si="2"/>
        <v>0</v>
      </c>
      <c r="L24" s="3"/>
      <c r="M24" s="3"/>
      <c r="N24" s="155"/>
      <c r="O24" s="3"/>
    </row>
    <row r="25" spans="1:15">
      <c r="A25" s="490">
        <f>ELEC!C22</f>
        <v>44124</v>
      </c>
      <c r="B25" s="37"/>
      <c r="C25" s="37"/>
      <c r="D25" s="26">
        <f t="shared" si="3"/>
        <v>0</v>
      </c>
      <c r="E25" s="343"/>
      <c r="F25" s="343"/>
      <c r="G25" s="243">
        <f t="shared" si="4"/>
        <v>0</v>
      </c>
      <c r="H25" s="3"/>
      <c r="I25" s="3"/>
      <c r="J25" s="37"/>
      <c r="K25" s="265">
        <f t="shared" si="2"/>
        <v>0</v>
      </c>
      <c r="L25" s="3"/>
      <c r="M25" s="3"/>
      <c r="N25" s="155"/>
      <c r="O25" s="3"/>
    </row>
    <row r="26" spans="1:15">
      <c r="A26" s="490">
        <f>ELEC!C23</f>
        <v>44125</v>
      </c>
      <c r="B26" s="37"/>
      <c r="C26" s="37"/>
      <c r="D26" s="26">
        <f>(C26+B26)/2</f>
        <v>0</v>
      </c>
      <c r="E26" s="343"/>
      <c r="F26" s="343"/>
      <c r="G26" s="243">
        <f t="shared" si="4"/>
        <v>0</v>
      </c>
      <c r="H26" s="3"/>
      <c r="I26" s="3"/>
      <c r="J26" s="37"/>
      <c r="K26" s="265">
        <f t="shared" si="2"/>
        <v>0</v>
      </c>
      <c r="L26" s="3"/>
      <c r="M26" s="3"/>
      <c r="N26" s="155"/>
      <c r="O26" s="3"/>
    </row>
    <row r="27" spans="1:15">
      <c r="A27" s="490">
        <f>ELEC!C24</f>
        <v>44126</v>
      </c>
      <c r="B27" s="37"/>
      <c r="C27" s="37"/>
      <c r="D27" s="26">
        <f t="shared" si="3"/>
        <v>0</v>
      </c>
      <c r="E27" s="343"/>
      <c r="F27" s="343"/>
      <c r="G27" s="243">
        <f t="shared" si="4"/>
        <v>0</v>
      </c>
      <c r="H27" s="3"/>
      <c r="I27" s="3"/>
      <c r="J27" s="37"/>
      <c r="K27" s="265">
        <f>+J27+H27+I27</f>
        <v>0</v>
      </c>
      <c r="L27" s="3"/>
      <c r="M27" s="3"/>
      <c r="N27" s="155"/>
      <c r="O27" s="3"/>
    </row>
    <row r="28" spans="1:15">
      <c r="A28" s="490">
        <f>ELEC!C25</f>
        <v>44127</v>
      </c>
      <c r="B28" s="37"/>
      <c r="C28" s="37"/>
      <c r="D28" s="26">
        <f t="shared" si="3"/>
        <v>0</v>
      </c>
      <c r="E28" s="343"/>
      <c r="F28" s="343"/>
      <c r="G28" s="243">
        <f t="shared" si="4"/>
        <v>0</v>
      </c>
      <c r="H28" s="3"/>
      <c r="I28" s="3"/>
      <c r="J28" s="37"/>
      <c r="K28" s="265">
        <f t="shared" ref="K28:K34" si="5">+J28+H28+I28</f>
        <v>0</v>
      </c>
      <c r="L28" s="3"/>
      <c r="M28" s="3"/>
      <c r="N28" s="155"/>
      <c r="O28" s="3"/>
    </row>
    <row r="29" spans="1:15">
      <c r="A29" s="490">
        <f>ELEC!C26</f>
        <v>44128</v>
      </c>
      <c r="B29" s="37"/>
      <c r="C29" s="37"/>
      <c r="D29" s="26">
        <f t="shared" si="3"/>
        <v>0</v>
      </c>
      <c r="E29" s="343"/>
      <c r="F29" s="343"/>
      <c r="G29" s="243">
        <f t="shared" si="4"/>
        <v>0</v>
      </c>
      <c r="H29" s="3"/>
      <c r="I29" s="3"/>
      <c r="J29" s="37"/>
      <c r="K29" s="265">
        <f t="shared" si="5"/>
        <v>0</v>
      </c>
      <c r="L29" s="3"/>
      <c r="M29" s="3"/>
      <c r="N29" s="155"/>
      <c r="O29" s="3"/>
    </row>
    <row r="30" spans="1:15">
      <c r="A30" s="490">
        <f>ELEC!C27</f>
        <v>44129</v>
      </c>
      <c r="B30" s="37"/>
      <c r="C30" s="37"/>
      <c r="D30" s="26">
        <f t="shared" si="3"/>
        <v>0</v>
      </c>
      <c r="E30" s="343"/>
      <c r="F30" s="398"/>
      <c r="G30" s="243">
        <f t="shared" si="4"/>
        <v>0</v>
      </c>
      <c r="H30" s="3"/>
      <c r="I30" s="3"/>
      <c r="J30" s="37"/>
      <c r="K30" s="265">
        <f t="shared" si="5"/>
        <v>0</v>
      </c>
      <c r="L30" s="3"/>
      <c r="M30" s="3"/>
      <c r="N30" s="155"/>
      <c r="O30" s="3"/>
    </row>
    <row r="31" spans="1:15">
      <c r="A31" s="490">
        <f>ELEC!C28</f>
        <v>44130</v>
      </c>
      <c r="B31" s="37"/>
      <c r="C31" s="37"/>
      <c r="D31" s="3">
        <f t="shared" si="3"/>
        <v>0</v>
      </c>
      <c r="E31" s="344"/>
      <c r="F31" s="283"/>
      <c r="G31" s="243">
        <f t="shared" si="4"/>
        <v>0</v>
      </c>
      <c r="H31" s="3"/>
      <c r="I31" s="3"/>
      <c r="J31" s="37"/>
      <c r="K31" s="265">
        <f t="shared" si="5"/>
        <v>0</v>
      </c>
      <c r="L31" s="3"/>
      <c r="M31" s="3"/>
      <c r="N31" s="155"/>
      <c r="O31" s="3"/>
    </row>
    <row r="32" spans="1:15">
      <c r="A32" s="490">
        <f>ELEC!C29</f>
        <v>44131</v>
      </c>
      <c r="B32" s="37"/>
      <c r="C32" s="37"/>
      <c r="D32" s="282">
        <f>(C32+B32)/2</f>
        <v>0</v>
      </c>
      <c r="E32" s="344"/>
      <c r="F32" s="346"/>
      <c r="G32" s="243">
        <f t="shared" si="4"/>
        <v>0</v>
      </c>
      <c r="H32" s="3"/>
      <c r="I32" s="3"/>
      <c r="J32" s="37"/>
      <c r="K32" s="265">
        <f t="shared" si="5"/>
        <v>0</v>
      </c>
      <c r="L32" s="3"/>
      <c r="M32" s="3"/>
      <c r="N32" s="155"/>
      <c r="O32" s="3"/>
    </row>
    <row r="33" spans="1:15">
      <c r="A33" s="490">
        <f>ELEC!C30</f>
        <v>44132</v>
      </c>
      <c r="B33" s="37"/>
      <c r="C33" s="37"/>
      <c r="D33" s="26">
        <f t="shared" si="3"/>
        <v>0</v>
      </c>
      <c r="E33" s="343"/>
      <c r="F33" s="343"/>
      <c r="G33" s="243">
        <f t="shared" si="4"/>
        <v>0</v>
      </c>
      <c r="H33" s="3"/>
      <c r="I33" s="3"/>
      <c r="J33" s="37"/>
      <c r="K33" s="265">
        <f t="shared" si="5"/>
        <v>0</v>
      </c>
      <c r="L33" s="3"/>
      <c r="M33" s="3"/>
      <c r="N33" s="155"/>
      <c r="O33" s="3"/>
    </row>
    <row r="34" spans="1:15">
      <c r="A34" s="490">
        <f>ELEC!C31</f>
        <v>44133</v>
      </c>
      <c r="B34" s="37"/>
      <c r="C34" s="37"/>
      <c r="D34" s="26">
        <f t="shared" si="3"/>
        <v>0</v>
      </c>
      <c r="E34" s="343"/>
      <c r="F34" s="343"/>
      <c r="G34" s="243">
        <f t="shared" si="4"/>
        <v>0</v>
      </c>
      <c r="H34" s="3"/>
      <c r="I34" s="3"/>
      <c r="J34" s="37"/>
      <c r="K34" s="265">
        <f t="shared" si="5"/>
        <v>0</v>
      </c>
      <c r="L34" s="3"/>
      <c r="M34" s="3"/>
      <c r="N34" s="155"/>
      <c r="O34" s="3"/>
    </row>
    <row r="35" spans="1:15">
      <c r="A35" s="490">
        <f>ELEC!C32</f>
        <v>44134</v>
      </c>
      <c r="B35" s="37"/>
      <c r="C35" s="37"/>
      <c r="D35" s="26">
        <f t="shared" ref="D35" si="6">(C35+B35)/2</f>
        <v>0</v>
      </c>
      <c r="E35" s="398"/>
      <c r="F35" s="398"/>
      <c r="G35" s="243">
        <f t="shared" ref="G35" si="7">F35*230</f>
        <v>0</v>
      </c>
      <c r="H35" s="3"/>
      <c r="I35" s="3"/>
      <c r="J35" s="37"/>
      <c r="K35" s="265">
        <f t="shared" ref="K35" si="8">+J35+H35+I35</f>
        <v>0</v>
      </c>
      <c r="L35" s="3"/>
      <c r="M35" s="3"/>
      <c r="N35" s="155"/>
      <c r="O35" s="3"/>
    </row>
    <row r="36" spans="1:15">
      <c r="A36" s="490">
        <f>ELEC!C33</f>
        <v>44135</v>
      </c>
      <c r="B36" s="37"/>
      <c r="C36" s="37"/>
      <c r="D36" s="26">
        <f t="shared" ref="D36" si="9">(C36+B36)/2</f>
        <v>0</v>
      </c>
      <c r="E36" s="398"/>
      <c r="F36" s="398"/>
      <c r="G36" s="243">
        <f t="shared" ref="G36" si="10">F36*230</f>
        <v>0</v>
      </c>
      <c r="H36" s="3"/>
      <c r="I36" s="3"/>
      <c r="J36" s="37"/>
      <c r="K36" s="265">
        <f t="shared" ref="K36" si="11">+J36+H36+I36</f>
        <v>0</v>
      </c>
      <c r="L36" s="3"/>
      <c r="M36" s="3"/>
      <c r="N36" s="155"/>
      <c r="O36" s="3"/>
    </row>
    <row r="37" spans="1:15">
      <c r="D37" s="263"/>
      <c r="F37" s="538">
        <f>AVERAGE(F6:F35)</f>
        <v>0</v>
      </c>
      <c r="G37" s="204">
        <f>SUM(G6:G35)</f>
        <v>0</v>
      </c>
    </row>
    <row r="38" spans="1:15">
      <c r="D38" s="263">
        <f>SUM(D6:D35)/'EDl log'!A36</f>
        <v>27.5</v>
      </c>
      <c r="F38" s="212"/>
    </row>
    <row r="41" spans="1:15">
      <c r="I41" s="416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2"/>
  <sheetViews>
    <sheetView tabSelected="1" topLeftCell="A2" zoomScale="90" zoomScaleNormal="90" workbookViewId="0">
      <pane xSplit="1" topLeftCell="AG1" activePane="topRight" state="frozen"/>
      <selection pane="topRight" activeCell="AO29" sqref="AO29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41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09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05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5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8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5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8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8" t="s">
        <v>108</v>
      </c>
      <c r="AS3" s="638" t="s">
        <v>233</v>
      </c>
      <c r="AT3" s="636" t="s">
        <v>301</v>
      </c>
      <c r="AU3" s="637"/>
      <c r="AV3" s="306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9"/>
      <c r="AS4" s="639"/>
      <c r="AT4" s="3" t="s">
        <v>71</v>
      </c>
      <c r="AU4" s="3" t="s">
        <v>221</v>
      </c>
      <c r="AV4" s="307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1">
        <f>ELEC!C2</f>
        <v>44104</v>
      </c>
      <c r="B5" s="540">
        <f>[2]tanks!B35</f>
        <v>251</v>
      </c>
      <c r="C5" s="540">
        <f>[2]tanks!C35</f>
        <v>5400.5483870967737</v>
      </c>
      <c r="D5" s="540">
        <f>[2]tanks!D35</f>
        <v>251</v>
      </c>
      <c r="E5" s="540">
        <f>[2]tanks!E35</f>
        <v>5400.5483870967737</v>
      </c>
      <c r="F5" s="540">
        <f>[2]tanks!F35</f>
        <v>251</v>
      </c>
      <c r="G5" s="540">
        <f>[2]tanks!G35</f>
        <v>5400.5483870967737</v>
      </c>
      <c r="H5" s="540">
        <f>[2]tanks!H35</f>
        <v>251</v>
      </c>
      <c r="I5" s="540">
        <f>[2]tanks!I35</f>
        <v>5400.5483870967737</v>
      </c>
      <c r="J5" s="540">
        <f>[2]tanks!J35</f>
        <v>251</v>
      </c>
      <c r="K5" s="540">
        <f>[2]tanks!K35</f>
        <v>5400.5483870967737</v>
      </c>
      <c r="L5" s="540">
        <f>[2]tanks!L35</f>
        <v>251</v>
      </c>
      <c r="M5" s="540">
        <f>[2]tanks!M35</f>
        <v>5400.5483870967737</v>
      </c>
      <c r="N5" s="540">
        <f>[2]tanks!N35</f>
        <v>251</v>
      </c>
      <c r="O5" s="540">
        <f>[2]tanks!O35</f>
        <v>5400.5483870967737</v>
      </c>
      <c r="P5" s="540">
        <f>[2]tanks!P35</f>
        <v>251</v>
      </c>
      <c r="Q5" s="540">
        <f>[2]tanks!Q35</f>
        <v>5400.5483870967737</v>
      </c>
      <c r="R5" s="540">
        <f>[2]tanks!R35</f>
        <v>251</v>
      </c>
      <c r="S5" s="540">
        <f>[2]tanks!S35</f>
        <v>5400.5483870967737</v>
      </c>
      <c r="T5" s="540">
        <f>[2]tanks!T35</f>
        <v>251</v>
      </c>
      <c r="U5" s="540">
        <f>[2]tanks!U35</f>
        <v>5400.5483870967737</v>
      </c>
      <c r="V5" s="540">
        <f>[2]tanks!V35</f>
        <v>251</v>
      </c>
      <c r="W5" s="540">
        <f>[2]tanks!W35</f>
        <v>5400.5483870967737</v>
      </c>
      <c r="X5" s="540">
        <f>[2]tanks!X35</f>
        <v>0.80967741935483861</v>
      </c>
      <c r="Y5" s="540">
        <f>[2]tanks!Y35</f>
        <v>59406.032258064508</v>
      </c>
      <c r="Z5" s="540">
        <f>[2]tanks!Z35</f>
        <v>257</v>
      </c>
      <c r="AA5" s="540">
        <f>[2]tanks!AA35</f>
        <v>2570</v>
      </c>
      <c r="AB5" s="540">
        <f>[2]tanks!AB35</f>
        <v>257</v>
      </c>
      <c r="AC5" s="540">
        <f>[2]tanks!AC35</f>
        <v>2570</v>
      </c>
      <c r="AD5" s="540">
        <f>[2]tanks!AD35</f>
        <v>257</v>
      </c>
      <c r="AE5" s="540">
        <f>[2]tanks!AE35</f>
        <v>2570</v>
      </c>
      <c r="AF5" s="540">
        <f>[2]tanks!AF35</f>
        <v>257</v>
      </c>
      <c r="AG5" s="540">
        <f>[2]tanks!AG35</f>
        <v>2570</v>
      </c>
      <c r="AH5" s="540">
        <f>[2]tanks!AH35</f>
        <v>257</v>
      </c>
      <c r="AI5" s="540">
        <f>[2]tanks!AI35</f>
        <v>2570</v>
      </c>
      <c r="AJ5" s="540">
        <f>[2]tanks!AJ35</f>
        <v>257</v>
      </c>
      <c r="AK5" s="540">
        <f>[2]tanks!AK35</f>
        <v>2570</v>
      </c>
      <c r="AL5" s="540">
        <f>[2]tanks!AL35</f>
        <v>257</v>
      </c>
      <c r="AM5" s="540">
        <f>[2]tanks!AM35</f>
        <v>2570</v>
      </c>
      <c r="AN5" s="513">
        <f>[2]tanks!AN35</f>
        <v>0.91785714285714282</v>
      </c>
      <c r="AO5" s="540">
        <f>[2]tanks!AO35</f>
        <v>17990</v>
      </c>
      <c r="AP5" s="540">
        <f>[2]tanks!AP35</f>
        <v>0</v>
      </c>
      <c r="AQ5" s="513">
        <f>[2]tanks!AQ35</f>
        <v>0.83248394383203739</v>
      </c>
      <c r="AR5" s="540">
        <f>[2]tanks!AR35</f>
        <v>77396.032258064515</v>
      </c>
      <c r="AS5" s="540">
        <f>[2]tanks!AS35</f>
        <v>-1274.0451612903271</v>
      </c>
      <c r="AT5" s="540">
        <f>[2]tanks!AT35</f>
        <v>0</v>
      </c>
      <c r="AU5" s="540">
        <f>[2]tanks!AU35</f>
        <v>0</v>
      </c>
      <c r="AV5" s="540">
        <f>[2]tanks!AV35</f>
        <v>0.503</v>
      </c>
      <c r="AW5" s="540">
        <f>[2]tanks!AW35</f>
        <v>0</v>
      </c>
      <c r="AX5" s="540">
        <f>[2]tanks!AX35</f>
        <v>-1274.0451612903271</v>
      </c>
      <c r="AY5" s="540">
        <f>[2]tanks!AY35</f>
        <v>-1274.0451612903271</v>
      </c>
      <c r="AZ5" s="513">
        <f>[2]tanks!AZ35</f>
        <v>0</v>
      </c>
      <c r="BA5" s="540">
        <f>[2]tanks!BA35</f>
        <v>28.5</v>
      </c>
      <c r="BB5" s="513">
        <f>[2]tanks!BB35</f>
        <v>0.65</v>
      </c>
      <c r="BC5" s="540">
        <f>[2]tanks!BC35</f>
        <v>0</v>
      </c>
      <c r="BD5" s="540">
        <f>[2]tanks!BD35</f>
        <v>19222</v>
      </c>
      <c r="BE5" s="540" t="e">
        <f>[2]tanks!BE35</f>
        <v>#REF!</v>
      </c>
      <c r="BF5" s="540">
        <f>[2]tanks!BF35</f>
        <v>0</v>
      </c>
      <c r="BG5" s="540" t="e">
        <f>[2]tanks!BG35</f>
        <v>#REF!</v>
      </c>
      <c r="BH5" s="540">
        <f>[3]tanks!BH36</f>
        <v>0</v>
      </c>
      <c r="BI5" s="204"/>
    </row>
    <row r="6" spans="1:61">
      <c r="A6" s="451">
        <f>ELEC!C3</f>
        <v>44105</v>
      </c>
      <c r="B6">
        <f>'B5'!B5</f>
        <v>249</v>
      </c>
      <c r="C6" s="204">
        <f>B6*$B$4</f>
        <v>5357.5161290322576</v>
      </c>
      <c r="D6">
        <f>SUM(B6)</f>
        <v>249</v>
      </c>
      <c r="E6" s="204">
        <f>D6*$B$4</f>
        <v>5357.5161290322576</v>
      </c>
      <c r="F6">
        <f>SUM(D6)</f>
        <v>249</v>
      </c>
      <c r="G6" s="204">
        <f t="shared" ref="G6:G35" si="1">F6*$B$4</f>
        <v>5357.5161290322576</v>
      </c>
      <c r="H6" s="204">
        <f>SUM(F6)</f>
        <v>249</v>
      </c>
      <c r="I6" s="204">
        <f t="shared" ref="I6:I35" si="2">H6*$B$4</f>
        <v>5357.5161290322576</v>
      </c>
      <c r="J6" s="204">
        <f>SUM(H6)</f>
        <v>249</v>
      </c>
      <c r="K6" s="204">
        <f t="shared" ref="K6:K35" si="3">J6*$B$4</f>
        <v>5357.5161290322576</v>
      </c>
      <c r="L6" s="204">
        <f>SUM(J6)</f>
        <v>249</v>
      </c>
      <c r="M6" s="204">
        <f t="shared" ref="M6:M35" si="4">L6*$B$4</f>
        <v>5357.5161290322576</v>
      </c>
      <c r="N6" s="204">
        <f>SUM(L6)</f>
        <v>249</v>
      </c>
      <c r="O6" s="204">
        <f t="shared" ref="O6:O35" si="5">N6*$B$4</f>
        <v>5357.5161290322576</v>
      </c>
      <c r="P6" s="204">
        <f>SUM(N6)</f>
        <v>249</v>
      </c>
      <c r="Q6" s="204">
        <f t="shared" ref="Q6:Q35" si="6">P6*$B$4</f>
        <v>5357.5161290322576</v>
      </c>
      <c r="R6" s="204">
        <f>SUM(P6)</f>
        <v>249</v>
      </c>
      <c r="S6" s="204">
        <f t="shared" ref="S6:S35" si="7">R6*$B$4</f>
        <v>5357.5161290322576</v>
      </c>
      <c r="T6" s="204">
        <f>SUM(R6)</f>
        <v>249</v>
      </c>
      <c r="U6" s="204">
        <f t="shared" ref="U6:U35" si="8">T6*$B$4</f>
        <v>5357.5161290322576</v>
      </c>
      <c r="V6" s="204">
        <f>SUM(T6)</f>
        <v>249</v>
      </c>
      <c r="W6" s="204">
        <f t="shared" ref="W6:W35" si="9">V6*$B$4</f>
        <v>5357.5161290322576</v>
      </c>
      <c r="X6" s="35">
        <f t="shared" ref="X6:X29" si="10">SUM(Y6/73370)</f>
        <v>0.80322580645161279</v>
      </c>
      <c r="Y6" s="36">
        <f>SUM(C6+E6+G6+I6+K6+M6+O6+Q6+S6+U6+W6)</f>
        <v>58932.677419354834</v>
      </c>
      <c r="Z6" s="204">
        <f>'B5'!C5</f>
        <v>255</v>
      </c>
      <c r="AA6" s="204">
        <f>SUM(Z6*$Z$4)</f>
        <v>2550</v>
      </c>
      <c r="AB6" s="204">
        <f>SUM(Z6)</f>
        <v>255</v>
      </c>
      <c r="AC6" s="204">
        <f>SUM(AB6*$Z$4)</f>
        <v>2550</v>
      </c>
      <c r="AD6" s="204">
        <f>SUM(AB6)</f>
        <v>255</v>
      </c>
      <c r="AE6" s="204">
        <f t="shared" ref="AE6:AE35" si="11">SUM(AD6*$Z$4)</f>
        <v>2550</v>
      </c>
      <c r="AF6" s="204">
        <f>SUM(AD6)</f>
        <v>255</v>
      </c>
      <c r="AG6" s="204">
        <f t="shared" ref="AG6:AG35" si="12">SUM(AF6*$Z$4)</f>
        <v>2550</v>
      </c>
      <c r="AH6" s="204">
        <f>SUM(AF6)</f>
        <v>255</v>
      </c>
      <c r="AI6" s="204">
        <f t="shared" ref="AI6:AI35" si="13">SUM(AH6*$Z$4)</f>
        <v>2550</v>
      </c>
      <c r="AJ6" s="204">
        <f>SUM(AH6)</f>
        <v>255</v>
      </c>
      <c r="AK6" s="204">
        <f t="shared" ref="AK6:AK35" si="14">SUM(AJ6*$Z$4)</f>
        <v>2550</v>
      </c>
      <c r="AL6" s="204">
        <f>SUM(AJ6)</f>
        <v>255</v>
      </c>
      <c r="AM6" s="204">
        <f t="shared" ref="AM6:AM35" si="15">SUM(AL6*$Z$4)</f>
        <v>2550</v>
      </c>
      <c r="AN6" s="35">
        <f t="shared" ref="AN6:AN29" si="16">SUM(AO6/19600)</f>
        <v>0.9107142857142857</v>
      </c>
      <c r="AO6" s="36">
        <f t="shared" ref="AO6:AO29" si="17">SUM(AA6+AC6+AE6+AG6+AI6+AK6+AM6)</f>
        <v>17850</v>
      </c>
      <c r="AQ6" s="224">
        <f>SUM(AR6/92970)</f>
        <v>0.8258866023379029</v>
      </c>
      <c r="AR6" s="38">
        <f>SUM(AO6+Y6)</f>
        <v>76782.677419354834</v>
      </c>
      <c r="AS6" s="198">
        <f>SUM(AR6-AR5-AT6)</f>
        <v>-614.35483870968164</v>
      </c>
      <c r="AT6" s="359">
        <v>1</v>
      </c>
      <c r="AU6" s="443"/>
      <c r="AV6" s="526">
        <f>IF(AT6&gt;0,AU6,AV5)</f>
        <v>0</v>
      </c>
      <c r="AW6" s="293">
        <f>-SUM('B5'!AI5)</f>
        <v>-1.7999999999883585</v>
      </c>
      <c r="AX6" s="293">
        <f>-SUM(AW6-AS6)</f>
        <v>-612.55483870969329</v>
      </c>
      <c r="AY6" s="37">
        <f>SUM(AX6+AW6)</f>
        <v>-614.35483870968164</v>
      </c>
      <c r="AZ6" s="100">
        <f>ELEC!A3</f>
        <v>0</v>
      </c>
      <c r="BA6" s="118">
        <f>'General information '!D6</f>
        <v>27.5</v>
      </c>
      <c r="BB6" s="283">
        <f>SUM('General information '!E6)</f>
        <v>0.66</v>
      </c>
      <c r="BC6" s="3">
        <f>IF(AR3&gt;=AR6,0,1)</f>
        <v>0</v>
      </c>
      <c r="BD6" s="102">
        <v>19222</v>
      </c>
      <c r="BE6" s="14">
        <f>(305/1185)*ELEC!Q4</f>
        <v>0</v>
      </c>
      <c r="BF6" s="14"/>
      <c r="BG6" s="14" t="e">
        <f>#REF!-BE6</f>
        <v>#REF!</v>
      </c>
      <c r="BH6" s="11">
        <v>21</v>
      </c>
    </row>
    <row r="7" spans="1:61">
      <c r="A7" s="451">
        <f>ELEC!C4</f>
        <v>44106</v>
      </c>
      <c r="B7">
        <f>'B5'!B6</f>
        <v>248</v>
      </c>
      <c r="C7" s="204">
        <f t="shared" ref="C7:E35" si="18">B7*$B$4</f>
        <v>5336</v>
      </c>
      <c r="D7">
        <f t="shared" ref="D7:D29" si="19">SUM(B7)</f>
        <v>248</v>
      </c>
      <c r="E7" s="204">
        <f t="shared" si="18"/>
        <v>5336</v>
      </c>
      <c r="F7">
        <f t="shared" ref="F7:F29" si="20">SUM(D7)</f>
        <v>248</v>
      </c>
      <c r="G7" s="204">
        <f t="shared" si="1"/>
        <v>5336</v>
      </c>
      <c r="H7" s="204">
        <f t="shared" ref="H7:H29" si="21">SUM(F7)</f>
        <v>248</v>
      </c>
      <c r="I7" s="204">
        <f t="shared" si="2"/>
        <v>5336</v>
      </c>
      <c r="J7" s="204">
        <f t="shared" ref="J7:J29" si="22">SUM(H7)</f>
        <v>248</v>
      </c>
      <c r="K7" s="204">
        <f t="shared" si="3"/>
        <v>5336</v>
      </c>
      <c r="L7" s="204">
        <f t="shared" ref="L7:L29" si="23">SUM(J7)</f>
        <v>248</v>
      </c>
      <c r="M7" s="204">
        <f t="shared" si="4"/>
        <v>5336</v>
      </c>
      <c r="N7" s="204">
        <f t="shared" ref="N7:N29" si="24">SUM(L7)</f>
        <v>248</v>
      </c>
      <c r="O7" s="204">
        <f t="shared" si="5"/>
        <v>5336</v>
      </c>
      <c r="P7" s="204">
        <f t="shared" ref="P7:P29" si="25">SUM(N7)</f>
        <v>248</v>
      </c>
      <c r="Q7" s="204">
        <f t="shared" si="6"/>
        <v>5336</v>
      </c>
      <c r="R7" s="204">
        <f t="shared" ref="R7:R29" si="26">SUM(P7)</f>
        <v>248</v>
      </c>
      <c r="S7" s="204">
        <f t="shared" si="7"/>
        <v>5336</v>
      </c>
      <c r="T7" s="204">
        <f t="shared" ref="T7:T29" si="27">SUM(R7)</f>
        <v>248</v>
      </c>
      <c r="U7" s="204">
        <f t="shared" si="8"/>
        <v>5336</v>
      </c>
      <c r="V7" s="204">
        <f t="shared" ref="V7:V29" si="28">SUM(T7)</f>
        <v>248</v>
      </c>
      <c r="W7" s="204">
        <f t="shared" si="9"/>
        <v>5336</v>
      </c>
      <c r="X7" s="35">
        <f t="shared" si="10"/>
        <v>0.8</v>
      </c>
      <c r="Y7" s="36">
        <f t="shared" ref="Y7:Y29" si="29">SUM(C7+E7+G7+I7+K7+M7+O7+Q7+S7+U7+W7)</f>
        <v>58696</v>
      </c>
      <c r="Z7" s="204">
        <f>'B5'!C6</f>
        <v>254.5</v>
      </c>
      <c r="AA7" s="204">
        <f t="shared" ref="AA7:AC35" si="30">SUM(Z7*$Z$4)</f>
        <v>2545</v>
      </c>
      <c r="AB7" s="204">
        <f t="shared" ref="AB7:AB29" si="31">SUM(Z7)</f>
        <v>254.5</v>
      </c>
      <c r="AC7" s="204">
        <f t="shared" si="30"/>
        <v>2545</v>
      </c>
      <c r="AD7" s="204">
        <f t="shared" ref="AD7:AD29" si="32">SUM(AB7)</f>
        <v>254.5</v>
      </c>
      <c r="AE7" s="204">
        <f t="shared" si="11"/>
        <v>2545</v>
      </c>
      <c r="AF7" s="204">
        <f t="shared" ref="AF7:AF29" si="33">SUM(AD7)</f>
        <v>254.5</v>
      </c>
      <c r="AG7" s="204">
        <f t="shared" si="12"/>
        <v>2545</v>
      </c>
      <c r="AH7" s="204">
        <f t="shared" ref="AH7:AH29" si="34">SUM(AF7)</f>
        <v>254.5</v>
      </c>
      <c r="AI7" s="204">
        <f t="shared" si="13"/>
        <v>2545</v>
      </c>
      <c r="AJ7" s="204">
        <f t="shared" ref="AJ7:AJ29" si="35">SUM(AH7)</f>
        <v>254.5</v>
      </c>
      <c r="AK7" s="204">
        <f t="shared" si="14"/>
        <v>2545</v>
      </c>
      <c r="AL7" s="204">
        <f t="shared" ref="AL7:AL29" si="36">SUM(AJ7)</f>
        <v>254.5</v>
      </c>
      <c r="AM7" s="204">
        <f t="shared" si="15"/>
        <v>2545</v>
      </c>
      <c r="AN7" s="35">
        <f t="shared" si="16"/>
        <v>0.90892857142857142</v>
      </c>
      <c r="AO7" s="36">
        <f t="shared" si="17"/>
        <v>17815</v>
      </c>
      <c r="AQ7" s="224">
        <f t="shared" ref="AQ7:AQ33" si="37">SUM(AR7/92970)</f>
        <v>0.8229643971173497</v>
      </c>
      <c r="AR7" s="38">
        <f>SUM(AO7+Y7)</f>
        <v>76511</v>
      </c>
      <c r="AS7" s="198">
        <f t="shared" ref="AS7:AS35" si="38">SUM(AR7-AR6-AT7)</f>
        <v>-271.67741935483355</v>
      </c>
      <c r="AT7" s="273"/>
      <c r="AU7" s="499"/>
      <c r="AV7" s="526">
        <f>IF(AT7&gt;0,AU7,AV6)</f>
        <v>0</v>
      </c>
      <c r="AW7" s="293">
        <f>-SUM('B5'!AI6)</f>
        <v>-232</v>
      </c>
      <c r="AX7" s="293">
        <f t="shared" ref="AX7:AX35" si="39">-SUM(AW7-AS7)</f>
        <v>-39.677419354833546</v>
      </c>
      <c r="AY7" s="37">
        <f t="shared" ref="AY7:AY35" si="40">SUM(AX7+AW7)</f>
        <v>-271.67741935483355</v>
      </c>
      <c r="AZ7" s="100">
        <f>ELEC!A4</f>
        <v>0</v>
      </c>
      <c r="BA7" s="118">
        <f>'General information '!D7</f>
        <v>28</v>
      </c>
      <c r="BB7" s="398">
        <f>SUM('General information '!E7)</f>
        <v>0.65</v>
      </c>
      <c r="BC7" s="3">
        <v>0</v>
      </c>
      <c r="BD7" s="102">
        <v>19222</v>
      </c>
      <c r="BE7" s="14">
        <f>(305/1185)*ELEC!Q5</f>
        <v>257.38396624472574</v>
      </c>
      <c r="BF7" s="14"/>
      <c r="BG7" s="14" t="e">
        <f>#REF!-BE7</f>
        <v>#REF!</v>
      </c>
      <c r="BH7" s="11">
        <v>19</v>
      </c>
    </row>
    <row r="8" spans="1:61">
      <c r="A8" s="451">
        <f>ELEC!C5</f>
        <v>44107</v>
      </c>
      <c r="B8">
        <f>'B5'!B7</f>
        <v>246.5</v>
      </c>
      <c r="C8" s="204">
        <f t="shared" si="18"/>
        <v>5303.7258064516127</v>
      </c>
      <c r="D8">
        <f t="shared" si="19"/>
        <v>246.5</v>
      </c>
      <c r="E8" s="204">
        <f t="shared" si="18"/>
        <v>5303.7258064516127</v>
      </c>
      <c r="F8">
        <f t="shared" si="20"/>
        <v>246.5</v>
      </c>
      <c r="G8" s="204">
        <f t="shared" si="1"/>
        <v>5303.7258064516127</v>
      </c>
      <c r="H8" s="204">
        <f t="shared" si="21"/>
        <v>246.5</v>
      </c>
      <c r="I8" s="204">
        <f t="shared" si="2"/>
        <v>5303.7258064516127</v>
      </c>
      <c r="J8" s="204">
        <f t="shared" si="22"/>
        <v>246.5</v>
      </c>
      <c r="K8" s="204">
        <f t="shared" si="3"/>
        <v>5303.7258064516127</v>
      </c>
      <c r="L8" s="204">
        <f t="shared" si="23"/>
        <v>246.5</v>
      </c>
      <c r="M8" s="204">
        <f t="shared" si="4"/>
        <v>5303.7258064516127</v>
      </c>
      <c r="N8" s="204">
        <f t="shared" si="24"/>
        <v>246.5</v>
      </c>
      <c r="O8" s="204">
        <f t="shared" si="5"/>
        <v>5303.7258064516127</v>
      </c>
      <c r="P8" s="204">
        <f t="shared" si="25"/>
        <v>246.5</v>
      </c>
      <c r="Q8" s="204">
        <f t="shared" si="6"/>
        <v>5303.7258064516127</v>
      </c>
      <c r="R8" s="204">
        <f t="shared" si="26"/>
        <v>246.5</v>
      </c>
      <c r="S8" s="204">
        <f t="shared" si="7"/>
        <v>5303.7258064516127</v>
      </c>
      <c r="T8" s="204">
        <f t="shared" si="27"/>
        <v>246.5</v>
      </c>
      <c r="U8" s="204">
        <f t="shared" si="8"/>
        <v>5303.7258064516127</v>
      </c>
      <c r="V8" s="204">
        <f t="shared" si="28"/>
        <v>246.5</v>
      </c>
      <c r="W8" s="204">
        <f t="shared" si="9"/>
        <v>5303.7258064516127</v>
      </c>
      <c r="X8" s="35">
        <f t="shared" si="10"/>
        <v>0.79516129032258065</v>
      </c>
      <c r="Y8" s="36">
        <f t="shared" si="29"/>
        <v>58340.983870967742</v>
      </c>
      <c r="Z8" s="204">
        <f>'B5'!C7</f>
        <v>251.2</v>
      </c>
      <c r="AA8" s="204">
        <f t="shared" si="30"/>
        <v>2512</v>
      </c>
      <c r="AB8" s="204">
        <f t="shared" si="31"/>
        <v>251.2</v>
      </c>
      <c r="AC8" s="204">
        <f t="shared" si="30"/>
        <v>2512</v>
      </c>
      <c r="AD8" s="204">
        <f t="shared" si="32"/>
        <v>251.2</v>
      </c>
      <c r="AE8" s="204">
        <f t="shared" si="11"/>
        <v>2512</v>
      </c>
      <c r="AF8" s="204">
        <f t="shared" si="33"/>
        <v>251.2</v>
      </c>
      <c r="AG8" s="204">
        <f t="shared" si="12"/>
        <v>2512</v>
      </c>
      <c r="AH8" s="204">
        <f t="shared" si="34"/>
        <v>251.2</v>
      </c>
      <c r="AI8" s="204">
        <f t="shared" si="13"/>
        <v>2512</v>
      </c>
      <c r="AJ8" s="204">
        <f t="shared" si="35"/>
        <v>251.2</v>
      </c>
      <c r="AK8" s="204">
        <f t="shared" si="14"/>
        <v>2512</v>
      </c>
      <c r="AL8" s="204">
        <f t="shared" si="36"/>
        <v>251.2</v>
      </c>
      <c r="AM8" s="204">
        <f t="shared" si="15"/>
        <v>2512</v>
      </c>
      <c r="AN8" s="35">
        <f t="shared" si="16"/>
        <v>0.89714285714285713</v>
      </c>
      <c r="AO8" s="36">
        <f t="shared" si="17"/>
        <v>17584</v>
      </c>
      <c r="AQ8" s="224">
        <f t="shared" si="37"/>
        <v>0.81666111510129868</v>
      </c>
      <c r="AR8" s="38">
        <f t="shared" ref="AR8:AR36" si="41">SUM(AO8+Y8)</f>
        <v>75924.983870967742</v>
      </c>
      <c r="AS8" s="198">
        <f t="shared" si="38"/>
        <v>-586.0161290322576</v>
      </c>
      <c r="AT8" s="359"/>
      <c r="AU8" s="443"/>
      <c r="AV8" s="526">
        <f t="shared" ref="AV8:AV34" si="42">IF(AT8&gt;0,AU8,AV7)</f>
        <v>0</v>
      </c>
      <c r="AW8" s="293">
        <f>-SUM('B5'!AI7)</f>
        <v>-116</v>
      </c>
      <c r="AX8" s="293">
        <f t="shared" si="39"/>
        <v>-470.0161290322576</v>
      </c>
      <c r="AY8" s="37">
        <f t="shared" si="40"/>
        <v>-586.0161290322576</v>
      </c>
      <c r="AZ8" s="100">
        <f>ELEC!A5</f>
        <v>0</v>
      </c>
      <c r="BA8" s="118">
        <f>'General information '!D8</f>
        <v>26.5</v>
      </c>
      <c r="BB8" s="398">
        <f>SUM('General information '!E8)</f>
        <v>0.56999999999999995</v>
      </c>
      <c r="BC8" s="3">
        <f t="shared" ref="BC8:BC33" si="43">IF(AR7&gt;=AR8,0,1)</f>
        <v>0</v>
      </c>
      <c r="BD8" s="102">
        <v>19222</v>
      </c>
      <c r="BE8" s="14">
        <f>(305/1185)*ELEC!Q6</f>
        <v>514.76793248945148</v>
      </c>
      <c r="BF8" s="14"/>
      <c r="BG8" s="14" t="e">
        <f>#REF!-BE8</f>
        <v>#REF!</v>
      </c>
      <c r="BH8" s="11">
        <v>16</v>
      </c>
    </row>
    <row r="9" spans="1:61">
      <c r="A9" s="451">
        <f>ELEC!C6</f>
        <v>44108</v>
      </c>
      <c r="B9">
        <f>'B5'!B8</f>
        <v>244</v>
      </c>
      <c r="C9" s="204">
        <f t="shared" si="18"/>
        <v>5249.9354838709678</v>
      </c>
      <c r="D9">
        <f t="shared" si="19"/>
        <v>244</v>
      </c>
      <c r="E9" s="204">
        <f t="shared" si="18"/>
        <v>5249.9354838709678</v>
      </c>
      <c r="F9">
        <f t="shared" si="20"/>
        <v>244</v>
      </c>
      <c r="G9" s="204">
        <f t="shared" si="1"/>
        <v>5249.9354838709678</v>
      </c>
      <c r="H9" s="204">
        <f t="shared" si="21"/>
        <v>244</v>
      </c>
      <c r="I9" s="204">
        <f t="shared" si="2"/>
        <v>5249.9354838709678</v>
      </c>
      <c r="J9" s="204">
        <f t="shared" si="22"/>
        <v>244</v>
      </c>
      <c r="K9" s="204">
        <f t="shared" si="3"/>
        <v>5249.9354838709678</v>
      </c>
      <c r="L9" s="204">
        <f t="shared" si="23"/>
        <v>244</v>
      </c>
      <c r="M9" s="204">
        <f t="shared" si="4"/>
        <v>5249.9354838709678</v>
      </c>
      <c r="N9" s="204">
        <f t="shared" si="24"/>
        <v>244</v>
      </c>
      <c r="O9" s="204">
        <f t="shared" si="5"/>
        <v>5249.9354838709678</v>
      </c>
      <c r="P9" s="204">
        <f t="shared" si="25"/>
        <v>244</v>
      </c>
      <c r="Q9" s="204">
        <f t="shared" si="6"/>
        <v>5249.9354838709678</v>
      </c>
      <c r="R9" s="204">
        <f t="shared" si="26"/>
        <v>244</v>
      </c>
      <c r="S9" s="204">
        <f t="shared" si="7"/>
        <v>5249.9354838709678</v>
      </c>
      <c r="T9" s="204">
        <f t="shared" si="27"/>
        <v>244</v>
      </c>
      <c r="U9" s="204">
        <f t="shared" si="8"/>
        <v>5249.9354838709678</v>
      </c>
      <c r="V9" s="204">
        <f t="shared" si="28"/>
        <v>244</v>
      </c>
      <c r="W9" s="204">
        <f t="shared" si="9"/>
        <v>5249.9354838709678</v>
      </c>
      <c r="X9" s="35">
        <f t="shared" si="10"/>
        <v>0.78709677419354862</v>
      </c>
      <c r="Y9" s="36">
        <f t="shared" si="29"/>
        <v>57749.290322580659</v>
      </c>
      <c r="Z9" s="204">
        <f>'B5'!C8</f>
        <v>249</v>
      </c>
      <c r="AA9" s="204">
        <f t="shared" si="30"/>
        <v>2490</v>
      </c>
      <c r="AB9" s="204">
        <f t="shared" si="31"/>
        <v>249</v>
      </c>
      <c r="AC9" s="204">
        <f t="shared" si="30"/>
        <v>2490</v>
      </c>
      <c r="AD9" s="204">
        <f t="shared" si="32"/>
        <v>249</v>
      </c>
      <c r="AE9" s="204">
        <f t="shared" si="11"/>
        <v>2490</v>
      </c>
      <c r="AF9" s="204">
        <f t="shared" si="33"/>
        <v>249</v>
      </c>
      <c r="AG9" s="204">
        <f t="shared" si="12"/>
        <v>2490</v>
      </c>
      <c r="AH9" s="204">
        <f t="shared" si="34"/>
        <v>249</v>
      </c>
      <c r="AI9" s="204">
        <f t="shared" si="13"/>
        <v>2490</v>
      </c>
      <c r="AJ9" s="204">
        <f t="shared" si="35"/>
        <v>249</v>
      </c>
      <c r="AK9" s="204">
        <f t="shared" si="14"/>
        <v>2490</v>
      </c>
      <c r="AL9" s="204">
        <f t="shared" si="36"/>
        <v>249</v>
      </c>
      <c r="AM9" s="204">
        <f t="shared" si="15"/>
        <v>2490</v>
      </c>
      <c r="AN9" s="35">
        <f t="shared" si="16"/>
        <v>0.88928571428571423</v>
      </c>
      <c r="AO9" s="36">
        <f>SUM(AA9+AC9+AE9+AG9+AI9+AK9+AM9)</f>
        <v>17430</v>
      </c>
      <c r="AQ9" s="224">
        <f t="shared" si="37"/>
        <v>0.80864031754953924</v>
      </c>
      <c r="AR9" s="38">
        <f t="shared" si="41"/>
        <v>75179.290322580666</v>
      </c>
      <c r="AS9" s="198">
        <f t="shared" si="38"/>
        <v>-745.69354838707659</v>
      </c>
      <c r="AT9" s="359"/>
      <c r="AU9" s="443"/>
      <c r="AV9" s="526">
        <f t="shared" si="42"/>
        <v>0</v>
      </c>
      <c r="AW9" s="293">
        <f>-SUM('B5'!AI8)</f>
        <v>-53</v>
      </c>
      <c r="AX9" s="293">
        <f>-SUM(AW9-AS9)</f>
        <v>-692.69354838707659</v>
      </c>
      <c r="AY9" s="37">
        <f t="shared" si="40"/>
        <v>-745.69354838707659</v>
      </c>
      <c r="AZ9" s="100">
        <f>ELEC!A6</f>
        <v>0</v>
      </c>
      <c r="BA9" s="118">
        <f>'General information '!D9</f>
        <v>27</v>
      </c>
      <c r="BB9" s="398">
        <f>SUM('General information '!E9)</f>
        <v>0.45</v>
      </c>
      <c r="BC9" s="3">
        <f t="shared" si="43"/>
        <v>0</v>
      </c>
      <c r="BD9" s="102">
        <v>19222</v>
      </c>
      <c r="BE9" s="14">
        <f>(305/1185)*ELEC!Q7</f>
        <v>514.76793248945148</v>
      </c>
      <c r="BF9" s="14"/>
      <c r="BG9" s="14" t="e">
        <f>#REF!-BE9</f>
        <v>#REF!</v>
      </c>
      <c r="BH9" s="11">
        <v>18</v>
      </c>
    </row>
    <row r="10" spans="1:61">
      <c r="A10" s="451">
        <f>ELEC!C7</f>
        <v>44109</v>
      </c>
      <c r="B10">
        <f>'B5'!B9</f>
        <v>242</v>
      </c>
      <c r="C10" s="204">
        <f t="shared" si="18"/>
        <v>5206.9032258064517</v>
      </c>
      <c r="D10">
        <f t="shared" si="19"/>
        <v>242</v>
      </c>
      <c r="E10" s="204">
        <f t="shared" si="18"/>
        <v>5206.9032258064517</v>
      </c>
      <c r="F10">
        <f t="shared" si="20"/>
        <v>242</v>
      </c>
      <c r="G10" s="204">
        <f t="shared" si="1"/>
        <v>5206.9032258064517</v>
      </c>
      <c r="H10" s="204">
        <f t="shared" si="21"/>
        <v>242</v>
      </c>
      <c r="I10" s="204">
        <f t="shared" si="2"/>
        <v>5206.9032258064517</v>
      </c>
      <c r="J10" s="204">
        <f t="shared" si="22"/>
        <v>242</v>
      </c>
      <c r="K10" s="204">
        <f t="shared" si="3"/>
        <v>5206.9032258064517</v>
      </c>
      <c r="L10" s="204">
        <f t="shared" si="23"/>
        <v>242</v>
      </c>
      <c r="M10" s="204">
        <f t="shared" si="4"/>
        <v>5206.9032258064517</v>
      </c>
      <c r="N10" s="204">
        <f t="shared" si="24"/>
        <v>242</v>
      </c>
      <c r="O10" s="204">
        <f t="shared" si="5"/>
        <v>5206.9032258064517</v>
      </c>
      <c r="P10" s="204">
        <f t="shared" si="25"/>
        <v>242</v>
      </c>
      <c r="Q10" s="204">
        <f t="shared" si="6"/>
        <v>5206.9032258064517</v>
      </c>
      <c r="R10" s="204">
        <f t="shared" si="26"/>
        <v>242</v>
      </c>
      <c r="S10" s="204">
        <f t="shared" si="7"/>
        <v>5206.9032258064517</v>
      </c>
      <c r="T10" s="204">
        <f t="shared" si="27"/>
        <v>242</v>
      </c>
      <c r="U10" s="204">
        <f t="shared" si="8"/>
        <v>5206.9032258064517</v>
      </c>
      <c r="V10" s="204">
        <f t="shared" si="28"/>
        <v>242</v>
      </c>
      <c r="W10" s="204">
        <f t="shared" si="9"/>
        <v>5206.9032258064517</v>
      </c>
      <c r="X10" s="35">
        <f t="shared" si="10"/>
        <v>0.78064516129032269</v>
      </c>
      <c r="Y10" s="36">
        <f t="shared" si="29"/>
        <v>57275.935483870977</v>
      </c>
      <c r="Z10" s="204">
        <f>'B5'!C9</f>
        <v>247.3</v>
      </c>
      <c r="AA10" s="204">
        <f t="shared" si="30"/>
        <v>2473</v>
      </c>
      <c r="AB10" s="204">
        <f t="shared" si="31"/>
        <v>247.3</v>
      </c>
      <c r="AC10" s="204">
        <f t="shared" si="30"/>
        <v>2473</v>
      </c>
      <c r="AD10" s="204">
        <f t="shared" si="32"/>
        <v>247.3</v>
      </c>
      <c r="AE10" s="204">
        <f t="shared" si="11"/>
        <v>2473</v>
      </c>
      <c r="AF10" s="204">
        <f t="shared" si="33"/>
        <v>247.3</v>
      </c>
      <c r="AG10" s="204">
        <f t="shared" si="12"/>
        <v>2473</v>
      </c>
      <c r="AH10" s="204">
        <f t="shared" si="34"/>
        <v>247.3</v>
      </c>
      <c r="AI10" s="204">
        <f t="shared" si="13"/>
        <v>2473</v>
      </c>
      <c r="AJ10" s="204">
        <f t="shared" si="35"/>
        <v>247.3</v>
      </c>
      <c r="AK10" s="204">
        <f t="shared" si="14"/>
        <v>2473</v>
      </c>
      <c r="AL10" s="204">
        <f t="shared" si="36"/>
        <v>247.3</v>
      </c>
      <c r="AM10" s="204">
        <f t="shared" si="15"/>
        <v>2473</v>
      </c>
      <c r="AN10" s="35">
        <f t="shared" si="16"/>
        <v>0.88321428571428573</v>
      </c>
      <c r="AO10" s="36">
        <f t="shared" si="17"/>
        <v>17311</v>
      </c>
      <c r="AQ10" s="224">
        <f t="shared" si="37"/>
        <v>0.80226885537131298</v>
      </c>
      <c r="AR10" s="38">
        <f t="shared" si="41"/>
        <v>74586.93548387097</v>
      </c>
      <c r="AS10" s="198">
        <f t="shared" si="38"/>
        <v>-592.3548387096962</v>
      </c>
      <c r="AT10" s="359"/>
      <c r="AU10" s="443"/>
      <c r="AV10" s="526">
        <f>IF(AT10&gt;0,AU10,AV9)</f>
        <v>0</v>
      </c>
      <c r="AW10" s="293">
        <f>-SUM('B5'!AI9)</f>
        <v>-96</v>
      </c>
      <c r="AX10" s="293">
        <f>-SUM(AW10-AS10)</f>
        <v>-496.3548387096962</v>
      </c>
      <c r="AY10" s="37">
        <f t="shared" si="40"/>
        <v>-592.3548387096962</v>
      </c>
      <c r="AZ10" s="100">
        <f>ELEC!A7</f>
        <v>0</v>
      </c>
      <c r="BA10" s="118">
        <f>'General information '!D10</f>
        <v>28.5</v>
      </c>
      <c r="BB10" s="398">
        <f>SUM('General information '!E10)</f>
        <v>0.5</v>
      </c>
      <c r="BC10" s="3">
        <f t="shared" si="43"/>
        <v>0</v>
      </c>
      <c r="BD10" s="102">
        <v>19222</v>
      </c>
      <c r="BE10" s="14">
        <f>(305/1185)*ELEC!Q8</f>
        <v>0</v>
      </c>
      <c r="BF10" s="14"/>
      <c r="BG10" s="14" t="e">
        <f>#REF!-BE10</f>
        <v>#REF!</v>
      </c>
      <c r="BH10" s="11">
        <v>16</v>
      </c>
    </row>
    <row r="11" spans="1:61">
      <c r="A11" s="451">
        <f>ELEC!C8</f>
        <v>44110</v>
      </c>
      <c r="B11">
        <f>'B5'!B10</f>
        <v>242</v>
      </c>
      <c r="C11" s="204">
        <f t="shared" si="18"/>
        <v>5206.9032258064517</v>
      </c>
      <c r="D11">
        <f>SUM(B11)</f>
        <v>242</v>
      </c>
      <c r="E11" s="204">
        <f t="shared" si="18"/>
        <v>5206.9032258064517</v>
      </c>
      <c r="F11">
        <f>SUM(D11)</f>
        <v>242</v>
      </c>
      <c r="G11" s="204">
        <f t="shared" si="1"/>
        <v>5206.9032258064517</v>
      </c>
      <c r="H11" s="204">
        <f>SUM(F11)</f>
        <v>242</v>
      </c>
      <c r="I11" s="204">
        <f t="shared" si="2"/>
        <v>5206.9032258064517</v>
      </c>
      <c r="J11" s="204">
        <f>SUM(H11)</f>
        <v>242</v>
      </c>
      <c r="K11" s="204">
        <f t="shared" si="3"/>
        <v>5206.9032258064517</v>
      </c>
      <c r="L11" s="204">
        <f>SUM(J11)</f>
        <v>242</v>
      </c>
      <c r="M11" s="204">
        <f t="shared" si="4"/>
        <v>5206.9032258064517</v>
      </c>
      <c r="N11" s="204">
        <f>SUM(L11)</f>
        <v>242</v>
      </c>
      <c r="O11" s="204">
        <f t="shared" si="5"/>
        <v>5206.9032258064517</v>
      </c>
      <c r="P11" s="204">
        <f>SUM(N11)</f>
        <v>242</v>
      </c>
      <c r="Q11" s="204">
        <f t="shared" si="6"/>
        <v>5206.9032258064517</v>
      </c>
      <c r="R11" s="204">
        <f>SUM(P11)</f>
        <v>242</v>
      </c>
      <c r="S11" s="204">
        <f t="shared" si="7"/>
        <v>5206.9032258064517</v>
      </c>
      <c r="T11" s="204">
        <f>SUM(R11)</f>
        <v>242</v>
      </c>
      <c r="U11" s="204">
        <f t="shared" si="8"/>
        <v>5206.9032258064517</v>
      </c>
      <c r="V11" s="204">
        <f>SUM(T11)</f>
        <v>242</v>
      </c>
      <c r="W11" s="204">
        <f t="shared" si="9"/>
        <v>5206.9032258064517</v>
      </c>
      <c r="X11" s="35">
        <f>SUM(Y11/73370)</f>
        <v>0.78064516129032269</v>
      </c>
      <c r="Y11" s="36">
        <f>SUM(C11+E11+G11+I11+K11+M11+O11+Q11+S11+U11+W11)</f>
        <v>57275.935483870977</v>
      </c>
      <c r="Z11" s="204">
        <f>'B5'!C10</f>
        <v>247.3</v>
      </c>
      <c r="AA11" s="204">
        <f t="shared" si="30"/>
        <v>2473</v>
      </c>
      <c r="AB11" s="204">
        <f>SUM(Z11)</f>
        <v>247.3</v>
      </c>
      <c r="AC11" s="204">
        <f t="shared" si="30"/>
        <v>2473</v>
      </c>
      <c r="AD11" s="204">
        <f>SUM(AB11)</f>
        <v>247.3</v>
      </c>
      <c r="AE11" s="204">
        <f t="shared" si="11"/>
        <v>2473</v>
      </c>
      <c r="AF11" s="204">
        <f>SUM(AD11)</f>
        <v>247.3</v>
      </c>
      <c r="AG11" s="204">
        <f t="shared" si="12"/>
        <v>2473</v>
      </c>
      <c r="AH11" s="204">
        <f>SUM(AF11)</f>
        <v>247.3</v>
      </c>
      <c r="AI11" s="204">
        <f t="shared" si="13"/>
        <v>2473</v>
      </c>
      <c r="AJ11" s="204">
        <f>SUM(AH11)</f>
        <v>247.3</v>
      </c>
      <c r="AK11" s="204">
        <f t="shared" si="14"/>
        <v>2473</v>
      </c>
      <c r="AL11" s="204">
        <f>SUM(AJ11)</f>
        <v>247.3</v>
      </c>
      <c r="AM11" s="204">
        <f t="shared" si="15"/>
        <v>2473</v>
      </c>
      <c r="AN11" s="35">
        <f>SUM(AO11/19600)</f>
        <v>0.88321428571428573</v>
      </c>
      <c r="AO11" s="36">
        <f t="shared" si="17"/>
        <v>17311</v>
      </c>
      <c r="AP11" s="586"/>
      <c r="AQ11" s="224">
        <f t="shared" si="37"/>
        <v>0.80226885537131298</v>
      </c>
      <c r="AR11" s="38">
        <f t="shared" si="41"/>
        <v>74586.93548387097</v>
      </c>
      <c r="AS11" s="198">
        <f>SUM(AR11-AR10-AT11)</f>
        <v>0</v>
      </c>
      <c r="AT11" s="359"/>
      <c r="AU11" s="443"/>
      <c r="AV11" s="526">
        <f>IF(AT11&gt;0,AU11,AV10)</f>
        <v>0</v>
      </c>
      <c r="AW11" s="293">
        <f>-SUM('B5'!AI10)</f>
        <v>0</v>
      </c>
      <c r="AX11" s="293">
        <f>-SUM(AW11-AS11)</f>
        <v>0</v>
      </c>
      <c r="AY11" s="37">
        <f t="shared" si="40"/>
        <v>0</v>
      </c>
      <c r="AZ11" s="100">
        <f>ELEC!A8</f>
        <v>0</v>
      </c>
      <c r="BA11" s="118">
        <f>'General information '!D11</f>
        <v>0</v>
      </c>
      <c r="BB11" s="398">
        <f>SUM('General information '!E11)</f>
        <v>0</v>
      </c>
      <c r="BC11" s="3">
        <f t="shared" si="43"/>
        <v>0</v>
      </c>
      <c r="BD11" s="102">
        <v>19222</v>
      </c>
      <c r="BE11" s="14">
        <f>(305/1185)*ELEC!Q9</f>
        <v>0</v>
      </c>
      <c r="BF11" s="14"/>
      <c r="BG11" s="14" t="e">
        <f>#REF!-BE11</f>
        <v>#REF!</v>
      </c>
      <c r="BH11" s="11">
        <v>16.5</v>
      </c>
    </row>
    <row r="12" spans="1:61">
      <c r="A12" s="451">
        <f>ELEC!C9</f>
        <v>44111</v>
      </c>
      <c r="B12">
        <f>'B5'!B11</f>
        <v>242</v>
      </c>
      <c r="C12" s="204">
        <f t="shared" si="18"/>
        <v>5206.9032258064517</v>
      </c>
      <c r="D12">
        <f t="shared" si="19"/>
        <v>242</v>
      </c>
      <c r="E12" s="204">
        <f t="shared" si="18"/>
        <v>5206.9032258064517</v>
      </c>
      <c r="F12">
        <f t="shared" si="20"/>
        <v>242</v>
      </c>
      <c r="G12" s="204">
        <f t="shared" si="1"/>
        <v>5206.9032258064517</v>
      </c>
      <c r="H12" s="204">
        <f t="shared" si="21"/>
        <v>242</v>
      </c>
      <c r="I12" s="204">
        <f t="shared" si="2"/>
        <v>5206.9032258064517</v>
      </c>
      <c r="J12" s="204">
        <f t="shared" si="22"/>
        <v>242</v>
      </c>
      <c r="K12" s="204">
        <f t="shared" si="3"/>
        <v>5206.9032258064517</v>
      </c>
      <c r="L12" s="204">
        <f t="shared" si="23"/>
        <v>242</v>
      </c>
      <c r="M12" s="204">
        <f t="shared" si="4"/>
        <v>5206.9032258064517</v>
      </c>
      <c r="N12" s="204">
        <f t="shared" si="24"/>
        <v>242</v>
      </c>
      <c r="O12" s="204">
        <f t="shared" si="5"/>
        <v>5206.9032258064517</v>
      </c>
      <c r="P12" s="204">
        <f t="shared" si="25"/>
        <v>242</v>
      </c>
      <c r="Q12" s="204">
        <f t="shared" si="6"/>
        <v>5206.9032258064517</v>
      </c>
      <c r="R12" s="204">
        <f t="shared" si="26"/>
        <v>242</v>
      </c>
      <c r="S12" s="204">
        <f t="shared" si="7"/>
        <v>5206.9032258064517</v>
      </c>
      <c r="T12" s="204">
        <f t="shared" si="27"/>
        <v>242</v>
      </c>
      <c r="U12" s="204">
        <f t="shared" si="8"/>
        <v>5206.9032258064517</v>
      </c>
      <c r="V12" s="204">
        <f t="shared" si="28"/>
        <v>242</v>
      </c>
      <c r="W12" s="204">
        <f t="shared" si="9"/>
        <v>5206.9032258064517</v>
      </c>
      <c r="X12" s="35">
        <f t="shared" si="10"/>
        <v>0.78064516129032269</v>
      </c>
      <c r="Y12" s="36">
        <f t="shared" si="29"/>
        <v>57275.935483870977</v>
      </c>
      <c r="Z12" s="204">
        <f>'B5'!C11</f>
        <v>247.3</v>
      </c>
      <c r="AA12" s="204">
        <f t="shared" si="30"/>
        <v>2473</v>
      </c>
      <c r="AB12" s="204">
        <f t="shared" si="31"/>
        <v>247.3</v>
      </c>
      <c r="AC12" s="204">
        <f t="shared" si="30"/>
        <v>2473</v>
      </c>
      <c r="AD12" s="204">
        <f t="shared" si="32"/>
        <v>247.3</v>
      </c>
      <c r="AE12" s="204">
        <f t="shared" si="11"/>
        <v>2473</v>
      </c>
      <c r="AF12" s="204">
        <f t="shared" si="33"/>
        <v>247.3</v>
      </c>
      <c r="AG12" s="204">
        <f t="shared" si="12"/>
        <v>2473</v>
      </c>
      <c r="AH12" s="204">
        <f t="shared" si="34"/>
        <v>247.3</v>
      </c>
      <c r="AI12" s="204">
        <f t="shared" si="13"/>
        <v>2473</v>
      </c>
      <c r="AJ12" s="204">
        <f t="shared" si="35"/>
        <v>247.3</v>
      </c>
      <c r="AK12" s="204">
        <f t="shared" si="14"/>
        <v>2473</v>
      </c>
      <c r="AL12" s="204">
        <f t="shared" si="36"/>
        <v>247.3</v>
      </c>
      <c r="AM12" s="204">
        <f t="shared" si="15"/>
        <v>2473</v>
      </c>
      <c r="AN12" s="35">
        <f t="shared" si="16"/>
        <v>0.88321428571428573</v>
      </c>
      <c r="AO12" s="36">
        <f t="shared" si="17"/>
        <v>17311</v>
      </c>
      <c r="AP12" s="586"/>
      <c r="AQ12" s="224">
        <f t="shared" si="37"/>
        <v>0.80226885537131298</v>
      </c>
      <c r="AR12" s="38">
        <f t="shared" si="41"/>
        <v>74586.93548387097</v>
      </c>
      <c r="AS12" s="198">
        <f t="shared" si="38"/>
        <v>0</v>
      </c>
      <c r="AT12" s="273"/>
      <c r="AU12" s="485"/>
      <c r="AV12" s="526">
        <f t="shared" si="42"/>
        <v>0</v>
      </c>
      <c r="AW12" s="293">
        <f>-SUM('B5'!AI11)</f>
        <v>0</v>
      </c>
      <c r="AX12" s="293">
        <f t="shared" si="39"/>
        <v>0</v>
      </c>
      <c r="AY12" s="37">
        <f t="shared" si="40"/>
        <v>0</v>
      </c>
      <c r="AZ12" s="100">
        <f>ELEC!A9</f>
        <v>0</v>
      </c>
      <c r="BA12" s="118">
        <f>'General information '!D12</f>
        <v>0</v>
      </c>
      <c r="BB12" s="398">
        <f>SUM('General information '!E12)</f>
        <v>0</v>
      </c>
      <c r="BC12" s="3">
        <f t="shared" si="43"/>
        <v>0</v>
      </c>
      <c r="BD12" s="102">
        <v>19222</v>
      </c>
      <c r="BE12" s="14">
        <f>(305/1185)*ELEC!Q10</f>
        <v>0</v>
      </c>
      <c r="BF12" s="14"/>
      <c r="BG12" s="14" t="e">
        <f>#REF!-BE12</f>
        <v>#REF!</v>
      </c>
      <c r="BH12" s="11">
        <v>15.5</v>
      </c>
    </row>
    <row r="13" spans="1:61">
      <c r="A13" s="451">
        <f>ELEC!C10</f>
        <v>44112</v>
      </c>
      <c r="B13">
        <f>'B5'!B12</f>
        <v>242</v>
      </c>
      <c r="C13" s="204">
        <f t="shared" si="18"/>
        <v>5206.9032258064517</v>
      </c>
      <c r="D13">
        <f t="shared" si="19"/>
        <v>242</v>
      </c>
      <c r="E13" s="204">
        <f t="shared" si="18"/>
        <v>5206.9032258064517</v>
      </c>
      <c r="F13">
        <f t="shared" si="20"/>
        <v>242</v>
      </c>
      <c r="G13" s="204">
        <f t="shared" si="1"/>
        <v>5206.9032258064517</v>
      </c>
      <c r="H13" s="204">
        <f t="shared" si="21"/>
        <v>242</v>
      </c>
      <c r="I13" s="204">
        <f t="shared" si="2"/>
        <v>5206.9032258064517</v>
      </c>
      <c r="J13" s="204">
        <f t="shared" si="22"/>
        <v>242</v>
      </c>
      <c r="K13" s="204">
        <f t="shared" si="3"/>
        <v>5206.9032258064517</v>
      </c>
      <c r="L13" s="204">
        <f t="shared" si="23"/>
        <v>242</v>
      </c>
      <c r="M13" s="204">
        <f t="shared" si="4"/>
        <v>5206.9032258064517</v>
      </c>
      <c r="N13" s="204">
        <f t="shared" si="24"/>
        <v>242</v>
      </c>
      <c r="O13" s="204">
        <f t="shared" si="5"/>
        <v>5206.9032258064517</v>
      </c>
      <c r="P13" s="204">
        <f t="shared" si="25"/>
        <v>242</v>
      </c>
      <c r="Q13" s="204">
        <f t="shared" si="6"/>
        <v>5206.9032258064517</v>
      </c>
      <c r="R13" s="204">
        <f t="shared" si="26"/>
        <v>242</v>
      </c>
      <c r="S13" s="204">
        <f t="shared" si="7"/>
        <v>5206.9032258064517</v>
      </c>
      <c r="T13" s="204">
        <f t="shared" si="27"/>
        <v>242</v>
      </c>
      <c r="U13" s="204">
        <f t="shared" si="8"/>
        <v>5206.9032258064517</v>
      </c>
      <c r="V13" s="204">
        <f t="shared" si="28"/>
        <v>242</v>
      </c>
      <c r="W13" s="204">
        <f t="shared" si="9"/>
        <v>5206.9032258064517</v>
      </c>
      <c r="X13" s="35">
        <f t="shared" si="10"/>
        <v>0.78064516129032269</v>
      </c>
      <c r="Y13" s="36">
        <f t="shared" si="29"/>
        <v>57275.935483870977</v>
      </c>
      <c r="Z13" s="204">
        <f>'B5'!C12</f>
        <v>247.3</v>
      </c>
      <c r="AA13" s="204">
        <f t="shared" si="30"/>
        <v>2473</v>
      </c>
      <c r="AB13" s="204">
        <f t="shared" si="31"/>
        <v>247.3</v>
      </c>
      <c r="AC13" s="204">
        <f t="shared" si="30"/>
        <v>2473</v>
      </c>
      <c r="AD13" s="204">
        <f t="shared" si="32"/>
        <v>247.3</v>
      </c>
      <c r="AE13" s="204">
        <f t="shared" si="11"/>
        <v>2473</v>
      </c>
      <c r="AF13" s="204">
        <f t="shared" si="33"/>
        <v>247.3</v>
      </c>
      <c r="AG13" s="204">
        <f t="shared" si="12"/>
        <v>2473</v>
      </c>
      <c r="AH13" s="204">
        <f t="shared" si="34"/>
        <v>247.3</v>
      </c>
      <c r="AI13" s="204">
        <f t="shared" si="13"/>
        <v>2473</v>
      </c>
      <c r="AJ13" s="204">
        <f t="shared" si="35"/>
        <v>247.3</v>
      </c>
      <c r="AK13" s="204">
        <f t="shared" si="14"/>
        <v>2473</v>
      </c>
      <c r="AL13" s="204">
        <f t="shared" si="36"/>
        <v>247.3</v>
      </c>
      <c r="AM13" s="204">
        <f t="shared" si="15"/>
        <v>2473</v>
      </c>
      <c r="AN13" s="35">
        <f t="shared" si="16"/>
        <v>0.88321428571428573</v>
      </c>
      <c r="AO13" s="36">
        <f t="shared" si="17"/>
        <v>17311</v>
      </c>
      <c r="AP13" s="586"/>
      <c r="AQ13" s="224">
        <f t="shared" si="37"/>
        <v>0.80226885537131298</v>
      </c>
      <c r="AR13" s="38">
        <f t="shared" si="41"/>
        <v>74586.93548387097</v>
      </c>
      <c r="AS13" s="198">
        <f t="shared" si="38"/>
        <v>0</v>
      </c>
      <c r="AT13" s="273"/>
      <c r="AU13" s="443"/>
      <c r="AV13" s="526">
        <f t="shared" si="42"/>
        <v>0</v>
      </c>
      <c r="AW13" s="293">
        <f>-SUM('B5'!AI12)</f>
        <v>0</v>
      </c>
      <c r="AX13" s="293">
        <f t="shared" si="39"/>
        <v>0</v>
      </c>
      <c r="AY13" s="37">
        <f t="shared" si="40"/>
        <v>0</v>
      </c>
      <c r="AZ13" s="100">
        <f>ELEC!A10</f>
        <v>0</v>
      </c>
      <c r="BA13" s="118">
        <f>'General information '!D13</f>
        <v>0</v>
      </c>
      <c r="BB13" s="398">
        <f>SUM('General information '!E13)</f>
        <v>0</v>
      </c>
      <c r="BC13" s="3">
        <f t="shared" si="43"/>
        <v>0</v>
      </c>
      <c r="BD13" s="102">
        <v>19222</v>
      </c>
      <c r="BE13" s="14">
        <f>(305/1185)*ELEC!Q11</f>
        <v>0</v>
      </c>
      <c r="BF13" s="14"/>
      <c r="BG13" s="14" t="e">
        <f>#REF!-BE13</f>
        <v>#REF!</v>
      </c>
      <c r="BH13" s="11"/>
    </row>
    <row r="14" spans="1:61">
      <c r="A14" s="451">
        <f>ELEC!C11</f>
        <v>44113</v>
      </c>
      <c r="B14">
        <f>'B5'!B13</f>
        <v>242</v>
      </c>
      <c r="C14" s="204">
        <f t="shared" si="18"/>
        <v>5206.9032258064517</v>
      </c>
      <c r="D14">
        <f t="shared" si="19"/>
        <v>242</v>
      </c>
      <c r="E14" s="204">
        <f t="shared" si="18"/>
        <v>5206.9032258064517</v>
      </c>
      <c r="F14">
        <f t="shared" si="20"/>
        <v>242</v>
      </c>
      <c r="G14" s="204">
        <f t="shared" si="1"/>
        <v>5206.9032258064517</v>
      </c>
      <c r="H14" s="204">
        <f t="shared" si="21"/>
        <v>242</v>
      </c>
      <c r="I14" s="204">
        <f t="shared" si="2"/>
        <v>5206.9032258064517</v>
      </c>
      <c r="J14" s="204">
        <f t="shared" si="22"/>
        <v>242</v>
      </c>
      <c r="K14" s="204">
        <f t="shared" si="3"/>
        <v>5206.9032258064517</v>
      </c>
      <c r="L14" s="204">
        <f t="shared" si="23"/>
        <v>242</v>
      </c>
      <c r="M14" s="204">
        <f t="shared" si="4"/>
        <v>5206.9032258064517</v>
      </c>
      <c r="N14" s="204">
        <f t="shared" si="24"/>
        <v>242</v>
      </c>
      <c r="O14" s="204">
        <f t="shared" si="5"/>
        <v>5206.9032258064517</v>
      </c>
      <c r="P14" s="204">
        <f t="shared" si="25"/>
        <v>242</v>
      </c>
      <c r="Q14" s="204">
        <f t="shared" si="6"/>
        <v>5206.9032258064517</v>
      </c>
      <c r="R14" s="204">
        <f t="shared" si="26"/>
        <v>242</v>
      </c>
      <c r="S14" s="204">
        <f t="shared" si="7"/>
        <v>5206.9032258064517</v>
      </c>
      <c r="T14" s="204">
        <f t="shared" si="27"/>
        <v>242</v>
      </c>
      <c r="U14" s="204">
        <f t="shared" si="8"/>
        <v>5206.9032258064517</v>
      </c>
      <c r="V14" s="204">
        <f t="shared" si="28"/>
        <v>242</v>
      </c>
      <c r="W14" s="204">
        <f t="shared" si="9"/>
        <v>5206.9032258064517</v>
      </c>
      <c r="X14" s="35">
        <f t="shared" si="10"/>
        <v>0.78064516129032269</v>
      </c>
      <c r="Y14" s="36">
        <f t="shared" si="29"/>
        <v>57275.935483870977</v>
      </c>
      <c r="Z14" s="204">
        <f>'B5'!C13</f>
        <v>247.3</v>
      </c>
      <c r="AA14" s="204">
        <f t="shared" si="30"/>
        <v>2473</v>
      </c>
      <c r="AB14" s="204">
        <f t="shared" si="31"/>
        <v>247.3</v>
      </c>
      <c r="AC14" s="204">
        <f t="shared" si="30"/>
        <v>2473</v>
      </c>
      <c r="AD14" s="204">
        <f t="shared" si="32"/>
        <v>247.3</v>
      </c>
      <c r="AE14" s="204">
        <f t="shared" si="11"/>
        <v>2473</v>
      </c>
      <c r="AF14" s="204">
        <f t="shared" si="33"/>
        <v>247.3</v>
      </c>
      <c r="AG14" s="204">
        <f t="shared" si="12"/>
        <v>2473</v>
      </c>
      <c r="AH14" s="204">
        <f t="shared" si="34"/>
        <v>247.3</v>
      </c>
      <c r="AI14" s="204">
        <f t="shared" si="13"/>
        <v>2473</v>
      </c>
      <c r="AJ14" s="204">
        <f t="shared" si="35"/>
        <v>247.3</v>
      </c>
      <c r="AK14" s="204">
        <f t="shared" si="14"/>
        <v>2473</v>
      </c>
      <c r="AL14" s="204">
        <f t="shared" si="36"/>
        <v>247.3</v>
      </c>
      <c r="AM14" s="204">
        <f t="shared" si="15"/>
        <v>2473</v>
      </c>
      <c r="AN14" s="35">
        <f t="shared" si="16"/>
        <v>0.88321428571428573</v>
      </c>
      <c r="AO14" s="36">
        <f t="shared" si="17"/>
        <v>17311</v>
      </c>
      <c r="AQ14" s="224">
        <f t="shared" si="37"/>
        <v>0.80226885537131298</v>
      </c>
      <c r="AR14" s="38">
        <f t="shared" si="41"/>
        <v>74586.93548387097</v>
      </c>
      <c r="AS14" s="198">
        <f t="shared" si="38"/>
        <v>0</v>
      </c>
      <c r="AT14" s="273"/>
      <c r="AU14" s="485"/>
      <c r="AV14" s="526">
        <f t="shared" si="42"/>
        <v>0</v>
      </c>
      <c r="AW14" s="293">
        <f>-SUM('B5'!AI13)</f>
        <v>0</v>
      </c>
      <c r="AX14" s="293">
        <f t="shared" si="39"/>
        <v>0</v>
      </c>
      <c r="AY14" s="37">
        <f t="shared" si="40"/>
        <v>0</v>
      </c>
      <c r="AZ14" s="100">
        <f>ELEC!A11</f>
        <v>0</v>
      </c>
      <c r="BA14" s="118">
        <f>'General information '!D14</f>
        <v>0</v>
      </c>
      <c r="BB14" s="398">
        <f>SUM('General information '!E14)</f>
        <v>0</v>
      </c>
      <c r="BC14" s="3">
        <f t="shared" si="43"/>
        <v>0</v>
      </c>
      <c r="BD14" s="102">
        <v>19222</v>
      </c>
      <c r="BE14" s="14">
        <f>(305/1185)*ELEC!Q12</f>
        <v>0</v>
      </c>
      <c r="BF14" s="14"/>
      <c r="BG14" s="14" t="e">
        <f>#REF!-BE14</f>
        <v>#REF!</v>
      </c>
      <c r="BH14" s="11"/>
    </row>
    <row r="15" spans="1:61" ht="13.5" customHeight="1">
      <c r="A15" s="451">
        <f>ELEC!C12</f>
        <v>44114</v>
      </c>
      <c r="B15">
        <f>'B5'!B14</f>
        <v>242</v>
      </c>
      <c r="C15" s="204">
        <f t="shared" si="18"/>
        <v>5206.9032258064517</v>
      </c>
      <c r="D15">
        <f t="shared" si="19"/>
        <v>242</v>
      </c>
      <c r="E15" s="204">
        <f t="shared" si="18"/>
        <v>5206.9032258064517</v>
      </c>
      <c r="F15">
        <f t="shared" si="20"/>
        <v>242</v>
      </c>
      <c r="G15" s="204">
        <f t="shared" si="1"/>
        <v>5206.9032258064517</v>
      </c>
      <c r="H15" s="204">
        <f t="shared" si="21"/>
        <v>242</v>
      </c>
      <c r="I15" s="204">
        <f t="shared" si="2"/>
        <v>5206.9032258064517</v>
      </c>
      <c r="J15" s="204">
        <f t="shared" si="22"/>
        <v>242</v>
      </c>
      <c r="K15" s="204">
        <f t="shared" si="3"/>
        <v>5206.9032258064517</v>
      </c>
      <c r="L15" s="204">
        <f t="shared" si="23"/>
        <v>242</v>
      </c>
      <c r="M15" s="204">
        <f t="shared" si="4"/>
        <v>5206.9032258064517</v>
      </c>
      <c r="N15" s="204">
        <f t="shared" si="24"/>
        <v>242</v>
      </c>
      <c r="O15" s="204">
        <f t="shared" si="5"/>
        <v>5206.9032258064517</v>
      </c>
      <c r="P15" s="204">
        <f t="shared" si="25"/>
        <v>242</v>
      </c>
      <c r="Q15" s="204">
        <f t="shared" si="6"/>
        <v>5206.9032258064517</v>
      </c>
      <c r="R15" s="204">
        <f t="shared" si="26"/>
        <v>242</v>
      </c>
      <c r="S15" s="204">
        <f t="shared" si="7"/>
        <v>5206.9032258064517</v>
      </c>
      <c r="T15" s="204">
        <f t="shared" si="27"/>
        <v>242</v>
      </c>
      <c r="U15" s="204">
        <f t="shared" si="8"/>
        <v>5206.9032258064517</v>
      </c>
      <c r="V15" s="204">
        <f t="shared" si="28"/>
        <v>242</v>
      </c>
      <c r="W15" s="204">
        <f t="shared" si="9"/>
        <v>5206.9032258064517</v>
      </c>
      <c r="X15" s="35">
        <f t="shared" si="10"/>
        <v>0.78064516129032269</v>
      </c>
      <c r="Y15" s="36">
        <f t="shared" si="29"/>
        <v>57275.935483870977</v>
      </c>
      <c r="Z15" s="204">
        <f>'B5'!C14</f>
        <v>247.3</v>
      </c>
      <c r="AA15" s="204">
        <f t="shared" si="30"/>
        <v>2473</v>
      </c>
      <c r="AB15" s="204">
        <f t="shared" si="31"/>
        <v>247.3</v>
      </c>
      <c r="AC15" s="204">
        <f t="shared" si="30"/>
        <v>2473</v>
      </c>
      <c r="AD15" s="204">
        <f t="shared" si="32"/>
        <v>247.3</v>
      </c>
      <c r="AE15" s="204">
        <f t="shared" si="11"/>
        <v>2473</v>
      </c>
      <c r="AF15" s="204">
        <f t="shared" si="33"/>
        <v>247.3</v>
      </c>
      <c r="AG15" s="204">
        <f t="shared" si="12"/>
        <v>2473</v>
      </c>
      <c r="AH15" s="204">
        <f t="shared" si="34"/>
        <v>247.3</v>
      </c>
      <c r="AI15" s="204">
        <f t="shared" si="13"/>
        <v>2473</v>
      </c>
      <c r="AJ15" s="204">
        <f t="shared" si="35"/>
        <v>247.3</v>
      </c>
      <c r="AK15" s="204">
        <f t="shared" si="14"/>
        <v>2473</v>
      </c>
      <c r="AL15" s="204">
        <f t="shared" si="36"/>
        <v>247.3</v>
      </c>
      <c r="AM15" s="204">
        <f t="shared" si="15"/>
        <v>2473</v>
      </c>
      <c r="AN15" s="35">
        <f t="shared" si="16"/>
        <v>0.88321428571428573</v>
      </c>
      <c r="AO15" s="36">
        <f t="shared" si="17"/>
        <v>17311</v>
      </c>
      <c r="AQ15" s="224">
        <f t="shared" si="37"/>
        <v>0.80226885537131298</v>
      </c>
      <c r="AR15" s="38">
        <f t="shared" si="41"/>
        <v>74586.93548387097</v>
      </c>
      <c r="AS15" s="198">
        <f>SUM(AR15-AR14-AT15)</f>
        <v>0</v>
      </c>
      <c r="AT15" s="273"/>
      <c r="AU15" s="443"/>
      <c r="AV15" s="526">
        <f>IF(AT15&gt;0,AU15,AV14)</f>
        <v>0</v>
      </c>
      <c r="AW15" s="293">
        <f>-SUM('B5'!AI14)</f>
        <v>0</v>
      </c>
      <c r="AX15" s="293">
        <f>-SUM(AW15-AS15)</f>
        <v>0</v>
      </c>
      <c r="AY15" s="37">
        <f t="shared" si="40"/>
        <v>0</v>
      </c>
      <c r="AZ15" s="100">
        <f>ELEC!A12</f>
        <v>0</v>
      </c>
      <c r="BA15" s="118">
        <f>'General information '!D15</f>
        <v>0</v>
      </c>
      <c r="BB15" s="398">
        <f>SUM('General information '!E15)</f>
        <v>0</v>
      </c>
      <c r="BC15" s="3">
        <f t="shared" si="43"/>
        <v>0</v>
      </c>
      <c r="BD15" s="102">
        <v>19222</v>
      </c>
      <c r="BE15" s="14">
        <f>(305/1185)*ELEC!Q13</f>
        <v>0</v>
      </c>
      <c r="BF15" s="14"/>
      <c r="BG15" s="14" t="e">
        <f>#REF!-BE15</f>
        <v>#REF!</v>
      </c>
      <c r="BH15" s="11"/>
    </row>
    <row r="16" spans="1:61">
      <c r="A16" s="451">
        <f>ELEC!C13</f>
        <v>44115</v>
      </c>
      <c r="B16">
        <f>'B5'!B15</f>
        <v>242</v>
      </c>
      <c r="C16" s="204">
        <f t="shared" si="18"/>
        <v>5206.9032258064517</v>
      </c>
      <c r="D16">
        <f t="shared" si="19"/>
        <v>242</v>
      </c>
      <c r="E16" s="204">
        <f t="shared" si="18"/>
        <v>5206.9032258064517</v>
      </c>
      <c r="F16">
        <f t="shared" si="20"/>
        <v>242</v>
      </c>
      <c r="G16" s="204">
        <f t="shared" si="1"/>
        <v>5206.9032258064517</v>
      </c>
      <c r="H16" s="204">
        <f t="shared" si="21"/>
        <v>242</v>
      </c>
      <c r="I16" s="204">
        <f t="shared" si="2"/>
        <v>5206.9032258064517</v>
      </c>
      <c r="J16" s="204">
        <f t="shared" si="22"/>
        <v>242</v>
      </c>
      <c r="K16" s="204">
        <f t="shared" si="3"/>
        <v>5206.9032258064517</v>
      </c>
      <c r="L16" s="204">
        <f t="shared" si="23"/>
        <v>242</v>
      </c>
      <c r="M16" s="204">
        <f t="shared" si="4"/>
        <v>5206.9032258064517</v>
      </c>
      <c r="N16" s="204">
        <f t="shared" si="24"/>
        <v>242</v>
      </c>
      <c r="O16" s="204">
        <f t="shared" si="5"/>
        <v>5206.9032258064517</v>
      </c>
      <c r="P16" s="204">
        <f t="shared" si="25"/>
        <v>242</v>
      </c>
      <c r="Q16" s="204">
        <f t="shared" si="6"/>
        <v>5206.9032258064517</v>
      </c>
      <c r="R16" s="204">
        <f t="shared" si="26"/>
        <v>242</v>
      </c>
      <c r="S16" s="204">
        <f t="shared" si="7"/>
        <v>5206.9032258064517</v>
      </c>
      <c r="T16" s="204">
        <f t="shared" si="27"/>
        <v>242</v>
      </c>
      <c r="U16" s="204">
        <f t="shared" si="8"/>
        <v>5206.9032258064517</v>
      </c>
      <c r="V16" s="204">
        <f t="shared" si="28"/>
        <v>242</v>
      </c>
      <c r="W16" s="204">
        <f t="shared" si="9"/>
        <v>5206.9032258064517</v>
      </c>
      <c r="X16" s="35">
        <f t="shared" si="10"/>
        <v>0.78064516129032269</v>
      </c>
      <c r="Y16" s="36">
        <f t="shared" si="29"/>
        <v>57275.935483870977</v>
      </c>
      <c r="Z16" s="204">
        <f>'B5'!C15</f>
        <v>247.3</v>
      </c>
      <c r="AA16" s="204">
        <f t="shared" si="30"/>
        <v>2473</v>
      </c>
      <c r="AB16" s="204">
        <f t="shared" si="31"/>
        <v>247.3</v>
      </c>
      <c r="AC16" s="204">
        <f t="shared" si="30"/>
        <v>2473</v>
      </c>
      <c r="AD16" s="204">
        <f t="shared" si="32"/>
        <v>247.3</v>
      </c>
      <c r="AE16" s="204">
        <f t="shared" si="11"/>
        <v>2473</v>
      </c>
      <c r="AF16" s="204">
        <f t="shared" si="33"/>
        <v>247.3</v>
      </c>
      <c r="AG16" s="204">
        <f t="shared" si="12"/>
        <v>2473</v>
      </c>
      <c r="AH16" s="204">
        <f t="shared" si="34"/>
        <v>247.3</v>
      </c>
      <c r="AI16" s="204">
        <f t="shared" si="13"/>
        <v>2473</v>
      </c>
      <c r="AJ16" s="204">
        <f t="shared" si="35"/>
        <v>247.3</v>
      </c>
      <c r="AK16" s="204">
        <f t="shared" si="14"/>
        <v>2473</v>
      </c>
      <c r="AL16" s="204">
        <f t="shared" si="36"/>
        <v>247.3</v>
      </c>
      <c r="AM16" s="204">
        <f t="shared" si="15"/>
        <v>2473</v>
      </c>
      <c r="AN16" s="35">
        <f t="shared" si="16"/>
        <v>0.88321428571428573</v>
      </c>
      <c r="AO16" s="36">
        <f t="shared" si="17"/>
        <v>17311</v>
      </c>
      <c r="AQ16" s="224">
        <f t="shared" si="37"/>
        <v>0.80226885537131298</v>
      </c>
      <c r="AR16" s="38">
        <f t="shared" si="41"/>
        <v>74586.93548387097</v>
      </c>
      <c r="AS16" s="198">
        <f>SUM(AR16-AR15-AT16)</f>
        <v>0</v>
      </c>
      <c r="AT16" s="359"/>
      <c r="AU16" s="443"/>
      <c r="AV16" s="526">
        <f>IF(AT16&gt;0,AU16,AV15)</f>
        <v>0</v>
      </c>
      <c r="AW16" s="293">
        <f>-SUM('B5'!AI15)</f>
        <v>0</v>
      </c>
      <c r="AX16" s="293">
        <f>-SUM(AW16-AS16)</f>
        <v>0</v>
      </c>
      <c r="AY16" s="37">
        <f t="shared" si="40"/>
        <v>0</v>
      </c>
      <c r="AZ16" s="100">
        <f>ELEC!A13</f>
        <v>0</v>
      </c>
      <c r="BA16" s="118">
        <f>'General information '!D16</f>
        <v>0</v>
      </c>
      <c r="BB16" s="398">
        <f>SUM('General information '!E16)</f>
        <v>0</v>
      </c>
      <c r="BC16" s="3">
        <f t="shared" si="43"/>
        <v>0</v>
      </c>
      <c r="BD16" s="102">
        <v>19222</v>
      </c>
      <c r="BE16" s="14">
        <f>(305/1185)*ELEC!Q14</f>
        <v>0</v>
      </c>
      <c r="BF16" s="14"/>
      <c r="BG16" s="14" t="e">
        <f>#REF!-BE16</f>
        <v>#REF!</v>
      </c>
      <c r="BH16" s="11"/>
    </row>
    <row r="17" spans="1:61">
      <c r="A17" s="451">
        <f>ELEC!C14</f>
        <v>44116</v>
      </c>
      <c r="B17">
        <f>'B5'!B16</f>
        <v>242</v>
      </c>
      <c r="C17" s="204">
        <f t="shared" si="18"/>
        <v>5206.9032258064517</v>
      </c>
      <c r="D17">
        <f t="shared" si="19"/>
        <v>242</v>
      </c>
      <c r="E17" s="204">
        <f t="shared" si="18"/>
        <v>5206.9032258064517</v>
      </c>
      <c r="F17">
        <f t="shared" si="20"/>
        <v>242</v>
      </c>
      <c r="G17" s="204">
        <f t="shared" si="1"/>
        <v>5206.9032258064517</v>
      </c>
      <c r="H17" s="204">
        <f t="shared" si="21"/>
        <v>242</v>
      </c>
      <c r="I17" s="204">
        <f t="shared" si="2"/>
        <v>5206.9032258064517</v>
      </c>
      <c r="J17" s="204">
        <f t="shared" si="22"/>
        <v>242</v>
      </c>
      <c r="K17" s="204">
        <f t="shared" si="3"/>
        <v>5206.9032258064517</v>
      </c>
      <c r="L17" s="204">
        <f t="shared" si="23"/>
        <v>242</v>
      </c>
      <c r="M17" s="204">
        <f t="shared" si="4"/>
        <v>5206.9032258064517</v>
      </c>
      <c r="N17" s="204">
        <f t="shared" si="24"/>
        <v>242</v>
      </c>
      <c r="O17" s="204">
        <f t="shared" si="5"/>
        <v>5206.9032258064517</v>
      </c>
      <c r="P17" s="204">
        <f t="shared" si="25"/>
        <v>242</v>
      </c>
      <c r="Q17" s="204">
        <f t="shared" si="6"/>
        <v>5206.9032258064517</v>
      </c>
      <c r="R17" s="204">
        <f t="shared" si="26"/>
        <v>242</v>
      </c>
      <c r="S17" s="204">
        <f t="shared" si="7"/>
        <v>5206.9032258064517</v>
      </c>
      <c r="T17" s="204">
        <f t="shared" si="27"/>
        <v>242</v>
      </c>
      <c r="U17" s="204">
        <f t="shared" si="8"/>
        <v>5206.9032258064517</v>
      </c>
      <c r="V17" s="204">
        <f t="shared" si="28"/>
        <v>242</v>
      </c>
      <c r="W17" s="204">
        <f t="shared" si="9"/>
        <v>5206.9032258064517</v>
      </c>
      <c r="X17" s="35">
        <f t="shared" si="10"/>
        <v>0.78064516129032269</v>
      </c>
      <c r="Y17" s="36">
        <f t="shared" si="29"/>
        <v>57275.935483870977</v>
      </c>
      <c r="Z17" s="204">
        <f>'B5'!C16</f>
        <v>247.3</v>
      </c>
      <c r="AA17" s="204">
        <f t="shared" si="30"/>
        <v>2473</v>
      </c>
      <c r="AB17" s="204">
        <f t="shared" si="31"/>
        <v>247.3</v>
      </c>
      <c r="AC17" s="204">
        <f t="shared" si="30"/>
        <v>2473</v>
      </c>
      <c r="AD17" s="204">
        <f t="shared" si="32"/>
        <v>247.3</v>
      </c>
      <c r="AE17" s="204">
        <f t="shared" si="11"/>
        <v>2473</v>
      </c>
      <c r="AF17" s="204">
        <f t="shared" si="33"/>
        <v>247.3</v>
      </c>
      <c r="AG17" s="204">
        <f t="shared" si="12"/>
        <v>2473</v>
      </c>
      <c r="AH17" s="204">
        <f t="shared" si="34"/>
        <v>247.3</v>
      </c>
      <c r="AI17" s="204">
        <f t="shared" si="13"/>
        <v>2473</v>
      </c>
      <c r="AJ17" s="204">
        <f t="shared" si="35"/>
        <v>247.3</v>
      </c>
      <c r="AK17" s="204">
        <f t="shared" si="14"/>
        <v>2473</v>
      </c>
      <c r="AL17" s="204">
        <f t="shared" si="36"/>
        <v>247.3</v>
      </c>
      <c r="AM17" s="204">
        <f t="shared" si="15"/>
        <v>2473</v>
      </c>
      <c r="AN17" s="35">
        <f t="shared" si="16"/>
        <v>0.88321428571428573</v>
      </c>
      <c r="AO17" s="36">
        <f>SUM(AA17+AC17+AE17+AG17+AI17+AK17+AM17)</f>
        <v>17311</v>
      </c>
      <c r="AQ17" s="224">
        <f t="shared" si="37"/>
        <v>0.80226885537131298</v>
      </c>
      <c r="AR17" s="38">
        <f t="shared" si="41"/>
        <v>74586.93548387097</v>
      </c>
      <c r="AS17" s="198">
        <f t="shared" si="38"/>
        <v>0</v>
      </c>
      <c r="AT17" s="359"/>
      <c r="AU17" s="485"/>
      <c r="AV17" s="526">
        <f t="shared" si="42"/>
        <v>0</v>
      </c>
      <c r="AW17" s="293">
        <f>-SUM('B5'!AI16)</f>
        <v>0</v>
      </c>
      <c r="AX17" s="293">
        <f t="shared" si="39"/>
        <v>0</v>
      </c>
      <c r="AY17" s="37">
        <f t="shared" si="40"/>
        <v>0</v>
      </c>
      <c r="AZ17" s="100">
        <f>ELEC!A14</f>
        <v>0</v>
      </c>
      <c r="BA17" s="118">
        <f>'General information '!D17</f>
        <v>0</v>
      </c>
      <c r="BB17" s="398">
        <f>SUM('General information '!E17)</f>
        <v>0</v>
      </c>
      <c r="BC17" s="3">
        <f t="shared" si="43"/>
        <v>0</v>
      </c>
      <c r="BD17" s="102">
        <v>19222</v>
      </c>
      <c r="BE17" s="14">
        <f>(305/1185)*ELEC!Q15</f>
        <v>0</v>
      </c>
      <c r="BF17" s="14"/>
      <c r="BG17" s="14" t="e">
        <f>#REF!-BE17</f>
        <v>#REF!</v>
      </c>
      <c r="BH17" s="11"/>
    </row>
    <row r="18" spans="1:61">
      <c r="A18" s="451">
        <f>ELEC!C15</f>
        <v>44117</v>
      </c>
      <c r="B18">
        <f>'B5'!B17</f>
        <v>242</v>
      </c>
      <c r="C18" s="204">
        <f t="shared" si="18"/>
        <v>5206.9032258064517</v>
      </c>
      <c r="D18">
        <f t="shared" si="19"/>
        <v>242</v>
      </c>
      <c r="E18" s="204">
        <f t="shared" si="18"/>
        <v>5206.9032258064517</v>
      </c>
      <c r="F18">
        <f t="shared" si="20"/>
        <v>242</v>
      </c>
      <c r="G18" s="204">
        <f t="shared" si="1"/>
        <v>5206.9032258064517</v>
      </c>
      <c r="H18" s="204">
        <f t="shared" si="21"/>
        <v>242</v>
      </c>
      <c r="I18" s="204">
        <f t="shared" si="2"/>
        <v>5206.9032258064517</v>
      </c>
      <c r="J18" s="204">
        <f t="shared" si="22"/>
        <v>242</v>
      </c>
      <c r="K18" s="204">
        <f t="shared" si="3"/>
        <v>5206.9032258064517</v>
      </c>
      <c r="L18" s="204">
        <f t="shared" si="23"/>
        <v>242</v>
      </c>
      <c r="M18" s="204">
        <f t="shared" si="4"/>
        <v>5206.9032258064517</v>
      </c>
      <c r="N18" s="204">
        <f t="shared" si="24"/>
        <v>242</v>
      </c>
      <c r="O18" s="204">
        <f t="shared" si="5"/>
        <v>5206.9032258064517</v>
      </c>
      <c r="P18" s="204">
        <f t="shared" si="25"/>
        <v>242</v>
      </c>
      <c r="Q18" s="204">
        <f t="shared" si="6"/>
        <v>5206.9032258064517</v>
      </c>
      <c r="R18" s="204">
        <f t="shared" si="26"/>
        <v>242</v>
      </c>
      <c r="S18" s="204">
        <f t="shared" si="7"/>
        <v>5206.9032258064517</v>
      </c>
      <c r="T18" s="204">
        <f t="shared" si="27"/>
        <v>242</v>
      </c>
      <c r="U18" s="204">
        <f t="shared" si="8"/>
        <v>5206.9032258064517</v>
      </c>
      <c r="V18" s="204">
        <f t="shared" si="28"/>
        <v>242</v>
      </c>
      <c r="W18" s="204">
        <f t="shared" si="9"/>
        <v>5206.9032258064517</v>
      </c>
      <c r="X18" s="35">
        <f t="shared" si="10"/>
        <v>0.78064516129032269</v>
      </c>
      <c r="Y18" s="36">
        <f t="shared" si="29"/>
        <v>57275.935483870977</v>
      </c>
      <c r="Z18" s="204">
        <f>'B5'!C17</f>
        <v>247.3</v>
      </c>
      <c r="AA18" s="204">
        <f t="shared" si="30"/>
        <v>2473</v>
      </c>
      <c r="AB18" s="204">
        <f t="shared" si="31"/>
        <v>247.3</v>
      </c>
      <c r="AC18" s="204">
        <f t="shared" si="30"/>
        <v>2473</v>
      </c>
      <c r="AD18" s="204">
        <f t="shared" si="32"/>
        <v>247.3</v>
      </c>
      <c r="AE18" s="204">
        <f t="shared" si="11"/>
        <v>2473</v>
      </c>
      <c r="AF18" s="204">
        <f t="shared" si="33"/>
        <v>247.3</v>
      </c>
      <c r="AG18" s="204">
        <f t="shared" si="12"/>
        <v>2473</v>
      </c>
      <c r="AH18" s="204">
        <f t="shared" si="34"/>
        <v>247.3</v>
      </c>
      <c r="AI18" s="204">
        <f t="shared" si="13"/>
        <v>2473</v>
      </c>
      <c r="AJ18" s="204">
        <f t="shared" si="35"/>
        <v>247.3</v>
      </c>
      <c r="AK18" s="204">
        <f t="shared" si="14"/>
        <v>2473</v>
      </c>
      <c r="AL18" s="204">
        <f t="shared" si="36"/>
        <v>247.3</v>
      </c>
      <c r="AM18" s="204">
        <f t="shared" si="15"/>
        <v>2473</v>
      </c>
      <c r="AN18" s="35">
        <f t="shared" si="16"/>
        <v>0.88321428571428573</v>
      </c>
      <c r="AO18" s="36">
        <f t="shared" si="17"/>
        <v>17311</v>
      </c>
      <c r="AQ18" s="224">
        <f t="shared" si="37"/>
        <v>0.80226885537131298</v>
      </c>
      <c r="AR18" s="38">
        <f t="shared" si="41"/>
        <v>74586.93548387097</v>
      </c>
      <c r="AS18" s="198">
        <f t="shared" si="38"/>
        <v>0</v>
      </c>
      <c r="AT18" s="273"/>
      <c r="AU18" s="443"/>
      <c r="AV18" s="526">
        <f>IF(AT18&gt;0,AU18,AV17)</f>
        <v>0</v>
      </c>
      <c r="AW18" s="293">
        <f>-SUM('B5'!AI17)</f>
        <v>0</v>
      </c>
      <c r="AX18" s="293">
        <f t="shared" si="39"/>
        <v>0</v>
      </c>
      <c r="AY18" s="37">
        <f t="shared" si="40"/>
        <v>0</v>
      </c>
      <c r="AZ18" s="100">
        <f>ELEC!A15</f>
        <v>0</v>
      </c>
      <c r="BA18" s="118">
        <f>'General information '!D18</f>
        <v>0</v>
      </c>
      <c r="BB18" s="398">
        <f>SUM('General information '!E18)</f>
        <v>0</v>
      </c>
      <c r="BC18" s="3">
        <f t="shared" si="43"/>
        <v>0</v>
      </c>
      <c r="BD18" s="102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1">
      <c r="A19" s="451">
        <f>ELEC!C16</f>
        <v>44118</v>
      </c>
      <c r="B19">
        <f>'B5'!B18</f>
        <v>242</v>
      </c>
      <c r="C19" s="204">
        <f t="shared" si="18"/>
        <v>5206.9032258064517</v>
      </c>
      <c r="D19">
        <f t="shared" si="19"/>
        <v>242</v>
      </c>
      <c r="E19" s="204">
        <f t="shared" si="18"/>
        <v>5206.9032258064517</v>
      </c>
      <c r="F19">
        <f t="shared" si="20"/>
        <v>242</v>
      </c>
      <c r="G19" s="204">
        <f t="shared" si="1"/>
        <v>5206.9032258064517</v>
      </c>
      <c r="H19" s="204">
        <f t="shared" si="21"/>
        <v>242</v>
      </c>
      <c r="I19" s="204">
        <f t="shared" si="2"/>
        <v>5206.9032258064517</v>
      </c>
      <c r="J19" s="204">
        <f t="shared" si="22"/>
        <v>242</v>
      </c>
      <c r="K19" s="204">
        <f t="shared" si="3"/>
        <v>5206.9032258064517</v>
      </c>
      <c r="L19" s="204">
        <f t="shared" si="23"/>
        <v>242</v>
      </c>
      <c r="M19" s="204">
        <f t="shared" si="4"/>
        <v>5206.9032258064517</v>
      </c>
      <c r="N19" s="204">
        <f t="shared" si="24"/>
        <v>242</v>
      </c>
      <c r="O19" s="204">
        <f t="shared" si="5"/>
        <v>5206.9032258064517</v>
      </c>
      <c r="P19" s="204">
        <f t="shared" si="25"/>
        <v>242</v>
      </c>
      <c r="Q19" s="204">
        <f t="shared" si="6"/>
        <v>5206.9032258064517</v>
      </c>
      <c r="R19" s="204">
        <f t="shared" si="26"/>
        <v>242</v>
      </c>
      <c r="S19" s="204">
        <f t="shared" si="7"/>
        <v>5206.9032258064517</v>
      </c>
      <c r="T19" s="204">
        <f t="shared" si="27"/>
        <v>242</v>
      </c>
      <c r="U19" s="204">
        <f t="shared" si="8"/>
        <v>5206.9032258064517</v>
      </c>
      <c r="V19" s="204">
        <f t="shared" si="28"/>
        <v>242</v>
      </c>
      <c r="W19" s="204">
        <f t="shared" si="9"/>
        <v>5206.9032258064517</v>
      </c>
      <c r="X19" s="35">
        <f t="shared" si="10"/>
        <v>0.78064516129032269</v>
      </c>
      <c r="Y19" s="36">
        <f t="shared" si="29"/>
        <v>57275.935483870977</v>
      </c>
      <c r="Z19" s="204">
        <f>'B5'!C18</f>
        <v>247.3</v>
      </c>
      <c r="AA19" s="204">
        <f t="shared" si="30"/>
        <v>2473</v>
      </c>
      <c r="AB19" s="204">
        <f t="shared" si="31"/>
        <v>247.3</v>
      </c>
      <c r="AC19" s="204">
        <f t="shared" si="30"/>
        <v>2473</v>
      </c>
      <c r="AD19" s="204">
        <f t="shared" si="32"/>
        <v>247.3</v>
      </c>
      <c r="AE19" s="204">
        <f t="shared" si="11"/>
        <v>2473</v>
      </c>
      <c r="AF19" s="204">
        <f t="shared" si="33"/>
        <v>247.3</v>
      </c>
      <c r="AG19" s="204">
        <f t="shared" si="12"/>
        <v>2473</v>
      </c>
      <c r="AH19" s="204">
        <f t="shared" si="34"/>
        <v>247.3</v>
      </c>
      <c r="AI19" s="204">
        <f t="shared" si="13"/>
        <v>2473</v>
      </c>
      <c r="AJ19" s="204">
        <f t="shared" si="35"/>
        <v>247.3</v>
      </c>
      <c r="AK19" s="204">
        <f t="shared" si="14"/>
        <v>2473</v>
      </c>
      <c r="AL19" s="204">
        <f t="shared" si="36"/>
        <v>247.3</v>
      </c>
      <c r="AM19" s="204">
        <f t="shared" si="15"/>
        <v>2473</v>
      </c>
      <c r="AN19" s="35">
        <f t="shared" si="16"/>
        <v>0.88321428571428573</v>
      </c>
      <c r="AO19" s="36">
        <f t="shared" si="17"/>
        <v>17311</v>
      </c>
      <c r="AQ19" s="224">
        <f t="shared" si="37"/>
        <v>0.80226885537131298</v>
      </c>
      <c r="AR19" s="38">
        <f t="shared" si="41"/>
        <v>74586.93548387097</v>
      </c>
      <c r="AS19" s="198">
        <f t="shared" si="38"/>
        <v>0</v>
      </c>
      <c r="AT19" s="273"/>
      <c r="AU19" s="443"/>
      <c r="AV19" s="526">
        <f t="shared" si="42"/>
        <v>0</v>
      </c>
      <c r="AW19" s="293">
        <f>-SUM('B5'!AI18)</f>
        <v>0</v>
      </c>
      <c r="AX19" s="293">
        <f t="shared" si="39"/>
        <v>0</v>
      </c>
      <c r="AY19" s="37">
        <f t="shared" si="40"/>
        <v>0</v>
      </c>
      <c r="AZ19" s="100">
        <f>ELEC!A16</f>
        <v>0</v>
      </c>
      <c r="BA19" s="118">
        <f>'General information '!D19</f>
        <v>0</v>
      </c>
      <c r="BB19" s="398">
        <f>SUM('General information '!E19)</f>
        <v>0</v>
      </c>
      <c r="BC19" s="3">
        <f t="shared" si="43"/>
        <v>0</v>
      </c>
      <c r="BD19" s="102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51">
        <f>ELEC!C17</f>
        <v>44119</v>
      </c>
      <c r="B20">
        <f>'B5'!B19</f>
        <v>242</v>
      </c>
      <c r="C20" s="204">
        <f t="shared" si="18"/>
        <v>5206.9032258064517</v>
      </c>
      <c r="D20">
        <f t="shared" si="19"/>
        <v>242</v>
      </c>
      <c r="E20" s="204">
        <f t="shared" si="18"/>
        <v>5206.9032258064517</v>
      </c>
      <c r="F20">
        <f t="shared" si="20"/>
        <v>242</v>
      </c>
      <c r="G20" s="204">
        <f t="shared" si="1"/>
        <v>5206.9032258064517</v>
      </c>
      <c r="H20" s="204">
        <f t="shared" si="21"/>
        <v>242</v>
      </c>
      <c r="I20" s="204">
        <f t="shared" si="2"/>
        <v>5206.9032258064517</v>
      </c>
      <c r="J20" s="204">
        <f t="shared" si="22"/>
        <v>242</v>
      </c>
      <c r="K20" s="204">
        <f t="shared" si="3"/>
        <v>5206.9032258064517</v>
      </c>
      <c r="L20" s="204">
        <f t="shared" si="23"/>
        <v>242</v>
      </c>
      <c r="M20" s="204">
        <f t="shared" si="4"/>
        <v>5206.9032258064517</v>
      </c>
      <c r="N20" s="204">
        <f t="shared" si="24"/>
        <v>242</v>
      </c>
      <c r="O20" s="204">
        <f t="shared" si="5"/>
        <v>5206.9032258064517</v>
      </c>
      <c r="P20" s="204">
        <f t="shared" si="25"/>
        <v>242</v>
      </c>
      <c r="Q20" s="204">
        <f t="shared" si="6"/>
        <v>5206.9032258064517</v>
      </c>
      <c r="R20" s="204">
        <f t="shared" si="26"/>
        <v>242</v>
      </c>
      <c r="S20" s="204">
        <f t="shared" si="7"/>
        <v>5206.9032258064517</v>
      </c>
      <c r="T20" s="204">
        <f t="shared" si="27"/>
        <v>242</v>
      </c>
      <c r="U20" s="204">
        <f t="shared" si="8"/>
        <v>5206.9032258064517</v>
      </c>
      <c r="V20" s="204">
        <f t="shared" si="28"/>
        <v>242</v>
      </c>
      <c r="W20" s="204">
        <f t="shared" si="9"/>
        <v>5206.9032258064517</v>
      </c>
      <c r="X20" s="35">
        <f t="shared" si="10"/>
        <v>0.78064516129032269</v>
      </c>
      <c r="Y20" s="36">
        <f t="shared" si="29"/>
        <v>57275.935483870977</v>
      </c>
      <c r="Z20" s="204">
        <f>'B5'!C19</f>
        <v>247.3</v>
      </c>
      <c r="AA20" s="204">
        <f t="shared" si="30"/>
        <v>2473</v>
      </c>
      <c r="AB20" s="204">
        <f t="shared" si="31"/>
        <v>247.3</v>
      </c>
      <c r="AC20" s="204">
        <f t="shared" si="30"/>
        <v>2473</v>
      </c>
      <c r="AD20" s="204">
        <f t="shared" si="32"/>
        <v>247.3</v>
      </c>
      <c r="AE20" s="204">
        <f t="shared" si="11"/>
        <v>2473</v>
      </c>
      <c r="AF20" s="204">
        <f t="shared" si="33"/>
        <v>247.3</v>
      </c>
      <c r="AG20" s="204">
        <f t="shared" si="12"/>
        <v>2473</v>
      </c>
      <c r="AH20" s="204">
        <f t="shared" si="34"/>
        <v>247.3</v>
      </c>
      <c r="AI20" s="204">
        <f t="shared" si="13"/>
        <v>2473</v>
      </c>
      <c r="AJ20" s="204">
        <f t="shared" si="35"/>
        <v>247.3</v>
      </c>
      <c r="AK20" s="204">
        <f t="shared" si="14"/>
        <v>2473</v>
      </c>
      <c r="AL20" s="204">
        <f t="shared" si="36"/>
        <v>247.3</v>
      </c>
      <c r="AM20" s="204">
        <f t="shared" si="15"/>
        <v>2473</v>
      </c>
      <c r="AN20" s="35">
        <f t="shared" si="16"/>
        <v>0.88321428571428573</v>
      </c>
      <c r="AO20" s="36">
        <f t="shared" si="17"/>
        <v>17311</v>
      </c>
      <c r="AQ20" s="224">
        <f t="shared" si="37"/>
        <v>0.80226885537131298</v>
      </c>
      <c r="AR20" s="38">
        <f t="shared" si="41"/>
        <v>74586.93548387097</v>
      </c>
      <c r="AS20" s="198">
        <f t="shared" si="38"/>
        <v>0</v>
      </c>
      <c r="AT20" s="273"/>
      <c r="AU20" s="443"/>
      <c r="AV20" s="526">
        <f t="shared" si="42"/>
        <v>0</v>
      </c>
      <c r="AW20" s="293">
        <f>-SUM('B5'!AI19)</f>
        <v>0</v>
      </c>
      <c r="AX20" s="293">
        <f t="shared" si="39"/>
        <v>0</v>
      </c>
      <c r="AY20" s="37">
        <f t="shared" si="40"/>
        <v>0</v>
      </c>
      <c r="AZ20" s="100">
        <f>ELEC!A17</f>
        <v>0</v>
      </c>
      <c r="BA20" s="118">
        <f>'General information '!D20</f>
        <v>0</v>
      </c>
      <c r="BB20" s="398">
        <f>SUM('General information '!E20)</f>
        <v>0</v>
      </c>
      <c r="BC20" s="3">
        <f t="shared" si="43"/>
        <v>0</v>
      </c>
      <c r="BD20" s="102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51">
        <f>ELEC!C18</f>
        <v>44120</v>
      </c>
      <c r="B21">
        <f>'B5'!B20</f>
        <v>242</v>
      </c>
      <c r="C21" s="204">
        <f t="shared" si="18"/>
        <v>5206.9032258064517</v>
      </c>
      <c r="D21">
        <f t="shared" si="19"/>
        <v>242</v>
      </c>
      <c r="E21" s="204">
        <f t="shared" si="18"/>
        <v>5206.9032258064517</v>
      </c>
      <c r="F21">
        <f t="shared" si="20"/>
        <v>242</v>
      </c>
      <c r="G21" s="204">
        <f t="shared" si="1"/>
        <v>5206.9032258064517</v>
      </c>
      <c r="H21" s="204">
        <f t="shared" si="21"/>
        <v>242</v>
      </c>
      <c r="I21" s="204">
        <f t="shared" si="2"/>
        <v>5206.9032258064517</v>
      </c>
      <c r="J21" s="204">
        <f t="shared" si="22"/>
        <v>242</v>
      </c>
      <c r="K21" s="204">
        <f t="shared" si="3"/>
        <v>5206.9032258064517</v>
      </c>
      <c r="L21" s="204">
        <f t="shared" si="23"/>
        <v>242</v>
      </c>
      <c r="M21" s="204">
        <f t="shared" si="4"/>
        <v>5206.9032258064517</v>
      </c>
      <c r="N21" s="204">
        <f t="shared" si="24"/>
        <v>242</v>
      </c>
      <c r="O21" s="204">
        <f t="shared" si="5"/>
        <v>5206.9032258064517</v>
      </c>
      <c r="P21" s="204">
        <f t="shared" si="25"/>
        <v>242</v>
      </c>
      <c r="Q21" s="204">
        <f t="shared" si="6"/>
        <v>5206.9032258064517</v>
      </c>
      <c r="R21" s="204">
        <f t="shared" si="26"/>
        <v>242</v>
      </c>
      <c r="S21" s="204">
        <f t="shared" si="7"/>
        <v>5206.9032258064517</v>
      </c>
      <c r="T21" s="204">
        <f t="shared" si="27"/>
        <v>242</v>
      </c>
      <c r="U21" s="204">
        <f t="shared" si="8"/>
        <v>5206.9032258064517</v>
      </c>
      <c r="V21" s="204">
        <f t="shared" si="28"/>
        <v>242</v>
      </c>
      <c r="W21" s="204">
        <f t="shared" si="9"/>
        <v>5206.9032258064517</v>
      </c>
      <c r="X21" s="35">
        <f t="shared" si="10"/>
        <v>0.78064516129032269</v>
      </c>
      <c r="Y21" s="36">
        <f t="shared" si="29"/>
        <v>57275.935483870977</v>
      </c>
      <c r="Z21" s="204">
        <f>'B5'!C20</f>
        <v>247.3</v>
      </c>
      <c r="AA21" s="204">
        <f t="shared" si="30"/>
        <v>2473</v>
      </c>
      <c r="AB21" s="204">
        <f t="shared" si="31"/>
        <v>247.3</v>
      </c>
      <c r="AC21" s="204">
        <f t="shared" si="30"/>
        <v>2473</v>
      </c>
      <c r="AD21" s="204">
        <f t="shared" si="32"/>
        <v>247.3</v>
      </c>
      <c r="AE21" s="204">
        <f t="shared" si="11"/>
        <v>2473</v>
      </c>
      <c r="AF21" s="204">
        <f t="shared" si="33"/>
        <v>247.3</v>
      </c>
      <c r="AG21" s="204">
        <f t="shared" si="12"/>
        <v>2473</v>
      </c>
      <c r="AH21" s="204">
        <f t="shared" si="34"/>
        <v>247.3</v>
      </c>
      <c r="AI21" s="204">
        <f t="shared" si="13"/>
        <v>2473</v>
      </c>
      <c r="AJ21" s="204">
        <f t="shared" si="35"/>
        <v>247.3</v>
      </c>
      <c r="AK21" s="204">
        <f t="shared" si="14"/>
        <v>2473</v>
      </c>
      <c r="AL21" s="204">
        <f t="shared" si="36"/>
        <v>247.3</v>
      </c>
      <c r="AM21" s="204">
        <f t="shared" si="15"/>
        <v>2473</v>
      </c>
      <c r="AN21" s="35">
        <f t="shared" si="16"/>
        <v>0.88321428571428573</v>
      </c>
      <c r="AO21" s="36">
        <f t="shared" si="17"/>
        <v>17311</v>
      </c>
      <c r="AQ21" s="224">
        <f t="shared" si="37"/>
        <v>0.80226885537131298</v>
      </c>
      <c r="AR21" s="38">
        <f t="shared" si="41"/>
        <v>74586.93548387097</v>
      </c>
      <c r="AS21" s="198">
        <f>SUM(AR21-AR20-AT21)</f>
        <v>0</v>
      </c>
      <c r="AT21" s="273"/>
      <c r="AU21" s="443"/>
      <c r="AV21" s="526">
        <f t="shared" si="42"/>
        <v>0</v>
      </c>
      <c r="AW21" s="293">
        <f>-SUM('B5'!AI20)</f>
        <v>0</v>
      </c>
      <c r="AX21" s="293">
        <f t="shared" si="39"/>
        <v>0</v>
      </c>
      <c r="AY21" s="37">
        <f t="shared" si="40"/>
        <v>0</v>
      </c>
      <c r="AZ21" s="100">
        <f>ELEC!A18</f>
        <v>0</v>
      </c>
      <c r="BA21" s="118">
        <f>'General information '!D21</f>
        <v>0</v>
      </c>
      <c r="BB21" s="398">
        <f>SUM('General information '!E21)</f>
        <v>0</v>
      </c>
      <c r="BC21" s="3">
        <f t="shared" si="43"/>
        <v>0</v>
      </c>
      <c r="BD21" s="102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51">
        <f>ELEC!C19</f>
        <v>44121</v>
      </c>
      <c r="B22">
        <f>'B5'!B21</f>
        <v>242</v>
      </c>
      <c r="C22" s="204">
        <f t="shared" si="18"/>
        <v>5206.9032258064517</v>
      </c>
      <c r="D22">
        <f t="shared" si="19"/>
        <v>242</v>
      </c>
      <c r="E22" s="204">
        <f t="shared" si="18"/>
        <v>5206.9032258064517</v>
      </c>
      <c r="F22">
        <f t="shared" si="20"/>
        <v>242</v>
      </c>
      <c r="G22" s="204">
        <f t="shared" si="1"/>
        <v>5206.9032258064517</v>
      </c>
      <c r="H22" s="204">
        <f t="shared" si="21"/>
        <v>242</v>
      </c>
      <c r="I22" s="204">
        <f t="shared" si="2"/>
        <v>5206.9032258064517</v>
      </c>
      <c r="J22" s="204">
        <f t="shared" si="22"/>
        <v>242</v>
      </c>
      <c r="K22" s="204">
        <f t="shared" si="3"/>
        <v>5206.9032258064517</v>
      </c>
      <c r="L22" s="204">
        <f t="shared" si="23"/>
        <v>242</v>
      </c>
      <c r="M22" s="204">
        <f t="shared" si="4"/>
        <v>5206.9032258064517</v>
      </c>
      <c r="N22" s="204">
        <f t="shared" si="24"/>
        <v>242</v>
      </c>
      <c r="O22" s="204">
        <f t="shared" si="5"/>
        <v>5206.9032258064517</v>
      </c>
      <c r="P22" s="204">
        <f t="shared" si="25"/>
        <v>242</v>
      </c>
      <c r="Q22" s="204">
        <f t="shared" si="6"/>
        <v>5206.9032258064517</v>
      </c>
      <c r="R22" s="204">
        <f t="shared" si="26"/>
        <v>242</v>
      </c>
      <c r="S22" s="204">
        <f t="shared" si="7"/>
        <v>5206.9032258064517</v>
      </c>
      <c r="T22" s="204">
        <f t="shared" si="27"/>
        <v>242</v>
      </c>
      <c r="U22" s="204">
        <f t="shared" si="8"/>
        <v>5206.9032258064517</v>
      </c>
      <c r="V22" s="204">
        <f t="shared" si="28"/>
        <v>242</v>
      </c>
      <c r="W22" s="204">
        <f t="shared" si="9"/>
        <v>5206.9032258064517</v>
      </c>
      <c r="X22" s="35">
        <f t="shared" si="10"/>
        <v>0.78064516129032269</v>
      </c>
      <c r="Y22" s="36">
        <f t="shared" si="29"/>
        <v>57275.935483870977</v>
      </c>
      <c r="Z22" s="204">
        <f>'B5'!C21</f>
        <v>247.3</v>
      </c>
      <c r="AA22" s="204">
        <f t="shared" si="30"/>
        <v>2473</v>
      </c>
      <c r="AB22" s="204">
        <f t="shared" si="31"/>
        <v>247.3</v>
      </c>
      <c r="AC22" s="204">
        <f t="shared" si="30"/>
        <v>2473</v>
      </c>
      <c r="AD22" s="204">
        <f t="shared" si="32"/>
        <v>247.3</v>
      </c>
      <c r="AE22" s="204">
        <f t="shared" si="11"/>
        <v>2473</v>
      </c>
      <c r="AF22" s="204">
        <f t="shared" si="33"/>
        <v>247.3</v>
      </c>
      <c r="AG22" s="204">
        <f t="shared" si="12"/>
        <v>2473</v>
      </c>
      <c r="AH22" s="204">
        <f t="shared" si="34"/>
        <v>247.3</v>
      </c>
      <c r="AI22" s="204">
        <f t="shared" si="13"/>
        <v>2473</v>
      </c>
      <c r="AJ22" s="204">
        <f t="shared" si="35"/>
        <v>247.3</v>
      </c>
      <c r="AK22" s="204">
        <f t="shared" si="14"/>
        <v>2473</v>
      </c>
      <c r="AL22" s="204">
        <f t="shared" si="36"/>
        <v>247.3</v>
      </c>
      <c r="AM22" s="204">
        <f t="shared" si="15"/>
        <v>2473</v>
      </c>
      <c r="AN22" s="35">
        <f t="shared" si="16"/>
        <v>0.88321428571428573</v>
      </c>
      <c r="AO22" s="36">
        <f t="shared" si="17"/>
        <v>17311</v>
      </c>
      <c r="AQ22" s="224">
        <f t="shared" si="37"/>
        <v>0.80226885537131298</v>
      </c>
      <c r="AR22" s="38">
        <f t="shared" si="41"/>
        <v>74586.93548387097</v>
      </c>
      <c r="AS22" s="198">
        <f t="shared" si="38"/>
        <v>0</v>
      </c>
      <c r="AT22" s="273"/>
      <c r="AU22" s="443"/>
      <c r="AV22" s="526">
        <f t="shared" si="42"/>
        <v>0</v>
      </c>
      <c r="AW22" s="293">
        <f>-SUM('B5'!AI21)</f>
        <v>0</v>
      </c>
      <c r="AX22" s="293">
        <f t="shared" si="39"/>
        <v>0</v>
      </c>
      <c r="AY22" s="37">
        <f t="shared" si="40"/>
        <v>0</v>
      </c>
      <c r="AZ22" s="100">
        <f>ELEC!A19</f>
        <v>0</v>
      </c>
      <c r="BA22" s="118">
        <f>'General information '!D22</f>
        <v>0</v>
      </c>
      <c r="BB22" s="398">
        <f>SUM('General information '!E22)</f>
        <v>0</v>
      </c>
      <c r="BC22" s="3">
        <f t="shared" si="43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51">
        <f>ELEC!C20</f>
        <v>44122</v>
      </c>
      <c r="B23">
        <f>'B5'!B22</f>
        <v>242</v>
      </c>
      <c r="C23" s="204">
        <f t="shared" si="18"/>
        <v>5206.9032258064517</v>
      </c>
      <c r="D23">
        <f t="shared" si="19"/>
        <v>242</v>
      </c>
      <c r="E23" s="204">
        <f t="shared" si="18"/>
        <v>5206.9032258064517</v>
      </c>
      <c r="F23">
        <f t="shared" si="20"/>
        <v>242</v>
      </c>
      <c r="G23" s="204">
        <f t="shared" si="1"/>
        <v>5206.9032258064517</v>
      </c>
      <c r="H23" s="204">
        <f t="shared" si="21"/>
        <v>242</v>
      </c>
      <c r="I23" s="204">
        <f t="shared" si="2"/>
        <v>5206.9032258064517</v>
      </c>
      <c r="J23" s="204">
        <f t="shared" si="22"/>
        <v>242</v>
      </c>
      <c r="K23" s="204">
        <f t="shared" si="3"/>
        <v>5206.9032258064517</v>
      </c>
      <c r="L23" s="204">
        <f t="shared" si="23"/>
        <v>242</v>
      </c>
      <c r="M23" s="204">
        <f t="shared" si="4"/>
        <v>5206.9032258064517</v>
      </c>
      <c r="N23" s="204">
        <f t="shared" si="24"/>
        <v>242</v>
      </c>
      <c r="O23" s="204">
        <f t="shared" si="5"/>
        <v>5206.9032258064517</v>
      </c>
      <c r="P23" s="204">
        <f t="shared" si="25"/>
        <v>242</v>
      </c>
      <c r="Q23" s="204">
        <f t="shared" si="6"/>
        <v>5206.9032258064517</v>
      </c>
      <c r="R23" s="204">
        <f t="shared" si="26"/>
        <v>242</v>
      </c>
      <c r="S23" s="204">
        <f t="shared" si="7"/>
        <v>5206.9032258064517</v>
      </c>
      <c r="T23" s="204">
        <f t="shared" si="27"/>
        <v>242</v>
      </c>
      <c r="U23" s="204">
        <f t="shared" si="8"/>
        <v>5206.9032258064517</v>
      </c>
      <c r="V23" s="204">
        <f t="shared" si="28"/>
        <v>242</v>
      </c>
      <c r="W23" s="204">
        <f t="shared" si="9"/>
        <v>5206.9032258064517</v>
      </c>
      <c r="X23" s="35">
        <f t="shared" si="10"/>
        <v>0.78064516129032269</v>
      </c>
      <c r="Y23" s="36">
        <f t="shared" si="29"/>
        <v>57275.935483870977</v>
      </c>
      <c r="Z23" s="204">
        <f>'B5'!C22</f>
        <v>247.3</v>
      </c>
      <c r="AA23" s="204">
        <f t="shared" si="30"/>
        <v>2473</v>
      </c>
      <c r="AB23" s="204">
        <f t="shared" si="31"/>
        <v>247.3</v>
      </c>
      <c r="AC23" s="204">
        <f t="shared" si="30"/>
        <v>2473</v>
      </c>
      <c r="AD23" s="204">
        <f t="shared" si="32"/>
        <v>247.3</v>
      </c>
      <c r="AE23" s="204">
        <f t="shared" si="11"/>
        <v>2473</v>
      </c>
      <c r="AF23" s="204">
        <f t="shared" si="33"/>
        <v>247.3</v>
      </c>
      <c r="AG23" s="204">
        <f t="shared" si="12"/>
        <v>2473</v>
      </c>
      <c r="AH23" s="204">
        <f t="shared" si="34"/>
        <v>247.3</v>
      </c>
      <c r="AI23" s="204">
        <f t="shared" si="13"/>
        <v>2473</v>
      </c>
      <c r="AJ23" s="204">
        <f t="shared" si="35"/>
        <v>247.3</v>
      </c>
      <c r="AK23" s="204">
        <f t="shared" si="14"/>
        <v>2473</v>
      </c>
      <c r="AL23" s="204">
        <f t="shared" si="36"/>
        <v>247.3</v>
      </c>
      <c r="AM23" s="204">
        <f t="shared" si="15"/>
        <v>2473</v>
      </c>
      <c r="AN23" s="35">
        <f t="shared" si="16"/>
        <v>0.88321428571428573</v>
      </c>
      <c r="AO23" s="36">
        <f t="shared" si="17"/>
        <v>17311</v>
      </c>
      <c r="AQ23" s="224">
        <f t="shared" si="37"/>
        <v>0.80226885537131298</v>
      </c>
      <c r="AR23" s="38">
        <f t="shared" si="41"/>
        <v>74586.93548387097</v>
      </c>
      <c r="AS23" s="198">
        <f t="shared" si="38"/>
        <v>0</v>
      </c>
      <c r="AT23" s="273"/>
      <c r="AU23" s="443"/>
      <c r="AV23" s="526">
        <f t="shared" si="42"/>
        <v>0</v>
      </c>
      <c r="AW23" s="293">
        <f>-SUM('B5'!AI22)</f>
        <v>0</v>
      </c>
      <c r="AX23" s="293">
        <f t="shared" si="39"/>
        <v>0</v>
      </c>
      <c r="AY23" s="37">
        <f t="shared" si="40"/>
        <v>0</v>
      </c>
      <c r="AZ23" s="100">
        <f>ELEC!A20</f>
        <v>0</v>
      </c>
      <c r="BA23" s="118">
        <f>'General information '!D23</f>
        <v>0</v>
      </c>
      <c r="BB23" s="398">
        <f>SUM('General information '!E23)</f>
        <v>0</v>
      </c>
      <c r="BC23" s="3">
        <f t="shared" si="43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51">
        <f>ELEC!C21</f>
        <v>44123</v>
      </c>
      <c r="B24">
        <f>'B5'!B23</f>
        <v>242</v>
      </c>
      <c r="C24" s="204">
        <f t="shared" si="18"/>
        <v>5206.9032258064517</v>
      </c>
      <c r="D24">
        <f t="shared" si="19"/>
        <v>242</v>
      </c>
      <c r="E24" s="204">
        <f t="shared" si="18"/>
        <v>5206.9032258064517</v>
      </c>
      <c r="F24">
        <f t="shared" si="20"/>
        <v>242</v>
      </c>
      <c r="G24" s="204">
        <f t="shared" si="1"/>
        <v>5206.9032258064517</v>
      </c>
      <c r="H24" s="204">
        <f t="shared" si="21"/>
        <v>242</v>
      </c>
      <c r="I24" s="204">
        <f t="shared" si="2"/>
        <v>5206.9032258064517</v>
      </c>
      <c r="J24" s="204">
        <f t="shared" si="22"/>
        <v>242</v>
      </c>
      <c r="K24" s="204">
        <f t="shared" si="3"/>
        <v>5206.9032258064517</v>
      </c>
      <c r="L24" s="204">
        <f t="shared" si="23"/>
        <v>242</v>
      </c>
      <c r="M24" s="204">
        <f t="shared" si="4"/>
        <v>5206.9032258064517</v>
      </c>
      <c r="N24" s="204">
        <f t="shared" si="24"/>
        <v>242</v>
      </c>
      <c r="O24" s="204">
        <f t="shared" si="5"/>
        <v>5206.9032258064517</v>
      </c>
      <c r="P24" s="204">
        <f t="shared" si="25"/>
        <v>242</v>
      </c>
      <c r="Q24" s="204">
        <f t="shared" si="6"/>
        <v>5206.9032258064517</v>
      </c>
      <c r="R24" s="204">
        <f t="shared" si="26"/>
        <v>242</v>
      </c>
      <c r="S24" s="204">
        <f t="shared" si="7"/>
        <v>5206.9032258064517</v>
      </c>
      <c r="T24" s="204">
        <f t="shared" si="27"/>
        <v>242</v>
      </c>
      <c r="U24" s="204">
        <f t="shared" si="8"/>
        <v>5206.9032258064517</v>
      </c>
      <c r="V24" s="204">
        <f t="shared" si="28"/>
        <v>242</v>
      </c>
      <c r="W24" s="204">
        <f t="shared" si="9"/>
        <v>5206.9032258064517</v>
      </c>
      <c r="X24" s="35">
        <f t="shared" si="10"/>
        <v>0.78064516129032269</v>
      </c>
      <c r="Y24" s="36">
        <f t="shared" si="29"/>
        <v>57275.935483870977</v>
      </c>
      <c r="Z24" s="204">
        <f>'B5'!C23</f>
        <v>247.3</v>
      </c>
      <c r="AA24" s="204">
        <f t="shared" si="30"/>
        <v>2473</v>
      </c>
      <c r="AB24" s="204">
        <f t="shared" si="31"/>
        <v>247.3</v>
      </c>
      <c r="AC24" s="204">
        <f t="shared" si="30"/>
        <v>2473</v>
      </c>
      <c r="AD24" s="204">
        <f t="shared" si="32"/>
        <v>247.3</v>
      </c>
      <c r="AE24" s="204">
        <f t="shared" si="11"/>
        <v>2473</v>
      </c>
      <c r="AF24" s="204">
        <f t="shared" si="33"/>
        <v>247.3</v>
      </c>
      <c r="AG24" s="204">
        <f t="shared" si="12"/>
        <v>2473</v>
      </c>
      <c r="AH24" s="204">
        <f t="shared" si="34"/>
        <v>247.3</v>
      </c>
      <c r="AI24" s="204">
        <f t="shared" si="13"/>
        <v>2473</v>
      </c>
      <c r="AJ24" s="204">
        <f t="shared" si="35"/>
        <v>247.3</v>
      </c>
      <c r="AK24" s="204">
        <f t="shared" si="14"/>
        <v>2473</v>
      </c>
      <c r="AL24" s="204">
        <f t="shared" si="36"/>
        <v>247.3</v>
      </c>
      <c r="AM24" s="204">
        <f t="shared" si="15"/>
        <v>2473</v>
      </c>
      <c r="AN24" s="35">
        <f t="shared" si="16"/>
        <v>0.88321428571428573</v>
      </c>
      <c r="AO24" s="36">
        <f t="shared" si="17"/>
        <v>17311</v>
      </c>
      <c r="AQ24" s="224">
        <f t="shared" si="37"/>
        <v>0.80226885537131298</v>
      </c>
      <c r="AR24" s="38">
        <f t="shared" si="41"/>
        <v>74586.93548387097</v>
      </c>
      <c r="AS24" s="198">
        <f t="shared" si="38"/>
        <v>0</v>
      </c>
      <c r="AT24" s="273"/>
      <c r="AU24" s="443"/>
      <c r="AV24" s="526">
        <f t="shared" si="42"/>
        <v>0</v>
      </c>
      <c r="AW24" s="293">
        <f>-SUM('B5'!AI23)</f>
        <v>0</v>
      </c>
      <c r="AX24" s="293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398">
        <f>SUM('General information '!E24)</f>
        <v>0</v>
      </c>
      <c r="BC24" s="3">
        <f t="shared" si="43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325</v>
      </c>
    </row>
    <row r="25" spans="1:61">
      <c r="A25" s="451">
        <f>ELEC!C22</f>
        <v>44124</v>
      </c>
      <c r="B25">
        <f>'B5'!B24</f>
        <v>242</v>
      </c>
      <c r="C25" s="204">
        <f t="shared" si="18"/>
        <v>5206.9032258064517</v>
      </c>
      <c r="D25">
        <f t="shared" si="19"/>
        <v>242</v>
      </c>
      <c r="E25" s="204">
        <f t="shared" si="18"/>
        <v>5206.9032258064517</v>
      </c>
      <c r="F25">
        <f t="shared" si="20"/>
        <v>242</v>
      </c>
      <c r="G25" s="204">
        <f t="shared" si="1"/>
        <v>5206.9032258064517</v>
      </c>
      <c r="H25" s="204">
        <f t="shared" si="21"/>
        <v>242</v>
      </c>
      <c r="I25" s="204">
        <f t="shared" si="2"/>
        <v>5206.9032258064517</v>
      </c>
      <c r="J25" s="204">
        <f t="shared" si="22"/>
        <v>242</v>
      </c>
      <c r="K25" s="204">
        <f t="shared" si="3"/>
        <v>5206.9032258064517</v>
      </c>
      <c r="L25" s="204">
        <f t="shared" si="23"/>
        <v>242</v>
      </c>
      <c r="M25" s="204">
        <f t="shared" si="4"/>
        <v>5206.9032258064517</v>
      </c>
      <c r="N25" s="204">
        <f t="shared" si="24"/>
        <v>242</v>
      </c>
      <c r="O25" s="204">
        <f t="shared" si="5"/>
        <v>5206.9032258064517</v>
      </c>
      <c r="P25" s="204">
        <f t="shared" si="25"/>
        <v>242</v>
      </c>
      <c r="Q25" s="204">
        <f t="shared" si="6"/>
        <v>5206.9032258064517</v>
      </c>
      <c r="R25" s="204">
        <f t="shared" si="26"/>
        <v>242</v>
      </c>
      <c r="S25" s="204">
        <f t="shared" si="7"/>
        <v>5206.9032258064517</v>
      </c>
      <c r="T25" s="204">
        <f t="shared" si="27"/>
        <v>242</v>
      </c>
      <c r="U25" s="204">
        <f t="shared" si="8"/>
        <v>5206.9032258064517</v>
      </c>
      <c r="V25" s="204">
        <f t="shared" si="28"/>
        <v>242</v>
      </c>
      <c r="W25" s="204">
        <f t="shared" si="9"/>
        <v>5206.9032258064517</v>
      </c>
      <c r="X25" s="35">
        <f t="shared" si="10"/>
        <v>0.78064516129032269</v>
      </c>
      <c r="Y25" s="36">
        <f t="shared" si="29"/>
        <v>57275.935483870977</v>
      </c>
      <c r="Z25" s="204">
        <f>'B5'!C24</f>
        <v>247.3</v>
      </c>
      <c r="AA25" s="204">
        <f t="shared" si="30"/>
        <v>2473</v>
      </c>
      <c r="AB25" s="204">
        <f t="shared" si="31"/>
        <v>247.3</v>
      </c>
      <c r="AC25" s="204">
        <f t="shared" si="30"/>
        <v>2473</v>
      </c>
      <c r="AD25" s="204">
        <f t="shared" si="32"/>
        <v>247.3</v>
      </c>
      <c r="AE25" s="204">
        <f t="shared" si="11"/>
        <v>2473</v>
      </c>
      <c r="AF25" s="204">
        <f t="shared" si="33"/>
        <v>247.3</v>
      </c>
      <c r="AG25" s="204">
        <f t="shared" si="12"/>
        <v>2473</v>
      </c>
      <c r="AH25" s="204">
        <f t="shared" si="34"/>
        <v>247.3</v>
      </c>
      <c r="AI25" s="204">
        <f t="shared" si="13"/>
        <v>2473</v>
      </c>
      <c r="AJ25" s="204">
        <f t="shared" si="35"/>
        <v>247.3</v>
      </c>
      <c r="AK25" s="204">
        <f t="shared" si="14"/>
        <v>2473</v>
      </c>
      <c r="AL25" s="204">
        <f t="shared" si="36"/>
        <v>247.3</v>
      </c>
      <c r="AM25" s="204">
        <f t="shared" si="15"/>
        <v>2473</v>
      </c>
      <c r="AN25" s="35">
        <f t="shared" si="16"/>
        <v>0.88321428571428573</v>
      </c>
      <c r="AO25" s="36">
        <f t="shared" si="17"/>
        <v>17311</v>
      </c>
      <c r="AQ25" s="224">
        <f t="shared" si="37"/>
        <v>0.80226885537131298</v>
      </c>
      <c r="AR25" s="38">
        <f t="shared" si="41"/>
        <v>74586.93548387097</v>
      </c>
      <c r="AS25" s="198">
        <f t="shared" si="38"/>
        <v>0</v>
      </c>
      <c r="AT25" s="273"/>
      <c r="AU25" s="443"/>
      <c r="AV25" s="526">
        <f t="shared" si="42"/>
        <v>0</v>
      </c>
      <c r="AW25" s="293">
        <f>-SUM('B5'!AI24)</f>
        <v>0</v>
      </c>
      <c r="AX25" s="293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398">
        <f>SUM('General information '!E25)</f>
        <v>0</v>
      </c>
      <c r="BC25" s="3">
        <f t="shared" si="43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51">
        <f>ELEC!C23</f>
        <v>44125</v>
      </c>
      <c r="B26">
        <f>'B5'!B25</f>
        <v>242</v>
      </c>
      <c r="C26" s="204">
        <f t="shared" si="18"/>
        <v>5206.9032258064517</v>
      </c>
      <c r="D26">
        <f t="shared" si="19"/>
        <v>242</v>
      </c>
      <c r="E26" s="204">
        <f t="shared" si="18"/>
        <v>5206.9032258064517</v>
      </c>
      <c r="F26">
        <f t="shared" si="20"/>
        <v>242</v>
      </c>
      <c r="G26" s="204">
        <f t="shared" si="1"/>
        <v>5206.9032258064517</v>
      </c>
      <c r="H26" s="204">
        <f t="shared" si="21"/>
        <v>242</v>
      </c>
      <c r="I26" s="204">
        <f t="shared" si="2"/>
        <v>5206.9032258064517</v>
      </c>
      <c r="J26" s="204">
        <f t="shared" si="22"/>
        <v>242</v>
      </c>
      <c r="K26" s="204">
        <f t="shared" si="3"/>
        <v>5206.9032258064517</v>
      </c>
      <c r="L26" s="204">
        <f t="shared" si="23"/>
        <v>242</v>
      </c>
      <c r="M26" s="204">
        <f t="shared" si="4"/>
        <v>5206.9032258064517</v>
      </c>
      <c r="N26" s="204">
        <f t="shared" si="24"/>
        <v>242</v>
      </c>
      <c r="O26" s="204">
        <f t="shared" si="5"/>
        <v>5206.9032258064517</v>
      </c>
      <c r="P26" s="204">
        <f t="shared" si="25"/>
        <v>242</v>
      </c>
      <c r="Q26" s="204">
        <f t="shared" si="6"/>
        <v>5206.9032258064517</v>
      </c>
      <c r="R26" s="204">
        <f t="shared" si="26"/>
        <v>242</v>
      </c>
      <c r="S26" s="204">
        <f t="shared" si="7"/>
        <v>5206.9032258064517</v>
      </c>
      <c r="T26" s="204">
        <f t="shared" si="27"/>
        <v>242</v>
      </c>
      <c r="U26" s="204">
        <f t="shared" si="8"/>
        <v>5206.9032258064517</v>
      </c>
      <c r="V26" s="204">
        <f t="shared" si="28"/>
        <v>242</v>
      </c>
      <c r="W26" s="204">
        <f t="shared" si="9"/>
        <v>5206.9032258064517</v>
      </c>
      <c r="X26" s="35">
        <f t="shared" si="10"/>
        <v>0.78064516129032269</v>
      </c>
      <c r="Y26" s="36">
        <f t="shared" si="29"/>
        <v>57275.935483870977</v>
      </c>
      <c r="Z26" s="204">
        <f>'B5'!C25</f>
        <v>247.3</v>
      </c>
      <c r="AA26" s="204">
        <f t="shared" si="30"/>
        <v>2473</v>
      </c>
      <c r="AB26" s="204">
        <f t="shared" si="31"/>
        <v>247.3</v>
      </c>
      <c r="AC26" s="204">
        <f t="shared" si="30"/>
        <v>2473</v>
      </c>
      <c r="AD26" s="204">
        <f t="shared" si="32"/>
        <v>247.3</v>
      </c>
      <c r="AE26" s="204">
        <f t="shared" si="11"/>
        <v>2473</v>
      </c>
      <c r="AF26" s="204">
        <f t="shared" si="33"/>
        <v>247.3</v>
      </c>
      <c r="AG26" s="204">
        <f t="shared" si="12"/>
        <v>2473</v>
      </c>
      <c r="AH26" s="204">
        <f t="shared" si="34"/>
        <v>247.3</v>
      </c>
      <c r="AI26" s="204">
        <f t="shared" si="13"/>
        <v>2473</v>
      </c>
      <c r="AJ26" s="204">
        <f t="shared" si="35"/>
        <v>247.3</v>
      </c>
      <c r="AK26" s="204">
        <f t="shared" si="14"/>
        <v>2473</v>
      </c>
      <c r="AL26" s="204">
        <f t="shared" si="36"/>
        <v>247.3</v>
      </c>
      <c r="AM26" s="204">
        <f t="shared" si="15"/>
        <v>2473</v>
      </c>
      <c r="AN26" s="35">
        <f t="shared" si="16"/>
        <v>0.88321428571428573</v>
      </c>
      <c r="AO26" s="36">
        <f t="shared" si="17"/>
        <v>17311</v>
      </c>
      <c r="AQ26" s="224">
        <f t="shared" si="37"/>
        <v>0.80226885537131298</v>
      </c>
      <c r="AR26" s="38">
        <f t="shared" si="41"/>
        <v>74586.93548387097</v>
      </c>
      <c r="AS26" s="198">
        <f t="shared" si="38"/>
        <v>0</v>
      </c>
      <c r="AT26" s="273"/>
      <c r="AU26" s="443"/>
      <c r="AV26" s="526">
        <f t="shared" si="42"/>
        <v>0</v>
      </c>
      <c r="AW26" s="293">
        <f>-SUM('B5'!AI25)</f>
        <v>0</v>
      </c>
      <c r="AX26" s="293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398">
        <f>SUM('General information '!E26)</f>
        <v>0</v>
      </c>
      <c r="BC26" s="3">
        <f t="shared" si="43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51">
        <f>ELEC!C24</f>
        <v>44126</v>
      </c>
      <c r="B27">
        <f>'B5'!B26</f>
        <v>242</v>
      </c>
      <c r="C27" s="204">
        <f t="shared" si="18"/>
        <v>5206.9032258064517</v>
      </c>
      <c r="D27">
        <f t="shared" si="19"/>
        <v>242</v>
      </c>
      <c r="E27" s="204">
        <f t="shared" si="18"/>
        <v>5206.9032258064517</v>
      </c>
      <c r="F27">
        <f t="shared" si="20"/>
        <v>242</v>
      </c>
      <c r="G27" s="204">
        <f t="shared" si="1"/>
        <v>5206.9032258064517</v>
      </c>
      <c r="H27" s="204">
        <f t="shared" si="21"/>
        <v>242</v>
      </c>
      <c r="I27" s="204">
        <f t="shared" si="2"/>
        <v>5206.9032258064517</v>
      </c>
      <c r="J27" s="204">
        <f t="shared" si="22"/>
        <v>242</v>
      </c>
      <c r="K27" s="204">
        <f t="shared" si="3"/>
        <v>5206.9032258064517</v>
      </c>
      <c r="L27" s="204">
        <f t="shared" si="23"/>
        <v>242</v>
      </c>
      <c r="M27" s="204">
        <f t="shared" si="4"/>
        <v>5206.9032258064517</v>
      </c>
      <c r="N27" s="204">
        <f t="shared" si="24"/>
        <v>242</v>
      </c>
      <c r="O27" s="204">
        <f t="shared" si="5"/>
        <v>5206.9032258064517</v>
      </c>
      <c r="P27" s="204">
        <f t="shared" si="25"/>
        <v>242</v>
      </c>
      <c r="Q27" s="204">
        <f t="shared" si="6"/>
        <v>5206.9032258064517</v>
      </c>
      <c r="R27" s="204">
        <f t="shared" si="26"/>
        <v>242</v>
      </c>
      <c r="S27" s="204">
        <f t="shared" si="7"/>
        <v>5206.9032258064517</v>
      </c>
      <c r="T27" s="204">
        <f t="shared" si="27"/>
        <v>242</v>
      </c>
      <c r="U27" s="204">
        <f t="shared" si="8"/>
        <v>5206.9032258064517</v>
      </c>
      <c r="V27" s="204">
        <f t="shared" si="28"/>
        <v>242</v>
      </c>
      <c r="W27" s="204">
        <f t="shared" si="9"/>
        <v>5206.9032258064517</v>
      </c>
      <c r="X27" s="35">
        <f t="shared" si="10"/>
        <v>0.78064516129032269</v>
      </c>
      <c r="Y27" s="36">
        <f t="shared" si="29"/>
        <v>57275.935483870977</v>
      </c>
      <c r="Z27" s="204">
        <f>'B5'!C26</f>
        <v>247.3</v>
      </c>
      <c r="AA27" s="204">
        <f t="shared" si="30"/>
        <v>2473</v>
      </c>
      <c r="AB27" s="204">
        <f t="shared" si="31"/>
        <v>247.3</v>
      </c>
      <c r="AC27" s="204">
        <f t="shared" si="30"/>
        <v>2473</v>
      </c>
      <c r="AD27" s="204">
        <f t="shared" si="32"/>
        <v>247.3</v>
      </c>
      <c r="AE27" s="204">
        <f t="shared" si="11"/>
        <v>2473</v>
      </c>
      <c r="AF27" s="204">
        <f t="shared" si="33"/>
        <v>247.3</v>
      </c>
      <c r="AG27" s="204">
        <f t="shared" si="12"/>
        <v>2473</v>
      </c>
      <c r="AH27" s="204">
        <f t="shared" si="34"/>
        <v>247.3</v>
      </c>
      <c r="AI27" s="204">
        <f t="shared" si="13"/>
        <v>2473</v>
      </c>
      <c r="AJ27" s="204">
        <f t="shared" si="35"/>
        <v>247.3</v>
      </c>
      <c r="AK27" s="204">
        <f t="shared" si="14"/>
        <v>2473</v>
      </c>
      <c r="AL27" s="204">
        <f t="shared" si="36"/>
        <v>247.3</v>
      </c>
      <c r="AM27" s="204">
        <f t="shared" si="15"/>
        <v>2473</v>
      </c>
      <c r="AN27" s="35">
        <f t="shared" si="16"/>
        <v>0.88321428571428573</v>
      </c>
      <c r="AO27" s="36">
        <f t="shared" si="17"/>
        <v>17311</v>
      </c>
      <c r="AQ27" s="224">
        <f t="shared" si="37"/>
        <v>0.80226885537131298</v>
      </c>
      <c r="AR27" s="38">
        <f t="shared" si="41"/>
        <v>74586.93548387097</v>
      </c>
      <c r="AS27" s="198">
        <f t="shared" si="38"/>
        <v>0</v>
      </c>
      <c r="AT27" s="273"/>
      <c r="AU27" s="443"/>
      <c r="AV27" s="526">
        <f t="shared" si="42"/>
        <v>0</v>
      </c>
      <c r="AW27" s="293">
        <f>-SUM('B5'!AI26)</f>
        <v>0</v>
      </c>
      <c r="AX27" s="293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398">
        <f>SUM('General information '!E27)</f>
        <v>0</v>
      </c>
      <c r="BC27" s="3">
        <f t="shared" si="43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51">
        <f>ELEC!C25</f>
        <v>44127</v>
      </c>
      <c r="B28">
        <f>'B5'!B27</f>
        <v>242</v>
      </c>
      <c r="C28" s="204">
        <f t="shared" si="18"/>
        <v>5206.9032258064517</v>
      </c>
      <c r="D28">
        <f t="shared" si="19"/>
        <v>242</v>
      </c>
      <c r="E28" s="204">
        <f t="shared" si="18"/>
        <v>5206.9032258064517</v>
      </c>
      <c r="F28">
        <f t="shared" si="20"/>
        <v>242</v>
      </c>
      <c r="G28" s="204">
        <f t="shared" si="1"/>
        <v>5206.9032258064517</v>
      </c>
      <c r="H28" s="204">
        <f t="shared" si="21"/>
        <v>242</v>
      </c>
      <c r="I28" s="204">
        <f t="shared" si="2"/>
        <v>5206.9032258064517</v>
      </c>
      <c r="J28" s="204">
        <f t="shared" si="22"/>
        <v>242</v>
      </c>
      <c r="K28" s="204">
        <f t="shared" si="3"/>
        <v>5206.9032258064517</v>
      </c>
      <c r="L28" s="204">
        <f t="shared" si="23"/>
        <v>242</v>
      </c>
      <c r="M28" s="204">
        <f t="shared" si="4"/>
        <v>5206.9032258064517</v>
      </c>
      <c r="N28" s="204">
        <f t="shared" si="24"/>
        <v>242</v>
      </c>
      <c r="O28" s="204">
        <f t="shared" si="5"/>
        <v>5206.9032258064517</v>
      </c>
      <c r="P28" s="204">
        <f t="shared" si="25"/>
        <v>242</v>
      </c>
      <c r="Q28" s="204">
        <f t="shared" si="6"/>
        <v>5206.9032258064517</v>
      </c>
      <c r="R28" s="204">
        <f t="shared" si="26"/>
        <v>242</v>
      </c>
      <c r="S28" s="204">
        <f t="shared" si="7"/>
        <v>5206.9032258064517</v>
      </c>
      <c r="T28" s="204">
        <f t="shared" si="27"/>
        <v>242</v>
      </c>
      <c r="U28" s="204">
        <f t="shared" si="8"/>
        <v>5206.9032258064517</v>
      </c>
      <c r="V28" s="204">
        <f t="shared" si="28"/>
        <v>242</v>
      </c>
      <c r="W28" s="204">
        <f t="shared" si="9"/>
        <v>5206.9032258064517</v>
      </c>
      <c r="X28" s="35">
        <f t="shared" si="10"/>
        <v>0.78064516129032269</v>
      </c>
      <c r="Y28" s="36">
        <f t="shared" si="29"/>
        <v>57275.935483870977</v>
      </c>
      <c r="Z28" s="204">
        <f>'B5'!C27</f>
        <v>247.3</v>
      </c>
      <c r="AA28" s="204">
        <f t="shared" si="30"/>
        <v>2473</v>
      </c>
      <c r="AB28" s="204">
        <f t="shared" si="31"/>
        <v>247.3</v>
      </c>
      <c r="AC28" s="204">
        <f t="shared" si="30"/>
        <v>2473</v>
      </c>
      <c r="AD28" s="204">
        <f t="shared" si="32"/>
        <v>247.3</v>
      </c>
      <c r="AE28" s="204">
        <f t="shared" si="11"/>
        <v>2473</v>
      </c>
      <c r="AF28" s="204">
        <f t="shared" si="33"/>
        <v>247.3</v>
      </c>
      <c r="AG28" s="204">
        <f t="shared" si="12"/>
        <v>2473</v>
      </c>
      <c r="AH28" s="204">
        <f t="shared" si="34"/>
        <v>247.3</v>
      </c>
      <c r="AI28" s="204">
        <f t="shared" si="13"/>
        <v>2473</v>
      </c>
      <c r="AJ28" s="204">
        <f t="shared" si="35"/>
        <v>247.3</v>
      </c>
      <c r="AK28" s="204">
        <f t="shared" si="14"/>
        <v>2473</v>
      </c>
      <c r="AL28" s="204">
        <f t="shared" si="36"/>
        <v>247.3</v>
      </c>
      <c r="AM28" s="204">
        <f t="shared" si="15"/>
        <v>2473</v>
      </c>
      <c r="AN28" s="35">
        <f t="shared" si="16"/>
        <v>0.88321428571428573</v>
      </c>
      <c r="AO28" s="36">
        <f t="shared" si="17"/>
        <v>17311</v>
      </c>
      <c r="AQ28" s="224">
        <f t="shared" si="37"/>
        <v>0.80226885537131298</v>
      </c>
      <c r="AR28" s="38">
        <f t="shared" si="41"/>
        <v>74586.93548387097</v>
      </c>
      <c r="AS28" s="198">
        <f t="shared" si="38"/>
        <v>0</v>
      </c>
      <c r="AT28" s="359"/>
      <c r="AU28" s="443"/>
      <c r="AV28" s="526">
        <f t="shared" si="42"/>
        <v>0</v>
      </c>
      <c r="AW28" s="293">
        <f>-SUM('B5'!AI27)</f>
        <v>0</v>
      </c>
      <c r="AX28" s="293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398">
        <f>SUM('General information '!E28)</f>
        <v>0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51">
        <f>ELEC!C26</f>
        <v>44128</v>
      </c>
      <c r="B29">
        <f>'B5'!B28</f>
        <v>242</v>
      </c>
      <c r="C29" s="204">
        <f t="shared" si="18"/>
        <v>5206.9032258064517</v>
      </c>
      <c r="D29">
        <f t="shared" si="19"/>
        <v>242</v>
      </c>
      <c r="E29" s="204">
        <f t="shared" si="18"/>
        <v>5206.9032258064517</v>
      </c>
      <c r="F29">
        <f t="shared" si="20"/>
        <v>242</v>
      </c>
      <c r="G29" s="204">
        <f t="shared" si="1"/>
        <v>5206.9032258064517</v>
      </c>
      <c r="H29" s="204">
        <f t="shared" si="21"/>
        <v>242</v>
      </c>
      <c r="I29" s="204">
        <f t="shared" si="2"/>
        <v>5206.9032258064517</v>
      </c>
      <c r="J29" s="204">
        <f t="shared" si="22"/>
        <v>242</v>
      </c>
      <c r="K29" s="204">
        <f t="shared" si="3"/>
        <v>5206.9032258064517</v>
      </c>
      <c r="L29" s="204">
        <f t="shared" si="23"/>
        <v>242</v>
      </c>
      <c r="M29" s="204">
        <f t="shared" si="4"/>
        <v>5206.9032258064517</v>
      </c>
      <c r="N29" s="204">
        <f t="shared" si="24"/>
        <v>242</v>
      </c>
      <c r="O29" s="204">
        <f t="shared" si="5"/>
        <v>5206.9032258064517</v>
      </c>
      <c r="P29" s="204">
        <f t="shared" si="25"/>
        <v>242</v>
      </c>
      <c r="Q29" s="204">
        <f t="shared" si="6"/>
        <v>5206.9032258064517</v>
      </c>
      <c r="R29" s="204">
        <f t="shared" si="26"/>
        <v>242</v>
      </c>
      <c r="S29" s="204">
        <f t="shared" si="7"/>
        <v>5206.9032258064517</v>
      </c>
      <c r="T29" s="204">
        <f t="shared" si="27"/>
        <v>242</v>
      </c>
      <c r="U29" s="204">
        <f t="shared" si="8"/>
        <v>5206.9032258064517</v>
      </c>
      <c r="V29" s="204">
        <f t="shared" si="28"/>
        <v>242</v>
      </c>
      <c r="W29" s="204">
        <f t="shared" si="9"/>
        <v>5206.9032258064517</v>
      </c>
      <c r="X29" s="35">
        <f t="shared" si="10"/>
        <v>0.78064516129032269</v>
      </c>
      <c r="Y29" s="36">
        <f t="shared" si="29"/>
        <v>57275.935483870977</v>
      </c>
      <c r="Z29" s="204">
        <f>'B5'!C28</f>
        <v>247.3</v>
      </c>
      <c r="AA29" s="204">
        <f t="shared" si="30"/>
        <v>2473</v>
      </c>
      <c r="AB29" s="204">
        <f t="shared" si="31"/>
        <v>247.3</v>
      </c>
      <c r="AC29" s="204">
        <f t="shared" si="30"/>
        <v>2473</v>
      </c>
      <c r="AD29" s="204">
        <f t="shared" si="32"/>
        <v>247.3</v>
      </c>
      <c r="AE29" s="204">
        <f t="shared" si="11"/>
        <v>2473</v>
      </c>
      <c r="AF29" s="204">
        <f t="shared" si="33"/>
        <v>247.3</v>
      </c>
      <c r="AG29" s="204">
        <f t="shared" si="12"/>
        <v>2473</v>
      </c>
      <c r="AH29" s="204">
        <f t="shared" si="34"/>
        <v>247.3</v>
      </c>
      <c r="AI29" s="204">
        <f t="shared" si="13"/>
        <v>2473</v>
      </c>
      <c r="AJ29" s="204">
        <f t="shared" si="35"/>
        <v>247.3</v>
      </c>
      <c r="AK29" s="204">
        <f t="shared" si="14"/>
        <v>2473</v>
      </c>
      <c r="AL29" s="204">
        <f t="shared" si="36"/>
        <v>247.3</v>
      </c>
      <c r="AM29" s="204">
        <f t="shared" si="15"/>
        <v>2473</v>
      </c>
      <c r="AN29" s="35">
        <f t="shared" si="16"/>
        <v>0.88321428571428573</v>
      </c>
      <c r="AO29" s="36">
        <f t="shared" si="17"/>
        <v>17311</v>
      </c>
      <c r="AQ29" s="224">
        <f t="shared" si="37"/>
        <v>0.80226885537131298</v>
      </c>
      <c r="AR29" s="38">
        <f t="shared" si="41"/>
        <v>74586.93548387097</v>
      </c>
      <c r="AS29" s="198">
        <f t="shared" si="38"/>
        <v>0</v>
      </c>
      <c r="AT29" s="359"/>
      <c r="AU29" s="443"/>
      <c r="AV29" s="526">
        <f t="shared" si="42"/>
        <v>0</v>
      </c>
      <c r="AW29" s="293">
        <f>-SUM('B5'!AI28)</f>
        <v>0</v>
      </c>
      <c r="AX29" s="293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398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51">
        <f>ELEC!C27</f>
        <v>44129</v>
      </c>
      <c r="B30">
        <f>'B5'!B29</f>
        <v>242</v>
      </c>
      <c r="C30" s="204">
        <f t="shared" si="18"/>
        <v>5206.9032258064517</v>
      </c>
      <c r="D30">
        <f t="shared" ref="D30:D35" si="44">SUM(B30)</f>
        <v>242</v>
      </c>
      <c r="E30" s="204">
        <f t="shared" si="18"/>
        <v>5206.9032258064517</v>
      </c>
      <c r="F30">
        <f t="shared" ref="F30:F35" si="45">SUM(D30)</f>
        <v>242</v>
      </c>
      <c r="G30" s="204">
        <f t="shared" si="1"/>
        <v>5206.9032258064517</v>
      </c>
      <c r="H30" s="204">
        <f t="shared" ref="H30:H35" si="46">SUM(F30)</f>
        <v>242</v>
      </c>
      <c r="I30" s="204">
        <f t="shared" si="2"/>
        <v>5206.9032258064517</v>
      </c>
      <c r="J30" s="204">
        <f t="shared" ref="J30:J35" si="47">SUM(H30)</f>
        <v>242</v>
      </c>
      <c r="K30" s="204">
        <f t="shared" si="3"/>
        <v>5206.9032258064517</v>
      </c>
      <c r="L30" s="204">
        <f t="shared" ref="L30:L35" si="48">SUM(J30)</f>
        <v>242</v>
      </c>
      <c r="M30" s="204">
        <f t="shared" si="4"/>
        <v>5206.9032258064517</v>
      </c>
      <c r="N30" s="204">
        <f t="shared" ref="N30:N35" si="49">SUM(L30)</f>
        <v>242</v>
      </c>
      <c r="O30" s="204">
        <f t="shared" si="5"/>
        <v>5206.9032258064517</v>
      </c>
      <c r="P30" s="204">
        <f t="shared" ref="P30:P35" si="50">SUM(N30)</f>
        <v>242</v>
      </c>
      <c r="Q30" s="204">
        <f t="shared" si="6"/>
        <v>5206.9032258064517</v>
      </c>
      <c r="R30" s="204">
        <f t="shared" ref="R30:R35" si="51">SUM(P30)</f>
        <v>242</v>
      </c>
      <c r="S30" s="204">
        <f t="shared" si="7"/>
        <v>5206.9032258064517</v>
      </c>
      <c r="T30" s="204">
        <f t="shared" ref="T30:T35" si="52">SUM(R30)</f>
        <v>242</v>
      </c>
      <c r="U30" s="204">
        <f t="shared" si="8"/>
        <v>5206.9032258064517</v>
      </c>
      <c r="V30" s="204">
        <f t="shared" ref="V30:V35" si="53">SUM(T30)</f>
        <v>242</v>
      </c>
      <c r="W30" s="204">
        <f t="shared" si="9"/>
        <v>5206.9032258064517</v>
      </c>
      <c r="X30" s="35">
        <f t="shared" ref="X30:X35" si="54">SUM(Y30/73370)</f>
        <v>0.78064516129032269</v>
      </c>
      <c r="Y30" s="36">
        <f t="shared" ref="Y30:Y35" si="55">SUM(C30+E30+G30+I30+K30+M30+O30+Q30+S30+U30+W30)</f>
        <v>57275.935483870977</v>
      </c>
      <c r="Z30" s="204">
        <f>'B5'!C29</f>
        <v>247.3</v>
      </c>
      <c r="AA30" s="204">
        <f t="shared" si="30"/>
        <v>2473</v>
      </c>
      <c r="AB30" s="204">
        <f t="shared" ref="AB30:AB35" si="56">SUM(Z30)</f>
        <v>247.3</v>
      </c>
      <c r="AC30" s="204">
        <f t="shared" si="30"/>
        <v>2473</v>
      </c>
      <c r="AD30" s="204">
        <f t="shared" ref="AD30:AD35" si="57">SUM(AB30)</f>
        <v>247.3</v>
      </c>
      <c r="AE30" s="204">
        <f t="shared" si="11"/>
        <v>2473</v>
      </c>
      <c r="AF30" s="204">
        <f t="shared" ref="AF30:AF35" si="58">SUM(AD30)</f>
        <v>247.3</v>
      </c>
      <c r="AG30" s="204">
        <f t="shared" si="12"/>
        <v>2473</v>
      </c>
      <c r="AH30" s="204">
        <f t="shared" ref="AH30:AH35" si="59">SUM(AF30)</f>
        <v>247.3</v>
      </c>
      <c r="AI30" s="204">
        <f t="shared" si="13"/>
        <v>2473</v>
      </c>
      <c r="AJ30" s="204">
        <f t="shared" ref="AJ30:AJ35" si="60">SUM(AH30)</f>
        <v>247.3</v>
      </c>
      <c r="AK30" s="204">
        <f t="shared" si="14"/>
        <v>2473</v>
      </c>
      <c r="AL30" s="204">
        <f t="shared" ref="AL30:AL35" si="61">SUM(AJ30)</f>
        <v>247.3</v>
      </c>
      <c r="AM30" s="204">
        <f t="shared" si="15"/>
        <v>2473</v>
      </c>
      <c r="AN30" s="35">
        <f t="shared" ref="AN30:AN35" si="62">SUM(AO30/19600)</f>
        <v>0.88321428571428573</v>
      </c>
      <c r="AO30" s="36">
        <f t="shared" ref="AO30:AO35" si="63">SUM(AA30+AC30+AE30+AG30+AI30+AK30+AM30)</f>
        <v>17311</v>
      </c>
      <c r="AQ30" s="224">
        <f t="shared" si="37"/>
        <v>0.80226885537131298</v>
      </c>
      <c r="AR30" s="38">
        <f t="shared" si="41"/>
        <v>74586.93548387097</v>
      </c>
      <c r="AS30" s="198">
        <f t="shared" si="38"/>
        <v>0</v>
      </c>
      <c r="AT30" s="359"/>
      <c r="AU30" s="443"/>
      <c r="AV30" s="526">
        <f t="shared" si="42"/>
        <v>0</v>
      </c>
      <c r="AW30" s="293">
        <f>-SUM('B5'!AI29)</f>
        <v>0</v>
      </c>
      <c r="AX30" s="293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398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51">
        <f>ELEC!C28</f>
        <v>44130</v>
      </c>
      <c r="B31">
        <f>'B5'!B30</f>
        <v>242</v>
      </c>
      <c r="C31" s="204">
        <f t="shared" si="18"/>
        <v>5206.9032258064517</v>
      </c>
      <c r="D31">
        <f t="shared" si="44"/>
        <v>242</v>
      </c>
      <c r="E31" s="204">
        <f t="shared" si="18"/>
        <v>5206.9032258064517</v>
      </c>
      <c r="F31">
        <f t="shared" si="45"/>
        <v>242</v>
      </c>
      <c r="G31" s="204">
        <f t="shared" si="1"/>
        <v>5206.9032258064517</v>
      </c>
      <c r="H31" s="204">
        <f t="shared" si="46"/>
        <v>242</v>
      </c>
      <c r="I31" s="204">
        <f t="shared" si="2"/>
        <v>5206.9032258064517</v>
      </c>
      <c r="J31" s="204">
        <f t="shared" si="47"/>
        <v>242</v>
      </c>
      <c r="K31" s="204">
        <f t="shared" si="3"/>
        <v>5206.9032258064517</v>
      </c>
      <c r="L31" s="204">
        <f t="shared" si="48"/>
        <v>242</v>
      </c>
      <c r="M31" s="204">
        <f t="shared" si="4"/>
        <v>5206.9032258064517</v>
      </c>
      <c r="N31" s="204">
        <f t="shared" si="49"/>
        <v>242</v>
      </c>
      <c r="O31" s="204">
        <f t="shared" si="5"/>
        <v>5206.9032258064517</v>
      </c>
      <c r="P31" s="204">
        <f t="shared" si="50"/>
        <v>242</v>
      </c>
      <c r="Q31" s="204">
        <f t="shared" si="6"/>
        <v>5206.9032258064517</v>
      </c>
      <c r="R31" s="204">
        <f t="shared" si="51"/>
        <v>242</v>
      </c>
      <c r="S31" s="204">
        <f t="shared" si="7"/>
        <v>5206.9032258064517</v>
      </c>
      <c r="T31" s="204">
        <f t="shared" si="52"/>
        <v>242</v>
      </c>
      <c r="U31" s="204">
        <f t="shared" si="8"/>
        <v>5206.9032258064517</v>
      </c>
      <c r="V31" s="204">
        <f t="shared" si="53"/>
        <v>242</v>
      </c>
      <c r="W31" s="204">
        <f t="shared" si="9"/>
        <v>5206.9032258064517</v>
      </c>
      <c r="X31" s="35">
        <f t="shared" si="54"/>
        <v>0.78064516129032269</v>
      </c>
      <c r="Y31" s="36">
        <f t="shared" si="55"/>
        <v>57275.935483870977</v>
      </c>
      <c r="Z31" s="204">
        <f>'B5'!C30</f>
        <v>247.3</v>
      </c>
      <c r="AA31" s="204">
        <f t="shared" si="30"/>
        <v>2473</v>
      </c>
      <c r="AB31" s="204">
        <f t="shared" si="56"/>
        <v>247.3</v>
      </c>
      <c r="AC31" s="204">
        <f t="shared" si="30"/>
        <v>2473</v>
      </c>
      <c r="AD31" s="204">
        <f t="shared" si="57"/>
        <v>247.3</v>
      </c>
      <c r="AE31" s="204">
        <f t="shared" si="11"/>
        <v>2473</v>
      </c>
      <c r="AF31" s="204">
        <f t="shared" si="58"/>
        <v>247.3</v>
      </c>
      <c r="AG31" s="204">
        <f t="shared" si="12"/>
        <v>2473</v>
      </c>
      <c r="AH31" s="204">
        <f t="shared" si="59"/>
        <v>247.3</v>
      </c>
      <c r="AI31" s="204">
        <f t="shared" si="13"/>
        <v>2473</v>
      </c>
      <c r="AJ31" s="204">
        <f t="shared" si="60"/>
        <v>247.3</v>
      </c>
      <c r="AK31" s="204">
        <f t="shared" si="14"/>
        <v>2473</v>
      </c>
      <c r="AL31" s="204">
        <f t="shared" si="61"/>
        <v>247.3</v>
      </c>
      <c r="AM31" s="204">
        <f t="shared" si="15"/>
        <v>2473</v>
      </c>
      <c r="AN31" s="35">
        <f t="shared" si="62"/>
        <v>0.88321428571428573</v>
      </c>
      <c r="AO31" s="36">
        <f t="shared" si="63"/>
        <v>17311</v>
      </c>
      <c r="AQ31" s="224">
        <f t="shared" si="37"/>
        <v>0.80226885537131298</v>
      </c>
      <c r="AR31" s="38">
        <f t="shared" si="41"/>
        <v>74586.93548387097</v>
      </c>
      <c r="AS31" s="198">
        <f>SUM(AR31-AR30-AT31)</f>
        <v>0</v>
      </c>
      <c r="AT31" s="359"/>
      <c r="AU31" s="443"/>
      <c r="AV31" s="526">
        <f t="shared" si="42"/>
        <v>0</v>
      </c>
      <c r="AW31" s="293">
        <f>-SUM('B5'!AI30)</f>
        <v>0</v>
      </c>
      <c r="AX31" s="293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398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51">
        <f>ELEC!C29</f>
        <v>44131</v>
      </c>
      <c r="B32">
        <f>'B5'!B31</f>
        <v>242</v>
      </c>
      <c r="C32" s="204">
        <f t="shared" si="18"/>
        <v>5206.9032258064517</v>
      </c>
      <c r="D32">
        <f t="shared" si="44"/>
        <v>242</v>
      </c>
      <c r="E32" s="204">
        <f t="shared" si="18"/>
        <v>5206.9032258064517</v>
      </c>
      <c r="F32">
        <f t="shared" si="45"/>
        <v>242</v>
      </c>
      <c r="G32" s="204">
        <f t="shared" si="1"/>
        <v>5206.9032258064517</v>
      </c>
      <c r="H32" s="204">
        <f t="shared" si="46"/>
        <v>242</v>
      </c>
      <c r="I32" s="204">
        <f t="shared" si="2"/>
        <v>5206.9032258064517</v>
      </c>
      <c r="J32" s="204">
        <f t="shared" si="47"/>
        <v>242</v>
      </c>
      <c r="K32" s="204">
        <f t="shared" si="3"/>
        <v>5206.9032258064517</v>
      </c>
      <c r="L32" s="204">
        <f t="shared" si="48"/>
        <v>242</v>
      </c>
      <c r="M32" s="204">
        <f t="shared" si="4"/>
        <v>5206.9032258064517</v>
      </c>
      <c r="N32" s="204">
        <f t="shared" si="49"/>
        <v>242</v>
      </c>
      <c r="O32" s="204">
        <f t="shared" si="5"/>
        <v>5206.9032258064517</v>
      </c>
      <c r="P32" s="204">
        <f t="shared" si="50"/>
        <v>242</v>
      </c>
      <c r="Q32" s="204">
        <f t="shared" si="6"/>
        <v>5206.9032258064517</v>
      </c>
      <c r="R32" s="204">
        <f t="shared" si="51"/>
        <v>242</v>
      </c>
      <c r="S32" s="204">
        <f t="shared" si="7"/>
        <v>5206.9032258064517</v>
      </c>
      <c r="T32" s="204">
        <f t="shared" si="52"/>
        <v>242</v>
      </c>
      <c r="U32" s="204">
        <f t="shared" si="8"/>
        <v>5206.9032258064517</v>
      </c>
      <c r="V32" s="204">
        <f t="shared" si="53"/>
        <v>242</v>
      </c>
      <c r="W32" s="204">
        <f t="shared" si="9"/>
        <v>5206.9032258064517</v>
      </c>
      <c r="X32" s="35">
        <f t="shared" si="54"/>
        <v>0.78064516129032269</v>
      </c>
      <c r="Y32" s="36">
        <f t="shared" si="55"/>
        <v>57275.935483870977</v>
      </c>
      <c r="Z32" s="204">
        <f>'B5'!C31</f>
        <v>247.3</v>
      </c>
      <c r="AA32" s="204">
        <f t="shared" si="30"/>
        <v>2473</v>
      </c>
      <c r="AB32" s="204">
        <f t="shared" si="56"/>
        <v>247.3</v>
      </c>
      <c r="AC32" s="204">
        <f t="shared" si="30"/>
        <v>2473</v>
      </c>
      <c r="AD32" s="204">
        <f t="shared" si="57"/>
        <v>247.3</v>
      </c>
      <c r="AE32" s="204">
        <f t="shared" si="11"/>
        <v>2473</v>
      </c>
      <c r="AF32" s="204">
        <f t="shared" si="58"/>
        <v>247.3</v>
      </c>
      <c r="AG32" s="204">
        <f t="shared" si="12"/>
        <v>2473</v>
      </c>
      <c r="AH32" s="204">
        <f t="shared" si="59"/>
        <v>247.3</v>
      </c>
      <c r="AI32" s="204">
        <f t="shared" si="13"/>
        <v>2473</v>
      </c>
      <c r="AJ32" s="204">
        <f t="shared" si="60"/>
        <v>247.3</v>
      </c>
      <c r="AK32" s="204">
        <f t="shared" si="14"/>
        <v>2473</v>
      </c>
      <c r="AL32" s="204">
        <f t="shared" si="61"/>
        <v>247.3</v>
      </c>
      <c r="AM32" s="204">
        <f t="shared" si="15"/>
        <v>2473</v>
      </c>
      <c r="AN32" s="35">
        <f t="shared" si="62"/>
        <v>0.88321428571428573</v>
      </c>
      <c r="AO32" s="36">
        <f t="shared" si="63"/>
        <v>17311</v>
      </c>
      <c r="AQ32" s="224">
        <f t="shared" si="37"/>
        <v>0.80226885537131298</v>
      </c>
      <c r="AR32" s="38">
        <f t="shared" si="41"/>
        <v>74586.93548387097</v>
      </c>
      <c r="AS32" s="198">
        <f t="shared" si="38"/>
        <v>0</v>
      </c>
      <c r="AT32" s="359"/>
      <c r="AU32" s="443"/>
      <c r="AV32" s="526">
        <f>IF(AT32&gt;0,AU32,AV31)</f>
        <v>0</v>
      </c>
      <c r="AW32" s="293">
        <f>-SUM('B5'!AI31)</f>
        <v>0</v>
      </c>
      <c r="AX32" s="293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8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51">
        <f>ELEC!C30</f>
        <v>44132</v>
      </c>
      <c r="B33">
        <f>'B5'!B32</f>
        <v>242</v>
      </c>
      <c r="C33" s="204">
        <f t="shared" si="18"/>
        <v>5206.9032258064517</v>
      </c>
      <c r="D33">
        <f t="shared" si="44"/>
        <v>242</v>
      </c>
      <c r="E33" s="204">
        <f t="shared" si="18"/>
        <v>5206.9032258064517</v>
      </c>
      <c r="F33">
        <f t="shared" si="45"/>
        <v>242</v>
      </c>
      <c r="G33" s="204">
        <f t="shared" si="1"/>
        <v>5206.9032258064517</v>
      </c>
      <c r="H33" s="204">
        <f t="shared" si="46"/>
        <v>242</v>
      </c>
      <c r="I33" s="204">
        <f t="shared" si="2"/>
        <v>5206.9032258064517</v>
      </c>
      <c r="J33" s="204">
        <f t="shared" si="47"/>
        <v>242</v>
      </c>
      <c r="K33" s="204">
        <f t="shared" si="3"/>
        <v>5206.9032258064517</v>
      </c>
      <c r="L33" s="204">
        <f t="shared" si="48"/>
        <v>242</v>
      </c>
      <c r="M33" s="204">
        <f t="shared" si="4"/>
        <v>5206.9032258064517</v>
      </c>
      <c r="N33" s="204">
        <f t="shared" si="49"/>
        <v>242</v>
      </c>
      <c r="O33" s="204">
        <f t="shared" si="5"/>
        <v>5206.9032258064517</v>
      </c>
      <c r="P33" s="204">
        <f t="shared" si="50"/>
        <v>242</v>
      </c>
      <c r="Q33" s="204">
        <f t="shared" si="6"/>
        <v>5206.9032258064517</v>
      </c>
      <c r="R33" s="204">
        <f t="shared" si="51"/>
        <v>242</v>
      </c>
      <c r="S33" s="204">
        <f t="shared" si="7"/>
        <v>5206.9032258064517</v>
      </c>
      <c r="T33" s="204">
        <f t="shared" si="52"/>
        <v>242</v>
      </c>
      <c r="U33" s="204">
        <f t="shared" si="8"/>
        <v>5206.9032258064517</v>
      </c>
      <c r="V33" s="204">
        <f t="shared" si="53"/>
        <v>242</v>
      </c>
      <c r="W33" s="204">
        <f t="shared" si="9"/>
        <v>5206.9032258064517</v>
      </c>
      <c r="X33" s="35">
        <f t="shared" si="54"/>
        <v>0.78064516129032269</v>
      </c>
      <c r="Y33" s="36">
        <f t="shared" si="55"/>
        <v>57275.935483870977</v>
      </c>
      <c r="Z33" s="204">
        <f>'B5'!C32</f>
        <v>247.3</v>
      </c>
      <c r="AA33" s="204">
        <f t="shared" si="30"/>
        <v>2473</v>
      </c>
      <c r="AB33" s="204">
        <f t="shared" si="56"/>
        <v>247.3</v>
      </c>
      <c r="AC33" s="204">
        <f t="shared" si="30"/>
        <v>2473</v>
      </c>
      <c r="AD33" s="204">
        <f t="shared" si="57"/>
        <v>247.3</v>
      </c>
      <c r="AE33" s="204">
        <f t="shared" si="11"/>
        <v>2473</v>
      </c>
      <c r="AF33" s="204">
        <f t="shared" si="58"/>
        <v>247.3</v>
      </c>
      <c r="AG33" s="204">
        <f t="shared" si="12"/>
        <v>2473</v>
      </c>
      <c r="AH33" s="204">
        <f t="shared" si="59"/>
        <v>247.3</v>
      </c>
      <c r="AI33" s="204">
        <f t="shared" si="13"/>
        <v>2473</v>
      </c>
      <c r="AJ33" s="204">
        <f t="shared" si="60"/>
        <v>247.3</v>
      </c>
      <c r="AK33" s="204">
        <f t="shared" si="14"/>
        <v>2473</v>
      </c>
      <c r="AL33" s="204">
        <f t="shared" si="61"/>
        <v>247.3</v>
      </c>
      <c r="AM33" s="204">
        <f t="shared" si="15"/>
        <v>2473</v>
      </c>
      <c r="AN33" s="35">
        <f t="shared" si="62"/>
        <v>0.88321428571428573</v>
      </c>
      <c r="AO33" s="36">
        <f t="shared" si="63"/>
        <v>17311</v>
      </c>
      <c r="AQ33" s="224">
        <f t="shared" si="37"/>
        <v>0.80226885537131298</v>
      </c>
      <c r="AR33" s="38">
        <f t="shared" si="41"/>
        <v>74586.93548387097</v>
      </c>
      <c r="AS33" s="198">
        <f t="shared" si="38"/>
        <v>0</v>
      </c>
      <c r="AT33" s="359"/>
      <c r="AU33" s="443"/>
      <c r="AV33" s="526">
        <f>IF(AT33&gt;0,AU33,AV32)</f>
        <v>0</v>
      </c>
      <c r="AW33" s="293">
        <f>-SUM('B5'!AI32)</f>
        <v>0</v>
      </c>
      <c r="AX33" s="293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5">
        <f>SUM('General information '!E33)</f>
        <v>0</v>
      </c>
      <c r="BC33" s="3">
        <f t="shared" si="43"/>
        <v>0</v>
      </c>
      <c r="BD33" s="102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51">
        <f>ELEC!C31</f>
        <v>44133</v>
      </c>
      <c r="B34">
        <f>'B5'!B33</f>
        <v>242</v>
      </c>
      <c r="C34" s="204">
        <f t="shared" si="18"/>
        <v>5206.9032258064517</v>
      </c>
      <c r="D34">
        <f t="shared" si="44"/>
        <v>242</v>
      </c>
      <c r="E34" s="204">
        <f t="shared" si="18"/>
        <v>5206.9032258064517</v>
      </c>
      <c r="F34">
        <f t="shared" si="45"/>
        <v>242</v>
      </c>
      <c r="G34" s="204">
        <f t="shared" si="1"/>
        <v>5206.9032258064517</v>
      </c>
      <c r="H34" s="204">
        <f t="shared" si="46"/>
        <v>242</v>
      </c>
      <c r="I34" s="204">
        <f t="shared" si="2"/>
        <v>5206.9032258064517</v>
      </c>
      <c r="J34" s="204">
        <f t="shared" si="47"/>
        <v>242</v>
      </c>
      <c r="K34" s="204">
        <f t="shared" si="3"/>
        <v>5206.9032258064517</v>
      </c>
      <c r="L34" s="204">
        <f t="shared" si="48"/>
        <v>242</v>
      </c>
      <c r="M34" s="204">
        <f t="shared" si="4"/>
        <v>5206.9032258064517</v>
      </c>
      <c r="N34" s="204">
        <f t="shared" si="49"/>
        <v>242</v>
      </c>
      <c r="O34" s="204">
        <f t="shared" si="5"/>
        <v>5206.9032258064517</v>
      </c>
      <c r="P34" s="204">
        <f t="shared" si="50"/>
        <v>242</v>
      </c>
      <c r="Q34" s="204">
        <f t="shared" si="6"/>
        <v>5206.9032258064517</v>
      </c>
      <c r="R34" s="204">
        <f t="shared" si="51"/>
        <v>242</v>
      </c>
      <c r="S34" s="204">
        <f t="shared" si="7"/>
        <v>5206.9032258064517</v>
      </c>
      <c r="T34" s="204">
        <f t="shared" si="52"/>
        <v>242</v>
      </c>
      <c r="U34" s="204">
        <f t="shared" si="8"/>
        <v>5206.9032258064517</v>
      </c>
      <c r="V34" s="204">
        <f t="shared" si="53"/>
        <v>242</v>
      </c>
      <c r="W34" s="204">
        <f t="shared" si="9"/>
        <v>5206.9032258064517</v>
      </c>
      <c r="X34" s="35">
        <f t="shared" si="54"/>
        <v>0.78064516129032269</v>
      </c>
      <c r="Y34" s="36">
        <f t="shared" si="55"/>
        <v>57275.935483870977</v>
      </c>
      <c r="Z34" s="204">
        <f>'B5'!C33</f>
        <v>247.3</v>
      </c>
      <c r="AA34" s="204">
        <f t="shared" si="30"/>
        <v>2473</v>
      </c>
      <c r="AB34" s="204">
        <f t="shared" si="56"/>
        <v>247.3</v>
      </c>
      <c r="AC34" s="204">
        <f t="shared" si="30"/>
        <v>2473</v>
      </c>
      <c r="AD34" s="204">
        <f t="shared" si="57"/>
        <v>247.3</v>
      </c>
      <c r="AE34" s="204">
        <f t="shared" si="11"/>
        <v>2473</v>
      </c>
      <c r="AF34" s="204">
        <f t="shared" si="58"/>
        <v>247.3</v>
      </c>
      <c r="AG34" s="204">
        <f t="shared" si="12"/>
        <v>2473</v>
      </c>
      <c r="AH34" s="204">
        <f t="shared" si="59"/>
        <v>247.3</v>
      </c>
      <c r="AI34" s="204">
        <f t="shared" si="13"/>
        <v>2473</v>
      </c>
      <c r="AJ34" s="204">
        <f t="shared" si="60"/>
        <v>247.3</v>
      </c>
      <c r="AK34" s="204">
        <f t="shared" si="14"/>
        <v>2473</v>
      </c>
      <c r="AL34" s="204">
        <f t="shared" si="61"/>
        <v>247.3</v>
      </c>
      <c r="AM34" s="204">
        <f t="shared" si="15"/>
        <v>2473</v>
      </c>
      <c r="AN34" s="35">
        <f t="shared" si="62"/>
        <v>0.88321428571428573</v>
      </c>
      <c r="AO34" s="36">
        <f t="shared" si="63"/>
        <v>17311</v>
      </c>
      <c r="AQ34" s="224">
        <f>SUM(AR34/92970)</f>
        <v>0.80226885537131298</v>
      </c>
      <c r="AR34" s="38">
        <f t="shared" si="41"/>
        <v>74586.93548387097</v>
      </c>
      <c r="AS34" s="198">
        <f t="shared" si="38"/>
        <v>0</v>
      </c>
      <c r="AT34" s="359"/>
      <c r="AU34" s="443"/>
      <c r="AV34" s="526">
        <f t="shared" si="42"/>
        <v>0</v>
      </c>
      <c r="AW34" s="293">
        <f>-SUM('B5'!AI33)</f>
        <v>0</v>
      </c>
      <c r="AX34" s="293">
        <f t="shared" si="39"/>
        <v>0</v>
      </c>
      <c r="AY34" s="37">
        <f t="shared" si="40"/>
        <v>0</v>
      </c>
      <c r="AZ34" s="100">
        <f>ELEC!A31</f>
        <v>0</v>
      </c>
      <c r="BA34" s="118">
        <f>'General information '!D34</f>
        <v>0</v>
      </c>
      <c r="BB34" s="205">
        <f>SUM('General information '!E34)</f>
        <v>0</v>
      </c>
      <c r="BC34" s="3">
        <f>IF(AR33&gt;=AR34,0,1)</f>
        <v>0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1">
        <f>ELEC!C32</f>
        <v>44134</v>
      </c>
      <c r="B35">
        <f>'B5'!B34</f>
        <v>242</v>
      </c>
      <c r="C35" s="204">
        <f t="shared" si="18"/>
        <v>5206.9032258064517</v>
      </c>
      <c r="D35">
        <f t="shared" si="44"/>
        <v>242</v>
      </c>
      <c r="E35" s="204">
        <f t="shared" si="18"/>
        <v>5206.9032258064517</v>
      </c>
      <c r="F35">
        <f t="shared" si="45"/>
        <v>242</v>
      </c>
      <c r="G35" s="204">
        <f t="shared" si="1"/>
        <v>5206.9032258064517</v>
      </c>
      <c r="H35" s="204">
        <f t="shared" si="46"/>
        <v>242</v>
      </c>
      <c r="I35" s="204">
        <f t="shared" si="2"/>
        <v>5206.9032258064517</v>
      </c>
      <c r="J35" s="204">
        <f t="shared" si="47"/>
        <v>242</v>
      </c>
      <c r="K35" s="204">
        <f t="shared" si="3"/>
        <v>5206.9032258064517</v>
      </c>
      <c r="L35" s="204">
        <f t="shared" si="48"/>
        <v>242</v>
      </c>
      <c r="M35" s="204">
        <f t="shared" si="4"/>
        <v>5206.9032258064517</v>
      </c>
      <c r="N35" s="204">
        <f t="shared" si="49"/>
        <v>242</v>
      </c>
      <c r="O35" s="204">
        <f t="shared" si="5"/>
        <v>5206.9032258064517</v>
      </c>
      <c r="P35" s="204">
        <f t="shared" si="50"/>
        <v>242</v>
      </c>
      <c r="Q35" s="204">
        <f t="shared" si="6"/>
        <v>5206.9032258064517</v>
      </c>
      <c r="R35" s="204">
        <f t="shared" si="51"/>
        <v>242</v>
      </c>
      <c r="S35" s="204">
        <f t="shared" si="7"/>
        <v>5206.9032258064517</v>
      </c>
      <c r="T35" s="204">
        <f t="shared" si="52"/>
        <v>242</v>
      </c>
      <c r="U35" s="204">
        <f t="shared" si="8"/>
        <v>5206.9032258064517</v>
      </c>
      <c r="V35" s="204">
        <f t="shared" si="53"/>
        <v>242</v>
      </c>
      <c r="W35" s="204">
        <f t="shared" si="9"/>
        <v>5206.9032258064517</v>
      </c>
      <c r="X35" s="35">
        <f t="shared" si="54"/>
        <v>0.78064516129032269</v>
      </c>
      <c r="Y35" s="36">
        <f t="shared" si="55"/>
        <v>57275.935483870977</v>
      </c>
      <c r="Z35" s="204">
        <f>'B5'!C34</f>
        <v>247.3</v>
      </c>
      <c r="AA35" s="204">
        <f t="shared" si="30"/>
        <v>2473</v>
      </c>
      <c r="AB35" s="204">
        <f t="shared" si="56"/>
        <v>247.3</v>
      </c>
      <c r="AC35" s="204">
        <f t="shared" si="30"/>
        <v>2473</v>
      </c>
      <c r="AD35" s="204">
        <f t="shared" si="57"/>
        <v>247.3</v>
      </c>
      <c r="AE35" s="204">
        <f t="shared" si="11"/>
        <v>2473</v>
      </c>
      <c r="AF35" s="204">
        <f t="shared" si="58"/>
        <v>247.3</v>
      </c>
      <c r="AG35" s="204">
        <f t="shared" si="12"/>
        <v>2473</v>
      </c>
      <c r="AH35" s="204">
        <f t="shared" si="59"/>
        <v>247.3</v>
      </c>
      <c r="AI35" s="204">
        <f t="shared" si="13"/>
        <v>2473</v>
      </c>
      <c r="AJ35" s="204">
        <f t="shared" si="60"/>
        <v>247.3</v>
      </c>
      <c r="AK35" s="204">
        <f t="shared" si="14"/>
        <v>2473</v>
      </c>
      <c r="AL35" s="204">
        <f t="shared" si="61"/>
        <v>247.3</v>
      </c>
      <c r="AM35" s="204">
        <f t="shared" si="15"/>
        <v>2473</v>
      </c>
      <c r="AN35" s="35">
        <f t="shared" si="62"/>
        <v>0.88321428571428573</v>
      </c>
      <c r="AO35" s="36">
        <f t="shared" si="63"/>
        <v>17311</v>
      </c>
      <c r="AQ35" s="224">
        <f>SUM(AR35/92970)</f>
        <v>0.80226885537131298</v>
      </c>
      <c r="AR35" s="38">
        <f t="shared" si="41"/>
        <v>74586.93548387097</v>
      </c>
      <c r="AS35" s="198">
        <f t="shared" si="38"/>
        <v>0</v>
      </c>
      <c r="AT35" s="359"/>
      <c r="AU35" s="443"/>
      <c r="AV35" s="526">
        <f>IF(AT35&gt;0,AU35,AV34)</f>
        <v>0</v>
      </c>
      <c r="AW35" s="293">
        <f>-SUM('B5'!AI34)</f>
        <v>0</v>
      </c>
      <c r="AX35" s="293">
        <f t="shared" si="39"/>
        <v>0</v>
      </c>
      <c r="AY35" s="37">
        <f t="shared" si="40"/>
        <v>0</v>
      </c>
      <c r="AZ35" s="100">
        <f>ELEC!A32</f>
        <v>0</v>
      </c>
      <c r="BA35" s="118">
        <f>'General information '!D35</f>
        <v>0</v>
      </c>
      <c r="BB35" s="205">
        <f>SUM('General information '!E35)</f>
        <v>0</v>
      </c>
      <c r="BC35" s="3">
        <f>IF(AR34&gt;=AR35,0,1)</f>
        <v>0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51">
        <f>ELEC!C33</f>
        <v>44135</v>
      </c>
      <c r="B36">
        <f>'B5'!B35</f>
        <v>242</v>
      </c>
      <c r="C36" s="204">
        <f t="shared" ref="C36" si="64">B36*$B$4</f>
        <v>5206.9032258064517</v>
      </c>
      <c r="D36">
        <f t="shared" ref="D36" si="65">SUM(B36)</f>
        <v>242</v>
      </c>
      <c r="E36" s="204">
        <f t="shared" ref="E36" si="66">D36*$B$4</f>
        <v>5206.9032258064517</v>
      </c>
      <c r="F36">
        <f t="shared" ref="F36" si="67">SUM(D36)</f>
        <v>242</v>
      </c>
      <c r="G36" s="204">
        <f t="shared" ref="G36" si="68">F36*$B$4</f>
        <v>5206.9032258064517</v>
      </c>
      <c r="H36" s="204">
        <f t="shared" ref="H36" si="69">SUM(F36)</f>
        <v>242</v>
      </c>
      <c r="I36" s="204">
        <f t="shared" ref="I36" si="70">H36*$B$4</f>
        <v>5206.9032258064517</v>
      </c>
      <c r="J36" s="204">
        <f t="shared" ref="J36" si="71">SUM(H36)</f>
        <v>242</v>
      </c>
      <c r="K36" s="204">
        <f t="shared" ref="K36" si="72">J36*$B$4</f>
        <v>5206.9032258064517</v>
      </c>
      <c r="L36" s="204">
        <f t="shared" ref="L36" si="73">SUM(J36)</f>
        <v>242</v>
      </c>
      <c r="M36" s="204">
        <f t="shared" ref="M36" si="74">L36*$B$4</f>
        <v>5206.9032258064517</v>
      </c>
      <c r="N36" s="204">
        <f t="shared" ref="N36" si="75">SUM(L36)</f>
        <v>242</v>
      </c>
      <c r="O36" s="204">
        <f t="shared" ref="O36" si="76">N36*$B$4</f>
        <v>5206.9032258064517</v>
      </c>
      <c r="P36" s="204">
        <f t="shared" ref="P36" si="77">SUM(N36)</f>
        <v>242</v>
      </c>
      <c r="Q36" s="204">
        <f t="shared" ref="Q36" si="78">P36*$B$4</f>
        <v>5206.9032258064517</v>
      </c>
      <c r="R36" s="204">
        <f t="shared" ref="R36" si="79">SUM(P36)</f>
        <v>242</v>
      </c>
      <c r="S36" s="204">
        <f t="shared" ref="S36" si="80">R36*$B$4</f>
        <v>5206.9032258064517</v>
      </c>
      <c r="T36" s="204">
        <f t="shared" ref="T36" si="81">SUM(R36)</f>
        <v>242</v>
      </c>
      <c r="U36" s="204">
        <f t="shared" ref="U36" si="82">T36*$B$4</f>
        <v>5206.9032258064517</v>
      </c>
      <c r="V36" s="204">
        <f t="shared" ref="V36" si="83">SUM(T36)</f>
        <v>242</v>
      </c>
      <c r="W36" s="204">
        <f t="shared" ref="W36" si="84">V36*$B$4</f>
        <v>5206.9032258064517</v>
      </c>
      <c r="X36" s="35">
        <f t="shared" ref="X36" si="85">SUM(Y36/73370)</f>
        <v>0.78064516129032269</v>
      </c>
      <c r="Y36" s="36">
        <f t="shared" ref="Y36" si="86">SUM(C36+E36+G36+I36+K36+M36+O36+Q36+S36+U36+W36)</f>
        <v>57275.935483870977</v>
      </c>
      <c r="Z36" s="204">
        <f>'B5'!C35</f>
        <v>247.3</v>
      </c>
      <c r="AA36" s="204">
        <f t="shared" ref="AA36" si="87">SUM(Z36*$Z$4)</f>
        <v>2473</v>
      </c>
      <c r="AB36" s="204">
        <f t="shared" ref="AB36" si="88">SUM(Z36)</f>
        <v>247.3</v>
      </c>
      <c r="AC36" s="204">
        <f t="shared" ref="AC36" si="89">SUM(AB36*$Z$4)</f>
        <v>2473</v>
      </c>
      <c r="AD36" s="204">
        <f t="shared" ref="AD36" si="90">SUM(AB36)</f>
        <v>247.3</v>
      </c>
      <c r="AE36" s="204">
        <f t="shared" ref="AE36" si="91">SUM(AD36*$Z$4)</f>
        <v>2473</v>
      </c>
      <c r="AF36" s="204">
        <f t="shared" ref="AF36" si="92">SUM(AD36)</f>
        <v>247.3</v>
      </c>
      <c r="AG36" s="204">
        <f t="shared" ref="AG36" si="93">SUM(AF36*$Z$4)</f>
        <v>2473</v>
      </c>
      <c r="AH36" s="204">
        <f t="shared" ref="AH36" si="94">SUM(AF36)</f>
        <v>247.3</v>
      </c>
      <c r="AI36" s="204">
        <f t="shared" ref="AI36" si="95">SUM(AH36*$Z$4)</f>
        <v>2473</v>
      </c>
      <c r="AJ36" s="204">
        <f t="shared" ref="AJ36" si="96">SUM(AH36)</f>
        <v>247.3</v>
      </c>
      <c r="AK36" s="204">
        <f t="shared" ref="AK36" si="97">SUM(AJ36*$Z$4)</f>
        <v>2473</v>
      </c>
      <c r="AL36" s="204">
        <f t="shared" ref="AL36" si="98">SUM(AJ36)</f>
        <v>247.3</v>
      </c>
      <c r="AM36" s="204">
        <f t="shared" ref="AM36" si="99">SUM(AL36*$Z$4)</f>
        <v>2473</v>
      </c>
      <c r="AN36" s="35">
        <f t="shared" ref="AN36" si="100">SUM(AO36/19600)</f>
        <v>0.88321428571428573</v>
      </c>
      <c r="AO36" s="36">
        <f t="shared" ref="AO36" si="101">SUM(AA36+AC36+AE36+AG36+AI36+AK36+AM36)</f>
        <v>17311</v>
      </c>
      <c r="AQ36" s="224">
        <f>SUM(AR36/92970)</f>
        <v>0.80226885537131298</v>
      </c>
      <c r="AR36" s="38">
        <f t="shared" si="41"/>
        <v>74586.93548387097</v>
      </c>
      <c r="AS36" s="198">
        <f t="shared" ref="AS36" si="102">SUM(AR36-AR35-AT36)</f>
        <v>0</v>
      </c>
      <c r="AT36" s="359"/>
      <c r="AU36" s="443"/>
      <c r="AV36" s="526">
        <f>IF(AT36&gt;0,AU36,AV35)</f>
        <v>0</v>
      </c>
      <c r="AW36" s="293">
        <f>-SUM('B5'!AI35)</f>
        <v>0</v>
      </c>
      <c r="AX36" s="293">
        <f t="shared" ref="AX36" si="103">-SUM(AW36-AS36)</f>
        <v>0</v>
      </c>
      <c r="AY36" s="37">
        <f t="shared" ref="AY36" si="104">SUM(AX36+AW36)</f>
        <v>0</v>
      </c>
      <c r="AZ36" s="100">
        <f>ELEC!A33</f>
        <v>0</v>
      </c>
      <c r="BA36" s="118">
        <f>'General information '!D36</f>
        <v>0</v>
      </c>
      <c r="BB36" s="398">
        <f>SUM('General information '!E36)</f>
        <v>0</v>
      </c>
      <c r="BC36" s="3">
        <f>IF(AR35&gt;=AR36,0,1)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86" t="s">
        <v>225</v>
      </c>
      <c r="AS37" s="492">
        <f>COUNT(AT6:AT35)</f>
        <v>1</v>
      </c>
      <c r="AT37" s="204">
        <f>SUM(AT6:AT35)</f>
        <v>1</v>
      </c>
      <c r="AU37">
        <f>SUM(AU6:AU35)/AS37</f>
        <v>0</v>
      </c>
      <c r="AX37" s="204">
        <f>SUM(AX6:AX35)</f>
        <v>-2311.2967741935572</v>
      </c>
      <c r="AY37" s="204">
        <f>SUM(AY6:AY35)</f>
        <v>-2810.0967741935456</v>
      </c>
    </row>
    <row r="38" spans="1:60">
      <c r="AS38" s="207"/>
      <c r="AT38">
        <f>+AT37*AU37</f>
        <v>0</v>
      </c>
    </row>
    <row r="40" spans="1:60">
      <c r="AS40" s="165">
        <f>SUM(AS6:AS35)/'EDl log'!A36</f>
        <v>-562.01935483870909</v>
      </c>
      <c r="AT40" s="204"/>
    </row>
    <row r="42" spans="1:60">
      <c r="AR42" s="204"/>
    </row>
  </sheetData>
  <mergeCells count="3">
    <mergeCell ref="AT3:AU3"/>
    <mergeCell ref="AS3:AS4"/>
    <mergeCell ref="AR3:AR4"/>
  </mergeCells>
  <conditionalFormatting sqref="AW6:AX36">
    <cfRule type="cellIs" dxfId="6" priority="4" stopIfTrue="1" operator="greaterThan">
      <formula>0</formula>
    </cfRule>
  </conditionalFormatting>
  <conditionalFormatting sqref="AT6:AU36">
    <cfRule type="cellIs" dxfId="5" priority="2" stopIfTrue="1" operator="greaterThan">
      <formula>0</formula>
    </cfRule>
  </conditionalFormatting>
  <conditionalFormatting sqref="AT19:AU19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2240</v>
      </c>
      <c r="C2" s="3">
        <f>ELEC!N3</f>
        <v>10203</v>
      </c>
      <c r="D2" s="3">
        <f>C2-E2</f>
        <v>8203</v>
      </c>
      <c r="E2" s="3">
        <f>ELEC!Q3</f>
        <v>2000</v>
      </c>
      <c r="F2" s="3">
        <f>GEN!Z2</f>
        <v>6</v>
      </c>
      <c r="G2" s="3">
        <f>WATER!C5+WATER!H5</f>
        <v>0</v>
      </c>
      <c r="H2" s="3">
        <f>WATER!L5</f>
        <v>0</v>
      </c>
      <c r="I2" s="15">
        <f>WATER!BC5+WATER!BD5+WATER!BE6-Sheet1!G2</f>
        <v>14.3</v>
      </c>
      <c r="J2" s="9">
        <f>'B5'!A4</f>
        <v>44104</v>
      </c>
    </row>
    <row r="3" spans="1:10">
      <c r="A3" s="3">
        <f>ELEC!T4+ELEC!X2+ELEC!AB4</f>
        <v>9</v>
      </c>
      <c r="B3" s="3">
        <f>ELEC!AF4</f>
        <v>1712</v>
      </c>
      <c r="C3" s="3">
        <f>ELEC!N4</f>
        <v>10041</v>
      </c>
      <c r="D3" s="3">
        <f t="shared" ref="D3:D30" si="0">C3-E3</f>
        <v>10041</v>
      </c>
      <c r="E3" s="3">
        <f>ELEC!Q4</f>
        <v>0</v>
      </c>
      <c r="F3" s="3">
        <f>GEN!Z3</f>
        <v>3</v>
      </c>
      <c r="G3" s="3">
        <f>WATER!C6+WATER!H6</f>
        <v>0</v>
      </c>
      <c r="H3" s="3">
        <f>WATER!L6</f>
        <v>0</v>
      </c>
      <c r="I3" s="15">
        <f>WATER!BC6+WATER!BD6+WATER!BE7-Sheet1!G3</f>
        <v>9.5000000000000036</v>
      </c>
      <c r="J3" s="9">
        <f>'B5'!A5</f>
        <v>44105</v>
      </c>
    </row>
    <row r="4" spans="1:10">
      <c r="A4" s="3">
        <f>ELEC!T5+ELEC!X5+ELEC!AB5</f>
        <v>8</v>
      </c>
      <c r="B4" s="3">
        <f>ELEC!AF5</f>
        <v>1956</v>
      </c>
      <c r="C4" s="3">
        <f>ELEC!N5</f>
        <v>8684</v>
      </c>
      <c r="D4" s="3">
        <f t="shared" si="0"/>
        <v>7684</v>
      </c>
      <c r="E4" s="3">
        <f>ELEC!Q5</f>
        <v>1000</v>
      </c>
      <c r="F4" s="3">
        <f>GEN!Z4</f>
        <v>0</v>
      </c>
      <c r="G4" s="3">
        <f>WATER!C7+WATER!H7</f>
        <v>90</v>
      </c>
      <c r="H4" s="3">
        <f>WATER!L7</f>
        <v>0</v>
      </c>
      <c r="I4" s="15">
        <f>WATER!BC7+WATER!BD7+WATER!BE8-Sheet1!G4</f>
        <v>-127.6</v>
      </c>
      <c r="J4" s="9">
        <f>'B5'!A6</f>
        <v>44106</v>
      </c>
    </row>
    <row r="5" spans="1:10">
      <c r="A5" s="3">
        <f>ELEC!T6+ELEC!X6+ELEC!AB6</f>
        <v>5</v>
      </c>
      <c r="B5" s="3">
        <f>ELEC!AF6</f>
        <v>1245</v>
      </c>
      <c r="C5" s="3">
        <f>ELEC!N6</f>
        <v>7992</v>
      </c>
      <c r="D5" s="3">
        <f t="shared" si="0"/>
        <v>5992</v>
      </c>
      <c r="E5" s="3">
        <f>ELEC!Q6</f>
        <v>2000</v>
      </c>
      <c r="F5" s="3">
        <f>GEN!Z5</f>
        <v>3</v>
      </c>
      <c r="G5" s="3">
        <f>WATER!C8+WATER!H8</f>
        <v>0</v>
      </c>
      <c r="H5" s="3">
        <f>WATER!L8</f>
        <v>0</v>
      </c>
      <c r="I5" s="15">
        <f>WATER!BC8+WATER!BD8+WATER!BE9-Sheet1!G5</f>
        <v>57.900000000000013</v>
      </c>
      <c r="J5" s="9">
        <f>'B5'!A7</f>
        <v>44107</v>
      </c>
    </row>
    <row r="6" spans="1:10">
      <c r="A6" s="3">
        <f>ELEC!T7+ELEC!X7+ELEC!AB7</f>
        <v>9</v>
      </c>
      <c r="B6" s="3">
        <f>ELEC!AF7</f>
        <v>1878</v>
      </c>
      <c r="C6" s="3">
        <f>ELEC!N7</f>
        <v>9176</v>
      </c>
      <c r="D6" s="3">
        <f t="shared" si="0"/>
        <v>9176</v>
      </c>
      <c r="E6" s="3">
        <f>ELEC!Q24</f>
        <v>0</v>
      </c>
      <c r="F6" s="3">
        <f>GEN!Z6</f>
        <v>4</v>
      </c>
      <c r="G6" s="3">
        <f>WATER!C9+WATER!H9</f>
        <v>98</v>
      </c>
      <c r="H6" s="3">
        <f>WATER!L9</f>
        <v>0</v>
      </c>
      <c r="I6" s="15">
        <f>WATER!BC9+WATER!BD9+WATER!BE10-Sheet1!G6</f>
        <v>-146.80000000000001</v>
      </c>
      <c r="J6" s="9">
        <f>'B5'!A8</f>
        <v>44108</v>
      </c>
    </row>
    <row r="7" spans="1:10">
      <c r="A7" s="3">
        <f>ELEC!T8+ELEC!X8+ELEC!AB8</f>
        <v>0</v>
      </c>
      <c r="B7" s="3">
        <f>ELEC!AF8</f>
        <v>0</v>
      </c>
      <c r="C7" s="3">
        <f>ELEC!N8</f>
        <v>0</v>
      </c>
      <c r="D7" s="3">
        <f t="shared" si="0"/>
        <v>0</v>
      </c>
      <c r="E7" s="3">
        <f>ELEC!Q8</f>
        <v>0</v>
      </c>
      <c r="F7" s="3">
        <f>GEN!Z7</f>
        <v>3</v>
      </c>
      <c r="G7" s="3">
        <f>WATER!C10+WATER!H10</f>
        <v>0</v>
      </c>
      <c r="H7" s="3">
        <f>WATER!L10</f>
        <v>0</v>
      </c>
      <c r="I7" s="15">
        <f>WATER!BC10+WATER!BD10+WATER!BE11-Sheet1!G7</f>
        <v>26.199999999999989</v>
      </c>
      <c r="J7" s="9">
        <f>'B5'!A9</f>
        <v>44109</v>
      </c>
    </row>
    <row r="8" spans="1:10">
      <c r="A8" s="3">
        <f>ELEC!T9+ELEC!X9+ELEC!AB9</f>
        <v>0</v>
      </c>
      <c r="B8" s="3">
        <f>ELEC!AF9</f>
        <v>0</v>
      </c>
      <c r="C8" s="3">
        <f>ELEC!N9</f>
        <v>0</v>
      </c>
      <c r="D8" s="3">
        <f t="shared" si="0"/>
        <v>0</v>
      </c>
      <c r="E8" s="3">
        <f>ELEC!Q9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44110</v>
      </c>
    </row>
    <row r="9" spans="1:10">
      <c r="A9" s="3">
        <f>ELEC!T10+ELEC!X10+ELEC!AB10</f>
        <v>0</v>
      </c>
      <c r="B9" s="3">
        <f>ELEC!AF10</f>
        <v>0</v>
      </c>
      <c r="C9" s="3">
        <f>ELEC!N10</f>
        <v>0</v>
      </c>
      <c r="D9" s="3">
        <f t="shared" si="0"/>
        <v>0</v>
      </c>
      <c r="E9" s="3">
        <f>ELEC!Q10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44111</v>
      </c>
    </row>
    <row r="10" spans="1:10">
      <c r="A10" s="3">
        <f>ELEC!T11+ELEC!X11+ELEC!AB11</f>
        <v>0</v>
      </c>
      <c r="B10" s="3">
        <f>ELEC!AF11</f>
        <v>0</v>
      </c>
      <c r="C10" s="3">
        <f>ELEC!N11</f>
        <v>0</v>
      </c>
      <c r="D10" s="3">
        <f t="shared" si="0"/>
        <v>0</v>
      </c>
      <c r="E10" s="3">
        <f>ELEC!Q11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44112</v>
      </c>
    </row>
    <row r="11" spans="1:10">
      <c r="A11" s="3">
        <f>ELEC!T12+ELEC!X12+ELEC!AB12</f>
        <v>0</v>
      </c>
      <c r="B11" s="3">
        <f>ELEC!AF12</f>
        <v>0</v>
      </c>
      <c r="C11" s="3">
        <f>ELEC!N12</f>
        <v>0</v>
      </c>
      <c r="D11" s="3">
        <f t="shared" si="0"/>
        <v>0</v>
      </c>
      <c r="E11" s="3">
        <f>ELEC!Q12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44113</v>
      </c>
    </row>
    <row r="12" spans="1:10">
      <c r="A12" s="3">
        <f>ELEC!T13+ELEC!X13+ELEC!AB13</f>
        <v>0</v>
      </c>
      <c r="B12" s="3">
        <f>ELEC!AF13</f>
        <v>0</v>
      </c>
      <c r="C12" s="3">
        <f>ELEC!N13</f>
        <v>0</v>
      </c>
      <c r="D12" s="3">
        <f t="shared" si="0"/>
        <v>0</v>
      </c>
      <c r="E12" s="3">
        <f>ELEC!Q13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44114</v>
      </c>
    </row>
    <row r="13" spans="1:10">
      <c r="A13" s="3">
        <f>ELEC!T14+ELEC!X14+ELEC!AB14</f>
        <v>0</v>
      </c>
      <c r="B13" s="3">
        <f>ELEC!AF14</f>
        <v>0</v>
      </c>
      <c r="C13" s="3">
        <f>ELEC!N14</f>
        <v>0</v>
      </c>
      <c r="D13" s="3">
        <f t="shared" si="0"/>
        <v>0</v>
      </c>
      <c r="E13" s="3">
        <f>ELEC!Q14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44115</v>
      </c>
    </row>
    <row r="14" spans="1:10">
      <c r="A14" s="3">
        <f>ELEC!T15+ELEC!X15+ELEC!AB15</f>
        <v>0</v>
      </c>
      <c r="B14" s="3">
        <f>ELEC!AF15</f>
        <v>0</v>
      </c>
      <c r="C14" s="3">
        <f>ELEC!N15</f>
        <v>0</v>
      </c>
      <c r="D14" s="3">
        <f t="shared" si="0"/>
        <v>0</v>
      </c>
      <c r="E14" s="3">
        <f>ELEC!Q15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44116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44117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44118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44119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44120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44121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44122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44123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44124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44125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44126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44127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44128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44129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44130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44131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44132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44133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43"/>
      <c r="B1" s="640" t="s">
        <v>119</v>
      </c>
      <c r="C1" s="640" t="s">
        <v>118</v>
      </c>
      <c r="D1" s="645" t="s">
        <v>113</v>
      </c>
      <c r="E1" s="645" t="s">
        <v>114</v>
      </c>
      <c r="F1" s="646" t="s">
        <v>120</v>
      </c>
      <c r="G1" s="647" t="s">
        <v>75</v>
      </c>
      <c r="H1" s="648" t="s">
        <v>115</v>
      </c>
      <c r="I1" s="649" t="s">
        <v>116</v>
      </c>
      <c r="J1" s="648" t="s">
        <v>117</v>
      </c>
      <c r="K1" s="642" t="s">
        <v>121</v>
      </c>
      <c r="L1" s="642" t="s">
        <v>122</v>
      </c>
      <c r="M1" s="642" t="s">
        <v>123</v>
      </c>
      <c r="N1" s="642" t="s">
        <v>124</v>
      </c>
    </row>
    <row r="2" spans="1:14">
      <c r="A2" s="644"/>
      <c r="B2" s="641"/>
      <c r="C2" s="641"/>
      <c r="D2" s="645"/>
      <c r="E2" s="645"/>
      <c r="F2" s="646"/>
      <c r="G2" s="647"/>
      <c r="H2" s="648"/>
      <c r="I2" s="650"/>
      <c r="J2" s="648"/>
      <c r="K2" s="642"/>
      <c r="L2" s="642"/>
      <c r="M2" s="642"/>
      <c r="N2" s="642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4">
        <v>810</v>
      </c>
      <c r="C4" s="264">
        <v>-606.10000000000582</v>
      </c>
      <c r="D4" s="264">
        <v>1420.5021097047013</v>
      </c>
      <c r="E4" s="264">
        <v>1624.4021097046955</v>
      </c>
      <c r="F4" s="264">
        <v>106</v>
      </c>
      <c r="G4" s="264">
        <v>-58.399999999999977</v>
      </c>
      <c r="H4" s="264">
        <v>6284</v>
      </c>
      <c r="I4" s="264">
        <v>2398.9999999994325</v>
      </c>
      <c r="J4" s="264">
        <v>23932.000000000568</v>
      </c>
      <c r="K4" s="264">
        <v>0</v>
      </c>
      <c r="L4" s="264">
        <v>0</v>
      </c>
      <c r="M4" s="264">
        <v>0</v>
      </c>
      <c r="N4" s="264">
        <v>0</v>
      </c>
    </row>
    <row r="5" spans="1:14">
      <c r="A5" s="63">
        <f>'B5'!A5</f>
        <v>44105</v>
      </c>
      <c r="B5" s="76">
        <f>'B5'!V5</f>
        <v>0</v>
      </c>
      <c r="C5" s="76">
        <f>'B5'!AH5</f>
        <v>1.7999999999883585</v>
      </c>
      <c r="D5" s="76">
        <f>GEN!AI3</f>
        <v>514.76793248945148</v>
      </c>
      <c r="E5" s="244">
        <f t="shared" ref="E5:E33" si="0">B5+C5+D5</f>
        <v>516.56793248943984</v>
      </c>
      <c r="F5" s="75">
        <f>WATER!L5</f>
        <v>0</v>
      </c>
      <c r="G5" s="78">
        <f>WATER!BG5</f>
        <v>-54.100000000000009</v>
      </c>
      <c r="H5" s="79">
        <f>ELEC!AF3</f>
        <v>2240</v>
      </c>
      <c r="I5" s="79">
        <f>ELEC!Q3</f>
        <v>2000</v>
      </c>
      <c r="J5" s="79">
        <f>ELEC!R3</f>
        <v>8203</v>
      </c>
      <c r="K5" s="80"/>
      <c r="L5" s="3"/>
      <c r="M5" s="3"/>
      <c r="N5" s="3"/>
    </row>
    <row r="6" spans="1:14">
      <c r="A6" s="63">
        <f>'B5'!A6</f>
        <v>44106</v>
      </c>
      <c r="B6" s="76">
        <f>'B5'!V6</f>
        <v>232</v>
      </c>
      <c r="C6" s="76">
        <f>'B5'!AH6</f>
        <v>0</v>
      </c>
      <c r="D6" s="76">
        <f>GEN!AI4</f>
        <v>0</v>
      </c>
      <c r="E6" s="244">
        <f t="shared" si="0"/>
        <v>232</v>
      </c>
      <c r="F6" s="75">
        <f>WATER!L6</f>
        <v>0</v>
      </c>
      <c r="G6" s="78">
        <f>WATER!BG6</f>
        <v>-29.699999999999992</v>
      </c>
      <c r="H6" s="79">
        <f>ELEC!AF4</f>
        <v>1712</v>
      </c>
      <c r="I6" s="79">
        <f>ELEC!Q4</f>
        <v>0</v>
      </c>
      <c r="J6" s="79">
        <f>ELEC!R4</f>
        <v>10041</v>
      </c>
      <c r="K6" s="3"/>
      <c r="L6" s="3"/>
      <c r="M6" s="3"/>
      <c r="N6" s="3"/>
    </row>
    <row r="7" spans="1:14">
      <c r="A7" s="63">
        <f>'B5'!A7</f>
        <v>44107</v>
      </c>
      <c r="B7" s="76">
        <f>'B5'!V7</f>
        <v>116</v>
      </c>
      <c r="C7" s="76">
        <f>'B5'!AH7</f>
        <v>0</v>
      </c>
      <c r="D7" s="76">
        <f>GEN!AI5</f>
        <v>257.38396624472574</v>
      </c>
      <c r="E7" s="244">
        <f t="shared" si="0"/>
        <v>373.38396624472574</v>
      </c>
      <c r="F7" s="75">
        <f>WATER!L7</f>
        <v>0</v>
      </c>
      <c r="G7" s="78">
        <f>WATER!BG7</f>
        <v>11.299999999999997</v>
      </c>
      <c r="H7" s="79">
        <f>ELEC!AF5</f>
        <v>1956</v>
      </c>
      <c r="I7" s="79">
        <f>ELEC!Q5</f>
        <v>1000</v>
      </c>
      <c r="J7" s="79">
        <f>ELEC!R5</f>
        <v>7684</v>
      </c>
      <c r="K7" s="3"/>
      <c r="L7" s="3"/>
      <c r="M7" s="3"/>
      <c r="N7" s="3"/>
    </row>
    <row r="8" spans="1:14">
      <c r="A8" s="63">
        <f>'B5'!A8</f>
        <v>44108</v>
      </c>
      <c r="B8" s="76">
        <f>'B5'!V8</f>
        <v>53</v>
      </c>
      <c r="C8" s="76">
        <f>'B5'!AH8</f>
        <v>0</v>
      </c>
      <c r="D8" s="76">
        <f>GEN!AI6</f>
        <v>514.76793248945148</v>
      </c>
      <c r="E8" s="244">
        <f t="shared" si="0"/>
        <v>567.76793248945148</v>
      </c>
      <c r="F8" s="75">
        <f>WATER!L8</f>
        <v>0</v>
      </c>
      <c r="G8" s="78">
        <f>WATER!BG8</f>
        <v>-21.899999999999991</v>
      </c>
      <c r="H8" s="79">
        <f>ELEC!AF6</f>
        <v>1245</v>
      </c>
      <c r="I8" s="79">
        <f>ELEC!Q6</f>
        <v>2000</v>
      </c>
      <c r="J8" s="79">
        <f>ELEC!R6</f>
        <v>5992</v>
      </c>
      <c r="K8" s="3"/>
      <c r="L8" s="3"/>
      <c r="M8" s="3"/>
      <c r="N8" s="3"/>
    </row>
    <row r="9" spans="1:14">
      <c r="A9" s="63">
        <f>'B5'!A9</f>
        <v>44109</v>
      </c>
      <c r="B9" s="76">
        <f>'B5'!V9</f>
        <v>96</v>
      </c>
      <c r="C9" s="76">
        <f>'B5'!AH9</f>
        <v>0</v>
      </c>
      <c r="D9" s="76">
        <f>GEN!AI7</f>
        <v>514.76793248945148</v>
      </c>
      <c r="E9" s="244">
        <f t="shared" si="0"/>
        <v>610.76793248945148</v>
      </c>
      <c r="F9" s="75">
        <f>WATER!L9</f>
        <v>0</v>
      </c>
      <c r="G9" s="78">
        <f>WATER!BG9</f>
        <v>41.1</v>
      </c>
      <c r="H9" s="79">
        <f>ELEC!AF7</f>
        <v>1878</v>
      </c>
      <c r="I9" s="79">
        <f>ELEC!Q7</f>
        <v>2000</v>
      </c>
      <c r="J9" s="79">
        <f>ELEC!R7</f>
        <v>7176</v>
      </c>
      <c r="K9" s="3"/>
      <c r="L9" s="3"/>
      <c r="M9" s="3"/>
      <c r="N9" s="3"/>
    </row>
    <row r="10" spans="1:14">
      <c r="A10" s="63">
        <f>'B5'!A10</f>
        <v>44110</v>
      </c>
      <c r="B10" s="76">
        <f>'B5'!V10</f>
        <v>0</v>
      </c>
      <c r="C10" s="76">
        <f>'B5'!AH10</f>
        <v>0</v>
      </c>
      <c r="D10" s="76">
        <f>GEN!AI8</f>
        <v>0</v>
      </c>
      <c r="E10" s="244">
        <f t="shared" si="0"/>
        <v>0</v>
      </c>
      <c r="F10" s="75">
        <f>WATER!L10</f>
        <v>0</v>
      </c>
      <c r="G10" s="78">
        <f>WATER!BG10</f>
        <v>-40.40000000000002</v>
      </c>
      <c r="H10" s="79">
        <f>ELEC!AF8</f>
        <v>0</v>
      </c>
      <c r="I10" s="79">
        <f>ELEC!Q8</f>
        <v>0</v>
      </c>
      <c r="J10" s="79">
        <f>ELEC!R8</f>
        <v>0</v>
      </c>
      <c r="K10" s="3"/>
      <c r="L10" s="3"/>
      <c r="M10" s="3"/>
      <c r="N10" s="3"/>
    </row>
    <row r="11" spans="1:14">
      <c r="A11" s="63">
        <f>'B5'!A11</f>
        <v>44111</v>
      </c>
      <c r="B11" s="76">
        <f>'B5'!V11</f>
        <v>0</v>
      </c>
      <c r="C11" s="76">
        <f>'B5'!AH11</f>
        <v>0</v>
      </c>
      <c r="D11" s="76">
        <f>GEN!AI9</f>
        <v>0</v>
      </c>
      <c r="E11" s="244">
        <f t="shared" si="0"/>
        <v>0</v>
      </c>
      <c r="F11" s="75">
        <f>WATER!L11</f>
        <v>0</v>
      </c>
      <c r="G11" s="78">
        <f>WATER!BG11</f>
        <v>0</v>
      </c>
      <c r="H11" s="79">
        <f>ELEC!AF9</f>
        <v>0</v>
      </c>
      <c r="I11" s="79">
        <f>ELEC!Q9</f>
        <v>0</v>
      </c>
      <c r="J11" s="79">
        <f>ELEC!R9</f>
        <v>0</v>
      </c>
      <c r="K11" s="3"/>
      <c r="L11" s="3"/>
      <c r="M11" s="3"/>
      <c r="N11" s="3"/>
    </row>
    <row r="12" spans="1:14">
      <c r="A12" s="63">
        <f>'B5'!A12</f>
        <v>44112</v>
      </c>
      <c r="B12" s="76">
        <f>'B5'!V12</f>
        <v>0</v>
      </c>
      <c r="C12" s="76">
        <f>'B5'!AH12</f>
        <v>0</v>
      </c>
      <c r="D12" s="76">
        <f>GEN!AI10</f>
        <v>0</v>
      </c>
      <c r="E12" s="244">
        <f t="shared" si="0"/>
        <v>0</v>
      </c>
      <c r="F12" s="75">
        <f>WATER!L12</f>
        <v>0</v>
      </c>
      <c r="G12" s="78">
        <f>WATER!BG12</f>
        <v>0</v>
      </c>
      <c r="H12" s="79">
        <f>ELEC!AF10</f>
        <v>0</v>
      </c>
      <c r="I12" s="79">
        <f>ELEC!Q10</f>
        <v>0</v>
      </c>
      <c r="J12" s="79">
        <f>ELEC!R10</f>
        <v>0</v>
      </c>
      <c r="K12" s="3"/>
      <c r="L12" s="3"/>
      <c r="M12" s="3"/>
      <c r="N12" s="3"/>
    </row>
    <row r="13" spans="1:14">
      <c r="A13" s="63">
        <f>'B5'!A13</f>
        <v>44113</v>
      </c>
      <c r="B13" s="76">
        <f>'B5'!V13</f>
        <v>0</v>
      </c>
      <c r="C13" s="76">
        <f>'B5'!AH13</f>
        <v>0</v>
      </c>
      <c r="D13" s="76">
        <f>GEN!AI11</f>
        <v>0</v>
      </c>
      <c r="E13" s="244">
        <f t="shared" si="0"/>
        <v>0</v>
      </c>
      <c r="F13" s="75">
        <f>WATER!L13</f>
        <v>0</v>
      </c>
      <c r="G13" s="78">
        <f>WATER!BG13</f>
        <v>0</v>
      </c>
      <c r="H13" s="79">
        <f>ELEC!AF11</f>
        <v>0</v>
      </c>
      <c r="I13" s="79">
        <f>ELEC!Q11</f>
        <v>0</v>
      </c>
      <c r="J13" s="79">
        <f>ELEC!R11</f>
        <v>0</v>
      </c>
      <c r="K13" s="3"/>
      <c r="L13" s="3"/>
      <c r="M13" s="3"/>
      <c r="N13" s="3"/>
    </row>
    <row r="14" spans="1:14">
      <c r="A14" s="63">
        <f>'B5'!A14</f>
        <v>44114</v>
      </c>
      <c r="B14" s="76">
        <f>'B5'!V14</f>
        <v>0</v>
      </c>
      <c r="C14" s="76">
        <f>'B5'!AH14</f>
        <v>0</v>
      </c>
      <c r="D14" s="76">
        <f>GEN!AI12</f>
        <v>0</v>
      </c>
      <c r="E14" s="244">
        <f t="shared" si="0"/>
        <v>0</v>
      </c>
      <c r="F14" s="75">
        <f>WATER!L14</f>
        <v>0</v>
      </c>
      <c r="G14" s="78">
        <f>WATER!BG14</f>
        <v>0</v>
      </c>
      <c r="H14" s="79">
        <f>ELEC!AF12</f>
        <v>0</v>
      </c>
      <c r="I14" s="79">
        <f>ELEC!Q12</f>
        <v>0</v>
      </c>
      <c r="J14" s="79">
        <f>ELEC!R12</f>
        <v>0</v>
      </c>
      <c r="K14" s="3"/>
      <c r="L14" s="3"/>
      <c r="M14" s="3"/>
      <c r="N14" s="3"/>
    </row>
    <row r="15" spans="1:14">
      <c r="A15" s="63">
        <f>'B5'!A15</f>
        <v>44115</v>
      </c>
      <c r="B15" s="76">
        <f>'B5'!V15</f>
        <v>0</v>
      </c>
      <c r="C15" s="76">
        <f>'B5'!AH15</f>
        <v>0</v>
      </c>
      <c r="D15" s="76">
        <f>GEN!AI13</f>
        <v>0</v>
      </c>
      <c r="E15" s="244">
        <f t="shared" si="0"/>
        <v>0</v>
      </c>
      <c r="F15" s="75">
        <f>WATER!L15</f>
        <v>0</v>
      </c>
      <c r="G15" s="78">
        <f>WATER!BG15</f>
        <v>0</v>
      </c>
      <c r="H15" s="79">
        <f>ELEC!AF13</f>
        <v>0</v>
      </c>
      <c r="I15" s="79">
        <f>ELEC!Q13</f>
        <v>0</v>
      </c>
      <c r="J15" s="79">
        <f>ELEC!R13</f>
        <v>0</v>
      </c>
      <c r="K15" s="3"/>
      <c r="L15" s="3"/>
      <c r="M15" s="3"/>
      <c r="N15" s="3"/>
    </row>
    <row r="16" spans="1:14">
      <c r="A16" s="63">
        <f>'B5'!A16</f>
        <v>44116</v>
      </c>
      <c r="B16" s="76">
        <f>'B5'!V16</f>
        <v>0</v>
      </c>
      <c r="C16" s="76">
        <f>'B5'!AH16</f>
        <v>0</v>
      </c>
      <c r="D16" s="76">
        <f>GEN!AI14</f>
        <v>0</v>
      </c>
      <c r="E16" s="244">
        <f t="shared" si="0"/>
        <v>0</v>
      </c>
      <c r="F16" s="75">
        <f>WATER!L16</f>
        <v>0</v>
      </c>
      <c r="G16" s="78">
        <f>WATER!BG16</f>
        <v>0</v>
      </c>
      <c r="H16" s="79">
        <f>ELEC!AF14</f>
        <v>0</v>
      </c>
      <c r="I16" s="79">
        <f>ELEC!Q14</f>
        <v>0</v>
      </c>
      <c r="J16" s="79">
        <f>ELEC!R14</f>
        <v>0</v>
      </c>
      <c r="K16" s="3"/>
      <c r="L16" s="3"/>
      <c r="M16" s="3"/>
      <c r="N16" s="3"/>
    </row>
    <row r="17" spans="1:14">
      <c r="A17" s="63">
        <f>'B5'!A17</f>
        <v>44117</v>
      </c>
      <c r="B17" s="76">
        <f>'B5'!V17</f>
        <v>0</v>
      </c>
      <c r="C17" s="76">
        <f>'B5'!AH17</f>
        <v>0</v>
      </c>
      <c r="D17" s="76">
        <f>GEN!AI15</f>
        <v>0</v>
      </c>
      <c r="E17" s="244">
        <f t="shared" si="0"/>
        <v>0</v>
      </c>
      <c r="F17" s="75">
        <f>WATER!L17</f>
        <v>0</v>
      </c>
      <c r="G17" s="78">
        <f>WATER!BG17</f>
        <v>0</v>
      </c>
      <c r="H17" s="79">
        <f>ELEC!AF15</f>
        <v>0</v>
      </c>
      <c r="I17" s="79">
        <f>ELEC!Q15</f>
        <v>0</v>
      </c>
      <c r="J17" s="79">
        <f>ELEC!R15</f>
        <v>0</v>
      </c>
      <c r="K17" s="3"/>
      <c r="L17" s="3"/>
      <c r="M17" s="3"/>
      <c r="N17" s="3"/>
    </row>
    <row r="18" spans="1:14">
      <c r="A18" s="63">
        <f>'B5'!A18</f>
        <v>44118</v>
      </c>
      <c r="B18" s="76">
        <f>'B5'!V18</f>
        <v>0</v>
      </c>
      <c r="C18" s="76">
        <f>'B5'!AH18</f>
        <v>0</v>
      </c>
      <c r="D18" s="76">
        <f>GEN!AI16</f>
        <v>0</v>
      </c>
      <c r="E18" s="244">
        <f t="shared" si="0"/>
        <v>0</v>
      </c>
      <c r="F18" s="75">
        <f>WATER!L18</f>
        <v>0</v>
      </c>
      <c r="G18" s="78">
        <f>WATER!BG18</f>
        <v>0</v>
      </c>
      <c r="H18" s="79">
        <f>ELEC!AF16</f>
        <v>0</v>
      </c>
      <c r="I18" s="79">
        <f>ELEC!Q16</f>
        <v>0</v>
      </c>
      <c r="J18" s="79">
        <f>ELEC!R16</f>
        <v>0</v>
      </c>
      <c r="K18" s="3"/>
      <c r="L18" s="3"/>
      <c r="M18" s="3"/>
      <c r="N18" s="3"/>
    </row>
    <row r="19" spans="1:14">
      <c r="A19" s="63">
        <f>'B5'!A19</f>
        <v>44119</v>
      </c>
      <c r="B19" s="76">
        <f>'B5'!V19</f>
        <v>0</v>
      </c>
      <c r="C19" s="76">
        <f>'B5'!AH19</f>
        <v>0</v>
      </c>
      <c r="D19" s="76">
        <f>GEN!AI17</f>
        <v>0</v>
      </c>
      <c r="E19" s="244">
        <f t="shared" si="0"/>
        <v>0</v>
      </c>
      <c r="F19" s="75">
        <f>WATER!L19</f>
        <v>0</v>
      </c>
      <c r="G19" s="78">
        <f>WATER!BG19</f>
        <v>0</v>
      </c>
      <c r="H19" s="79">
        <f>ELEC!AF17</f>
        <v>0</v>
      </c>
      <c r="I19" s="79">
        <f>ELEC!Q17</f>
        <v>0</v>
      </c>
      <c r="J19" s="79">
        <f>ELEC!R17</f>
        <v>0</v>
      </c>
      <c r="K19" s="3"/>
      <c r="L19" s="3"/>
      <c r="M19" s="3"/>
      <c r="N19" s="3"/>
    </row>
    <row r="20" spans="1:14">
      <c r="A20" s="63">
        <f>'B5'!A20</f>
        <v>44120</v>
      </c>
      <c r="B20" s="76">
        <f>'B5'!V20</f>
        <v>0</v>
      </c>
      <c r="C20" s="76">
        <f>'B5'!AH20</f>
        <v>0</v>
      </c>
      <c r="D20" s="76">
        <f>GEN!AI18</f>
        <v>0</v>
      </c>
      <c r="E20" s="244">
        <f t="shared" si="0"/>
        <v>0</v>
      </c>
      <c r="F20" s="75">
        <f>WATER!L20</f>
        <v>0</v>
      </c>
      <c r="G20" s="78">
        <f>WATER!BG20</f>
        <v>0</v>
      </c>
      <c r="H20" s="79">
        <f>ELEC!AF18</f>
        <v>0</v>
      </c>
      <c r="I20" s="79">
        <f>ELEC!Q18</f>
        <v>0</v>
      </c>
      <c r="J20" s="79">
        <f>ELEC!R18</f>
        <v>0</v>
      </c>
      <c r="K20" s="3"/>
      <c r="L20" s="3"/>
      <c r="M20" s="3"/>
      <c r="N20" s="3"/>
    </row>
    <row r="21" spans="1:14">
      <c r="A21" s="63">
        <f>'B5'!A21</f>
        <v>44121</v>
      </c>
      <c r="B21" s="76">
        <f>'B5'!V21</f>
        <v>0</v>
      </c>
      <c r="C21" s="76">
        <f>'B5'!AH21</f>
        <v>0</v>
      </c>
      <c r="D21" s="76">
        <f>GEN!AI19</f>
        <v>0</v>
      </c>
      <c r="E21" s="244">
        <f t="shared" si="0"/>
        <v>0</v>
      </c>
      <c r="F21" s="75">
        <f>WATER!L21</f>
        <v>0</v>
      </c>
      <c r="G21" s="78">
        <f>WATER!BG21</f>
        <v>0</v>
      </c>
      <c r="H21" s="79">
        <f>ELEC!AF19</f>
        <v>0</v>
      </c>
      <c r="I21" s="79">
        <f>ELEC!Q19</f>
        <v>0</v>
      </c>
      <c r="J21" s="79">
        <f>ELEC!R19</f>
        <v>0</v>
      </c>
      <c r="K21" s="3"/>
      <c r="L21" s="3"/>
      <c r="M21" s="3"/>
      <c r="N21" s="3"/>
    </row>
    <row r="22" spans="1:14">
      <c r="A22" s="63">
        <f>'B5'!A22</f>
        <v>44122</v>
      </c>
      <c r="B22" s="76">
        <f>'B5'!V22</f>
        <v>0</v>
      </c>
      <c r="C22" s="76">
        <f>'B5'!AH22</f>
        <v>0</v>
      </c>
      <c r="D22" s="76">
        <f>GEN!AI20</f>
        <v>0</v>
      </c>
      <c r="E22" s="244">
        <f t="shared" si="0"/>
        <v>0</v>
      </c>
      <c r="F22" s="75">
        <f>WATER!L22</f>
        <v>0</v>
      </c>
      <c r="G22" s="78">
        <f>WATER!BG22</f>
        <v>0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44123</v>
      </c>
      <c r="B23" s="76">
        <f>'B5'!V23</f>
        <v>0</v>
      </c>
      <c r="C23" s="76">
        <f>'B5'!AH23</f>
        <v>0</v>
      </c>
      <c r="D23" s="76">
        <f>GEN!AI21</f>
        <v>0</v>
      </c>
      <c r="E23" s="244">
        <f t="shared" si="0"/>
        <v>0</v>
      </c>
      <c r="F23" s="75">
        <f>WATER!L23</f>
        <v>0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44124</v>
      </c>
      <c r="B24" s="76">
        <f>'B5'!V24</f>
        <v>0</v>
      </c>
      <c r="C24" s="76">
        <f>'B5'!AH24</f>
        <v>0</v>
      </c>
      <c r="D24" s="76">
        <f>GEN!AI22</f>
        <v>0</v>
      </c>
      <c r="E24" s="244">
        <f t="shared" si="0"/>
        <v>0</v>
      </c>
      <c r="F24" s="75">
        <f>WATER!L24</f>
        <v>0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44125</v>
      </c>
      <c r="B25" s="76">
        <f>'B5'!V25</f>
        <v>0</v>
      </c>
      <c r="C25" s="76">
        <f>'B5'!AH25</f>
        <v>0</v>
      </c>
      <c r="D25" s="76">
        <f>GEN!AI23</f>
        <v>0</v>
      </c>
      <c r="E25" s="244">
        <f t="shared" si="0"/>
        <v>0</v>
      </c>
      <c r="F25" s="75">
        <f>WATER!L25</f>
        <v>0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44126</v>
      </c>
      <c r="B26" s="76">
        <f>'B5'!V26</f>
        <v>0</v>
      </c>
      <c r="C26" s="76">
        <f>'B5'!AH26</f>
        <v>0</v>
      </c>
      <c r="D26" s="76">
        <f>GEN!AI24</f>
        <v>0</v>
      </c>
      <c r="E26" s="244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44127</v>
      </c>
      <c r="B27" s="76">
        <f>'B5'!V27</f>
        <v>0</v>
      </c>
      <c r="C27" s="76">
        <f>'B5'!AH27</f>
        <v>0</v>
      </c>
      <c r="D27" s="76">
        <f>GEN!AI25</f>
        <v>0</v>
      </c>
      <c r="E27" s="244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44128</v>
      </c>
      <c r="B28" s="76">
        <f>'B5'!V28</f>
        <v>0</v>
      </c>
      <c r="C28" s="76">
        <f>'B5'!AH28</f>
        <v>0</v>
      </c>
      <c r="D28" s="76">
        <f>GEN!AI26</f>
        <v>0</v>
      </c>
      <c r="E28" s="244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44129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44130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44131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44132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>
        <f>'B5'!A33</f>
        <v>44133</v>
      </c>
      <c r="B33" s="76">
        <f>'B5'!V33</f>
        <v>0</v>
      </c>
      <c r="C33" s="76">
        <f>'B5'!AH33</f>
        <v>0</v>
      </c>
      <c r="D33" s="76">
        <f>GEN!AI31</f>
        <v>0</v>
      </c>
      <c r="E33" s="77">
        <f t="shared" si="0"/>
        <v>0</v>
      </c>
      <c r="F33" s="75">
        <f>WATER!L33</f>
        <v>0</v>
      </c>
      <c r="G33" s="78">
        <f>WATER!BG33</f>
        <v>0</v>
      </c>
      <c r="H33" s="79">
        <f>ELEC!AF31</f>
        <v>0</v>
      </c>
      <c r="I33" s="79">
        <f>ELEC!Q31</f>
        <v>0</v>
      </c>
      <c r="J33" s="79">
        <f>ELEC!R31</f>
        <v>0</v>
      </c>
      <c r="K33" s="3"/>
      <c r="L33" s="3"/>
      <c r="M33" s="3"/>
      <c r="N33" s="3"/>
    </row>
    <row r="34" spans="1:14">
      <c r="A34" s="63">
        <f>'B5'!A34</f>
        <v>44134</v>
      </c>
      <c r="B34" s="76">
        <f>'B5'!V34</f>
        <v>0</v>
      </c>
      <c r="C34" s="76">
        <f>'B5'!AH34</f>
        <v>0</v>
      </c>
      <c r="D34" s="76">
        <f>GEN!AI32</f>
        <v>0</v>
      </c>
      <c r="E34" s="77">
        <f>B34+C34+D34</f>
        <v>0</v>
      </c>
      <c r="F34" s="75">
        <f>WATER!L34</f>
        <v>0</v>
      </c>
      <c r="G34" s="78">
        <f>WATER!BG34</f>
        <v>0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51" t="s">
        <v>151</v>
      </c>
      <c r="U3" s="651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0</v>
      </c>
      <c r="E5">
        <f t="shared" ref="E5:E37" si="0">D5*90</f>
        <v>0</v>
      </c>
      <c r="F5">
        <f>'B5'!AM4</f>
        <v>0</v>
      </c>
      <c r="G5">
        <f t="shared" ref="G5:G37" si="1">F5*107</f>
        <v>0</v>
      </c>
      <c r="H5">
        <f>GEN!Z3</f>
        <v>3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3</v>
      </c>
      <c r="E7">
        <f t="shared" si="0"/>
        <v>270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1</v>
      </c>
      <c r="E8">
        <f t="shared" si="0"/>
        <v>90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1</v>
      </c>
      <c r="E10">
        <f t="shared" si="0"/>
        <v>90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5"/>
  <sheetViews>
    <sheetView zoomScaleNormal="100" workbookViewId="0">
      <pane ySplit="1" topLeftCell="A2" activePane="bottomLeft" state="frozen"/>
      <selection pane="bottomLeft" activeCell="AA7" sqref="AA7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13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13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89"/>
      <c r="P1" s="25" t="s">
        <v>46</v>
      </c>
      <c r="Q1" s="25" t="s">
        <v>49</v>
      </c>
      <c r="R1" s="413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89" t="s">
        <v>374</v>
      </c>
      <c r="AC1" s="289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376</v>
      </c>
    </row>
    <row r="2" spans="1:37" ht="15.75" thickBot="1">
      <c r="A2" s="4">
        <f>ELEC!C2</f>
        <v>44104</v>
      </c>
      <c r="B2" s="272">
        <f>[2]GEN!B32</f>
        <v>9208</v>
      </c>
      <c r="C2" s="272">
        <f>[2]GEN!C32</f>
        <v>6</v>
      </c>
      <c r="D2" s="272">
        <f>[2]GEN!D32</f>
        <v>244563</v>
      </c>
      <c r="E2" s="272">
        <f>[2]GEN!E32</f>
        <v>1004</v>
      </c>
      <c r="F2" s="272">
        <f>[2]GEN!F32</f>
        <v>167.33333333333334</v>
      </c>
      <c r="G2" s="272">
        <f>[2]GEN!G32</f>
        <v>0</v>
      </c>
      <c r="H2" s="272">
        <f>[2]GEN!H32</f>
        <v>9298</v>
      </c>
      <c r="I2" s="272" t="str">
        <f>[2]GEN!I32</f>
        <v>ok</v>
      </c>
      <c r="J2" s="272">
        <f>[2]GEN!J32</f>
        <v>10698</v>
      </c>
      <c r="K2" s="272">
        <f>[2]GEN!K32</f>
        <v>0</v>
      </c>
      <c r="L2" s="272">
        <f>[2]GEN!L32</f>
        <v>238500</v>
      </c>
      <c r="M2" s="272">
        <f>[2]GEN!M32</f>
        <v>0</v>
      </c>
      <c r="N2" s="272">
        <f>[2]GEN!N32</f>
        <v>0</v>
      </c>
      <c r="O2" s="272">
        <f>[2]GEN!O32</f>
        <v>0</v>
      </c>
      <c r="P2" s="272">
        <f>[2]GEN!P32</f>
        <v>10873</v>
      </c>
      <c r="Q2" s="272" t="str">
        <f>[2]GEN!Q32</f>
        <v>ok</v>
      </c>
      <c r="R2" s="272">
        <f>[2]GEN!R32</f>
        <v>11705</v>
      </c>
      <c r="S2" s="272">
        <f>[2]GEN!S32</f>
        <v>0</v>
      </c>
      <c r="T2" s="272">
        <f>[2]GEN!T32</f>
        <v>357658</v>
      </c>
      <c r="U2" s="272">
        <f>[2]GEN!U32</f>
        <v>0</v>
      </c>
      <c r="V2" s="272">
        <f>[2]GEN!V32</f>
        <v>0</v>
      </c>
      <c r="W2" s="272">
        <f>[2]GEN!W32</f>
        <v>0</v>
      </c>
      <c r="X2" s="272">
        <f>[2]GEN!X32</f>
        <v>12609</v>
      </c>
      <c r="Y2" s="272" t="str">
        <f>[2]GEN!Y32</f>
        <v>ok</v>
      </c>
      <c r="Z2" s="272">
        <f>[2]GEN!Z32</f>
        <v>6</v>
      </c>
      <c r="AA2" s="272">
        <f>[2]GEN!AA32</f>
        <v>1004</v>
      </c>
      <c r="AB2" s="272">
        <f>[2]GEN!AB32</f>
        <v>167.33333333333334</v>
      </c>
      <c r="AC2" s="272">
        <f>[2]GEN!AC32</f>
        <v>167.33333333333334</v>
      </c>
      <c r="AD2" s="272">
        <f>[2]GEN!AD32</f>
        <v>4000</v>
      </c>
      <c r="AE2" s="272">
        <f>[2]GEN!AE32</f>
        <v>666.66666666666663</v>
      </c>
      <c r="AF2" s="272">
        <f>[2]GEN!AF32</f>
        <v>0.41666666666666663</v>
      </c>
      <c r="AG2" s="272">
        <f>[2]GEN!AG32</f>
        <v>133.33333333333331</v>
      </c>
      <c r="AH2" s="272">
        <f>[2]GEN!AH32</f>
        <v>34.000000000000028</v>
      </c>
      <c r="AI2" s="272">
        <f>[2]GEN!AI32</f>
        <v>1029.535864978903</v>
      </c>
      <c r="AJ2" s="272">
        <f>[2]GEN!AJ32</f>
        <v>0.25738396624472576</v>
      </c>
      <c r="AK2" s="272">
        <f>[2]GEN!AK32</f>
        <v>171.58931082981715</v>
      </c>
    </row>
    <row r="3" spans="1:37" ht="15.75" thickBot="1">
      <c r="A3" s="4">
        <f>ELEC!C3</f>
        <v>44105</v>
      </c>
      <c r="B3" s="561">
        <v>9211</v>
      </c>
      <c r="C3" s="290">
        <f>B3-B2</f>
        <v>3</v>
      </c>
      <c r="D3" s="562">
        <v>245152</v>
      </c>
      <c r="E3" s="290">
        <f>SUM(D3-D2)</f>
        <v>589</v>
      </c>
      <c r="F3" s="290">
        <f t="shared" ref="F3:F32" si="0">IF(C3&gt;0,E3/C3,0)</f>
        <v>196.33333333333334</v>
      </c>
      <c r="G3" s="272">
        <f>[4]GEN!G32</f>
        <v>0</v>
      </c>
      <c r="H3" s="291">
        <f>H2+180</f>
        <v>9478</v>
      </c>
      <c r="I3" s="290" t="str">
        <f t="shared" ref="I3:I32" si="1">IF(B3-H3&lt;=0,"ok","oil change")</f>
        <v>ok</v>
      </c>
      <c r="J3" s="562">
        <f>J2</f>
        <v>10698</v>
      </c>
      <c r="K3" s="290">
        <f t="shared" ref="K3:K31" si="2">J3-J2</f>
        <v>0</v>
      </c>
      <c r="L3" s="562">
        <f>L2</f>
        <v>238500</v>
      </c>
      <c r="M3" s="290">
        <f t="shared" ref="M3:M32" si="3">SUM(L3-L2)</f>
        <v>0</v>
      </c>
      <c r="N3" s="290">
        <f>IF(K3&gt;0,M3/K3,0)</f>
        <v>0</v>
      </c>
      <c r="O3" s="272">
        <f>[4]GEN!O32</f>
        <v>0</v>
      </c>
      <c r="P3" s="291">
        <f>P2</f>
        <v>10873</v>
      </c>
      <c r="Q3" s="290" t="str">
        <f t="shared" ref="Q3:Q17" si="4">IF(J3-P3&lt;=0,"ok","oil change")</f>
        <v>ok</v>
      </c>
      <c r="R3" s="562">
        <f>R2</f>
        <v>11705</v>
      </c>
      <c r="S3" s="290">
        <f t="shared" ref="S3:S32" si="5">R3-R2</f>
        <v>0</v>
      </c>
      <c r="T3" s="562">
        <v>357664</v>
      </c>
      <c r="U3" s="290">
        <f t="shared" ref="U3:U19" si="6">SUM(T3-T2)</f>
        <v>6</v>
      </c>
      <c r="V3" s="290">
        <f>IF(S3&gt;0,U3/S3,0)</f>
        <v>0</v>
      </c>
      <c r="W3" s="272">
        <f>[4]GEN!W32</f>
        <v>0</v>
      </c>
      <c r="X3" s="291">
        <f>X2</f>
        <v>12609</v>
      </c>
      <c r="Y3" s="290" t="str">
        <f t="shared" ref="Y3:Y20" si="7">IF(R3-X3&lt;=0,"ok","oil change")</f>
        <v>ok</v>
      </c>
      <c r="Z3" s="290">
        <f t="shared" ref="Z3:Z32" si="8">C3+K3+S3</f>
        <v>3</v>
      </c>
      <c r="AA3" s="290">
        <f>U3+M3+E3</f>
        <v>595</v>
      </c>
      <c r="AB3" s="290">
        <f>V3+N3+F3</f>
        <v>196.33333333333334</v>
      </c>
      <c r="AC3" s="290">
        <f>IF(Z3&gt;0,AA3/Z3,0)</f>
        <v>198.33333333333334</v>
      </c>
      <c r="AD3" s="73">
        <f>ELEC!Q3</f>
        <v>2000</v>
      </c>
      <c r="AE3" s="73">
        <f>SUM(AD3/Z3)</f>
        <v>666.66666666666663</v>
      </c>
      <c r="AF3" s="407">
        <f>SUM(AE3/1600)</f>
        <v>0.41666666666666663</v>
      </c>
      <c r="AG3" s="408">
        <f>SUM(360*AF3)</f>
        <v>150</v>
      </c>
      <c r="AH3" s="408">
        <f>SUM(AC3-AG3)</f>
        <v>48.333333333333343</v>
      </c>
      <c r="AI3" s="73">
        <f>AD3*AJ3</f>
        <v>514.76793248945148</v>
      </c>
      <c r="AJ3" s="292">
        <f t="shared" ref="AJ3:AJ33" si="9">305/1185</f>
        <v>0.25738396624472576</v>
      </c>
      <c r="AK3" s="292">
        <f t="shared" ref="AK3:AK8" si="10">AI3/Z3</f>
        <v>171.58931082981715</v>
      </c>
    </row>
    <row r="4" spans="1:37" ht="15.75" thickBot="1">
      <c r="A4" s="4">
        <f>ELEC!C4</f>
        <v>44106</v>
      </c>
      <c r="B4" s="561">
        <f t="shared" ref="B4:B33" si="11">B3</f>
        <v>9211</v>
      </c>
      <c r="C4" s="290">
        <f t="shared" ref="C4:C32" si="12">B4-B3</f>
        <v>0</v>
      </c>
      <c r="D4" s="562">
        <f t="shared" ref="D4:D33" si="13">D3</f>
        <v>245152</v>
      </c>
      <c r="E4" s="290">
        <f t="shared" ref="E4:E32" si="14">SUM(D4-D3)</f>
        <v>0</v>
      </c>
      <c r="F4" s="290">
        <f t="shared" si="0"/>
        <v>0</v>
      </c>
      <c r="G4" s="197"/>
      <c r="H4" s="291">
        <f t="shared" ref="H4:H23" si="15">H3</f>
        <v>9478</v>
      </c>
      <c r="I4" s="290" t="str">
        <f t="shared" si="1"/>
        <v>ok</v>
      </c>
      <c r="J4" s="562">
        <f t="shared" ref="J4:J33" si="16">J3</f>
        <v>10698</v>
      </c>
      <c r="K4" s="290">
        <f t="shared" si="2"/>
        <v>0</v>
      </c>
      <c r="L4" s="562">
        <f t="shared" ref="L4:L32" si="17">L3</f>
        <v>238500</v>
      </c>
      <c r="M4" s="290">
        <f t="shared" si="3"/>
        <v>0</v>
      </c>
      <c r="N4" s="290">
        <f t="shared" ref="N4:N32" si="18">IF(K4&gt;0,M4/K4,0)</f>
        <v>0</v>
      </c>
      <c r="O4" s="197"/>
      <c r="P4" s="291">
        <f t="shared" ref="P4:P33" si="19">P3</f>
        <v>10873</v>
      </c>
      <c r="Q4" s="290" t="str">
        <f t="shared" si="4"/>
        <v>ok</v>
      </c>
      <c r="R4" s="562">
        <f t="shared" ref="R4:R33" si="20">R3</f>
        <v>11705</v>
      </c>
      <c r="S4" s="290">
        <f t="shared" si="5"/>
        <v>0</v>
      </c>
      <c r="T4" s="562">
        <v>357664</v>
      </c>
      <c r="U4" s="290">
        <f t="shared" si="6"/>
        <v>0</v>
      </c>
      <c r="V4" s="290">
        <f t="shared" ref="V4:V32" si="21">IF(S4&gt;0,U4/S4,0)</f>
        <v>0</v>
      </c>
      <c r="W4" s="197"/>
      <c r="X4" s="291">
        <f t="shared" ref="X4:X33" si="22">X3</f>
        <v>12609</v>
      </c>
      <c r="Y4" s="290" t="str">
        <f t="shared" si="7"/>
        <v>ok</v>
      </c>
      <c r="Z4" s="290">
        <f>C4+K4+S4</f>
        <v>0</v>
      </c>
      <c r="AA4" s="290">
        <f t="shared" ref="AA4:AA32" si="23">U4+M4+E4</f>
        <v>0</v>
      </c>
      <c r="AB4" s="290">
        <f t="shared" ref="AB4:AB32" si="24">V4+N4+F4</f>
        <v>0</v>
      </c>
      <c r="AC4" s="290">
        <f t="shared" ref="AC4:AC32" si="25">IF(Z4&gt;0,AA4/Z4,0)</f>
        <v>0</v>
      </c>
      <c r="AD4" s="73">
        <f>ELEC!Q4</f>
        <v>0</v>
      </c>
      <c r="AE4" s="73" t="e">
        <f>SUM(AD4/Z4)</f>
        <v>#DIV/0!</v>
      </c>
      <c r="AF4" s="407" t="e">
        <f>SUM(AE4/1600)</f>
        <v>#DIV/0!</v>
      </c>
      <c r="AG4" s="408" t="e">
        <f>SUM(360*AF4)</f>
        <v>#DIV/0!</v>
      </c>
      <c r="AH4" s="408" t="e">
        <f t="shared" ref="AH4:AH32" si="26">SUM(AC4-AG4)</f>
        <v>#DIV/0!</v>
      </c>
      <c r="AI4" s="73">
        <f>AD4*AJ4</f>
        <v>0</v>
      </c>
      <c r="AJ4" s="292">
        <f t="shared" si="9"/>
        <v>0.25738396624472576</v>
      </c>
      <c r="AK4" s="292" t="e">
        <f t="shared" si="10"/>
        <v>#DIV/0!</v>
      </c>
    </row>
    <row r="5" spans="1:37" ht="15.75" thickBot="1">
      <c r="A5" s="4">
        <f>ELEC!C5</f>
        <v>44107</v>
      </c>
      <c r="B5" s="561">
        <v>9214</v>
      </c>
      <c r="C5" s="290">
        <f t="shared" si="12"/>
        <v>3</v>
      </c>
      <c r="D5" s="562">
        <v>245883</v>
      </c>
      <c r="E5" s="290">
        <f t="shared" si="14"/>
        <v>731</v>
      </c>
      <c r="F5" s="290">
        <f t="shared" si="0"/>
        <v>243.66666666666666</v>
      </c>
      <c r="G5" s="288"/>
      <c r="H5" s="291">
        <f>H4</f>
        <v>9478</v>
      </c>
      <c r="I5" s="290" t="str">
        <f t="shared" si="1"/>
        <v>ok</v>
      </c>
      <c r="J5" s="562">
        <f t="shared" si="16"/>
        <v>10698</v>
      </c>
      <c r="K5" s="290">
        <f t="shared" si="2"/>
        <v>0</v>
      </c>
      <c r="L5" s="562">
        <f t="shared" si="17"/>
        <v>238500</v>
      </c>
      <c r="M5" s="290">
        <f t="shared" si="3"/>
        <v>0</v>
      </c>
      <c r="N5" s="290">
        <f t="shared" si="18"/>
        <v>0</v>
      </c>
      <c r="O5" s="197"/>
      <c r="P5" s="291">
        <f>P4</f>
        <v>10873</v>
      </c>
      <c r="Q5" s="290" t="str">
        <f t="shared" si="4"/>
        <v>ok</v>
      </c>
      <c r="R5" s="562">
        <f t="shared" si="20"/>
        <v>11705</v>
      </c>
      <c r="S5" s="290">
        <f t="shared" si="5"/>
        <v>0</v>
      </c>
      <c r="T5" s="562">
        <f t="shared" ref="T5:T33" si="27">T4</f>
        <v>357664</v>
      </c>
      <c r="U5" s="290">
        <f t="shared" si="6"/>
        <v>0</v>
      </c>
      <c r="V5" s="290">
        <f>IF(S5&gt;0,U5/S5,0)</f>
        <v>0</v>
      </c>
      <c r="W5" s="197"/>
      <c r="X5" s="291">
        <f t="shared" si="22"/>
        <v>12609</v>
      </c>
      <c r="Y5" s="290" t="str">
        <f t="shared" si="7"/>
        <v>ok</v>
      </c>
      <c r="Z5" s="290">
        <f t="shared" si="8"/>
        <v>3</v>
      </c>
      <c r="AA5" s="290">
        <f t="shared" si="23"/>
        <v>731</v>
      </c>
      <c r="AB5" s="290">
        <f t="shared" si="24"/>
        <v>243.66666666666666</v>
      </c>
      <c r="AC5" s="290">
        <f t="shared" si="25"/>
        <v>243.66666666666666</v>
      </c>
      <c r="AD5" s="73">
        <f>ELEC!Q5</f>
        <v>1000</v>
      </c>
      <c r="AE5" s="73">
        <f t="shared" ref="AE5:AE32" si="28">SUM(AD5/Z5)</f>
        <v>333.33333333333331</v>
      </c>
      <c r="AF5" s="407">
        <f t="shared" ref="AF5:AF32" si="29">SUM(AE5/1600)</f>
        <v>0.20833333333333331</v>
      </c>
      <c r="AG5" s="408">
        <f t="shared" ref="AG5:AG32" si="30">SUM(320*AF5)</f>
        <v>66.666666666666657</v>
      </c>
      <c r="AH5" s="408">
        <f t="shared" si="26"/>
        <v>177</v>
      </c>
      <c r="AI5" s="73">
        <f t="shared" ref="AI5:AI32" si="31">AD5*AJ5</f>
        <v>257.38396624472574</v>
      </c>
      <c r="AJ5" s="292">
        <f t="shared" si="9"/>
        <v>0.25738396624472576</v>
      </c>
      <c r="AK5" s="292">
        <f t="shared" si="10"/>
        <v>85.794655414908576</v>
      </c>
    </row>
    <row r="6" spans="1:37" ht="15.75" thickBot="1">
      <c r="A6" s="4">
        <f>ELEC!C6</f>
        <v>44108</v>
      </c>
      <c r="B6" s="561">
        <v>9218</v>
      </c>
      <c r="C6" s="290">
        <f t="shared" si="12"/>
        <v>4</v>
      </c>
      <c r="D6" s="562">
        <v>246617</v>
      </c>
      <c r="E6" s="290">
        <f t="shared" si="14"/>
        <v>734</v>
      </c>
      <c r="F6" s="290">
        <f t="shared" si="0"/>
        <v>183.5</v>
      </c>
      <c r="G6" s="197"/>
      <c r="H6" s="291">
        <v>9298</v>
      </c>
      <c r="I6" s="290" t="str">
        <f t="shared" si="1"/>
        <v>ok</v>
      </c>
      <c r="J6" s="562">
        <f t="shared" si="16"/>
        <v>10698</v>
      </c>
      <c r="K6" s="290">
        <f t="shared" si="2"/>
        <v>0</v>
      </c>
      <c r="L6" s="562">
        <f t="shared" si="17"/>
        <v>238500</v>
      </c>
      <c r="M6" s="290">
        <f t="shared" si="3"/>
        <v>0</v>
      </c>
      <c r="N6" s="290">
        <f t="shared" si="18"/>
        <v>0</v>
      </c>
      <c r="O6" s="310"/>
      <c r="P6" s="291">
        <f t="shared" si="19"/>
        <v>10873</v>
      </c>
      <c r="Q6" s="290" t="str">
        <f t="shared" si="4"/>
        <v>ok</v>
      </c>
      <c r="R6" s="562">
        <f t="shared" si="20"/>
        <v>11705</v>
      </c>
      <c r="S6" s="290">
        <f t="shared" si="5"/>
        <v>0</v>
      </c>
      <c r="T6" s="562">
        <f t="shared" si="27"/>
        <v>357664</v>
      </c>
      <c r="U6" s="290">
        <f t="shared" si="6"/>
        <v>0</v>
      </c>
      <c r="V6" s="290">
        <f t="shared" si="21"/>
        <v>0</v>
      </c>
      <c r="W6" s="310"/>
      <c r="X6" s="291">
        <f t="shared" si="22"/>
        <v>12609</v>
      </c>
      <c r="Y6" s="290" t="str">
        <f t="shared" si="7"/>
        <v>ok</v>
      </c>
      <c r="Z6" s="290">
        <f t="shared" si="8"/>
        <v>4</v>
      </c>
      <c r="AA6" s="290">
        <f t="shared" si="23"/>
        <v>734</v>
      </c>
      <c r="AB6" s="290">
        <f t="shared" si="24"/>
        <v>183.5</v>
      </c>
      <c r="AC6" s="290">
        <f t="shared" si="25"/>
        <v>183.5</v>
      </c>
      <c r="AD6" s="73">
        <f>ELEC!Q6</f>
        <v>2000</v>
      </c>
      <c r="AE6" s="73">
        <f>SUM(AD6/Z6)</f>
        <v>500</v>
      </c>
      <c r="AF6" s="407">
        <f t="shared" si="29"/>
        <v>0.3125</v>
      </c>
      <c r="AG6" s="408">
        <f>SUM(320*AF6)</f>
        <v>100</v>
      </c>
      <c r="AH6" s="408">
        <f t="shared" si="26"/>
        <v>83.5</v>
      </c>
      <c r="AI6" s="73">
        <f t="shared" si="31"/>
        <v>514.76793248945148</v>
      </c>
      <c r="AJ6" s="292">
        <f t="shared" si="9"/>
        <v>0.25738396624472576</v>
      </c>
      <c r="AK6" s="292">
        <f t="shared" si="10"/>
        <v>128.69198312236287</v>
      </c>
    </row>
    <row r="7" spans="1:37" ht="15.75" thickBot="1">
      <c r="A7" s="4">
        <f>ELEC!C7</f>
        <v>44109</v>
      </c>
      <c r="B7" s="561">
        <v>9221</v>
      </c>
      <c r="C7" s="290">
        <f t="shared" si="12"/>
        <v>3</v>
      </c>
      <c r="D7" s="562">
        <v>247280</v>
      </c>
      <c r="E7" s="290">
        <f t="shared" si="14"/>
        <v>663</v>
      </c>
      <c r="F7" s="290">
        <f t="shared" si="0"/>
        <v>221</v>
      </c>
      <c r="G7" s="197"/>
      <c r="H7" s="291">
        <f t="shared" si="15"/>
        <v>9298</v>
      </c>
      <c r="I7" s="290" t="str">
        <f t="shared" si="1"/>
        <v>ok</v>
      </c>
      <c r="J7" s="562">
        <f t="shared" si="16"/>
        <v>10698</v>
      </c>
      <c r="K7" s="290">
        <f t="shared" si="2"/>
        <v>0</v>
      </c>
      <c r="L7" s="562">
        <f t="shared" si="17"/>
        <v>238500</v>
      </c>
      <c r="M7" s="290">
        <f t="shared" si="3"/>
        <v>0</v>
      </c>
      <c r="N7" s="290">
        <f t="shared" si="18"/>
        <v>0</v>
      </c>
      <c r="O7" s="310"/>
      <c r="P7" s="291">
        <f t="shared" si="19"/>
        <v>10873</v>
      </c>
      <c r="Q7" s="290" t="str">
        <f t="shared" si="4"/>
        <v>ok</v>
      </c>
      <c r="R7" s="562">
        <v>11705</v>
      </c>
      <c r="S7" s="290">
        <f t="shared" si="5"/>
        <v>0</v>
      </c>
      <c r="T7" s="562">
        <f t="shared" si="27"/>
        <v>357664</v>
      </c>
      <c r="U7" s="290">
        <f t="shared" si="6"/>
        <v>0</v>
      </c>
      <c r="V7" s="290">
        <f t="shared" si="21"/>
        <v>0</v>
      </c>
      <c r="W7" s="197"/>
      <c r="X7" s="291">
        <f t="shared" si="22"/>
        <v>12609</v>
      </c>
      <c r="Y7" s="290" t="str">
        <f t="shared" si="7"/>
        <v>ok</v>
      </c>
      <c r="Z7" s="290">
        <f t="shared" si="8"/>
        <v>3</v>
      </c>
      <c r="AA7" s="290">
        <f>U7+M7+E7</f>
        <v>663</v>
      </c>
      <c r="AB7" s="290">
        <f t="shared" si="24"/>
        <v>221</v>
      </c>
      <c r="AC7" s="290">
        <f t="shared" si="25"/>
        <v>221</v>
      </c>
      <c r="AD7" s="73">
        <f>ELEC!Q7</f>
        <v>2000</v>
      </c>
      <c r="AE7" s="73">
        <f t="shared" si="28"/>
        <v>666.66666666666663</v>
      </c>
      <c r="AF7" s="407">
        <f t="shared" si="29"/>
        <v>0.41666666666666663</v>
      </c>
      <c r="AG7" s="512" t="s">
        <v>405</v>
      </c>
      <c r="AH7" s="408" t="e">
        <f t="shared" si="26"/>
        <v>#VALUE!</v>
      </c>
      <c r="AI7" s="73">
        <f t="shared" si="31"/>
        <v>514.76793248945148</v>
      </c>
      <c r="AJ7" s="292">
        <f t="shared" si="9"/>
        <v>0.25738396624472576</v>
      </c>
      <c r="AK7" s="292">
        <f t="shared" si="10"/>
        <v>171.58931082981715</v>
      </c>
    </row>
    <row r="8" spans="1:37" ht="15.75" thickBot="1">
      <c r="A8" s="4">
        <f>ELEC!C8</f>
        <v>44110</v>
      </c>
      <c r="B8" s="561">
        <f t="shared" si="11"/>
        <v>9221</v>
      </c>
      <c r="C8" s="290">
        <f t="shared" si="12"/>
        <v>0</v>
      </c>
      <c r="D8" s="562">
        <f t="shared" si="13"/>
        <v>247280</v>
      </c>
      <c r="E8" s="290">
        <f t="shared" si="14"/>
        <v>0</v>
      </c>
      <c r="F8" s="290">
        <f t="shared" si="0"/>
        <v>0</v>
      </c>
      <c r="G8" s="197"/>
      <c r="H8" s="291">
        <f t="shared" si="15"/>
        <v>9298</v>
      </c>
      <c r="I8" s="290" t="str">
        <f t="shared" si="1"/>
        <v>ok</v>
      </c>
      <c r="J8" s="562">
        <f t="shared" si="16"/>
        <v>10698</v>
      </c>
      <c r="K8" s="290">
        <f t="shared" si="2"/>
        <v>0</v>
      </c>
      <c r="L8" s="562">
        <f t="shared" si="17"/>
        <v>238500</v>
      </c>
      <c r="M8" s="290">
        <f t="shared" si="3"/>
        <v>0</v>
      </c>
      <c r="N8" s="290">
        <f t="shared" si="18"/>
        <v>0</v>
      </c>
      <c r="O8" s="197"/>
      <c r="P8" s="291">
        <f t="shared" si="19"/>
        <v>10873</v>
      </c>
      <c r="Q8" s="290" t="str">
        <f t="shared" si="4"/>
        <v>ok</v>
      </c>
      <c r="R8" s="562">
        <f t="shared" si="20"/>
        <v>11705</v>
      </c>
      <c r="S8" s="290">
        <f t="shared" si="5"/>
        <v>0</v>
      </c>
      <c r="T8" s="562">
        <f t="shared" si="27"/>
        <v>357664</v>
      </c>
      <c r="U8" s="290">
        <f t="shared" si="6"/>
        <v>0</v>
      </c>
      <c r="V8" s="290">
        <f t="shared" si="21"/>
        <v>0</v>
      </c>
      <c r="W8" s="197"/>
      <c r="X8" s="291">
        <f t="shared" si="22"/>
        <v>12609</v>
      </c>
      <c r="Y8" s="290" t="str">
        <f t="shared" si="7"/>
        <v>ok</v>
      </c>
      <c r="Z8" s="290">
        <f t="shared" si="8"/>
        <v>0</v>
      </c>
      <c r="AA8" s="290">
        <f t="shared" si="23"/>
        <v>0</v>
      </c>
      <c r="AB8" s="290">
        <f t="shared" si="24"/>
        <v>0</v>
      </c>
      <c r="AC8" s="290">
        <f t="shared" si="25"/>
        <v>0</v>
      </c>
      <c r="AD8" s="73">
        <f>ELEC!Q8</f>
        <v>0</v>
      </c>
      <c r="AE8" s="73" t="e">
        <f t="shared" si="28"/>
        <v>#DIV/0!</v>
      </c>
      <c r="AF8" s="407" t="e">
        <f t="shared" si="29"/>
        <v>#DIV/0!</v>
      </c>
      <c r="AG8" s="408" t="e">
        <f t="shared" si="30"/>
        <v>#DIV/0!</v>
      </c>
      <c r="AH8" s="408" t="e">
        <f t="shared" si="26"/>
        <v>#DIV/0!</v>
      </c>
      <c r="AI8" s="73">
        <f t="shared" si="31"/>
        <v>0</v>
      </c>
      <c r="AJ8" s="292">
        <f t="shared" si="9"/>
        <v>0.25738396624472576</v>
      </c>
      <c r="AK8" s="292" t="e">
        <f t="shared" si="10"/>
        <v>#DIV/0!</v>
      </c>
    </row>
    <row r="9" spans="1:37" ht="15.75" thickBot="1">
      <c r="A9" s="4">
        <f>ELEC!C9</f>
        <v>44111</v>
      </c>
      <c r="B9" s="561">
        <f t="shared" si="11"/>
        <v>9221</v>
      </c>
      <c r="C9" s="290">
        <f t="shared" si="12"/>
        <v>0</v>
      </c>
      <c r="D9" s="562">
        <f t="shared" si="13"/>
        <v>247280</v>
      </c>
      <c r="E9" s="290">
        <f t="shared" si="14"/>
        <v>0</v>
      </c>
      <c r="F9" s="290">
        <f t="shared" si="0"/>
        <v>0</v>
      </c>
      <c r="G9" s="197"/>
      <c r="H9" s="291">
        <f t="shared" si="15"/>
        <v>9298</v>
      </c>
      <c r="I9" s="290" t="str">
        <f t="shared" si="1"/>
        <v>ok</v>
      </c>
      <c r="J9" s="562">
        <f t="shared" si="16"/>
        <v>10698</v>
      </c>
      <c r="K9" s="290">
        <f t="shared" si="2"/>
        <v>0</v>
      </c>
      <c r="L9" s="562">
        <f t="shared" si="17"/>
        <v>238500</v>
      </c>
      <c r="M9" s="290">
        <f t="shared" si="3"/>
        <v>0</v>
      </c>
      <c r="N9" s="290">
        <f t="shared" si="18"/>
        <v>0</v>
      </c>
      <c r="O9" s="197"/>
      <c r="P9" s="291">
        <f t="shared" si="19"/>
        <v>10873</v>
      </c>
      <c r="Q9" s="290" t="str">
        <f t="shared" si="4"/>
        <v>ok</v>
      </c>
      <c r="R9" s="562">
        <f t="shared" si="20"/>
        <v>11705</v>
      </c>
      <c r="S9" s="290">
        <f t="shared" si="5"/>
        <v>0</v>
      </c>
      <c r="T9" s="562">
        <f t="shared" si="27"/>
        <v>357664</v>
      </c>
      <c r="U9" s="290">
        <f t="shared" si="6"/>
        <v>0</v>
      </c>
      <c r="V9" s="290">
        <f t="shared" si="21"/>
        <v>0</v>
      </c>
      <c r="W9" s="197"/>
      <c r="X9" s="291">
        <f t="shared" si="22"/>
        <v>12609</v>
      </c>
      <c r="Y9" s="290" t="str">
        <f t="shared" si="7"/>
        <v>ok</v>
      </c>
      <c r="Z9" s="290">
        <f t="shared" si="8"/>
        <v>0</v>
      </c>
      <c r="AA9" s="290">
        <f t="shared" si="23"/>
        <v>0</v>
      </c>
      <c r="AB9" s="290">
        <f t="shared" si="24"/>
        <v>0</v>
      </c>
      <c r="AC9" s="290">
        <f t="shared" si="25"/>
        <v>0</v>
      </c>
      <c r="AD9" s="73">
        <f>ELEC!Q9</f>
        <v>0</v>
      </c>
      <c r="AE9" s="73" t="e">
        <f t="shared" si="28"/>
        <v>#DIV/0!</v>
      </c>
      <c r="AF9" s="407" t="e">
        <f t="shared" si="29"/>
        <v>#DIV/0!</v>
      </c>
      <c r="AG9" s="408" t="e">
        <f t="shared" si="30"/>
        <v>#DIV/0!</v>
      </c>
      <c r="AH9" s="408" t="e">
        <f t="shared" si="26"/>
        <v>#DIV/0!</v>
      </c>
      <c r="AI9" s="73">
        <f t="shared" si="31"/>
        <v>0</v>
      </c>
      <c r="AJ9" s="292">
        <v>0.25738396624472576</v>
      </c>
      <c r="AK9" s="292">
        <f t="shared" ref="AK9:AK16" si="32">IF(Z9&gt;0,AI9/Z9,0)</f>
        <v>0</v>
      </c>
    </row>
    <row r="10" spans="1:37" ht="15.75" thickBot="1">
      <c r="A10" s="4">
        <f>ELEC!C10</f>
        <v>44112</v>
      </c>
      <c r="B10" s="561">
        <f t="shared" si="11"/>
        <v>9221</v>
      </c>
      <c r="C10" s="290">
        <f t="shared" si="12"/>
        <v>0</v>
      </c>
      <c r="D10" s="562">
        <f t="shared" si="13"/>
        <v>247280</v>
      </c>
      <c r="E10" s="290">
        <f t="shared" si="14"/>
        <v>0</v>
      </c>
      <c r="F10" s="290">
        <f t="shared" si="0"/>
        <v>0</v>
      </c>
      <c r="G10" s="197"/>
      <c r="H10" s="291">
        <f t="shared" si="15"/>
        <v>9298</v>
      </c>
      <c r="I10" s="290" t="str">
        <f t="shared" si="1"/>
        <v>ok</v>
      </c>
      <c r="J10" s="562">
        <f t="shared" si="16"/>
        <v>10698</v>
      </c>
      <c r="K10" s="290">
        <f t="shared" si="2"/>
        <v>0</v>
      </c>
      <c r="L10" s="562">
        <f t="shared" si="17"/>
        <v>238500</v>
      </c>
      <c r="M10" s="290">
        <f t="shared" si="3"/>
        <v>0</v>
      </c>
      <c r="N10" s="290">
        <f t="shared" si="18"/>
        <v>0</v>
      </c>
      <c r="O10" s="197"/>
      <c r="P10" s="291">
        <v>10873</v>
      </c>
      <c r="Q10" s="290" t="str">
        <f t="shared" si="4"/>
        <v>ok</v>
      </c>
      <c r="R10" s="562">
        <f t="shared" si="20"/>
        <v>11705</v>
      </c>
      <c r="S10" s="290">
        <f t="shared" si="5"/>
        <v>0</v>
      </c>
      <c r="T10" s="562">
        <f t="shared" si="27"/>
        <v>357664</v>
      </c>
      <c r="U10" s="290">
        <f t="shared" si="6"/>
        <v>0</v>
      </c>
      <c r="V10" s="290">
        <f t="shared" si="21"/>
        <v>0</v>
      </c>
      <c r="W10" s="197"/>
      <c r="X10" s="291">
        <f t="shared" si="22"/>
        <v>12609</v>
      </c>
      <c r="Y10" s="290" t="str">
        <f t="shared" si="7"/>
        <v>ok</v>
      </c>
      <c r="Z10" s="290">
        <f t="shared" si="8"/>
        <v>0</v>
      </c>
      <c r="AA10" s="290">
        <f t="shared" si="23"/>
        <v>0</v>
      </c>
      <c r="AB10" s="290">
        <f t="shared" si="24"/>
        <v>0</v>
      </c>
      <c r="AC10" s="290">
        <f t="shared" si="25"/>
        <v>0</v>
      </c>
      <c r="AD10" s="73">
        <f>ELEC!Q10</f>
        <v>0</v>
      </c>
      <c r="AE10" s="73" t="e">
        <f t="shared" si="28"/>
        <v>#DIV/0!</v>
      </c>
      <c r="AF10" s="407" t="e">
        <f t="shared" si="29"/>
        <v>#DIV/0!</v>
      </c>
      <c r="AG10" s="408" t="e">
        <f t="shared" si="30"/>
        <v>#DIV/0!</v>
      </c>
      <c r="AH10" s="408" t="e">
        <f t="shared" si="26"/>
        <v>#DIV/0!</v>
      </c>
      <c r="AI10" s="73">
        <f t="shared" si="31"/>
        <v>0</v>
      </c>
      <c r="AJ10" s="292">
        <f t="shared" si="9"/>
        <v>0.25738396624472576</v>
      </c>
      <c r="AK10" s="292">
        <f t="shared" si="32"/>
        <v>0</v>
      </c>
    </row>
    <row r="11" spans="1:37" ht="15.75" thickBot="1">
      <c r="A11" s="4">
        <f>ELEC!C11</f>
        <v>44113</v>
      </c>
      <c r="B11" s="561">
        <f t="shared" si="11"/>
        <v>9221</v>
      </c>
      <c r="C11" s="290">
        <f t="shared" si="12"/>
        <v>0</v>
      </c>
      <c r="D11" s="562">
        <f t="shared" si="13"/>
        <v>247280</v>
      </c>
      <c r="E11" s="290">
        <f t="shared" si="14"/>
        <v>0</v>
      </c>
      <c r="F11" s="290">
        <f t="shared" si="0"/>
        <v>0</v>
      </c>
      <c r="G11" s="197"/>
      <c r="H11" s="291">
        <f t="shared" si="15"/>
        <v>9298</v>
      </c>
      <c r="I11" s="290" t="str">
        <f t="shared" si="1"/>
        <v>ok</v>
      </c>
      <c r="J11" s="562">
        <f t="shared" si="16"/>
        <v>10698</v>
      </c>
      <c r="K11" s="290">
        <f t="shared" si="2"/>
        <v>0</v>
      </c>
      <c r="L11" s="562">
        <f t="shared" si="17"/>
        <v>238500</v>
      </c>
      <c r="M11" s="290">
        <f t="shared" si="3"/>
        <v>0</v>
      </c>
      <c r="N11" s="290">
        <f t="shared" si="18"/>
        <v>0</v>
      </c>
      <c r="O11" s="197"/>
      <c r="P11" s="291">
        <f t="shared" si="19"/>
        <v>10873</v>
      </c>
      <c r="Q11" s="290" t="str">
        <f t="shared" si="4"/>
        <v>ok</v>
      </c>
      <c r="R11" s="562">
        <f t="shared" si="20"/>
        <v>11705</v>
      </c>
      <c r="S11" s="290">
        <f t="shared" si="5"/>
        <v>0</v>
      </c>
      <c r="T11" s="562">
        <f t="shared" si="27"/>
        <v>357664</v>
      </c>
      <c r="U11" s="290">
        <f t="shared" si="6"/>
        <v>0</v>
      </c>
      <c r="V11" s="290">
        <f t="shared" si="21"/>
        <v>0</v>
      </c>
      <c r="W11" s="197"/>
      <c r="X11" s="291">
        <f t="shared" si="22"/>
        <v>12609</v>
      </c>
      <c r="Y11" s="290" t="str">
        <f t="shared" si="7"/>
        <v>ok</v>
      </c>
      <c r="Z11" s="290">
        <f t="shared" si="8"/>
        <v>0</v>
      </c>
      <c r="AA11" s="290">
        <f t="shared" si="23"/>
        <v>0</v>
      </c>
      <c r="AB11" s="290">
        <f t="shared" si="24"/>
        <v>0</v>
      </c>
      <c r="AC11" s="290">
        <f t="shared" si="25"/>
        <v>0</v>
      </c>
      <c r="AD11" s="73">
        <f>ELEC!Q11</f>
        <v>0</v>
      </c>
      <c r="AE11" s="73" t="e">
        <f t="shared" si="28"/>
        <v>#DIV/0!</v>
      </c>
      <c r="AF11" s="407" t="e">
        <f t="shared" si="29"/>
        <v>#DIV/0!</v>
      </c>
      <c r="AG11" s="408" t="e">
        <f t="shared" si="30"/>
        <v>#DIV/0!</v>
      </c>
      <c r="AH11" s="408" t="e">
        <f t="shared" si="26"/>
        <v>#DIV/0!</v>
      </c>
      <c r="AI11" s="73">
        <f t="shared" si="31"/>
        <v>0</v>
      </c>
      <c r="AJ11" s="292">
        <f t="shared" si="9"/>
        <v>0.25738396624472576</v>
      </c>
      <c r="AK11" s="292">
        <f t="shared" si="32"/>
        <v>0</v>
      </c>
    </row>
    <row r="12" spans="1:37" ht="15.75" thickBot="1">
      <c r="A12" s="4">
        <f>ELEC!C12</f>
        <v>44114</v>
      </c>
      <c r="B12" s="561">
        <f t="shared" si="11"/>
        <v>9221</v>
      </c>
      <c r="C12" s="290">
        <f t="shared" si="12"/>
        <v>0</v>
      </c>
      <c r="D12" s="562">
        <f t="shared" si="13"/>
        <v>247280</v>
      </c>
      <c r="E12" s="290">
        <f t="shared" si="14"/>
        <v>0</v>
      </c>
      <c r="F12" s="290">
        <f t="shared" si="0"/>
        <v>0</v>
      </c>
      <c r="G12" s="197"/>
      <c r="H12" s="291">
        <f t="shared" si="15"/>
        <v>9298</v>
      </c>
      <c r="I12" s="290" t="str">
        <f t="shared" si="1"/>
        <v>ok</v>
      </c>
      <c r="J12" s="562">
        <f t="shared" si="16"/>
        <v>10698</v>
      </c>
      <c r="K12" s="290">
        <f t="shared" si="2"/>
        <v>0</v>
      </c>
      <c r="L12" s="562">
        <f t="shared" si="17"/>
        <v>238500</v>
      </c>
      <c r="M12" s="290">
        <f t="shared" si="3"/>
        <v>0</v>
      </c>
      <c r="N12" s="290">
        <f t="shared" si="18"/>
        <v>0</v>
      </c>
      <c r="O12" s="197"/>
      <c r="P12" s="291">
        <f t="shared" si="19"/>
        <v>10873</v>
      </c>
      <c r="Q12" s="290" t="str">
        <f t="shared" si="4"/>
        <v>ok</v>
      </c>
      <c r="R12" s="562">
        <f t="shared" si="20"/>
        <v>11705</v>
      </c>
      <c r="S12" s="290">
        <f t="shared" si="5"/>
        <v>0</v>
      </c>
      <c r="T12" s="562">
        <f t="shared" si="27"/>
        <v>357664</v>
      </c>
      <c r="U12" s="290">
        <f t="shared" si="6"/>
        <v>0</v>
      </c>
      <c r="V12" s="290">
        <f t="shared" si="21"/>
        <v>0</v>
      </c>
      <c r="W12" s="197"/>
      <c r="X12" s="291">
        <f t="shared" si="22"/>
        <v>12609</v>
      </c>
      <c r="Y12" s="290" t="str">
        <f t="shared" si="7"/>
        <v>ok</v>
      </c>
      <c r="Z12" s="290">
        <f t="shared" si="8"/>
        <v>0</v>
      </c>
      <c r="AA12" s="290">
        <f t="shared" si="23"/>
        <v>0</v>
      </c>
      <c r="AB12" s="290">
        <f t="shared" si="24"/>
        <v>0</v>
      </c>
      <c r="AC12" s="290">
        <f t="shared" si="25"/>
        <v>0</v>
      </c>
      <c r="AD12" s="73">
        <f>ELEC!Q12</f>
        <v>0</v>
      </c>
      <c r="AE12" s="73" t="e">
        <f t="shared" si="28"/>
        <v>#DIV/0!</v>
      </c>
      <c r="AF12" s="407" t="e">
        <f t="shared" si="29"/>
        <v>#DIV/0!</v>
      </c>
      <c r="AG12" s="408" t="e">
        <f t="shared" si="30"/>
        <v>#DIV/0!</v>
      </c>
      <c r="AH12" s="408" t="e">
        <f t="shared" si="26"/>
        <v>#DIV/0!</v>
      </c>
      <c r="AI12" s="73">
        <f t="shared" si="31"/>
        <v>0</v>
      </c>
      <c r="AJ12" s="292">
        <f t="shared" si="9"/>
        <v>0.25738396624472576</v>
      </c>
      <c r="AK12" s="292">
        <f t="shared" si="32"/>
        <v>0</v>
      </c>
    </row>
    <row r="13" spans="1:37" ht="15.75" thickBot="1">
      <c r="A13" s="4">
        <f>ELEC!C13</f>
        <v>44115</v>
      </c>
      <c r="B13" s="561">
        <f t="shared" si="11"/>
        <v>9221</v>
      </c>
      <c r="C13" s="290">
        <f t="shared" si="12"/>
        <v>0</v>
      </c>
      <c r="D13" s="562">
        <f t="shared" si="13"/>
        <v>247280</v>
      </c>
      <c r="E13" s="290">
        <f t="shared" si="14"/>
        <v>0</v>
      </c>
      <c r="F13" s="290">
        <f t="shared" si="0"/>
        <v>0</v>
      </c>
      <c r="G13" s="197"/>
      <c r="H13" s="291">
        <f t="shared" si="15"/>
        <v>9298</v>
      </c>
      <c r="I13" s="290" t="str">
        <f t="shared" si="1"/>
        <v>ok</v>
      </c>
      <c r="J13" s="562">
        <f t="shared" si="16"/>
        <v>10698</v>
      </c>
      <c r="K13" s="290">
        <f t="shared" si="2"/>
        <v>0</v>
      </c>
      <c r="L13" s="562">
        <f t="shared" si="17"/>
        <v>238500</v>
      </c>
      <c r="M13" s="290">
        <f t="shared" si="3"/>
        <v>0</v>
      </c>
      <c r="N13" s="290">
        <f t="shared" si="18"/>
        <v>0</v>
      </c>
      <c r="O13" s="197"/>
      <c r="P13" s="291">
        <f t="shared" si="19"/>
        <v>10873</v>
      </c>
      <c r="Q13" s="290" t="str">
        <f t="shared" si="4"/>
        <v>ok</v>
      </c>
      <c r="R13" s="562">
        <f t="shared" si="20"/>
        <v>11705</v>
      </c>
      <c r="S13" s="290">
        <f t="shared" si="5"/>
        <v>0</v>
      </c>
      <c r="T13" s="562">
        <f t="shared" si="27"/>
        <v>357664</v>
      </c>
      <c r="U13" s="290">
        <f t="shared" si="6"/>
        <v>0</v>
      </c>
      <c r="V13" s="290">
        <f t="shared" si="21"/>
        <v>0</v>
      </c>
      <c r="W13" s="197"/>
      <c r="X13" s="291">
        <f>X12+180</f>
        <v>12789</v>
      </c>
      <c r="Y13" s="290" t="str">
        <f t="shared" si="7"/>
        <v>ok</v>
      </c>
      <c r="Z13" s="290">
        <f t="shared" si="8"/>
        <v>0</v>
      </c>
      <c r="AA13" s="290">
        <f t="shared" si="23"/>
        <v>0</v>
      </c>
      <c r="AB13" s="290">
        <f t="shared" si="24"/>
        <v>0</v>
      </c>
      <c r="AC13" s="290">
        <f t="shared" si="25"/>
        <v>0</v>
      </c>
      <c r="AD13" s="73">
        <f>ELEC!Q13</f>
        <v>0</v>
      </c>
      <c r="AE13" s="73" t="e">
        <f t="shared" si="28"/>
        <v>#DIV/0!</v>
      </c>
      <c r="AF13" s="407" t="e">
        <f t="shared" si="29"/>
        <v>#DIV/0!</v>
      </c>
      <c r="AG13" s="408" t="e">
        <f t="shared" si="30"/>
        <v>#DIV/0!</v>
      </c>
      <c r="AH13" s="408" t="e">
        <f t="shared" si="26"/>
        <v>#DIV/0!</v>
      </c>
      <c r="AI13" s="73">
        <f t="shared" si="31"/>
        <v>0</v>
      </c>
      <c r="AJ13" s="292">
        <f t="shared" si="9"/>
        <v>0.25738396624472576</v>
      </c>
      <c r="AK13" s="292">
        <f t="shared" si="32"/>
        <v>0</v>
      </c>
    </row>
    <row r="14" spans="1:37" ht="15.75" thickBot="1">
      <c r="A14" s="4">
        <f>ELEC!C14</f>
        <v>44116</v>
      </c>
      <c r="B14" s="561">
        <f t="shared" si="11"/>
        <v>9221</v>
      </c>
      <c r="C14" s="290">
        <f t="shared" si="12"/>
        <v>0</v>
      </c>
      <c r="D14" s="562">
        <f t="shared" si="13"/>
        <v>247280</v>
      </c>
      <c r="E14" s="290">
        <f t="shared" si="14"/>
        <v>0</v>
      </c>
      <c r="F14" s="290">
        <f t="shared" si="0"/>
        <v>0</v>
      </c>
      <c r="G14" s="197"/>
      <c r="H14" s="291">
        <f t="shared" si="15"/>
        <v>9298</v>
      </c>
      <c r="I14" s="290" t="str">
        <f t="shared" si="1"/>
        <v>ok</v>
      </c>
      <c r="J14" s="562">
        <f t="shared" si="16"/>
        <v>10698</v>
      </c>
      <c r="K14" s="290">
        <f t="shared" si="2"/>
        <v>0</v>
      </c>
      <c r="L14" s="562">
        <f t="shared" si="17"/>
        <v>238500</v>
      </c>
      <c r="M14" s="290">
        <f t="shared" si="3"/>
        <v>0</v>
      </c>
      <c r="N14" s="290">
        <f t="shared" si="18"/>
        <v>0</v>
      </c>
      <c r="O14" s="197"/>
      <c r="P14" s="291">
        <f t="shared" si="19"/>
        <v>10873</v>
      </c>
      <c r="Q14" s="290" t="str">
        <f t="shared" si="4"/>
        <v>ok</v>
      </c>
      <c r="R14" s="562">
        <f t="shared" si="20"/>
        <v>11705</v>
      </c>
      <c r="S14" s="290">
        <f t="shared" si="5"/>
        <v>0</v>
      </c>
      <c r="T14" s="562">
        <f t="shared" si="27"/>
        <v>357664</v>
      </c>
      <c r="U14" s="290">
        <f t="shared" si="6"/>
        <v>0</v>
      </c>
      <c r="V14" s="290">
        <f t="shared" si="21"/>
        <v>0</v>
      </c>
      <c r="W14" s="197"/>
      <c r="X14" s="291">
        <f t="shared" si="22"/>
        <v>12789</v>
      </c>
      <c r="Y14" s="290" t="str">
        <f t="shared" si="7"/>
        <v>ok</v>
      </c>
      <c r="Z14" s="290">
        <f t="shared" si="8"/>
        <v>0</v>
      </c>
      <c r="AA14" s="290">
        <f t="shared" si="23"/>
        <v>0</v>
      </c>
      <c r="AB14" s="290">
        <f t="shared" si="24"/>
        <v>0</v>
      </c>
      <c r="AC14" s="290">
        <f t="shared" si="25"/>
        <v>0</v>
      </c>
      <c r="AD14" s="73">
        <f>ELEC!Q14</f>
        <v>0</v>
      </c>
      <c r="AE14" s="73" t="e">
        <f t="shared" si="28"/>
        <v>#DIV/0!</v>
      </c>
      <c r="AF14" s="407" t="e">
        <f t="shared" si="29"/>
        <v>#DIV/0!</v>
      </c>
      <c r="AG14" s="408" t="e">
        <f t="shared" si="30"/>
        <v>#DIV/0!</v>
      </c>
      <c r="AH14" s="408" t="e">
        <f t="shared" si="26"/>
        <v>#DIV/0!</v>
      </c>
      <c r="AI14" s="73">
        <f t="shared" si="31"/>
        <v>0</v>
      </c>
      <c r="AJ14" s="292">
        <f t="shared" si="9"/>
        <v>0.25738396624472576</v>
      </c>
      <c r="AK14" s="292">
        <f t="shared" si="32"/>
        <v>0</v>
      </c>
    </row>
    <row r="15" spans="1:37" ht="15.75" thickBot="1">
      <c r="A15" s="4">
        <f>ELEC!C15</f>
        <v>44117</v>
      </c>
      <c r="B15" s="561">
        <f t="shared" si="11"/>
        <v>9221</v>
      </c>
      <c r="C15" s="290">
        <f t="shared" si="12"/>
        <v>0</v>
      </c>
      <c r="D15" s="562">
        <f t="shared" si="13"/>
        <v>247280</v>
      </c>
      <c r="E15" s="290">
        <f t="shared" si="14"/>
        <v>0</v>
      </c>
      <c r="F15" s="290">
        <f t="shared" si="0"/>
        <v>0</v>
      </c>
      <c r="G15" s="197"/>
      <c r="H15" s="291">
        <f t="shared" si="15"/>
        <v>9298</v>
      </c>
      <c r="I15" s="290" t="str">
        <f t="shared" si="1"/>
        <v>ok</v>
      </c>
      <c r="J15" s="562">
        <f t="shared" si="16"/>
        <v>10698</v>
      </c>
      <c r="K15" s="290">
        <f t="shared" si="2"/>
        <v>0</v>
      </c>
      <c r="L15" s="562">
        <f t="shared" si="17"/>
        <v>238500</v>
      </c>
      <c r="M15" s="290">
        <f t="shared" si="3"/>
        <v>0</v>
      </c>
      <c r="N15" s="290">
        <f t="shared" si="18"/>
        <v>0</v>
      </c>
      <c r="O15" s="197"/>
      <c r="P15" s="291">
        <f t="shared" si="19"/>
        <v>10873</v>
      </c>
      <c r="Q15" s="290" t="str">
        <f t="shared" si="4"/>
        <v>ok</v>
      </c>
      <c r="R15" s="562">
        <f t="shared" si="20"/>
        <v>11705</v>
      </c>
      <c r="S15" s="290">
        <f t="shared" si="5"/>
        <v>0</v>
      </c>
      <c r="T15" s="562">
        <f t="shared" si="27"/>
        <v>357664</v>
      </c>
      <c r="U15" s="290">
        <f t="shared" si="6"/>
        <v>0</v>
      </c>
      <c r="V15" s="290">
        <f t="shared" si="21"/>
        <v>0</v>
      </c>
      <c r="W15" s="197"/>
      <c r="X15" s="291">
        <f t="shared" si="22"/>
        <v>12789</v>
      </c>
      <c r="Y15" s="290" t="str">
        <f t="shared" si="7"/>
        <v>ok</v>
      </c>
      <c r="Z15" s="290">
        <f t="shared" si="8"/>
        <v>0</v>
      </c>
      <c r="AA15" s="290">
        <f t="shared" si="23"/>
        <v>0</v>
      </c>
      <c r="AB15" s="290">
        <f t="shared" si="24"/>
        <v>0</v>
      </c>
      <c r="AC15" s="290">
        <f t="shared" si="25"/>
        <v>0</v>
      </c>
      <c r="AD15" s="73">
        <f>ELEC!Q15</f>
        <v>0</v>
      </c>
      <c r="AE15" s="73" t="e">
        <f t="shared" si="28"/>
        <v>#DIV/0!</v>
      </c>
      <c r="AF15" s="407" t="e">
        <f t="shared" si="29"/>
        <v>#DIV/0!</v>
      </c>
      <c r="AG15" s="408" t="e">
        <f t="shared" si="30"/>
        <v>#DIV/0!</v>
      </c>
      <c r="AH15" s="408" t="e">
        <f t="shared" si="26"/>
        <v>#DIV/0!</v>
      </c>
      <c r="AI15" s="73">
        <f t="shared" si="31"/>
        <v>0</v>
      </c>
      <c r="AJ15" s="292">
        <f t="shared" si="9"/>
        <v>0.25738396624472576</v>
      </c>
      <c r="AK15" s="292">
        <f t="shared" si="32"/>
        <v>0</v>
      </c>
    </row>
    <row r="16" spans="1:37" ht="15.75" thickBot="1">
      <c r="A16" s="4">
        <f>ELEC!C16</f>
        <v>44118</v>
      </c>
      <c r="B16" s="561">
        <f t="shared" si="11"/>
        <v>9221</v>
      </c>
      <c r="C16" s="290">
        <f t="shared" si="12"/>
        <v>0</v>
      </c>
      <c r="D16" s="562">
        <f t="shared" si="13"/>
        <v>247280</v>
      </c>
      <c r="E16" s="290">
        <f t="shared" si="14"/>
        <v>0</v>
      </c>
      <c r="F16" s="290">
        <f t="shared" si="0"/>
        <v>0</v>
      </c>
      <c r="G16" s="197"/>
      <c r="H16" s="291">
        <f t="shared" si="15"/>
        <v>9298</v>
      </c>
      <c r="I16" s="290" t="str">
        <f t="shared" si="1"/>
        <v>ok</v>
      </c>
      <c r="J16" s="562">
        <f t="shared" si="16"/>
        <v>10698</v>
      </c>
      <c r="K16" s="290">
        <f t="shared" si="2"/>
        <v>0</v>
      </c>
      <c r="L16" s="562">
        <f t="shared" si="17"/>
        <v>238500</v>
      </c>
      <c r="M16" s="290">
        <f t="shared" si="3"/>
        <v>0</v>
      </c>
      <c r="N16" s="290">
        <f t="shared" si="18"/>
        <v>0</v>
      </c>
      <c r="O16" s="197"/>
      <c r="P16" s="291">
        <f t="shared" si="19"/>
        <v>10873</v>
      </c>
      <c r="Q16" s="290" t="str">
        <f t="shared" si="4"/>
        <v>ok</v>
      </c>
      <c r="R16" s="562">
        <f t="shared" si="20"/>
        <v>11705</v>
      </c>
      <c r="S16" s="290">
        <f t="shared" si="5"/>
        <v>0</v>
      </c>
      <c r="T16" s="562">
        <f t="shared" si="27"/>
        <v>357664</v>
      </c>
      <c r="U16" s="290">
        <f t="shared" si="6"/>
        <v>0</v>
      </c>
      <c r="V16" s="290">
        <f t="shared" si="21"/>
        <v>0</v>
      </c>
      <c r="W16" s="197"/>
      <c r="X16" s="291">
        <f t="shared" si="22"/>
        <v>12789</v>
      </c>
      <c r="Y16" s="290" t="str">
        <f t="shared" si="7"/>
        <v>ok</v>
      </c>
      <c r="Z16" s="290">
        <f t="shared" si="8"/>
        <v>0</v>
      </c>
      <c r="AA16" s="290">
        <f t="shared" si="23"/>
        <v>0</v>
      </c>
      <c r="AB16" s="290">
        <f t="shared" si="24"/>
        <v>0</v>
      </c>
      <c r="AC16" s="290">
        <f t="shared" si="25"/>
        <v>0</v>
      </c>
      <c r="AD16" s="73">
        <f>ELEC!Q16</f>
        <v>0</v>
      </c>
      <c r="AE16" s="73" t="e">
        <f t="shared" si="28"/>
        <v>#DIV/0!</v>
      </c>
      <c r="AF16" s="407" t="e">
        <f t="shared" si="29"/>
        <v>#DIV/0!</v>
      </c>
      <c r="AG16" s="408" t="e">
        <f t="shared" si="30"/>
        <v>#DIV/0!</v>
      </c>
      <c r="AH16" s="408" t="e">
        <f t="shared" si="26"/>
        <v>#DIV/0!</v>
      </c>
      <c r="AI16" s="73">
        <f t="shared" si="31"/>
        <v>0</v>
      </c>
      <c r="AJ16" s="292">
        <f t="shared" si="9"/>
        <v>0.25738396624472576</v>
      </c>
      <c r="AK16" s="292">
        <f t="shared" si="32"/>
        <v>0</v>
      </c>
    </row>
    <row r="17" spans="1:37" ht="15.75" thickBot="1">
      <c r="A17" s="4">
        <f>ELEC!C17</f>
        <v>44119</v>
      </c>
      <c r="B17" s="561">
        <f t="shared" si="11"/>
        <v>9221</v>
      </c>
      <c r="C17" s="290">
        <f t="shared" si="12"/>
        <v>0</v>
      </c>
      <c r="D17" s="562">
        <f t="shared" si="13"/>
        <v>247280</v>
      </c>
      <c r="E17" s="290">
        <f t="shared" si="14"/>
        <v>0</v>
      </c>
      <c r="F17" s="290">
        <f t="shared" si="0"/>
        <v>0</v>
      </c>
      <c r="G17" s="197"/>
      <c r="H17" s="291">
        <f t="shared" si="15"/>
        <v>9298</v>
      </c>
      <c r="I17" s="290" t="str">
        <f t="shared" si="1"/>
        <v>ok</v>
      </c>
      <c r="J17" s="562">
        <f t="shared" si="16"/>
        <v>10698</v>
      </c>
      <c r="K17" s="290">
        <f t="shared" si="2"/>
        <v>0</v>
      </c>
      <c r="L17" s="562">
        <f t="shared" si="17"/>
        <v>238500</v>
      </c>
      <c r="M17" s="290">
        <f t="shared" si="3"/>
        <v>0</v>
      </c>
      <c r="N17" s="290">
        <f t="shared" si="18"/>
        <v>0</v>
      </c>
      <c r="O17" s="197"/>
      <c r="P17" s="291">
        <f t="shared" si="19"/>
        <v>10873</v>
      </c>
      <c r="Q17" s="290" t="str">
        <f t="shared" si="4"/>
        <v>ok</v>
      </c>
      <c r="R17" s="562">
        <f t="shared" si="20"/>
        <v>11705</v>
      </c>
      <c r="S17" s="290">
        <f t="shared" si="5"/>
        <v>0</v>
      </c>
      <c r="T17" s="562">
        <f t="shared" si="27"/>
        <v>357664</v>
      </c>
      <c r="U17" s="290">
        <f t="shared" si="6"/>
        <v>0</v>
      </c>
      <c r="V17" s="290">
        <f t="shared" si="21"/>
        <v>0</v>
      </c>
      <c r="W17" s="197"/>
      <c r="X17" s="291">
        <f t="shared" si="22"/>
        <v>12789</v>
      </c>
      <c r="Y17" s="290" t="str">
        <f t="shared" si="7"/>
        <v>ok</v>
      </c>
      <c r="Z17" s="290">
        <f t="shared" si="8"/>
        <v>0</v>
      </c>
      <c r="AA17" s="290">
        <f t="shared" si="23"/>
        <v>0</v>
      </c>
      <c r="AB17" s="290">
        <f t="shared" si="24"/>
        <v>0</v>
      </c>
      <c r="AC17" s="290">
        <f t="shared" si="25"/>
        <v>0</v>
      </c>
      <c r="AD17" s="73">
        <f>ELEC!Q17</f>
        <v>0</v>
      </c>
      <c r="AE17" s="73" t="e">
        <f t="shared" si="28"/>
        <v>#DIV/0!</v>
      </c>
      <c r="AF17" s="407" t="e">
        <f t="shared" si="29"/>
        <v>#DIV/0!</v>
      </c>
      <c r="AG17" s="408" t="e">
        <f t="shared" si="30"/>
        <v>#DIV/0!</v>
      </c>
      <c r="AH17" s="408" t="e">
        <f t="shared" si="26"/>
        <v>#DIV/0!</v>
      </c>
      <c r="AI17" s="73">
        <f t="shared" si="31"/>
        <v>0</v>
      </c>
      <c r="AJ17" s="292">
        <f t="shared" si="9"/>
        <v>0.25738396624472576</v>
      </c>
      <c r="AK17" s="292">
        <f t="shared" ref="AK17:AK32" si="33">IF(Z17&gt;0,AI17/Z17,0)</f>
        <v>0</v>
      </c>
    </row>
    <row r="18" spans="1:37" ht="15.75" thickBot="1">
      <c r="A18" s="4">
        <f>ELEC!C18</f>
        <v>44120</v>
      </c>
      <c r="B18" s="561">
        <f t="shared" si="11"/>
        <v>9221</v>
      </c>
      <c r="C18" s="290">
        <f t="shared" si="12"/>
        <v>0</v>
      </c>
      <c r="D18" s="562">
        <f t="shared" si="13"/>
        <v>247280</v>
      </c>
      <c r="E18" s="290">
        <f t="shared" si="14"/>
        <v>0</v>
      </c>
      <c r="F18" s="290">
        <f t="shared" si="0"/>
        <v>0</v>
      </c>
      <c r="G18" s="197"/>
      <c r="H18" s="291">
        <f t="shared" si="15"/>
        <v>9298</v>
      </c>
      <c r="I18" s="290" t="str">
        <f t="shared" si="1"/>
        <v>ok</v>
      </c>
      <c r="J18" s="562">
        <f t="shared" si="16"/>
        <v>10698</v>
      </c>
      <c r="K18" s="290">
        <f t="shared" si="2"/>
        <v>0</v>
      </c>
      <c r="L18" s="562">
        <f t="shared" si="17"/>
        <v>238500</v>
      </c>
      <c r="M18" s="290">
        <f t="shared" si="3"/>
        <v>0</v>
      </c>
      <c r="N18" s="290">
        <f t="shared" si="18"/>
        <v>0</v>
      </c>
      <c r="O18" s="197"/>
      <c r="P18" s="291">
        <f t="shared" si="19"/>
        <v>10873</v>
      </c>
      <c r="Q18" s="290" t="str">
        <f>IF(J18-P14&lt;=0,"ok","oil change")</f>
        <v>ok</v>
      </c>
      <c r="R18" s="562">
        <f t="shared" si="20"/>
        <v>11705</v>
      </c>
      <c r="S18" s="290">
        <f t="shared" si="5"/>
        <v>0</v>
      </c>
      <c r="T18" s="562">
        <f t="shared" si="27"/>
        <v>357664</v>
      </c>
      <c r="U18" s="290">
        <f t="shared" si="6"/>
        <v>0</v>
      </c>
      <c r="V18" s="290">
        <f t="shared" si="21"/>
        <v>0</v>
      </c>
      <c r="W18" s="341"/>
      <c r="X18" s="291">
        <f t="shared" si="22"/>
        <v>12789</v>
      </c>
      <c r="Y18" s="290" t="str">
        <f t="shared" si="7"/>
        <v>ok</v>
      </c>
      <c r="Z18" s="290">
        <f t="shared" si="8"/>
        <v>0</v>
      </c>
      <c r="AA18" s="290">
        <f t="shared" si="23"/>
        <v>0</v>
      </c>
      <c r="AB18" s="290">
        <f t="shared" si="24"/>
        <v>0</v>
      </c>
      <c r="AC18" s="290">
        <f t="shared" si="25"/>
        <v>0</v>
      </c>
      <c r="AD18" s="73">
        <f>ELEC!Q18</f>
        <v>0</v>
      </c>
      <c r="AE18" s="73" t="e">
        <f t="shared" si="28"/>
        <v>#DIV/0!</v>
      </c>
      <c r="AF18" s="407" t="e">
        <f t="shared" si="29"/>
        <v>#DIV/0!</v>
      </c>
      <c r="AG18" s="408" t="e">
        <f t="shared" si="30"/>
        <v>#DIV/0!</v>
      </c>
      <c r="AH18" s="408" t="e">
        <f t="shared" si="26"/>
        <v>#DIV/0!</v>
      </c>
      <c r="AI18" s="73">
        <f t="shared" si="31"/>
        <v>0</v>
      </c>
      <c r="AJ18" s="292">
        <f t="shared" si="9"/>
        <v>0.25738396624472576</v>
      </c>
      <c r="AK18" s="292">
        <f t="shared" si="33"/>
        <v>0</v>
      </c>
    </row>
    <row r="19" spans="1:37" ht="15.75" thickBot="1">
      <c r="A19" s="4">
        <f>ELEC!C19</f>
        <v>44121</v>
      </c>
      <c r="B19" s="561">
        <f t="shared" si="11"/>
        <v>9221</v>
      </c>
      <c r="C19" s="290">
        <f t="shared" si="12"/>
        <v>0</v>
      </c>
      <c r="D19" s="562">
        <f t="shared" si="13"/>
        <v>247280</v>
      </c>
      <c r="E19" s="290">
        <f t="shared" si="14"/>
        <v>0</v>
      </c>
      <c r="F19" s="290">
        <f t="shared" si="0"/>
        <v>0</v>
      </c>
      <c r="G19" s="197"/>
      <c r="H19" s="291">
        <f t="shared" si="15"/>
        <v>9298</v>
      </c>
      <c r="I19" s="290" t="str">
        <f t="shared" si="1"/>
        <v>ok</v>
      </c>
      <c r="J19" s="562">
        <f t="shared" si="16"/>
        <v>10698</v>
      </c>
      <c r="K19" s="290">
        <f t="shared" si="2"/>
        <v>0</v>
      </c>
      <c r="L19" s="562">
        <f t="shared" si="17"/>
        <v>238500</v>
      </c>
      <c r="M19" s="290">
        <f t="shared" si="3"/>
        <v>0</v>
      </c>
      <c r="N19" s="290">
        <f t="shared" si="18"/>
        <v>0</v>
      </c>
      <c r="O19" s="197"/>
      <c r="P19" s="291">
        <f t="shared" si="19"/>
        <v>10873</v>
      </c>
      <c r="Q19" s="290" t="str">
        <f t="shared" ref="Q19:Q32" si="34">IF(J19-P19&lt;=0,"ok","oil change")</f>
        <v>ok</v>
      </c>
      <c r="R19" s="562">
        <f t="shared" si="20"/>
        <v>11705</v>
      </c>
      <c r="S19" s="290">
        <f t="shared" si="5"/>
        <v>0</v>
      </c>
      <c r="T19" s="562">
        <f t="shared" si="27"/>
        <v>357664</v>
      </c>
      <c r="U19" s="290">
        <f t="shared" si="6"/>
        <v>0</v>
      </c>
      <c r="V19" s="290">
        <f t="shared" si="21"/>
        <v>0</v>
      </c>
      <c r="W19" s="197"/>
      <c r="X19" s="291">
        <f t="shared" si="22"/>
        <v>12789</v>
      </c>
      <c r="Y19" s="290" t="str">
        <f t="shared" si="7"/>
        <v>ok</v>
      </c>
      <c r="Z19" s="290">
        <f t="shared" si="8"/>
        <v>0</v>
      </c>
      <c r="AA19" s="290">
        <f t="shared" si="23"/>
        <v>0</v>
      </c>
      <c r="AB19" s="290">
        <f t="shared" si="24"/>
        <v>0</v>
      </c>
      <c r="AC19" s="290">
        <f t="shared" si="25"/>
        <v>0</v>
      </c>
      <c r="AD19" s="73">
        <f>ELEC!Q19</f>
        <v>0</v>
      </c>
      <c r="AE19" s="73" t="e">
        <f t="shared" si="28"/>
        <v>#DIV/0!</v>
      </c>
      <c r="AF19" s="407" t="e">
        <f t="shared" si="29"/>
        <v>#DIV/0!</v>
      </c>
      <c r="AG19" s="408" t="e">
        <f t="shared" si="30"/>
        <v>#DIV/0!</v>
      </c>
      <c r="AH19" s="408" t="e">
        <f t="shared" si="26"/>
        <v>#DIV/0!</v>
      </c>
      <c r="AI19" s="73">
        <f t="shared" si="31"/>
        <v>0</v>
      </c>
      <c r="AJ19" s="292">
        <f t="shared" si="9"/>
        <v>0.25738396624472576</v>
      </c>
      <c r="AK19" s="292">
        <f t="shared" si="33"/>
        <v>0</v>
      </c>
    </row>
    <row r="20" spans="1:37" ht="15.75" thickBot="1">
      <c r="A20" s="4">
        <f>ELEC!C20</f>
        <v>44122</v>
      </c>
      <c r="B20" s="561">
        <f t="shared" si="11"/>
        <v>9221</v>
      </c>
      <c r="C20" s="290">
        <f>B20-B19</f>
        <v>0</v>
      </c>
      <c r="D20" s="562">
        <f t="shared" si="13"/>
        <v>247280</v>
      </c>
      <c r="E20" s="290">
        <f t="shared" si="14"/>
        <v>0</v>
      </c>
      <c r="F20" s="290">
        <f t="shared" si="0"/>
        <v>0</v>
      </c>
      <c r="G20" s="197"/>
      <c r="H20" s="291">
        <f t="shared" si="15"/>
        <v>9298</v>
      </c>
      <c r="I20" s="290" t="str">
        <f t="shared" si="1"/>
        <v>ok</v>
      </c>
      <c r="J20" s="562">
        <f t="shared" si="16"/>
        <v>10698</v>
      </c>
      <c r="K20" s="290">
        <f t="shared" si="2"/>
        <v>0</v>
      </c>
      <c r="L20" s="562">
        <f t="shared" si="17"/>
        <v>238500</v>
      </c>
      <c r="M20" s="290">
        <f t="shared" si="3"/>
        <v>0</v>
      </c>
      <c r="N20" s="290">
        <f t="shared" si="18"/>
        <v>0</v>
      </c>
      <c r="O20" s="197"/>
      <c r="P20" s="291">
        <f t="shared" si="19"/>
        <v>10873</v>
      </c>
      <c r="Q20" s="290" t="str">
        <f t="shared" si="34"/>
        <v>ok</v>
      </c>
      <c r="R20" s="562">
        <f t="shared" si="20"/>
        <v>11705</v>
      </c>
      <c r="S20" s="290">
        <f t="shared" si="5"/>
        <v>0</v>
      </c>
      <c r="T20" s="562">
        <f t="shared" si="27"/>
        <v>357664</v>
      </c>
      <c r="U20" s="290">
        <f t="shared" ref="U20:U32" si="35">SUM(T20-T19)</f>
        <v>0</v>
      </c>
      <c r="V20" s="290">
        <f t="shared" si="21"/>
        <v>0</v>
      </c>
      <c r="W20" s="197"/>
      <c r="X20" s="291">
        <f t="shared" si="22"/>
        <v>12789</v>
      </c>
      <c r="Y20" s="290" t="str">
        <f t="shared" si="7"/>
        <v>ok</v>
      </c>
      <c r="Z20" s="290">
        <f t="shared" si="8"/>
        <v>0</v>
      </c>
      <c r="AA20" s="290">
        <f t="shared" si="23"/>
        <v>0</v>
      </c>
      <c r="AB20" s="290">
        <f t="shared" si="24"/>
        <v>0</v>
      </c>
      <c r="AC20" s="290">
        <f t="shared" si="25"/>
        <v>0</v>
      </c>
      <c r="AD20" s="73">
        <f>ELEC!Q20</f>
        <v>0</v>
      </c>
      <c r="AE20" s="73" t="e">
        <f t="shared" si="28"/>
        <v>#DIV/0!</v>
      </c>
      <c r="AF20" s="407" t="e">
        <f t="shared" si="29"/>
        <v>#DIV/0!</v>
      </c>
      <c r="AG20" s="408" t="e">
        <f t="shared" si="30"/>
        <v>#DIV/0!</v>
      </c>
      <c r="AH20" s="408" t="e">
        <f t="shared" si="26"/>
        <v>#DIV/0!</v>
      </c>
      <c r="AI20" s="73">
        <f>AD20*AJ20</f>
        <v>0</v>
      </c>
      <c r="AJ20" s="292">
        <f t="shared" si="9"/>
        <v>0.25738396624472576</v>
      </c>
      <c r="AK20" s="292">
        <f t="shared" si="33"/>
        <v>0</v>
      </c>
    </row>
    <row r="21" spans="1:37" ht="15.75" thickBot="1">
      <c r="A21" s="4">
        <f>ELEC!C21</f>
        <v>44123</v>
      </c>
      <c r="B21" s="561">
        <f t="shared" si="11"/>
        <v>9221</v>
      </c>
      <c r="C21" s="290">
        <f t="shared" si="12"/>
        <v>0</v>
      </c>
      <c r="D21" s="562">
        <f t="shared" si="13"/>
        <v>247280</v>
      </c>
      <c r="E21" s="290">
        <f t="shared" si="14"/>
        <v>0</v>
      </c>
      <c r="F21" s="290">
        <f t="shared" si="0"/>
        <v>0</v>
      </c>
      <c r="G21" s="197"/>
      <c r="H21" s="291">
        <f t="shared" si="15"/>
        <v>9298</v>
      </c>
      <c r="I21" s="290" t="str">
        <f t="shared" si="1"/>
        <v>ok</v>
      </c>
      <c r="J21" s="562">
        <f t="shared" si="16"/>
        <v>10698</v>
      </c>
      <c r="K21" s="290">
        <f t="shared" si="2"/>
        <v>0</v>
      </c>
      <c r="L21" s="562">
        <f t="shared" si="17"/>
        <v>238500</v>
      </c>
      <c r="M21" s="290">
        <f t="shared" si="3"/>
        <v>0</v>
      </c>
      <c r="N21" s="290">
        <f t="shared" si="18"/>
        <v>0</v>
      </c>
      <c r="O21" s="197"/>
      <c r="P21" s="291">
        <f t="shared" si="19"/>
        <v>10873</v>
      </c>
      <c r="Q21" s="290" t="str">
        <f t="shared" si="34"/>
        <v>ok</v>
      </c>
      <c r="R21" s="562">
        <f t="shared" si="20"/>
        <v>11705</v>
      </c>
      <c r="S21" s="290">
        <f t="shared" si="5"/>
        <v>0</v>
      </c>
      <c r="T21" s="562">
        <f t="shared" si="27"/>
        <v>357664</v>
      </c>
      <c r="U21" s="290">
        <f t="shared" si="35"/>
        <v>0</v>
      </c>
      <c r="V21" s="290">
        <f t="shared" si="21"/>
        <v>0</v>
      </c>
      <c r="W21" s="197"/>
      <c r="X21" s="291">
        <f t="shared" si="22"/>
        <v>12789</v>
      </c>
      <c r="Y21" s="290" t="str">
        <f>Y20</f>
        <v>ok</v>
      </c>
      <c r="Z21" s="290">
        <f t="shared" si="8"/>
        <v>0</v>
      </c>
      <c r="AA21" s="290">
        <f t="shared" si="23"/>
        <v>0</v>
      </c>
      <c r="AB21" s="290">
        <f t="shared" si="24"/>
        <v>0</v>
      </c>
      <c r="AC21" s="290">
        <f t="shared" si="25"/>
        <v>0</v>
      </c>
      <c r="AD21" s="73">
        <f>ELEC!Q21</f>
        <v>0</v>
      </c>
      <c r="AE21" s="73" t="e">
        <f t="shared" si="28"/>
        <v>#DIV/0!</v>
      </c>
      <c r="AF21" s="407" t="e">
        <f t="shared" si="29"/>
        <v>#DIV/0!</v>
      </c>
      <c r="AG21" s="408" t="e">
        <f t="shared" si="30"/>
        <v>#DIV/0!</v>
      </c>
      <c r="AH21" s="408" t="e">
        <f t="shared" si="26"/>
        <v>#DIV/0!</v>
      </c>
      <c r="AI21" s="73">
        <f t="shared" si="31"/>
        <v>0</v>
      </c>
      <c r="AJ21" s="292">
        <f t="shared" si="9"/>
        <v>0.25738396624472576</v>
      </c>
      <c r="AK21" s="292">
        <f t="shared" si="33"/>
        <v>0</v>
      </c>
    </row>
    <row r="22" spans="1:37" ht="15.75" thickBot="1">
      <c r="A22" s="4">
        <f>ELEC!C22</f>
        <v>44124</v>
      </c>
      <c r="B22" s="561">
        <f t="shared" si="11"/>
        <v>9221</v>
      </c>
      <c r="C22" s="290">
        <f t="shared" si="12"/>
        <v>0</v>
      </c>
      <c r="D22" s="562">
        <f t="shared" si="13"/>
        <v>247280</v>
      </c>
      <c r="E22" s="290">
        <f t="shared" si="14"/>
        <v>0</v>
      </c>
      <c r="F22" s="290">
        <f t="shared" si="0"/>
        <v>0</v>
      </c>
      <c r="G22" s="197"/>
      <c r="H22" s="291">
        <f t="shared" si="15"/>
        <v>9298</v>
      </c>
      <c r="I22" s="290" t="str">
        <f t="shared" si="1"/>
        <v>ok</v>
      </c>
      <c r="J22" s="562">
        <f t="shared" si="16"/>
        <v>10698</v>
      </c>
      <c r="K22" s="290">
        <f t="shared" si="2"/>
        <v>0</v>
      </c>
      <c r="L22" s="562">
        <f t="shared" si="17"/>
        <v>238500</v>
      </c>
      <c r="M22" s="290">
        <f t="shared" si="3"/>
        <v>0</v>
      </c>
      <c r="N22" s="290">
        <f t="shared" si="18"/>
        <v>0</v>
      </c>
      <c r="O22" s="197"/>
      <c r="P22" s="291">
        <f t="shared" si="19"/>
        <v>10873</v>
      </c>
      <c r="Q22" s="290" t="str">
        <f t="shared" si="34"/>
        <v>ok</v>
      </c>
      <c r="R22" s="562">
        <f t="shared" si="20"/>
        <v>11705</v>
      </c>
      <c r="S22" s="290">
        <f t="shared" si="5"/>
        <v>0</v>
      </c>
      <c r="T22" s="562">
        <f t="shared" si="27"/>
        <v>357664</v>
      </c>
      <c r="U22" s="290">
        <f t="shared" si="35"/>
        <v>0</v>
      </c>
      <c r="V22" s="290">
        <f t="shared" si="21"/>
        <v>0</v>
      </c>
      <c r="W22" s="197"/>
      <c r="X22" s="291">
        <f t="shared" si="22"/>
        <v>12789</v>
      </c>
      <c r="Y22" s="290" t="str">
        <f t="shared" ref="Y22:Y32" si="36">IF(R22-X22&lt;=0,"ok","oil change")</f>
        <v>ok</v>
      </c>
      <c r="Z22" s="290">
        <f t="shared" si="8"/>
        <v>0</v>
      </c>
      <c r="AA22" s="290">
        <f t="shared" si="23"/>
        <v>0</v>
      </c>
      <c r="AB22" s="290">
        <f t="shared" si="24"/>
        <v>0</v>
      </c>
      <c r="AC22" s="290">
        <f t="shared" si="25"/>
        <v>0</v>
      </c>
      <c r="AD22" s="73">
        <f>ELEC!Q22</f>
        <v>0</v>
      </c>
      <c r="AE22" s="73" t="e">
        <f t="shared" si="28"/>
        <v>#DIV/0!</v>
      </c>
      <c r="AF22" s="407" t="e">
        <f t="shared" si="29"/>
        <v>#DIV/0!</v>
      </c>
      <c r="AG22" s="408" t="e">
        <f t="shared" si="30"/>
        <v>#DIV/0!</v>
      </c>
      <c r="AH22" s="408" t="e">
        <f t="shared" si="26"/>
        <v>#DIV/0!</v>
      </c>
      <c r="AI22" s="73">
        <f t="shared" si="31"/>
        <v>0</v>
      </c>
      <c r="AJ22" s="292">
        <f t="shared" si="9"/>
        <v>0.25738396624472576</v>
      </c>
      <c r="AK22" s="292">
        <f t="shared" si="33"/>
        <v>0</v>
      </c>
    </row>
    <row r="23" spans="1:37" ht="15.75" thickBot="1">
      <c r="A23" s="4">
        <f>ELEC!C23</f>
        <v>44125</v>
      </c>
      <c r="B23" s="561">
        <f t="shared" si="11"/>
        <v>9221</v>
      </c>
      <c r="C23" s="290">
        <f t="shared" si="12"/>
        <v>0</v>
      </c>
      <c r="D23" s="562">
        <f t="shared" si="13"/>
        <v>247280</v>
      </c>
      <c r="E23" s="290">
        <f t="shared" si="14"/>
        <v>0</v>
      </c>
      <c r="F23" s="290">
        <f t="shared" si="0"/>
        <v>0</v>
      </c>
      <c r="G23" s="197"/>
      <c r="H23" s="291">
        <f t="shared" si="15"/>
        <v>9298</v>
      </c>
      <c r="I23" s="290" t="str">
        <f t="shared" si="1"/>
        <v>ok</v>
      </c>
      <c r="J23" s="562">
        <f t="shared" si="16"/>
        <v>10698</v>
      </c>
      <c r="K23" s="290">
        <f t="shared" si="2"/>
        <v>0</v>
      </c>
      <c r="L23" s="562">
        <f t="shared" si="17"/>
        <v>238500</v>
      </c>
      <c r="M23" s="290">
        <f t="shared" si="3"/>
        <v>0</v>
      </c>
      <c r="N23" s="290">
        <f t="shared" si="18"/>
        <v>0</v>
      </c>
      <c r="O23" s="197"/>
      <c r="P23" s="291">
        <f t="shared" si="19"/>
        <v>10873</v>
      </c>
      <c r="Q23" s="290" t="str">
        <f t="shared" si="34"/>
        <v>ok</v>
      </c>
      <c r="R23" s="562">
        <f t="shared" si="20"/>
        <v>11705</v>
      </c>
      <c r="S23" s="290">
        <f t="shared" si="5"/>
        <v>0</v>
      </c>
      <c r="T23" s="562">
        <f t="shared" si="27"/>
        <v>357664</v>
      </c>
      <c r="U23" s="290">
        <f t="shared" si="35"/>
        <v>0</v>
      </c>
      <c r="V23" s="290">
        <f t="shared" si="21"/>
        <v>0</v>
      </c>
      <c r="W23" s="197"/>
      <c r="X23" s="291">
        <f t="shared" si="22"/>
        <v>12789</v>
      </c>
      <c r="Y23" s="290" t="str">
        <f t="shared" si="36"/>
        <v>ok</v>
      </c>
      <c r="Z23" s="290">
        <f t="shared" si="8"/>
        <v>0</v>
      </c>
      <c r="AA23" s="290">
        <f t="shared" si="23"/>
        <v>0</v>
      </c>
      <c r="AB23" s="290">
        <f t="shared" si="24"/>
        <v>0</v>
      </c>
      <c r="AC23" s="290">
        <f t="shared" si="25"/>
        <v>0</v>
      </c>
      <c r="AD23" s="73">
        <f>ELEC!Q23</f>
        <v>0</v>
      </c>
      <c r="AE23" s="73" t="e">
        <f t="shared" si="28"/>
        <v>#DIV/0!</v>
      </c>
      <c r="AF23" s="407" t="e">
        <f t="shared" si="29"/>
        <v>#DIV/0!</v>
      </c>
      <c r="AG23" s="408" t="e">
        <f t="shared" si="30"/>
        <v>#DIV/0!</v>
      </c>
      <c r="AH23" s="408" t="e">
        <f t="shared" si="26"/>
        <v>#DIV/0!</v>
      </c>
      <c r="AI23" s="73">
        <f t="shared" si="31"/>
        <v>0</v>
      </c>
      <c r="AJ23" s="292">
        <f t="shared" si="9"/>
        <v>0.25738396624472576</v>
      </c>
      <c r="AK23" s="292">
        <f t="shared" si="33"/>
        <v>0</v>
      </c>
    </row>
    <row r="24" spans="1:37" ht="15.75" thickBot="1">
      <c r="A24" s="4">
        <f>ELEC!C24</f>
        <v>44126</v>
      </c>
      <c r="B24" s="561">
        <f t="shared" si="11"/>
        <v>9221</v>
      </c>
      <c r="C24" s="290">
        <f t="shared" si="12"/>
        <v>0</v>
      </c>
      <c r="D24" s="562">
        <f t="shared" si="13"/>
        <v>247280</v>
      </c>
      <c r="E24" s="290">
        <f t="shared" si="14"/>
        <v>0</v>
      </c>
      <c r="F24" s="290">
        <f t="shared" si="0"/>
        <v>0</v>
      </c>
      <c r="G24" s="197"/>
      <c r="H24" s="291">
        <f>H23</f>
        <v>9298</v>
      </c>
      <c r="I24" s="290" t="str">
        <f t="shared" si="1"/>
        <v>ok</v>
      </c>
      <c r="J24" s="562">
        <f t="shared" si="16"/>
        <v>10698</v>
      </c>
      <c r="K24" s="290">
        <f t="shared" si="2"/>
        <v>0</v>
      </c>
      <c r="L24" s="562">
        <f t="shared" si="17"/>
        <v>238500</v>
      </c>
      <c r="M24" s="290">
        <f t="shared" si="3"/>
        <v>0</v>
      </c>
      <c r="N24" s="290">
        <f t="shared" si="18"/>
        <v>0</v>
      </c>
      <c r="O24" s="197"/>
      <c r="P24" s="291">
        <f>P23</f>
        <v>10873</v>
      </c>
      <c r="Q24" s="290" t="str">
        <f t="shared" si="34"/>
        <v>ok</v>
      </c>
      <c r="R24" s="562">
        <f t="shared" si="20"/>
        <v>11705</v>
      </c>
      <c r="S24" s="290">
        <f t="shared" si="5"/>
        <v>0</v>
      </c>
      <c r="T24" s="562">
        <f t="shared" si="27"/>
        <v>357664</v>
      </c>
      <c r="U24" s="290">
        <f t="shared" si="35"/>
        <v>0</v>
      </c>
      <c r="V24" s="290">
        <f t="shared" si="21"/>
        <v>0</v>
      </c>
      <c r="W24" s="197"/>
      <c r="X24" s="291">
        <f t="shared" si="22"/>
        <v>12789</v>
      </c>
      <c r="Y24" s="290" t="str">
        <f t="shared" si="36"/>
        <v>ok</v>
      </c>
      <c r="Z24" s="290">
        <f t="shared" si="8"/>
        <v>0</v>
      </c>
      <c r="AA24" s="290">
        <f t="shared" si="23"/>
        <v>0</v>
      </c>
      <c r="AB24" s="290">
        <f t="shared" si="24"/>
        <v>0</v>
      </c>
      <c r="AC24" s="290">
        <f t="shared" si="25"/>
        <v>0</v>
      </c>
      <c r="AD24" s="73">
        <f>ELEC!Q24</f>
        <v>0</v>
      </c>
      <c r="AE24" s="73" t="e">
        <f t="shared" si="28"/>
        <v>#DIV/0!</v>
      </c>
      <c r="AF24" s="407" t="e">
        <f t="shared" si="29"/>
        <v>#DIV/0!</v>
      </c>
      <c r="AG24" s="408" t="e">
        <f t="shared" si="30"/>
        <v>#DIV/0!</v>
      </c>
      <c r="AH24" s="408" t="e">
        <f t="shared" si="26"/>
        <v>#DIV/0!</v>
      </c>
      <c r="AI24" s="73">
        <f t="shared" si="31"/>
        <v>0</v>
      </c>
      <c r="AJ24" s="292">
        <f t="shared" si="9"/>
        <v>0.25738396624472576</v>
      </c>
      <c r="AK24" s="292">
        <f t="shared" si="33"/>
        <v>0</v>
      </c>
    </row>
    <row r="25" spans="1:37" ht="15.75" thickBot="1">
      <c r="A25" s="4">
        <f>ELEC!C25</f>
        <v>44127</v>
      </c>
      <c r="B25" s="561">
        <f t="shared" si="11"/>
        <v>9221</v>
      </c>
      <c r="C25" s="290">
        <f t="shared" si="12"/>
        <v>0</v>
      </c>
      <c r="D25" s="562">
        <f t="shared" si="13"/>
        <v>247280</v>
      </c>
      <c r="E25" s="290">
        <f t="shared" si="14"/>
        <v>0</v>
      </c>
      <c r="F25" s="290">
        <f t="shared" si="0"/>
        <v>0</v>
      </c>
      <c r="G25" s="197"/>
      <c r="H25" s="291">
        <f t="shared" ref="H25:H33" si="37">H24</f>
        <v>9298</v>
      </c>
      <c r="I25" s="290" t="str">
        <f t="shared" si="1"/>
        <v>ok</v>
      </c>
      <c r="J25" s="562">
        <f t="shared" si="16"/>
        <v>10698</v>
      </c>
      <c r="K25" s="290">
        <f t="shared" si="2"/>
        <v>0</v>
      </c>
      <c r="L25" s="562">
        <f t="shared" si="17"/>
        <v>238500</v>
      </c>
      <c r="M25" s="290">
        <f t="shared" si="3"/>
        <v>0</v>
      </c>
      <c r="N25" s="290">
        <f t="shared" si="18"/>
        <v>0</v>
      </c>
      <c r="O25" s="197"/>
      <c r="P25" s="291">
        <f t="shared" si="19"/>
        <v>10873</v>
      </c>
      <c r="Q25" s="290" t="str">
        <f t="shared" si="34"/>
        <v>ok</v>
      </c>
      <c r="R25" s="562">
        <f t="shared" si="20"/>
        <v>11705</v>
      </c>
      <c r="S25" s="290">
        <f t="shared" si="5"/>
        <v>0</v>
      </c>
      <c r="T25" s="562">
        <f t="shared" si="27"/>
        <v>357664</v>
      </c>
      <c r="U25" s="290">
        <f t="shared" si="35"/>
        <v>0</v>
      </c>
      <c r="V25" s="290">
        <f t="shared" si="21"/>
        <v>0</v>
      </c>
      <c r="W25" s="197"/>
      <c r="X25" s="291">
        <f t="shared" si="22"/>
        <v>12789</v>
      </c>
      <c r="Y25" s="290" t="str">
        <f t="shared" si="36"/>
        <v>ok</v>
      </c>
      <c r="Z25" s="290">
        <f t="shared" si="8"/>
        <v>0</v>
      </c>
      <c r="AA25" s="290">
        <f t="shared" si="23"/>
        <v>0</v>
      </c>
      <c r="AB25" s="290">
        <f t="shared" si="24"/>
        <v>0</v>
      </c>
      <c r="AC25" s="290">
        <f t="shared" si="25"/>
        <v>0</v>
      </c>
      <c r="AD25" s="73">
        <f>ELEC!Q25</f>
        <v>0</v>
      </c>
      <c r="AE25" s="73" t="e">
        <f t="shared" si="28"/>
        <v>#DIV/0!</v>
      </c>
      <c r="AF25" s="407" t="e">
        <f t="shared" si="29"/>
        <v>#DIV/0!</v>
      </c>
      <c r="AG25" s="408" t="e">
        <f t="shared" si="30"/>
        <v>#DIV/0!</v>
      </c>
      <c r="AH25" s="408" t="e">
        <f t="shared" si="26"/>
        <v>#DIV/0!</v>
      </c>
      <c r="AI25" s="73">
        <f t="shared" si="31"/>
        <v>0</v>
      </c>
      <c r="AJ25" s="292">
        <f t="shared" si="9"/>
        <v>0.25738396624472576</v>
      </c>
      <c r="AK25" s="292">
        <f t="shared" si="33"/>
        <v>0</v>
      </c>
    </row>
    <row r="26" spans="1:37" ht="15.75" thickBot="1">
      <c r="A26" s="4">
        <f>ELEC!C26</f>
        <v>44128</v>
      </c>
      <c r="B26" s="561">
        <f t="shared" si="11"/>
        <v>9221</v>
      </c>
      <c r="C26" s="290">
        <f t="shared" si="12"/>
        <v>0</v>
      </c>
      <c r="D26" s="562">
        <f t="shared" si="13"/>
        <v>247280</v>
      </c>
      <c r="E26" s="290">
        <f t="shared" si="14"/>
        <v>0</v>
      </c>
      <c r="F26" s="290">
        <f t="shared" si="0"/>
        <v>0</v>
      </c>
      <c r="G26" s="197"/>
      <c r="H26" s="291">
        <f t="shared" si="37"/>
        <v>9298</v>
      </c>
      <c r="I26" s="290" t="str">
        <f t="shared" si="1"/>
        <v>ok</v>
      </c>
      <c r="J26" s="562">
        <f t="shared" si="16"/>
        <v>10698</v>
      </c>
      <c r="K26" s="290">
        <f t="shared" si="2"/>
        <v>0</v>
      </c>
      <c r="L26" s="562">
        <f t="shared" si="17"/>
        <v>238500</v>
      </c>
      <c r="M26" s="290">
        <f t="shared" si="3"/>
        <v>0</v>
      </c>
      <c r="N26" s="290">
        <f t="shared" si="18"/>
        <v>0</v>
      </c>
      <c r="O26" s="197"/>
      <c r="P26" s="291">
        <f t="shared" si="19"/>
        <v>10873</v>
      </c>
      <c r="Q26" s="290" t="str">
        <f t="shared" si="34"/>
        <v>ok</v>
      </c>
      <c r="R26" s="562">
        <f t="shared" si="20"/>
        <v>11705</v>
      </c>
      <c r="S26" s="290">
        <f t="shared" si="5"/>
        <v>0</v>
      </c>
      <c r="T26" s="562">
        <f t="shared" si="27"/>
        <v>357664</v>
      </c>
      <c r="U26" s="290">
        <f t="shared" si="35"/>
        <v>0</v>
      </c>
      <c r="V26" s="290">
        <f t="shared" si="21"/>
        <v>0</v>
      </c>
      <c r="W26" s="197"/>
      <c r="X26" s="291">
        <f t="shared" si="22"/>
        <v>12789</v>
      </c>
      <c r="Y26" s="290" t="str">
        <f t="shared" si="36"/>
        <v>ok</v>
      </c>
      <c r="Z26" s="290">
        <f t="shared" si="8"/>
        <v>0</v>
      </c>
      <c r="AA26" s="290">
        <f t="shared" si="23"/>
        <v>0</v>
      </c>
      <c r="AB26" s="290">
        <f t="shared" si="24"/>
        <v>0</v>
      </c>
      <c r="AC26" s="290">
        <f t="shared" si="25"/>
        <v>0</v>
      </c>
      <c r="AD26" s="73">
        <f>ELEC!Q26</f>
        <v>0</v>
      </c>
      <c r="AE26" s="73" t="e">
        <f t="shared" si="28"/>
        <v>#DIV/0!</v>
      </c>
      <c r="AF26" s="407" t="e">
        <f t="shared" si="29"/>
        <v>#DIV/0!</v>
      </c>
      <c r="AG26" s="408" t="e">
        <f t="shared" si="30"/>
        <v>#DIV/0!</v>
      </c>
      <c r="AH26" s="408" t="e">
        <f t="shared" si="26"/>
        <v>#DIV/0!</v>
      </c>
      <c r="AI26" s="73">
        <f t="shared" si="31"/>
        <v>0</v>
      </c>
      <c r="AJ26" s="292">
        <f t="shared" si="9"/>
        <v>0.25738396624472576</v>
      </c>
      <c r="AK26" s="292">
        <f t="shared" si="33"/>
        <v>0</v>
      </c>
    </row>
    <row r="27" spans="1:37" ht="15.75" thickBot="1">
      <c r="A27" s="4">
        <f>ELEC!C27</f>
        <v>44129</v>
      </c>
      <c r="B27" s="561">
        <f t="shared" si="11"/>
        <v>9221</v>
      </c>
      <c r="C27" s="290">
        <f t="shared" si="12"/>
        <v>0</v>
      </c>
      <c r="D27" s="562">
        <f t="shared" si="13"/>
        <v>247280</v>
      </c>
      <c r="E27" s="290">
        <f t="shared" si="14"/>
        <v>0</v>
      </c>
      <c r="F27" s="290">
        <f t="shared" si="0"/>
        <v>0</v>
      </c>
      <c r="G27" s="197"/>
      <c r="H27" s="291">
        <f t="shared" si="37"/>
        <v>9298</v>
      </c>
      <c r="I27" s="290" t="str">
        <f>IF(B27-H27&lt;=0,"ok","oil change")</f>
        <v>ok</v>
      </c>
      <c r="J27" s="562">
        <f t="shared" si="16"/>
        <v>10698</v>
      </c>
      <c r="K27" s="290">
        <f t="shared" si="2"/>
        <v>0</v>
      </c>
      <c r="L27" s="562">
        <f t="shared" si="17"/>
        <v>238500</v>
      </c>
      <c r="M27" s="290">
        <f t="shared" si="3"/>
        <v>0</v>
      </c>
      <c r="N27" s="290">
        <f t="shared" si="18"/>
        <v>0</v>
      </c>
      <c r="O27" s="197"/>
      <c r="P27" s="291">
        <f t="shared" si="19"/>
        <v>10873</v>
      </c>
      <c r="Q27" s="290" t="str">
        <f t="shared" si="34"/>
        <v>ok</v>
      </c>
      <c r="R27" s="562">
        <f t="shared" si="20"/>
        <v>11705</v>
      </c>
      <c r="S27" s="290">
        <f t="shared" si="5"/>
        <v>0</v>
      </c>
      <c r="T27" s="562">
        <f t="shared" si="27"/>
        <v>357664</v>
      </c>
      <c r="U27" s="290">
        <f t="shared" si="35"/>
        <v>0</v>
      </c>
      <c r="V27" s="290">
        <f t="shared" si="21"/>
        <v>0</v>
      </c>
      <c r="W27" s="197"/>
      <c r="X27" s="291">
        <f t="shared" si="22"/>
        <v>12789</v>
      </c>
      <c r="Y27" s="290" t="str">
        <f t="shared" si="36"/>
        <v>ok</v>
      </c>
      <c r="Z27" s="290">
        <f t="shared" si="8"/>
        <v>0</v>
      </c>
      <c r="AA27" s="290">
        <f t="shared" si="23"/>
        <v>0</v>
      </c>
      <c r="AB27" s="290">
        <f t="shared" si="24"/>
        <v>0</v>
      </c>
      <c r="AC27" s="290">
        <f t="shared" si="25"/>
        <v>0</v>
      </c>
      <c r="AD27" s="73">
        <f>ELEC!Q27</f>
        <v>0</v>
      </c>
      <c r="AE27" s="73" t="e">
        <f t="shared" si="28"/>
        <v>#DIV/0!</v>
      </c>
      <c r="AF27" s="407" t="e">
        <f t="shared" si="29"/>
        <v>#DIV/0!</v>
      </c>
      <c r="AG27" s="408" t="e">
        <f t="shared" si="30"/>
        <v>#DIV/0!</v>
      </c>
      <c r="AH27" s="408" t="e">
        <f t="shared" si="26"/>
        <v>#DIV/0!</v>
      </c>
      <c r="AI27" s="73">
        <f t="shared" si="31"/>
        <v>0</v>
      </c>
      <c r="AJ27" s="292">
        <f t="shared" si="9"/>
        <v>0.25738396624472576</v>
      </c>
      <c r="AK27" s="292">
        <f t="shared" si="33"/>
        <v>0</v>
      </c>
    </row>
    <row r="28" spans="1:37" ht="15.75" thickBot="1">
      <c r="A28" s="4">
        <f>ELEC!C28</f>
        <v>44130</v>
      </c>
      <c r="B28" s="561">
        <f t="shared" si="11"/>
        <v>9221</v>
      </c>
      <c r="C28" s="290">
        <f t="shared" si="12"/>
        <v>0</v>
      </c>
      <c r="D28" s="562">
        <f t="shared" si="13"/>
        <v>247280</v>
      </c>
      <c r="E28" s="290">
        <f t="shared" si="14"/>
        <v>0</v>
      </c>
      <c r="F28" s="290">
        <f t="shared" si="0"/>
        <v>0</v>
      </c>
      <c r="G28" s="288"/>
      <c r="H28" s="291">
        <f t="shared" si="37"/>
        <v>9298</v>
      </c>
      <c r="I28" s="290" t="str">
        <f t="shared" si="1"/>
        <v>ok</v>
      </c>
      <c r="J28" s="562">
        <f t="shared" si="16"/>
        <v>10698</v>
      </c>
      <c r="K28" s="290">
        <f t="shared" si="2"/>
        <v>0</v>
      </c>
      <c r="L28" s="562">
        <f t="shared" si="17"/>
        <v>238500</v>
      </c>
      <c r="M28" s="290">
        <f t="shared" si="3"/>
        <v>0</v>
      </c>
      <c r="N28" s="290">
        <f t="shared" si="18"/>
        <v>0</v>
      </c>
      <c r="O28" s="197"/>
      <c r="P28" s="291">
        <f t="shared" si="19"/>
        <v>10873</v>
      </c>
      <c r="Q28" s="290" t="str">
        <f t="shared" si="34"/>
        <v>ok</v>
      </c>
      <c r="R28" s="562">
        <f t="shared" si="20"/>
        <v>11705</v>
      </c>
      <c r="S28" s="290">
        <f t="shared" si="5"/>
        <v>0</v>
      </c>
      <c r="T28" s="562">
        <f t="shared" si="27"/>
        <v>357664</v>
      </c>
      <c r="U28" s="290">
        <f t="shared" si="35"/>
        <v>0</v>
      </c>
      <c r="V28" s="290">
        <f t="shared" si="21"/>
        <v>0</v>
      </c>
      <c r="W28" s="197"/>
      <c r="X28" s="291">
        <f t="shared" si="22"/>
        <v>12789</v>
      </c>
      <c r="Y28" s="290" t="str">
        <f t="shared" si="36"/>
        <v>ok</v>
      </c>
      <c r="Z28" s="290">
        <f t="shared" si="8"/>
        <v>0</v>
      </c>
      <c r="AA28" s="290">
        <f t="shared" si="23"/>
        <v>0</v>
      </c>
      <c r="AB28" s="290">
        <f t="shared" si="24"/>
        <v>0</v>
      </c>
      <c r="AC28" s="290">
        <f t="shared" si="25"/>
        <v>0</v>
      </c>
      <c r="AD28" s="73">
        <f>ELEC!Q28</f>
        <v>0</v>
      </c>
      <c r="AE28" s="73" t="e">
        <f t="shared" si="28"/>
        <v>#DIV/0!</v>
      </c>
      <c r="AF28" s="407" t="e">
        <f t="shared" si="29"/>
        <v>#DIV/0!</v>
      </c>
      <c r="AG28" s="408" t="e">
        <f t="shared" si="30"/>
        <v>#DIV/0!</v>
      </c>
      <c r="AH28" s="408" t="e">
        <f t="shared" si="26"/>
        <v>#DIV/0!</v>
      </c>
      <c r="AI28" s="73">
        <f t="shared" si="31"/>
        <v>0</v>
      </c>
      <c r="AJ28" s="292">
        <f t="shared" si="9"/>
        <v>0.25738396624472576</v>
      </c>
      <c r="AK28" s="292">
        <f t="shared" si="33"/>
        <v>0</v>
      </c>
    </row>
    <row r="29" spans="1:37" ht="15.75" thickBot="1">
      <c r="A29" s="4">
        <f>ELEC!C29</f>
        <v>44131</v>
      </c>
      <c r="B29" s="561">
        <f t="shared" si="11"/>
        <v>9221</v>
      </c>
      <c r="C29" s="290">
        <f t="shared" si="12"/>
        <v>0</v>
      </c>
      <c r="D29" s="562">
        <f t="shared" si="13"/>
        <v>247280</v>
      </c>
      <c r="E29" s="290">
        <f>SUM(D29-D28)</f>
        <v>0</v>
      </c>
      <c r="F29" s="290">
        <f t="shared" si="0"/>
        <v>0</v>
      </c>
      <c r="G29" s="197"/>
      <c r="H29" s="291">
        <f t="shared" si="37"/>
        <v>9298</v>
      </c>
      <c r="I29" s="290" t="str">
        <f t="shared" si="1"/>
        <v>ok</v>
      </c>
      <c r="J29" s="562">
        <f t="shared" si="16"/>
        <v>10698</v>
      </c>
      <c r="K29" s="290">
        <f t="shared" si="2"/>
        <v>0</v>
      </c>
      <c r="L29" s="562">
        <f t="shared" si="17"/>
        <v>238500</v>
      </c>
      <c r="M29" s="290">
        <f t="shared" si="3"/>
        <v>0</v>
      </c>
      <c r="N29" s="290">
        <f t="shared" si="18"/>
        <v>0</v>
      </c>
      <c r="O29" s="197"/>
      <c r="P29" s="291">
        <f t="shared" si="19"/>
        <v>10873</v>
      </c>
      <c r="Q29" s="290" t="str">
        <f t="shared" si="34"/>
        <v>ok</v>
      </c>
      <c r="R29" s="562">
        <f t="shared" si="20"/>
        <v>11705</v>
      </c>
      <c r="S29" s="290">
        <f t="shared" si="5"/>
        <v>0</v>
      </c>
      <c r="T29" s="562">
        <f t="shared" si="27"/>
        <v>357664</v>
      </c>
      <c r="U29" s="290">
        <f t="shared" si="35"/>
        <v>0</v>
      </c>
      <c r="V29" s="290">
        <f t="shared" si="21"/>
        <v>0</v>
      </c>
      <c r="W29" s="197"/>
      <c r="X29" s="291">
        <f t="shared" si="22"/>
        <v>12789</v>
      </c>
      <c r="Y29" s="290" t="str">
        <f t="shared" si="36"/>
        <v>ok</v>
      </c>
      <c r="Z29" s="290">
        <f t="shared" si="8"/>
        <v>0</v>
      </c>
      <c r="AA29" s="290">
        <f t="shared" si="23"/>
        <v>0</v>
      </c>
      <c r="AB29" s="290">
        <f t="shared" si="24"/>
        <v>0</v>
      </c>
      <c r="AC29" s="290">
        <f t="shared" si="25"/>
        <v>0</v>
      </c>
      <c r="AD29" s="73">
        <f>ELEC!Q29</f>
        <v>0</v>
      </c>
      <c r="AE29" s="73" t="e">
        <f t="shared" si="28"/>
        <v>#DIV/0!</v>
      </c>
      <c r="AF29" s="407" t="e">
        <f t="shared" si="29"/>
        <v>#DIV/0!</v>
      </c>
      <c r="AG29" s="408" t="e">
        <f t="shared" si="30"/>
        <v>#DIV/0!</v>
      </c>
      <c r="AH29" s="408" t="e">
        <f t="shared" si="26"/>
        <v>#DIV/0!</v>
      </c>
      <c r="AI29" s="73">
        <f t="shared" si="31"/>
        <v>0</v>
      </c>
      <c r="AJ29" s="292">
        <f t="shared" si="9"/>
        <v>0.25738396624472576</v>
      </c>
      <c r="AK29" s="292">
        <f t="shared" si="33"/>
        <v>0</v>
      </c>
    </row>
    <row r="30" spans="1:37" ht="15.75" thickBot="1">
      <c r="A30" s="4">
        <f>ELEC!C30</f>
        <v>44132</v>
      </c>
      <c r="B30" s="561">
        <f t="shared" si="11"/>
        <v>9221</v>
      </c>
      <c r="C30" s="290">
        <f t="shared" si="12"/>
        <v>0</v>
      </c>
      <c r="D30" s="562">
        <f t="shared" si="13"/>
        <v>247280</v>
      </c>
      <c r="E30" s="290">
        <f t="shared" si="14"/>
        <v>0</v>
      </c>
      <c r="F30" s="290">
        <f t="shared" si="0"/>
        <v>0</v>
      </c>
      <c r="G30" s="197"/>
      <c r="H30" s="291">
        <f t="shared" si="37"/>
        <v>9298</v>
      </c>
      <c r="I30" s="290" t="str">
        <f t="shared" si="1"/>
        <v>ok</v>
      </c>
      <c r="J30" s="562">
        <f t="shared" si="16"/>
        <v>10698</v>
      </c>
      <c r="K30" s="290">
        <f t="shared" si="2"/>
        <v>0</v>
      </c>
      <c r="L30" s="562">
        <f t="shared" si="17"/>
        <v>238500</v>
      </c>
      <c r="M30" s="290">
        <f t="shared" si="3"/>
        <v>0</v>
      </c>
      <c r="N30" s="290">
        <f t="shared" si="18"/>
        <v>0</v>
      </c>
      <c r="O30" s="197"/>
      <c r="P30" s="291">
        <f t="shared" si="19"/>
        <v>10873</v>
      </c>
      <c r="Q30" s="290" t="str">
        <f t="shared" si="34"/>
        <v>ok</v>
      </c>
      <c r="R30" s="562">
        <f t="shared" si="20"/>
        <v>11705</v>
      </c>
      <c r="S30" s="290">
        <f t="shared" si="5"/>
        <v>0</v>
      </c>
      <c r="T30" s="562">
        <f t="shared" si="27"/>
        <v>357664</v>
      </c>
      <c r="U30" s="290">
        <f t="shared" si="35"/>
        <v>0</v>
      </c>
      <c r="V30" s="290">
        <f t="shared" si="21"/>
        <v>0</v>
      </c>
      <c r="W30" s="288"/>
      <c r="X30" s="291">
        <f t="shared" si="22"/>
        <v>12789</v>
      </c>
      <c r="Y30" s="290" t="str">
        <f t="shared" si="36"/>
        <v>ok</v>
      </c>
      <c r="Z30" s="290">
        <f t="shared" si="8"/>
        <v>0</v>
      </c>
      <c r="AA30" s="290">
        <f t="shared" si="23"/>
        <v>0</v>
      </c>
      <c r="AB30" s="290">
        <f t="shared" si="24"/>
        <v>0</v>
      </c>
      <c r="AC30" s="290">
        <f t="shared" si="25"/>
        <v>0</v>
      </c>
      <c r="AD30" s="73">
        <f>ELEC!Q30</f>
        <v>0</v>
      </c>
      <c r="AE30" s="73" t="e">
        <f t="shared" si="28"/>
        <v>#DIV/0!</v>
      </c>
      <c r="AF30" s="407" t="e">
        <f t="shared" si="29"/>
        <v>#DIV/0!</v>
      </c>
      <c r="AG30" s="408" t="e">
        <f t="shared" si="30"/>
        <v>#DIV/0!</v>
      </c>
      <c r="AH30" s="408" t="e">
        <f t="shared" si="26"/>
        <v>#DIV/0!</v>
      </c>
      <c r="AI30" s="73">
        <f t="shared" si="31"/>
        <v>0</v>
      </c>
      <c r="AJ30" s="292">
        <f t="shared" si="9"/>
        <v>0.25738396624472576</v>
      </c>
      <c r="AK30" s="292">
        <f t="shared" si="33"/>
        <v>0</v>
      </c>
    </row>
    <row r="31" spans="1:37" ht="15.75" thickBot="1">
      <c r="A31" s="4">
        <f>ELEC!C31</f>
        <v>44133</v>
      </c>
      <c r="B31" s="561">
        <f t="shared" si="11"/>
        <v>9221</v>
      </c>
      <c r="C31" s="290">
        <f t="shared" si="12"/>
        <v>0</v>
      </c>
      <c r="D31" s="562">
        <f t="shared" si="13"/>
        <v>247280</v>
      </c>
      <c r="E31" s="290">
        <f t="shared" si="14"/>
        <v>0</v>
      </c>
      <c r="F31" s="290">
        <f t="shared" si="0"/>
        <v>0</v>
      </c>
      <c r="G31" s="197"/>
      <c r="H31" s="291">
        <f t="shared" si="37"/>
        <v>9298</v>
      </c>
      <c r="I31" s="290" t="str">
        <f t="shared" si="1"/>
        <v>ok</v>
      </c>
      <c r="J31" s="562">
        <f t="shared" si="16"/>
        <v>10698</v>
      </c>
      <c r="K31" s="290">
        <f t="shared" si="2"/>
        <v>0</v>
      </c>
      <c r="L31" s="562">
        <f t="shared" si="17"/>
        <v>238500</v>
      </c>
      <c r="M31" s="290">
        <f t="shared" si="3"/>
        <v>0</v>
      </c>
      <c r="N31" s="290">
        <f t="shared" si="18"/>
        <v>0</v>
      </c>
      <c r="O31" s="197"/>
      <c r="P31" s="291">
        <f t="shared" si="19"/>
        <v>10873</v>
      </c>
      <c r="Q31" s="290" t="str">
        <f t="shared" si="34"/>
        <v>ok</v>
      </c>
      <c r="R31" s="562">
        <f t="shared" si="20"/>
        <v>11705</v>
      </c>
      <c r="S31" s="290">
        <f t="shared" si="5"/>
        <v>0</v>
      </c>
      <c r="T31" s="562">
        <f t="shared" si="27"/>
        <v>357664</v>
      </c>
      <c r="U31" s="290">
        <f t="shared" si="35"/>
        <v>0</v>
      </c>
      <c r="V31" s="290">
        <f t="shared" si="21"/>
        <v>0</v>
      </c>
      <c r="W31" s="197"/>
      <c r="X31" s="291">
        <f t="shared" si="22"/>
        <v>12789</v>
      </c>
      <c r="Y31" s="290" t="str">
        <f t="shared" si="36"/>
        <v>ok</v>
      </c>
      <c r="Z31" s="290">
        <f t="shared" si="8"/>
        <v>0</v>
      </c>
      <c r="AA31" s="290">
        <f t="shared" si="23"/>
        <v>0</v>
      </c>
      <c r="AB31" s="290">
        <f t="shared" si="24"/>
        <v>0</v>
      </c>
      <c r="AC31" s="290">
        <f t="shared" si="25"/>
        <v>0</v>
      </c>
      <c r="AD31" s="73">
        <f>ELEC!Q31</f>
        <v>0</v>
      </c>
      <c r="AE31" s="73" t="e">
        <f t="shared" si="28"/>
        <v>#DIV/0!</v>
      </c>
      <c r="AF31" s="407" t="e">
        <f t="shared" si="29"/>
        <v>#DIV/0!</v>
      </c>
      <c r="AG31" s="408" t="e">
        <f t="shared" si="30"/>
        <v>#DIV/0!</v>
      </c>
      <c r="AH31" s="408" t="e">
        <f t="shared" si="26"/>
        <v>#DIV/0!</v>
      </c>
      <c r="AI31" s="73">
        <f t="shared" si="31"/>
        <v>0</v>
      </c>
      <c r="AJ31" s="292">
        <f t="shared" si="9"/>
        <v>0.25738396624472576</v>
      </c>
      <c r="AK31" s="292">
        <f t="shared" si="33"/>
        <v>0</v>
      </c>
    </row>
    <row r="32" spans="1:37" ht="15.75" thickBot="1">
      <c r="A32" s="4">
        <f>ELEC!C32</f>
        <v>44134</v>
      </c>
      <c r="B32" s="561">
        <f t="shared" si="11"/>
        <v>9221</v>
      </c>
      <c r="C32" s="290">
        <f t="shared" si="12"/>
        <v>0</v>
      </c>
      <c r="D32" s="562">
        <f t="shared" si="13"/>
        <v>247280</v>
      </c>
      <c r="E32" s="290">
        <f t="shared" si="14"/>
        <v>0</v>
      </c>
      <c r="F32" s="290">
        <f t="shared" si="0"/>
        <v>0</v>
      </c>
      <c r="G32" s="197"/>
      <c r="H32" s="291">
        <f t="shared" si="37"/>
        <v>9298</v>
      </c>
      <c r="I32" s="290" t="str">
        <f t="shared" si="1"/>
        <v>ok</v>
      </c>
      <c r="J32" s="562">
        <f t="shared" si="16"/>
        <v>10698</v>
      </c>
      <c r="K32" s="290">
        <f>J32-J31</f>
        <v>0</v>
      </c>
      <c r="L32" s="562">
        <f t="shared" si="17"/>
        <v>238500</v>
      </c>
      <c r="M32" s="290">
        <f t="shared" si="3"/>
        <v>0</v>
      </c>
      <c r="N32" s="290">
        <f t="shared" si="18"/>
        <v>0</v>
      </c>
      <c r="O32" s="197"/>
      <c r="P32" s="291">
        <f t="shared" si="19"/>
        <v>10873</v>
      </c>
      <c r="Q32" s="290" t="str">
        <f t="shared" si="34"/>
        <v>ok</v>
      </c>
      <c r="R32" s="562">
        <f t="shared" si="20"/>
        <v>11705</v>
      </c>
      <c r="S32" s="290">
        <f t="shared" si="5"/>
        <v>0</v>
      </c>
      <c r="T32" s="562">
        <f t="shared" si="27"/>
        <v>357664</v>
      </c>
      <c r="U32" s="290">
        <f t="shared" si="35"/>
        <v>0</v>
      </c>
      <c r="V32" s="290">
        <f t="shared" si="21"/>
        <v>0</v>
      </c>
      <c r="W32" s="197"/>
      <c r="X32" s="291">
        <f t="shared" si="22"/>
        <v>12789</v>
      </c>
      <c r="Y32" s="290" t="str">
        <f t="shared" si="36"/>
        <v>ok</v>
      </c>
      <c r="Z32" s="290">
        <f t="shared" si="8"/>
        <v>0</v>
      </c>
      <c r="AA32" s="290">
        <f t="shared" si="23"/>
        <v>0</v>
      </c>
      <c r="AB32" s="290">
        <f t="shared" si="24"/>
        <v>0</v>
      </c>
      <c r="AC32" s="290">
        <f t="shared" si="25"/>
        <v>0</v>
      </c>
      <c r="AD32" s="73">
        <f>ELEC!Q32</f>
        <v>0</v>
      </c>
      <c r="AE32" s="73" t="e">
        <f t="shared" si="28"/>
        <v>#DIV/0!</v>
      </c>
      <c r="AF32" s="407" t="e">
        <f t="shared" si="29"/>
        <v>#DIV/0!</v>
      </c>
      <c r="AG32" s="408" t="e">
        <f t="shared" si="30"/>
        <v>#DIV/0!</v>
      </c>
      <c r="AH32" s="408" t="e">
        <f t="shared" si="26"/>
        <v>#DIV/0!</v>
      </c>
      <c r="AI32" s="73">
        <f t="shared" si="31"/>
        <v>0</v>
      </c>
      <c r="AJ32" s="292">
        <f t="shared" si="9"/>
        <v>0.25738396624472576</v>
      </c>
      <c r="AK32" s="292">
        <f t="shared" si="33"/>
        <v>0</v>
      </c>
    </row>
    <row r="33" spans="1:37">
      <c r="A33" s="4">
        <f>ELEC!C33</f>
        <v>44135</v>
      </c>
      <c r="B33" s="561">
        <f t="shared" si="11"/>
        <v>9221</v>
      </c>
      <c r="C33" s="290">
        <f t="shared" ref="C33" si="38">B33-B32</f>
        <v>0</v>
      </c>
      <c r="D33" s="562">
        <f t="shared" si="13"/>
        <v>247280</v>
      </c>
      <c r="E33" s="290">
        <f t="shared" ref="E33" si="39">SUM(D33-D32)</f>
        <v>0</v>
      </c>
      <c r="F33" s="290">
        <f t="shared" ref="F33" si="40">IF(C33&gt;0,E33/C33,0)</f>
        <v>0</v>
      </c>
      <c r="G33" s="341"/>
      <c r="H33" s="291">
        <f t="shared" si="37"/>
        <v>9298</v>
      </c>
      <c r="I33" s="290" t="str">
        <f t="shared" ref="I33" si="41">IF(B33-H33&lt;=0,"ok","oil change")</f>
        <v>ok</v>
      </c>
      <c r="J33" s="562">
        <f t="shared" si="16"/>
        <v>10698</v>
      </c>
      <c r="K33" s="290">
        <f>J33-J32</f>
        <v>0</v>
      </c>
      <c r="L33" s="562">
        <f>L32</f>
        <v>238500</v>
      </c>
      <c r="M33" s="290">
        <f t="shared" ref="M33" si="42">SUM(L33-L32)</f>
        <v>0</v>
      </c>
      <c r="N33" s="290">
        <f t="shared" ref="N33" si="43">IF(K33&gt;0,M33/K33,0)</f>
        <v>0</v>
      </c>
      <c r="O33" s="341"/>
      <c r="P33" s="291">
        <f t="shared" si="19"/>
        <v>10873</v>
      </c>
      <c r="Q33" s="290" t="str">
        <f t="shared" ref="Q33" si="44">IF(J33-P33&lt;=0,"ok","oil change")</f>
        <v>ok</v>
      </c>
      <c r="R33" s="562">
        <f t="shared" si="20"/>
        <v>11705</v>
      </c>
      <c r="S33" s="290">
        <f t="shared" ref="S33" si="45">R33-R32</f>
        <v>0</v>
      </c>
      <c r="T33" s="562">
        <f t="shared" si="27"/>
        <v>357664</v>
      </c>
      <c r="U33" s="290">
        <f t="shared" ref="U33" si="46">SUM(T33-T32)</f>
        <v>0</v>
      </c>
      <c r="V33" s="290">
        <f t="shared" ref="V33" si="47">IF(S33&gt;0,U33/S33,0)</f>
        <v>0</v>
      </c>
      <c r="W33" s="341"/>
      <c r="X33" s="291">
        <f t="shared" si="22"/>
        <v>12789</v>
      </c>
      <c r="Y33" s="290" t="str">
        <f t="shared" ref="Y33" si="48">IF(R33-X33&lt;=0,"ok","oil change")</f>
        <v>ok</v>
      </c>
      <c r="Z33" s="290">
        <f t="shared" ref="Z33" si="49">C33+K33+S33</f>
        <v>0</v>
      </c>
      <c r="AA33" s="290">
        <f t="shared" ref="AA33" si="50">U33+M33+E33</f>
        <v>0</v>
      </c>
      <c r="AB33" s="290">
        <f t="shared" ref="AB33" si="51">V33+N33+F33</f>
        <v>0</v>
      </c>
      <c r="AC33" s="290">
        <f t="shared" ref="AC33" si="52">IF(Z33&gt;0,AA33/Z33,0)</f>
        <v>0</v>
      </c>
      <c r="AD33" s="73">
        <f>ELEC!Q33</f>
        <v>0</v>
      </c>
      <c r="AE33" s="73" t="e">
        <f t="shared" ref="AE33" si="53">SUM(AD33/Z33)</f>
        <v>#DIV/0!</v>
      </c>
      <c r="AF33" s="407" t="e">
        <f t="shared" ref="AF33" si="54">SUM(AE33/1600)</f>
        <v>#DIV/0!</v>
      </c>
      <c r="AG33" s="512" t="e">
        <f t="shared" ref="AG33" si="55">SUM(320*AF33)</f>
        <v>#DIV/0!</v>
      </c>
      <c r="AH33" s="512" t="e">
        <f t="shared" ref="AH33" si="56">SUM(AC33-AG33)</f>
        <v>#DIV/0!</v>
      </c>
      <c r="AI33" s="73">
        <f t="shared" ref="AI33" si="57">AD33*AJ33</f>
        <v>0</v>
      </c>
      <c r="AJ33" s="292">
        <f t="shared" si="9"/>
        <v>0.25738396624472576</v>
      </c>
      <c r="AK33" s="292">
        <f t="shared" ref="AK33" si="58">IF(Z33&gt;0,AI33/Z33,0)</f>
        <v>0</v>
      </c>
    </row>
    <row r="34" spans="1:37">
      <c r="H34" s="39"/>
      <c r="I34" s="269"/>
      <c r="M34" s="39"/>
      <c r="N34" s="39"/>
      <c r="O34" s="39"/>
      <c r="P34" s="82">
        <f>+O34/3</f>
        <v>0</v>
      </c>
      <c r="S34" s="39"/>
      <c r="T34" s="39"/>
      <c r="U34" s="40">
        <f>SUM(C35:S35)</f>
        <v>13</v>
      </c>
      <c r="V34" s="40"/>
      <c r="X34">
        <v>341</v>
      </c>
      <c r="Z34" s="426">
        <f>SUM(Z3:Z32)</f>
        <v>13</v>
      </c>
    </row>
    <row r="35" spans="1:37">
      <c r="C35" s="40">
        <f>SUM(C3:C32)</f>
        <v>13</v>
      </c>
      <c r="K35" s="40">
        <f>SUM(K3:K32)</f>
        <v>0</v>
      </c>
      <c r="S35" s="40">
        <f>SUM(S3:S32)</f>
        <v>0</v>
      </c>
      <c r="U35" s="40"/>
      <c r="V35" s="40"/>
      <c r="X35" s="40"/>
    </row>
  </sheetData>
  <conditionalFormatting sqref="C3:C33 K3:K33 Z3:Z33 S3:S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2" activePane="bottomLeft" state="frozen"/>
      <selection pane="bottomLeft" activeCell="I5" sqref="I5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547" customWidth="1"/>
    <col min="9" max="9" width="12.7109375" bestFit="1" customWidth="1"/>
    <col min="10" max="10" width="25.42578125" style="498" customWidth="1"/>
    <col min="12" max="12" width="26.42578125" bestFit="1" customWidth="1"/>
    <col min="14" max="14" width="14.28515625" customWidth="1"/>
  </cols>
  <sheetData>
    <row r="1" spans="1:18" ht="39.75" customHeight="1" thickBot="1">
      <c r="A1" s="652" t="s">
        <v>51</v>
      </c>
      <c r="B1" s="664" t="s">
        <v>320</v>
      </c>
      <c r="C1" s="665"/>
      <c r="D1" s="667"/>
      <c r="E1" s="664" t="s">
        <v>321</v>
      </c>
      <c r="F1" s="665"/>
      <c r="G1" s="666"/>
      <c r="H1" s="661" t="s">
        <v>326</v>
      </c>
      <c r="I1" s="658" t="s">
        <v>327</v>
      </c>
      <c r="J1" s="655" t="s">
        <v>43</v>
      </c>
    </row>
    <row r="2" spans="1:18" ht="38.25" thickBot="1">
      <c r="A2" s="653"/>
      <c r="B2" s="259" t="s">
        <v>322</v>
      </c>
      <c r="C2" s="260" t="s">
        <v>323</v>
      </c>
      <c r="D2" s="236"/>
      <c r="E2" s="237">
        <v>3.5</v>
      </c>
      <c r="F2" s="261" t="s">
        <v>323</v>
      </c>
      <c r="G2" s="238"/>
      <c r="H2" s="662"/>
      <c r="I2" s="659"/>
      <c r="J2" s="656"/>
    </row>
    <row r="3" spans="1:18" ht="24" customHeight="1" thickBot="1">
      <c r="A3" s="654"/>
      <c r="B3" s="239" t="s">
        <v>330</v>
      </c>
      <c r="C3" s="240" t="s">
        <v>324</v>
      </c>
      <c r="D3" s="240" t="s">
        <v>331</v>
      </c>
      <c r="E3" s="241" t="s">
        <v>330</v>
      </c>
      <c r="F3" s="240" t="s">
        <v>324</v>
      </c>
      <c r="G3" s="241" t="s">
        <v>331</v>
      </c>
      <c r="H3" s="663"/>
      <c r="I3" s="660"/>
      <c r="J3" s="657"/>
    </row>
    <row r="4" spans="1:18" ht="19.5" thickBot="1">
      <c r="A4" s="245"/>
      <c r="B4" s="516"/>
      <c r="C4" s="516"/>
      <c r="D4" s="516"/>
      <c r="E4" s="516"/>
      <c r="F4" s="516"/>
      <c r="G4" s="516"/>
      <c r="H4" s="246">
        <v>0</v>
      </c>
      <c r="I4" s="246"/>
      <c r="J4" s="493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15">
        <f>ELEC!C2</f>
        <v>44104</v>
      </c>
      <c r="B5" s="517"/>
      <c r="C5" s="517"/>
      <c r="D5" s="517"/>
      <c r="E5" s="517"/>
      <c r="F5" s="517"/>
      <c r="G5" s="517"/>
      <c r="H5" s="517">
        <v>6555</v>
      </c>
      <c r="I5" s="517">
        <f>'[3]Swimming Pool quality check '!$B$36</f>
        <v>2.5</v>
      </c>
      <c r="J5" s="525">
        <f>'[5]Swimming Pool quality check '!J36</f>
        <v>0.33333333333333398</v>
      </c>
      <c r="K5" s="411">
        <v>0</v>
      </c>
      <c r="L5" s="542">
        <f>A5</f>
        <v>44104</v>
      </c>
      <c r="M5" s="517">
        <v>6541</v>
      </c>
      <c r="N5" s="517">
        <f>'[6]Swimming Pool quality check '!N36</f>
        <v>642</v>
      </c>
      <c r="O5" s="517">
        <f>'[6]Swimming Pool quality check '!O36</f>
        <v>6836</v>
      </c>
    </row>
    <row r="6" spans="1:18" ht="15.75" customHeight="1" thickBot="1">
      <c r="A6" s="242">
        <f>ELEC!C3</f>
        <v>44105</v>
      </c>
      <c r="B6" s="558"/>
      <c r="C6" s="559"/>
      <c r="D6" s="560"/>
      <c r="E6" s="560"/>
      <c r="F6" s="560"/>
      <c r="G6" s="560"/>
      <c r="H6" s="517">
        <v>6555</v>
      </c>
      <c r="I6" s="517">
        <f>H6-H5</f>
        <v>0</v>
      </c>
      <c r="J6" s="494">
        <v>0.29166666666666669</v>
      </c>
      <c r="L6" s="99">
        <f t="shared" ref="L6:L35" si="0">A6</f>
        <v>44105</v>
      </c>
      <c r="M6" s="3">
        <v>6543</v>
      </c>
      <c r="N6" s="517">
        <v>487</v>
      </c>
      <c r="O6" s="517">
        <f t="shared" ref="O6:O35" si="1">M6+N6</f>
        <v>7030</v>
      </c>
    </row>
    <row r="7" spans="1:18" ht="15.75" thickBot="1">
      <c r="A7" s="242">
        <f>ELEC!C4</f>
        <v>44106</v>
      </c>
      <c r="B7" s="546"/>
      <c r="C7" s="557"/>
      <c r="D7" s="170"/>
      <c r="E7" s="170"/>
      <c r="F7" s="170"/>
      <c r="G7" s="170"/>
      <c r="H7" s="517">
        <v>6555</v>
      </c>
      <c r="I7" s="517">
        <f t="shared" ref="I7:I35" si="2">H7-H6</f>
        <v>0</v>
      </c>
      <c r="J7" s="495">
        <v>0.29166666666666669</v>
      </c>
      <c r="L7" s="99">
        <f t="shared" si="0"/>
        <v>44106</v>
      </c>
      <c r="M7" s="3">
        <v>6550</v>
      </c>
      <c r="N7" s="517">
        <v>487</v>
      </c>
      <c r="O7" s="517">
        <f t="shared" si="1"/>
        <v>7037</v>
      </c>
    </row>
    <row r="8" spans="1:18" ht="15.75" thickBot="1">
      <c r="A8" s="242">
        <f>ELEC!C5</f>
        <v>44107</v>
      </c>
      <c r="B8" s="546"/>
      <c r="C8" s="545"/>
      <c r="D8" s="170"/>
      <c r="E8" s="170"/>
      <c r="F8" s="170"/>
      <c r="G8" s="170"/>
      <c r="H8" s="517">
        <v>6555</v>
      </c>
      <c r="I8" s="517">
        <f t="shared" si="2"/>
        <v>0</v>
      </c>
      <c r="J8" s="495">
        <v>0.29166666666666669</v>
      </c>
      <c r="L8" s="99">
        <f t="shared" si="0"/>
        <v>44107</v>
      </c>
      <c r="M8" s="3">
        <v>6555</v>
      </c>
      <c r="N8" s="517">
        <v>487</v>
      </c>
      <c r="O8" s="517">
        <f t="shared" si="1"/>
        <v>7042</v>
      </c>
    </row>
    <row r="9" spans="1:18" ht="15.75" thickBot="1">
      <c r="A9" s="242">
        <f>ELEC!C6</f>
        <v>44108</v>
      </c>
      <c r="B9" s="546"/>
      <c r="C9" s="546"/>
      <c r="D9" s="546"/>
      <c r="E9" s="546"/>
      <c r="F9" s="546"/>
      <c r="G9" s="546"/>
      <c r="H9" s="517">
        <v>6555</v>
      </c>
      <c r="I9" s="517">
        <f t="shared" si="2"/>
        <v>0</v>
      </c>
      <c r="J9" s="495">
        <v>0.29166666666666669</v>
      </c>
      <c r="L9" s="99">
        <f t="shared" si="0"/>
        <v>44108</v>
      </c>
      <c r="M9" s="3">
        <f t="shared" ref="M9:M36" si="3">M8</f>
        <v>6555</v>
      </c>
      <c r="N9" s="517">
        <v>487</v>
      </c>
      <c r="O9" s="517">
        <f t="shared" si="1"/>
        <v>7042</v>
      </c>
    </row>
    <row r="10" spans="1:18" ht="15.75" thickBot="1">
      <c r="A10" s="242">
        <f>ELEC!C7</f>
        <v>44109</v>
      </c>
      <c r="B10" s="546"/>
      <c r="C10" s="546"/>
      <c r="D10" s="546"/>
      <c r="E10" s="546"/>
      <c r="F10" s="546"/>
      <c r="G10" s="546"/>
      <c r="H10" s="517">
        <v>6555</v>
      </c>
      <c r="I10" s="517">
        <f t="shared" si="2"/>
        <v>0</v>
      </c>
      <c r="J10" s="495">
        <v>0.29166666666666669</v>
      </c>
      <c r="L10" s="99">
        <f t="shared" si="0"/>
        <v>44109</v>
      </c>
      <c r="M10" s="3">
        <f t="shared" si="3"/>
        <v>6555</v>
      </c>
      <c r="N10" s="517">
        <v>487</v>
      </c>
      <c r="O10" s="517">
        <f t="shared" si="1"/>
        <v>7042</v>
      </c>
    </row>
    <row r="11" spans="1:18" ht="15.75" thickBot="1">
      <c r="A11" s="242">
        <f>ELEC!C8</f>
        <v>44110</v>
      </c>
      <c r="B11" s="546"/>
      <c r="C11" s="546"/>
      <c r="D11" s="546"/>
      <c r="E11" s="546"/>
      <c r="F11" s="546"/>
      <c r="G11" s="546"/>
      <c r="H11" s="517">
        <v>6555</v>
      </c>
      <c r="I11" s="517">
        <f t="shared" si="2"/>
        <v>0</v>
      </c>
      <c r="J11" s="495">
        <v>0.29166666666666669</v>
      </c>
      <c r="L11" s="99">
        <f t="shared" si="0"/>
        <v>44110</v>
      </c>
      <c r="M11" s="3">
        <f t="shared" si="3"/>
        <v>6555</v>
      </c>
      <c r="N11" s="517">
        <v>487</v>
      </c>
      <c r="O11" s="517">
        <f t="shared" si="1"/>
        <v>7042</v>
      </c>
    </row>
    <row r="12" spans="1:18" ht="16.5" thickBot="1">
      <c r="A12" s="242">
        <f>ELEC!C9</f>
        <v>44111</v>
      </c>
      <c r="B12" s="546"/>
      <c r="C12" s="546"/>
      <c r="D12" s="546"/>
      <c r="E12" s="546"/>
      <c r="F12" s="546"/>
      <c r="G12" s="546"/>
      <c r="H12" s="517">
        <v>6555</v>
      </c>
      <c r="I12" s="517">
        <f t="shared" si="2"/>
        <v>0</v>
      </c>
      <c r="J12" s="495">
        <v>0.29166666666666669</v>
      </c>
      <c r="L12" s="99">
        <f t="shared" si="0"/>
        <v>44111</v>
      </c>
      <c r="M12" s="3">
        <f t="shared" si="3"/>
        <v>6555</v>
      </c>
      <c r="N12" s="517">
        <v>487</v>
      </c>
      <c r="O12" s="517">
        <f t="shared" si="1"/>
        <v>7042</v>
      </c>
      <c r="P12" s="444"/>
      <c r="Q12" s="362"/>
      <c r="R12" s="362"/>
    </row>
    <row r="13" spans="1:18" ht="15.75" thickBot="1">
      <c r="A13" s="242">
        <f>ELEC!C10</f>
        <v>44112</v>
      </c>
      <c r="B13" s="546"/>
      <c r="C13" s="546"/>
      <c r="D13" s="546"/>
      <c r="E13" s="546"/>
      <c r="F13" s="546"/>
      <c r="G13" s="546"/>
      <c r="H13" s="517">
        <v>6555</v>
      </c>
      <c r="I13" s="517">
        <f t="shared" si="2"/>
        <v>0</v>
      </c>
      <c r="J13" s="495">
        <v>0.29166666666666669</v>
      </c>
      <c r="L13" s="99">
        <f t="shared" si="0"/>
        <v>44112</v>
      </c>
      <c r="M13" s="3">
        <f t="shared" si="3"/>
        <v>6555</v>
      </c>
      <c r="N13" s="517">
        <v>487</v>
      </c>
      <c r="O13" s="517">
        <f t="shared" si="1"/>
        <v>7042</v>
      </c>
    </row>
    <row r="14" spans="1:18" ht="15.75" thickBot="1">
      <c r="A14" s="242">
        <f>ELEC!C11</f>
        <v>44113</v>
      </c>
      <c r="B14" s="546"/>
      <c r="C14" s="546"/>
      <c r="D14" s="546"/>
      <c r="E14" s="546"/>
      <c r="F14" s="546"/>
      <c r="G14" s="546"/>
      <c r="H14" s="517">
        <v>6555</v>
      </c>
      <c r="I14" s="517">
        <f t="shared" si="2"/>
        <v>0</v>
      </c>
      <c r="J14" s="495">
        <v>0.29166666666666669</v>
      </c>
      <c r="L14" s="99">
        <f t="shared" si="0"/>
        <v>44113</v>
      </c>
      <c r="M14" s="3">
        <f t="shared" si="3"/>
        <v>6555</v>
      </c>
      <c r="N14" s="517">
        <v>487</v>
      </c>
      <c r="O14" s="517">
        <f t="shared" si="1"/>
        <v>7042</v>
      </c>
    </row>
    <row r="15" spans="1:18" ht="15.75" thickBot="1">
      <c r="A15" s="242">
        <f>ELEC!C12</f>
        <v>44114</v>
      </c>
      <c r="B15" s="546"/>
      <c r="C15" s="546"/>
      <c r="D15" s="546"/>
      <c r="E15" s="546"/>
      <c r="F15" s="546"/>
      <c r="G15" s="546"/>
      <c r="H15" s="517">
        <v>6555</v>
      </c>
      <c r="I15" s="517">
        <f t="shared" si="2"/>
        <v>0</v>
      </c>
      <c r="J15" s="495">
        <v>0.29166666666666669</v>
      </c>
      <c r="L15" s="99">
        <f t="shared" si="0"/>
        <v>44114</v>
      </c>
      <c r="M15" s="3">
        <f t="shared" si="3"/>
        <v>6555</v>
      </c>
      <c r="N15" s="517">
        <v>487</v>
      </c>
      <c r="O15" s="517">
        <f t="shared" si="1"/>
        <v>7042</v>
      </c>
    </row>
    <row r="16" spans="1:18" ht="15.75" thickBot="1">
      <c r="A16" s="242">
        <f>ELEC!C13</f>
        <v>44115</v>
      </c>
      <c r="B16" s="546"/>
      <c r="C16" s="546"/>
      <c r="D16" s="546"/>
      <c r="E16" s="546"/>
      <c r="F16" s="546"/>
      <c r="G16" s="546"/>
      <c r="H16" s="517">
        <v>6555</v>
      </c>
      <c r="I16" s="517">
        <f t="shared" si="2"/>
        <v>0</v>
      </c>
      <c r="J16" s="495">
        <v>0.29166666666666669</v>
      </c>
      <c r="L16" s="99">
        <f t="shared" si="0"/>
        <v>44115</v>
      </c>
      <c r="M16" s="3">
        <f t="shared" si="3"/>
        <v>6555</v>
      </c>
      <c r="N16" s="517">
        <v>487</v>
      </c>
      <c r="O16" s="517">
        <f t="shared" si="1"/>
        <v>7042</v>
      </c>
    </row>
    <row r="17" spans="1:17" ht="15.75" thickBot="1">
      <c r="A17" s="242">
        <f>ELEC!C14</f>
        <v>44116</v>
      </c>
      <c r="B17" s="546"/>
      <c r="C17" s="546"/>
      <c r="D17" s="546"/>
      <c r="E17" s="546"/>
      <c r="F17" s="546"/>
      <c r="G17" s="546"/>
      <c r="H17" s="517">
        <v>6555</v>
      </c>
      <c r="I17" s="517">
        <f t="shared" si="2"/>
        <v>0</v>
      </c>
      <c r="J17" s="495">
        <v>0.29166666666666669</v>
      </c>
      <c r="L17" s="99">
        <f t="shared" si="0"/>
        <v>44116</v>
      </c>
      <c r="M17" s="3">
        <f t="shared" si="3"/>
        <v>6555</v>
      </c>
      <c r="N17" s="517">
        <v>487</v>
      </c>
      <c r="O17" s="517">
        <f t="shared" si="1"/>
        <v>7042</v>
      </c>
    </row>
    <row r="18" spans="1:17" ht="15.75" thickBot="1">
      <c r="A18" s="242">
        <f>ELEC!C15</f>
        <v>44117</v>
      </c>
      <c r="B18" s="546"/>
      <c r="C18" s="546"/>
      <c r="D18" s="546"/>
      <c r="E18" s="546"/>
      <c r="F18" s="546"/>
      <c r="G18" s="546"/>
      <c r="H18" s="517">
        <v>6555</v>
      </c>
      <c r="I18" s="517">
        <f t="shared" si="2"/>
        <v>0</v>
      </c>
      <c r="J18" s="495">
        <v>0.29166666666666669</v>
      </c>
      <c r="L18" s="99">
        <f t="shared" si="0"/>
        <v>44117</v>
      </c>
      <c r="M18" s="3">
        <f t="shared" si="3"/>
        <v>6555</v>
      </c>
      <c r="N18" s="517">
        <v>487</v>
      </c>
      <c r="O18" s="517">
        <f t="shared" si="1"/>
        <v>7042</v>
      </c>
    </row>
    <row r="19" spans="1:17" ht="15.75" thickBot="1">
      <c r="A19" s="242">
        <f>ELEC!C16</f>
        <v>44118</v>
      </c>
      <c r="B19" s="546"/>
      <c r="C19" s="546"/>
      <c r="D19" s="546"/>
      <c r="E19" s="546"/>
      <c r="F19" s="546"/>
      <c r="G19" s="546"/>
      <c r="H19" s="517">
        <v>6555</v>
      </c>
      <c r="I19" s="517">
        <f t="shared" si="2"/>
        <v>0</v>
      </c>
      <c r="J19" s="495">
        <v>0.29166666666666669</v>
      </c>
      <c r="L19" s="99">
        <f t="shared" si="0"/>
        <v>44118</v>
      </c>
      <c r="M19" s="3">
        <f t="shared" si="3"/>
        <v>6555</v>
      </c>
      <c r="N19" s="517">
        <v>487</v>
      </c>
      <c r="O19" s="517">
        <f t="shared" si="1"/>
        <v>7042</v>
      </c>
    </row>
    <row r="20" spans="1:17" ht="15.75" thickBot="1">
      <c r="A20" s="242">
        <f>ELEC!C17</f>
        <v>44119</v>
      </c>
      <c r="B20" s="546"/>
      <c r="C20" s="546"/>
      <c r="D20" s="546"/>
      <c r="E20" s="546"/>
      <c r="F20" s="546"/>
      <c r="G20" s="546"/>
      <c r="H20" s="517">
        <v>6555</v>
      </c>
      <c r="I20" s="517">
        <f t="shared" si="2"/>
        <v>0</v>
      </c>
      <c r="J20" s="495">
        <v>0.29166666666666669</v>
      </c>
      <c r="L20" s="99">
        <f t="shared" si="0"/>
        <v>44119</v>
      </c>
      <c r="M20" s="3">
        <f t="shared" si="3"/>
        <v>6555</v>
      </c>
      <c r="N20" s="517">
        <v>487</v>
      </c>
      <c r="O20" s="517">
        <f t="shared" si="1"/>
        <v>7042</v>
      </c>
    </row>
    <row r="21" spans="1:17" ht="15.75" thickBot="1">
      <c r="A21" s="242">
        <f>ELEC!C18</f>
        <v>44120</v>
      </c>
      <c r="B21" s="546"/>
      <c r="C21" s="546"/>
      <c r="D21" s="546"/>
      <c r="E21" s="546"/>
      <c r="F21" s="546"/>
      <c r="G21" s="546"/>
      <c r="H21" s="517">
        <v>6555</v>
      </c>
      <c r="I21" s="517">
        <f t="shared" si="2"/>
        <v>0</v>
      </c>
      <c r="J21" s="495">
        <v>0.29166666666666669</v>
      </c>
      <c r="L21" s="99">
        <f t="shared" si="0"/>
        <v>44120</v>
      </c>
      <c r="M21" s="3">
        <f t="shared" si="3"/>
        <v>6555</v>
      </c>
      <c r="N21" s="517">
        <v>487</v>
      </c>
      <c r="O21" s="517">
        <f t="shared" si="1"/>
        <v>7042</v>
      </c>
    </row>
    <row r="22" spans="1:17" ht="15.75" thickBot="1">
      <c r="A22" s="242">
        <f>ELEC!C19</f>
        <v>44121</v>
      </c>
      <c r="B22" s="546"/>
      <c r="C22" s="546"/>
      <c r="D22" s="546"/>
      <c r="E22" s="546"/>
      <c r="F22" s="546"/>
      <c r="G22" s="546"/>
      <c r="H22" s="517">
        <v>6555</v>
      </c>
      <c r="I22" s="517">
        <f t="shared" si="2"/>
        <v>0</v>
      </c>
      <c r="J22" s="495">
        <v>0.29166666666666669</v>
      </c>
      <c r="L22" s="99">
        <f t="shared" si="0"/>
        <v>44121</v>
      </c>
      <c r="M22" s="3">
        <f t="shared" si="3"/>
        <v>6555</v>
      </c>
      <c r="N22" s="517">
        <v>487</v>
      </c>
      <c r="O22" s="517">
        <f t="shared" si="1"/>
        <v>7042</v>
      </c>
    </row>
    <row r="23" spans="1:17" ht="15.75" thickBot="1">
      <c r="A23" s="242">
        <f>ELEC!C20</f>
        <v>44122</v>
      </c>
      <c r="B23" s="546"/>
      <c r="C23" s="546"/>
      <c r="D23" s="546"/>
      <c r="E23" s="546"/>
      <c r="F23" s="546"/>
      <c r="G23" s="546"/>
      <c r="H23" s="517">
        <v>6555</v>
      </c>
      <c r="I23" s="517">
        <f t="shared" si="2"/>
        <v>0</v>
      </c>
      <c r="J23" s="495">
        <v>0.29166666666666669</v>
      </c>
      <c r="L23" s="99">
        <f t="shared" si="0"/>
        <v>44122</v>
      </c>
      <c r="M23" s="3">
        <f t="shared" si="3"/>
        <v>6555</v>
      </c>
      <c r="N23" s="517">
        <v>487</v>
      </c>
      <c r="O23" s="517">
        <f t="shared" si="1"/>
        <v>7042</v>
      </c>
    </row>
    <row r="24" spans="1:17" ht="15.75" thickBot="1">
      <c r="A24" s="242">
        <f>ELEC!C21</f>
        <v>44123</v>
      </c>
      <c r="B24" s="546"/>
      <c r="C24" s="546"/>
      <c r="D24" s="546"/>
      <c r="E24" s="546"/>
      <c r="F24" s="546"/>
      <c r="G24" s="546"/>
      <c r="H24" s="517">
        <v>6555</v>
      </c>
      <c r="I24" s="517">
        <f t="shared" si="2"/>
        <v>0</v>
      </c>
      <c r="J24" s="495">
        <v>0.29166666666666702</v>
      </c>
      <c r="L24" s="99">
        <f t="shared" si="0"/>
        <v>44123</v>
      </c>
      <c r="M24" s="3">
        <f t="shared" si="3"/>
        <v>6555</v>
      </c>
      <c r="N24" s="517">
        <v>487</v>
      </c>
      <c r="O24" s="517">
        <f t="shared" si="1"/>
        <v>7042</v>
      </c>
    </row>
    <row r="25" spans="1:17" ht="15.75" thickBot="1">
      <c r="A25" s="242">
        <f>ELEC!C22</f>
        <v>44124</v>
      </c>
      <c r="B25" s="546"/>
      <c r="C25" s="546"/>
      <c r="D25" s="546"/>
      <c r="E25" s="546"/>
      <c r="F25" s="546"/>
      <c r="G25" s="546"/>
      <c r="H25" s="517">
        <v>6555</v>
      </c>
      <c r="I25" s="517">
        <f t="shared" si="2"/>
        <v>0</v>
      </c>
      <c r="J25" s="495">
        <v>0.29166666666666702</v>
      </c>
      <c r="L25" s="99">
        <f t="shared" si="0"/>
        <v>44124</v>
      </c>
      <c r="M25" s="3">
        <f t="shared" si="3"/>
        <v>6555</v>
      </c>
      <c r="N25" s="517">
        <v>487</v>
      </c>
      <c r="O25" s="517">
        <f t="shared" si="1"/>
        <v>7042</v>
      </c>
    </row>
    <row r="26" spans="1:17" ht="15.75" thickBot="1">
      <c r="A26" s="242">
        <f>ELEC!C23</f>
        <v>44125</v>
      </c>
      <c r="B26" s="546"/>
      <c r="C26" s="546"/>
      <c r="D26" s="546"/>
      <c r="E26" s="546"/>
      <c r="F26" s="546"/>
      <c r="G26" s="546"/>
      <c r="H26" s="517">
        <v>6555</v>
      </c>
      <c r="I26" s="517">
        <f t="shared" si="2"/>
        <v>0</v>
      </c>
      <c r="J26" s="495">
        <v>0.29166666666666702</v>
      </c>
      <c r="L26" s="99">
        <f t="shared" si="0"/>
        <v>44125</v>
      </c>
      <c r="M26" s="3">
        <f t="shared" si="3"/>
        <v>6555</v>
      </c>
      <c r="N26" s="517">
        <v>487</v>
      </c>
      <c r="O26" s="517">
        <f t="shared" si="1"/>
        <v>7042</v>
      </c>
    </row>
    <row r="27" spans="1:17" ht="15.75" thickBot="1">
      <c r="A27" s="242">
        <f>ELEC!C24</f>
        <v>44126</v>
      </c>
      <c r="B27" s="546"/>
      <c r="C27" s="546"/>
      <c r="D27" s="546"/>
      <c r="E27" s="546"/>
      <c r="F27" s="546"/>
      <c r="G27" s="546"/>
      <c r="H27" s="517">
        <v>6555</v>
      </c>
      <c r="I27" s="517">
        <f t="shared" si="2"/>
        <v>0</v>
      </c>
      <c r="J27" s="495">
        <v>0.29166666666666702</v>
      </c>
      <c r="L27" s="99">
        <f t="shared" si="0"/>
        <v>44126</v>
      </c>
      <c r="M27" s="3">
        <f t="shared" si="3"/>
        <v>6555</v>
      </c>
      <c r="N27" s="3">
        <v>642</v>
      </c>
      <c r="O27" s="517">
        <f t="shared" si="1"/>
        <v>7197</v>
      </c>
    </row>
    <row r="28" spans="1:17" ht="15.75" thickBot="1">
      <c r="A28" s="242">
        <f>ELEC!C25</f>
        <v>44127</v>
      </c>
      <c r="B28" s="546"/>
      <c r="C28" s="546"/>
      <c r="D28" s="546"/>
      <c r="E28" s="546"/>
      <c r="F28" s="546"/>
      <c r="G28" s="546"/>
      <c r="H28" s="517">
        <v>6555</v>
      </c>
      <c r="I28" s="517">
        <f t="shared" si="2"/>
        <v>0</v>
      </c>
      <c r="J28" s="496">
        <v>0.29166666666666702</v>
      </c>
      <c r="L28" s="99">
        <f t="shared" si="0"/>
        <v>44127</v>
      </c>
      <c r="M28" s="3">
        <f t="shared" si="3"/>
        <v>6555</v>
      </c>
      <c r="N28" s="3">
        <v>642</v>
      </c>
      <c r="O28" s="517">
        <f t="shared" si="1"/>
        <v>7197</v>
      </c>
    </row>
    <row r="29" spans="1:17" ht="15.75" thickBot="1">
      <c r="A29" s="242">
        <f>ELEC!C26</f>
        <v>44128</v>
      </c>
      <c r="B29" s="546"/>
      <c r="C29" s="546"/>
      <c r="D29" s="546"/>
      <c r="E29" s="546"/>
      <c r="F29" s="546"/>
      <c r="G29" s="546"/>
      <c r="H29" s="517">
        <v>6555</v>
      </c>
      <c r="I29" s="517">
        <f t="shared" si="2"/>
        <v>0</v>
      </c>
      <c r="J29" s="495">
        <v>0.29166666666666702</v>
      </c>
      <c r="L29" s="99">
        <f t="shared" si="0"/>
        <v>44128</v>
      </c>
      <c r="M29" s="3">
        <f t="shared" si="3"/>
        <v>6555</v>
      </c>
      <c r="N29" s="3">
        <v>642</v>
      </c>
      <c r="O29" s="517">
        <f t="shared" si="1"/>
        <v>7197</v>
      </c>
    </row>
    <row r="30" spans="1:17" ht="15.75" thickBot="1">
      <c r="A30" s="242">
        <f>ELEC!C27</f>
        <v>44129</v>
      </c>
      <c r="B30" s="517"/>
      <c r="C30" s="517"/>
      <c r="D30" s="170"/>
      <c r="E30" s="170"/>
      <c r="F30" s="170"/>
      <c r="G30" s="170"/>
      <c r="H30" s="517">
        <v>6555</v>
      </c>
      <c r="I30" s="517">
        <f t="shared" si="2"/>
        <v>0</v>
      </c>
      <c r="J30" s="495">
        <v>0.29166666666666702</v>
      </c>
      <c r="L30" s="99">
        <f t="shared" si="0"/>
        <v>44129</v>
      </c>
      <c r="M30" s="3">
        <f t="shared" si="3"/>
        <v>6555</v>
      </c>
      <c r="N30" s="3">
        <v>642</v>
      </c>
      <c r="O30" s="517">
        <f t="shared" si="1"/>
        <v>7197</v>
      </c>
    </row>
    <row r="31" spans="1:17" ht="15.75" thickBot="1">
      <c r="A31" s="242">
        <f>ELEC!C28</f>
        <v>44130</v>
      </c>
      <c r="B31" s="256"/>
      <c r="C31" s="548"/>
      <c r="D31" s="170"/>
      <c r="E31" s="170"/>
      <c r="F31" s="170"/>
      <c r="G31" s="170"/>
      <c r="H31" s="517">
        <v>6555</v>
      </c>
      <c r="I31" s="517">
        <f t="shared" si="2"/>
        <v>0</v>
      </c>
      <c r="J31" s="495">
        <v>0.29166666666666702</v>
      </c>
      <c r="L31" s="99">
        <f t="shared" si="0"/>
        <v>44130</v>
      </c>
      <c r="M31" s="3">
        <f t="shared" si="3"/>
        <v>6555</v>
      </c>
      <c r="N31" s="3">
        <v>642</v>
      </c>
      <c r="O31" s="517">
        <f t="shared" si="1"/>
        <v>7197</v>
      </c>
    </row>
    <row r="32" spans="1:17" ht="15.75" thickBot="1">
      <c r="A32" s="242">
        <f>ELEC!C29</f>
        <v>44131</v>
      </c>
      <c r="B32" s="517"/>
      <c r="C32" s="517"/>
      <c r="D32" s="517"/>
      <c r="E32" s="517"/>
      <c r="F32" s="517"/>
      <c r="G32" s="517"/>
      <c r="H32" s="517">
        <v>6555</v>
      </c>
      <c r="I32" s="517">
        <f t="shared" si="2"/>
        <v>0</v>
      </c>
      <c r="J32" s="495">
        <v>0.29166666666666702</v>
      </c>
      <c r="L32" s="99">
        <f t="shared" si="0"/>
        <v>44131</v>
      </c>
      <c r="M32" s="3">
        <f t="shared" si="3"/>
        <v>6555</v>
      </c>
      <c r="N32" s="3">
        <v>642</v>
      </c>
      <c r="O32" s="517">
        <f t="shared" si="1"/>
        <v>7197</v>
      </c>
    </row>
    <row r="33" spans="1:15" ht="15.75" thickBot="1">
      <c r="A33" s="242">
        <f>ELEC!C30</f>
        <v>44132</v>
      </c>
      <c r="B33" s="517"/>
      <c r="C33" s="517"/>
      <c r="D33" s="517"/>
      <c r="E33" s="517"/>
      <c r="F33" s="517"/>
      <c r="G33" s="517"/>
      <c r="H33" s="517">
        <v>6555</v>
      </c>
      <c r="I33" s="517">
        <f t="shared" si="2"/>
        <v>0</v>
      </c>
      <c r="J33" s="495">
        <v>0.29166666666666702</v>
      </c>
      <c r="L33" s="99">
        <f t="shared" si="0"/>
        <v>44132</v>
      </c>
      <c r="M33" s="3">
        <f t="shared" si="3"/>
        <v>6555</v>
      </c>
      <c r="N33" s="3">
        <v>642</v>
      </c>
      <c r="O33" s="517">
        <f t="shared" si="1"/>
        <v>7197</v>
      </c>
    </row>
    <row r="34" spans="1:15" ht="15.75" thickBot="1">
      <c r="A34" s="242">
        <f>ELEC!C31</f>
        <v>44133</v>
      </c>
      <c r="B34" s="517"/>
      <c r="C34" s="517"/>
      <c r="D34" s="517"/>
      <c r="E34" s="517"/>
      <c r="F34" s="517"/>
      <c r="G34" s="517"/>
      <c r="H34" s="517">
        <v>6555</v>
      </c>
      <c r="I34" s="517">
        <f t="shared" si="2"/>
        <v>0</v>
      </c>
      <c r="J34" s="495">
        <v>0.29166666666666702</v>
      </c>
      <c r="L34" s="99">
        <f t="shared" si="0"/>
        <v>44133</v>
      </c>
      <c r="M34" s="3">
        <f t="shared" si="3"/>
        <v>6555</v>
      </c>
      <c r="N34" s="3">
        <v>642</v>
      </c>
      <c r="O34" s="517">
        <f t="shared" si="1"/>
        <v>7197</v>
      </c>
    </row>
    <row r="35" spans="1:15" ht="15.75" thickBot="1">
      <c r="A35" s="412">
        <f>ELEC!C32</f>
        <v>44134</v>
      </c>
      <c r="B35" s="517"/>
      <c r="C35" s="517"/>
      <c r="D35" s="517"/>
      <c r="E35" s="517"/>
      <c r="F35" s="517"/>
      <c r="G35" s="517"/>
      <c r="H35" s="517">
        <v>6555</v>
      </c>
      <c r="I35" s="517">
        <f t="shared" si="2"/>
        <v>0</v>
      </c>
      <c r="J35" s="497">
        <v>0.29166666666666702</v>
      </c>
      <c r="L35" s="99">
        <f t="shared" si="0"/>
        <v>44134</v>
      </c>
      <c r="M35" s="3">
        <f t="shared" si="3"/>
        <v>6555</v>
      </c>
      <c r="N35" s="3">
        <v>642</v>
      </c>
      <c r="O35" s="517">
        <f t="shared" si="1"/>
        <v>7197</v>
      </c>
    </row>
    <row r="36" spans="1:15">
      <c r="A36" s="412">
        <f>ELEC!C33</f>
        <v>44135</v>
      </c>
      <c r="B36" s="517"/>
      <c r="C36" s="517"/>
      <c r="D36" s="517"/>
      <c r="E36" s="517"/>
      <c r="F36" s="517"/>
      <c r="G36" s="517"/>
      <c r="H36" s="517">
        <v>6555</v>
      </c>
      <c r="I36" s="517">
        <f t="shared" ref="I36" si="4">H36-H35</f>
        <v>0</v>
      </c>
      <c r="J36" s="497">
        <v>0.29166666666666702</v>
      </c>
      <c r="L36" s="99">
        <f t="shared" ref="L36" si="5">A36</f>
        <v>44135</v>
      </c>
      <c r="M36" s="3">
        <f t="shared" si="3"/>
        <v>6555</v>
      </c>
      <c r="N36" s="3">
        <v>642</v>
      </c>
      <c r="O36" s="517">
        <f t="shared" ref="O36" si="6">M36+N36</f>
        <v>7197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F81"/>
  <sheetViews>
    <sheetView zoomScale="80" zoomScaleNormal="80" workbookViewId="0">
      <selection activeCell="Y8" sqref="Y8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6" bestFit="1" customWidth="1"/>
    <col min="20" max="20" width="10.28515625" style="340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1"/>
      <c r="T1" s="338"/>
    </row>
    <row r="2" spans="1:30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364</v>
      </c>
      <c r="M2" s="164" t="s">
        <v>365</v>
      </c>
      <c r="N2" s="164" t="s">
        <v>366</v>
      </c>
      <c r="O2" s="164" t="s">
        <v>367</v>
      </c>
      <c r="P2" s="164" t="s">
        <v>368</v>
      </c>
      <c r="Q2" s="164" t="s">
        <v>369</v>
      </c>
      <c r="R2" s="164" t="s">
        <v>370</v>
      </c>
      <c r="S2" s="301"/>
      <c r="T2" s="338"/>
    </row>
    <row r="3" spans="1:30" ht="15.75" thickBot="1">
      <c r="A3" s="163">
        <f>ELEC!C2</f>
        <v>44104</v>
      </c>
      <c r="B3" s="266">
        <f>'[2]EDl log'!B33</f>
        <v>469756</v>
      </c>
      <c r="C3" s="266">
        <f>'[2]EDl log'!C33</f>
        <v>4253</v>
      </c>
      <c r="D3" s="266">
        <f>'[2]EDl log'!D33</f>
        <v>4254</v>
      </c>
      <c r="E3" s="266">
        <f>'[2]EDl log'!E33</f>
        <v>469757</v>
      </c>
      <c r="F3" s="266">
        <f>'[2]EDl log'!F33</f>
        <v>63298</v>
      </c>
      <c r="G3" s="266">
        <f>'[2]EDl log'!G33</f>
        <v>695</v>
      </c>
      <c r="H3" s="266">
        <f>'[2]EDl log'!H33</f>
        <v>242131</v>
      </c>
      <c r="I3" s="266">
        <f>'[2]EDl log'!I33</f>
        <v>1832</v>
      </c>
      <c r="J3" s="266">
        <f>'[2]EDl log'!J33</f>
        <v>164328</v>
      </c>
      <c r="K3" s="266">
        <f>'[2]EDl log'!K33</f>
        <v>1727</v>
      </c>
      <c r="L3" s="266">
        <f>'[2]EDl log'!L33</f>
        <v>147.5290215588723</v>
      </c>
      <c r="M3" s="266">
        <f>'[2]EDl log'!M33</f>
        <v>136.10878938640133</v>
      </c>
      <c r="N3" s="266">
        <f>'[2]EDl log'!N33</f>
        <v>91.64842454394693</v>
      </c>
      <c r="O3" s="266">
        <f>'[2]EDl log'!O33</f>
        <v>159.96313985627418</v>
      </c>
      <c r="P3" s="266">
        <f>'[2]EDl log'!P33</f>
        <v>535.24937534549474</v>
      </c>
      <c r="Q3" s="266">
        <f>'[2]EDl log'!Q33</f>
        <v>656.55793978494864</v>
      </c>
      <c r="R3" s="266">
        <f>'[2]EDl log'!R33</f>
        <v>1191.8073151304434</v>
      </c>
      <c r="S3" s="266">
        <f>'[2]EDl log'!S33</f>
        <v>11854</v>
      </c>
      <c r="T3" s="266">
        <f>'[2]EDl log'!T33</f>
        <v>0.100540519245018</v>
      </c>
      <c r="Z3" t="s">
        <v>214</v>
      </c>
      <c r="AA3">
        <v>0.1</v>
      </c>
    </row>
    <row r="4" spans="1:30" ht="15.75" thickBot="1">
      <c r="A4" s="163">
        <f>ELEC!C3</f>
        <v>44105</v>
      </c>
      <c r="B4" s="559">
        <v>474142</v>
      </c>
      <c r="C4" s="266">
        <f t="shared" ref="C4:C33" si="0">SUM(B4-B3)</f>
        <v>4386</v>
      </c>
      <c r="D4" s="311">
        <f>SUM(G4+I4+K4)</f>
        <v>4379</v>
      </c>
      <c r="E4" s="311">
        <f>B3+D4</f>
        <v>474135</v>
      </c>
      <c r="F4" s="608">
        <v>63931</v>
      </c>
      <c r="G4" s="160">
        <f t="shared" ref="G4:G32" si="1">F4-F3</f>
        <v>633</v>
      </c>
      <c r="H4" s="559">
        <v>244754</v>
      </c>
      <c r="I4" s="161">
        <f t="shared" ref="I4:I33" si="2">H4-H3</f>
        <v>2623</v>
      </c>
      <c r="J4" s="559">
        <v>165451</v>
      </c>
      <c r="K4" s="162">
        <f t="shared" ref="K4:K33" si="3">J4-J3</f>
        <v>1123</v>
      </c>
      <c r="L4" s="299">
        <f t="shared" ref="L4:L13" si="4">SUM(G4*$Y$28)/1507.5</f>
        <v>134.3681592039801</v>
      </c>
      <c r="M4" s="299">
        <f t="shared" ref="M4:M13" si="5">SUM(I4*$Y$27)/1507.5</f>
        <v>194.87628524046434</v>
      </c>
      <c r="N4" s="299">
        <f t="shared" ref="N4:N13" si="6">SUM(K4*$Y$26)/1507.5</f>
        <v>59.595356550580433</v>
      </c>
      <c r="O4" s="299">
        <f t="shared" ref="O4:O34" si="7">($AC$31/$A$38)/1507.5</f>
        <v>24.968232027514183</v>
      </c>
      <c r="P4" s="300">
        <f>SUM(L4:O4)</f>
        <v>413.80803302253906</v>
      </c>
      <c r="Q4" s="300">
        <f>SUM(-tanks!AX6*tanks!$AU$37)</f>
        <v>0</v>
      </c>
      <c r="R4" s="300">
        <f>SUM(P4:Q4)</f>
        <v>413.80803302253906</v>
      </c>
      <c r="S4" s="302">
        <f>SUM(ELEC!N3)</f>
        <v>10203</v>
      </c>
      <c r="T4" s="339">
        <f>IF(S4&gt;0,R4/S4,0)</f>
        <v>4.0557486329759786E-2</v>
      </c>
      <c r="U4" s="252"/>
      <c r="V4" s="253" t="str">
        <f>'[7]EDl log'!V21</f>
        <v xml:space="preserve">EDL </v>
      </c>
      <c r="W4" s="167">
        <v>44094</v>
      </c>
      <c r="X4" s="169"/>
      <c r="Y4" s="169"/>
      <c r="Z4" s="169" t="s">
        <v>202</v>
      </c>
      <c r="AA4" s="169"/>
      <c r="AB4" s="681"/>
      <c r="AC4" s="682"/>
    </row>
    <row r="5" spans="1:30" ht="15.75" thickBot="1">
      <c r="A5" s="163">
        <f>ELEC!C4</f>
        <v>44106</v>
      </c>
      <c r="B5" s="559">
        <v>479360</v>
      </c>
      <c r="C5" s="266">
        <f t="shared" si="0"/>
        <v>5218</v>
      </c>
      <c r="D5" s="311">
        <f t="shared" ref="D5:D33" si="8">SUM(G5+I5+K5)</f>
        <v>5225</v>
      </c>
      <c r="E5" s="311">
        <f>B4+D5</f>
        <v>479367</v>
      </c>
      <c r="F5" s="559">
        <v>64751</v>
      </c>
      <c r="G5" s="160">
        <f t="shared" si="1"/>
        <v>820</v>
      </c>
      <c r="H5" s="559">
        <v>247413</v>
      </c>
      <c r="I5" s="161">
        <f t="shared" si="2"/>
        <v>2659</v>
      </c>
      <c r="J5" s="559">
        <v>167197</v>
      </c>
      <c r="K5" s="162">
        <f t="shared" si="3"/>
        <v>1746</v>
      </c>
      <c r="L5" s="299">
        <f t="shared" si="4"/>
        <v>174.06301824212272</v>
      </c>
      <c r="M5" s="299">
        <f t="shared" si="5"/>
        <v>197.550912106136</v>
      </c>
      <c r="N5" s="299">
        <f t="shared" si="6"/>
        <v>92.656716417910445</v>
      </c>
      <c r="O5" s="299">
        <f t="shared" si="7"/>
        <v>24.968232027514183</v>
      </c>
      <c r="P5" s="300">
        <f t="shared" ref="P5:P32" si="9">SUM(L5:O5)</f>
        <v>489.23887879368334</v>
      </c>
      <c r="Q5" s="300">
        <f>SUM(-tanks!AX7*tanks!$AU$37)</f>
        <v>0</v>
      </c>
      <c r="R5" s="300">
        <f t="shared" ref="R5:R32" si="10">SUM(P5:Q5)</f>
        <v>489.23887879368334</v>
      </c>
      <c r="S5" s="302">
        <f>SUM(ELEC!N4)</f>
        <v>10041</v>
      </c>
      <c r="T5" s="339">
        <f>IF(S5&gt;0,R5/S5,0)</f>
        <v>4.8724118991503168E-2</v>
      </c>
      <c r="U5" s="252"/>
      <c r="V5" s="675"/>
      <c r="W5" s="676"/>
      <c r="X5" s="676"/>
      <c r="Y5" s="677"/>
      <c r="Z5" s="26" t="s">
        <v>203</v>
      </c>
      <c r="AA5" s="266">
        <f>'[6]EDl log'!AA22</f>
        <v>5000</v>
      </c>
      <c r="AB5" s="683"/>
      <c r="AC5" s="684"/>
    </row>
    <row r="6" spans="1:30" ht="15.75" thickBot="1">
      <c r="A6" s="163">
        <f>ELEC!C5</f>
        <v>44107</v>
      </c>
      <c r="B6" s="559">
        <v>483076</v>
      </c>
      <c r="C6" s="266">
        <f t="shared" si="0"/>
        <v>3716</v>
      </c>
      <c r="D6" s="311">
        <f t="shared" si="8"/>
        <v>3714</v>
      </c>
      <c r="E6" s="311">
        <f t="shared" ref="E6:E33" si="11">B5+D6</f>
        <v>483074</v>
      </c>
      <c r="F6" s="559">
        <v>65640</v>
      </c>
      <c r="G6" s="160">
        <f t="shared" si="1"/>
        <v>889</v>
      </c>
      <c r="H6" s="559">
        <v>249049</v>
      </c>
      <c r="I6" s="161">
        <f t="shared" si="2"/>
        <v>1636</v>
      </c>
      <c r="J6" s="559">
        <v>168386</v>
      </c>
      <c r="K6" s="162">
        <f t="shared" si="3"/>
        <v>1189</v>
      </c>
      <c r="L6" s="299">
        <f t="shared" si="4"/>
        <v>188.70978441127696</v>
      </c>
      <c r="M6" s="299">
        <f t="shared" si="5"/>
        <v>121.5469320066335</v>
      </c>
      <c r="N6" s="299">
        <f t="shared" si="6"/>
        <v>63.097844112769486</v>
      </c>
      <c r="O6" s="299">
        <f t="shared" si="7"/>
        <v>24.968232027514183</v>
      </c>
      <c r="P6" s="300">
        <f t="shared" si="9"/>
        <v>398.32279255819418</v>
      </c>
      <c r="Q6" s="300">
        <f>SUM(-tanks!AX8*tanks!$AU$37)</f>
        <v>0</v>
      </c>
      <c r="R6" s="300">
        <f t="shared" si="10"/>
        <v>398.32279255819418</v>
      </c>
      <c r="S6" s="302">
        <f>SUM(ELEC!N5)</f>
        <v>8684</v>
      </c>
      <c r="T6" s="339">
        <f t="shared" ref="T6:T32" si="12">IF(S6&gt;0,R6/S6,0)</f>
        <v>4.5868585048156864E-2</v>
      </c>
      <c r="V6" s="678"/>
      <c r="W6" s="679"/>
      <c r="X6" s="679"/>
      <c r="Y6" s="680"/>
      <c r="Z6" s="3"/>
      <c r="AA6" s="3"/>
      <c r="AB6" s="683"/>
      <c r="AC6" s="684"/>
    </row>
    <row r="7" spans="1:30" ht="15" customHeight="1" thickBot="1">
      <c r="A7" s="163">
        <f>ELEC!C6</f>
        <v>44108</v>
      </c>
      <c r="B7" s="559">
        <v>486458</v>
      </c>
      <c r="C7" s="266">
        <f t="shared" si="0"/>
        <v>3382</v>
      </c>
      <c r="D7" s="311">
        <f t="shared" si="8"/>
        <v>3384</v>
      </c>
      <c r="E7" s="311">
        <f t="shared" si="11"/>
        <v>486460</v>
      </c>
      <c r="F7" s="559">
        <v>66328</v>
      </c>
      <c r="G7" s="160">
        <f t="shared" si="1"/>
        <v>688</v>
      </c>
      <c r="H7" s="559">
        <v>250661</v>
      </c>
      <c r="I7" s="161">
        <f t="shared" si="2"/>
        <v>1612</v>
      </c>
      <c r="J7" s="559">
        <v>169470</v>
      </c>
      <c r="K7" s="162">
        <f t="shared" si="3"/>
        <v>1084</v>
      </c>
      <c r="L7" s="299">
        <f t="shared" si="4"/>
        <v>146.04311774461027</v>
      </c>
      <c r="M7" s="299">
        <f t="shared" si="5"/>
        <v>119.76384742951907</v>
      </c>
      <c r="N7" s="299">
        <f t="shared" si="6"/>
        <v>57.5257048092869</v>
      </c>
      <c r="O7" s="299">
        <f t="shared" si="7"/>
        <v>24.968232027514183</v>
      </c>
      <c r="P7" s="300">
        <f t="shared" si="9"/>
        <v>348.30090201093043</v>
      </c>
      <c r="Q7" s="300">
        <f>SUM(-tanks!AX9*tanks!$AU$37)</f>
        <v>0</v>
      </c>
      <c r="R7" s="300">
        <f t="shared" si="10"/>
        <v>348.30090201093043</v>
      </c>
      <c r="S7" s="302">
        <f>SUM(ELEC!N6)</f>
        <v>7992</v>
      </c>
      <c r="T7" s="339">
        <f t="shared" si="12"/>
        <v>4.3581193945311618E-2</v>
      </c>
      <c r="V7" s="671" t="s">
        <v>204</v>
      </c>
      <c r="W7" s="672"/>
      <c r="X7" s="673" t="s">
        <v>205</v>
      </c>
      <c r="Y7" s="674"/>
      <c r="Z7" s="672"/>
      <c r="AA7" s="26"/>
      <c r="AB7" s="685"/>
      <c r="AC7" s="686"/>
    </row>
    <row r="8" spans="1:30" ht="15.75" customHeight="1" thickBot="1">
      <c r="A8" s="163">
        <f>ELEC!C7</f>
        <v>44109</v>
      </c>
      <c r="B8" s="559">
        <v>490415</v>
      </c>
      <c r="C8" s="266">
        <f t="shared" si="0"/>
        <v>3957</v>
      </c>
      <c r="D8" s="311">
        <f t="shared" si="8"/>
        <v>3955</v>
      </c>
      <c r="E8" s="311">
        <f t="shared" si="11"/>
        <v>490413</v>
      </c>
      <c r="F8" s="559">
        <v>67070</v>
      </c>
      <c r="G8" s="160">
        <f t="shared" si="1"/>
        <v>742</v>
      </c>
      <c r="H8" s="559">
        <v>252839</v>
      </c>
      <c r="I8" s="161">
        <f t="shared" si="2"/>
        <v>2178</v>
      </c>
      <c r="J8" s="559">
        <v>170505</v>
      </c>
      <c r="K8" s="162">
        <f>J8-J7</f>
        <v>1035</v>
      </c>
      <c r="L8" s="299">
        <f t="shared" si="4"/>
        <v>157.50580431177445</v>
      </c>
      <c r="M8" s="299">
        <f t="shared" si="5"/>
        <v>161.81492537313432</v>
      </c>
      <c r="N8" s="299">
        <f t="shared" si="6"/>
        <v>54.92537313432836</v>
      </c>
      <c r="O8" s="299">
        <f t="shared" si="7"/>
        <v>24.968232027514183</v>
      </c>
      <c r="P8" s="300">
        <f t="shared" si="9"/>
        <v>399.21433484675134</v>
      </c>
      <c r="Q8" s="300">
        <f>SUM(-tanks!AX10*tanks!$AU$37)</f>
        <v>0</v>
      </c>
      <c r="R8" s="300">
        <f t="shared" si="10"/>
        <v>399.21433484675134</v>
      </c>
      <c r="S8" s="302">
        <f>SUM(ELEC!N7)</f>
        <v>9176</v>
      </c>
      <c r="T8" s="339">
        <f>IF(S8&gt;0,R8/S8,0)</f>
        <v>4.3506357328547442E-2</v>
      </c>
      <c r="V8" s="257" t="s">
        <v>206</v>
      </c>
      <c r="W8" s="258" t="s">
        <v>207</v>
      </c>
      <c r="X8" s="258"/>
      <c r="Y8" s="258" t="s">
        <v>208</v>
      </c>
      <c r="Z8" s="26" t="s">
        <v>209</v>
      </c>
      <c r="AA8" s="26" t="s">
        <v>210</v>
      </c>
      <c r="AB8" s="541" t="str">
        <f>'[8]EDl log'!AB25</f>
        <v>Total cost LL</v>
      </c>
      <c r="AC8" s="254" t="s">
        <v>212</v>
      </c>
    </row>
    <row r="9" spans="1:30" ht="15.75" thickBot="1">
      <c r="A9" s="163">
        <f>ELEC!C8</f>
        <v>44110</v>
      </c>
      <c r="B9" s="559">
        <f t="shared" ref="B9:B34" si="13">B8</f>
        <v>490415</v>
      </c>
      <c r="C9" s="266">
        <f t="shared" si="0"/>
        <v>0</v>
      </c>
      <c r="D9" s="311">
        <f t="shared" si="8"/>
        <v>0</v>
      </c>
      <c r="E9" s="311">
        <f t="shared" si="11"/>
        <v>490415</v>
      </c>
      <c r="F9" s="559">
        <f t="shared" ref="F9:F34" si="14">F8</f>
        <v>67070</v>
      </c>
      <c r="G9" s="160">
        <f t="shared" si="1"/>
        <v>0</v>
      </c>
      <c r="H9" s="559">
        <f t="shared" ref="H9:H34" si="15">H8</f>
        <v>252839</v>
      </c>
      <c r="I9" s="161">
        <f t="shared" si="2"/>
        <v>0</v>
      </c>
      <c r="J9" s="559">
        <f t="shared" ref="J9:J34" si="16">J8</f>
        <v>170505</v>
      </c>
      <c r="K9" s="162">
        <f>J9-J8</f>
        <v>0</v>
      </c>
      <c r="L9" s="299">
        <f t="shared" si="4"/>
        <v>0</v>
      </c>
      <c r="M9" s="299">
        <f t="shared" si="5"/>
        <v>0</v>
      </c>
      <c r="N9" s="299">
        <f t="shared" si="6"/>
        <v>0</v>
      </c>
      <c r="O9" s="299">
        <f t="shared" si="7"/>
        <v>24.968232027514183</v>
      </c>
      <c r="P9" s="300">
        <f t="shared" si="9"/>
        <v>24.968232027514183</v>
      </c>
      <c r="Q9" s="300">
        <f>SUM(-tanks!AX11*tanks!$AU$37)</f>
        <v>0</v>
      </c>
      <c r="R9" s="300">
        <f>SUM(P9:Q9)</f>
        <v>24.968232027514183</v>
      </c>
      <c r="S9" s="302">
        <f>SUM(ELEC!N8)</f>
        <v>0</v>
      </c>
      <c r="T9" s="339">
        <f t="shared" si="12"/>
        <v>0</v>
      </c>
      <c r="V9" s="593">
        <f>'[2]EDl log'!V26</f>
        <v>119653</v>
      </c>
      <c r="W9" s="266">
        <f>'[2]EDl log'!W26</f>
        <v>164328</v>
      </c>
      <c r="X9" s="266" t="str">
        <f>'[2]EDl log'!X26</f>
        <v>Night</v>
      </c>
      <c r="Y9" s="266">
        <f>'[2]EDl log'!Y26</f>
        <v>80</v>
      </c>
      <c r="Z9" s="266">
        <f>'[2]EDl log'!Z26</f>
        <v>1</v>
      </c>
      <c r="AA9" s="266">
        <f>'[2]EDl log'!AA26</f>
        <v>44675</v>
      </c>
      <c r="AB9" s="589">
        <f>'[2]EDl log'!AB26</f>
        <v>3574000</v>
      </c>
      <c r="AC9" s="594">
        <f>'[2]EDl log'!AC26</f>
        <v>1033333</v>
      </c>
      <c r="AD9" s="591">
        <f>'[2]EDl log'!AD26</f>
        <v>0.37081458855558691</v>
      </c>
    </row>
    <row r="10" spans="1:30" ht="15.75" thickBot="1">
      <c r="A10" s="163">
        <f>ELEC!C9</f>
        <v>44111</v>
      </c>
      <c r="B10" s="559">
        <f t="shared" si="13"/>
        <v>490415</v>
      </c>
      <c r="C10" s="266">
        <f t="shared" si="0"/>
        <v>0</v>
      </c>
      <c r="D10" s="311">
        <f t="shared" si="8"/>
        <v>0</v>
      </c>
      <c r="E10" s="311">
        <f t="shared" si="11"/>
        <v>490415</v>
      </c>
      <c r="F10" s="559">
        <f t="shared" si="14"/>
        <v>67070</v>
      </c>
      <c r="G10" s="160">
        <f t="shared" si="1"/>
        <v>0</v>
      </c>
      <c r="H10" s="559">
        <f t="shared" si="15"/>
        <v>252839</v>
      </c>
      <c r="I10" s="161">
        <f t="shared" si="2"/>
        <v>0</v>
      </c>
      <c r="J10" s="559">
        <f t="shared" si="16"/>
        <v>170505</v>
      </c>
      <c r="K10" s="162">
        <f t="shared" si="3"/>
        <v>0</v>
      </c>
      <c r="L10" s="299">
        <f t="shared" si="4"/>
        <v>0</v>
      </c>
      <c r="M10" s="299">
        <f t="shared" si="5"/>
        <v>0</v>
      </c>
      <c r="N10" s="299">
        <f t="shared" si="6"/>
        <v>0</v>
      </c>
      <c r="O10" s="299">
        <f t="shared" si="7"/>
        <v>24.968232027514183</v>
      </c>
      <c r="P10" s="300">
        <f t="shared" si="9"/>
        <v>24.968232027514183</v>
      </c>
      <c r="Q10" s="300">
        <f>SUM(-tanks!AX12*tanks!$AU$37)</f>
        <v>0</v>
      </c>
      <c r="R10" s="300">
        <f t="shared" si="10"/>
        <v>24.968232027514183</v>
      </c>
      <c r="S10" s="302">
        <f>SUM(ELEC!N9)</f>
        <v>0</v>
      </c>
      <c r="T10" s="339">
        <f t="shared" si="12"/>
        <v>0</v>
      </c>
      <c r="V10" s="593">
        <f>'[2]EDl log'!V27</f>
        <v>182116</v>
      </c>
      <c r="W10" s="266">
        <f>'[2]EDl log'!W27</f>
        <v>242131</v>
      </c>
      <c r="X10" s="266" t="str">
        <f>'[3]EDl log'!X27</f>
        <v>day</v>
      </c>
      <c r="Y10" s="266">
        <f>'[2]EDl log'!Y27</f>
        <v>112</v>
      </c>
      <c r="Z10" s="266">
        <f>'[2]EDl log'!Z27</f>
        <v>1</v>
      </c>
      <c r="AA10" s="266">
        <f>'[2]EDl log'!AA27</f>
        <v>60015</v>
      </c>
      <c r="AB10" s="589">
        <f>'[2]EDl log'!AB27</f>
        <v>6721680</v>
      </c>
      <c r="AC10" s="594">
        <f>'[2]EDl log'!AC27</f>
        <v>6200000</v>
      </c>
      <c r="AD10" s="591">
        <f>'[2]EDl log'!AD27</f>
        <v>0.49814073938810405</v>
      </c>
    </row>
    <row r="11" spans="1:30" ht="15.75" thickBot="1">
      <c r="A11" s="163">
        <f>ELEC!C10</f>
        <v>44112</v>
      </c>
      <c r="B11" s="559">
        <f t="shared" si="13"/>
        <v>490415</v>
      </c>
      <c r="C11" s="266">
        <f t="shared" si="0"/>
        <v>0</v>
      </c>
      <c r="D11" s="311">
        <f>SUM(G11+I11+K11)</f>
        <v>0</v>
      </c>
      <c r="E11" s="311">
        <f t="shared" si="11"/>
        <v>490415</v>
      </c>
      <c r="F11" s="559">
        <f t="shared" si="14"/>
        <v>67070</v>
      </c>
      <c r="G11" s="160">
        <f t="shared" si="1"/>
        <v>0</v>
      </c>
      <c r="H11" s="559">
        <f t="shared" si="15"/>
        <v>252839</v>
      </c>
      <c r="I11" s="161">
        <f t="shared" si="2"/>
        <v>0</v>
      </c>
      <c r="J11" s="559">
        <f t="shared" si="16"/>
        <v>170505</v>
      </c>
      <c r="K11" s="162">
        <f t="shared" si="3"/>
        <v>0</v>
      </c>
      <c r="L11" s="299">
        <f t="shared" si="4"/>
        <v>0</v>
      </c>
      <c r="M11" s="299">
        <f t="shared" si="5"/>
        <v>0</v>
      </c>
      <c r="N11" s="299">
        <f t="shared" si="6"/>
        <v>0</v>
      </c>
      <c r="O11" s="299">
        <f t="shared" si="7"/>
        <v>24.968232027514183</v>
      </c>
      <c r="P11" s="300">
        <f t="shared" si="9"/>
        <v>24.968232027514183</v>
      </c>
      <c r="Q11" s="300">
        <f>SUM(-tanks!AX13*tanks!$AU$37)</f>
        <v>0</v>
      </c>
      <c r="R11" s="300">
        <f t="shared" si="10"/>
        <v>24.968232027514183</v>
      </c>
      <c r="S11" s="302">
        <f>SUM(ELEC!N10)</f>
        <v>0</v>
      </c>
      <c r="T11" s="339">
        <f t="shared" si="12"/>
        <v>0</v>
      </c>
      <c r="V11" s="593">
        <f>'[2]EDl log'!V28</f>
        <v>47510</v>
      </c>
      <c r="W11" s="266">
        <f>'[2]EDl log'!W28</f>
        <v>63298</v>
      </c>
      <c r="X11" s="266" t="str">
        <f>'[3]EDl log'!X28</f>
        <v>Peak</v>
      </c>
      <c r="Y11" s="266">
        <f>'[2]EDl log'!Y28</f>
        <v>320</v>
      </c>
      <c r="Z11" s="266">
        <f>'[2]EDl log'!Z28</f>
        <v>1</v>
      </c>
      <c r="AA11" s="266">
        <f>'[2]EDl log'!AA28</f>
        <v>15788</v>
      </c>
      <c r="AB11" s="589">
        <f>'[2]EDl log'!AB28</f>
        <v>5052160</v>
      </c>
      <c r="AC11" s="594">
        <f>'[2]EDl log'!AC28</f>
        <v>1000</v>
      </c>
      <c r="AD11" s="591">
        <f>'[2]EDl log'!AD28</f>
        <v>0.13104467205630904</v>
      </c>
    </row>
    <row r="12" spans="1:30" ht="15.75" thickBot="1">
      <c r="A12" s="163">
        <f>ELEC!C11</f>
        <v>44113</v>
      </c>
      <c r="B12" s="559">
        <f t="shared" si="13"/>
        <v>490415</v>
      </c>
      <c r="C12" s="266">
        <f t="shared" si="0"/>
        <v>0</v>
      </c>
      <c r="D12" s="311">
        <f t="shared" si="8"/>
        <v>0</v>
      </c>
      <c r="E12" s="311">
        <f t="shared" si="11"/>
        <v>490415</v>
      </c>
      <c r="F12" s="559">
        <f t="shared" si="14"/>
        <v>67070</v>
      </c>
      <c r="G12" s="160">
        <f t="shared" si="1"/>
        <v>0</v>
      </c>
      <c r="H12" s="559">
        <f t="shared" si="15"/>
        <v>252839</v>
      </c>
      <c r="I12" s="161">
        <f t="shared" si="2"/>
        <v>0</v>
      </c>
      <c r="J12" s="559">
        <f t="shared" si="16"/>
        <v>170505</v>
      </c>
      <c r="K12" s="162">
        <f t="shared" si="3"/>
        <v>0</v>
      </c>
      <c r="L12" s="299">
        <f t="shared" si="4"/>
        <v>0</v>
      </c>
      <c r="M12" s="299">
        <f t="shared" si="5"/>
        <v>0</v>
      </c>
      <c r="N12" s="299">
        <f t="shared" si="6"/>
        <v>0</v>
      </c>
      <c r="O12" s="299">
        <f t="shared" si="7"/>
        <v>24.968232027514183</v>
      </c>
      <c r="P12" s="300">
        <f t="shared" si="9"/>
        <v>24.968232027514183</v>
      </c>
      <c r="Q12" s="300">
        <f>SUM(-tanks!AX14*tanks!$AU$37)</f>
        <v>0</v>
      </c>
      <c r="R12" s="300">
        <f t="shared" si="10"/>
        <v>24.968232027514183</v>
      </c>
      <c r="S12" s="302">
        <f>SUM(ELEC!N11)</f>
        <v>0</v>
      </c>
      <c r="T12" s="339">
        <f t="shared" si="12"/>
        <v>0</v>
      </c>
      <c r="V12" s="593"/>
      <c r="W12" s="266"/>
      <c r="X12" s="3"/>
      <c r="Y12" s="266"/>
      <c r="Z12" s="28"/>
      <c r="AA12" s="266">
        <f>'[2]EDl log'!AA29</f>
        <v>120478</v>
      </c>
      <c r="AB12" s="589">
        <f>'[2]EDl log'!AB29</f>
        <v>0</v>
      </c>
      <c r="AC12" s="594">
        <f>'[2]EDl log'!AC29</f>
        <v>0</v>
      </c>
      <c r="AD12" s="591"/>
    </row>
    <row r="13" spans="1:30" ht="15.75" thickBot="1">
      <c r="A13" s="163">
        <f>ELEC!C12</f>
        <v>44114</v>
      </c>
      <c r="B13" s="559">
        <f t="shared" si="13"/>
        <v>490415</v>
      </c>
      <c r="C13" s="266">
        <f t="shared" si="0"/>
        <v>0</v>
      </c>
      <c r="D13" s="311">
        <f t="shared" si="8"/>
        <v>0</v>
      </c>
      <c r="E13" s="311">
        <f t="shared" si="11"/>
        <v>490415</v>
      </c>
      <c r="F13" s="559">
        <f t="shared" si="14"/>
        <v>67070</v>
      </c>
      <c r="G13" s="160">
        <f t="shared" si="1"/>
        <v>0</v>
      </c>
      <c r="H13" s="559">
        <f t="shared" si="15"/>
        <v>252839</v>
      </c>
      <c r="I13" s="161">
        <f t="shared" si="2"/>
        <v>0</v>
      </c>
      <c r="J13" s="559">
        <f t="shared" si="16"/>
        <v>170505</v>
      </c>
      <c r="K13" s="162">
        <f t="shared" si="3"/>
        <v>0</v>
      </c>
      <c r="L13" s="299">
        <f t="shared" si="4"/>
        <v>0</v>
      </c>
      <c r="M13" s="299">
        <f t="shared" si="5"/>
        <v>0</v>
      </c>
      <c r="N13" s="299">
        <f t="shared" si="6"/>
        <v>0</v>
      </c>
      <c r="O13" s="299">
        <f t="shared" si="7"/>
        <v>24.968232027514183</v>
      </c>
      <c r="P13" s="300">
        <f t="shared" si="9"/>
        <v>24.968232027514183</v>
      </c>
      <c r="Q13" s="300">
        <f>SUM(-tanks!AX15*tanks!$AU$37)</f>
        <v>0</v>
      </c>
      <c r="R13" s="300">
        <f t="shared" si="10"/>
        <v>24.968232027514183</v>
      </c>
      <c r="S13" s="302">
        <f>SUM(ELEC!N12)</f>
        <v>0</v>
      </c>
      <c r="T13" s="339">
        <f t="shared" si="12"/>
        <v>0</v>
      </c>
      <c r="V13" s="593" t="str">
        <f>'[6]EDl log'!V30</f>
        <v>Occ %</v>
      </c>
      <c r="W13" s="514">
        <f>'[2]EDl log'!W30</f>
        <v>0</v>
      </c>
      <c r="X13" s="514"/>
      <c r="Y13" s="266" t="str">
        <f>'[3]EDl log'!Y30</f>
        <v>Per G</v>
      </c>
      <c r="Z13" s="3"/>
      <c r="AA13" s="3"/>
      <c r="AB13" s="589">
        <f>'[2]EDl log'!AB30</f>
        <v>15347840</v>
      </c>
      <c r="AC13" s="594">
        <f>'[2]EDl log'!AC30</f>
        <v>7234333</v>
      </c>
    </row>
    <row r="14" spans="1:30" ht="15.75" thickBot="1">
      <c r="A14" s="163">
        <f>ELEC!C13</f>
        <v>44115</v>
      </c>
      <c r="B14" s="559">
        <f t="shared" si="13"/>
        <v>490415</v>
      </c>
      <c r="C14" s="266">
        <f t="shared" si="0"/>
        <v>0</v>
      </c>
      <c r="D14" s="311">
        <f t="shared" si="8"/>
        <v>0</v>
      </c>
      <c r="E14" s="311">
        <f t="shared" si="11"/>
        <v>490415</v>
      </c>
      <c r="F14" s="559">
        <f t="shared" si="14"/>
        <v>67070</v>
      </c>
      <c r="G14" s="160">
        <f t="shared" si="1"/>
        <v>0</v>
      </c>
      <c r="H14" s="559">
        <f t="shared" si="15"/>
        <v>252839</v>
      </c>
      <c r="I14" s="161">
        <f t="shared" si="2"/>
        <v>0</v>
      </c>
      <c r="J14" s="559">
        <f t="shared" si="16"/>
        <v>170505</v>
      </c>
      <c r="K14" s="162">
        <f t="shared" ref="K14:K17" si="17">J14-J13</f>
        <v>0</v>
      </c>
      <c r="L14" s="299">
        <f t="shared" ref="L14:L17" si="18">SUM(G14*$Y$28)/1507.5</f>
        <v>0</v>
      </c>
      <c r="M14" s="299">
        <f t="shared" ref="M14:M17" si="19">SUM(I14*$Y$27)/1507.5</f>
        <v>0</v>
      </c>
      <c r="N14" s="299">
        <f t="shared" ref="N14:N17" si="20">SUM(K14*$Y$26)/1507.5</f>
        <v>0</v>
      </c>
      <c r="O14" s="299">
        <f t="shared" si="7"/>
        <v>24.968232027514183</v>
      </c>
      <c r="P14" s="300">
        <f t="shared" ref="P14:P17" si="21">SUM(L14:O14)</f>
        <v>24.968232027514183</v>
      </c>
      <c r="Q14" s="300">
        <f>SUM(-tanks!AX16*tanks!$AU$37)</f>
        <v>0</v>
      </c>
      <c r="R14" s="300">
        <f t="shared" ref="R14:R17" si="22">SUM(P14:Q14)</f>
        <v>24.968232027514183</v>
      </c>
      <c r="S14" s="302">
        <f>SUM(ELEC!N13)</f>
        <v>0</v>
      </c>
      <c r="T14" s="339">
        <f t="shared" ref="T14:T17" si="23">IF(S14&gt;0,R14/S14,0)</f>
        <v>0</v>
      </c>
      <c r="V14" s="593" t="str">
        <f>'[6]EDl log'!V31</f>
        <v>Gen RH</v>
      </c>
      <c r="W14" s="590">
        <f>'[2]EDl log'!$W$31</f>
        <v>151</v>
      </c>
      <c r="X14" s="266">
        <f>'[2]EDl log'!$X$14</f>
        <v>5.387096774193548</v>
      </c>
      <c r="Y14" s="589">
        <f>'[2]EDl log'!$Y$31</f>
        <v>2.5166666666666666</v>
      </c>
      <c r="Z14" s="266"/>
      <c r="AA14" s="3"/>
      <c r="AB14" s="589">
        <f>'[2]EDl log'!AB31</f>
        <v>22582173</v>
      </c>
      <c r="AC14" s="594">
        <f>'[2]EDl log'!AC31</f>
        <v>7234333</v>
      </c>
    </row>
    <row r="15" spans="1:30" ht="15.75" thickBot="1">
      <c r="A15" s="163">
        <f>ELEC!C14</f>
        <v>44116</v>
      </c>
      <c r="B15" s="559">
        <f t="shared" si="13"/>
        <v>490415</v>
      </c>
      <c r="C15" s="266">
        <f t="shared" si="0"/>
        <v>0</v>
      </c>
      <c r="D15" s="311">
        <f t="shared" si="8"/>
        <v>0</v>
      </c>
      <c r="E15" s="311">
        <f t="shared" si="11"/>
        <v>490415</v>
      </c>
      <c r="F15" s="559">
        <f t="shared" si="14"/>
        <v>67070</v>
      </c>
      <c r="G15" s="160">
        <f t="shared" si="1"/>
        <v>0</v>
      </c>
      <c r="H15" s="559">
        <f t="shared" si="15"/>
        <v>252839</v>
      </c>
      <c r="I15" s="161">
        <f t="shared" si="2"/>
        <v>0</v>
      </c>
      <c r="J15" s="559">
        <f t="shared" si="16"/>
        <v>170505</v>
      </c>
      <c r="K15" s="162">
        <f t="shared" si="17"/>
        <v>0</v>
      </c>
      <c r="L15" s="299">
        <f t="shared" si="18"/>
        <v>0</v>
      </c>
      <c r="M15" s="299">
        <f t="shared" si="19"/>
        <v>0</v>
      </c>
      <c r="N15" s="299">
        <f t="shared" si="20"/>
        <v>0</v>
      </c>
      <c r="O15" s="299">
        <f t="shared" si="7"/>
        <v>24.968232027514183</v>
      </c>
      <c r="P15" s="300">
        <f t="shared" si="21"/>
        <v>24.968232027514183</v>
      </c>
      <c r="Q15" s="300">
        <f>SUM(-tanks!AX17*tanks!$AU$37)</f>
        <v>0</v>
      </c>
      <c r="R15" s="300">
        <f t="shared" si="22"/>
        <v>24.968232027514183</v>
      </c>
      <c r="S15" s="302">
        <f>SUM(ELEC!N14)</f>
        <v>0</v>
      </c>
      <c r="T15" s="339">
        <f t="shared" si="23"/>
        <v>0</v>
      </c>
      <c r="V15" s="593" t="str">
        <f>'[6]EDl log'!V32</f>
        <v>H Deg</v>
      </c>
      <c r="W15" s="590">
        <f>'[2]EDl log'!W32</f>
        <v>0</v>
      </c>
      <c r="X15" s="565">
        <f>'[9]EDl log'!X15</f>
        <v>0</v>
      </c>
      <c r="Y15" s="266"/>
      <c r="Z15" s="266"/>
      <c r="AA15" s="3"/>
      <c r="AB15" s="589">
        <f>'[2]EDl log'!AB32</f>
        <v>0</v>
      </c>
      <c r="AC15" s="594">
        <f>'[2]EDl log'!AC32</f>
        <v>0</v>
      </c>
    </row>
    <row r="16" spans="1:30" ht="15.75" thickBot="1">
      <c r="A16" s="163">
        <f>ELEC!C15</f>
        <v>44117</v>
      </c>
      <c r="B16" s="559">
        <f t="shared" si="13"/>
        <v>490415</v>
      </c>
      <c r="C16" s="266">
        <f t="shared" si="0"/>
        <v>0</v>
      </c>
      <c r="D16" s="311">
        <f t="shared" si="8"/>
        <v>0</v>
      </c>
      <c r="E16" s="311">
        <f t="shared" si="11"/>
        <v>490415</v>
      </c>
      <c r="F16" s="559">
        <f t="shared" si="14"/>
        <v>67070</v>
      </c>
      <c r="G16" s="160">
        <f t="shared" si="1"/>
        <v>0</v>
      </c>
      <c r="H16" s="559">
        <f t="shared" si="15"/>
        <v>252839</v>
      </c>
      <c r="I16" s="161">
        <f t="shared" si="2"/>
        <v>0</v>
      </c>
      <c r="J16" s="559">
        <f t="shared" si="16"/>
        <v>170505</v>
      </c>
      <c r="K16" s="162">
        <f t="shared" si="17"/>
        <v>0</v>
      </c>
      <c r="L16" s="299">
        <f t="shared" si="18"/>
        <v>0</v>
      </c>
      <c r="M16" s="299">
        <f t="shared" si="19"/>
        <v>0</v>
      </c>
      <c r="N16" s="299">
        <f t="shared" si="20"/>
        <v>0</v>
      </c>
      <c r="O16" s="299">
        <f t="shared" si="7"/>
        <v>24.968232027514183</v>
      </c>
      <c r="P16" s="300">
        <f t="shared" si="21"/>
        <v>24.968232027514183</v>
      </c>
      <c r="Q16" s="300">
        <f>SUM(-tanks!AX18*tanks!$AU$37)</f>
        <v>0</v>
      </c>
      <c r="R16" s="300">
        <f t="shared" si="22"/>
        <v>24.968232027514183</v>
      </c>
      <c r="S16" s="302">
        <f>SUM(ELEC!N15)</f>
        <v>0</v>
      </c>
      <c r="T16" s="339">
        <f t="shared" si="23"/>
        <v>0</v>
      </c>
      <c r="V16" s="593" t="str">
        <f>'[6]EDl log'!V33</f>
        <v>C Deg</v>
      </c>
      <c r="W16" s="590">
        <f>'[2]EDl log'!$W$33</f>
        <v>306.99999999999983</v>
      </c>
      <c r="X16" s="565">
        <f>'[9]EDl log'!X16</f>
        <v>0</v>
      </c>
      <c r="Y16" s="565">
        <f>'[6]EDl log'!Y33</f>
        <v>0</v>
      </c>
      <c r="Z16" s="3"/>
      <c r="AA16" s="3"/>
      <c r="AB16" s="589">
        <f>'[2]EDl log'!AB33</f>
        <v>0</v>
      </c>
      <c r="AC16" s="594">
        <f>'[2]EDl log'!AC33</f>
        <v>0</v>
      </c>
    </row>
    <row r="17" spans="1:32" ht="15.75" thickBot="1">
      <c r="A17" s="163">
        <f>ELEC!C16</f>
        <v>44118</v>
      </c>
      <c r="B17" s="559">
        <f t="shared" si="13"/>
        <v>490415</v>
      </c>
      <c r="C17" s="266">
        <f t="shared" si="0"/>
        <v>0</v>
      </c>
      <c r="D17" s="311">
        <f t="shared" si="8"/>
        <v>0</v>
      </c>
      <c r="E17" s="311">
        <f t="shared" si="11"/>
        <v>490415</v>
      </c>
      <c r="F17" s="559">
        <f t="shared" si="14"/>
        <v>67070</v>
      </c>
      <c r="G17" s="160">
        <f t="shared" si="1"/>
        <v>0</v>
      </c>
      <c r="H17" s="559">
        <f t="shared" si="15"/>
        <v>252839</v>
      </c>
      <c r="I17" s="161">
        <f t="shared" si="2"/>
        <v>0</v>
      </c>
      <c r="J17" s="559">
        <f t="shared" si="16"/>
        <v>170505</v>
      </c>
      <c r="K17" s="162">
        <f t="shared" si="17"/>
        <v>0</v>
      </c>
      <c r="L17" s="299">
        <f t="shared" si="18"/>
        <v>0</v>
      </c>
      <c r="M17" s="299">
        <f t="shared" si="19"/>
        <v>0</v>
      </c>
      <c r="N17" s="299">
        <f t="shared" si="20"/>
        <v>0</v>
      </c>
      <c r="O17" s="299">
        <f t="shared" si="7"/>
        <v>24.968232027514183</v>
      </c>
      <c r="P17" s="300">
        <f t="shared" si="21"/>
        <v>24.968232027514183</v>
      </c>
      <c r="Q17" s="300">
        <f>SUM(-tanks!AX19*tanks!$AU$37)</f>
        <v>0</v>
      </c>
      <c r="R17" s="300">
        <f t="shared" si="22"/>
        <v>24.968232027514183</v>
      </c>
      <c r="S17" s="302">
        <f>SUM(ELEC!N16)</f>
        <v>0</v>
      </c>
      <c r="T17" s="339">
        <f t="shared" si="23"/>
        <v>0</v>
      </c>
      <c r="V17" s="255"/>
      <c r="W17" s="514"/>
      <c r="X17" s="17"/>
      <c r="Y17" s="437"/>
      <c r="Z17" s="514"/>
      <c r="AA17" s="514"/>
      <c r="AB17" s="589">
        <f>'[2]EDl log'!AB34</f>
        <v>0</v>
      </c>
      <c r="AC17" s="594">
        <f>'[2]EDl log'!AC34</f>
        <v>0</v>
      </c>
    </row>
    <row r="18" spans="1:32" ht="15.75" thickBot="1">
      <c r="A18" s="163">
        <f>ELEC!C17</f>
        <v>44119</v>
      </c>
      <c r="B18" s="559">
        <f t="shared" si="13"/>
        <v>490415</v>
      </c>
      <c r="C18" s="266">
        <f t="shared" si="0"/>
        <v>0</v>
      </c>
      <c r="D18" s="311">
        <f t="shared" si="8"/>
        <v>0</v>
      </c>
      <c r="E18" s="311">
        <f t="shared" si="11"/>
        <v>490415</v>
      </c>
      <c r="F18" s="559">
        <f t="shared" si="14"/>
        <v>67070</v>
      </c>
      <c r="G18" s="160">
        <f t="shared" si="1"/>
        <v>0</v>
      </c>
      <c r="H18" s="559">
        <f t="shared" si="15"/>
        <v>252839</v>
      </c>
      <c r="I18" s="161">
        <f t="shared" si="2"/>
        <v>0</v>
      </c>
      <c r="J18" s="559">
        <f t="shared" si="16"/>
        <v>170505</v>
      </c>
      <c r="K18" s="162">
        <f t="shared" si="3"/>
        <v>0</v>
      </c>
      <c r="L18" s="299">
        <f t="shared" ref="L18:L33" si="24">SUM(G18*$Y$28)/1507.5</f>
        <v>0</v>
      </c>
      <c r="M18" s="299">
        <f t="shared" ref="M18:M33" si="25">SUM(I18*$Y$27)/1507.5</f>
        <v>0</v>
      </c>
      <c r="N18" s="299">
        <f t="shared" ref="N18:N33" si="26">SUM(K18*$Y$26)/1507.5</f>
        <v>0</v>
      </c>
      <c r="O18" s="299">
        <f t="shared" si="7"/>
        <v>24.968232027514183</v>
      </c>
      <c r="P18" s="300">
        <f t="shared" si="9"/>
        <v>24.968232027514183</v>
      </c>
      <c r="Q18" s="300">
        <f>SUM(-tanks!AX20*tanks!$AU$37)</f>
        <v>0</v>
      </c>
      <c r="R18" s="300">
        <f t="shared" si="10"/>
        <v>24.968232027514183</v>
      </c>
      <c r="S18" s="302">
        <f>SUM(ELEC!N17)</f>
        <v>0</v>
      </c>
      <c r="T18" s="339">
        <f t="shared" si="12"/>
        <v>0</v>
      </c>
      <c r="V18" s="230"/>
      <c r="W18" s="231"/>
      <c r="X18" s="231"/>
      <c r="Y18" s="437"/>
      <c r="Z18" s="514" t="str">
        <f>'[6]EDl log'!Z35</f>
        <v xml:space="preserve">VAT </v>
      </c>
      <c r="AA18" s="514">
        <f>'[6]EDl log'!AA35</f>
        <v>0.11</v>
      </c>
      <c r="AB18" s="589">
        <f>'[2]EDl log'!AB35</f>
        <v>2484039.0299999998</v>
      </c>
      <c r="AC18" s="594">
        <f>'[2]EDl log'!AC35</f>
        <v>0</v>
      </c>
    </row>
    <row r="19" spans="1:32" ht="15.75" thickBot="1">
      <c r="A19" s="163">
        <f>ELEC!C18</f>
        <v>44120</v>
      </c>
      <c r="B19" s="559">
        <f t="shared" si="13"/>
        <v>490415</v>
      </c>
      <c r="C19" s="266">
        <f t="shared" si="0"/>
        <v>0</v>
      </c>
      <c r="D19" s="311">
        <f t="shared" si="8"/>
        <v>0</v>
      </c>
      <c r="E19" s="311">
        <f t="shared" si="11"/>
        <v>490415</v>
      </c>
      <c r="F19" s="559">
        <f t="shared" si="14"/>
        <v>67070</v>
      </c>
      <c r="G19" s="160">
        <f t="shared" si="1"/>
        <v>0</v>
      </c>
      <c r="H19" s="559">
        <f t="shared" si="15"/>
        <v>252839</v>
      </c>
      <c r="I19" s="161">
        <f t="shared" si="2"/>
        <v>0</v>
      </c>
      <c r="J19" s="559">
        <f t="shared" si="16"/>
        <v>170505</v>
      </c>
      <c r="K19" s="162">
        <f t="shared" si="3"/>
        <v>0</v>
      </c>
      <c r="L19" s="299">
        <f t="shared" si="24"/>
        <v>0</v>
      </c>
      <c r="M19" s="299">
        <f t="shared" si="25"/>
        <v>0</v>
      </c>
      <c r="N19" s="299">
        <f t="shared" si="26"/>
        <v>0</v>
      </c>
      <c r="O19" s="299">
        <f t="shared" si="7"/>
        <v>24.968232027514183</v>
      </c>
      <c r="P19" s="300">
        <f t="shared" si="9"/>
        <v>24.968232027514183</v>
      </c>
      <c r="Q19" s="300">
        <f>SUM(-tanks!AX21*tanks!$AU$37)</f>
        <v>0</v>
      </c>
      <c r="R19" s="300">
        <f t="shared" si="10"/>
        <v>24.968232027514183</v>
      </c>
      <c r="S19" s="302">
        <f>SUM(ELEC!N18)</f>
        <v>0</v>
      </c>
      <c r="T19" s="339">
        <f t="shared" si="12"/>
        <v>0</v>
      </c>
      <c r="V19" s="230"/>
      <c r="W19" s="231"/>
      <c r="X19" s="231"/>
      <c r="Y19" s="595"/>
      <c r="Z19" s="595"/>
      <c r="AA19" s="596"/>
      <c r="AB19" s="597">
        <f>'[2]EDl log'!AB36</f>
        <v>25066212.030000001</v>
      </c>
      <c r="AC19" s="598">
        <f>'[2]EDl log'!AC36</f>
        <v>0</v>
      </c>
    </row>
    <row r="20" spans="1:32" ht="15.75" thickBot="1">
      <c r="A20" s="163">
        <f>ELEC!C19</f>
        <v>44121</v>
      </c>
      <c r="B20" s="559">
        <f t="shared" si="13"/>
        <v>490415</v>
      </c>
      <c r="C20" s="266">
        <f t="shared" si="0"/>
        <v>0</v>
      </c>
      <c r="D20" s="311">
        <f t="shared" si="8"/>
        <v>0</v>
      </c>
      <c r="E20" s="311">
        <f t="shared" si="11"/>
        <v>490415</v>
      </c>
      <c r="F20" s="559">
        <f t="shared" si="14"/>
        <v>67070</v>
      </c>
      <c r="G20" s="160">
        <f t="shared" si="1"/>
        <v>0</v>
      </c>
      <c r="H20" s="559">
        <f t="shared" si="15"/>
        <v>252839</v>
      </c>
      <c r="I20" s="161">
        <f t="shared" si="2"/>
        <v>0</v>
      </c>
      <c r="J20" s="559">
        <f t="shared" si="16"/>
        <v>170505</v>
      </c>
      <c r="K20" s="162">
        <f t="shared" si="3"/>
        <v>0</v>
      </c>
      <c r="L20" s="299">
        <f t="shared" si="24"/>
        <v>0</v>
      </c>
      <c r="M20" s="299">
        <f t="shared" si="25"/>
        <v>0</v>
      </c>
      <c r="N20" s="299">
        <f t="shared" si="26"/>
        <v>0</v>
      </c>
      <c r="O20" s="299">
        <f t="shared" si="7"/>
        <v>24.968232027514183</v>
      </c>
      <c r="P20" s="300">
        <f t="shared" si="9"/>
        <v>24.968232027514183</v>
      </c>
      <c r="Q20" s="300">
        <f>SUM(-tanks!AX22*tanks!$AU$37)</f>
        <v>0</v>
      </c>
      <c r="R20" s="300">
        <f t="shared" si="10"/>
        <v>24.968232027514183</v>
      </c>
      <c r="S20" s="302">
        <f>SUM(ELEC!N19)</f>
        <v>0</v>
      </c>
      <c r="T20" s="339">
        <f t="shared" si="12"/>
        <v>0</v>
      </c>
      <c r="V20" t="s">
        <v>414</v>
      </c>
      <c r="AB20" s="592"/>
    </row>
    <row r="21" spans="1:32" ht="15.75" thickBot="1">
      <c r="A21" s="163">
        <f>ELEC!C20</f>
        <v>44122</v>
      </c>
      <c r="B21" s="559">
        <f t="shared" si="13"/>
        <v>490415</v>
      </c>
      <c r="C21" s="266">
        <f t="shared" si="0"/>
        <v>0</v>
      </c>
      <c r="D21" s="311">
        <f t="shared" si="8"/>
        <v>0</v>
      </c>
      <c r="E21" s="311">
        <f t="shared" si="11"/>
        <v>490415</v>
      </c>
      <c r="F21" s="559">
        <f t="shared" si="14"/>
        <v>67070</v>
      </c>
      <c r="G21" s="160">
        <f t="shared" si="1"/>
        <v>0</v>
      </c>
      <c r="H21" s="559">
        <f t="shared" si="15"/>
        <v>252839</v>
      </c>
      <c r="I21" s="161">
        <f t="shared" si="2"/>
        <v>0</v>
      </c>
      <c r="J21" s="559">
        <f t="shared" si="16"/>
        <v>170505</v>
      </c>
      <c r="K21" s="162">
        <f t="shared" si="3"/>
        <v>0</v>
      </c>
      <c r="L21" s="299">
        <f t="shared" si="24"/>
        <v>0</v>
      </c>
      <c r="M21" s="299">
        <f t="shared" si="25"/>
        <v>0</v>
      </c>
      <c r="N21" s="299">
        <f t="shared" si="26"/>
        <v>0</v>
      </c>
      <c r="O21" s="299">
        <f t="shared" si="7"/>
        <v>24.968232027514183</v>
      </c>
      <c r="P21" s="300">
        <f t="shared" si="9"/>
        <v>24.968232027514183</v>
      </c>
      <c r="Q21" s="300">
        <f>SUM(-tanks!AX23*tanks!$AU$37)</f>
        <v>0</v>
      </c>
      <c r="R21" s="300">
        <f t="shared" si="10"/>
        <v>24.968232027514183</v>
      </c>
      <c r="S21" s="302">
        <f>SUM(ELEC!N20)</f>
        <v>0</v>
      </c>
      <c r="T21" s="339">
        <f t="shared" si="12"/>
        <v>0</v>
      </c>
      <c r="V21" s="166" t="s">
        <v>201</v>
      </c>
      <c r="W21" s="167">
        <v>44124</v>
      </c>
      <c r="X21" s="168"/>
      <c r="Y21" s="168"/>
      <c r="Z21" s="169" t="s">
        <v>202</v>
      </c>
      <c r="AA21" s="168"/>
      <c r="AB21" s="681"/>
      <c r="AC21" s="682"/>
    </row>
    <row r="22" spans="1:32" ht="15.75" thickBot="1">
      <c r="A22" s="163">
        <f>ELEC!C21</f>
        <v>44123</v>
      </c>
      <c r="B22" s="559">
        <f t="shared" si="13"/>
        <v>490415</v>
      </c>
      <c r="C22" s="266">
        <f t="shared" si="0"/>
        <v>0</v>
      </c>
      <c r="D22" s="311">
        <f t="shared" si="8"/>
        <v>0</v>
      </c>
      <c r="E22" s="311">
        <f t="shared" si="11"/>
        <v>490415</v>
      </c>
      <c r="F22" s="559">
        <f t="shared" si="14"/>
        <v>67070</v>
      </c>
      <c r="G22" s="160">
        <f t="shared" si="1"/>
        <v>0</v>
      </c>
      <c r="H22" s="559">
        <f t="shared" si="15"/>
        <v>252839</v>
      </c>
      <c r="I22" s="161">
        <f t="shared" si="2"/>
        <v>0</v>
      </c>
      <c r="J22" s="559">
        <f t="shared" si="16"/>
        <v>170505</v>
      </c>
      <c r="K22" s="162">
        <f t="shared" si="3"/>
        <v>0</v>
      </c>
      <c r="L22" s="299">
        <f t="shared" si="24"/>
        <v>0</v>
      </c>
      <c r="M22" s="299">
        <f t="shared" si="25"/>
        <v>0</v>
      </c>
      <c r="N22" s="299">
        <f t="shared" si="26"/>
        <v>0</v>
      </c>
      <c r="O22" s="299">
        <f t="shared" si="7"/>
        <v>24.968232027514183</v>
      </c>
      <c r="P22" s="300">
        <f t="shared" si="9"/>
        <v>24.968232027514183</v>
      </c>
      <c r="Q22" s="300">
        <f>SUM(-tanks!AX24*tanks!$AU$37)</f>
        <v>0</v>
      </c>
      <c r="R22" s="300">
        <f t="shared" si="10"/>
        <v>24.968232027514183</v>
      </c>
      <c r="S22" s="302">
        <f>SUM(ELEC!N21)</f>
        <v>0</v>
      </c>
      <c r="T22" s="339">
        <f t="shared" si="12"/>
        <v>0</v>
      </c>
      <c r="V22" s="687"/>
      <c r="W22" s="688"/>
      <c r="X22" s="688"/>
      <c r="Y22" s="689"/>
      <c r="Z22" s="26" t="s">
        <v>203</v>
      </c>
      <c r="AA22" s="26">
        <v>5000</v>
      </c>
      <c r="AB22" s="683"/>
      <c r="AC22" s="684"/>
    </row>
    <row r="23" spans="1:32" ht="15.75" thickBot="1">
      <c r="A23" s="163">
        <f>ELEC!C22</f>
        <v>44124</v>
      </c>
      <c r="B23" s="559">
        <f t="shared" si="13"/>
        <v>490415</v>
      </c>
      <c r="C23" s="266">
        <f t="shared" si="0"/>
        <v>0</v>
      </c>
      <c r="D23" s="311">
        <f t="shared" si="8"/>
        <v>0</v>
      </c>
      <c r="E23" s="311">
        <f t="shared" si="11"/>
        <v>490415</v>
      </c>
      <c r="F23" s="559">
        <f t="shared" si="14"/>
        <v>67070</v>
      </c>
      <c r="G23" s="160">
        <f t="shared" si="1"/>
        <v>0</v>
      </c>
      <c r="H23" s="559">
        <f t="shared" si="15"/>
        <v>252839</v>
      </c>
      <c r="I23" s="161">
        <f t="shared" si="2"/>
        <v>0</v>
      </c>
      <c r="J23" s="559">
        <f t="shared" si="16"/>
        <v>170505</v>
      </c>
      <c r="K23" s="162">
        <f t="shared" si="3"/>
        <v>0</v>
      </c>
      <c r="L23" s="299">
        <f t="shared" si="24"/>
        <v>0</v>
      </c>
      <c r="M23" s="299">
        <f t="shared" si="25"/>
        <v>0</v>
      </c>
      <c r="N23" s="299">
        <f t="shared" si="26"/>
        <v>0</v>
      </c>
      <c r="O23" s="299">
        <f t="shared" si="7"/>
        <v>24.968232027514183</v>
      </c>
      <c r="P23" s="300">
        <f t="shared" si="9"/>
        <v>24.968232027514183</v>
      </c>
      <c r="Q23" s="300">
        <f>SUM(-tanks!AX25*tanks!$AU$37)</f>
        <v>0</v>
      </c>
      <c r="R23" s="300">
        <f t="shared" si="10"/>
        <v>24.968232027514183</v>
      </c>
      <c r="S23" s="302">
        <f>SUM(ELEC!N22)</f>
        <v>0</v>
      </c>
      <c r="T23" s="339">
        <f t="shared" si="12"/>
        <v>0</v>
      </c>
      <c r="V23" s="690"/>
      <c r="W23" s="691"/>
      <c r="X23" s="691"/>
      <c r="Y23" s="692"/>
      <c r="Z23" s="693"/>
      <c r="AA23" s="694"/>
      <c r="AB23" s="683"/>
      <c r="AC23" s="684"/>
    </row>
    <row r="24" spans="1:32" ht="15" customHeight="1" thickBot="1">
      <c r="A24" s="163">
        <f>ELEC!C23</f>
        <v>44125</v>
      </c>
      <c r="B24" s="559">
        <f t="shared" si="13"/>
        <v>490415</v>
      </c>
      <c r="C24" s="266">
        <f t="shared" si="0"/>
        <v>0</v>
      </c>
      <c r="D24" s="311">
        <f t="shared" si="8"/>
        <v>0</v>
      </c>
      <c r="E24" s="311">
        <f t="shared" si="11"/>
        <v>490415</v>
      </c>
      <c r="F24" s="559">
        <f t="shared" si="14"/>
        <v>67070</v>
      </c>
      <c r="G24" s="160">
        <f t="shared" si="1"/>
        <v>0</v>
      </c>
      <c r="H24" s="559">
        <f t="shared" si="15"/>
        <v>252839</v>
      </c>
      <c r="I24" s="161">
        <f t="shared" si="2"/>
        <v>0</v>
      </c>
      <c r="J24" s="559">
        <f t="shared" si="16"/>
        <v>170505</v>
      </c>
      <c r="K24" s="162">
        <f t="shared" si="3"/>
        <v>0</v>
      </c>
      <c r="L24" s="299">
        <f t="shared" si="24"/>
        <v>0</v>
      </c>
      <c r="M24" s="299">
        <f t="shared" si="25"/>
        <v>0</v>
      </c>
      <c r="N24" s="299">
        <f t="shared" si="26"/>
        <v>0</v>
      </c>
      <c r="O24" s="299">
        <f t="shared" si="7"/>
        <v>24.968232027514183</v>
      </c>
      <c r="P24" s="300">
        <f t="shared" si="9"/>
        <v>24.968232027514183</v>
      </c>
      <c r="Q24" s="300">
        <f>SUM(-tanks!AX26*tanks!$AU$37)</f>
        <v>0</v>
      </c>
      <c r="R24" s="300">
        <f t="shared" si="10"/>
        <v>24.968232027514183</v>
      </c>
      <c r="S24" s="302">
        <f>SUM(ELEC!N23)</f>
        <v>0</v>
      </c>
      <c r="T24" s="339">
        <f t="shared" si="12"/>
        <v>0</v>
      </c>
      <c r="V24" s="695" t="s">
        <v>204</v>
      </c>
      <c r="W24" s="696"/>
      <c r="X24" s="697" t="s">
        <v>205</v>
      </c>
      <c r="Y24" s="698"/>
      <c r="Z24" s="699"/>
      <c r="AA24" s="170"/>
      <c r="AB24" s="685"/>
      <c r="AC24" s="686"/>
    </row>
    <row r="25" spans="1:32" ht="17.25" customHeight="1" thickBot="1">
      <c r="A25" s="163">
        <f>ELEC!C24</f>
        <v>44126</v>
      </c>
      <c r="B25" s="559">
        <f t="shared" si="13"/>
        <v>490415</v>
      </c>
      <c r="C25" s="266">
        <f t="shared" si="0"/>
        <v>0</v>
      </c>
      <c r="D25" s="311">
        <f t="shared" si="8"/>
        <v>0</v>
      </c>
      <c r="E25" s="311">
        <f t="shared" si="11"/>
        <v>490415</v>
      </c>
      <c r="F25" s="559">
        <f t="shared" si="14"/>
        <v>67070</v>
      </c>
      <c r="G25" s="160">
        <f t="shared" si="1"/>
        <v>0</v>
      </c>
      <c r="H25" s="559">
        <f t="shared" si="15"/>
        <v>252839</v>
      </c>
      <c r="I25" s="161">
        <f t="shared" si="2"/>
        <v>0</v>
      </c>
      <c r="J25" s="559">
        <f t="shared" si="16"/>
        <v>170505</v>
      </c>
      <c r="K25" s="162">
        <f t="shared" si="3"/>
        <v>0</v>
      </c>
      <c r="L25" s="299">
        <f t="shared" si="24"/>
        <v>0</v>
      </c>
      <c r="M25" s="299">
        <f t="shared" si="25"/>
        <v>0</v>
      </c>
      <c r="N25" s="299">
        <f t="shared" si="26"/>
        <v>0</v>
      </c>
      <c r="O25" s="299">
        <f t="shared" si="7"/>
        <v>24.968232027514183</v>
      </c>
      <c r="P25" s="300">
        <f t="shared" si="9"/>
        <v>24.968232027514183</v>
      </c>
      <c r="Q25" s="300">
        <f>SUM(-tanks!AX27*tanks!$AU$37)</f>
        <v>0</v>
      </c>
      <c r="R25" s="300">
        <f t="shared" si="10"/>
        <v>24.968232027514183</v>
      </c>
      <c r="S25" s="302">
        <f>SUM(ELEC!N24)</f>
        <v>0</v>
      </c>
      <c r="T25" s="339">
        <f t="shared" si="12"/>
        <v>0</v>
      </c>
      <c r="V25" s="249" t="s">
        <v>206</v>
      </c>
      <c r="W25" s="250" t="s">
        <v>207</v>
      </c>
      <c r="X25" s="250"/>
      <c r="Y25" s="250" t="s">
        <v>208</v>
      </c>
      <c r="Z25" s="250" t="s">
        <v>209</v>
      </c>
      <c r="AA25" s="250" t="s">
        <v>210</v>
      </c>
      <c r="AB25" s="250" t="s">
        <v>211</v>
      </c>
      <c r="AC25" s="171" t="s">
        <v>212</v>
      </c>
    </row>
    <row r="26" spans="1:32" ht="15.75" thickBot="1">
      <c r="A26" s="163">
        <f>ELEC!C25</f>
        <v>44127</v>
      </c>
      <c r="B26" s="559">
        <f t="shared" si="13"/>
        <v>490415</v>
      </c>
      <c r="C26" s="266">
        <f t="shared" si="0"/>
        <v>0</v>
      </c>
      <c r="D26" s="311">
        <f t="shared" si="8"/>
        <v>0</v>
      </c>
      <c r="E26" s="311">
        <f t="shared" si="11"/>
        <v>490415</v>
      </c>
      <c r="F26" s="559">
        <f t="shared" si="14"/>
        <v>67070</v>
      </c>
      <c r="G26" s="160">
        <f t="shared" si="1"/>
        <v>0</v>
      </c>
      <c r="H26" s="559">
        <f t="shared" si="15"/>
        <v>252839</v>
      </c>
      <c r="I26" s="161">
        <f t="shared" si="2"/>
        <v>0</v>
      </c>
      <c r="J26" s="559">
        <f t="shared" si="16"/>
        <v>170505</v>
      </c>
      <c r="K26" s="162">
        <f t="shared" si="3"/>
        <v>0</v>
      </c>
      <c r="L26" s="299">
        <f t="shared" si="24"/>
        <v>0</v>
      </c>
      <c r="M26" s="299">
        <f t="shared" si="25"/>
        <v>0</v>
      </c>
      <c r="N26" s="299">
        <f t="shared" si="26"/>
        <v>0</v>
      </c>
      <c r="O26" s="299">
        <f t="shared" si="7"/>
        <v>24.968232027514183</v>
      </c>
      <c r="P26" s="300">
        <f t="shared" si="9"/>
        <v>24.968232027514183</v>
      </c>
      <c r="Q26" s="300">
        <f>SUM(-tanks!AX28*tanks!$AU$37)</f>
        <v>0</v>
      </c>
      <c r="R26" s="300">
        <f t="shared" si="10"/>
        <v>24.968232027514183</v>
      </c>
      <c r="S26" s="302">
        <f>SUM(ELEC!N25)</f>
        <v>0</v>
      </c>
      <c r="T26" s="339">
        <f t="shared" si="12"/>
        <v>0</v>
      </c>
      <c r="V26" s="256">
        <f>W9</f>
        <v>164328</v>
      </c>
      <c r="W26" s="170">
        <f>J33</f>
        <v>170505</v>
      </c>
      <c r="X26" s="172" t="s">
        <v>199</v>
      </c>
      <c r="Y26" s="172">
        <v>80</v>
      </c>
      <c r="Z26" s="172">
        <v>1</v>
      </c>
      <c r="AA26" s="341">
        <f>(W26-V26)*Z26</f>
        <v>6177</v>
      </c>
      <c r="AB26" s="341">
        <f>AA26*Y26</f>
        <v>494160</v>
      </c>
      <c r="AC26" s="251">
        <f>AC9</f>
        <v>1033333</v>
      </c>
      <c r="AD26" s="213">
        <f>SUM(K37)</f>
        <v>0.29899801539280702</v>
      </c>
    </row>
    <row r="27" spans="1:32" ht="15.75" thickBot="1">
      <c r="A27" s="163">
        <f>ELEC!C26</f>
        <v>44128</v>
      </c>
      <c r="B27" s="559">
        <f t="shared" si="13"/>
        <v>490415</v>
      </c>
      <c r="C27" s="266">
        <f t="shared" si="0"/>
        <v>0</v>
      </c>
      <c r="D27" s="311">
        <f t="shared" si="8"/>
        <v>0</v>
      </c>
      <c r="E27" s="311">
        <f t="shared" si="11"/>
        <v>490415</v>
      </c>
      <c r="F27" s="559">
        <f t="shared" si="14"/>
        <v>67070</v>
      </c>
      <c r="G27" s="160">
        <f t="shared" si="1"/>
        <v>0</v>
      </c>
      <c r="H27" s="559">
        <f t="shared" si="15"/>
        <v>252839</v>
      </c>
      <c r="I27" s="161">
        <f t="shared" si="2"/>
        <v>0</v>
      </c>
      <c r="J27" s="559">
        <f t="shared" si="16"/>
        <v>170505</v>
      </c>
      <c r="K27" s="162">
        <f t="shared" si="3"/>
        <v>0</v>
      </c>
      <c r="L27" s="299">
        <f t="shared" si="24"/>
        <v>0</v>
      </c>
      <c r="M27" s="299">
        <f t="shared" si="25"/>
        <v>0</v>
      </c>
      <c r="N27" s="299">
        <f t="shared" si="26"/>
        <v>0</v>
      </c>
      <c r="O27" s="299">
        <f t="shared" si="7"/>
        <v>24.968232027514183</v>
      </c>
      <c r="P27" s="300">
        <f t="shared" si="9"/>
        <v>24.968232027514183</v>
      </c>
      <c r="Q27" s="300">
        <f>SUM(-tanks!AX29*tanks!$AU$37)</f>
        <v>0</v>
      </c>
      <c r="R27" s="300">
        <f t="shared" si="10"/>
        <v>24.968232027514183</v>
      </c>
      <c r="S27" s="302">
        <f>SUM(ELEC!N26)</f>
        <v>0</v>
      </c>
      <c r="T27" s="339">
        <f t="shared" si="12"/>
        <v>0</v>
      </c>
      <c r="V27" s="256">
        <f t="shared" ref="V27:V28" si="27">W10</f>
        <v>242131</v>
      </c>
      <c r="W27" s="170">
        <f>H33</f>
        <v>252839</v>
      </c>
      <c r="X27" s="172" t="s">
        <v>213</v>
      </c>
      <c r="Y27" s="172">
        <v>112</v>
      </c>
      <c r="Z27" s="172">
        <v>1</v>
      </c>
      <c r="AA27" s="341">
        <f>(W27-V27)*Z27</f>
        <v>10708</v>
      </c>
      <c r="AB27" s="341">
        <f>SUM(AA27*Y27)</f>
        <v>1199296</v>
      </c>
      <c r="AC27" s="251">
        <f>AC10</f>
        <v>6200000</v>
      </c>
      <c r="AD27" s="213">
        <f>SUM(I37)</f>
        <v>0.51832131274505056</v>
      </c>
    </row>
    <row r="28" spans="1:32" ht="15.75" thickBot="1">
      <c r="A28" s="163">
        <f>ELEC!C27</f>
        <v>44129</v>
      </c>
      <c r="B28" s="559">
        <f t="shared" si="13"/>
        <v>490415</v>
      </c>
      <c r="C28" s="266">
        <f t="shared" si="0"/>
        <v>0</v>
      </c>
      <c r="D28" s="311">
        <f t="shared" si="8"/>
        <v>0</v>
      </c>
      <c r="E28" s="311">
        <f t="shared" si="11"/>
        <v>490415</v>
      </c>
      <c r="F28" s="559">
        <f t="shared" si="14"/>
        <v>67070</v>
      </c>
      <c r="G28" s="160">
        <f t="shared" si="1"/>
        <v>0</v>
      </c>
      <c r="H28" s="559">
        <f t="shared" si="15"/>
        <v>252839</v>
      </c>
      <c r="I28" s="161">
        <f t="shared" si="2"/>
        <v>0</v>
      </c>
      <c r="J28" s="559">
        <f t="shared" si="16"/>
        <v>170505</v>
      </c>
      <c r="K28" s="162">
        <f t="shared" si="3"/>
        <v>0</v>
      </c>
      <c r="L28" s="299">
        <f t="shared" si="24"/>
        <v>0</v>
      </c>
      <c r="M28" s="299">
        <f t="shared" si="25"/>
        <v>0</v>
      </c>
      <c r="N28" s="299">
        <f t="shared" si="26"/>
        <v>0</v>
      </c>
      <c r="O28" s="299">
        <f t="shared" si="7"/>
        <v>24.968232027514183</v>
      </c>
      <c r="P28" s="300">
        <f t="shared" si="9"/>
        <v>24.968232027514183</v>
      </c>
      <c r="Q28" s="300">
        <f>SUM(-tanks!AX30*tanks!$AU$37)</f>
        <v>0</v>
      </c>
      <c r="R28" s="300">
        <f t="shared" si="10"/>
        <v>24.968232027514183</v>
      </c>
      <c r="S28" s="302">
        <f>SUM(ELEC!N27)</f>
        <v>0</v>
      </c>
      <c r="T28" s="339">
        <f t="shared" si="12"/>
        <v>0</v>
      </c>
      <c r="V28" s="256">
        <f t="shared" si="27"/>
        <v>63298</v>
      </c>
      <c r="W28" s="170">
        <f>F33</f>
        <v>67070</v>
      </c>
      <c r="X28" s="172" t="s">
        <v>197</v>
      </c>
      <c r="Y28" s="172">
        <v>320</v>
      </c>
      <c r="Z28" s="172">
        <v>1</v>
      </c>
      <c r="AA28" s="341">
        <f>(W28-V28)*Z28</f>
        <v>3772</v>
      </c>
      <c r="AB28" s="341">
        <f>SUM(AA28*Y28)</f>
        <v>1207040</v>
      </c>
      <c r="AC28" s="251">
        <f>AC11</f>
        <v>1000</v>
      </c>
      <c r="AD28" s="213">
        <f>SUM(G37)</f>
        <v>0.18258386175516722</v>
      </c>
      <c r="AE28" s="40">
        <f>SUM(AB28*5%)</f>
        <v>60352</v>
      </c>
      <c r="AF28" s="82">
        <f>SUM(AE28/7)*31</f>
        <v>267273.1428571429</v>
      </c>
    </row>
    <row r="29" spans="1:32" ht="15.75" thickBot="1">
      <c r="A29" s="163">
        <f>ELEC!C28</f>
        <v>44130</v>
      </c>
      <c r="B29" s="559">
        <f t="shared" si="13"/>
        <v>490415</v>
      </c>
      <c r="C29" s="266">
        <f t="shared" si="0"/>
        <v>0</v>
      </c>
      <c r="D29" s="311">
        <f t="shared" si="8"/>
        <v>0</v>
      </c>
      <c r="E29" s="311">
        <f t="shared" si="11"/>
        <v>490415</v>
      </c>
      <c r="F29" s="559">
        <f t="shared" si="14"/>
        <v>67070</v>
      </c>
      <c r="G29" s="160">
        <f t="shared" si="1"/>
        <v>0</v>
      </c>
      <c r="H29" s="559">
        <f t="shared" si="15"/>
        <v>252839</v>
      </c>
      <c r="I29" s="161">
        <f t="shared" si="2"/>
        <v>0</v>
      </c>
      <c r="J29" s="559">
        <f t="shared" si="16"/>
        <v>170505</v>
      </c>
      <c r="K29" s="162">
        <f t="shared" si="3"/>
        <v>0</v>
      </c>
      <c r="L29" s="299">
        <f t="shared" si="24"/>
        <v>0</v>
      </c>
      <c r="M29" s="299">
        <f t="shared" si="25"/>
        <v>0</v>
      </c>
      <c r="N29" s="299">
        <f t="shared" si="26"/>
        <v>0</v>
      </c>
      <c r="O29" s="299">
        <f t="shared" si="7"/>
        <v>24.968232027514183</v>
      </c>
      <c r="P29" s="300">
        <f t="shared" si="9"/>
        <v>24.968232027514183</v>
      </c>
      <c r="Q29" s="300">
        <f>SUM(-tanks!AX31*tanks!$AU$37)</f>
        <v>0</v>
      </c>
      <c r="R29" s="300">
        <f t="shared" si="10"/>
        <v>24.968232027514183</v>
      </c>
      <c r="S29" s="302">
        <f>SUM(ELEC!N28)</f>
        <v>0</v>
      </c>
      <c r="T29" s="339">
        <f t="shared" si="12"/>
        <v>0</v>
      </c>
      <c r="V29" s="214"/>
      <c r="W29" s="215"/>
      <c r="X29" s="215"/>
      <c r="Y29" s="216"/>
      <c r="Z29" s="3"/>
      <c r="AA29" s="341">
        <f>SUM(AA26:AA28)</f>
        <v>20657</v>
      </c>
      <c r="AB29" s="341"/>
      <c r="AC29" s="251"/>
    </row>
    <row r="30" spans="1:32" ht="14.25" customHeight="1" thickBot="1">
      <c r="A30" s="163">
        <f>ELEC!C29</f>
        <v>44131</v>
      </c>
      <c r="B30" s="559">
        <f t="shared" si="13"/>
        <v>490415</v>
      </c>
      <c r="C30" s="266">
        <f t="shared" si="0"/>
        <v>0</v>
      </c>
      <c r="D30" s="311">
        <f t="shared" si="8"/>
        <v>0</v>
      </c>
      <c r="E30" s="311">
        <f t="shared" si="11"/>
        <v>490415</v>
      </c>
      <c r="F30" s="559">
        <f t="shared" si="14"/>
        <v>67070</v>
      </c>
      <c r="G30" s="160">
        <f t="shared" si="1"/>
        <v>0</v>
      </c>
      <c r="H30" s="559">
        <f t="shared" si="15"/>
        <v>252839</v>
      </c>
      <c r="I30" s="161">
        <f t="shared" si="2"/>
        <v>0</v>
      </c>
      <c r="J30" s="559">
        <f t="shared" si="16"/>
        <v>170505</v>
      </c>
      <c r="K30" s="162">
        <f t="shared" si="3"/>
        <v>0</v>
      </c>
      <c r="L30" s="299">
        <f t="shared" si="24"/>
        <v>0</v>
      </c>
      <c r="M30" s="299">
        <f t="shared" si="25"/>
        <v>0</v>
      </c>
      <c r="N30" s="299">
        <f t="shared" si="26"/>
        <v>0</v>
      </c>
      <c r="O30" s="299">
        <f t="shared" si="7"/>
        <v>24.968232027514183</v>
      </c>
      <c r="P30" s="300">
        <f t="shared" si="9"/>
        <v>24.968232027514183</v>
      </c>
      <c r="Q30" s="300">
        <f>SUM(-tanks!AX32*tanks!$AU$37)</f>
        <v>0</v>
      </c>
      <c r="R30" s="300">
        <f t="shared" si="10"/>
        <v>24.968232027514183</v>
      </c>
      <c r="S30" s="302">
        <f>SUM(ELEC!N29)</f>
        <v>0</v>
      </c>
      <c r="T30" s="339">
        <f t="shared" si="12"/>
        <v>0</v>
      </c>
      <c r="V30" s="217" t="s">
        <v>316</v>
      </c>
      <c r="W30" s="450">
        <f>'General information '!F37</f>
        <v>0</v>
      </c>
      <c r="X30" s="218"/>
      <c r="Y30" s="219" t="s">
        <v>332</v>
      </c>
      <c r="Z30" s="3"/>
      <c r="AA30" s="341"/>
      <c r="AB30" s="341">
        <f>SUM(AB26:AB29)</f>
        <v>2900496</v>
      </c>
      <c r="AC30" s="251">
        <f>SUM(AC26:AC29)/A38*A36</f>
        <v>1166827.9032258065</v>
      </c>
    </row>
    <row r="31" spans="1:32" ht="15.75" thickBot="1">
      <c r="A31" s="163">
        <f>ELEC!C30</f>
        <v>44132</v>
      </c>
      <c r="B31" s="559">
        <f t="shared" si="13"/>
        <v>490415</v>
      </c>
      <c r="C31" s="266">
        <f t="shared" si="0"/>
        <v>0</v>
      </c>
      <c r="D31" s="311">
        <f t="shared" si="8"/>
        <v>0</v>
      </c>
      <c r="E31" s="311">
        <f t="shared" si="11"/>
        <v>490415</v>
      </c>
      <c r="F31" s="559">
        <f t="shared" si="14"/>
        <v>67070</v>
      </c>
      <c r="G31" s="160">
        <f t="shared" si="1"/>
        <v>0</v>
      </c>
      <c r="H31" s="559">
        <f t="shared" si="15"/>
        <v>252839</v>
      </c>
      <c r="I31" s="161">
        <f t="shared" si="2"/>
        <v>0</v>
      </c>
      <c r="J31" s="559">
        <f t="shared" si="16"/>
        <v>170505</v>
      </c>
      <c r="K31" s="162">
        <f t="shared" si="3"/>
        <v>0</v>
      </c>
      <c r="L31" s="299">
        <f t="shared" si="24"/>
        <v>0</v>
      </c>
      <c r="M31" s="299">
        <f t="shared" si="25"/>
        <v>0</v>
      </c>
      <c r="N31" s="299">
        <f t="shared" si="26"/>
        <v>0</v>
      </c>
      <c r="O31" s="299">
        <f t="shared" si="7"/>
        <v>24.968232027514183</v>
      </c>
      <c r="P31" s="300">
        <f t="shared" si="9"/>
        <v>24.968232027514183</v>
      </c>
      <c r="Q31" s="300">
        <f>SUM(-tanks!AX33*tanks!$AU$37)</f>
        <v>0</v>
      </c>
      <c r="R31" s="300">
        <f t="shared" si="10"/>
        <v>24.968232027514183</v>
      </c>
      <c r="S31" s="302">
        <f>SUM(ELEC!N30)</f>
        <v>0</v>
      </c>
      <c r="T31" s="339">
        <f t="shared" si="12"/>
        <v>0</v>
      </c>
      <c r="V31" s="217" t="s">
        <v>317</v>
      </c>
      <c r="W31" s="218">
        <f>SUM(GEN!U34)</f>
        <v>13</v>
      </c>
      <c r="X31" s="223">
        <f>SUM(W31/A36)</f>
        <v>2.6</v>
      </c>
      <c r="Y31" s="262">
        <f>SUM(X31/2)</f>
        <v>1.3</v>
      </c>
      <c r="Z31" s="3"/>
      <c r="AA31" s="3"/>
      <c r="AB31" s="563">
        <f>SUM(AB30+AC31)</f>
        <v>4067323.9032258065</v>
      </c>
      <c r="AC31" s="251">
        <f>SUM(AC30)</f>
        <v>1166827.9032258065</v>
      </c>
    </row>
    <row r="32" spans="1:32" ht="15.75" thickBot="1">
      <c r="A32" s="163">
        <f>ELEC!C31</f>
        <v>44133</v>
      </c>
      <c r="B32" s="559">
        <f t="shared" si="13"/>
        <v>490415</v>
      </c>
      <c r="C32" s="266">
        <f t="shared" si="0"/>
        <v>0</v>
      </c>
      <c r="D32" s="311">
        <f t="shared" si="8"/>
        <v>0</v>
      </c>
      <c r="E32" s="311">
        <f t="shared" si="11"/>
        <v>490415</v>
      </c>
      <c r="F32" s="559">
        <f t="shared" si="14"/>
        <v>67070</v>
      </c>
      <c r="G32" s="160">
        <f t="shared" si="1"/>
        <v>0</v>
      </c>
      <c r="H32" s="559">
        <f t="shared" si="15"/>
        <v>252839</v>
      </c>
      <c r="I32" s="161">
        <f t="shared" si="2"/>
        <v>0</v>
      </c>
      <c r="J32" s="559">
        <f t="shared" si="16"/>
        <v>170505</v>
      </c>
      <c r="K32" s="162">
        <f t="shared" si="3"/>
        <v>0</v>
      </c>
      <c r="L32" s="299">
        <f t="shared" si="24"/>
        <v>0</v>
      </c>
      <c r="M32" s="299">
        <f t="shared" si="25"/>
        <v>0</v>
      </c>
      <c r="N32" s="299">
        <f t="shared" si="26"/>
        <v>0</v>
      </c>
      <c r="O32" s="299">
        <f t="shared" si="7"/>
        <v>24.968232027514183</v>
      </c>
      <c r="P32" s="300">
        <f t="shared" si="9"/>
        <v>24.968232027514183</v>
      </c>
      <c r="Q32" s="300">
        <f>SUM(-tanks!AX34*tanks!$AU$37)</f>
        <v>0</v>
      </c>
      <c r="R32" s="300">
        <f t="shared" si="10"/>
        <v>24.968232027514183</v>
      </c>
      <c r="S32" s="302">
        <f>SUM(ELEC!N31)</f>
        <v>0</v>
      </c>
      <c r="T32" s="339">
        <f t="shared" si="12"/>
        <v>0</v>
      </c>
      <c r="V32" s="217" t="s">
        <v>318</v>
      </c>
      <c r="W32" s="218">
        <f>'Degree Days 2020'!AA17</f>
        <v>0</v>
      </c>
      <c r="X32" s="218"/>
      <c r="Y32" s="219"/>
      <c r="Z32" s="3"/>
      <c r="AA32" s="3"/>
      <c r="AB32" s="3"/>
      <c r="AC32" s="173"/>
    </row>
    <row r="33" spans="1:32" ht="15.75" thickBot="1">
      <c r="A33" s="163">
        <f>ELEC!C32</f>
        <v>44134</v>
      </c>
      <c r="B33" s="559">
        <f t="shared" si="13"/>
        <v>490415</v>
      </c>
      <c r="C33" s="266">
        <f t="shared" si="0"/>
        <v>0</v>
      </c>
      <c r="D33" s="311">
        <f t="shared" si="8"/>
        <v>0</v>
      </c>
      <c r="E33" s="311">
        <f t="shared" si="11"/>
        <v>490415</v>
      </c>
      <c r="F33" s="559">
        <f t="shared" si="14"/>
        <v>67070</v>
      </c>
      <c r="G33" s="160">
        <f>F33-F32</f>
        <v>0</v>
      </c>
      <c r="H33" s="559">
        <f t="shared" si="15"/>
        <v>252839</v>
      </c>
      <c r="I33" s="161">
        <f t="shared" si="2"/>
        <v>0</v>
      </c>
      <c r="J33" s="559">
        <f t="shared" si="16"/>
        <v>170505</v>
      </c>
      <c r="K33" s="162">
        <f t="shared" si="3"/>
        <v>0</v>
      </c>
      <c r="L33" s="299">
        <f t="shared" si="24"/>
        <v>0</v>
      </c>
      <c r="M33" s="299">
        <f t="shared" si="25"/>
        <v>0</v>
      </c>
      <c r="N33" s="299">
        <f t="shared" si="26"/>
        <v>0</v>
      </c>
      <c r="O33" s="299">
        <f t="shared" si="7"/>
        <v>24.968232027514183</v>
      </c>
      <c r="P33" s="300">
        <f>SUM(L33:O33)</f>
        <v>24.968232027514183</v>
      </c>
      <c r="Q33" s="300">
        <f>SUM(-tanks!AX35*tanks!$AU$37)</f>
        <v>0</v>
      </c>
      <c r="R33" s="300">
        <f>SUM(P33:Q33)</f>
        <v>24.968232027514183</v>
      </c>
      <c r="S33" s="302">
        <f>SUM(ELEC!N32)</f>
        <v>0</v>
      </c>
      <c r="T33" s="339">
        <f>IF(S33&gt;0,R33/S33,0)</f>
        <v>0</v>
      </c>
      <c r="V33" s="217" t="s">
        <v>319</v>
      </c>
      <c r="W33" s="218">
        <f>'Degree Days 2020'!AB17</f>
        <v>307.69999999999982</v>
      </c>
      <c r="X33" s="218"/>
      <c r="Y33" s="219"/>
      <c r="Z33" s="3"/>
      <c r="AA33" s="3"/>
      <c r="AB33" s="3"/>
      <c r="AC33" s="173"/>
    </row>
    <row r="34" spans="1:32">
      <c r="A34" s="163">
        <f>ELEC!C33</f>
        <v>44135</v>
      </c>
      <c r="B34" s="559">
        <f t="shared" si="13"/>
        <v>490415</v>
      </c>
      <c r="C34" s="266">
        <f t="shared" ref="C34" si="28">SUM(B34-B33)</f>
        <v>0</v>
      </c>
      <c r="D34" s="311">
        <f t="shared" ref="D34" si="29">SUM(G34+I34+K34)</f>
        <v>0</v>
      </c>
      <c r="E34" s="311">
        <f t="shared" ref="E34" si="30">B33+D34</f>
        <v>490415</v>
      </c>
      <c r="F34" s="559">
        <f t="shared" si="14"/>
        <v>67070</v>
      </c>
      <c r="G34" s="160">
        <f>F34-F33</f>
        <v>0</v>
      </c>
      <c r="H34" s="559">
        <f t="shared" si="15"/>
        <v>252839</v>
      </c>
      <c r="I34" s="161">
        <f t="shared" ref="I34" si="31">H34-H33</f>
        <v>0</v>
      </c>
      <c r="J34" s="559">
        <f t="shared" si="16"/>
        <v>170505</v>
      </c>
      <c r="K34" s="162">
        <f t="shared" ref="K34" si="32">J34-J33</f>
        <v>0</v>
      </c>
      <c r="L34" s="299">
        <f t="shared" ref="L34" si="33">SUM(G34*$Y$28)/1507.5</f>
        <v>0</v>
      </c>
      <c r="M34" s="299">
        <f t="shared" ref="M34" si="34">SUM(I34*$Y$27)/1507.5</f>
        <v>0</v>
      </c>
      <c r="N34" s="299">
        <f t="shared" ref="N34" si="35">SUM(K34*$Y$26)/1507.5</f>
        <v>0</v>
      </c>
      <c r="O34" s="299">
        <f t="shared" si="7"/>
        <v>24.968232027514183</v>
      </c>
      <c r="P34" s="300">
        <f>SUM(L34:O34)</f>
        <v>24.968232027514183</v>
      </c>
      <c r="Q34" s="300">
        <f>SUM(-tanks!AX36*tanks!$AU$37)</f>
        <v>0</v>
      </c>
      <c r="R34" s="300">
        <f>SUM(P34:Q34)</f>
        <v>24.968232027514183</v>
      </c>
      <c r="S34" s="302">
        <f>SUM(ELEC!N33)</f>
        <v>0</v>
      </c>
      <c r="T34" s="339">
        <f>IF(S34&gt;0,R34/S34,0)</f>
        <v>0</v>
      </c>
      <c r="V34" s="217"/>
      <c r="W34" s="218"/>
      <c r="X34" s="218"/>
      <c r="Y34" s="218"/>
      <c r="Z34" s="3"/>
      <c r="AA34" s="3"/>
      <c r="AB34" s="3"/>
      <c r="AC34" s="173"/>
    </row>
    <row r="35" spans="1:32">
      <c r="A35" s="550"/>
      <c r="B35" s="551"/>
      <c r="C35" s="552"/>
      <c r="D35" s="552"/>
      <c r="E35" s="552"/>
      <c r="F35" s="551"/>
      <c r="G35" s="551"/>
      <c r="H35" s="551"/>
      <c r="I35" s="551"/>
      <c r="J35" s="551"/>
      <c r="K35" s="556"/>
      <c r="L35" s="553"/>
      <c r="M35" s="553"/>
      <c r="N35" s="553"/>
      <c r="O35" s="553"/>
      <c r="P35" s="554"/>
      <c r="Q35" s="554"/>
      <c r="R35" s="554"/>
      <c r="S35" s="554"/>
      <c r="T35" s="555"/>
      <c r="V35" s="255"/>
      <c r="W35" s="17"/>
      <c r="X35" s="17"/>
      <c r="Y35" s="17"/>
      <c r="Z35" s="3" t="s">
        <v>214</v>
      </c>
      <c r="AA35" s="280">
        <v>0.11</v>
      </c>
      <c r="AB35" s="294">
        <f>SUM(AB31*AA35)</f>
        <v>447405.62935483875</v>
      </c>
      <c r="AC35" s="602"/>
    </row>
    <row r="36" spans="1:32" ht="15.75" thickBot="1">
      <c r="A36" s="549">
        <f>A38-COUNTIF(C4:C34,0)</f>
        <v>5</v>
      </c>
      <c r="C36" s="174">
        <f>SUM(C4:C34)/A36</f>
        <v>4131.8</v>
      </c>
      <c r="D36" s="174"/>
      <c r="E36" s="174"/>
      <c r="G36" s="174">
        <f>SUM(G4:G34)/A36</f>
        <v>754.4</v>
      </c>
      <c r="I36" s="174">
        <f>SUM(I4:I34)/A36</f>
        <v>2141.6</v>
      </c>
      <c r="K36" s="174">
        <f>SUM(K4:K35)/A36</f>
        <v>1235.4000000000001</v>
      </c>
      <c r="L36" s="174">
        <f>SUM(L35*1507.5)</f>
        <v>0</v>
      </c>
      <c r="M36" s="174">
        <f>SUM(M35*1507.5)</f>
        <v>0</v>
      </c>
      <c r="N36" s="174">
        <f>SUM(N35*1507.5)</f>
        <v>0</v>
      </c>
      <c r="O36" s="174">
        <f>SUM(O35*1507.5)</f>
        <v>0</v>
      </c>
      <c r="P36" s="174"/>
      <c r="Q36" s="174"/>
      <c r="R36" s="174"/>
      <c r="S36" s="303"/>
      <c r="V36" s="230"/>
      <c r="W36" s="231"/>
      <c r="X36" s="231"/>
      <c r="Y36" s="231"/>
      <c r="Z36" s="3"/>
      <c r="AA36" s="45"/>
      <c r="AB36" s="294">
        <f>SUM(AB31+AB35)</f>
        <v>4514729.5325806458</v>
      </c>
      <c r="AC36" s="602"/>
    </row>
    <row r="37" spans="1:32" ht="15.75" thickBot="1">
      <c r="A37" s="211"/>
      <c r="C37" s="213">
        <f>SUM(G37:K37)</f>
        <v>0.99990318989302474</v>
      </c>
      <c r="G37" s="226">
        <f>IF(C36&gt;0,G36/C36,0)</f>
        <v>0.18258386175516722</v>
      </c>
      <c r="H37" s="213"/>
      <c r="I37" s="226">
        <f>SUM(I36/C36)</f>
        <v>0.51832131274505056</v>
      </c>
      <c r="J37" s="213"/>
      <c r="K37" s="226">
        <f>SUM(K36/C36)</f>
        <v>0.29899801539280702</v>
      </c>
      <c r="L37" s="226"/>
      <c r="M37" s="226"/>
      <c r="N37" s="226"/>
      <c r="O37" s="226"/>
      <c r="P37" s="226"/>
      <c r="Q37" s="226"/>
      <c r="R37" s="226"/>
      <c r="S37" s="304"/>
      <c r="V37" s="230"/>
      <c r="W37" s="231"/>
      <c r="X37" s="231"/>
      <c r="Y37" s="231"/>
      <c r="Z37" s="231"/>
      <c r="AA37" s="231" t="s">
        <v>215</v>
      </c>
      <c r="AB37" s="603">
        <f>SUM(AB31/1507.5)</f>
        <v>2698.0589739474672</v>
      </c>
      <c r="AC37" s="604"/>
    </row>
    <row r="38" spans="1:32" ht="15.75" thickBot="1">
      <c r="A38">
        <v>31</v>
      </c>
      <c r="G38" s="213"/>
      <c r="H38" s="213"/>
      <c r="I38" s="213"/>
      <c r="J38" s="213"/>
      <c r="K38" s="213"/>
      <c r="L38" s="213"/>
      <c r="M38" s="213"/>
      <c r="N38" s="213"/>
      <c r="O38" s="213"/>
      <c r="P38" s="213"/>
      <c r="Q38" s="213"/>
      <c r="R38" s="213"/>
      <c r="V38" s="277"/>
      <c r="W38" s="220"/>
      <c r="X38" s="220"/>
      <c r="Y38" s="221"/>
      <c r="Z38" s="599"/>
      <c r="AA38" s="599"/>
      <c r="AB38" s="600"/>
      <c r="AC38" s="601"/>
    </row>
    <row r="39" spans="1:32">
      <c r="V39" s="218"/>
      <c r="W39" s="82">
        <f>AC30/1507.5</f>
        <v>774.01519285293966</v>
      </c>
      <c r="Z39" s="40"/>
      <c r="AA39" s="295" t="s">
        <v>215</v>
      </c>
      <c r="AB39" s="296">
        <f>SUM(AB37)</f>
        <v>2698.0589739474672</v>
      </c>
    </row>
    <row r="40" spans="1:32">
      <c r="V40" s="218"/>
      <c r="W40" s="82">
        <f>(AB30+AB55)/1507.5</f>
        <v>1924.0437810945273</v>
      </c>
      <c r="X40" s="564"/>
      <c r="Z40" s="297">
        <f>SUM(AB39)</f>
        <v>2698.0589739474672</v>
      </c>
      <c r="AA40" s="296"/>
      <c r="AB40" s="296"/>
    </row>
    <row r="41" spans="1:32">
      <c r="V41" s="17"/>
      <c r="W41" s="82">
        <f>SUM(W39:W40)</f>
        <v>2698.0589739474672</v>
      </c>
      <c r="X41" s="564"/>
      <c r="Y41" s="82"/>
      <c r="Z41" s="297">
        <f>SUM(-tanks!AX37)*tanks!AU37</f>
        <v>0</v>
      </c>
      <c r="AA41" s="101">
        <f>SUM(AB31/A36)</f>
        <v>813464.78064516129</v>
      </c>
      <c r="AB41" s="352">
        <f>SUM(AA41*A38)</f>
        <v>25217408.199999999</v>
      </c>
    </row>
    <row r="42" spans="1:32" ht="18.75">
      <c r="W42" s="82">
        <f>(AB30+AB55)/1507.5</f>
        <v>1924.0437810945273</v>
      </c>
      <c r="Z42" s="278">
        <f>SUM(Z40:Z41)</f>
        <v>2698.0589739474672</v>
      </c>
      <c r="AA42" s="296">
        <f>SUM(AA41/1507.5)</f>
        <v>539.61179478949339</v>
      </c>
      <c r="AB42" s="351">
        <f>SUM(AB41/1507.5)</f>
        <v>16727.965638474296</v>
      </c>
    </row>
    <row r="43" spans="1:32">
      <c r="D43" s="527"/>
      <c r="E43" s="527"/>
      <c r="F43" s="527"/>
      <c r="W43" s="82">
        <f>SUM(W41:W42)</f>
        <v>4622.1027550419949</v>
      </c>
      <c r="Z43" s="298" t="e">
        <f>SUM(ELEC!#REF!)</f>
        <v>#REF!</v>
      </c>
    </row>
    <row r="44" spans="1:32">
      <c r="Z44" s="296" t="e">
        <f>Z42/Z43</f>
        <v>#REF!</v>
      </c>
    </row>
    <row r="45" spans="1:32"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</row>
    <row r="46" spans="1:32">
      <c r="V46" s="566"/>
      <c r="W46" s="567"/>
      <c r="X46" s="17"/>
      <c r="Y46" s="17"/>
      <c r="Z46" s="568"/>
      <c r="AA46" s="17"/>
      <c r="AB46" s="668"/>
      <c r="AC46" s="668"/>
      <c r="AD46" s="17"/>
      <c r="AE46" s="17"/>
      <c r="AF46" s="17"/>
    </row>
    <row r="47" spans="1:32">
      <c r="V47" s="668"/>
      <c r="W47" s="668"/>
      <c r="X47" s="668"/>
      <c r="Y47" s="668"/>
      <c r="Z47" s="568"/>
      <c r="AA47" s="568"/>
      <c r="AB47" s="668"/>
      <c r="AC47" s="668"/>
      <c r="AD47" s="17"/>
      <c r="AE47" s="17"/>
      <c r="AF47" s="17"/>
    </row>
    <row r="48" spans="1:32">
      <c r="V48" s="668"/>
      <c r="W48" s="668"/>
      <c r="X48" s="668"/>
      <c r="Y48" s="668"/>
      <c r="Z48" s="668"/>
      <c r="AA48" s="668"/>
      <c r="AB48" s="668"/>
      <c r="AC48" s="668"/>
      <c r="AD48" s="17"/>
      <c r="AE48" s="17"/>
      <c r="AF48" s="17"/>
    </row>
    <row r="49" spans="22:32">
      <c r="V49" s="669"/>
      <c r="W49" s="669"/>
      <c r="X49" s="670"/>
      <c r="Y49" s="670"/>
      <c r="Z49" s="670"/>
      <c r="AA49" s="569"/>
      <c r="AB49" s="668"/>
      <c r="AC49" s="668"/>
      <c r="AD49" s="17"/>
      <c r="AE49" s="17"/>
      <c r="AF49" s="17"/>
    </row>
    <row r="50" spans="22:32">
      <c r="V50" s="566"/>
      <c r="W50" s="566"/>
      <c r="X50" s="566"/>
      <c r="Y50" s="566"/>
      <c r="Z50" s="566"/>
      <c r="AA50" s="566"/>
      <c r="AB50" s="566"/>
      <c r="AC50" s="570"/>
      <c r="AD50" s="17"/>
      <c r="AE50" s="17"/>
      <c r="AF50" s="17"/>
    </row>
    <row r="51" spans="22:32">
      <c r="V51" s="569"/>
      <c r="W51" s="569"/>
      <c r="X51" s="571"/>
      <c r="Y51" s="571"/>
      <c r="Z51" s="571"/>
      <c r="AA51" s="73"/>
      <c r="AB51" s="73"/>
      <c r="AC51" s="73"/>
      <c r="AD51" s="572"/>
      <c r="AE51" s="17"/>
      <c r="AF51" s="17"/>
    </row>
    <row r="52" spans="22:32">
      <c r="V52" s="569"/>
      <c r="W52" s="569"/>
      <c r="X52" s="571"/>
      <c r="Y52" s="571"/>
      <c r="Z52" s="571"/>
      <c r="AA52" s="73"/>
      <c r="AB52" s="73"/>
      <c r="AC52" s="73"/>
      <c r="AD52" s="572"/>
      <c r="AE52" s="17"/>
      <c r="AF52" s="17"/>
    </row>
    <row r="53" spans="22:32">
      <c r="V53" s="569"/>
      <c r="W53" s="569"/>
      <c r="X53" s="571"/>
      <c r="Y53" s="571"/>
      <c r="Z53" s="571"/>
      <c r="AA53" s="73"/>
      <c r="AB53" s="73"/>
      <c r="AC53" s="73"/>
      <c r="AD53" s="572"/>
      <c r="AE53" s="573"/>
      <c r="AF53" s="574"/>
    </row>
    <row r="54" spans="22:32">
      <c r="V54" s="218"/>
      <c r="W54" s="218"/>
      <c r="X54" s="218"/>
      <c r="Y54" s="218"/>
      <c r="Z54" s="17"/>
      <c r="AA54" s="73"/>
      <c r="AB54" s="73"/>
      <c r="AC54" s="73"/>
      <c r="AD54" s="17"/>
      <c r="AE54" s="17"/>
      <c r="AF54" s="17"/>
    </row>
    <row r="55" spans="22:32">
      <c r="V55" s="218"/>
      <c r="W55" s="575"/>
      <c r="X55" s="218"/>
      <c r="Y55" s="218"/>
      <c r="Z55" s="17"/>
      <c r="AA55" s="73"/>
      <c r="AB55" s="269"/>
      <c r="AC55" s="73"/>
      <c r="AD55" s="17"/>
      <c r="AE55" s="17"/>
      <c r="AF55" s="17"/>
    </row>
    <row r="56" spans="22:32">
      <c r="V56" s="218"/>
      <c r="W56" s="218"/>
      <c r="X56" s="223"/>
      <c r="Y56" s="576"/>
      <c r="Z56" s="17"/>
      <c r="AA56" s="17"/>
      <c r="AB56" s="73"/>
      <c r="AC56" s="73"/>
      <c r="AD56" s="17"/>
      <c r="AE56" s="17"/>
      <c r="AF56" s="17"/>
    </row>
    <row r="57" spans="22:32">
      <c r="V57" s="218"/>
      <c r="W57" s="218"/>
      <c r="X57" s="218"/>
      <c r="Y57" s="218"/>
      <c r="Z57" s="17"/>
      <c r="AA57" s="17"/>
      <c r="AB57" s="17"/>
      <c r="AC57" s="17"/>
      <c r="AD57" s="17"/>
      <c r="AE57" s="17"/>
      <c r="AF57" s="17"/>
    </row>
    <row r="58" spans="22:32">
      <c r="V58" s="218"/>
      <c r="W58" s="218"/>
      <c r="X58" s="218"/>
      <c r="Y58" s="218"/>
      <c r="Z58" s="17"/>
      <c r="AA58" s="17"/>
      <c r="AB58" s="17"/>
      <c r="AC58" s="17"/>
      <c r="AD58" s="17"/>
      <c r="AE58" s="17"/>
      <c r="AF58" s="17"/>
    </row>
    <row r="59" spans="22:32">
      <c r="V59" s="218"/>
      <c r="W59" s="218"/>
      <c r="X59" s="218"/>
      <c r="Y59" s="218"/>
      <c r="Z59" s="17"/>
      <c r="AA59" s="17"/>
      <c r="AB59" s="17"/>
      <c r="AC59" s="17"/>
      <c r="AD59" s="17"/>
      <c r="AE59" s="17"/>
      <c r="AF59" s="17"/>
    </row>
    <row r="60" spans="22:32">
      <c r="V60" s="17"/>
      <c r="W60" s="17"/>
      <c r="X60" s="17"/>
      <c r="Y60" s="17"/>
      <c r="Z60" s="17"/>
      <c r="AA60" s="577"/>
      <c r="AB60" s="578"/>
      <c r="AC60" s="579"/>
      <c r="AD60" s="17"/>
      <c r="AE60" s="17"/>
      <c r="AF60" s="17"/>
    </row>
    <row r="61" spans="22:32">
      <c r="V61" s="17"/>
      <c r="W61" s="17"/>
      <c r="X61" s="17"/>
      <c r="Y61" s="17"/>
      <c r="Z61" s="17"/>
      <c r="AA61" s="580"/>
      <c r="AB61" s="578"/>
      <c r="AC61" s="579"/>
      <c r="AD61" s="17"/>
      <c r="AE61" s="17"/>
      <c r="AF61" s="17"/>
    </row>
    <row r="62" spans="22:32">
      <c r="V62" s="17"/>
      <c r="W62" s="17"/>
      <c r="X62" s="17"/>
      <c r="Y62" s="17"/>
      <c r="Z62" s="17"/>
      <c r="AA62" s="17"/>
      <c r="AB62" s="578"/>
      <c r="AC62" s="579"/>
      <c r="AD62" s="17"/>
      <c r="AE62" s="17"/>
      <c r="AF62" s="17"/>
    </row>
    <row r="63" spans="22:32">
      <c r="V63" s="218"/>
      <c r="W63" s="218"/>
      <c r="X63" s="218"/>
      <c r="Y63" s="218"/>
      <c r="Z63" s="17"/>
      <c r="AA63" s="17"/>
      <c r="AB63" s="581"/>
      <c r="AC63" s="17"/>
      <c r="AD63" s="17"/>
      <c r="AE63" s="17"/>
      <c r="AF63" s="17"/>
    </row>
    <row r="64" spans="22:32">
      <c r="V64" s="218"/>
      <c r="W64" s="574"/>
      <c r="X64" s="17"/>
      <c r="Y64" s="17"/>
      <c r="Z64" s="573"/>
      <c r="AA64" s="582"/>
      <c r="AB64" s="571"/>
      <c r="AC64" s="17"/>
      <c r="AD64" s="17"/>
      <c r="AE64" s="17"/>
      <c r="AF64" s="17"/>
    </row>
    <row r="65" spans="22:32">
      <c r="V65" s="218"/>
      <c r="W65" s="574"/>
      <c r="X65" s="17"/>
      <c r="Y65" s="17"/>
      <c r="Z65" s="427"/>
      <c r="AA65" s="571"/>
      <c r="AB65" s="571"/>
      <c r="AC65" s="17"/>
      <c r="AD65" s="17"/>
      <c r="AE65" s="17"/>
      <c r="AF65" s="17"/>
    </row>
    <row r="66" spans="22:32">
      <c r="V66" s="17"/>
      <c r="W66" s="574"/>
      <c r="X66" s="17"/>
      <c r="Y66" s="574"/>
      <c r="Z66" s="427"/>
      <c r="AA66" s="571"/>
      <c r="AB66" s="583"/>
      <c r="AC66" s="17"/>
      <c r="AD66" s="17"/>
      <c r="AE66" s="17"/>
      <c r="AF66" s="17"/>
    </row>
    <row r="67" spans="22:32" ht="18.75">
      <c r="V67" s="17"/>
      <c r="W67" s="574"/>
      <c r="X67" s="17"/>
      <c r="Y67" s="17"/>
      <c r="Z67" s="584"/>
      <c r="AA67" s="571"/>
      <c r="AB67" s="585"/>
      <c r="AC67" s="17"/>
      <c r="AD67" s="17"/>
      <c r="AE67" s="17"/>
      <c r="AF67" s="17"/>
    </row>
    <row r="68" spans="22:32">
      <c r="V68" s="17"/>
      <c r="W68" s="574"/>
      <c r="X68" s="17"/>
      <c r="Y68" s="17"/>
      <c r="Z68" s="73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571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  <row r="81" spans="22:32"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</row>
  </sheetData>
  <mergeCells count="14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AB46:AC49"/>
    <mergeCell ref="V47:Y48"/>
    <mergeCell ref="Z48:AA48"/>
    <mergeCell ref="V49:W49"/>
    <mergeCell ref="X49:Z49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D20" zoomScale="80" zoomScaleNormal="80" workbookViewId="0">
      <selection activeCell="AA20" sqref="AA20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00" t="s">
        <v>161</v>
      </c>
      <c r="B1" s="700"/>
      <c r="C1" s="700"/>
      <c r="D1" s="700"/>
      <c r="E1" s="700"/>
      <c r="F1" s="700"/>
      <c r="G1" s="700"/>
      <c r="H1" s="700"/>
      <c r="I1" s="700"/>
      <c r="J1" s="700"/>
      <c r="K1" s="700"/>
      <c r="L1" s="700"/>
      <c r="M1" s="700"/>
      <c r="N1" s="700"/>
      <c r="O1" s="700"/>
      <c r="P1" s="700"/>
      <c r="Q1" s="700"/>
      <c r="R1" s="700"/>
      <c r="S1" s="700"/>
      <c r="T1" s="700"/>
      <c r="U1" s="700"/>
      <c r="V1" s="700"/>
      <c r="W1" s="700"/>
      <c r="X1" s="700"/>
    </row>
    <row r="2" spans="1:28" ht="19.5">
      <c r="A2" s="701"/>
      <c r="B2" s="701"/>
      <c r="C2" s="701"/>
      <c r="D2" s="701"/>
      <c r="E2" s="701"/>
      <c r="F2" s="701"/>
      <c r="G2" s="701"/>
      <c r="H2" s="701"/>
      <c r="I2" s="701"/>
      <c r="J2" s="701"/>
      <c r="K2" s="701"/>
      <c r="L2" s="701"/>
      <c r="M2" s="701"/>
      <c r="N2" s="701"/>
      <c r="O2" s="701"/>
      <c r="P2" s="701"/>
      <c r="Q2" s="701"/>
      <c r="R2" s="701"/>
      <c r="S2" s="701"/>
      <c r="T2" s="701"/>
      <c r="U2" s="701"/>
      <c r="V2" s="701"/>
      <c r="W2" s="701"/>
      <c r="X2" s="701"/>
    </row>
    <row r="3" spans="1:28" ht="19.5">
      <c r="A3" s="701" t="s">
        <v>162</v>
      </c>
      <c r="B3" s="701"/>
      <c r="C3" s="701"/>
      <c r="D3" s="701"/>
      <c r="E3" s="701"/>
      <c r="F3" s="701"/>
      <c r="G3" s="701"/>
      <c r="H3" s="701"/>
      <c r="I3" s="701"/>
      <c r="J3" s="701"/>
      <c r="K3" s="701"/>
      <c r="L3" s="701"/>
      <c r="M3" s="701"/>
      <c r="N3" s="701"/>
      <c r="O3" s="701"/>
      <c r="P3" s="701"/>
      <c r="Q3" s="701"/>
      <c r="R3" s="701"/>
      <c r="S3" s="701"/>
      <c r="T3" s="701"/>
      <c r="U3" s="701"/>
      <c r="V3" s="701"/>
      <c r="W3" s="701"/>
      <c r="X3" s="701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1" t="s">
        <v>411</v>
      </c>
      <c r="B5" s="701"/>
      <c r="C5" s="701"/>
      <c r="D5" s="701"/>
      <c r="E5" s="701"/>
      <c r="F5" s="701"/>
      <c r="G5" s="701"/>
      <c r="H5" s="701"/>
      <c r="I5" s="701"/>
      <c r="J5" s="701"/>
      <c r="K5" s="701"/>
      <c r="L5" s="701"/>
      <c r="M5" s="701"/>
      <c r="N5" s="701"/>
      <c r="O5" s="701"/>
      <c r="P5" s="701"/>
      <c r="Q5" s="701"/>
      <c r="R5" s="701"/>
      <c r="S5" s="701"/>
      <c r="T5" s="701"/>
      <c r="U5" s="701"/>
      <c r="V5" s="701"/>
      <c r="W5" s="701"/>
      <c r="X5" s="701"/>
    </row>
    <row r="6" spans="1:28" ht="15.75" thickBot="1">
      <c r="A6" s="702"/>
      <c r="B6" s="702"/>
      <c r="C6" s="702"/>
      <c r="D6" s="702"/>
      <c r="E6" s="702"/>
      <c r="F6" s="702"/>
      <c r="G6" s="702"/>
      <c r="H6" s="702"/>
      <c r="I6" s="702"/>
      <c r="J6" s="702"/>
      <c r="K6" s="702"/>
      <c r="L6" s="702"/>
      <c r="M6" s="702"/>
      <c r="N6" s="702"/>
      <c r="O6" s="702"/>
      <c r="P6" s="702"/>
      <c r="Q6" s="702"/>
      <c r="R6" s="702"/>
      <c r="S6" s="702"/>
      <c r="T6" s="702"/>
      <c r="U6" s="702"/>
      <c r="V6" s="702"/>
      <c r="W6" s="702"/>
      <c r="X6" s="702"/>
    </row>
    <row r="7" spans="1:28" ht="15.75" thickBot="1">
      <c r="A7" s="704" t="s">
        <v>163</v>
      </c>
      <c r="B7" s="705"/>
      <c r="C7" s="706" t="s">
        <v>164</v>
      </c>
      <c r="D7" s="707"/>
      <c r="E7" s="707"/>
      <c r="F7" s="707"/>
      <c r="G7" s="707"/>
      <c r="H7" s="707"/>
      <c r="I7" s="707"/>
      <c r="J7" s="707"/>
      <c r="K7" s="708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4">
        <f>'[9]Degree Days 2020'!B10</f>
        <v>16</v>
      </c>
      <c r="C10" s="274">
        <f>'[9]Degree Days 2020'!C10</f>
        <v>11</v>
      </c>
      <c r="D10" s="274">
        <f>(B10+C10)/2-18.3</f>
        <v>-4.8000000000000007</v>
      </c>
      <c r="E10" s="274">
        <f>'[9]Degree Days 2020'!E10</f>
        <v>1</v>
      </c>
      <c r="F10" s="274">
        <f>'[9]Degree Days 2020'!F10</f>
        <v>17</v>
      </c>
      <c r="G10" s="274">
        <f>'[9]Degree Days 2020'!G10</f>
        <v>12</v>
      </c>
      <c r="H10" s="274">
        <f>(F10+G10)/2-18.3</f>
        <v>-3.8000000000000007</v>
      </c>
      <c r="I10" s="274">
        <f>'[8]Degree Days 2018'!I10</f>
        <v>1</v>
      </c>
      <c r="J10" s="274">
        <f>'[9]Degree Days 2020'!J10</f>
        <v>17</v>
      </c>
      <c r="K10" s="274">
        <f>'[9]Degree Days 2020'!K10</f>
        <v>10</v>
      </c>
      <c r="L10" s="274">
        <f>(J10+K10)/2-18.3</f>
        <v>-4.8000000000000007</v>
      </c>
      <c r="M10" s="274">
        <f>'[9]Degree Days 2020'!M10</f>
        <v>1</v>
      </c>
      <c r="N10" s="274">
        <f>'[9]Degree Days 2020'!N10</f>
        <v>19</v>
      </c>
      <c r="O10" s="274">
        <f>'[9]Degree Days 2020'!O10</f>
        <v>14</v>
      </c>
      <c r="P10" s="274">
        <f>(N10+O10)/2-18.3</f>
        <v>-1.8000000000000007</v>
      </c>
      <c r="Q10" s="539">
        <v>1</v>
      </c>
      <c r="R10" s="274">
        <f>'[9]Degree Days 2020'!R10</f>
        <v>22</v>
      </c>
      <c r="S10" s="274">
        <f>'[9]Degree Days 2020'!S10</f>
        <v>16</v>
      </c>
      <c r="T10" s="274">
        <f>(R10+S10)/2-18.3</f>
        <v>0.69999999999999929</v>
      </c>
      <c r="U10" s="539">
        <v>1</v>
      </c>
      <c r="V10" s="274">
        <f>'[9]Degree Days 2020'!V10</f>
        <v>25</v>
      </c>
      <c r="W10" s="274">
        <f>'[9]Degree Days 2020'!W10</f>
        <v>20</v>
      </c>
      <c r="X10" s="274">
        <f>(V10+W10)/2-18.3</f>
        <v>4.1999999999999993</v>
      </c>
      <c r="Z10" t="s">
        <v>165</v>
      </c>
      <c r="AA10" s="274">
        <f>'[3]Degree Days 2020'!AA10</f>
        <v>-148.80000000000001</v>
      </c>
      <c r="AB10" s="274">
        <f>'[3]Degree Days 2020'!AB10</f>
        <v>0</v>
      </c>
    </row>
    <row r="11" spans="1:28">
      <c r="A11" s="117">
        <v>2</v>
      </c>
      <c r="B11" s="274">
        <f>'[9]Degree Days 2020'!B11</f>
        <v>17</v>
      </c>
      <c r="C11" s="274">
        <f>'[9]Degree Days 2020'!C11</f>
        <v>12</v>
      </c>
      <c r="D11" s="274">
        <f t="shared" ref="D11:D40" si="0">(B11+C11)/2-18.3</f>
        <v>-3.8000000000000007</v>
      </c>
      <c r="E11" s="274">
        <f>'[9]Degree Days 2020'!E11</f>
        <v>2</v>
      </c>
      <c r="F11" s="274">
        <f>'[9]Degree Days 2020'!F11</f>
        <v>17</v>
      </c>
      <c r="G11" s="274">
        <f>'[9]Degree Days 2020'!G11</f>
        <v>11</v>
      </c>
      <c r="H11" s="274">
        <f t="shared" ref="H11:H40" si="1">(F11+G11)/2-18.3</f>
        <v>-4.3000000000000007</v>
      </c>
      <c r="I11" s="274">
        <f>'[8]Degree Days 2018'!I11</f>
        <v>2</v>
      </c>
      <c r="J11" s="274">
        <f>'[9]Degree Days 2020'!J11</f>
        <v>18</v>
      </c>
      <c r="K11" s="274">
        <f>'[9]Degree Days 2020'!K11</f>
        <v>11</v>
      </c>
      <c r="L11" s="274">
        <f t="shared" ref="L11:L40" si="2">(J11+K11)/2-18.3</f>
        <v>-3.8000000000000007</v>
      </c>
      <c r="M11" s="274">
        <f>'[9]Degree Days 2020'!M11</f>
        <v>2</v>
      </c>
      <c r="N11" s="274">
        <f>'[9]Degree Days 2020'!N11</f>
        <v>19</v>
      </c>
      <c r="O11" s="274">
        <f>'[9]Degree Days 2020'!O11</f>
        <v>15</v>
      </c>
      <c r="P11" s="274">
        <f t="shared" ref="P11:P40" si="3">(N11+O11)/2-18.3</f>
        <v>-1.3000000000000007</v>
      </c>
      <c r="Q11" s="539">
        <v>2</v>
      </c>
      <c r="R11" s="274">
        <f>'[9]Degree Days 2020'!R11</f>
        <v>21</v>
      </c>
      <c r="S11" s="274">
        <f>'[9]Degree Days 2020'!S11</f>
        <v>14</v>
      </c>
      <c r="T11" s="274">
        <f t="shared" ref="T11:T40" si="4">(R11+S11)/2-18.3</f>
        <v>-0.80000000000000071</v>
      </c>
      <c r="U11" s="539">
        <v>2</v>
      </c>
      <c r="V11" s="274">
        <f>'[9]Degree Days 2020'!V11</f>
        <v>24</v>
      </c>
      <c r="W11" s="274">
        <f>'[9]Degree Days 2020'!W11</f>
        <v>20</v>
      </c>
      <c r="X11" s="274">
        <f t="shared" ref="X11:X40" si="5">(V11+W11)/2-18.3</f>
        <v>3.6999999999999993</v>
      </c>
      <c r="Z11" t="s">
        <v>169</v>
      </c>
      <c r="AA11" s="274">
        <f>'[3]Degree Days 2020'!AA11</f>
        <v>-153.49999999999997</v>
      </c>
      <c r="AB11" s="274">
        <f>'[3]Degree Days 2020'!AB11</f>
        <v>0.69999999999999929</v>
      </c>
    </row>
    <row r="12" spans="1:28">
      <c r="A12" s="117">
        <v>3</v>
      </c>
      <c r="B12" s="274">
        <f>'[9]Degree Days 2020'!B12</f>
        <v>16</v>
      </c>
      <c r="C12" s="274">
        <f>'[9]Degree Days 2020'!C12</f>
        <v>12</v>
      </c>
      <c r="D12" s="274">
        <f t="shared" si="0"/>
        <v>-4.3000000000000007</v>
      </c>
      <c r="E12" s="274">
        <f>'[9]Degree Days 2020'!E12</f>
        <v>3</v>
      </c>
      <c r="F12" s="274">
        <f>'[9]Degree Days 2020'!F12</f>
        <v>16</v>
      </c>
      <c r="G12" s="274">
        <f>'[9]Degree Days 2020'!G12</f>
        <v>10</v>
      </c>
      <c r="H12" s="274">
        <f t="shared" si="1"/>
        <v>-5.3000000000000007</v>
      </c>
      <c r="I12" s="274">
        <f>'[8]Degree Days 2018'!I12</f>
        <v>3</v>
      </c>
      <c r="J12" s="274">
        <f>'[9]Degree Days 2020'!J12</f>
        <v>19</v>
      </c>
      <c r="K12" s="274">
        <f>'[9]Degree Days 2020'!K12</f>
        <v>12</v>
      </c>
      <c r="L12" s="274">
        <f t="shared" si="2"/>
        <v>-2.8000000000000007</v>
      </c>
      <c r="M12" s="274">
        <f>'[9]Degree Days 2020'!M12</f>
        <v>3</v>
      </c>
      <c r="N12" s="274">
        <f>'[9]Degree Days 2020'!N12</f>
        <v>20</v>
      </c>
      <c r="O12" s="274">
        <f>'[9]Degree Days 2020'!O12</f>
        <v>14</v>
      </c>
      <c r="P12" s="274">
        <f t="shared" si="3"/>
        <v>-1.3000000000000007</v>
      </c>
      <c r="Q12" s="539">
        <v>3</v>
      </c>
      <c r="R12" s="274">
        <f>'[9]Degree Days 2020'!R12</f>
        <v>24</v>
      </c>
      <c r="S12" s="274">
        <f>'[9]Degree Days 2020'!S12</f>
        <v>17</v>
      </c>
      <c r="T12" s="274">
        <f t="shared" si="4"/>
        <v>2.1999999999999993</v>
      </c>
      <c r="U12" s="539">
        <v>3</v>
      </c>
      <c r="V12" s="274">
        <f>'[9]Degree Days 2020'!V12</f>
        <v>27</v>
      </c>
      <c r="W12" s="274">
        <f>'[9]Degree Days 2020'!W12</f>
        <v>19</v>
      </c>
      <c r="X12" s="274">
        <f t="shared" si="5"/>
        <v>4.6999999999999993</v>
      </c>
      <c r="Z12" t="s">
        <v>170</v>
      </c>
      <c r="AA12" s="274">
        <f>'[3]Degree Days 2020'!AA12</f>
        <v>-61.799999999999983</v>
      </c>
      <c r="AB12" s="274">
        <f>'[3]Degree Days 2020'!AB12</f>
        <v>11.499999999999996</v>
      </c>
    </row>
    <row r="13" spans="1:28">
      <c r="A13" s="117">
        <v>4</v>
      </c>
      <c r="B13" s="274">
        <f>'[9]Degree Days 2020'!B13</f>
        <v>15</v>
      </c>
      <c r="C13" s="274">
        <f>'[9]Degree Days 2020'!C13</f>
        <v>11</v>
      </c>
      <c r="D13" s="274">
        <f t="shared" si="0"/>
        <v>-5.3000000000000007</v>
      </c>
      <c r="E13" s="274">
        <f>'[9]Degree Days 2020'!E13</f>
        <v>4</v>
      </c>
      <c r="F13" s="274">
        <f>'[9]Degree Days 2020'!F13</f>
        <v>17</v>
      </c>
      <c r="G13" s="274">
        <f>'[9]Degree Days 2020'!G13</f>
        <v>13</v>
      </c>
      <c r="H13" s="274">
        <f t="shared" si="1"/>
        <v>-3.3000000000000007</v>
      </c>
      <c r="I13" s="274">
        <f>'[8]Degree Days 2018'!I13</f>
        <v>4</v>
      </c>
      <c r="J13" s="274">
        <f>'[9]Degree Days 2020'!J13</f>
        <v>19</v>
      </c>
      <c r="K13" s="274">
        <f>'[9]Degree Days 2020'!K13</f>
        <v>12</v>
      </c>
      <c r="L13" s="274">
        <f t="shared" si="2"/>
        <v>-2.8000000000000007</v>
      </c>
      <c r="M13" s="274">
        <f>'[9]Degree Days 2020'!M13</f>
        <v>4</v>
      </c>
      <c r="N13" s="274">
        <f>'[9]Degree Days 2020'!N13</f>
        <v>23</v>
      </c>
      <c r="O13" s="274">
        <f>'[9]Degree Days 2020'!O13</f>
        <v>14</v>
      </c>
      <c r="P13" s="274">
        <f t="shared" si="3"/>
        <v>0.19999999999999929</v>
      </c>
      <c r="Q13" s="539">
        <v>4</v>
      </c>
      <c r="R13" s="274">
        <f>'[9]Degree Days 2020'!R13</f>
        <v>23</v>
      </c>
      <c r="S13" s="274">
        <f>'[9]Degree Days 2020'!S13</f>
        <v>17</v>
      </c>
      <c r="T13" s="274">
        <f t="shared" si="4"/>
        <v>1.6999999999999993</v>
      </c>
      <c r="U13" s="539">
        <v>4</v>
      </c>
      <c r="V13" s="274">
        <f>'[9]Degree Days 2020'!V13</f>
        <v>26</v>
      </c>
      <c r="W13" s="274">
        <f>'[9]Degree Days 2020'!W13</f>
        <v>18</v>
      </c>
      <c r="X13" s="274">
        <f t="shared" si="5"/>
        <v>3.6999999999999993</v>
      </c>
      <c r="Z13" t="s">
        <v>171</v>
      </c>
      <c r="AA13" s="274">
        <f>'[3]Degree Days 2020'!AA13</f>
        <v>-54.600000000000009</v>
      </c>
      <c r="AB13" s="274">
        <f>'[3]Degree Days 2020'!AB13</f>
        <v>25.29999999999999</v>
      </c>
    </row>
    <row r="14" spans="1:28">
      <c r="A14" s="117">
        <v>5</v>
      </c>
      <c r="B14" s="274">
        <f>'[9]Degree Days 2020'!B14</f>
        <v>15</v>
      </c>
      <c r="C14" s="274">
        <f>'[9]Degree Days 2020'!C14</f>
        <v>11</v>
      </c>
      <c r="D14" s="274">
        <f t="shared" si="0"/>
        <v>-5.3000000000000007</v>
      </c>
      <c r="E14" s="274">
        <f>'[9]Degree Days 2020'!E14</f>
        <v>5</v>
      </c>
      <c r="F14" s="274">
        <f>'[9]Degree Days 2020'!F14</f>
        <v>20</v>
      </c>
      <c r="G14" s="274">
        <f>'[9]Degree Days 2020'!G14</f>
        <v>15</v>
      </c>
      <c r="H14" s="274">
        <f t="shared" si="1"/>
        <v>-0.80000000000000071</v>
      </c>
      <c r="I14" s="274">
        <f>'[8]Degree Days 2018'!I14</f>
        <v>5</v>
      </c>
      <c r="J14" s="274">
        <f>'[9]Degree Days 2020'!J14</f>
        <v>19</v>
      </c>
      <c r="K14" s="274">
        <f>'[9]Degree Days 2020'!K14</f>
        <v>14</v>
      </c>
      <c r="L14" s="274">
        <f t="shared" si="2"/>
        <v>-1.8000000000000007</v>
      </c>
      <c r="M14" s="274">
        <f>'[9]Degree Days 2020'!M14</f>
        <v>5</v>
      </c>
      <c r="N14" s="274">
        <f>'[9]Degree Days 2020'!N14</f>
        <v>34</v>
      </c>
      <c r="O14" s="274">
        <f>'[9]Degree Days 2020'!O14</f>
        <v>17</v>
      </c>
      <c r="P14" s="274">
        <f t="shared" si="3"/>
        <v>7.1999999999999993</v>
      </c>
      <c r="Q14" s="539">
        <v>5</v>
      </c>
      <c r="R14" s="274">
        <f>'[9]Degree Days 2020'!R14</f>
        <v>22</v>
      </c>
      <c r="S14" s="274">
        <f>'[9]Degree Days 2020'!S14</f>
        <v>18</v>
      </c>
      <c r="T14" s="274">
        <f t="shared" si="4"/>
        <v>1.6999999999999993</v>
      </c>
      <c r="U14" s="539">
        <v>5</v>
      </c>
      <c r="V14" s="274">
        <f>'[9]Degree Days 2020'!V14</f>
        <v>25</v>
      </c>
      <c r="W14" s="274">
        <f>'[9]Degree Days 2020'!W14</f>
        <v>17</v>
      </c>
      <c r="X14" s="274">
        <f t="shared" si="5"/>
        <v>2.6999999999999993</v>
      </c>
      <c r="Z14" t="s">
        <v>172</v>
      </c>
      <c r="AA14" s="274">
        <f>'[3]Degree Days 2020'!AA14</f>
        <v>-0.80000000000000071</v>
      </c>
      <c r="AB14" s="274">
        <f>'[3]Degree Days 2020'!AB14</f>
        <v>131.50000000000003</v>
      </c>
    </row>
    <row r="15" spans="1:28">
      <c r="A15" s="117">
        <v>6</v>
      </c>
      <c r="B15" s="274">
        <f>'[9]Degree Days 2020'!B15</f>
        <v>16</v>
      </c>
      <c r="C15" s="274">
        <f>'[9]Degree Days 2020'!C15</f>
        <v>12</v>
      </c>
      <c r="D15" s="274">
        <f t="shared" si="0"/>
        <v>-4.3000000000000007</v>
      </c>
      <c r="E15" s="274">
        <f>'[9]Degree Days 2020'!E15</f>
        <v>6</v>
      </c>
      <c r="F15" s="274">
        <f>'[9]Degree Days 2020'!F15</f>
        <v>22</v>
      </c>
      <c r="G15" s="274">
        <f>'[9]Degree Days 2020'!G15</f>
        <v>16</v>
      </c>
      <c r="H15" s="274">
        <f t="shared" si="1"/>
        <v>0.69999999999999929</v>
      </c>
      <c r="I15" s="274">
        <f>'[8]Degree Days 2018'!I15</f>
        <v>6</v>
      </c>
      <c r="J15" s="274">
        <f>'[9]Degree Days 2020'!J15</f>
        <v>18</v>
      </c>
      <c r="K15" s="274">
        <f>'[9]Degree Days 2020'!K15</f>
        <v>12</v>
      </c>
      <c r="L15" s="274">
        <f t="shared" si="2"/>
        <v>-3.3000000000000007</v>
      </c>
      <c r="M15" s="274">
        <f>'[9]Degree Days 2020'!M15</f>
        <v>6</v>
      </c>
      <c r="N15" s="274">
        <f>'[9]Degree Days 2020'!N15</f>
        <v>19</v>
      </c>
      <c r="O15" s="274">
        <f>'[9]Degree Days 2020'!O15</f>
        <v>17</v>
      </c>
      <c r="P15" s="274">
        <f t="shared" si="3"/>
        <v>-0.30000000000000071</v>
      </c>
      <c r="Q15" s="539">
        <v>6</v>
      </c>
      <c r="R15" s="274">
        <f>'[9]Degree Days 2020'!R15</f>
        <v>23</v>
      </c>
      <c r="S15" s="274">
        <f>'[9]Degree Days 2020'!S15</f>
        <v>17</v>
      </c>
      <c r="T15" s="274">
        <f t="shared" si="4"/>
        <v>1.6999999999999993</v>
      </c>
      <c r="U15" s="539">
        <v>6</v>
      </c>
      <c r="V15" s="274">
        <f>'[9]Degree Days 2020'!V15</f>
        <v>26</v>
      </c>
      <c r="W15" s="274">
        <f>'[9]Degree Days 2020'!W15</f>
        <v>18</v>
      </c>
      <c r="X15" s="274">
        <f t="shared" si="5"/>
        <v>3.6999999999999993</v>
      </c>
      <c r="Z15" t="s">
        <v>173</v>
      </c>
      <c r="AA15" s="274">
        <f>'[3]Degree Days 2020'!AA15</f>
        <v>-18.3</v>
      </c>
      <c r="AB15" s="274">
        <f>'[3]Degree Days 2020'!AB15</f>
        <v>182.99999999999997</v>
      </c>
    </row>
    <row r="16" spans="1:28">
      <c r="A16" s="117">
        <v>7</v>
      </c>
      <c r="B16" s="274">
        <f>'[9]Degree Days 2020'!B16</f>
        <v>16</v>
      </c>
      <c r="C16" s="274">
        <f>'[9]Degree Days 2020'!C16</f>
        <v>12</v>
      </c>
      <c r="D16" s="274">
        <f t="shared" si="0"/>
        <v>-4.3000000000000007</v>
      </c>
      <c r="E16" s="274">
        <f>'[9]Degree Days 2020'!E16</f>
        <v>7</v>
      </c>
      <c r="F16" s="274">
        <f>'[9]Degree Days 2020'!F16</f>
        <v>16</v>
      </c>
      <c r="G16" s="274">
        <f>'[9]Degree Days 2020'!G16</f>
        <v>10</v>
      </c>
      <c r="H16" s="274">
        <f t="shared" si="1"/>
        <v>-5.3000000000000007</v>
      </c>
      <c r="I16" s="274">
        <f>'[8]Degree Days 2018'!I16</f>
        <v>7</v>
      </c>
      <c r="J16" s="274">
        <f>'[9]Degree Days 2020'!J16</f>
        <v>18</v>
      </c>
      <c r="K16" s="274">
        <f>'[9]Degree Days 2020'!K16</f>
        <v>12</v>
      </c>
      <c r="L16" s="274">
        <f t="shared" si="2"/>
        <v>-3.3000000000000007</v>
      </c>
      <c r="M16" s="274">
        <f>'[9]Degree Days 2020'!M16</f>
        <v>7</v>
      </c>
      <c r="N16" s="274">
        <f>'[9]Degree Days 2020'!N16</f>
        <v>20</v>
      </c>
      <c r="O16" s="274">
        <f>'[9]Degree Days 2020'!O16</f>
        <v>16</v>
      </c>
      <c r="P16" s="274">
        <f t="shared" si="3"/>
        <v>-0.30000000000000071</v>
      </c>
      <c r="Q16" s="539">
        <v>7</v>
      </c>
      <c r="R16" s="274">
        <f>'[9]Degree Days 2020'!R16</f>
        <v>25</v>
      </c>
      <c r="S16" s="274">
        <f>'[9]Degree Days 2020'!S16</f>
        <v>18</v>
      </c>
      <c r="T16" s="274">
        <f t="shared" si="4"/>
        <v>3.1999999999999993</v>
      </c>
      <c r="U16" s="539">
        <v>7</v>
      </c>
      <c r="V16" s="274">
        <f>'[9]Degree Days 2020'!V16</f>
        <v>27</v>
      </c>
      <c r="W16" s="274">
        <f>'[9]Degree Days 2020'!W16</f>
        <v>21</v>
      </c>
      <c r="X16" s="274">
        <f t="shared" si="5"/>
        <v>5.6999999999999993</v>
      </c>
      <c r="Z16" t="s">
        <v>176</v>
      </c>
      <c r="AA16" s="274">
        <f>'[3]Degree Days 2020'!AA16</f>
        <v>0</v>
      </c>
      <c r="AB16" s="274">
        <f>'[3]Degree Days 2020'!AB16</f>
        <v>275.69999999999987</v>
      </c>
    </row>
    <row r="17" spans="1:28">
      <c r="A17" s="117">
        <v>8</v>
      </c>
      <c r="B17" s="274">
        <f>'[9]Degree Days 2020'!B17</f>
        <v>14</v>
      </c>
      <c r="C17" s="274">
        <f>'[9]Degree Days 2020'!C17</f>
        <v>11</v>
      </c>
      <c r="D17" s="274">
        <f t="shared" si="0"/>
        <v>-5.8000000000000007</v>
      </c>
      <c r="E17" s="274">
        <f>'[9]Degree Days 2020'!E17</f>
        <v>8</v>
      </c>
      <c r="F17" s="274">
        <f>'[9]Degree Days 2020'!F17</f>
        <v>14</v>
      </c>
      <c r="G17" s="274">
        <f>'[9]Degree Days 2020'!G17</f>
        <v>9</v>
      </c>
      <c r="H17" s="274">
        <f t="shared" si="1"/>
        <v>-6.8000000000000007</v>
      </c>
      <c r="I17" s="274">
        <f>'[8]Degree Days 2018'!I17</f>
        <v>8</v>
      </c>
      <c r="J17" s="274">
        <f>'[9]Degree Days 2020'!J17</f>
        <v>19</v>
      </c>
      <c r="K17" s="274">
        <f>'[9]Degree Days 2020'!K17</f>
        <v>13</v>
      </c>
      <c r="L17" s="274">
        <f t="shared" si="2"/>
        <v>-2.3000000000000007</v>
      </c>
      <c r="M17" s="274">
        <f>'[9]Degree Days 2020'!M17</f>
        <v>8</v>
      </c>
      <c r="N17" s="274">
        <f>'[9]Degree Days 2020'!N17</f>
        <v>19</v>
      </c>
      <c r="O17" s="274">
        <f>'[9]Degree Days 2020'!O17</f>
        <v>15</v>
      </c>
      <c r="P17" s="274">
        <f t="shared" si="3"/>
        <v>-1.3000000000000007</v>
      </c>
      <c r="Q17" s="539">
        <v>8</v>
      </c>
      <c r="R17" s="274">
        <f>'[9]Degree Days 2020'!R17</f>
        <v>23</v>
      </c>
      <c r="S17" s="274">
        <f>'[9]Degree Days 2020'!S17</f>
        <v>17</v>
      </c>
      <c r="T17" s="274">
        <f t="shared" si="4"/>
        <v>1.6999999999999993</v>
      </c>
      <c r="U17" s="539">
        <v>8</v>
      </c>
      <c r="V17" s="274">
        <f>'[9]Degree Days 2020'!V17</f>
        <v>26</v>
      </c>
      <c r="W17" s="274">
        <f>'[9]Degree Days 2020'!W17</f>
        <v>22</v>
      </c>
      <c r="X17" s="274">
        <f t="shared" si="5"/>
        <v>5.6999999999999993</v>
      </c>
      <c r="Z17" t="s">
        <v>177</v>
      </c>
      <c r="AA17" s="274">
        <f>F81</f>
        <v>0</v>
      </c>
      <c r="AB17" s="274">
        <f>G81</f>
        <v>307.69999999999982</v>
      </c>
    </row>
    <row r="18" spans="1:28">
      <c r="A18" s="117">
        <v>9</v>
      </c>
      <c r="B18" s="274">
        <f>'[9]Degree Days 2020'!B18</f>
        <v>14</v>
      </c>
      <c r="C18" s="274">
        <f>'[9]Degree Days 2020'!C18</f>
        <v>11</v>
      </c>
      <c r="D18" s="274">
        <f t="shared" si="0"/>
        <v>-5.8000000000000007</v>
      </c>
      <c r="E18" s="274">
        <f>'[9]Degree Days 2020'!E18</f>
        <v>9</v>
      </c>
      <c r="F18" s="274">
        <f>'[9]Degree Days 2020'!F18</f>
        <v>9</v>
      </c>
      <c r="G18" s="274">
        <f>'[9]Degree Days 2020'!G18</f>
        <v>8</v>
      </c>
      <c r="H18" s="274">
        <f t="shared" si="1"/>
        <v>-9.8000000000000007</v>
      </c>
      <c r="I18" s="274">
        <f>'[8]Degree Days 2018'!I18</f>
        <v>9</v>
      </c>
      <c r="J18" s="274">
        <f>'[9]Degree Days 2020'!J18</f>
        <v>20</v>
      </c>
      <c r="K18" s="274">
        <f>'[9]Degree Days 2020'!K18</f>
        <v>14</v>
      </c>
      <c r="L18" s="274">
        <f t="shared" si="2"/>
        <v>-1.3000000000000007</v>
      </c>
      <c r="M18" s="274">
        <f>'[9]Degree Days 2020'!M18</f>
        <v>9</v>
      </c>
      <c r="N18" s="274">
        <f>'[9]Degree Days 2020'!N18</f>
        <v>18</v>
      </c>
      <c r="O18" s="274">
        <f>'[9]Degree Days 2020'!O18</f>
        <v>15</v>
      </c>
      <c r="P18" s="274">
        <f t="shared" si="3"/>
        <v>-1.8000000000000007</v>
      </c>
      <c r="Q18" s="539">
        <v>9</v>
      </c>
      <c r="R18" s="274">
        <f>'[9]Degree Days 2020'!R18</f>
        <v>24</v>
      </c>
      <c r="S18" s="274">
        <f>'[9]Degree Days 2020'!S18</f>
        <v>18</v>
      </c>
      <c r="T18" s="274">
        <f t="shared" si="4"/>
        <v>2.6999999999999993</v>
      </c>
      <c r="U18" s="539">
        <v>9</v>
      </c>
      <c r="V18" s="274">
        <f>'[9]Degree Days 2020'!V18</f>
        <v>28</v>
      </c>
      <c r="W18" s="274">
        <f>'[9]Degree Days 2020'!W18</f>
        <v>20</v>
      </c>
      <c r="X18" s="274">
        <f t="shared" si="5"/>
        <v>5.6999999999999993</v>
      </c>
      <c r="Z18" t="s">
        <v>178</v>
      </c>
      <c r="AA18" s="274">
        <f>J81</f>
        <v>0</v>
      </c>
      <c r="AB18" s="274">
        <f>K81</f>
        <v>306.99999999999983</v>
      </c>
    </row>
    <row r="19" spans="1:28">
      <c r="A19" s="117">
        <v>10</v>
      </c>
      <c r="B19" s="274">
        <f>'[9]Degree Days 2020'!B19</f>
        <v>17</v>
      </c>
      <c r="C19" s="274">
        <f>'[9]Degree Days 2020'!C19</f>
        <v>12</v>
      </c>
      <c r="D19" s="274">
        <f t="shared" si="0"/>
        <v>-3.8000000000000007</v>
      </c>
      <c r="E19" s="274">
        <f>'[9]Degree Days 2020'!E19</f>
        <v>10</v>
      </c>
      <c r="F19" s="274">
        <f>'[9]Degree Days 2020'!F19</f>
        <v>10</v>
      </c>
      <c r="G19" s="274">
        <f>'[9]Degree Days 2020'!G19</f>
        <v>7</v>
      </c>
      <c r="H19" s="274">
        <f t="shared" si="1"/>
        <v>-9.8000000000000007</v>
      </c>
      <c r="I19" s="274">
        <f>'[8]Degree Days 2018'!I19</f>
        <v>10</v>
      </c>
      <c r="J19" s="274">
        <f>'[9]Degree Days 2020'!J19</f>
        <v>19</v>
      </c>
      <c r="K19" s="274">
        <f>'[9]Degree Days 2020'!K19</f>
        <v>16</v>
      </c>
      <c r="L19" s="274">
        <f t="shared" si="2"/>
        <v>-0.80000000000000071</v>
      </c>
      <c r="M19" s="274">
        <f>'[9]Degree Days 2020'!M19</f>
        <v>10</v>
      </c>
      <c r="N19" s="274">
        <f>'[9]Degree Days 2020'!N19</f>
        <v>16</v>
      </c>
      <c r="O19" s="274">
        <f>'[9]Degree Days 2020'!O19</f>
        <v>13</v>
      </c>
      <c r="P19" s="274">
        <f t="shared" si="3"/>
        <v>-3.8000000000000007</v>
      </c>
      <c r="Q19" s="539">
        <v>10</v>
      </c>
      <c r="R19" s="274">
        <f>'[9]Degree Days 2020'!R19</f>
        <v>23</v>
      </c>
      <c r="S19" s="274">
        <f>'[9]Degree Days 2020'!S19</f>
        <v>17</v>
      </c>
      <c r="T19" s="274">
        <f t="shared" si="4"/>
        <v>1.6999999999999993</v>
      </c>
      <c r="U19" s="539">
        <v>10</v>
      </c>
      <c r="V19" s="274">
        <f>'[9]Degree Days 2020'!V19</f>
        <v>28</v>
      </c>
      <c r="W19" s="274">
        <f>'[9]Degree Days 2020'!W19</f>
        <v>20</v>
      </c>
      <c r="X19" s="274">
        <f t="shared" si="5"/>
        <v>5.6999999999999993</v>
      </c>
      <c r="Z19" t="s">
        <v>179</v>
      </c>
      <c r="AA19" s="274">
        <f>N81</f>
        <v>-475.80000000000018</v>
      </c>
      <c r="AB19" s="274">
        <f>O81</f>
        <v>46</v>
      </c>
    </row>
    <row r="20" spans="1:28">
      <c r="A20" s="117">
        <v>11</v>
      </c>
      <c r="B20" s="274">
        <f>'[9]Degree Days 2020'!B20</f>
        <v>17</v>
      </c>
      <c r="C20" s="274">
        <f>'[9]Degree Days 2020'!C20</f>
        <v>13</v>
      </c>
      <c r="D20" s="274">
        <f t="shared" si="0"/>
        <v>-3.3000000000000007</v>
      </c>
      <c r="E20" s="274">
        <f>'[9]Degree Days 2020'!E20</f>
        <v>11</v>
      </c>
      <c r="F20" s="274">
        <f>'[9]Degree Days 2020'!F20</f>
        <v>14</v>
      </c>
      <c r="G20" s="274">
        <f>'[9]Degree Days 2020'!G20</f>
        <v>8</v>
      </c>
      <c r="H20" s="274">
        <f t="shared" si="1"/>
        <v>-7.3000000000000007</v>
      </c>
      <c r="I20" s="274">
        <f>'[8]Degree Days 2018'!I20</f>
        <v>11</v>
      </c>
      <c r="J20" s="274">
        <f>'[9]Degree Days 2020'!J20</f>
        <v>18</v>
      </c>
      <c r="K20" s="274">
        <f>'[9]Degree Days 2020'!K20</f>
        <v>14</v>
      </c>
      <c r="L20" s="274">
        <f t="shared" si="2"/>
        <v>-2.3000000000000007</v>
      </c>
      <c r="M20" s="274">
        <f>'[9]Degree Days 2020'!M20</f>
        <v>11</v>
      </c>
      <c r="N20" s="274">
        <f>'[9]Degree Days 2020'!N20</f>
        <v>17</v>
      </c>
      <c r="O20" s="274">
        <f>'[9]Degree Days 2020'!O20</f>
        <v>14</v>
      </c>
      <c r="P20" s="274">
        <f t="shared" si="3"/>
        <v>-2.8000000000000007</v>
      </c>
      <c r="Q20" s="539">
        <v>11</v>
      </c>
      <c r="R20" s="274">
        <f>'[9]Degree Days 2020'!R20</f>
        <v>23</v>
      </c>
      <c r="S20" s="274">
        <f>'[9]Degree Days 2020'!S20</f>
        <v>18</v>
      </c>
      <c r="T20" s="274">
        <f t="shared" si="4"/>
        <v>2.1999999999999993</v>
      </c>
      <c r="U20" s="539">
        <v>11</v>
      </c>
      <c r="V20" s="274">
        <f>'[9]Degree Days 2020'!V20</f>
        <v>28</v>
      </c>
      <c r="W20" s="274">
        <f>'[9]Degree Days 2020'!W20</f>
        <v>20</v>
      </c>
      <c r="X20" s="274">
        <f t="shared" si="5"/>
        <v>5.6999999999999993</v>
      </c>
      <c r="Z20" t="s">
        <v>180</v>
      </c>
      <c r="AA20" s="274"/>
      <c r="AB20" s="274"/>
    </row>
    <row r="21" spans="1:28">
      <c r="A21" s="117">
        <v>12</v>
      </c>
      <c r="B21" s="274">
        <f>'[9]Degree Days 2020'!B21</f>
        <v>16</v>
      </c>
      <c r="C21" s="274">
        <f>'[9]Degree Days 2020'!C21</f>
        <v>12</v>
      </c>
      <c r="D21" s="274">
        <f t="shared" si="0"/>
        <v>-4.3000000000000007</v>
      </c>
      <c r="E21" s="274">
        <f>'[9]Degree Days 2020'!E21</f>
        <v>12</v>
      </c>
      <c r="F21" s="274">
        <f>'[9]Degree Days 2020'!F21</f>
        <v>16</v>
      </c>
      <c r="G21" s="274">
        <f>'[9]Degree Days 2020'!G21</f>
        <v>13</v>
      </c>
      <c r="H21" s="274">
        <f t="shared" si="1"/>
        <v>-3.8000000000000007</v>
      </c>
      <c r="I21" s="274">
        <f>'[8]Degree Days 2018'!I21</f>
        <v>12</v>
      </c>
      <c r="J21" s="274">
        <f>'[9]Degree Days 2020'!J21</f>
        <v>27</v>
      </c>
      <c r="K21" s="274">
        <f>'[9]Degree Days 2020'!K21</f>
        <v>16</v>
      </c>
      <c r="L21" s="274">
        <f t="shared" si="2"/>
        <v>3.1999999999999993</v>
      </c>
      <c r="M21" s="274">
        <f>'[9]Degree Days 2020'!M21</f>
        <v>12</v>
      </c>
      <c r="N21" s="274">
        <f>'[9]Degree Days 2020'!N21</f>
        <v>20</v>
      </c>
      <c r="O21" s="274">
        <f>'[9]Degree Days 2020'!O21</f>
        <v>14</v>
      </c>
      <c r="P21" s="274">
        <f t="shared" si="3"/>
        <v>-1.3000000000000007</v>
      </c>
      <c r="Q21" s="539">
        <v>12</v>
      </c>
      <c r="R21" s="274">
        <f>'[9]Degree Days 2020'!R21</f>
        <v>24</v>
      </c>
      <c r="S21" s="274">
        <f>'[9]Degree Days 2020'!S21</f>
        <v>18</v>
      </c>
      <c r="T21" s="274">
        <f t="shared" si="4"/>
        <v>2.6999999999999993</v>
      </c>
      <c r="U21" s="539">
        <v>12</v>
      </c>
      <c r="V21" s="274">
        <f>'[9]Degree Days 2020'!V21</f>
        <v>27</v>
      </c>
      <c r="W21" s="274">
        <f>'[9]Degree Days 2020'!W21</f>
        <v>20</v>
      </c>
      <c r="X21" s="274">
        <f t="shared" si="5"/>
        <v>5.1999999999999993</v>
      </c>
      <c r="Z21" t="s">
        <v>181</v>
      </c>
      <c r="AA21" s="134">
        <f t="shared" ref="AA21" si="6">SUM(B54)</f>
        <v>30</v>
      </c>
      <c r="AB21" s="134">
        <f t="shared" ref="AB21" si="7">SUM(C54)</f>
        <v>22</v>
      </c>
    </row>
    <row r="22" spans="1:28">
      <c r="A22" s="117">
        <v>13</v>
      </c>
      <c r="B22" s="274">
        <f>'[9]Degree Days 2020'!B22</f>
        <v>17</v>
      </c>
      <c r="C22" s="274">
        <f>'[9]Degree Days 2020'!C22</f>
        <v>13</v>
      </c>
      <c r="D22" s="274">
        <f t="shared" si="0"/>
        <v>-3.3000000000000007</v>
      </c>
      <c r="E22" s="274">
        <f>'[9]Degree Days 2020'!E22</f>
        <v>13</v>
      </c>
      <c r="F22" s="274">
        <f>'[9]Degree Days 2020'!F22</f>
        <v>17</v>
      </c>
      <c r="G22" s="274">
        <f>'[9]Degree Days 2020'!G22</f>
        <v>14</v>
      </c>
      <c r="H22" s="274">
        <f t="shared" si="1"/>
        <v>-2.8000000000000007</v>
      </c>
      <c r="I22" s="274">
        <f>'[8]Degree Days 2018'!I22</f>
        <v>13</v>
      </c>
      <c r="J22" s="274">
        <f>'[9]Degree Days 2020'!J22</f>
        <v>26</v>
      </c>
      <c r="K22" s="274">
        <f>'[9]Degree Days 2020'!K22</f>
        <v>15</v>
      </c>
      <c r="L22" s="274">
        <f t="shared" si="2"/>
        <v>2.1999999999999993</v>
      </c>
      <c r="M22" s="274">
        <f>'[9]Degree Days 2020'!M22</f>
        <v>13</v>
      </c>
      <c r="N22" s="274">
        <f>'[9]Degree Days 2020'!N22</f>
        <v>21</v>
      </c>
      <c r="O22" s="274">
        <f>'[9]Degree Days 2020'!O22</f>
        <v>15</v>
      </c>
      <c r="P22" s="274">
        <f t="shared" si="3"/>
        <v>-0.30000000000000071</v>
      </c>
      <c r="Q22" s="539">
        <v>13</v>
      </c>
      <c r="R22" s="274">
        <f>'[9]Degree Days 2020'!R22</f>
        <v>27</v>
      </c>
      <c r="S22" s="274">
        <f>'[9]Degree Days 2020'!S22</f>
        <v>21</v>
      </c>
      <c r="T22" s="274">
        <f t="shared" si="4"/>
        <v>5.6999999999999993</v>
      </c>
      <c r="U22" s="539">
        <v>13</v>
      </c>
      <c r="V22" s="274">
        <f>'[9]Degree Days 2020'!V22</f>
        <v>25</v>
      </c>
      <c r="W22" s="274">
        <f>'[9]Degree Days 2020'!W22</f>
        <v>20</v>
      </c>
      <c r="X22" s="274">
        <f t="shared" si="5"/>
        <v>4.1999999999999993</v>
      </c>
    </row>
    <row r="23" spans="1:28">
      <c r="A23" s="117">
        <v>14</v>
      </c>
      <c r="B23" s="274">
        <f>'[9]Degree Days 2020'!B23</f>
        <v>16</v>
      </c>
      <c r="C23" s="274">
        <f>'[9]Degree Days 2020'!C23</f>
        <v>12</v>
      </c>
      <c r="D23" s="274">
        <f t="shared" si="0"/>
        <v>-4.3000000000000007</v>
      </c>
      <c r="E23" s="274">
        <f>'[9]Degree Days 2020'!E23</f>
        <v>14</v>
      </c>
      <c r="F23" s="274">
        <f>'[9]Degree Days 2020'!F23</f>
        <v>17</v>
      </c>
      <c r="G23" s="274">
        <f>'[9]Degree Days 2020'!G23</f>
        <v>11</v>
      </c>
      <c r="H23" s="274">
        <f t="shared" si="1"/>
        <v>-4.3000000000000007</v>
      </c>
      <c r="I23" s="274">
        <f>'[8]Degree Days 2018'!I23</f>
        <v>14</v>
      </c>
      <c r="J23" s="274">
        <f>'[9]Degree Days 2020'!J23</f>
        <v>19</v>
      </c>
      <c r="K23" s="274">
        <f>'[9]Degree Days 2020'!K23</f>
        <v>15</v>
      </c>
      <c r="L23" s="274">
        <f t="shared" si="2"/>
        <v>-1.3000000000000007</v>
      </c>
      <c r="M23" s="274">
        <f>'[9]Degree Days 2020'!M23</f>
        <v>14</v>
      </c>
      <c r="N23" s="274">
        <f>'[9]Degree Days 2020'!N23</f>
        <v>22</v>
      </c>
      <c r="O23" s="274">
        <f>'[9]Degree Days 2020'!O23</f>
        <v>16</v>
      </c>
      <c r="P23" s="274">
        <f t="shared" si="3"/>
        <v>0.69999999999999929</v>
      </c>
      <c r="Q23" s="539">
        <v>14</v>
      </c>
      <c r="R23" s="274">
        <f>'[9]Degree Days 2020'!R23</f>
        <v>29</v>
      </c>
      <c r="S23" s="274">
        <f>'[9]Degree Days 2020'!S23</f>
        <v>22</v>
      </c>
      <c r="T23" s="274">
        <f t="shared" si="4"/>
        <v>7.1999999999999993</v>
      </c>
      <c r="U23" s="539">
        <v>14</v>
      </c>
      <c r="V23" s="274">
        <f>'[9]Degree Days 2020'!V23</f>
        <v>26</v>
      </c>
      <c r="W23" s="274">
        <f>'[9]Degree Days 2020'!W23</f>
        <v>21</v>
      </c>
      <c r="X23" s="274">
        <f t="shared" si="5"/>
        <v>5.1999999999999993</v>
      </c>
      <c r="AA23" s="134">
        <f>SUM(AA10:AA22)</f>
        <v>-883.60000000000014</v>
      </c>
      <c r="AB23" s="134">
        <f>SUM(AB10:AB22)</f>
        <v>1310.3999999999994</v>
      </c>
    </row>
    <row r="24" spans="1:28">
      <c r="A24" s="117">
        <v>15</v>
      </c>
      <c r="B24" s="274">
        <f>'[9]Degree Days 2020'!B24</f>
        <v>17</v>
      </c>
      <c r="C24" s="274">
        <f>'[9]Degree Days 2020'!C24</f>
        <v>13</v>
      </c>
      <c r="D24" s="274">
        <f t="shared" si="0"/>
        <v>-3.3000000000000007</v>
      </c>
      <c r="E24" s="274">
        <f>'[9]Degree Days 2020'!E24</f>
        <v>15</v>
      </c>
      <c r="F24" s="274">
        <f>'[9]Degree Days 2020'!F24</f>
        <v>17</v>
      </c>
      <c r="G24" s="274">
        <f>'[9]Degree Days 2020'!G24</f>
        <v>12</v>
      </c>
      <c r="H24" s="274">
        <f t="shared" si="1"/>
        <v>-3.8000000000000007</v>
      </c>
      <c r="I24" s="274">
        <f>'[8]Degree Days 2018'!I24</f>
        <v>15</v>
      </c>
      <c r="J24" s="274">
        <f>'[9]Degree Days 2020'!J24</f>
        <v>19</v>
      </c>
      <c r="K24" s="274">
        <f>'[9]Degree Days 2020'!K24</f>
        <v>15</v>
      </c>
      <c r="L24" s="274">
        <f t="shared" si="2"/>
        <v>-1.3000000000000007</v>
      </c>
      <c r="M24" s="274">
        <f>'[9]Degree Days 2020'!M24</f>
        <v>15</v>
      </c>
      <c r="N24" s="274">
        <f>'[9]Degree Days 2020'!N24</f>
        <v>20</v>
      </c>
      <c r="O24" s="274">
        <f>'[9]Degree Days 2020'!O24</f>
        <v>16</v>
      </c>
      <c r="P24" s="274">
        <f t="shared" si="3"/>
        <v>-0.30000000000000071</v>
      </c>
      <c r="Q24" s="539">
        <v>15</v>
      </c>
      <c r="R24" s="274">
        <f>'[9]Degree Days 2020'!R24</f>
        <v>30</v>
      </c>
      <c r="S24" s="274">
        <f>'[9]Degree Days 2020'!S24</f>
        <v>23</v>
      </c>
      <c r="T24" s="274">
        <f t="shared" si="4"/>
        <v>8.1999999999999993</v>
      </c>
      <c r="U24" s="539">
        <v>15</v>
      </c>
      <c r="V24" s="274">
        <f>'[9]Degree Days 2020'!V24</f>
        <v>26</v>
      </c>
      <c r="W24" s="274">
        <f>'[9]Degree Days 2020'!W24</f>
        <v>20</v>
      </c>
      <c r="X24" s="274">
        <f t="shared" si="5"/>
        <v>4.6999999999999993</v>
      </c>
    </row>
    <row r="25" spans="1:28">
      <c r="A25" s="117">
        <v>16</v>
      </c>
      <c r="B25" s="274">
        <f>'[9]Degree Days 2020'!B25</f>
        <v>19</v>
      </c>
      <c r="C25" s="274">
        <f>'[9]Degree Days 2020'!C25</f>
        <v>13</v>
      </c>
      <c r="D25" s="274">
        <f t="shared" si="0"/>
        <v>-2.3000000000000007</v>
      </c>
      <c r="E25" s="274">
        <f>'[9]Degree Days 2020'!E25</f>
        <v>16</v>
      </c>
      <c r="F25" s="274">
        <f>'[9]Degree Days 2020'!F25</f>
        <v>17</v>
      </c>
      <c r="G25" s="274">
        <f>'[9]Degree Days 2020'!G25</f>
        <v>11</v>
      </c>
      <c r="H25" s="274">
        <f t="shared" si="1"/>
        <v>-4.3000000000000007</v>
      </c>
      <c r="I25" s="274">
        <f>'[8]Degree Days 2018'!I25</f>
        <v>16</v>
      </c>
      <c r="J25" s="274">
        <f>'[9]Degree Days 2020'!J25</f>
        <v>18</v>
      </c>
      <c r="K25" s="274">
        <f>'[9]Degree Days 2020'!K25</f>
        <v>11</v>
      </c>
      <c r="L25" s="274">
        <f t="shared" si="2"/>
        <v>-3.8000000000000007</v>
      </c>
      <c r="M25" s="274">
        <f>'[9]Degree Days 2020'!M25</f>
        <v>16</v>
      </c>
      <c r="N25" s="274">
        <f>'[9]Degree Days 2020'!N25</f>
        <v>20</v>
      </c>
      <c r="O25" s="274">
        <f>'[9]Degree Days 2020'!O25</f>
        <v>15</v>
      </c>
      <c r="P25" s="274">
        <f t="shared" si="3"/>
        <v>-0.80000000000000071</v>
      </c>
      <c r="Q25" s="539">
        <v>16</v>
      </c>
      <c r="R25" s="274">
        <f>'[9]Degree Days 2020'!R25</f>
        <v>32</v>
      </c>
      <c r="S25" s="274">
        <f>'[9]Degree Days 2020'!S25</f>
        <v>24</v>
      </c>
      <c r="T25" s="274">
        <f t="shared" si="4"/>
        <v>9.6999999999999993</v>
      </c>
      <c r="U25" s="539">
        <v>16</v>
      </c>
      <c r="V25" s="274">
        <f>'[9]Degree Days 2020'!V25</f>
        <v>26</v>
      </c>
      <c r="W25" s="274">
        <f>'[9]Degree Days 2020'!W25</f>
        <v>21</v>
      </c>
      <c r="X25" s="274">
        <f t="shared" si="5"/>
        <v>5.1999999999999993</v>
      </c>
    </row>
    <row r="26" spans="1:28">
      <c r="A26" s="117">
        <v>17</v>
      </c>
      <c r="B26" s="274">
        <f>'[9]Degree Days 2020'!B26</f>
        <v>20</v>
      </c>
      <c r="C26" s="274">
        <f>'[9]Degree Days 2020'!C26</f>
        <v>13</v>
      </c>
      <c r="D26" s="274">
        <f t="shared" si="0"/>
        <v>-1.8000000000000007</v>
      </c>
      <c r="E26" s="274">
        <f>'[9]Degree Days 2020'!E26</f>
        <v>17</v>
      </c>
      <c r="F26" s="274">
        <f>'[9]Degree Days 2020'!F26</f>
        <v>16</v>
      </c>
      <c r="G26" s="274">
        <f>'[9]Degree Days 2020'!G26</f>
        <v>12</v>
      </c>
      <c r="H26" s="274">
        <f t="shared" si="1"/>
        <v>-4.3000000000000007</v>
      </c>
      <c r="I26" s="274">
        <f>'[8]Degree Days 2018'!I26</f>
        <v>17</v>
      </c>
      <c r="J26" s="274">
        <f>'[9]Degree Days 2020'!J26</f>
        <v>19</v>
      </c>
      <c r="K26" s="274">
        <f>'[9]Degree Days 2020'!K26</f>
        <v>12</v>
      </c>
      <c r="L26" s="274">
        <f t="shared" si="2"/>
        <v>-2.8000000000000007</v>
      </c>
      <c r="M26" s="274">
        <f>'[9]Degree Days 2020'!M26</f>
        <v>17</v>
      </c>
      <c r="N26" s="274">
        <f>'[9]Degree Days 2020'!N26</f>
        <v>22</v>
      </c>
      <c r="O26" s="274">
        <f>'[9]Degree Days 2020'!O26</f>
        <v>17</v>
      </c>
      <c r="P26" s="274">
        <f t="shared" si="3"/>
        <v>1.1999999999999993</v>
      </c>
      <c r="Q26" s="539">
        <v>17</v>
      </c>
      <c r="R26" s="274">
        <f>'[9]Degree Days 2020'!R26</f>
        <v>36</v>
      </c>
      <c r="S26" s="274">
        <f>'[9]Degree Days 2020'!S26</f>
        <v>26</v>
      </c>
      <c r="T26" s="274">
        <f t="shared" si="4"/>
        <v>12.7</v>
      </c>
      <c r="U26" s="539">
        <v>17</v>
      </c>
      <c r="V26" s="274">
        <f>'[9]Degree Days 2020'!V26</f>
        <v>27</v>
      </c>
      <c r="W26" s="274">
        <f>'[9]Degree Days 2020'!W26</f>
        <v>22</v>
      </c>
      <c r="X26" s="274">
        <f t="shared" si="5"/>
        <v>6.1999999999999993</v>
      </c>
    </row>
    <row r="27" spans="1:28">
      <c r="A27" s="117">
        <v>18</v>
      </c>
      <c r="B27" s="274">
        <f>'[9]Degree Days 2020'!B27</f>
        <v>14</v>
      </c>
      <c r="C27" s="274">
        <f>'[9]Degree Days 2020'!C27</f>
        <v>13</v>
      </c>
      <c r="D27" s="274">
        <f t="shared" si="0"/>
        <v>-4.8000000000000007</v>
      </c>
      <c r="E27" s="274">
        <f>'[9]Degree Days 2020'!E27</f>
        <v>18</v>
      </c>
      <c r="F27" s="274">
        <f>'[9]Degree Days 2020'!F27</f>
        <v>17</v>
      </c>
      <c r="G27" s="274">
        <f>'[9]Degree Days 2020'!G27</f>
        <v>11</v>
      </c>
      <c r="H27" s="274">
        <f t="shared" si="1"/>
        <v>-4.3000000000000007</v>
      </c>
      <c r="I27" s="274">
        <f>'[8]Degree Days 2018'!I27</f>
        <v>18</v>
      </c>
      <c r="J27" s="274">
        <f>'[9]Degree Days 2020'!J27</f>
        <v>15</v>
      </c>
      <c r="K27" s="274">
        <f>'[9]Degree Days 2020'!K27</f>
        <v>13</v>
      </c>
      <c r="L27" s="274">
        <f t="shared" si="2"/>
        <v>-4.3000000000000007</v>
      </c>
      <c r="M27" s="274">
        <f>'[9]Degree Days 2020'!M27</f>
        <v>18</v>
      </c>
      <c r="N27" s="274">
        <f>'[9]Degree Days 2020'!N27</f>
        <v>24</v>
      </c>
      <c r="O27" s="274">
        <f>'[9]Degree Days 2020'!O27</f>
        <v>17</v>
      </c>
      <c r="P27" s="274">
        <f t="shared" si="3"/>
        <v>2.1999999999999993</v>
      </c>
      <c r="Q27" s="539">
        <v>18</v>
      </c>
      <c r="R27" s="274">
        <f>'[9]Degree Days 2020'!R27</f>
        <v>32</v>
      </c>
      <c r="S27" s="274">
        <f>'[9]Degree Days 2020'!S27</f>
        <v>24</v>
      </c>
      <c r="T27" s="274">
        <f t="shared" si="4"/>
        <v>9.6999999999999993</v>
      </c>
      <c r="U27" s="539">
        <v>18</v>
      </c>
      <c r="V27" s="274">
        <f>'[9]Degree Days 2020'!V27</f>
        <v>27</v>
      </c>
      <c r="W27" s="274">
        <f>'[9]Degree Days 2020'!W27</f>
        <v>24</v>
      </c>
      <c r="X27" s="274">
        <f t="shared" si="5"/>
        <v>7.1999999999999993</v>
      </c>
    </row>
    <row r="28" spans="1:28">
      <c r="A28" s="117">
        <v>19</v>
      </c>
      <c r="B28" s="274">
        <f>'[9]Degree Days 2020'!B28</f>
        <v>15</v>
      </c>
      <c r="C28" s="274">
        <f>'[9]Degree Days 2020'!C28</f>
        <v>13</v>
      </c>
      <c r="D28" s="274">
        <f t="shared" si="0"/>
        <v>-4.3000000000000007</v>
      </c>
      <c r="E28" s="274">
        <f>'[9]Degree Days 2020'!E28</f>
        <v>19</v>
      </c>
      <c r="F28" s="274">
        <f>'[9]Degree Days 2020'!F28</f>
        <v>17</v>
      </c>
      <c r="G28" s="274">
        <f>'[9]Degree Days 2020'!G28</f>
        <v>14</v>
      </c>
      <c r="H28" s="274">
        <f t="shared" si="1"/>
        <v>-2.8000000000000007</v>
      </c>
      <c r="I28" s="274">
        <f>'[8]Degree Days 2018'!I28</f>
        <v>19</v>
      </c>
      <c r="J28" s="274">
        <f>'[9]Degree Days 2020'!J28</f>
        <v>17</v>
      </c>
      <c r="K28" s="274">
        <f>'[9]Degree Days 2020'!K28</f>
        <v>14</v>
      </c>
      <c r="L28" s="274">
        <f t="shared" si="2"/>
        <v>-2.8000000000000007</v>
      </c>
      <c r="M28" s="274">
        <f>'[9]Degree Days 2020'!M28</f>
        <v>19</v>
      </c>
      <c r="N28" s="274">
        <f>'[9]Degree Days 2020'!N28</f>
        <v>24</v>
      </c>
      <c r="O28" s="274">
        <f>'[9]Degree Days 2020'!O28</f>
        <v>17</v>
      </c>
      <c r="P28" s="274">
        <f t="shared" si="3"/>
        <v>2.1999999999999993</v>
      </c>
      <c r="Q28" s="539">
        <v>19</v>
      </c>
      <c r="R28" s="274">
        <f>'[9]Degree Days 2020'!R28</f>
        <v>34</v>
      </c>
      <c r="S28" s="274">
        <f>'[9]Degree Days 2020'!S28</f>
        <v>27</v>
      </c>
      <c r="T28" s="274">
        <f t="shared" si="4"/>
        <v>12.2</v>
      </c>
      <c r="U28" s="539">
        <v>19</v>
      </c>
      <c r="V28" s="274">
        <f>'[9]Degree Days 2020'!V28</f>
        <v>27</v>
      </c>
      <c r="W28" s="274">
        <f>'[9]Degree Days 2020'!W28</f>
        <v>24</v>
      </c>
      <c r="X28" s="274">
        <f t="shared" si="5"/>
        <v>7.1999999999999993</v>
      </c>
    </row>
    <row r="29" spans="1:28">
      <c r="A29" s="117">
        <v>20</v>
      </c>
      <c r="B29" s="274">
        <f>'[9]Degree Days 2020'!B29</f>
        <v>15</v>
      </c>
      <c r="C29" s="274">
        <f>'[9]Degree Days 2020'!C29</f>
        <v>10</v>
      </c>
      <c r="D29" s="274">
        <f t="shared" si="0"/>
        <v>-5.8000000000000007</v>
      </c>
      <c r="E29" s="274">
        <f>'[9]Degree Days 2020'!E29</f>
        <v>20</v>
      </c>
      <c r="F29" s="274">
        <f>'[9]Degree Days 2020'!F29</f>
        <v>17</v>
      </c>
      <c r="G29" s="274">
        <f>'[9]Degree Days 2020'!G29</f>
        <v>14</v>
      </c>
      <c r="H29" s="274">
        <f t="shared" si="1"/>
        <v>-2.8000000000000007</v>
      </c>
      <c r="I29" s="274">
        <f>'[8]Degree Days 2018'!I29</f>
        <v>20</v>
      </c>
      <c r="J29" s="274">
        <f>'[9]Degree Days 2020'!J29</f>
        <v>16</v>
      </c>
      <c r="K29" s="274">
        <f>'[9]Degree Days 2020'!K29</f>
        <v>13</v>
      </c>
      <c r="L29" s="274">
        <f t="shared" si="2"/>
        <v>-3.8000000000000007</v>
      </c>
      <c r="M29" s="274">
        <f>'[9]Degree Days 2020'!M29</f>
        <v>20</v>
      </c>
      <c r="N29" s="274">
        <f>'[9]Degree Days 2020'!N29</f>
        <v>23</v>
      </c>
      <c r="O29" s="274">
        <f>'[9]Degree Days 2020'!O29</f>
        <v>18</v>
      </c>
      <c r="P29" s="274">
        <f t="shared" si="3"/>
        <v>2.1999999999999993</v>
      </c>
      <c r="Q29" s="539">
        <v>20</v>
      </c>
      <c r="R29" s="274">
        <f>'[9]Degree Days 2020'!R29</f>
        <v>30</v>
      </c>
      <c r="S29" s="274">
        <f>'[9]Degree Days 2020'!S29</f>
        <v>22</v>
      </c>
      <c r="T29" s="274">
        <f t="shared" si="4"/>
        <v>7.6999999999999993</v>
      </c>
      <c r="U29" s="539">
        <v>20</v>
      </c>
      <c r="V29" s="274">
        <f>'[9]Degree Days 2020'!V29</f>
        <v>26</v>
      </c>
      <c r="W29" s="274">
        <f>'[9]Degree Days 2020'!W29</f>
        <v>23</v>
      </c>
      <c r="X29" s="274">
        <f t="shared" si="5"/>
        <v>6.1999999999999993</v>
      </c>
    </row>
    <row r="30" spans="1:28">
      <c r="A30" s="117">
        <v>21</v>
      </c>
      <c r="B30" s="274">
        <f>'[9]Degree Days 2020'!B30</f>
        <v>13</v>
      </c>
      <c r="C30" s="274">
        <f>'[9]Degree Days 2020'!C30</f>
        <v>9</v>
      </c>
      <c r="D30" s="274">
        <f t="shared" si="0"/>
        <v>-7.3000000000000007</v>
      </c>
      <c r="E30" s="274">
        <f>'[9]Degree Days 2020'!E30</f>
        <v>21</v>
      </c>
      <c r="F30" s="274">
        <f>'[9]Degree Days 2020'!F30</f>
        <v>16</v>
      </c>
      <c r="G30" s="274">
        <f>'[9]Degree Days 2020'!G30</f>
        <v>12</v>
      </c>
      <c r="H30" s="274">
        <f t="shared" si="1"/>
        <v>-4.3000000000000007</v>
      </c>
      <c r="I30" s="274">
        <f>'[8]Degree Days 2018'!I30</f>
        <v>21</v>
      </c>
      <c r="J30" s="274">
        <f>'[9]Degree Days 2020'!J30</f>
        <v>17</v>
      </c>
      <c r="K30" s="274">
        <f>'[9]Degree Days 2020'!K30</f>
        <v>14</v>
      </c>
      <c r="L30" s="274">
        <f t="shared" si="2"/>
        <v>-2.8000000000000007</v>
      </c>
      <c r="M30" s="274">
        <f>'[9]Degree Days 2020'!M30</f>
        <v>21</v>
      </c>
      <c r="N30" s="274">
        <f>'[9]Degree Days 2020'!N30</f>
        <v>24</v>
      </c>
      <c r="O30" s="274">
        <f>'[9]Degree Days 2020'!O30</f>
        <v>18</v>
      </c>
      <c r="P30" s="274">
        <f t="shared" si="3"/>
        <v>2.6999999999999993</v>
      </c>
      <c r="Q30" s="539">
        <v>21</v>
      </c>
      <c r="R30" s="274">
        <f>'[9]Degree Days 2020'!R30</f>
        <v>31</v>
      </c>
      <c r="S30" s="274">
        <f>'[9]Degree Days 2020'!S30</f>
        <v>23</v>
      </c>
      <c r="T30" s="274">
        <f t="shared" si="4"/>
        <v>8.6999999999999993</v>
      </c>
      <c r="U30" s="539">
        <v>21</v>
      </c>
      <c r="V30" s="274">
        <f>'[9]Degree Days 2020'!V30</f>
        <v>29</v>
      </c>
      <c r="W30" s="274">
        <f>'[9]Degree Days 2020'!W30</f>
        <v>21</v>
      </c>
      <c r="X30" s="274">
        <f t="shared" si="5"/>
        <v>6.6999999999999993</v>
      </c>
    </row>
    <row r="31" spans="1:28">
      <c r="A31" s="117">
        <v>22</v>
      </c>
      <c r="B31" s="274">
        <f>'[9]Degree Days 2020'!B31</f>
        <v>14</v>
      </c>
      <c r="C31" s="274">
        <f>'[9]Degree Days 2020'!C31</f>
        <v>10</v>
      </c>
      <c r="D31" s="274">
        <f t="shared" si="0"/>
        <v>-6.3000000000000007</v>
      </c>
      <c r="E31" s="274">
        <f>'[9]Degree Days 2020'!E31</f>
        <v>22</v>
      </c>
      <c r="F31" s="274">
        <f>'[9]Degree Days 2020'!F31</f>
        <v>17</v>
      </c>
      <c r="G31" s="274">
        <f>'[9]Degree Days 2020'!G31</f>
        <v>12</v>
      </c>
      <c r="H31" s="274">
        <f t="shared" si="1"/>
        <v>-3.8000000000000007</v>
      </c>
      <c r="I31" s="274">
        <f>'[8]Degree Days 2018'!I31</f>
        <v>22</v>
      </c>
      <c r="J31" s="274">
        <f>'[9]Degree Days 2020'!J31</f>
        <v>19</v>
      </c>
      <c r="K31" s="274">
        <f>'[9]Degree Days 2020'!K31</f>
        <v>14</v>
      </c>
      <c r="L31" s="274">
        <f t="shared" si="2"/>
        <v>-1.8000000000000007</v>
      </c>
      <c r="M31" s="274">
        <f>'[9]Degree Days 2020'!M31</f>
        <v>22</v>
      </c>
      <c r="N31" s="274">
        <f>'[9]Degree Days 2020'!N31</f>
        <v>25</v>
      </c>
      <c r="O31" s="274">
        <f>'[9]Degree Days 2020'!O31</f>
        <v>18</v>
      </c>
      <c r="P31" s="274">
        <f t="shared" si="3"/>
        <v>3.1999999999999993</v>
      </c>
      <c r="Q31" s="539">
        <v>22</v>
      </c>
      <c r="R31" s="274">
        <f>'[9]Degree Days 2020'!R31</f>
        <v>25</v>
      </c>
      <c r="S31" s="274">
        <f>'[9]Degree Days 2020'!S31</f>
        <v>16</v>
      </c>
      <c r="T31" s="274">
        <f t="shared" si="4"/>
        <v>2.1999999999999993</v>
      </c>
      <c r="U31" s="539">
        <v>22</v>
      </c>
      <c r="V31" s="274">
        <f>'[9]Degree Days 2020'!V31</f>
        <v>29</v>
      </c>
      <c r="W31" s="274">
        <f>'[9]Degree Days 2020'!W31</f>
        <v>22</v>
      </c>
      <c r="X31" s="274">
        <f t="shared" si="5"/>
        <v>7.1999999999999993</v>
      </c>
    </row>
    <row r="32" spans="1:28">
      <c r="A32" s="117">
        <v>23</v>
      </c>
      <c r="B32" s="274">
        <f>'[9]Degree Days 2020'!B32</f>
        <v>13</v>
      </c>
      <c r="C32" s="274">
        <f>'[9]Degree Days 2020'!C32</f>
        <v>7</v>
      </c>
      <c r="D32" s="274">
        <f t="shared" si="0"/>
        <v>-8.3000000000000007</v>
      </c>
      <c r="E32" s="274">
        <f>'[9]Degree Days 2020'!E32</f>
        <v>23</v>
      </c>
      <c r="F32" s="274">
        <f>'[9]Degree Days 2020'!F32</f>
        <v>16</v>
      </c>
      <c r="G32" s="274">
        <f>'[9]Degree Days 2020'!G32</f>
        <v>14</v>
      </c>
      <c r="H32" s="274">
        <f t="shared" si="1"/>
        <v>-3.3000000000000007</v>
      </c>
      <c r="I32" s="274">
        <f>'[8]Degree Days 2018'!I32</f>
        <v>23</v>
      </c>
      <c r="J32" s="274">
        <f>'[9]Degree Days 2020'!J32</f>
        <v>21</v>
      </c>
      <c r="K32" s="274">
        <f>'[9]Degree Days 2020'!K32</f>
        <v>14</v>
      </c>
      <c r="L32" s="274">
        <f t="shared" si="2"/>
        <v>-0.80000000000000071</v>
      </c>
      <c r="M32" s="274">
        <f>'[9]Degree Days 2020'!M32</f>
        <v>23</v>
      </c>
      <c r="N32" s="274">
        <f>'[9]Degree Days 2020'!N32</f>
        <v>23</v>
      </c>
      <c r="O32" s="274">
        <f>'[9]Degree Days 2020'!O32</f>
        <v>15</v>
      </c>
      <c r="P32" s="274">
        <f t="shared" si="3"/>
        <v>0.69999999999999929</v>
      </c>
      <c r="Q32" s="539">
        <v>23</v>
      </c>
      <c r="R32" s="274">
        <f>'[9]Degree Days 2020'!R32</f>
        <v>22</v>
      </c>
      <c r="S32" s="274">
        <f>'[9]Degree Days 2020'!S32</f>
        <v>19</v>
      </c>
      <c r="T32" s="274">
        <f t="shared" si="4"/>
        <v>2.1999999999999993</v>
      </c>
      <c r="U32" s="539">
        <v>23</v>
      </c>
      <c r="V32" s="274">
        <f>'[9]Degree Days 2020'!V32</f>
        <v>27</v>
      </c>
      <c r="W32" s="274">
        <f>'[9]Degree Days 2020'!W32</f>
        <v>23</v>
      </c>
      <c r="X32" s="274">
        <f t="shared" si="5"/>
        <v>6.6999999999999993</v>
      </c>
    </row>
    <row r="33" spans="1:24">
      <c r="A33" s="117">
        <v>24</v>
      </c>
      <c r="B33" s="274">
        <f>'[9]Degree Days 2020'!B33</f>
        <v>14</v>
      </c>
      <c r="C33" s="274">
        <f>'[9]Degree Days 2020'!C33</f>
        <v>8</v>
      </c>
      <c r="D33" s="274">
        <f t="shared" si="0"/>
        <v>-7.3000000000000007</v>
      </c>
      <c r="E33" s="274">
        <f>'[9]Degree Days 2020'!E33</f>
        <v>24</v>
      </c>
      <c r="F33" s="274">
        <f>'[9]Degree Days 2020'!F33</f>
        <v>17</v>
      </c>
      <c r="G33" s="274">
        <f>'[9]Degree Days 2020'!G33</f>
        <v>13</v>
      </c>
      <c r="H33" s="274">
        <f t="shared" si="1"/>
        <v>-3.3000000000000007</v>
      </c>
      <c r="I33" s="274">
        <f>'[8]Degree Days 2018'!I33</f>
        <v>24</v>
      </c>
      <c r="J33" s="274">
        <f>'[9]Degree Days 2020'!J33</f>
        <v>22</v>
      </c>
      <c r="K33" s="274">
        <f>'[9]Degree Days 2020'!K33</f>
        <v>15</v>
      </c>
      <c r="L33" s="274">
        <f t="shared" si="2"/>
        <v>0.19999999999999929</v>
      </c>
      <c r="M33" s="274">
        <f>'[9]Degree Days 2020'!M33</f>
        <v>24</v>
      </c>
      <c r="N33" s="274">
        <f>'[9]Degree Days 2020'!N33</f>
        <v>23</v>
      </c>
      <c r="O33" s="274">
        <f>'[9]Degree Days 2020'!O33</f>
        <v>16</v>
      </c>
      <c r="P33" s="274">
        <f t="shared" si="3"/>
        <v>1.1999999999999993</v>
      </c>
      <c r="Q33" s="539">
        <v>24</v>
      </c>
      <c r="R33" s="274">
        <f>'[9]Degree Days 2020'!R33</f>
        <v>24</v>
      </c>
      <c r="S33" s="274">
        <f>'[9]Degree Days 2020'!S33</f>
        <v>16</v>
      </c>
      <c r="T33" s="274">
        <f t="shared" si="4"/>
        <v>1.6999999999999993</v>
      </c>
      <c r="U33" s="539">
        <v>24</v>
      </c>
      <c r="V33" s="274">
        <f>'[9]Degree Days 2020'!V33</f>
        <v>27</v>
      </c>
      <c r="W33" s="274">
        <f>'[9]Degree Days 2020'!W33</f>
        <v>23</v>
      </c>
      <c r="X33" s="274">
        <f t="shared" si="5"/>
        <v>6.6999999999999993</v>
      </c>
    </row>
    <row r="34" spans="1:24">
      <c r="A34" s="117">
        <v>25</v>
      </c>
      <c r="B34" s="274">
        <f>'[9]Degree Days 2020'!B34</f>
        <v>16</v>
      </c>
      <c r="C34" s="274">
        <f>'[9]Degree Days 2020'!C34</f>
        <v>10</v>
      </c>
      <c r="D34" s="274">
        <f t="shared" si="0"/>
        <v>-5.3000000000000007</v>
      </c>
      <c r="E34" s="274">
        <f>'[9]Degree Days 2020'!E34</f>
        <v>25</v>
      </c>
      <c r="F34" s="274">
        <f>'[9]Degree Days 2020'!F34</f>
        <v>17</v>
      </c>
      <c r="G34" s="274">
        <f>'[9]Degree Days 2020'!G34</f>
        <v>13</v>
      </c>
      <c r="H34" s="274">
        <f t="shared" si="1"/>
        <v>-3.3000000000000007</v>
      </c>
      <c r="I34" s="274">
        <f>'[8]Degree Days 2018'!I34</f>
        <v>25</v>
      </c>
      <c r="J34" s="274">
        <f>'[9]Degree Days 2020'!J34</f>
        <v>21</v>
      </c>
      <c r="K34" s="274">
        <f>'[9]Degree Days 2020'!K34</f>
        <v>15</v>
      </c>
      <c r="L34" s="274">
        <f t="shared" si="2"/>
        <v>-0.30000000000000071</v>
      </c>
      <c r="M34" s="274">
        <f>'[9]Degree Days 2020'!M34</f>
        <v>25</v>
      </c>
      <c r="N34" s="274">
        <f>'[9]Degree Days 2020'!N34</f>
        <v>22</v>
      </c>
      <c r="O34" s="274">
        <f>'[9]Degree Days 2020'!O34</f>
        <v>14</v>
      </c>
      <c r="P34" s="274">
        <f t="shared" si="3"/>
        <v>-0.30000000000000071</v>
      </c>
      <c r="Q34" s="539">
        <v>25</v>
      </c>
      <c r="R34" s="274">
        <f>'[9]Degree Days 2020'!R34</f>
        <v>24</v>
      </c>
      <c r="S34" s="274">
        <f>'[9]Degree Days 2020'!S34</f>
        <v>18</v>
      </c>
      <c r="T34" s="274">
        <f t="shared" si="4"/>
        <v>2.6999999999999993</v>
      </c>
      <c r="U34" s="539">
        <v>25</v>
      </c>
      <c r="V34" s="274">
        <f>'[9]Degree Days 2020'!V34</f>
        <v>33</v>
      </c>
      <c r="W34" s="274">
        <f>'[9]Degree Days 2020'!W34</f>
        <v>27</v>
      </c>
      <c r="X34" s="274">
        <f t="shared" si="5"/>
        <v>11.7</v>
      </c>
    </row>
    <row r="35" spans="1:24">
      <c r="A35" s="117">
        <v>26</v>
      </c>
      <c r="B35" s="274">
        <f>'[9]Degree Days 2020'!B35</f>
        <v>15</v>
      </c>
      <c r="C35" s="274">
        <f>'[9]Degree Days 2020'!C35</f>
        <v>9</v>
      </c>
      <c r="D35" s="274">
        <f t="shared" si="0"/>
        <v>-6.3000000000000007</v>
      </c>
      <c r="E35" s="274">
        <f>'[9]Degree Days 2020'!E35</f>
        <v>26</v>
      </c>
      <c r="F35" s="274">
        <f>'[9]Degree Days 2020'!F35</f>
        <v>18</v>
      </c>
      <c r="G35" s="274">
        <f>'[9]Degree Days 2020'!G35</f>
        <v>14</v>
      </c>
      <c r="H35" s="274">
        <f t="shared" si="1"/>
        <v>-2.3000000000000007</v>
      </c>
      <c r="I35" s="274">
        <f>'[8]Degree Days 2018'!I35</f>
        <v>26</v>
      </c>
      <c r="J35" s="274">
        <f>'[9]Degree Days 2020'!J35</f>
        <v>21</v>
      </c>
      <c r="K35" s="274">
        <f>'[9]Degree Days 2020'!K35</f>
        <v>15</v>
      </c>
      <c r="L35" s="274">
        <f t="shared" si="2"/>
        <v>-0.30000000000000071</v>
      </c>
      <c r="M35" s="274">
        <f>'[9]Degree Days 2020'!M35</f>
        <v>26</v>
      </c>
      <c r="N35" s="274">
        <f>'[9]Degree Days 2020'!N35</f>
        <v>21</v>
      </c>
      <c r="O35" s="274">
        <f>'[9]Degree Days 2020'!O35</f>
        <v>17</v>
      </c>
      <c r="P35" s="274">
        <f t="shared" si="3"/>
        <v>0.69999999999999929</v>
      </c>
      <c r="Q35" s="539">
        <v>26</v>
      </c>
      <c r="R35" s="274">
        <f>'[9]Degree Days 2020'!R35</f>
        <v>25</v>
      </c>
      <c r="S35" s="274">
        <f>'[9]Degree Days 2020'!S35</f>
        <v>20</v>
      </c>
      <c r="T35" s="274">
        <f t="shared" si="4"/>
        <v>4.1999999999999993</v>
      </c>
      <c r="U35" s="539">
        <v>26</v>
      </c>
      <c r="V35" s="274">
        <f>'[9]Degree Days 2020'!V35</f>
        <v>28</v>
      </c>
      <c r="W35" s="274">
        <f>'[9]Degree Days 2020'!W35</f>
        <v>24</v>
      </c>
      <c r="X35" s="274">
        <f t="shared" si="5"/>
        <v>7.6999999999999993</v>
      </c>
    </row>
    <row r="36" spans="1:24">
      <c r="A36" s="117">
        <v>27</v>
      </c>
      <c r="B36" s="274">
        <f>'[9]Degree Days 2020'!B36</f>
        <v>17</v>
      </c>
      <c r="C36" s="274">
        <f>'[9]Degree Days 2020'!C36</f>
        <v>11</v>
      </c>
      <c r="D36" s="274">
        <f t="shared" si="0"/>
        <v>-4.3000000000000007</v>
      </c>
      <c r="E36" s="274">
        <f>'[9]Degree Days 2020'!E36</f>
        <v>27</v>
      </c>
      <c r="F36" s="274">
        <f>'[9]Degree Days 2020'!F36</f>
        <v>19</v>
      </c>
      <c r="G36" s="274">
        <f>'[9]Degree Days 2020'!G36</f>
        <v>13</v>
      </c>
      <c r="H36" s="274">
        <f t="shared" si="1"/>
        <v>-2.3000000000000007</v>
      </c>
      <c r="I36" s="274">
        <f>'[8]Degree Days 2018'!I36</f>
        <v>27</v>
      </c>
      <c r="J36" s="274">
        <f>'[9]Degree Days 2020'!J36</f>
        <v>18</v>
      </c>
      <c r="K36" s="274">
        <f>'[9]Degree Days 2020'!K36</f>
        <v>13</v>
      </c>
      <c r="L36" s="274">
        <f t="shared" si="2"/>
        <v>-2.8000000000000007</v>
      </c>
      <c r="M36" s="274">
        <f>'[9]Degree Days 2020'!M36</f>
        <v>27</v>
      </c>
      <c r="N36" s="274">
        <f>'[9]Degree Days 2020'!N36</f>
        <v>20</v>
      </c>
      <c r="O36" s="274">
        <f>'[9]Degree Days 2020'!O36</f>
        <v>16</v>
      </c>
      <c r="P36" s="274">
        <f t="shared" si="3"/>
        <v>-0.30000000000000071</v>
      </c>
      <c r="Q36" s="539">
        <v>27</v>
      </c>
      <c r="R36" s="274">
        <f>'[9]Degree Days 2020'!R36</f>
        <v>27</v>
      </c>
      <c r="S36" s="274">
        <f>'[9]Degree Days 2020'!S36</f>
        <v>19</v>
      </c>
      <c r="T36" s="274">
        <f t="shared" si="4"/>
        <v>4.6999999999999993</v>
      </c>
      <c r="U36" s="539">
        <v>27</v>
      </c>
      <c r="V36" s="274">
        <f>'[9]Degree Days 2020'!V36</f>
        <v>29</v>
      </c>
      <c r="W36" s="274">
        <f>'[9]Degree Days 2020'!W36</f>
        <v>25</v>
      </c>
      <c r="X36" s="274">
        <f t="shared" si="5"/>
        <v>8.6999999999999993</v>
      </c>
    </row>
    <row r="37" spans="1:24">
      <c r="A37" s="117">
        <v>28</v>
      </c>
      <c r="B37" s="274">
        <f>'[9]Degree Days 2020'!B37</f>
        <v>16</v>
      </c>
      <c r="C37" s="274">
        <f>'[9]Degree Days 2020'!C37</f>
        <v>10</v>
      </c>
      <c r="D37" s="274">
        <f t="shared" si="0"/>
        <v>-5.3000000000000007</v>
      </c>
      <c r="E37" s="274">
        <f>'[9]Degree Days 2020'!E37</f>
        <v>28</v>
      </c>
      <c r="F37" s="274">
        <f>'[9]Degree Days 2020'!F37</f>
        <v>19</v>
      </c>
      <c r="G37" s="274">
        <f>'[9]Degree Days 2020'!G37</f>
        <v>14</v>
      </c>
      <c r="H37" s="274">
        <f t="shared" si="1"/>
        <v>-1.8000000000000007</v>
      </c>
      <c r="I37" s="274">
        <f>'[8]Degree Days 2018'!I37</f>
        <v>28</v>
      </c>
      <c r="J37" s="274">
        <f>'[9]Degree Days 2020'!J37</f>
        <v>17</v>
      </c>
      <c r="K37" s="274">
        <f>'[9]Degree Days 2020'!K37</f>
        <v>13</v>
      </c>
      <c r="L37" s="274">
        <f t="shared" si="2"/>
        <v>-3.3000000000000007</v>
      </c>
      <c r="M37" s="274">
        <f>'[9]Degree Days 2020'!M37</f>
        <v>28</v>
      </c>
      <c r="N37" s="274">
        <f>'[9]Degree Days 2020'!N37</f>
        <v>21</v>
      </c>
      <c r="O37" s="274">
        <f>'[9]Degree Days 2020'!O37</f>
        <v>16</v>
      </c>
      <c r="P37" s="274">
        <f t="shared" si="3"/>
        <v>0.19999999999999929</v>
      </c>
      <c r="Q37" s="539">
        <v>28</v>
      </c>
      <c r="R37" s="274">
        <f>'[9]Degree Days 2020'!R37</f>
        <v>27</v>
      </c>
      <c r="S37" s="274">
        <f>'[9]Degree Days 2020'!S37</f>
        <v>19</v>
      </c>
      <c r="T37" s="274">
        <f t="shared" si="4"/>
        <v>4.6999999999999993</v>
      </c>
      <c r="U37" s="539">
        <v>28</v>
      </c>
      <c r="V37" s="274">
        <f>'[9]Degree Days 2020'!V37</f>
        <v>30</v>
      </c>
      <c r="W37" s="274">
        <f>'[9]Degree Days 2020'!W37</f>
        <v>26</v>
      </c>
      <c r="X37" s="274">
        <f t="shared" si="5"/>
        <v>9.6999999999999993</v>
      </c>
    </row>
    <row r="38" spans="1:24">
      <c r="A38" s="117">
        <v>29</v>
      </c>
      <c r="B38" s="274">
        <f>'[9]Degree Days 2020'!B38</f>
        <v>16</v>
      </c>
      <c r="C38" s="274">
        <f>'[9]Degree Days 2020'!C38</f>
        <v>10</v>
      </c>
      <c r="D38" s="274">
        <f t="shared" si="0"/>
        <v>-5.3000000000000007</v>
      </c>
      <c r="E38" s="274">
        <f>'[9]Degree Days 2020'!E38</f>
        <v>29</v>
      </c>
      <c r="F38" s="274">
        <f>'[9]Degree Days 2020'!F38</f>
        <v>18</v>
      </c>
      <c r="G38" s="274">
        <f>'[9]Degree Days 2020'!G38</f>
        <v>13</v>
      </c>
      <c r="H38" s="274">
        <f t="shared" si="1"/>
        <v>-2.8000000000000007</v>
      </c>
      <c r="I38" s="274">
        <f>'[8]Degree Days 2018'!I38</f>
        <v>29</v>
      </c>
      <c r="J38" s="274">
        <f>'[9]Degree Days 2020'!J38</f>
        <v>20</v>
      </c>
      <c r="K38" s="274">
        <f>'[9]Degree Days 2020'!K38</f>
        <v>16</v>
      </c>
      <c r="L38" s="274">
        <f t="shared" si="2"/>
        <v>-0.30000000000000071</v>
      </c>
      <c r="M38" s="274">
        <f>'[9]Degree Days 2020'!M38</f>
        <v>29</v>
      </c>
      <c r="N38" s="274">
        <f>'[9]Degree Days 2020'!N38</f>
        <v>21</v>
      </c>
      <c r="O38" s="274">
        <f>'[9]Degree Days 2020'!O38</f>
        <v>17</v>
      </c>
      <c r="P38" s="274">
        <f t="shared" si="3"/>
        <v>0.69999999999999929</v>
      </c>
      <c r="Q38" s="539">
        <v>29</v>
      </c>
      <c r="R38" s="274">
        <f>'[9]Degree Days 2020'!R38</f>
        <v>23</v>
      </c>
      <c r="S38" s="274">
        <f>'[9]Degree Days 2020'!S38</f>
        <v>14</v>
      </c>
      <c r="T38" s="274">
        <f t="shared" si="4"/>
        <v>0.19999999999999929</v>
      </c>
      <c r="U38" s="539">
        <v>29</v>
      </c>
      <c r="V38" s="274">
        <f>'[9]Degree Days 2020'!V38</f>
        <v>28</v>
      </c>
      <c r="W38" s="274">
        <f>'[9]Degree Days 2020'!W38</f>
        <v>24</v>
      </c>
      <c r="X38" s="274">
        <f t="shared" si="5"/>
        <v>7.6999999999999993</v>
      </c>
    </row>
    <row r="39" spans="1:24">
      <c r="A39" s="117">
        <v>30</v>
      </c>
      <c r="B39" s="274">
        <f>'[9]Degree Days 2020'!B39</f>
        <v>16</v>
      </c>
      <c r="C39" s="274">
        <f>'[9]Degree Days 2020'!C39</f>
        <v>11</v>
      </c>
      <c r="D39" s="274">
        <f t="shared" si="0"/>
        <v>-4.8000000000000007</v>
      </c>
      <c r="E39" s="274">
        <f>'[9]Degree Days 2020'!E39</f>
        <v>0</v>
      </c>
      <c r="F39" s="274">
        <f>'[9]Degree Days 2020'!F39</f>
        <v>0</v>
      </c>
      <c r="G39" s="274">
        <f>'[9]Degree Days 2020'!G39</f>
        <v>0</v>
      </c>
      <c r="H39" s="274">
        <f t="shared" si="1"/>
        <v>-18.3</v>
      </c>
      <c r="I39" s="274">
        <f>'[8]Degree Days 2018'!I39</f>
        <v>30</v>
      </c>
      <c r="J39" s="274">
        <f>'[9]Degree Days 2020'!J39</f>
        <v>20</v>
      </c>
      <c r="K39" s="274">
        <f>'[9]Degree Days 2020'!K39</f>
        <v>17</v>
      </c>
      <c r="L39" s="274">
        <f t="shared" si="2"/>
        <v>0.19999999999999929</v>
      </c>
      <c r="M39" s="274">
        <f>'[9]Degree Days 2020'!M39</f>
        <v>30</v>
      </c>
      <c r="N39" s="274">
        <f>'[9]Degree Days 2020'!N39</f>
        <v>0</v>
      </c>
      <c r="O39" s="274">
        <f>'[9]Degree Days 2020'!O39</f>
        <v>0</v>
      </c>
      <c r="P39" s="274">
        <f t="shared" si="3"/>
        <v>-18.3</v>
      </c>
      <c r="Q39" s="539">
        <v>30</v>
      </c>
      <c r="R39" s="274">
        <f>'[9]Degree Days 2020'!R39</f>
        <v>23</v>
      </c>
      <c r="S39" s="274">
        <f>'[9]Degree Days 2020'!S39</f>
        <v>17</v>
      </c>
      <c r="T39" s="274">
        <f t="shared" si="4"/>
        <v>1.6999999999999993</v>
      </c>
      <c r="U39" s="539">
        <v>30</v>
      </c>
      <c r="V39" s="274">
        <f>'[9]Degree Days 2020'!V39</f>
        <v>30</v>
      </c>
      <c r="W39" s="274">
        <f>'[9]Degree Days 2020'!W39</f>
        <v>22</v>
      </c>
      <c r="X39" s="274">
        <f t="shared" si="5"/>
        <v>7.6999999999999993</v>
      </c>
    </row>
    <row r="40" spans="1:24">
      <c r="A40" s="120">
        <v>31</v>
      </c>
      <c r="B40" s="274">
        <f>'[9]Degree Days 2020'!B40</f>
        <v>17</v>
      </c>
      <c r="C40" s="274">
        <f>'[9]Degree Days 2020'!C40</f>
        <v>13</v>
      </c>
      <c r="D40" s="274">
        <f t="shared" si="0"/>
        <v>-3.3000000000000007</v>
      </c>
      <c r="E40" s="274">
        <f>'[9]Degree Days 2020'!E40</f>
        <v>0</v>
      </c>
      <c r="F40" s="274">
        <f>'[9]Degree Days 2020'!F40</f>
        <v>0</v>
      </c>
      <c r="G40" s="274">
        <f>'[9]Degree Days 2020'!G40</f>
        <v>0</v>
      </c>
      <c r="H40" s="274">
        <f t="shared" si="1"/>
        <v>-18.3</v>
      </c>
      <c r="I40" s="274">
        <f>'[8]Degree Days 2018'!I40</f>
        <v>31</v>
      </c>
      <c r="J40" s="274">
        <f>'[9]Degree Days 2020'!J40</f>
        <v>30</v>
      </c>
      <c r="K40" s="274">
        <f>'[9]Degree Days 2020'!K40</f>
        <v>18</v>
      </c>
      <c r="L40" s="274">
        <f t="shared" si="2"/>
        <v>5.6999999999999993</v>
      </c>
      <c r="M40" s="274">
        <f>'[9]Degree Days 2020'!M40</f>
        <v>0</v>
      </c>
      <c r="N40" s="274">
        <f>'[9]Degree Days 2020'!N40</f>
        <v>0</v>
      </c>
      <c r="O40" s="274">
        <f>'[9]Degree Days 2020'!O40</f>
        <v>0</v>
      </c>
      <c r="P40" s="274">
        <f t="shared" si="3"/>
        <v>-18.3</v>
      </c>
      <c r="Q40" s="539">
        <v>31</v>
      </c>
      <c r="R40" s="274">
        <f>'[9]Degree Days 2020'!R40</f>
        <v>24</v>
      </c>
      <c r="S40" s="274">
        <f>'[9]Degree Days 2020'!S40</f>
        <v>19</v>
      </c>
      <c r="T40" s="274">
        <f t="shared" si="4"/>
        <v>3.1999999999999993</v>
      </c>
      <c r="U40" s="274"/>
      <c r="V40" s="274">
        <f>'[9]Degree Days 2020'!V40</f>
        <v>0</v>
      </c>
      <c r="W40" s="274">
        <f>'[9]Degree Days 2020'!W40</f>
        <v>0</v>
      </c>
      <c r="X40" s="274">
        <f t="shared" si="5"/>
        <v>-18.3</v>
      </c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-148.80000000000001</v>
      </c>
      <c r="C43" s="119">
        <f>SUMIF(D10:D40,"&gt;0")</f>
        <v>0</v>
      </c>
      <c r="D43" s="130"/>
      <c r="E43" s="129"/>
      <c r="F43" s="119">
        <f>SUMIF(H10:H40,"&lt;0")</f>
        <v>-153.49999999999997</v>
      </c>
      <c r="G43" s="119">
        <f>SUMIF(H10:H40,"&gt;0")</f>
        <v>0.69999999999999929</v>
      </c>
      <c r="H43" s="130"/>
      <c r="I43" s="129"/>
      <c r="J43" s="119">
        <f>SUMIF(L10:L40,"&lt;0")</f>
        <v>-61.799999999999983</v>
      </c>
      <c r="K43" s="119">
        <f>SUMIF(L10:L40,"&gt;0")</f>
        <v>11.499999999999996</v>
      </c>
      <c r="L43" s="130"/>
      <c r="M43" s="129"/>
      <c r="N43" s="119">
        <f>SUMIF(P10:P40,"&lt;0")</f>
        <v>-54.600000000000009</v>
      </c>
      <c r="O43" s="119">
        <f>SUMIF(P10:P40,"&gt;0")</f>
        <v>25.29999999999999</v>
      </c>
      <c r="P43" s="130"/>
      <c r="Q43" s="129"/>
      <c r="R43" s="119">
        <f>SUMIF(T10:T40,"&lt;0")</f>
        <v>-0.80000000000000071</v>
      </c>
      <c r="S43" s="119">
        <f>SUMIF(T10:T40,"&gt;0")</f>
        <v>131.50000000000003</v>
      </c>
      <c r="T43" s="130"/>
      <c r="U43" s="129"/>
      <c r="V43" s="119">
        <f>SUMIF(X10:X40,"&lt;0")</f>
        <v>-18.3</v>
      </c>
      <c r="W43" s="119">
        <f>SUMIF(X10:X40,"&gt;0")</f>
        <v>182.99999999999997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4">
        <f>'[3]Degree Days 2020'!B48</f>
        <v>28</v>
      </c>
      <c r="C48" s="274">
        <f>'[3]Degree Days 2020'!C48</f>
        <v>24</v>
      </c>
      <c r="D48" s="119">
        <f t="shared" ref="D48:D56" si="8">(B48+C48)/2-18.3</f>
        <v>7.6999999999999993</v>
      </c>
      <c r="E48" s="117">
        <v>1</v>
      </c>
      <c r="F48" s="274">
        <f>'[1]Degree Days 2020'!F48</f>
        <v>30</v>
      </c>
      <c r="G48" s="274">
        <f>'[1]Degree Days 2020'!G48</f>
        <v>26</v>
      </c>
      <c r="H48" s="119">
        <f t="shared" ref="H48:H78" si="9">(F48+G48)/2-18.3</f>
        <v>9.6999999999999993</v>
      </c>
      <c r="I48" s="117">
        <v>1</v>
      </c>
      <c r="J48" s="274">
        <f>'[2]Degree Days 2020'!J48</f>
        <v>32</v>
      </c>
      <c r="K48" s="274">
        <f>'[2]Degree Days 2020'!K48</f>
        <v>28</v>
      </c>
      <c r="L48" s="119">
        <f>(J48+K48)/2-18.3</f>
        <v>11.7</v>
      </c>
      <c r="M48" s="117">
        <v>1</v>
      </c>
      <c r="N48" s="274">
        <f>'General information '!B6</f>
        <v>30</v>
      </c>
      <c r="O48" s="274">
        <f>'General information '!C6</f>
        <v>25</v>
      </c>
      <c r="P48" s="119">
        <f>(N48+O48)/2-18.3</f>
        <v>9.1999999999999993</v>
      </c>
      <c r="Q48" s="117">
        <v>1</v>
      </c>
      <c r="R48" s="274"/>
      <c r="S48" s="274"/>
      <c r="T48" s="119">
        <f>(R48+S48)/2-18.3</f>
        <v>-18.3</v>
      </c>
      <c r="U48" s="117">
        <v>1</v>
      </c>
      <c r="V48" s="274"/>
      <c r="W48" s="274"/>
      <c r="X48" s="119">
        <f t="shared" ref="X48:X77" si="10">(V48+W48)/2-18.3</f>
        <v>-18.3</v>
      </c>
    </row>
    <row r="49" spans="1:24">
      <c r="A49" s="117">
        <v>2</v>
      </c>
      <c r="B49" s="274">
        <f>'[3]Degree Days 2020'!B49</f>
        <v>29</v>
      </c>
      <c r="C49" s="274">
        <f>'[3]Degree Days 2020'!C49</f>
        <v>23</v>
      </c>
      <c r="D49" s="119">
        <f t="shared" si="8"/>
        <v>7.6999999999999993</v>
      </c>
      <c r="E49" s="117">
        <v>2</v>
      </c>
      <c r="F49" s="274">
        <f>'[1]Degree Days 2020'!F49</f>
        <v>31</v>
      </c>
      <c r="G49" s="274">
        <f>'[1]Degree Days 2020'!G49</f>
        <v>26</v>
      </c>
      <c r="H49" s="119">
        <f t="shared" si="9"/>
        <v>10.199999999999999</v>
      </c>
      <c r="I49" s="117">
        <v>2</v>
      </c>
      <c r="J49" s="274">
        <f>'[2]Degree Days 2020'!J49</f>
        <v>31</v>
      </c>
      <c r="K49" s="274">
        <f>'[2]Degree Days 2020'!K49</f>
        <v>27</v>
      </c>
      <c r="L49" s="119">
        <f t="shared" ref="L49:L77" si="11">(J49+K49)/2-18.3</f>
        <v>10.7</v>
      </c>
      <c r="M49" s="117">
        <v>2</v>
      </c>
      <c r="N49" s="274">
        <f>'General information '!B7</f>
        <v>30</v>
      </c>
      <c r="O49" s="274">
        <f>'General information '!C7</f>
        <v>26</v>
      </c>
      <c r="P49" s="119">
        <f t="shared" ref="P49:P78" si="12">(N49+O49)/2-18.3</f>
        <v>9.6999999999999993</v>
      </c>
      <c r="Q49" s="117">
        <v>2</v>
      </c>
      <c r="R49" s="274"/>
      <c r="S49" s="274"/>
      <c r="T49" s="119">
        <f t="shared" ref="T49:T77" si="13">(R49+S49)/2-18.3</f>
        <v>-18.3</v>
      </c>
      <c r="U49" s="117">
        <v>2</v>
      </c>
      <c r="V49" s="274"/>
      <c r="W49" s="274"/>
      <c r="X49" s="119">
        <f t="shared" si="10"/>
        <v>-18.3</v>
      </c>
    </row>
    <row r="50" spans="1:24">
      <c r="A50" s="117">
        <v>3</v>
      </c>
      <c r="B50" s="274">
        <f>'[3]Degree Days 2020'!B50</f>
        <v>29</v>
      </c>
      <c r="C50" s="274">
        <f>'[3]Degree Days 2020'!C50</f>
        <v>24</v>
      </c>
      <c r="D50" s="119">
        <f t="shared" si="8"/>
        <v>8.1999999999999993</v>
      </c>
      <c r="E50" s="117">
        <v>3</v>
      </c>
      <c r="F50" s="274">
        <f>'[1]Degree Days 2020'!F50</f>
        <v>31</v>
      </c>
      <c r="G50" s="274">
        <f>'[1]Degree Days 2020'!G50</f>
        <v>27</v>
      </c>
      <c r="H50" s="119">
        <f t="shared" si="9"/>
        <v>10.7</v>
      </c>
      <c r="I50" s="117">
        <v>3</v>
      </c>
      <c r="J50" s="274">
        <f>'[2]Degree Days 2020'!J50</f>
        <v>34</v>
      </c>
      <c r="K50" s="274">
        <f>'[2]Degree Days 2020'!K50</f>
        <v>29</v>
      </c>
      <c r="L50" s="119">
        <f t="shared" si="11"/>
        <v>13.2</v>
      </c>
      <c r="M50" s="117">
        <v>3</v>
      </c>
      <c r="N50" s="274">
        <f>'General information '!B8</f>
        <v>29</v>
      </c>
      <c r="O50" s="274">
        <f>'General information '!C8</f>
        <v>24</v>
      </c>
      <c r="P50" s="119">
        <f t="shared" si="12"/>
        <v>8.1999999999999993</v>
      </c>
      <c r="Q50" s="117">
        <v>3</v>
      </c>
      <c r="R50" s="274"/>
      <c r="S50" s="274"/>
      <c r="T50" s="119">
        <f t="shared" si="13"/>
        <v>-18.3</v>
      </c>
      <c r="U50" s="117">
        <v>3</v>
      </c>
      <c r="V50" s="274"/>
      <c r="W50" s="274"/>
      <c r="X50" s="119">
        <f t="shared" si="10"/>
        <v>-18.3</v>
      </c>
    </row>
    <row r="51" spans="1:24">
      <c r="A51" s="117">
        <v>4</v>
      </c>
      <c r="B51" s="274">
        <f>'[3]Degree Days 2020'!B51</f>
        <v>28</v>
      </c>
      <c r="C51" s="274">
        <f>'[3]Degree Days 2020'!C51</f>
        <v>24</v>
      </c>
      <c r="D51" s="119">
        <f t="shared" si="8"/>
        <v>7.6999999999999993</v>
      </c>
      <c r="E51" s="117">
        <v>4</v>
      </c>
      <c r="F51" s="274">
        <f>'[1]Degree Days 2020'!F51</f>
        <v>31</v>
      </c>
      <c r="G51" s="274">
        <f>'[1]Degree Days 2020'!G51</f>
        <v>26</v>
      </c>
      <c r="H51" s="119">
        <f t="shared" si="9"/>
        <v>10.199999999999999</v>
      </c>
      <c r="I51" s="117">
        <v>4</v>
      </c>
      <c r="J51" s="274">
        <f>'[2]Degree Days 2020'!J51</f>
        <v>33</v>
      </c>
      <c r="K51" s="274">
        <f>'[2]Degree Days 2020'!K51</f>
        <v>27</v>
      </c>
      <c r="L51" s="119">
        <f t="shared" si="11"/>
        <v>11.7</v>
      </c>
      <c r="M51" s="117">
        <v>4</v>
      </c>
      <c r="N51" s="274">
        <f>'General information '!B9</f>
        <v>29</v>
      </c>
      <c r="O51" s="274">
        <f>'General information '!C9</f>
        <v>25</v>
      </c>
      <c r="P51" s="119">
        <f t="shared" si="12"/>
        <v>8.6999999999999993</v>
      </c>
      <c r="Q51" s="117">
        <v>4</v>
      </c>
      <c r="R51" s="274"/>
      <c r="S51" s="274"/>
      <c r="T51" s="119">
        <f t="shared" si="13"/>
        <v>-18.3</v>
      </c>
      <c r="U51" s="117">
        <v>4</v>
      </c>
      <c r="V51" s="274"/>
      <c r="W51" s="274"/>
      <c r="X51" s="119">
        <f t="shared" si="10"/>
        <v>-18.3</v>
      </c>
    </row>
    <row r="52" spans="1:24">
      <c r="A52" s="117">
        <v>5</v>
      </c>
      <c r="B52" s="274">
        <f>'[3]Degree Days 2020'!B52</f>
        <v>30</v>
      </c>
      <c r="C52" s="274">
        <f>'[3]Degree Days 2020'!C52</f>
        <v>26</v>
      </c>
      <c r="D52" s="119">
        <f t="shared" si="8"/>
        <v>9.6999999999999993</v>
      </c>
      <c r="E52" s="117">
        <v>5</v>
      </c>
      <c r="F52" s="274">
        <f>'[1]Degree Days 2020'!F52</f>
        <v>30</v>
      </c>
      <c r="G52" s="274">
        <f>'[1]Degree Days 2020'!G52</f>
        <v>27</v>
      </c>
      <c r="H52" s="119">
        <f t="shared" si="9"/>
        <v>10.199999999999999</v>
      </c>
      <c r="I52" s="117">
        <v>5</v>
      </c>
      <c r="J52" s="274">
        <f>'[2]Degree Days 2020'!J52</f>
        <v>31</v>
      </c>
      <c r="K52" s="274">
        <f>'[2]Degree Days 2020'!K52</f>
        <v>25</v>
      </c>
      <c r="L52" s="119">
        <f t="shared" si="11"/>
        <v>9.6999999999999993</v>
      </c>
      <c r="M52" s="117">
        <v>5</v>
      </c>
      <c r="N52" s="274">
        <f>'General information '!B10</f>
        <v>31</v>
      </c>
      <c r="O52" s="274">
        <f>'General information '!C10</f>
        <v>26</v>
      </c>
      <c r="P52" s="119">
        <f t="shared" si="12"/>
        <v>10.199999999999999</v>
      </c>
      <c r="Q52" s="117">
        <v>5</v>
      </c>
      <c r="R52" s="274"/>
      <c r="S52" s="274"/>
      <c r="T52" s="119">
        <f t="shared" si="13"/>
        <v>-18.3</v>
      </c>
      <c r="U52" s="117">
        <v>5</v>
      </c>
      <c r="V52" s="274"/>
      <c r="W52" s="274"/>
      <c r="X52" s="119">
        <f t="shared" si="10"/>
        <v>-18.3</v>
      </c>
    </row>
    <row r="53" spans="1:24">
      <c r="A53" s="117">
        <v>6</v>
      </c>
      <c r="B53" s="274">
        <f>'[3]Degree Days 2020'!B53</f>
        <v>29</v>
      </c>
      <c r="C53" s="274">
        <f>'[3]Degree Days 2020'!C53</f>
        <v>25</v>
      </c>
      <c r="D53" s="119">
        <f t="shared" si="8"/>
        <v>8.6999999999999993</v>
      </c>
      <c r="E53" s="117">
        <v>6</v>
      </c>
      <c r="F53" s="274">
        <f>'[1]Degree Days 2020'!F53</f>
        <v>31</v>
      </c>
      <c r="G53" s="274">
        <f>'[1]Degree Days 2020'!G53</f>
        <v>26</v>
      </c>
      <c r="H53" s="119">
        <f t="shared" si="9"/>
        <v>10.199999999999999</v>
      </c>
      <c r="I53" s="117">
        <v>6</v>
      </c>
      <c r="J53" s="274">
        <f>'[2]Degree Days 2020'!J53</f>
        <v>31</v>
      </c>
      <c r="K53" s="274">
        <f>'[2]Degree Days 2020'!K53</f>
        <v>25</v>
      </c>
      <c r="L53" s="119">
        <f t="shared" si="11"/>
        <v>9.6999999999999993</v>
      </c>
      <c r="M53" s="117">
        <v>6</v>
      </c>
      <c r="N53" s="274">
        <f>'General information '!B11</f>
        <v>0</v>
      </c>
      <c r="O53" s="274">
        <f>'General information '!C11</f>
        <v>0</v>
      </c>
      <c r="P53" s="119">
        <f t="shared" si="12"/>
        <v>-18.3</v>
      </c>
      <c r="Q53" s="117">
        <v>6</v>
      </c>
      <c r="R53" s="274"/>
      <c r="S53" s="274"/>
      <c r="T53" s="119">
        <f t="shared" si="13"/>
        <v>-18.3</v>
      </c>
      <c r="U53" s="117">
        <v>6</v>
      </c>
      <c r="V53" s="274"/>
      <c r="W53" s="274"/>
      <c r="X53" s="119">
        <f t="shared" si="10"/>
        <v>-18.3</v>
      </c>
    </row>
    <row r="54" spans="1:24">
      <c r="A54" s="117">
        <v>7</v>
      </c>
      <c r="B54" s="274">
        <f>'[3]Degree Days 2020'!B54</f>
        <v>30</v>
      </c>
      <c r="C54" s="274">
        <f>'[3]Degree Days 2020'!C54</f>
        <v>22</v>
      </c>
      <c r="D54" s="119">
        <f t="shared" si="8"/>
        <v>7.6999999999999993</v>
      </c>
      <c r="E54" s="117">
        <v>7</v>
      </c>
      <c r="F54" s="274">
        <f>'[1]Degree Days 2020'!F54</f>
        <v>31</v>
      </c>
      <c r="G54" s="274">
        <f>'[1]Degree Days 2020'!G54</f>
        <v>23</v>
      </c>
      <c r="H54" s="119">
        <f t="shared" si="9"/>
        <v>8.6999999999999993</v>
      </c>
      <c r="I54" s="117">
        <v>7</v>
      </c>
      <c r="J54" s="274">
        <f>'[2]Degree Days 2020'!J54</f>
        <v>32</v>
      </c>
      <c r="K54" s="274">
        <f>'[2]Degree Days 2020'!K54</f>
        <v>27</v>
      </c>
      <c r="L54" s="119">
        <f t="shared" si="11"/>
        <v>11.2</v>
      </c>
      <c r="M54" s="117">
        <v>7</v>
      </c>
      <c r="N54" s="274">
        <f>'General information '!B12</f>
        <v>0</v>
      </c>
      <c r="O54" s="274">
        <f>'General information '!C12</f>
        <v>0</v>
      </c>
      <c r="P54" s="119">
        <f t="shared" si="12"/>
        <v>-18.3</v>
      </c>
      <c r="Q54" s="117">
        <v>7</v>
      </c>
      <c r="R54" s="274"/>
      <c r="S54" s="274"/>
      <c r="T54" s="119">
        <f t="shared" si="13"/>
        <v>-18.3</v>
      </c>
      <c r="U54" s="117">
        <v>7</v>
      </c>
      <c r="V54" s="274"/>
      <c r="W54" s="274"/>
      <c r="X54" s="119">
        <f t="shared" si="10"/>
        <v>-18.3</v>
      </c>
    </row>
    <row r="55" spans="1:24">
      <c r="A55" s="117">
        <v>8</v>
      </c>
      <c r="B55" s="274">
        <f>'[3]Degree Days 2020'!B55</f>
        <v>30</v>
      </c>
      <c r="C55" s="274">
        <f>'[3]Degree Days 2020'!C55</f>
        <v>22</v>
      </c>
      <c r="D55" s="119">
        <f t="shared" si="8"/>
        <v>7.6999999999999993</v>
      </c>
      <c r="E55" s="117">
        <v>8</v>
      </c>
      <c r="F55" s="274">
        <f>'[1]Degree Days 2020'!F55</f>
        <v>33</v>
      </c>
      <c r="G55" s="274">
        <f>'[1]Degree Days 2020'!G55</f>
        <v>24</v>
      </c>
      <c r="H55" s="119">
        <f t="shared" si="9"/>
        <v>10.199999999999999</v>
      </c>
      <c r="I55" s="117">
        <v>8</v>
      </c>
      <c r="J55" s="274">
        <f>'[2]Degree Days 2020'!J55</f>
        <v>32</v>
      </c>
      <c r="K55" s="274">
        <f>'[2]Degree Days 2020'!K55</f>
        <v>27</v>
      </c>
      <c r="L55" s="119">
        <f t="shared" si="11"/>
        <v>11.2</v>
      </c>
      <c r="M55" s="117">
        <v>8</v>
      </c>
      <c r="N55" s="274">
        <f>'General information '!B13</f>
        <v>0</v>
      </c>
      <c r="O55" s="274">
        <f>'General information '!C13</f>
        <v>0</v>
      </c>
      <c r="P55" s="119">
        <f t="shared" si="12"/>
        <v>-18.3</v>
      </c>
      <c r="Q55" s="117">
        <v>8</v>
      </c>
      <c r="R55" s="274"/>
      <c r="S55" s="274"/>
      <c r="T55" s="119">
        <f t="shared" si="13"/>
        <v>-18.3</v>
      </c>
      <c r="U55" s="117">
        <v>8</v>
      </c>
      <c r="V55" s="274"/>
      <c r="W55" s="274"/>
      <c r="X55" s="119">
        <f t="shared" si="10"/>
        <v>-18.3</v>
      </c>
    </row>
    <row r="56" spans="1:24">
      <c r="A56" s="117">
        <v>9</v>
      </c>
      <c r="B56" s="274">
        <f>'[3]Degree Days 2020'!B56</f>
        <v>30</v>
      </c>
      <c r="C56" s="274">
        <f>'[3]Degree Days 2020'!C56</f>
        <v>22</v>
      </c>
      <c r="D56" s="119">
        <f t="shared" si="8"/>
        <v>7.6999999999999993</v>
      </c>
      <c r="E56" s="117">
        <v>9</v>
      </c>
      <c r="F56" s="274">
        <f>'[1]Degree Days 2020'!F56</f>
        <v>31</v>
      </c>
      <c r="G56" s="274">
        <f>'[1]Degree Days 2020'!G56</f>
        <v>27</v>
      </c>
      <c r="H56" s="119">
        <f t="shared" si="9"/>
        <v>10.7</v>
      </c>
      <c r="I56" s="117">
        <v>9</v>
      </c>
      <c r="J56" s="274">
        <f>'[2]Degree Days 2020'!J56</f>
        <v>31</v>
      </c>
      <c r="K56" s="274">
        <f>'[2]Degree Days 2020'!K56</f>
        <v>28</v>
      </c>
      <c r="L56" s="119">
        <f t="shared" si="11"/>
        <v>11.2</v>
      </c>
      <c r="M56" s="117">
        <v>9</v>
      </c>
      <c r="N56" s="274">
        <f>'General information '!B14</f>
        <v>0</v>
      </c>
      <c r="O56" s="274">
        <f>'General information '!C14</f>
        <v>0</v>
      </c>
      <c r="P56" s="119">
        <f t="shared" si="12"/>
        <v>-18.3</v>
      </c>
      <c r="Q56" s="117">
        <v>9</v>
      </c>
      <c r="R56" s="274"/>
      <c r="S56" s="274"/>
      <c r="T56" s="119">
        <f t="shared" si="13"/>
        <v>-18.3</v>
      </c>
      <c r="U56" s="117">
        <v>9</v>
      </c>
      <c r="V56" s="274"/>
      <c r="W56" s="274"/>
      <c r="X56" s="119">
        <f t="shared" si="10"/>
        <v>-18.3</v>
      </c>
    </row>
    <row r="57" spans="1:24">
      <c r="A57" s="117">
        <v>10</v>
      </c>
      <c r="B57" s="274">
        <f>'[3]Degree Days 2020'!B57</f>
        <v>30</v>
      </c>
      <c r="C57" s="274">
        <f>'[3]Degree Days 2020'!C57</f>
        <v>22</v>
      </c>
      <c r="D57" s="119">
        <f t="shared" ref="D57:D78" si="14">(B57+C57)/2-18.3</f>
        <v>7.6999999999999993</v>
      </c>
      <c r="E57" s="117">
        <v>10</v>
      </c>
      <c r="F57" s="274">
        <f>'[1]Degree Days 2020'!F57</f>
        <v>31</v>
      </c>
      <c r="G57" s="274">
        <f>'[1]Degree Days 2020'!G57</f>
        <v>23</v>
      </c>
      <c r="H57" s="119">
        <f t="shared" si="9"/>
        <v>8.6999999999999993</v>
      </c>
      <c r="I57" s="117">
        <v>10</v>
      </c>
      <c r="J57" s="274">
        <f>'[2]Degree Days 2020'!J57</f>
        <v>32</v>
      </c>
      <c r="K57" s="274">
        <f>'[2]Degree Days 2020'!K57</f>
        <v>26</v>
      </c>
      <c r="L57" s="119">
        <f t="shared" si="11"/>
        <v>10.7</v>
      </c>
      <c r="M57" s="117">
        <v>10</v>
      </c>
      <c r="N57" s="274">
        <f>'General information '!B15</f>
        <v>0</v>
      </c>
      <c r="O57" s="274">
        <f>'General information '!C15</f>
        <v>0</v>
      </c>
      <c r="P57" s="119">
        <f t="shared" si="12"/>
        <v>-18.3</v>
      </c>
      <c r="Q57" s="117">
        <v>10</v>
      </c>
      <c r="R57" s="274"/>
      <c r="S57" s="274"/>
      <c r="T57" s="119">
        <f t="shared" si="13"/>
        <v>-18.3</v>
      </c>
      <c r="U57" s="117">
        <v>10</v>
      </c>
      <c r="V57" s="274"/>
      <c r="W57" s="274"/>
      <c r="X57" s="119">
        <f t="shared" si="10"/>
        <v>-18.3</v>
      </c>
    </row>
    <row r="58" spans="1:24">
      <c r="A58" s="117">
        <v>11</v>
      </c>
      <c r="B58" s="274">
        <f>'[3]Degree Days 2020'!B58</f>
        <v>30</v>
      </c>
      <c r="C58" s="274">
        <f>'[3]Degree Days 2020'!C58</f>
        <v>26</v>
      </c>
      <c r="D58" s="119">
        <f t="shared" si="14"/>
        <v>9.6999999999999993</v>
      </c>
      <c r="E58" s="117">
        <v>11</v>
      </c>
      <c r="F58" s="274">
        <f>'[1]Degree Days 2020'!F58</f>
        <v>30</v>
      </c>
      <c r="G58" s="274">
        <f>'[1]Degree Days 2020'!G58</f>
        <v>27</v>
      </c>
      <c r="H58" s="119">
        <f t="shared" si="9"/>
        <v>10.199999999999999</v>
      </c>
      <c r="I58" s="117">
        <v>11</v>
      </c>
      <c r="J58" s="274">
        <f>'[2]Degree Days 2020'!J58</f>
        <v>32</v>
      </c>
      <c r="K58" s="274">
        <f>'[2]Degree Days 2020'!K58</f>
        <v>28</v>
      </c>
      <c r="L58" s="119">
        <f t="shared" si="11"/>
        <v>11.7</v>
      </c>
      <c r="M58" s="117">
        <v>11</v>
      </c>
      <c r="N58" s="274">
        <f>'General information '!B16</f>
        <v>0</v>
      </c>
      <c r="O58" s="274">
        <f>'General information '!C16</f>
        <v>0</v>
      </c>
      <c r="P58" s="119">
        <f t="shared" si="12"/>
        <v>-18.3</v>
      </c>
      <c r="Q58" s="117">
        <v>11</v>
      </c>
      <c r="R58" s="274"/>
      <c r="S58" s="274"/>
      <c r="T58" s="119">
        <f t="shared" si="13"/>
        <v>-18.3</v>
      </c>
      <c r="U58" s="117">
        <v>11</v>
      </c>
      <c r="V58" s="274"/>
      <c r="W58" s="274"/>
      <c r="X58" s="119">
        <f t="shared" si="10"/>
        <v>-18.3</v>
      </c>
    </row>
    <row r="59" spans="1:24">
      <c r="A59" s="117">
        <v>12</v>
      </c>
      <c r="B59" s="274">
        <f>'[3]Degree Days 2020'!B59</f>
        <v>30</v>
      </c>
      <c r="C59" s="274">
        <f>'[3]Degree Days 2020'!C59</f>
        <v>22</v>
      </c>
      <c r="D59" s="119">
        <f t="shared" si="14"/>
        <v>7.6999999999999993</v>
      </c>
      <c r="E59" s="117">
        <v>12</v>
      </c>
      <c r="F59" s="274">
        <f>'[1]Degree Days 2020'!F59</f>
        <v>30</v>
      </c>
      <c r="G59" s="274">
        <f>'[1]Degree Days 2020'!G59</f>
        <v>26</v>
      </c>
      <c r="H59" s="119">
        <f t="shared" si="9"/>
        <v>9.6999999999999993</v>
      </c>
      <c r="I59" s="117">
        <v>12</v>
      </c>
      <c r="J59" s="274">
        <f>'[2]Degree Days 2020'!J59</f>
        <v>31</v>
      </c>
      <c r="K59" s="274">
        <f>'[2]Degree Days 2020'!K59</f>
        <v>28</v>
      </c>
      <c r="L59" s="119">
        <f t="shared" si="11"/>
        <v>11.2</v>
      </c>
      <c r="M59" s="117">
        <v>12</v>
      </c>
      <c r="N59" s="274">
        <f>'General information '!B17</f>
        <v>0</v>
      </c>
      <c r="O59" s="274">
        <f>'General information '!C17</f>
        <v>0</v>
      </c>
      <c r="P59" s="119">
        <f t="shared" si="12"/>
        <v>-18.3</v>
      </c>
      <c r="Q59" s="117">
        <v>12</v>
      </c>
      <c r="R59" s="274"/>
      <c r="S59" s="274"/>
      <c r="T59" s="119">
        <f t="shared" si="13"/>
        <v>-18.3</v>
      </c>
      <c r="U59" s="117">
        <v>12</v>
      </c>
      <c r="V59" s="274"/>
      <c r="W59" s="274"/>
      <c r="X59" s="119">
        <f t="shared" si="10"/>
        <v>-18.3</v>
      </c>
    </row>
    <row r="60" spans="1:24">
      <c r="A60" s="117">
        <v>13</v>
      </c>
      <c r="B60" s="274">
        <f>'[3]Degree Days 2020'!B60</f>
        <v>30</v>
      </c>
      <c r="C60" s="274">
        <f>'[3]Degree Days 2020'!C60</f>
        <v>23</v>
      </c>
      <c r="D60" s="119">
        <f t="shared" si="14"/>
        <v>8.1999999999999993</v>
      </c>
      <c r="E60" s="117">
        <v>13</v>
      </c>
      <c r="F60" s="274">
        <f>'[1]Degree Days 2020'!F60</f>
        <v>32</v>
      </c>
      <c r="G60" s="274">
        <f>'[1]Degree Days 2020'!G60</f>
        <v>23</v>
      </c>
      <c r="H60" s="119">
        <f t="shared" si="9"/>
        <v>9.1999999999999993</v>
      </c>
      <c r="I60" s="117">
        <v>13</v>
      </c>
      <c r="J60" s="274">
        <f>'[2]Degree Days 2020'!J60</f>
        <v>31</v>
      </c>
      <c r="K60" s="274">
        <f>'[2]Degree Days 2020'!K60</f>
        <v>25</v>
      </c>
      <c r="L60" s="119">
        <f t="shared" si="11"/>
        <v>9.6999999999999993</v>
      </c>
      <c r="M60" s="117">
        <v>13</v>
      </c>
      <c r="N60" s="274">
        <f>'General information '!B18</f>
        <v>0</v>
      </c>
      <c r="O60" s="274">
        <f>'General information '!C18</f>
        <v>0</v>
      </c>
      <c r="P60" s="119">
        <f t="shared" si="12"/>
        <v>-18.3</v>
      </c>
      <c r="Q60" s="117">
        <v>13</v>
      </c>
      <c r="R60" s="274"/>
      <c r="S60" s="274"/>
      <c r="T60" s="119">
        <f t="shared" si="13"/>
        <v>-18.3</v>
      </c>
      <c r="U60" s="117">
        <v>13</v>
      </c>
      <c r="V60" s="274"/>
      <c r="W60" s="274"/>
      <c r="X60" s="119">
        <f t="shared" si="10"/>
        <v>-18.3</v>
      </c>
    </row>
    <row r="61" spans="1:24">
      <c r="A61" s="117">
        <v>14</v>
      </c>
      <c r="B61" s="274">
        <f>'[3]Degree Days 2020'!B61</f>
        <v>30</v>
      </c>
      <c r="C61" s="274">
        <f>'[3]Degree Days 2020'!C61</f>
        <v>25</v>
      </c>
      <c r="D61" s="119">
        <f t="shared" si="14"/>
        <v>9.1999999999999993</v>
      </c>
      <c r="E61" s="117">
        <v>14</v>
      </c>
      <c r="F61" s="274">
        <f>'[1]Degree Days 2020'!F61</f>
        <v>31</v>
      </c>
      <c r="G61" s="274">
        <f>'[1]Degree Days 2020'!G61</f>
        <v>24</v>
      </c>
      <c r="H61" s="119">
        <f t="shared" si="9"/>
        <v>9.1999999999999993</v>
      </c>
      <c r="I61" s="117">
        <v>14</v>
      </c>
      <c r="J61" s="274">
        <f>'[2]Degree Days 2020'!J61</f>
        <v>31</v>
      </c>
      <c r="K61" s="274">
        <f>'[2]Degree Days 2020'!K61</f>
        <v>26</v>
      </c>
      <c r="L61" s="119">
        <f t="shared" si="11"/>
        <v>10.199999999999999</v>
      </c>
      <c r="M61" s="117">
        <v>14</v>
      </c>
      <c r="N61" s="274">
        <f>'General information '!B19</f>
        <v>0</v>
      </c>
      <c r="O61" s="274">
        <f>'General information '!C19</f>
        <v>0</v>
      </c>
      <c r="P61" s="119">
        <f t="shared" si="12"/>
        <v>-18.3</v>
      </c>
      <c r="Q61" s="117">
        <v>14</v>
      </c>
      <c r="R61" s="274"/>
      <c r="S61" s="274"/>
      <c r="T61" s="119">
        <f t="shared" si="13"/>
        <v>-18.3</v>
      </c>
      <c r="U61" s="117">
        <v>14</v>
      </c>
      <c r="V61" s="274"/>
      <c r="W61" s="274"/>
      <c r="X61" s="119">
        <f t="shared" si="10"/>
        <v>-18.3</v>
      </c>
    </row>
    <row r="62" spans="1:24">
      <c r="A62" s="117">
        <v>15</v>
      </c>
      <c r="B62" s="274">
        <f>'[3]Degree Days 2020'!B62</f>
        <v>30</v>
      </c>
      <c r="C62" s="274">
        <f>'[3]Degree Days 2020'!C62</f>
        <v>23</v>
      </c>
      <c r="D62" s="119">
        <f t="shared" si="14"/>
        <v>8.1999999999999993</v>
      </c>
      <c r="E62" s="117">
        <v>15</v>
      </c>
      <c r="F62" s="274">
        <f>'[1]Degree Days 2020'!F62</f>
        <v>31</v>
      </c>
      <c r="G62" s="274">
        <f>'[1]Degree Days 2020'!G62</f>
        <v>24</v>
      </c>
      <c r="H62" s="119">
        <f t="shared" si="9"/>
        <v>9.1999999999999993</v>
      </c>
      <c r="I62" s="117">
        <v>15</v>
      </c>
      <c r="J62" s="274">
        <f>'[2]Degree Days 2020'!J62</f>
        <v>30</v>
      </c>
      <c r="K62" s="274">
        <f>'[2]Degree Days 2020'!K62</f>
        <v>23</v>
      </c>
      <c r="L62" s="119">
        <f t="shared" si="11"/>
        <v>8.1999999999999993</v>
      </c>
      <c r="M62" s="117">
        <v>15</v>
      </c>
      <c r="N62" s="274">
        <f>'General information '!B20</f>
        <v>0</v>
      </c>
      <c r="O62" s="274">
        <f>'General information '!C20</f>
        <v>0</v>
      </c>
      <c r="P62" s="119">
        <f t="shared" si="12"/>
        <v>-18.3</v>
      </c>
      <c r="Q62" s="117">
        <v>15</v>
      </c>
      <c r="R62" s="274"/>
      <c r="S62" s="274"/>
      <c r="T62" s="119">
        <f t="shared" si="13"/>
        <v>-18.3</v>
      </c>
      <c r="U62" s="117">
        <v>15</v>
      </c>
      <c r="V62" s="274"/>
      <c r="W62" s="274"/>
      <c r="X62" s="119">
        <f t="shared" si="10"/>
        <v>-18.3</v>
      </c>
    </row>
    <row r="63" spans="1:24">
      <c r="A63" s="117">
        <v>16</v>
      </c>
      <c r="B63" s="274">
        <f>'[3]Degree Days 2020'!B63</f>
        <v>30</v>
      </c>
      <c r="C63" s="274">
        <f>'[3]Degree Days 2020'!C63</f>
        <v>25</v>
      </c>
      <c r="D63" s="119">
        <f t="shared" si="14"/>
        <v>9.1999999999999993</v>
      </c>
      <c r="E63" s="117">
        <v>16</v>
      </c>
      <c r="F63" s="274">
        <f>'[1]Degree Days 2020'!F63</f>
        <v>31</v>
      </c>
      <c r="G63" s="274">
        <f>'[1]Degree Days 2020'!G63</f>
        <v>25</v>
      </c>
      <c r="H63" s="119">
        <f t="shared" si="9"/>
        <v>9.6999999999999993</v>
      </c>
      <c r="I63" s="117">
        <v>16</v>
      </c>
      <c r="J63" s="274">
        <f>'[2]Degree Days 2020'!J63</f>
        <v>31</v>
      </c>
      <c r="K63" s="274">
        <f>'[2]Degree Days 2020'!K63</f>
        <v>26</v>
      </c>
      <c r="L63" s="119">
        <f t="shared" si="11"/>
        <v>10.199999999999999</v>
      </c>
      <c r="M63" s="117">
        <v>16</v>
      </c>
      <c r="N63" s="274">
        <f>'General information '!B21</f>
        <v>0</v>
      </c>
      <c r="O63" s="274">
        <f>'General information '!C21</f>
        <v>0</v>
      </c>
      <c r="P63" s="119">
        <f t="shared" si="12"/>
        <v>-18.3</v>
      </c>
      <c r="Q63" s="117">
        <v>16</v>
      </c>
      <c r="R63" s="274"/>
      <c r="S63" s="274"/>
      <c r="T63" s="119">
        <f t="shared" si="13"/>
        <v>-18.3</v>
      </c>
      <c r="U63" s="117">
        <v>16</v>
      </c>
      <c r="V63" s="274"/>
      <c r="W63" s="274"/>
      <c r="X63" s="119">
        <f t="shared" si="10"/>
        <v>-18.3</v>
      </c>
    </row>
    <row r="64" spans="1:24">
      <c r="A64" s="117">
        <v>17</v>
      </c>
      <c r="B64" s="274">
        <f>'[3]Degree Days 2020'!B64</f>
        <v>31</v>
      </c>
      <c r="C64" s="274">
        <f>'[3]Degree Days 2020'!C64</f>
        <v>23</v>
      </c>
      <c r="D64" s="119">
        <f t="shared" si="14"/>
        <v>8.6999999999999993</v>
      </c>
      <c r="E64" s="117">
        <v>17</v>
      </c>
      <c r="F64" s="274">
        <f>'[1]Degree Days 2020'!F64</f>
        <v>31</v>
      </c>
      <c r="G64" s="274">
        <f>'[1]Degree Days 2020'!G64</f>
        <v>26</v>
      </c>
      <c r="H64" s="119">
        <f t="shared" si="9"/>
        <v>10.199999999999999</v>
      </c>
      <c r="I64" s="117">
        <v>17</v>
      </c>
      <c r="J64" s="274">
        <f>'[2]Degree Days 2020'!J64</f>
        <v>30</v>
      </c>
      <c r="K64" s="274">
        <f>'[2]Degree Days 2020'!K64</f>
        <v>26</v>
      </c>
      <c r="L64" s="119">
        <f t="shared" si="11"/>
        <v>9.6999999999999993</v>
      </c>
      <c r="M64" s="117">
        <v>17</v>
      </c>
      <c r="N64" s="274">
        <f>'General information '!B22</f>
        <v>0</v>
      </c>
      <c r="O64" s="274">
        <f>'General information '!C22</f>
        <v>0</v>
      </c>
      <c r="P64" s="119">
        <f t="shared" si="12"/>
        <v>-18.3</v>
      </c>
      <c r="Q64" s="117">
        <v>17</v>
      </c>
      <c r="R64" s="274"/>
      <c r="S64" s="274"/>
      <c r="T64" s="119">
        <f t="shared" si="13"/>
        <v>-18.3</v>
      </c>
      <c r="U64" s="117">
        <v>17</v>
      </c>
      <c r="V64" s="274"/>
      <c r="W64" s="274"/>
      <c r="X64" s="119">
        <f t="shared" si="10"/>
        <v>-18.3</v>
      </c>
    </row>
    <row r="65" spans="1:24">
      <c r="A65" s="117">
        <v>18</v>
      </c>
      <c r="B65" s="274">
        <f>'[3]Degree Days 2020'!B65</f>
        <v>30</v>
      </c>
      <c r="C65" s="274">
        <f>'[3]Degree Days 2020'!C65</f>
        <v>25</v>
      </c>
      <c r="D65" s="119">
        <f t="shared" si="14"/>
        <v>9.1999999999999993</v>
      </c>
      <c r="E65" s="117">
        <v>18</v>
      </c>
      <c r="F65" s="274">
        <f>'[1]Degree Days 2020'!F65</f>
        <v>30</v>
      </c>
      <c r="G65" s="274">
        <f>'[1]Degree Days 2020'!G65</f>
        <v>26</v>
      </c>
      <c r="H65" s="119">
        <f t="shared" si="9"/>
        <v>9.6999999999999993</v>
      </c>
      <c r="I65" s="117">
        <v>18</v>
      </c>
      <c r="J65" s="274">
        <f>'[2]Degree Days 2020'!J65</f>
        <v>30</v>
      </c>
      <c r="K65" s="274">
        <f>'[2]Degree Days 2020'!K65</f>
        <v>25</v>
      </c>
      <c r="L65" s="119">
        <f t="shared" si="11"/>
        <v>9.1999999999999993</v>
      </c>
      <c r="M65" s="117">
        <v>18</v>
      </c>
      <c r="N65" s="274">
        <f>'General information '!B23</f>
        <v>0</v>
      </c>
      <c r="O65" s="274">
        <f>'General information '!C23</f>
        <v>0</v>
      </c>
      <c r="P65" s="119">
        <f t="shared" si="12"/>
        <v>-18.3</v>
      </c>
      <c r="Q65" s="117">
        <v>18</v>
      </c>
      <c r="R65" s="274"/>
      <c r="S65" s="274"/>
      <c r="T65" s="119">
        <f t="shared" si="13"/>
        <v>-18.3</v>
      </c>
      <c r="U65" s="117">
        <v>18</v>
      </c>
      <c r="V65" s="274"/>
      <c r="W65" s="274"/>
      <c r="X65" s="119">
        <f t="shared" si="10"/>
        <v>-18.3</v>
      </c>
    </row>
    <row r="66" spans="1:24">
      <c r="A66" s="117">
        <v>19</v>
      </c>
      <c r="B66" s="274">
        <f>'[3]Degree Days 2020'!B66</f>
        <v>31</v>
      </c>
      <c r="C66" s="274">
        <f>'[3]Degree Days 2020'!C66</f>
        <v>23</v>
      </c>
      <c r="D66" s="119">
        <f t="shared" si="14"/>
        <v>8.6999999999999993</v>
      </c>
      <c r="E66" s="117">
        <v>19</v>
      </c>
      <c r="F66" s="274">
        <f>'[1]Degree Days 2020'!F66</f>
        <v>30</v>
      </c>
      <c r="G66" s="274">
        <f>'[1]Degree Days 2020'!G66</f>
        <v>25</v>
      </c>
      <c r="H66" s="119">
        <f t="shared" si="9"/>
        <v>9.1999999999999993</v>
      </c>
      <c r="I66" s="117">
        <v>19</v>
      </c>
      <c r="J66" s="274">
        <f>'[2]Degree Days 2020'!J66</f>
        <v>32</v>
      </c>
      <c r="K66" s="274">
        <f>'[2]Degree Days 2020'!K66</f>
        <v>25</v>
      </c>
      <c r="L66" s="119">
        <f t="shared" si="11"/>
        <v>10.199999999999999</v>
      </c>
      <c r="M66" s="117">
        <v>19</v>
      </c>
      <c r="N66" s="274">
        <f>'General information '!B24</f>
        <v>0</v>
      </c>
      <c r="O66" s="274">
        <f>'General information '!C24</f>
        <v>0</v>
      </c>
      <c r="P66" s="119">
        <f t="shared" si="12"/>
        <v>-18.3</v>
      </c>
      <c r="Q66" s="117">
        <v>19</v>
      </c>
      <c r="R66" s="274"/>
      <c r="S66" s="274"/>
      <c r="T66" s="119">
        <f t="shared" si="13"/>
        <v>-18.3</v>
      </c>
      <c r="U66" s="117">
        <v>19</v>
      </c>
      <c r="V66" s="274"/>
      <c r="W66" s="274"/>
      <c r="X66" s="119">
        <f t="shared" si="10"/>
        <v>-18.3</v>
      </c>
    </row>
    <row r="67" spans="1:24">
      <c r="A67" s="117">
        <v>20</v>
      </c>
      <c r="B67" s="274">
        <f>'[3]Degree Days 2020'!B67</f>
        <v>31</v>
      </c>
      <c r="C67" s="274">
        <f>'[3]Degree Days 2020'!C67</f>
        <v>23</v>
      </c>
      <c r="D67" s="119">
        <f t="shared" si="14"/>
        <v>8.6999999999999993</v>
      </c>
      <c r="E67" s="117">
        <v>20</v>
      </c>
      <c r="F67" s="274">
        <f>'[1]Degree Days 2020'!F67</f>
        <v>30</v>
      </c>
      <c r="G67" s="274">
        <f>'[1]Degree Days 2020'!G67</f>
        <v>25</v>
      </c>
      <c r="H67" s="119">
        <f t="shared" si="9"/>
        <v>9.1999999999999993</v>
      </c>
      <c r="I67" s="117">
        <v>20</v>
      </c>
      <c r="J67" s="274">
        <f>'[2]Degree Days 2020'!J67</f>
        <v>30</v>
      </c>
      <c r="K67" s="274">
        <f>'[2]Degree Days 2020'!K67</f>
        <v>22</v>
      </c>
      <c r="L67" s="119">
        <f t="shared" si="11"/>
        <v>7.6999999999999993</v>
      </c>
      <c r="M67" s="117">
        <v>20</v>
      </c>
      <c r="N67" s="274">
        <f>'General information '!B25</f>
        <v>0</v>
      </c>
      <c r="O67" s="274">
        <f>'General information '!C25</f>
        <v>0</v>
      </c>
      <c r="P67" s="119">
        <f t="shared" si="12"/>
        <v>-18.3</v>
      </c>
      <c r="Q67" s="117">
        <v>20</v>
      </c>
      <c r="R67" s="274"/>
      <c r="S67" s="274"/>
      <c r="T67" s="119">
        <f t="shared" si="13"/>
        <v>-18.3</v>
      </c>
      <c r="U67" s="117">
        <v>20</v>
      </c>
      <c r="V67" s="274"/>
      <c r="W67" s="274"/>
      <c r="X67" s="119">
        <f t="shared" si="10"/>
        <v>-18.3</v>
      </c>
    </row>
    <row r="68" spans="1:24">
      <c r="A68" s="117">
        <v>21</v>
      </c>
      <c r="B68" s="274">
        <f>'[3]Degree Days 2020'!B68</f>
        <v>31</v>
      </c>
      <c r="C68" s="274">
        <f>'[3]Degree Days 2020'!C68</f>
        <v>23</v>
      </c>
      <c r="D68" s="119">
        <f t="shared" si="14"/>
        <v>8.6999999999999993</v>
      </c>
      <c r="E68" s="117">
        <v>21</v>
      </c>
      <c r="F68" s="274">
        <f>'[1]Degree Days 2020'!F68</f>
        <v>31</v>
      </c>
      <c r="G68" s="274">
        <f>'[1]Degree Days 2020'!G68</f>
        <v>27</v>
      </c>
      <c r="H68" s="119">
        <f t="shared" si="9"/>
        <v>10.7</v>
      </c>
      <c r="I68" s="117">
        <v>21</v>
      </c>
      <c r="J68" s="274">
        <f>'[2]Degree Days 2020'!J68</f>
        <v>30</v>
      </c>
      <c r="K68" s="274">
        <f>'[2]Degree Days 2020'!K68</f>
        <v>27</v>
      </c>
      <c r="L68" s="119">
        <f t="shared" si="11"/>
        <v>10.199999999999999</v>
      </c>
      <c r="M68" s="117">
        <v>21</v>
      </c>
      <c r="N68" s="274">
        <f>'General information '!B26</f>
        <v>0</v>
      </c>
      <c r="O68" s="274">
        <f>'General information '!C26</f>
        <v>0</v>
      </c>
      <c r="P68" s="119">
        <f t="shared" si="12"/>
        <v>-18.3</v>
      </c>
      <c r="Q68" s="117">
        <v>21</v>
      </c>
      <c r="R68" s="274"/>
      <c r="S68" s="274"/>
      <c r="T68" s="119">
        <f t="shared" si="13"/>
        <v>-18.3</v>
      </c>
      <c r="U68" s="117">
        <v>21</v>
      </c>
      <c r="V68" s="274"/>
      <c r="W68" s="274"/>
      <c r="X68" s="119">
        <f t="shared" si="10"/>
        <v>-18.3</v>
      </c>
    </row>
    <row r="69" spans="1:24">
      <c r="A69" s="117">
        <v>22</v>
      </c>
      <c r="B69" s="274">
        <f>'[3]Degree Days 2020'!B69</f>
        <v>31</v>
      </c>
      <c r="C69" s="274">
        <f>'[3]Degree Days 2020'!C69</f>
        <v>23</v>
      </c>
      <c r="D69" s="119">
        <f t="shared" si="14"/>
        <v>8.6999999999999993</v>
      </c>
      <c r="E69" s="117">
        <v>22</v>
      </c>
      <c r="F69" s="274">
        <f>'[1]Degree Days 2020'!F69</f>
        <v>30</v>
      </c>
      <c r="G69" s="274">
        <f>'[1]Degree Days 2020'!G69</f>
        <v>26</v>
      </c>
      <c r="H69" s="119">
        <f t="shared" si="9"/>
        <v>9.6999999999999993</v>
      </c>
      <c r="I69" s="117">
        <v>22</v>
      </c>
      <c r="J69" s="274">
        <f>'[2]Degree Days 2020'!J69</f>
        <v>30</v>
      </c>
      <c r="K69" s="274">
        <f>'[2]Degree Days 2020'!K69</f>
        <v>27</v>
      </c>
      <c r="L69" s="119">
        <f t="shared" si="11"/>
        <v>10.199999999999999</v>
      </c>
      <c r="M69" s="117">
        <v>22</v>
      </c>
      <c r="N69" s="274">
        <f>'General information '!B27</f>
        <v>0</v>
      </c>
      <c r="O69" s="274">
        <f>'General information '!C27</f>
        <v>0</v>
      </c>
      <c r="P69" s="119">
        <f t="shared" si="12"/>
        <v>-18.3</v>
      </c>
      <c r="Q69" s="117">
        <v>22</v>
      </c>
      <c r="R69" s="274"/>
      <c r="S69" s="274"/>
      <c r="T69" s="119">
        <f>(R69+S69)/2-18.3</f>
        <v>-18.3</v>
      </c>
      <c r="U69" s="117">
        <v>22</v>
      </c>
      <c r="V69" s="274"/>
      <c r="W69" s="274"/>
      <c r="X69" s="119">
        <f t="shared" si="10"/>
        <v>-18.3</v>
      </c>
    </row>
    <row r="70" spans="1:24">
      <c r="A70" s="117">
        <v>23</v>
      </c>
      <c r="B70" s="274">
        <f>'[3]Degree Days 2020'!B70</f>
        <v>32</v>
      </c>
      <c r="C70" s="274">
        <f>'[3]Degree Days 2020'!C70</f>
        <v>27</v>
      </c>
      <c r="D70" s="119">
        <f t="shared" si="14"/>
        <v>11.2</v>
      </c>
      <c r="E70" s="117">
        <v>23</v>
      </c>
      <c r="F70" s="274">
        <f>'[1]Degree Days 2020'!F70</f>
        <v>32</v>
      </c>
      <c r="G70" s="274">
        <f>'[1]Degree Days 2020'!G70</f>
        <v>26</v>
      </c>
      <c r="H70" s="119">
        <f t="shared" si="9"/>
        <v>10.7</v>
      </c>
      <c r="I70" s="117">
        <v>23</v>
      </c>
      <c r="J70" s="274">
        <f>'[2]Degree Days 2020'!J70</f>
        <v>30</v>
      </c>
      <c r="K70" s="274">
        <f>'[2]Degree Days 2020'!K70</f>
        <v>26</v>
      </c>
      <c r="L70" s="119">
        <f t="shared" si="11"/>
        <v>9.6999999999999993</v>
      </c>
      <c r="M70" s="117">
        <v>23</v>
      </c>
      <c r="N70" s="274">
        <f>'General information '!B28</f>
        <v>0</v>
      </c>
      <c r="O70" s="274">
        <f>'General information '!C28</f>
        <v>0</v>
      </c>
      <c r="P70" s="119">
        <f t="shared" si="12"/>
        <v>-18.3</v>
      </c>
      <c r="Q70" s="117">
        <v>23</v>
      </c>
      <c r="R70" s="274"/>
      <c r="S70" s="274"/>
      <c r="T70" s="119">
        <f t="shared" si="13"/>
        <v>-18.3</v>
      </c>
      <c r="U70" s="117">
        <v>23</v>
      </c>
      <c r="V70" s="274"/>
      <c r="W70" s="274"/>
      <c r="X70" s="119">
        <f t="shared" si="10"/>
        <v>-18.3</v>
      </c>
    </row>
    <row r="71" spans="1:24">
      <c r="A71" s="117">
        <v>24</v>
      </c>
      <c r="B71" s="274">
        <f>'[3]Degree Days 2020'!B71</f>
        <v>30</v>
      </c>
      <c r="C71" s="274">
        <f>'[3]Degree Days 2020'!C71</f>
        <v>24</v>
      </c>
      <c r="D71" s="119">
        <f t="shared" si="14"/>
        <v>8.6999999999999993</v>
      </c>
      <c r="E71" s="117">
        <v>24</v>
      </c>
      <c r="F71" s="274">
        <f>'[1]Degree Days 2020'!F71</f>
        <v>32</v>
      </c>
      <c r="G71" s="274">
        <f>'[1]Degree Days 2020'!G71</f>
        <v>27</v>
      </c>
      <c r="H71" s="119">
        <f t="shared" si="9"/>
        <v>11.2</v>
      </c>
      <c r="I71" s="117">
        <v>24</v>
      </c>
      <c r="J71" s="274">
        <f>'[2]Degree Days 2020'!J71</f>
        <v>31</v>
      </c>
      <c r="K71" s="274">
        <f>'[2]Degree Days 2020'!K71</f>
        <v>26</v>
      </c>
      <c r="L71" s="119">
        <f t="shared" si="11"/>
        <v>10.199999999999999</v>
      </c>
      <c r="M71" s="117">
        <v>24</v>
      </c>
      <c r="N71" s="274">
        <f>'General information '!B29</f>
        <v>0</v>
      </c>
      <c r="O71" s="274">
        <f>'General information '!C29</f>
        <v>0</v>
      </c>
      <c r="P71" s="119">
        <f t="shared" si="12"/>
        <v>-18.3</v>
      </c>
      <c r="Q71" s="117">
        <v>24</v>
      </c>
      <c r="R71" s="274"/>
      <c r="S71" s="274"/>
      <c r="T71" s="119">
        <f t="shared" si="13"/>
        <v>-18.3</v>
      </c>
      <c r="U71" s="117">
        <v>24</v>
      </c>
      <c r="V71" s="274"/>
      <c r="W71" s="274"/>
      <c r="X71" s="119">
        <f t="shared" si="10"/>
        <v>-18.3</v>
      </c>
    </row>
    <row r="72" spans="1:24">
      <c r="A72" s="117">
        <v>25</v>
      </c>
      <c r="B72" s="274">
        <f>'[3]Degree Days 2020'!B72</f>
        <v>30</v>
      </c>
      <c r="C72" s="274">
        <f>'[3]Degree Days 2020'!C72</f>
        <v>24</v>
      </c>
      <c r="D72" s="119">
        <f t="shared" si="14"/>
        <v>8.6999999999999993</v>
      </c>
      <c r="E72" s="117">
        <v>25</v>
      </c>
      <c r="F72" s="274">
        <f>'[1]Degree Days 2020'!F72</f>
        <v>34</v>
      </c>
      <c r="G72" s="274">
        <f>'[1]Degree Days 2020'!G72</f>
        <v>18</v>
      </c>
      <c r="H72" s="119">
        <f t="shared" si="9"/>
        <v>7.6999999999999993</v>
      </c>
      <c r="I72" s="117">
        <v>25</v>
      </c>
      <c r="J72" s="274">
        <f>'[2]Degree Days 2020'!J72</f>
        <v>29</v>
      </c>
      <c r="K72" s="274">
        <f>'[2]Degree Days 2020'!K72</f>
        <v>26</v>
      </c>
      <c r="L72" s="119">
        <f t="shared" si="11"/>
        <v>9.1999999999999993</v>
      </c>
      <c r="M72" s="117">
        <v>25</v>
      </c>
      <c r="N72" s="274">
        <f>'General information '!B30</f>
        <v>0</v>
      </c>
      <c r="O72" s="274">
        <f>'General information '!C30</f>
        <v>0</v>
      </c>
      <c r="P72" s="119">
        <f t="shared" si="12"/>
        <v>-18.3</v>
      </c>
      <c r="Q72" s="117">
        <v>25</v>
      </c>
      <c r="R72" s="274"/>
      <c r="S72" s="274"/>
      <c r="T72" s="119">
        <f t="shared" si="13"/>
        <v>-18.3</v>
      </c>
      <c r="U72" s="117">
        <v>25</v>
      </c>
      <c r="V72" s="274"/>
      <c r="W72" s="274"/>
      <c r="X72" s="119">
        <f t="shared" si="10"/>
        <v>-18.3</v>
      </c>
    </row>
    <row r="73" spans="1:24">
      <c r="A73" s="117">
        <v>26</v>
      </c>
      <c r="B73" s="274">
        <f>'[3]Degree Days 2020'!B73</f>
        <v>30</v>
      </c>
      <c r="C73" s="274">
        <f>'[3]Degree Days 2020'!C73</f>
        <v>25</v>
      </c>
      <c r="D73" s="119">
        <f t="shared" si="14"/>
        <v>9.1999999999999993</v>
      </c>
      <c r="E73" s="117">
        <v>26</v>
      </c>
      <c r="F73" s="274">
        <f>'[1]Degree Days 2020'!F73</f>
        <v>31</v>
      </c>
      <c r="G73" s="274">
        <f>'[1]Degree Days 2020'!G73</f>
        <v>27</v>
      </c>
      <c r="H73" s="119">
        <f t="shared" si="9"/>
        <v>10.7</v>
      </c>
      <c r="I73" s="117">
        <v>26</v>
      </c>
      <c r="J73" s="274">
        <f>'[2]Degree Days 2020'!J73</f>
        <v>30</v>
      </c>
      <c r="K73" s="274">
        <f>'[2]Degree Days 2020'!K73</f>
        <v>26</v>
      </c>
      <c r="L73" s="119">
        <f t="shared" si="11"/>
        <v>9.6999999999999993</v>
      </c>
      <c r="M73" s="117">
        <v>26</v>
      </c>
      <c r="N73" s="274">
        <f>'General information '!B31</f>
        <v>0</v>
      </c>
      <c r="O73" s="274">
        <f>'General information '!C31</f>
        <v>0</v>
      </c>
      <c r="P73" s="119">
        <f t="shared" si="12"/>
        <v>-18.3</v>
      </c>
      <c r="Q73" s="117">
        <v>26</v>
      </c>
      <c r="R73" s="274"/>
      <c r="S73" s="274"/>
      <c r="T73" s="119">
        <f t="shared" si="13"/>
        <v>-18.3</v>
      </c>
      <c r="U73" s="117">
        <v>26</v>
      </c>
      <c r="V73" s="274"/>
      <c r="W73" s="274"/>
      <c r="X73" s="119">
        <f t="shared" si="10"/>
        <v>-18.3</v>
      </c>
    </row>
    <row r="74" spans="1:24">
      <c r="A74" s="117">
        <v>27</v>
      </c>
      <c r="B74" s="274">
        <f>'[3]Degree Days 2020'!B74</f>
        <v>33</v>
      </c>
      <c r="C74" s="274">
        <f>'[3]Degree Days 2020'!C74</f>
        <v>27</v>
      </c>
      <c r="D74" s="119">
        <f t="shared" si="14"/>
        <v>11.7</v>
      </c>
      <c r="E74" s="117">
        <v>27</v>
      </c>
      <c r="F74" s="274">
        <f>'[1]Degree Days 2020'!F74</f>
        <v>30</v>
      </c>
      <c r="G74" s="274">
        <f>'[1]Degree Days 2020'!G74</f>
        <v>26</v>
      </c>
      <c r="H74" s="119">
        <f t="shared" si="9"/>
        <v>9.6999999999999993</v>
      </c>
      <c r="I74" s="117">
        <v>27</v>
      </c>
      <c r="J74" s="274">
        <f>'[2]Degree Days 2020'!J74</f>
        <v>30</v>
      </c>
      <c r="K74" s="274">
        <f>'[2]Degree Days 2020'!K74</f>
        <v>25</v>
      </c>
      <c r="L74" s="119">
        <f t="shared" si="11"/>
        <v>9.1999999999999993</v>
      </c>
      <c r="M74" s="117">
        <v>27</v>
      </c>
      <c r="N74" s="274">
        <f>'General information '!B32</f>
        <v>0</v>
      </c>
      <c r="O74" s="274">
        <f>'General information '!C32</f>
        <v>0</v>
      </c>
      <c r="P74" s="119">
        <f t="shared" si="12"/>
        <v>-18.3</v>
      </c>
      <c r="Q74" s="117">
        <v>27</v>
      </c>
      <c r="R74" s="274"/>
      <c r="S74" s="274"/>
      <c r="T74" s="119">
        <f t="shared" si="13"/>
        <v>-18.3</v>
      </c>
      <c r="U74" s="117">
        <v>27</v>
      </c>
      <c r="V74" s="274"/>
      <c r="W74" s="274"/>
      <c r="X74" s="119">
        <f t="shared" si="10"/>
        <v>-18.3</v>
      </c>
    </row>
    <row r="75" spans="1:24">
      <c r="A75" s="117">
        <v>28</v>
      </c>
      <c r="B75" s="274">
        <f>'[3]Degree Days 2020'!B75</f>
        <v>31</v>
      </c>
      <c r="C75" s="274">
        <f>'[3]Degree Days 2020'!C75</f>
        <v>27</v>
      </c>
      <c r="D75" s="119">
        <f t="shared" si="14"/>
        <v>10.7</v>
      </c>
      <c r="E75" s="117">
        <v>28</v>
      </c>
      <c r="F75" s="274">
        <f>'[1]Degree Days 2020'!F75</f>
        <v>30</v>
      </c>
      <c r="G75" s="274">
        <f>'[1]Degree Days 2020'!G75</f>
        <v>26</v>
      </c>
      <c r="H75" s="119">
        <f t="shared" si="9"/>
        <v>9.6999999999999993</v>
      </c>
      <c r="I75" s="117">
        <v>28</v>
      </c>
      <c r="J75" s="274">
        <f>'[2]Degree Days 2020'!J75</f>
        <v>30</v>
      </c>
      <c r="K75" s="274">
        <f>'[2]Degree Days 2020'!K75</f>
        <v>25</v>
      </c>
      <c r="L75" s="119">
        <f t="shared" si="11"/>
        <v>9.1999999999999993</v>
      </c>
      <c r="M75" s="117">
        <v>28</v>
      </c>
      <c r="N75" s="274">
        <f>'General information '!B33</f>
        <v>0</v>
      </c>
      <c r="O75" s="274">
        <f>'General information '!C33</f>
        <v>0</v>
      </c>
      <c r="P75" s="119">
        <f t="shared" si="12"/>
        <v>-18.3</v>
      </c>
      <c r="Q75" s="117">
        <v>28</v>
      </c>
      <c r="R75" s="274"/>
      <c r="S75" s="274"/>
      <c r="T75" s="119">
        <f t="shared" si="13"/>
        <v>-18.3</v>
      </c>
      <c r="U75" s="117">
        <v>28</v>
      </c>
      <c r="V75" s="274"/>
      <c r="W75" s="274"/>
      <c r="X75" s="119">
        <f t="shared" si="10"/>
        <v>-18.3</v>
      </c>
    </row>
    <row r="76" spans="1:24">
      <c r="A76" s="117">
        <v>29</v>
      </c>
      <c r="B76" s="274">
        <f>'[3]Degree Days 2020'!B76</f>
        <v>31</v>
      </c>
      <c r="C76" s="274">
        <f>'[3]Degree Days 2020'!C76</f>
        <v>28</v>
      </c>
      <c r="D76" s="119">
        <f t="shared" si="14"/>
        <v>11.2</v>
      </c>
      <c r="E76" s="117">
        <v>29</v>
      </c>
      <c r="F76" s="274">
        <f>'[1]Degree Days 2020'!F76</f>
        <v>29</v>
      </c>
      <c r="G76" s="274">
        <f>'[1]Degree Days 2020'!G76</f>
        <v>26</v>
      </c>
      <c r="H76" s="119">
        <f t="shared" si="9"/>
        <v>9.1999999999999993</v>
      </c>
      <c r="I76" s="117">
        <v>29</v>
      </c>
      <c r="J76" s="274">
        <f>'[2]Degree Days 2020'!J76</f>
        <v>32</v>
      </c>
      <c r="K76" s="274">
        <f>'[2]Degree Days 2020'!K76</f>
        <v>25</v>
      </c>
      <c r="L76" s="119">
        <f t="shared" si="11"/>
        <v>10.199999999999999</v>
      </c>
      <c r="M76" s="117">
        <v>29</v>
      </c>
      <c r="N76" s="274">
        <f>'General information '!B34</f>
        <v>0</v>
      </c>
      <c r="O76" s="274">
        <f>'General information '!C34</f>
        <v>0</v>
      </c>
      <c r="P76" s="119">
        <f t="shared" si="12"/>
        <v>-18.3</v>
      </c>
      <c r="Q76" s="117">
        <v>29</v>
      </c>
      <c r="R76" s="274"/>
      <c r="S76" s="274"/>
      <c r="T76" s="119">
        <f t="shared" si="13"/>
        <v>-18.3</v>
      </c>
      <c r="U76" s="117">
        <v>29</v>
      </c>
      <c r="V76" s="274"/>
      <c r="W76" s="274"/>
      <c r="X76" s="119">
        <f t="shared" si="10"/>
        <v>-18.3</v>
      </c>
    </row>
    <row r="77" spans="1:24">
      <c r="A77" s="117">
        <v>30</v>
      </c>
      <c r="B77" s="274">
        <f>'[3]Degree Days 2020'!B77</f>
        <v>31</v>
      </c>
      <c r="C77" s="274">
        <f>'[3]Degree Days 2020'!C77</f>
        <v>23</v>
      </c>
      <c r="D77" s="119">
        <f t="shared" si="14"/>
        <v>8.6999999999999993</v>
      </c>
      <c r="E77" s="117">
        <v>30</v>
      </c>
      <c r="F77" s="274">
        <f>'[1]Degree Days 2020'!F77</f>
        <v>33</v>
      </c>
      <c r="G77" s="274">
        <f>'[1]Degree Days 2020'!G77</f>
        <v>27</v>
      </c>
      <c r="H77" s="119">
        <f t="shared" si="9"/>
        <v>11.7</v>
      </c>
      <c r="I77" s="117">
        <v>30</v>
      </c>
      <c r="J77" s="274">
        <f>'[2]Degree Days 2020'!J77</f>
        <v>31</v>
      </c>
      <c r="K77" s="274">
        <f>'[2]Degree Days 2020'!K77</f>
        <v>26</v>
      </c>
      <c r="L77" s="119">
        <f t="shared" si="11"/>
        <v>10.199999999999999</v>
      </c>
      <c r="M77" s="117">
        <v>30</v>
      </c>
      <c r="N77" s="274">
        <f>'General information '!B35</f>
        <v>0</v>
      </c>
      <c r="O77" s="274">
        <f>'General information '!C35</f>
        <v>0</v>
      </c>
      <c r="P77" s="119">
        <f t="shared" si="12"/>
        <v>-18.3</v>
      </c>
      <c r="Q77" s="117">
        <v>30</v>
      </c>
      <c r="R77" s="274"/>
      <c r="S77" s="274"/>
      <c r="T77" s="119">
        <f t="shared" si="13"/>
        <v>-18.3</v>
      </c>
      <c r="U77" s="117">
        <v>30</v>
      </c>
      <c r="V77" s="274"/>
      <c r="W77" s="274"/>
      <c r="X77" s="119">
        <f t="shared" si="10"/>
        <v>-18.3</v>
      </c>
    </row>
    <row r="78" spans="1:24">
      <c r="A78" s="120">
        <v>31</v>
      </c>
      <c r="B78" s="274">
        <f>'[3]Degree Days 2020'!B78</f>
        <v>31</v>
      </c>
      <c r="C78" s="274">
        <f>'[3]Degree Days 2020'!C78</f>
        <v>26</v>
      </c>
      <c r="D78" s="119">
        <f t="shared" si="14"/>
        <v>10.199999999999999</v>
      </c>
      <c r="E78" s="120">
        <v>31</v>
      </c>
      <c r="F78" s="274">
        <f>'[1]Degree Days 2020'!F78</f>
        <v>32</v>
      </c>
      <c r="G78" s="274">
        <f>'[1]Degree Days 2020'!G78</f>
        <v>28</v>
      </c>
      <c r="H78" s="119">
        <f t="shared" si="9"/>
        <v>11.7</v>
      </c>
      <c r="I78" s="120"/>
      <c r="J78" s="274">
        <f>'General information '!B36</f>
        <v>0</v>
      </c>
      <c r="K78" s="274">
        <f>'General information '!C36</f>
        <v>0</v>
      </c>
      <c r="L78" s="122"/>
      <c r="M78" s="120">
        <v>31</v>
      </c>
      <c r="N78" s="274">
        <f>'General information '!B36</f>
        <v>0</v>
      </c>
      <c r="O78" s="274">
        <f>'General information '!C36</f>
        <v>0</v>
      </c>
      <c r="P78" s="122">
        <f t="shared" si="12"/>
        <v>-18.3</v>
      </c>
      <c r="Q78" s="120"/>
      <c r="R78" s="274"/>
      <c r="S78" s="274"/>
      <c r="T78" s="122"/>
      <c r="U78" s="120">
        <v>31</v>
      </c>
      <c r="V78" s="274"/>
      <c r="W78" s="274"/>
      <c r="X78" s="122"/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0</v>
      </c>
      <c r="C81" s="119">
        <f>SUMIF(D48:D78,"&gt;0")</f>
        <v>275.69999999999987</v>
      </c>
      <c r="D81" s="130"/>
      <c r="E81" s="129"/>
      <c r="F81" s="119">
        <f>SUMIF(H48:H78,"&lt;0")</f>
        <v>0</v>
      </c>
      <c r="G81" s="119">
        <f>SUMIF(H48:H78,"&gt;0")</f>
        <v>307.69999999999982</v>
      </c>
      <c r="H81" s="130"/>
      <c r="I81" s="129"/>
      <c r="J81" s="119">
        <f>SUMIF(L48:L78,"&lt;0")</f>
        <v>0</v>
      </c>
      <c r="K81" s="119">
        <f>SUMIF(L48:L78,"&gt;0")</f>
        <v>306.99999999999983</v>
      </c>
      <c r="L81" s="130"/>
      <c r="M81" s="129"/>
      <c r="N81" s="119">
        <f>SUMIF(P48:P78,"&lt;0")</f>
        <v>-475.80000000000018</v>
      </c>
      <c r="O81" s="119">
        <f>SUMIF(P48:P78,"&gt;0")</f>
        <v>46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-549.00000000000011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9" t="s">
        <v>174</v>
      </c>
      <c r="O84" s="709" t="s">
        <v>175</v>
      </c>
      <c r="P84" s="134"/>
      <c r="T84" s="134"/>
      <c r="X84" s="134"/>
    </row>
    <row r="85" spans="1:24" ht="20.25" thickBot="1">
      <c r="D85" s="134"/>
      <c r="I85" s="711" t="s">
        <v>182</v>
      </c>
      <c r="J85" s="712"/>
      <c r="K85" s="712"/>
      <c r="L85" s="712"/>
      <c r="N85" s="710"/>
      <c r="O85" s="710"/>
      <c r="P85" s="134"/>
      <c r="R85" s="17"/>
      <c r="S85" s="17"/>
      <c r="T85" s="140"/>
      <c r="U85" s="141"/>
      <c r="X85" s="134"/>
    </row>
    <row r="86" spans="1:24" ht="18.75" thickBot="1">
      <c r="D86" s="134"/>
      <c r="I86" s="713" t="s">
        <v>183</v>
      </c>
      <c r="J86" s="713"/>
      <c r="K86" s="713"/>
      <c r="L86" s="713"/>
      <c r="N86" s="142">
        <f>B43+F43+J43+N43+R43+V43+B81+F81+J81+N81+R81+V81</f>
        <v>-2011.6000000000004</v>
      </c>
      <c r="O86" s="142">
        <f>C43+G43+K43+O43+S43+W43+C81+G81+K81+O81+S81+W81</f>
        <v>1288.3999999999994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3"/>
      <c r="C88" s="703"/>
      <c r="D88" s="703"/>
      <c r="E88" s="703"/>
      <c r="F88" s="703"/>
      <c r="G88" s="703"/>
      <c r="H88" s="703"/>
      <c r="I88" s="703"/>
      <c r="J88" s="703"/>
      <c r="K88" s="703"/>
      <c r="L88" s="703"/>
      <c r="M88" s="703"/>
      <c r="N88" s="703"/>
      <c r="O88" s="703"/>
      <c r="P88" s="703"/>
      <c r="Q88" s="703"/>
      <c r="R88" s="703"/>
      <c r="S88" s="703"/>
      <c r="T88" s="703"/>
      <c r="U88" s="703"/>
      <c r="V88" s="703"/>
      <c r="W88" s="703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2" workbookViewId="0">
      <pane xSplit="1" topLeftCell="B1" activePane="topRight" state="frozen"/>
      <selection pane="topRight" activeCell="I14" sqref="I14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5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4" t="s">
        <v>216</v>
      </c>
      <c r="B2" s="714"/>
      <c r="C2" s="714"/>
      <c r="D2" s="714"/>
      <c r="E2" s="714"/>
      <c r="F2" s="714"/>
      <c r="G2" s="714"/>
      <c r="H2" s="714"/>
      <c r="I2" s="714"/>
    </row>
    <row r="3" spans="1:11">
      <c r="A3" s="194">
        <v>44075</v>
      </c>
      <c r="B3" s="178"/>
      <c r="C3" s="178"/>
      <c r="D3" s="178"/>
      <c r="E3" s="178"/>
      <c r="F3" s="178"/>
      <c r="G3" s="178"/>
      <c r="H3" s="178"/>
      <c r="I3" s="3"/>
    </row>
    <row r="4" spans="1:11">
      <c r="A4" s="3"/>
      <c r="B4" s="3"/>
      <c r="C4" s="3" t="s">
        <v>222</v>
      </c>
      <c r="D4" s="3">
        <v>1507.5</v>
      </c>
      <c r="E4" s="3"/>
      <c r="F4" s="197">
        <f>'EDl log'!A36</f>
        <v>5</v>
      </c>
      <c r="G4" s="196">
        <v>31</v>
      </c>
      <c r="H4" s="196"/>
      <c r="I4" s="196"/>
    </row>
    <row r="5" spans="1:11">
      <c r="A5" s="247" t="s">
        <v>231</v>
      </c>
      <c r="B5" s="176" t="s">
        <v>230</v>
      </c>
      <c r="C5" s="176" t="s">
        <v>227</v>
      </c>
      <c r="D5" s="176" t="s">
        <v>228</v>
      </c>
      <c r="E5" s="176" t="s">
        <v>229</v>
      </c>
      <c r="F5" s="248" t="s">
        <v>226</v>
      </c>
      <c r="G5" s="250" t="s">
        <v>336</v>
      </c>
      <c r="H5" s="250" t="s">
        <v>335</v>
      </c>
      <c r="I5" s="195" t="s">
        <v>232</v>
      </c>
      <c r="K5" s="436"/>
    </row>
    <row r="6" spans="1:11">
      <c r="A6" s="185" t="s">
        <v>217</v>
      </c>
      <c r="B6" s="354">
        <f>WATER!C37</f>
        <v>0</v>
      </c>
      <c r="C6" s="332">
        <v>1.66</v>
      </c>
      <c r="D6" s="185">
        <f>SUM(C6*B6)*D4</f>
        <v>0</v>
      </c>
      <c r="E6" s="442">
        <f>SUM(D6/D4)/F4</f>
        <v>0</v>
      </c>
      <c r="F6" s="186">
        <f>SUM(E6*F4)</f>
        <v>0</v>
      </c>
      <c r="G6" s="187">
        <f>SUM(B6*C6)</f>
        <v>0</v>
      </c>
      <c r="H6" s="186">
        <f>7500-H7</f>
        <v>0</v>
      </c>
      <c r="I6" s="609">
        <f>11100-I7</f>
        <v>3600</v>
      </c>
      <c r="J6" s="278"/>
    </row>
    <row r="7" spans="1:11">
      <c r="A7" s="185" t="s">
        <v>218</v>
      </c>
      <c r="B7" s="354">
        <f>WATER!H37</f>
        <v>188</v>
      </c>
      <c r="C7" s="185">
        <v>7500</v>
      </c>
      <c r="D7" s="188">
        <f>SUM(C7)*D4</f>
        <v>11306250</v>
      </c>
      <c r="E7" s="186">
        <f>SUM(I7/G4)</f>
        <v>241.93548387096774</v>
      </c>
      <c r="F7" s="186">
        <f>SUM(E7*F4)</f>
        <v>1209.6774193548388</v>
      </c>
      <c r="G7" s="518">
        <v>7500</v>
      </c>
      <c r="H7" s="190">
        <f>[10]Sheet1!$C$9</f>
        <v>7500</v>
      </c>
      <c r="I7" s="186">
        <v>7500</v>
      </c>
      <c r="J7" s="278"/>
    </row>
    <row r="8" spans="1:11">
      <c r="A8" s="191" t="s">
        <v>219</v>
      </c>
      <c r="B8" s="355">
        <f>tanks!AT37</f>
        <v>1</v>
      </c>
      <c r="C8" s="501">
        <f>SUM(tanks!AU37)</f>
        <v>0</v>
      </c>
      <c r="D8" s="192">
        <f>SUM(B8*C8)*D4</f>
        <v>0</v>
      </c>
      <c r="E8" s="193">
        <f>SUM(D8/D4/F4)</f>
        <v>0</v>
      </c>
      <c r="F8" s="193">
        <f>SUM(E8*F4)</f>
        <v>0</v>
      </c>
      <c r="G8" s="518">
        <f>E8*$F$4</f>
        <v>0</v>
      </c>
      <c r="H8" s="190">
        <f>[10]Sheet1!$D$8</f>
        <v>30000</v>
      </c>
      <c r="I8" s="193">
        <v>46500</v>
      </c>
      <c r="J8" s="278"/>
    </row>
    <row r="9" spans="1:11">
      <c r="A9" s="2" t="s">
        <v>416</v>
      </c>
      <c r="B9" s="356">
        <f>'B5'!AV36</f>
        <v>0</v>
      </c>
      <c r="C9" s="353">
        <v>0.7</v>
      </c>
      <c r="D9" s="189">
        <f>SUM(B9*C9)*D4</f>
        <v>0</v>
      </c>
      <c r="E9" s="190">
        <f>SUM(C9*B9)/F4</f>
        <v>0</v>
      </c>
      <c r="F9" s="190">
        <f>SUM(E9*F4)</f>
        <v>0</v>
      </c>
      <c r="G9" s="518">
        <f>E9*$G$4</f>
        <v>0</v>
      </c>
      <c r="H9" s="190">
        <f>[10]Sheet1!$D$7</f>
        <v>1000</v>
      </c>
      <c r="I9" s="190">
        <v>7200</v>
      </c>
      <c r="J9" s="278"/>
    </row>
    <row r="10" spans="1:11">
      <c r="A10" s="182" t="s">
        <v>220</v>
      </c>
      <c r="B10" s="357"/>
      <c r="C10" s="182"/>
      <c r="D10" s="184">
        <f>SUM('EDl log'!AB31)</f>
        <v>4067323.9032258065</v>
      </c>
      <c r="E10" s="183">
        <f>SUM(D10/D4/F4)</f>
        <v>539.61179478949339</v>
      </c>
      <c r="F10" s="183">
        <f>SUM(E10*F4)</f>
        <v>2698.0589739474672</v>
      </c>
      <c r="G10" s="518">
        <f>E10*$G$4</f>
        <v>16727.965638474296</v>
      </c>
      <c r="H10" s="190">
        <f>[10]Sheet1!$D$6</f>
        <v>19000</v>
      </c>
      <c r="I10" s="281">
        <v>37300</v>
      </c>
      <c r="J10" s="278"/>
      <c r="K10" s="278"/>
    </row>
    <row r="11" spans="1:11">
      <c r="I11" s="278"/>
      <c r="J11" s="278"/>
      <c r="K11" s="278"/>
    </row>
    <row r="12" spans="1:11" ht="42.75" customHeight="1">
      <c r="E12" s="435">
        <f>SUM(E6:E11)</f>
        <v>781.54727866046119</v>
      </c>
      <c r="F12" s="181">
        <f>SUM(F6:F10)</f>
        <v>3907.7363933023062</v>
      </c>
      <c r="G12" s="180">
        <f>SUM(G6:G10)</f>
        <v>24227.965638474296</v>
      </c>
      <c r="H12" s="180">
        <f>SUM(H6:H11)</f>
        <v>57500</v>
      </c>
      <c r="I12" s="222">
        <f>SUM(I6:I11)</f>
        <v>102100</v>
      </c>
      <c r="J12" s="278"/>
    </row>
    <row r="13" spans="1:11" ht="30">
      <c r="A13" s="3"/>
      <c r="B13" s="176" t="s">
        <v>226</v>
      </c>
      <c r="C13" s="425" t="s">
        <v>386</v>
      </c>
      <c r="D13" s="425" t="s">
        <v>390</v>
      </c>
      <c r="E13" s="425" t="s">
        <v>387</v>
      </c>
      <c r="F13" s="425" t="s">
        <v>412</v>
      </c>
      <c r="G13" s="427"/>
      <c r="H13" s="17"/>
      <c r="I13" s="17"/>
      <c r="J13" s="17"/>
    </row>
    <row r="14" spans="1:11">
      <c r="A14" s="456" t="s">
        <v>302</v>
      </c>
      <c r="B14" s="97">
        <f>'Degree Days 2020'!AB19</f>
        <v>46</v>
      </c>
      <c r="C14" s="439">
        <f>'[11]Utility Cost '!C14</f>
        <v>151</v>
      </c>
      <c r="D14" s="170"/>
      <c r="E14" s="170">
        <f t="shared" ref="E14:E18" si="0">B14-C14</f>
        <v>-105</v>
      </c>
      <c r="F14" s="517">
        <v>0</v>
      </c>
      <c r="G14" s="427"/>
      <c r="H14" s="428">
        <f>SUM(G12-H12)</f>
        <v>-33272.034361525701</v>
      </c>
      <c r="I14" s="428">
        <f>SUM(G12-I12)</f>
        <v>-77872.034361525701</v>
      </c>
    </row>
    <row r="15" spans="1:11">
      <c r="A15" s="456" t="s">
        <v>303</v>
      </c>
      <c r="B15" s="97">
        <f>'Degree Days 2020'!AA19</f>
        <v>-475.80000000000018</v>
      </c>
      <c r="C15" s="439">
        <f>'[11]Utility Cost '!C15</f>
        <v>-18.3</v>
      </c>
      <c r="D15" s="170"/>
      <c r="E15" s="170">
        <f t="shared" si="0"/>
        <v>-457.50000000000017</v>
      </c>
      <c r="F15" s="517">
        <v>0</v>
      </c>
      <c r="G15" s="427"/>
      <c r="H15" s="17"/>
      <c r="I15" s="17"/>
      <c r="J15" s="17"/>
    </row>
    <row r="16" spans="1:11">
      <c r="A16" s="456" t="s">
        <v>304</v>
      </c>
      <c r="B16" s="587">
        <f>'General information '!D38</f>
        <v>27.5</v>
      </c>
      <c r="C16" s="439">
        <f>'[11]Utility Cost '!C16</f>
        <v>25.306451612903224</v>
      </c>
      <c r="D16" s="439"/>
      <c r="E16" s="440">
        <f t="shared" si="0"/>
        <v>2.1935483870967758</v>
      </c>
      <c r="F16" s="537">
        <v>0</v>
      </c>
      <c r="G16" s="427"/>
      <c r="H16" s="17"/>
      <c r="I16" s="17"/>
      <c r="J16" s="17"/>
    </row>
    <row r="17" spans="1:10">
      <c r="A17" s="529" t="s">
        <v>316</v>
      </c>
      <c r="B17" s="532">
        <f>'General information '!F37</f>
        <v>0</v>
      </c>
      <c r="C17" s="531">
        <f>'[11]Utility Cost '!C17</f>
        <v>0.45897096774193541</v>
      </c>
      <c r="D17" s="484">
        <f>'[12]Other Fuel Calculation 2020'!$K$62</f>
        <v>0.61470000000000002</v>
      </c>
      <c r="E17" s="531">
        <f t="shared" si="0"/>
        <v>-0.45897096774193541</v>
      </c>
      <c r="F17" s="535">
        <f>B17-D17</f>
        <v>-0.61470000000000002</v>
      </c>
      <c r="G17" s="17"/>
      <c r="H17" s="17"/>
      <c r="I17" s="17"/>
      <c r="J17" s="17"/>
    </row>
    <row r="18" spans="1:10">
      <c r="A18" s="530" t="s">
        <v>388</v>
      </c>
      <c r="B18" s="534">
        <f>GEN!Z34</f>
        <v>13</v>
      </c>
      <c r="C18" s="439">
        <f>'[11]Utility Cost '!C18</f>
        <v>247.5</v>
      </c>
      <c r="D18" s="437">
        <f>'[12]Other Fuel Calculation 2020'!$K$60</f>
        <v>291.50666666666666</v>
      </c>
      <c r="E18" s="533">
        <f t="shared" si="0"/>
        <v>-234.5</v>
      </c>
      <c r="F18" s="536">
        <f>B18-D18</f>
        <v>-278.50666666666666</v>
      </c>
    </row>
    <row r="19" spans="1:10">
      <c r="A19" s="530" t="s">
        <v>413</v>
      </c>
      <c r="B19" s="528">
        <f>SUM(B18/$F$4)</f>
        <v>2.6</v>
      </c>
      <c r="C19" s="439">
        <f>'[11]Utility Cost '!C19</f>
        <v>7.9838709677419351</v>
      </c>
      <c r="D19" s="438"/>
      <c r="E19" s="438"/>
      <c r="F19" s="517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9" t="s">
        <v>234</v>
      </c>
      <c r="B1" s="200" t="s">
        <v>235</v>
      </c>
      <c r="C1" s="200" t="s">
        <v>236</v>
      </c>
      <c r="D1" s="200" t="s">
        <v>237</v>
      </c>
      <c r="E1" s="200" t="s">
        <v>307</v>
      </c>
      <c r="F1" s="200" t="s">
        <v>238</v>
      </c>
      <c r="G1" s="200" t="s">
        <v>239</v>
      </c>
      <c r="H1" s="200" t="s">
        <v>240</v>
      </c>
      <c r="I1" s="200" t="s">
        <v>51</v>
      </c>
    </row>
    <row r="2" spans="1:9">
      <c r="A2" s="201" t="s">
        <v>241</v>
      </c>
      <c r="B2" s="201" t="s">
        <v>242</v>
      </c>
      <c r="C2" s="201"/>
      <c r="D2" s="201"/>
      <c r="E2" s="201"/>
      <c r="F2" s="201"/>
      <c r="G2" s="201" t="s">
        <v>243</v>
      </c>
      <c r="H2" s="201"/>
      <c r="I2" s="201"/>
    </row>
    <row r="3" spans="1:9">
      <c r="A3" s="202" t="s">
        <v>244</v>
      </c>
      <c r="B3" s="202" t="s">
        <v>245</v>
      </c>
      <c r="C3" s="202"/>
      <c r="D3" s="202"/>
      <c r="E3" s="202"/>
      <c r="F3" s="202"/>
      <c r="G3" s="202" t="s">
        <v>305</v>
      </c>
      <c r="H3" s="202"/>
      <c r="I3" s="202"/>
    </row>
    <row r="4" spans="1:9">
      <c r="A4" s="202" t="s">
        <v>246</v>
      </c>
      <c r="B4" s="202" t="s">
        <v>247</v>
      </c>
      <c r="C4" s="202"/>
      <c r="D4" s="202"/>
      <c r="E4" s="202"/>
      <c r="F4" s="202"/>
      <c r="G4" s="202" t="s">
        <v>306</v>
      </c>
      <c r="H4" s="202"/>
      <c r="I4" s="202"/>
    </row>
    <row r="5" spans="1:9">
      <c r="A5" s="202" t="s">
        <v>248</v>
      </c>
      <c r="B5" s="202" t="s">
        <v>247</v>
      </c>
      <c r="C5" s="202"/>
      <c r="D5" s="202"/>
      <c r="E5" s="202"/>
      <c r="F5" s="202"/>
      <c r="G5" s="202" t="s">
        <v>248</v>
      </c>
      <c r="H5" s="202"/>
      <c r="I5" s="202"/>
    </row>
    <row r="6" spans="1:9" ht="15.75" thickBot="1">
      <c r="A6" s="203" t="s">
        <v>249</v>
      </c>
      <c r="B6" s="203" t="s">
        <v>247</v>
      </c>
      <c r="C6" s="203"/>
      <c r="D6" s="203"/>
      <c r="E6" s="203"/>
      <c r="F6" s="203"/>
      <c r="G6" s="203" t="s">
        <v>306</v>
      </c>
      <c r="H6" s="203"/>
      <c r="I6" s="203"/>
    </row>
    <row r="7" spans="1:9" ht="15.75" thickBot="1">
      <c r="A7" s="199" t="s">
        <v>250</v>
      </c>
      <c r="B7" s="200" t="s">
        <v>235</v>
      </c>
      <c r="C7" s="200" t="s">
        <v>236</v>
      </c>
      <c r="D7" s="200" t="s">
        <v>251</v>
      </c>
      <c r="E7" s="200" t="s">
        <v>307</v>
      </c>
      <c r="F7" s="200" t="s">
        <v>252</v>
      </c>
      <c r="G7" s="200"/>
      <c r="H7" s="200"/>
      <c r="I7" s="200"/>
    </row>
    <row r="8" spans="1:9">
      <c r="A8" s="201" t="s">
        <v>253</v>
      </c>
      <c r="B8" s="201" t="s">
        <v>242</v>
      </c>
      <c r="C8" s="201"/>
      <c r="D8" s="201"/>
      <c r="E8" s="201"/>
      <c r="F8" s="201"/>
      <c r="G8" s="206" t="s">
        <v>308</v>
      </c>
      <c r="H8" s="201"/>
      <c r="I8" s="201"/>
    </row>
    <row r="9" spans="1:9">
      <c r="A9" s="202" t="s">
        <v>254</v>
      </c>
      <c r="B9" s="202" t="s">
        <v>255</v>
      </c>
      <c r="C9" s="202"/>
      <c r="D9" s="202"/>
      <c r="E9" s="202"/>
      <c r="F9" s="202"/>
      <c r="G9" s="202" t="s">
        <v>309</v>
      </c>
      <c r="H9" s="202"/>
      <c r="I9" s="202"/>
    </row>
    <row r="10" spans="1:9">
      <c r="A10" s="202" t="s">
        <v>256</v>
      </c>
      <c r="B10" s="202" t="s">
        <v>255</v>
      </c>
      <c r="C10" s="202"/>
      <c r="D10" s="202"/>
      <c r="E10" s="202"/>
      <c r="F10" s="202"/>
      <c r="G10" s="202" t="s">
        <v>310</v>
      </c>
      <c r="H10" s="202"/>
      <c r="I10" s="202"/>
    </row>
    <row r="11" spans="1:9">
      <c r="A11" s="202" t="s">
        <v>257</v>
      </c>
      <c r="B11" s="202" t="s">
        <v>255</v>
      </c>
      <c r="C11" s="202"/>
      <c r="D11" s="202"/>
      <c r="E11" s="202"/>
      <c r="F11" s="202"/>
      <c r="G11" s="202" t="s">
        <v>311</v>
      </c>
      <c r="H11" s="202"/>
      <c r="I11" s="202"/>
    </row>
    <row r="12" spans="1:9">
      <c r="A12" s="202" t="s">
        <v>258</v>
      </c>
      <c r="B12" s="202" t="s">
        <v>259</v>
      </c>
      <c r="C12" s="202"/>
      <c r="D12" s="202"/>
      <c r="E12" s="202"/>
      <c r="F12" s="202"/>
      <c r="G12" s="202" t="s">
        <v>309</v>
      </c>
      <c r="H12" s="202"/>
      <c r="I12" s="202"/>
    </row>
    <row r="13" spans="1:9" ht="15.75" thickBot="1">
      <c r="A13" s="203" t="s">
        <v>260</v>
      </c>
      <c r="B13" s="203" t="s">
        <v>242</v>
      </c>
      <c r="C13" s="203"/>
      <c r="D13" s="203"/>
      <c r="E13" s="203"/>
      <c r="F13" s="203"/>
      <c r="G13" s="203" t="s">
        <v>261</v>
      </c>
      <c r="H13" s="203"/>
      <c r="I13" s="203"/>
    </row>
    <row r="14" spans="1:9" ht="15.75" thickBot="1">
      <c r="A14" s="199" t="s">
        <v>262</v>
      </c>
      <c r="B14" s="200" t="s">
        <v>263</v>
      </c>
      <c r="C14" s="200" t="s">
        <v>264</v>
      </c>
      <c r="D14" s="200" t="s">
        <v>265</v>
      </c>
      <c r="E14" s="200" t="s">
        <v>307</v>
      </c>
      <c r="F14" s="200" t="s">
        <v>266</v>
      </c>
      <c r="G14" s="200"/>
      <c r="H14" s="200"/>
      <c r="I14" s="200"/>
    </row>
    <row r="15" spans="1:9">
      <c r="A15" s="201" t="s">
        <v>267</v>
      </c>
      <c r="B15" s="201" t="s">
        <v>242</v>
      </c>
      <c r="C15" s="201"/>
      <c r="D15" s="201"/>
      <c r="E15" s="201"/>
      <c r="F15" s="201"/>
      <c r="G15" s="206" t="s">
        <v>312</v>
      </c>
      <c r="H15" s="201"/>
      <c r="I15" s="201"/>
    </row>
    <row r="16" spans="1:9">
      <c r="A16" s="202" t="s">
        <v>268</v>
      </c>
      <c r="B16" s="202">
        <v>400</v>
      </c>
      <c r="C16" s="202"/>
      <c r="D16" s="202"/>
      <c r="E16" s="202"/>
      <c r="F16" s="202"/>
      <c r="G16" s="202" t="s">
        <v>269</v>
      </c>
      <c r="H16" s="202"/>
      <c r="I16" s="202"/>
    </row>
    <row r="17" spans="1:9">
      <c r="A17" s="202" t="s">
        <v>270</v>
      </c>
      <c r="B17" s="202">
        <v>400</v>
      </c>
      <c r="C17" s="202"/>
      <c r="D17" s="202"/>
      <c r="E17" s="202"/>
      <c r="F17" s="202"/>
      <c r="G17" s="202" t="s">
        <v>271</v>
      </c>
      <c r="H17" s="202"/>
      <c r="I17" s="202"/>
    </row>
    <row r="18" spans="1:9">
      <c r="A18" s="202" t="s">
        <v>272</v>
      </c>
      <c r="B18" s="202">
        <v>400</v>
      </c>
      <c r="C18" s="202"/>
      <c r="D18" s="202"/>
      <c r="E18" s="202"/>
      <c r="F18" s="202"/>
      <c r="G18" s="202" t="s">
        <v>273</v>
      </c>
      <c r="H18" s="202"/>
      <c r="I18" s="202"/>
    </row>
    <row r="19" spans="1:9">
      <c r="A19" s="202" t="s">
        <v>274</v>
      </c>
      <c r="B19" s="202">
        <v>400</v>
      </c>
      <c r="C19" s="202"/>
      <c r="D19" s="202"/>
      <c r="E19" s="202"/>
      <c r="F19" s="202"/>
      <c r="G19" s="179" t="s">
        <v>275</v>
      </c>
      <c r="H19" s="202"/>
      <c r="I19" s="202"/>
    </row>
    <row r="20" spans="1:9">
      <c r="A20" s="202" t="s">
        <v>276</v>
      </c>
      <c r="B20" s="202">
        <v>400</v>
      </c>
      <c r="C20" s="202"/>
      <c r="D20" s="202"/>
      <c r="E20" s="202"/>
      <c r="F20" s="202"/>
      <c r="G20" s="202" t="s">
        <v>277</v>
      </c>
      <c r="H20" s="202"/>
      <c r="I20" s="202"/>
    </row>
    <row r="21" spans="1:9">
      <c r="A21" s="202" t="s">
        <v>278</v>
      </c>
      <c r="B21" s="202">
        <v>800</v>
      </c>
      <c r="C21" s="202"/>
      <c r="D21" s="202"/>
      <c r="E21" s="202"/>
      <c r="F21" s="202"/>
      <c r="G21" s="202" t="s">
        <v>279</v>
      </c>
      <c r="H21" s="202"/>
      <c r="I21" s="202"/>
    </row>
    <row r="22" spans="1:9" ht="15.75" thickBot="1">
      <c r="A22" s="203" t="s">
        <v>280</v>
      </c>
      <c r="B22" s="203" t="s">
        <v>242</v>
      </c>
      <c r="C22" s="203"/>
      <c r="D22" s="203"/>
      <c r="E22" s="203"/>
      <c r="F22" s="203"/>
      <c r="G22" s="203" t="s">
        <v>261</v>
      </c>
      <c r="H22" s="203"/>
      <c r="I22" s="203"/>
    </row>
    <row r="23" spans="1:9" ht="15.75" thickBot="1">
      <c r="A23" s="199" t="s">
        <v>281</v>
      </c>
      <c r="B23" s="200" t="s">
        <v>263</v>
      </c>
      <c r="C23" s="200" t="s">
        <v>264</v>
      </c>
      <c r="D23" s="200" t="s">
        <v>265</v>
      </c>
      <c r="E23" s="200" t="s">
        <v>307</v>
      </c>
      <c r="F23" s="200" t="s">
        <v>266</v>
      </c>
      <c r="G23" s="200"/>
      <c r="H23" s="200"/>
      <c r="I23" s="200"/>
    </row>
    <row r="24" spans="1:9">
      <c r="A24" s="201" t="s">
        <v>282</v>
      </c>
      <c r="B24" s="201" t="s">
        <v>242</v>
      </c>
      <c r="C24" s="201"/>
      <c r="D24" s="201"/>
      <c r="E24" s="201"/>
      <c r="F24" s="201"/>
      <c r="G24" s="179" t="s">
        <v>243</v>
      </c>
      <c r="H24" s="201"/>
      <c r="I24" s="201"/>
    </row>
    <row r="25" spans="1:9">
      <c r="A25" s="202" t="s">
        <v>283</v>
      </c>
      <c r="B25" s="202">
        <v>400</v>
      </c>
      <c r="C25" s="202" t="s">
        <v>284</v>
      </c>
      <c r="D25" s="202"/>
      <c r="E25" s="202"/>
      <c r="F25" s="202"/>
      <c r="G25" s="202" t="s">
        <v>131</v>
      </c>
      <c r="H25" s="202"/>
      <c r="I25" s="202"/>
    </row>
    <row r="26" spans="1:9">
      <c r="A26" s="202" t="s">
        <v>285</v>
      </c>
      <c r="B26" s="202">
        <v>400</v>
      </c>
      <c r="C26" s="202" t="s">
        <v>284</v>
      </c>
      <c r="D26" s="202"/>
      <c r="E26" s="202"/>
      <c r="F26" s="202"/>
      <c r="G26" s="202" t="s">
        <v>313</v>
      </c>
      <c r="H26" s="202"/>
      <c r="I26" s="202"/>
    </row>
    <row r="27" spans="1:9">
      <c r="A27" s="202" t="s">
        <v>286</v>
      </c>
      <c r="B27" s="202">
        <v>400</v>
      </c>
      <c r="C27" s="202"/>
      <c r="D27" s="202"/>
      <c r="E27" s="202"/>
      <c r="F27" s="202"/>
      <c r="G27" s="202" t="s">
        <v>314</v>
      </c>
      <c r="H27" s="202"/>
      <c r="I27" s="202"/>
    </row>
    <row r="28" spans="1:9">
      <c r="A28" s="202" t="s">
        <v>287</v>
      </c>
      <c r="B28" s="202">
        <v>1000</v>
      </c>
      <c r="C28" s="202"/>
      <c r="D28" s="202"/>
      <c r="E28" s="202"/>
      <c r="F28" s="202"/>
      <c r="G28" s="202" t="s">
        <v>287</v>
      </c>
      <c r="H28" s="202"/>
      <c r="I28" s="202"/>
    </row>
    <row r="29" spans="1:9" ht="15.75" thickBot="1">
      <c r="A29" s="409" t="s">
        <v>381</v>
      </c>
      <c r="B29" s="203">
        <v>1000</v>
      </c>
      <c r="C29" s="203"/>
      <c r="D29" s="203"/>
      <c r="E29" s="203"/>
      <c r="F29" s="203"/>
      <c r="G29" s="203"/>
      <c r="H29" s="203"/>
      <c r="I29" s="203"/>
    </row>
    <row r="30" spans="1:9" ht="15.75" thickBot="1">
      <c r="A30" s="199" t="s">
        <v>289</v>
      </c>
      <c r="B30" s="200" t="s">
        <v>263</v>
      </c>
      <c r="C30" s="200" t="s">
        <v>264</v>
      </c>
      <c r="D30" s="200" t="s">
        <v>265</v>
      </c>
      <c r="E30" s="200" t="s">
        <v>307</v>
      </c>
      <c r="F30" s="200" t="s">
        <v>266</v>
      </c>
      <c r="G30" s="200"/>
      <c r="H30" s="200"/>
      <c r="I30" s="200"/>
    </row>
    <row r="31" spans="1:9">
      <c r="A31" s="201" t="s">
        <v>28</v>
      </c>
      <c r="B31" s="201" t="s">
        <v>242</v>
      </c>
      <c r="C31" s="201"/>
      <c r="D31" s="201"/>
      <c r="E31" s="201"/>
      <c r="F31" s="201"/>
      <c r="G31" s="179" t="s">
        <v>243</v>
      </c>
      <c r="H31" s="201"/>
      <c r="I31" s="201"/>
    </row>
    <row r="32" spans="1:9">
      <c r="A32" s="202" t="s">
        <v>290</v>
      </c>
      <c r="B32" s="202">
        <v>1000</v>
      </c>
      <c r="C32" s="202"/>
      <c r="D32" s="202"/>
      <c r="E32" s="202"/>
      <c r="F32" s="202"/>
      <c r="G32" s="202" t="s">
        <v>291</v>
      </c>
      <c r="H32" s="202"/>
      <c r="I32" s="202"/>
    </row>
    <row r="33" spans="1:9">
      <c r="A33" s="202" t="s">
        <v>292</v>
      </c>
      <c r="B33" s="202">
        <v>630</v>
      </c>
      <c r="C33" s="202"/>
      <c r="D33" s="202"/>
      <c r="E33" s="202"/>
      <c r="F33" s="202"/>
      <c r="G33" s="202" t="s">
        <v>293</v>
      </c>
      <c r="H33" s="202"/>
      <c r="I33" s="202"/>
    </row>
    <row r="34" spans="1:9">
      <c r="A34" s="202" t="s">
        <v>294</v>
      </c>
      <c r="B34" s="202">
        <v>630</v>
      </c>
      <c r="C34" s="202"/>
      <c r="D34" s="202"/>
      <c r="E34" s="202"/>
      <c r="F34" s="202"/>
      <c r="G34" s="202" t="s">
        <v>295</v>
      </c>
      <c r="H34" s="202"/>
      <c r="I34" s="202"/>
    </row>
    <row r="35" spans="1:9">
      <c r="A35" s="202" t="s">
        <v>296</v>
      </c>
      <c r="B35" s="202">
        <v>630</v>
      </c>
      <c r="C35" s="202"/>
      <c r="D35" s="202"/>
      <c r="E35" s="202"/>
      <c r="F35" s="202"/>
      <c r="G35" s="202" t="s">
        <v>297</v>
      </c>
      <c r="H35" s="202"/>
      <c r="I35" s="202"/>
    </row>
    <row r="36" spans="1:9">
      <c r="A36" s="202" t="s">
        <v>298</v>
      </c>
      <c r="B36" s="202">
        <v>400</v>
      </c>
      <c r="C36" s="202"/>
      <c r="D36" s="202"/>
      <c r="E36" s="202"/>
      <c r="F36" s="202"/>
      <c r="G36" s="202" t="s">
        <v>273</v>
      </c>
      <c r="H36" s="202"/>
      <c r="I36" s="202"/>
    </row>
    <row r="37" spans="1:9">
      <c r="A37" s="203" t="s">
        <v>288</v>
      </c>
      <c r="B37" s="203">
        <v>1000</v>
      </c>
      <c r="C37" s="203"/>
      <c r="D37" s="203"/>
      <c r="E37" s="203"/>
      <c r="F37" s="203"/>
      <c r="G37" s="203" t="s">
        <v>288</v>
      </c>
      <c r="H37" s="203"/>
      <c r="I37" s="203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Swimming Pool quality check </vt:lpstr>
      <vt:lpstr>EDl log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2020-10-06T06:46:53Z</dcterms:modified>
</cp:coreProperties>
</file>