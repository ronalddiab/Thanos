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A2516F7C-DAB2-461B-AD3B-7828E09C43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<sst xmlns="http://schemas.openxmlformats.org/spreadsheetml/2006/main" count="201" uniqueCount="128">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</sst>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21" sqref="I21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/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>
        <v>22709.999999999127</v>
      </c>
      <c r="F12" s="48">
        <v>0.14000000000000001</v>
      </c>
      <c r="G12" s="107">
        <v>5988</v>
      </c>
      <c r="H12" s="48">
        <v>0.4453480216384178</v>
      </c>
      <c r="I12" s="65">
        <v>257</v>
      </c>
      <c r="J12" s="76">
        <v>0.4</v>
      </c>
      <c r="K12" s="108"/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>
        <v>22700.000000001637</v>
      </c>
      <c r="F13" s="48">
        <v>0.14000000000000001</v>
      </c>
      <c r="G13" s="107">
        <v>6353</v>
      </c>
      <c r="H13" s="48">
        <v>0.4453480216384178</v>
      </c>
      <c r="I13" s="65">
        <v>273</v>
      </c>
      <c r="J13" s="76">
        <v>0.4</v>
      </c>
      <c r="K13" s="108"/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>
        <v>23749.999999999091</v>
      </c>
      <c r="F14" s="48">
        <v>0.14000000000000001</v>
      </c>
      <c r="G14" s="107">
        <v>6542</v>
      </c>
      <c r="H14" s="48">
        <v>0.4453480216384178</v>
      </c>
      <c r="I14" s="65">
        <v>291</v>
      </c>
      <c r="J14" s="76">
        <v>0.4</v>
      </c>
      <c r="K14" s="108"/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>
        <v>22739.999999999782</v>
      </c>
      <c r="F15" s="48">
        <v>0.14000000000000001</v>
      </c>
      <c r="G15" s="107">
        <v>6216</v>
      </c>
      <c r="H15" s="48">
        <v>0.4453480216384178</v>
      </c>
      <c r="I15" s="65">
        <v>274</v>
      </c>
      <c r="J15" s="76">
        <v>0.4</v>
      </c>
      <c r="K15" s="108"/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>
        <v>22609.999999999902</v>
      </c>
      <c r="F16" s="48">
        <v>0.14000000000000001</v>
      </c>
      <c r="G16" s="107">
        <v>6361</v>
      </c>
      <c r="H16" s="48">
        <v>0.4453480216384178</v>
      </c>
      <c r="I16" s="65">
        <v>329</v>
      </c>
      <c r="J16" s="76">
        <v>0.4</v>
      </c>
      <c r="K16" s="108"/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/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/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/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343710.00000000023</v>
      </c>
      <c r="F33" s="104">
        <v>0</v>
      </c>
      <c r="G33" s="101">
        <f>SUM(G2:G32)</f>
        <v>94248</v>
      </c>
      <c r="H33" s="102">
        <v>0</v>
      </c>
      <c r="I33" s="103">
        <f>SUM(I2:I32)</f>
        <v>4797</v>
      </c>
      <c r="J33" s="104">
        <v>0</v>
      </c>
      <c r="K33" s="105">
        <v>0</v>
      </c>
      <c r="L33" s="102">
        <v>0</v>
      </c>
      <c r="M33" s="106">
        <f t="shared" ref="M33:O33" si="1">SUM(M2:M32)</f>
        <v>154</v>
      </c>
      <c r="N33" s="106">
        <f t="shared" si="1"/>
        <v>376</v>
      </c>
      <c r="O33" s="106">
        <f t="shared" si="1"/>
        <v>1145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9" sqref="T1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/>
      <c r="W14" s="71"/>
      <c r="X14" s="71"/>
      <c r="Y14" s="17"/>
    </row>
    <row r="15" spans="1:25" ht="21" customHeight="1" x14ac:dyDescent="0.25">
      <c r="A15" s="8">
        <v>44359</v>
      </c>
      <c r="B15" s="1">
        <v>955.69</v>
      </c>
      <c r="C15" s="1">
        <v>225.26</v>
      </c>
      <c r="D15" s="1">
        <v>7433992.9500000002</v>
      </c>
      <c r="E15" s="1">
        <v>8122691.8499999996</v>
      </c>
      <c r="F15" s="1">
        <v>2.3340999999999998</v>
      </c>
      <c r="G15" s="1">
        <v>729.74</v>
      </c>
      <c r="H15" s="1">
        <v>613.53</v>
      </c>
      <c r="I15" s="1">
        <v>229.85</v>
      </c>
      <c r="J15" s="1">
        <v>312.52</v>
      </c>
      <c r="K15" s="1">
        <v>336.06</v>
      </c>
      <c r="L15" s="1">
        <v>230.33</v>
      </c>
      <c r="M15" s="1">
        <v>503.66</v>
      </c>
      <c r="N15" s="1">
        <v>457.66</v>
      </c>
      <c r="O15" s="1">
        <v>146.91</v>
      </c>
      <c r="P15" s="1">
        <v>598.73</v>
      </c>
      <c r="Q15" s="1">
        <v>447.33</v>
      </c>
      <c r="R15" s="1">
        <v>151.96</v>
      </c>
      <c r="S15" s="1">
        <v>112.74</v>
      </c>
      <c r="T15" s="1">
        <v>412.37</v>
      </c>
      <c r="V15" s="71"/>
      <c r="W15" s="71"/>
      <c r="X15" s="71"/>
      <c r="Y15" s="17"/>
    </row>
    <row r="16" spans="1:25" ht="21" customHeight="1" x14ac:dyDescent="0.25">
      <c r="A16" s="8">
        <v>44360</v>
      </c>
      <c r="B16" s="1">
        <v>957.02</v>
      </c>
      <c r="C16" s="1">
        <v>225.47</v>
      </c>
      <c r="D16" s="1">
        <v>7436505.0999999996</v>
      </c>
      <c r="E16" s="1">
        <v>8125871.3099999996</v>
      </c>
      <c r="F16" s="1">
        <v>2.3365</v>
      </c>
      <c r="G16" s="1">
        <v>730.66</v>
      </c>
      <c r="H16" s="1">
        <v>613.91999999999996</v>
      </c>
      <c r="I16" s="1">
        <v>230.15</v>
      </c>
      <c r="J16" s="1">
        <v>312.7</v>
      </c>
      <c r="K16" s="1">
        <v>336.29</v>
      </c>
      <c r="L16" s="1">
        <v>230.5</v>
      </c>
      <c r="M16" s="1">
        <v>504.36</v>
      </c>
      <c r="N16" s="1">
        <v>458.59</v>
      </c>
      <c r="O16" s="1">
        <v>147.18</v>
      </c>
      <c r="P16" s="1">
        <v>599.85</v>
      </c>
      <c r="Q16" s="1">
        <v>448.06</v>
      </c>
      <c r="R16" s="1">
        <v>152.29</v>
      </c>
      <c r="S16" s="1">
        <v>112.85</v>
      </c>
      <c r="T16" s="1">
        <v>412.85</v>
      </c>
      <c r="V16" s="71"/>
      <c r="W16" s="71"/>
      <c r="X16" s="71"/>
      <c r="Y16" s="17"/>
    </row>
    <row r="17" spans="1:25" ht="21" customHeight="1" x14ac:dyDescent="0.25">
      <c r="A17" s="8">
        <v>44361</v>
      </c>
      <c r="B17" s="1">
        <v>958.32</v>
      </c>
      <c r="C17" s="1">
        <v>225.71</v>
      </c>
      <c r="D17" s="1">
        <v>7439126.8799999999</v>
      </c>
      <c r="E17" s="1">
        <v>8129252.8600000003</v>
      </c>
      <c r="F17" s="1">
        <v>2.339</v>
      </c>
      <c r="G17" s="1">
        <v>731.63</v>
      </c>
      <c r="H17" s="1">
        <v>614.33000000000004</v>
      </c>
      <c r="I17" s="1">
        <v>230.68</v>
      </c>
      <c r="J17" s="1">
        <v>312.87</v>
      </c>
      <c r="K17" s="1">
        <v>336.53</v>
      </c>
      <c r="L17" s="1">
        <v>230.68</v>
      </c>
      <c r="M17" s="1">
        <v>505.1</v>
      </c>
      <c r="N17" s="1">
        <v>459.57</v>
      </c>
      <c r="O17" s="1">
        <v>147.47999999999999</v>
      </c>
      <c r="P17" s="1">
        <v>601.04999999999995</v>
      </c>
      <c r="Q17" s="1">
        <v>448.71</v>
      </c>
      <c r="R17" s="1">
        <v>152.6</v>
      </c>
      <c r="S17" s="1">
        <v>113.01</v>
      </c>
      <c r="T17" s="1">
        <v>413.34</v>
      </c>
      <c r="V17" s="71"/>
      <c r="W17" s="71"/>
      <c r="X17" s="71"/>
      <c r="Y17" s="17"/>
    </row>
    <row r="18" spans="1:25" ht="21" customHeight="1" x14ac:dyDescent="0.25">
      <c r="A18" s="8">
        <v>44362</v>
      </c>
      <c r="B18" s="1">
        <v>959.72</v>
      </c>
      <c r="C18" s="1">
        <v>225.96</v>
      </c>
      <c r="D18" s="1">
        <v>7441803.0300000003</v>
      </c>
      <c r="E18" s="1">
        <v>8132510.1799999997</v>
      </c>
      <c r="F18" s="1">
        <v>2.3416000000000001</v>
      </c>
      <c r="G18" s="1">
        <v>732.67</v>
      </c>
      <c r="H18" s="1">
        <v>614.74</v>
      </c>
      <c r="I18" s="1">
        <v>230.81</v>
      </c>
      <c r="J18" s="1">
        <v>313.2</v>
      </c>
      <c r="K18" s="1">
        <v>336.83</v>
      </c>
      <c r="L18" s="1">
        <v>230.93</v>
      </c>
      <c r="M18" s="1">
        <v>505.96</v>
      </c>
      <c r="N18" s="1">
        <v>460.48</v>
      </c>
      <c r="O18" s="1">
        <v>147.76</v>
      </c>
      <c r="P18" s="1">
        <v>602.08000000000004</v>
      </c>
      <c r="Q18" s="1">
        <v>449.43</v>
      </c>
      <c r="R18" s="1">
        <v>152.91</v>
      </c>
      <c r="S18" s="1">
        <v>113.14</v>
      </c>
      <c r="T18" s="1">
        <v>413.76</v>
      </c>
      <c r="V18" s="71"/>
      <c r="W18" s="71"/>
      <c r="X18" s="71"/>
      <c r="Y18" s="17"/>
    </row>
    <row r="19" spans="1:25" ht="21" customHeight="1" x14ac:dyDescent="0.25">
      <c r="A19" s="8">
        <v>44363</v>
      </c>
      <c r="B19" s="1">
        <v>961.02</v>
      </c>
      <c r="C19" s="1">
        <v>226.19</v>
      </c>
      <c r="D19" s="1">
        <v>7444179.2400000002</v>
      </c>
      <c r="E19" s="1">
        <v>8135560.4299999997</v>
      </c>
      <c r="F19" s="1">
        <v>2.3437999999999999</v>
      </c>
      <c r="G19" s="1">
        <v>733.55</v>
      </c>
      <c r="H19" s="1">
        <v>615.16</v>
      </c>
      <c r="I19" s="1">
        <v>231.11</v>
      </c>
      <c r="J19" s="1">
        <v>313.29000000000002</v>
      </c>
      <c r="K19" s="1">
        <v>336.99</v>
      </c>
      <c r="L19" s="1">
        <v>231.08</v>
      </c>
      <c r="M19" s="1">
        <v>506.74</v>
      </c>
      <c r="N19" s="1">
        <v>461.25</v>
      </c>
      <c r="O19" s="1">
        <v>148</v>
      </c>
      <c r="P19" s="1">
        <v>603.01</v>
      </c>
      <c r="Q19" s="1">
        <v>450.19</v>
      </c>
      <c r="R19" s="1">
        <v>153.24</v>
      </c>
      <c r="S19" s="1">
        <v>113.2</v>
      </c>
      <c r="T19" s="1">
        <v>414.18</v>
      </c>
      <c r="V19" s="71"/>
      <c r="W19" s="71"/>
      <c r="X19" s="71"/>
      <c r="Y19" s="17"/>
    </row>
    <row r="20" spans="1:25" ht="21" customHeight="1" x14ac:dyDescent="0.25">
      <c r="A20" s="8">
        <v>44364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44365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44366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154</v>
      </c>
      <c r="W35" s="78">
        <f>SUM(W4:W34)</f>
        <v>376</v>
      </c>
      <c r="X35" s="78">
        <f>SUM(X4:X34)</f>
        <v>1145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O12" sqref="O1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22709.999999999127</v>
      </c>
      <c r="C14" s="4">
        <f>('Kwh Reading'!T15-'Kwh Reading'!T14)*1000</f>
        <v>269.99999999998181</v>
      </c>
      <c r="D14" s="2">
        <f>('Kwh Reading'!F15-'Kwh Reading'!F14)*1000000</f>
        <v>2599.9999999997135</v>
      </c>
      <c r="E14" s="2">
        <f>('Kwh Reading'!C15-'Kwh Reading'!C14)*1000</f>
        <v>250</v>
      </c>
      <c r="F14" s="2">
        <f>('Kwh Reading'!J15-'Kwh Reading'!J14)*1000</f>
        <v>180.00000000000682</v>
      </c>
      <c r="G14" s="2">
        <f>('Kwh Reading'!K15-'Kwh Reading'!K14)*1000</f>
        <v>259.99999999999091</v>
      </c>
      <c r="H14" s="2">
        <f>('Kwh Reading'!L15-'Kwh Reading'!L14)*1000</f>
        <v>180.00000000000682</v>
      </c>
      <c r="I14" s="2">
        <f>('Kwh Reading'!R15-'Kwh Reading'!R14)*1000</f>
        <v>300.00000000001137</v>
      </c>
      <c r="J14" s="2">
        <f>('Kwh Reading'!S15-'Kwh Reading'!S14)*1000</f>
        <v>109.99999999999943</v>
      </c>
      <c r="K14" s="2">
        <f>('Kwh Reading'!I15-'Kwh Reading'!I14)*1000</f>
        <v>329.99999999998408</v>
      </c>
      <c r="L14" s="2">
        <f>('Kwh Reading'!B15-'Kwh Reading'!B14)*1000</f>
        <v>1410.0000000000819</v>
      </c>
      <c r="M14" s="2">
        <f>('Kwh Reading'!M15-'Kwh Reading'!M14)*1000</f>
        <v>810.00000000000227</v>
      </c>
      <c r="N14" s="2">
        <f>('Kwh Reading'!H15-'Kwh Reading'!H14)*1000</f>
        <v>419.99999999995907</v>
      </c>
      <c r="O14" s="2">
        <f>('Kwh Reading'!P15-'Kwh Reading'!P14)*1000</f>
        <v>1170.0000000000728</v>
      </c>
      <c r="P14" s="2">
        <f>('Kwh Reading'!G15-'Kwh Reading'!G14)*1000</f>
        <v>1009.9999999999909</v>
      </c>
      <c r="Q14" s="2">
        <f>('Kwh Reading'!Q15-'Kwh Reading'!Q14)*1000</f>
        <v>759.99999999999091</v>
      </c>
      <c r="R14" s="2">
        <f>('Kwh Reading'!N15-'Kwh Reading'!N14)*1000</f>
        <v>970.00000000002728</v>
      </c>
      <c r="S14" s="34">
        <f>'Kwh Reading'!E15-'Kwh Reading'!E14</f>
        <v>3028.5400000000373</v>
      </c>
      <c r="T14" s="34">
        <f>'Kwh Reading'!D15-'Kwh Reading'!D14</f>
        <v>2510.640000000596</v>
      </c>
      <c r="U14" s="27">
        <f>('Kwh Reading'!O15-'Kwh Reading'!O14)*1000</f>
        <v>299.99999999998295</v>
      </c>
      <c r="V14" s="16">
        <f t="shared" si="1"/>
        <v>5840.8199999986937</v>
      </c>
    </row>
    <row r="15" spans="1:22" x14ac:dyDescent="0.25">
      <c r="A15" s="3">
        <f>'Kwh Reading'!A15</f>
        <v>44359</v>
      </c>
      <c r="B15" s="26">
        <f>TOTAL!E13</f>
        <v>22700.000000001637</v>
      </c>
      <c r="C15" s="4">
        <f>('Kwh Reading'!T16-'Kwh Reading'!T15)*1000</f>
        <v>480.00000000001819</v>
      </c>
      <c r="D15" s="2">
        <f>('Kwh Reading'!F16-'Kwh Reading'!F15)*1000000</f>
        <v>2400.0000000001796</v>
      </c>
      <c r="E15" s="2">
        <f>('Kwh Reading'!C16-'Kwh Reading'!C15)*1000</f>
        <v>210.00000000000796</v>
      </c>
      <c r="F15" s="2">
        <f>('Kwh Reading'!J16-'Kwh Reading'!J15)*1000</f>
        <v>180.00000000000682</v>
      </c>
      <c r="G15" s="2">
        <f>('Kwh Reading'!K16-'Kwh Reading'!K15)*1000</f>
        <v>230.00000000001819</v>
      </c>
      <c r="H15" s="2">
        <f>('Kwh Reading'!L16-'Kwh Reading'!L15)*1000</f>
        <v>169.99999999998749</v>
      </c>
      <c r="I15" s="2">
        <f>('Kwh Reading'!R16-'Kwh Reading'!R15)*1000</f>
        <v>329.99999999998408</v>
      </c>
      <c r="J15" s="2">
        <f>('Kwh Reading'!S16-'Kwh Reading'!S15)*1000</f>
        <v>109.99999999999943</v>
      </c>
      <c r="K15" s="2">
        <f>('Kwh Reading'!I16-'Kwh Reading'!I15)*1000</f>
        <v>300.00000000001137</v>
      </c>
      <c r="L15" s="2">
        <f>('Kwh Reading'!B16-'Kwh Reading'!B15)*1000</f>
        <v>1329.9999999999272</v>
      </c>
      <c r="M15" s="2">
        <f>('Kwh Reading'!M16-'Kwh Reading'!M15)*1000</f>
        <v>699.99999999998863</v>
      </c>
      <c r="N15" s="2">
        <f>('Kwh Reading'!H16-'Kwh Reading'!H15)*1000</f>
        <v>389.99999999998636</v>
      </c>
      <c r="O15" s="2">
        <f>('Kwh Reading'!P16-'Kwh Reading'!P15)*1000</f>
        <v>1120.0000000000045</v>
      </c>
      <c r="P15" s="2">
        <f>('Kwh Reading'!G16-'Kwh Reading'!G15)*1000</f>
        <v>919.99999999995907</v>
      </c>
      <c r="Q15" s="2">
        <f>('Kwh Reading'!Q16-'Kwh Reading'!Q15)*1000</f>
        <v>730.00000000001819</v>
      </c>
      <c r="R15" s="2">
        <f>('Kwh Reading'!N16-'Kwh Reading'!N15)*1000</f>
        <v>929.99999999994998</v>
      </c>
      <c r="S15" s="34">
        <f>'Kwh Reading'!E16-'Kwh Reading'!E15</f>
        <v>3179.4599999999627</v>
      </c>
      <c r="T15" s="34">
        <f>'Kwh Reading'!D16-'Kwh Reading'!D15</f>
        <v>2512.1499999994412</v>
      </c>
      <c r="U15" s="27">
        <f>('Kwh Reading'!O16-'Kwh Reading'!O15)*1000</f>
        <v>270.00000000001023</v>
      </c>
      <c r="V15" s="16">
        <f t="shared" si="1"/>
        <v>6208.3900000021749</v>
      </c>
    </row>
    <row r="16" spans="1:22" x14ac:dyDescent="0.25">
      <c r="A16" s="3">
        <f>'Kwh Reading'!A16</f>
        <v>44360</v>
      </c>
      <c r="B16" s="26">
        <f>TOTAL!E14</f>
        <v>23749.999999999091</v>
      </c>
      <c r="C16" s="4">
        <f>('Kwh Reading'!T17-'Kwh Reading'!T16)*1000</f>
        <v>489.99999999995225</v>
      </c>
      <c r="D16" s="2">
        <f>('Kwh Reading'!F17-'Kwh Reading'!F16)*1000000</f>
        <v>2499.9999999999468</v>
      </c>
      <c r="E16" s="2">
        <f>('Kwh Reading'!C17-'Kwh Reading'!C16)*1000</f>
        <v>240.00000000000909</v>
      </c>
      <c r="F16" s="2">
        <f>('Kwh Reading'!J17-'Kwh Reading'!J16)*1000</f>
        <v>170.00000000001592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310.00000000000227</v>
      </c>
      <c r="J16" s="2">
        <f>('Kwh Reading'!S17-'Kwh Reading'!S16)*1000</f>
        <v>160.0000000000108</v>
      </c>
      <c r="K16" s="2">
        <f>('Kwh Reading'!I17-'Kwh Reading'!I16)*1000</f>
        <v>530.00000000000114</v>
      </c>
      <c r="L16" s="2">
        <f>('Kwh Reading'!B17-'Kwh Reading'!B16)*1000</f>
        <v>1300.0000000000682</v>
      </c>
      <c r="M16" s="2">
        <f>('Kwh Reading'!M17-'Kwh Reading'!M16)*1000</f>
        <v>740.00000000000909</v>
      </c>
      <c r="N16" s="2">
        <f>('Kwh Reading'!H17-'Kwh Reading'!H16)*1000</f>
        <v>410.00000000008185</v>
      </c>
      <c r="O16" s="2">
        <f>('Kwh Reading'!P17-'Kwh Reading'!P16)*1000</f>
        <v>1199.9999999999318</v>
      </c>
      <c r="P16" s="2">
        <f>('Kwh Reading'!G17-'Kwh Reading'!G16)*1000</f>
        <v>970.00000000002728</v>
      </c>
      <c r="Q16" s="2">
        <f>('Kwh Reading'!Q17-'Kwh Reading'!Q16)*1000</f>
        <v>649.99999999997726</v>
      </c>
      <c r="R16" s="2">
        <f>('Kwh Reading'!N17-'Kwh Reading'!N16)*1000</f>
        <v>980.00000000001819</v>
      </c>
      <c r="S16" s="34">
        <f>'Kwh Reading'!E17-'Kwh Reading'!E16</f>
        <v>3381.5500000007451</v>
      </c>
      <c r="T16" s="34">
        <f>'Kwh Reading'!D17-'Kwh Reading'!D16</f>
        <v>2621.7800000002608</v>
      </c>
      <c r="U16" s="27">
        <f>('Kwh Reading'!O17-'Kwh Reading'!O16)*1000</f>
        <v>299.99999999998295</v>
      </c>
      <c r="V16" s="16">
        <f t="shared" si="1"/>
        <v>6376.669999998092</v>
      </c>
    </row>
    <row r="17" spans="1:22" x14ac:dyDescent="0.25">
      <c r="A17" s="3">
        <f>'Kwh Reading'!A17</f>
        <v>44361</v>
      </c>
      <c r="B17" s="26">
        <f>TOTAL!E15</f>
        <v>22739.999999999782</v>
      </c>
      <c r="C17" s="4">
        <f>('Kwh Reading'!T18-'Kwh Reading'!T17)*1000</f>
        <v>420.00000000001592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329.99999999998408</v>
      </c>
      <c r="G17" s="2">
        <f>('Kwh Reading'!K18-'Kwh Reading'!K17)*1000</f>
        <v>300.00000000001137</v>
      </c>
      <c r="H17" s="2">
        <f>('Kwh Reading'!L18-'Kwh Reading'!L17)*1000</f>
        <v>250</v>
      </c>
      <c r="I17" s="2">
        <f>('Kwh Reading'!R18-'Kwh Reading'!R17)*1000</f>
        <v>310.00000000000227</v>
      </c>
      <c r="J17" s="2">
        <f>('Kwh Reading'!S18-'Kwh Reading'!S17)*1000</f>
        <v>129.99999999999545</v>
      </c>
      <c r="K17" s="2">
        <f>('Kwh Reading'!I18-'Kwh Reading'!I17)*1000</f>
        <v>129.99999999999545</v>
      </c>
      <c r="L17" s="2">
        <f>('Kwh Reading'!B18-'Kwh Reading'!B17)*1000</f>
        <v>1399.9999999999773</v>
      </c>
      <c r="M17" s="2">
        <f>('Kwh Reading'!M18-'Kwh Reading'!M17)*1000</f>
        <v>859.9999999999568</v>
      </c>
      <c r="N17" s="2">
        <f>('Kwh Reading'!H18-'Kwh Reading'!H17)*1000</f>
        <v>409.99999999996817</v>
      </c>
      <c r="O17" s="2">
        <f>('Kwh Reading'!P18-'Kwh Reading'!P17)*1000</f>
        <v>1030.0000000000864</v>
      </c>
      <c r="P17" s="2">
        <f>('Kwh Reading'!G18-'Kwh Reading'!G17)*1000</f>
        <v>1039.9999999999636</v>
      </c>
      <c r="Q17" s="2">
        <f>('Kwh Reading'!Q18-'Kwh Reading'!Q17)*1000</f>
        <v>720.00000000002728</v>
      </c>
      <c r="R17" s="2">
        <f>('Kwh Reading'!N18-'Kwh Reading'!N17)*1000</f>
        <v>910.00000000002501</v>
      </c>
      <c r="S17" s="34">
        <f>'Kwh Reading'!E18-'Kwh Reading'!E17</f>
        <v>3257.3199999993667</v>
      </c>
      <c r="T17" s="34">
        <f>'Kwh Reading'!D18-'Kwh Reading'!D17</f>
        <v>2676.1500000003725</v>
      </c>
      <c r="U17" s="27">
        <f>('Kwh Reading'!O18-'Kwh Reading'!O17)*1000</f>
        <v>280.00000000000114</v>
      </c>
      <c r="V17" s="16">
        <f t="shared" si="1"/>
        <v>5436.5299999998751</v>
      </c>
    </row>
    <row r="18" spans="1:22" x14ac:dyDescent="0.25">
      <c r="A18" s="3">
        <f>'Kwh Reading'!A18</f>
        <v>44362</v>
      </c>
      <c r="B18" s="26">
        <f>TOTAL!E16</f>
        <v>22609.999999999902</v>
      </c>
      <c r="C18" s="4">
        <f>('Kwh Reading'!T19-'Kwh Reading'!T18)*1000</f>
        <v>420.00000000001592</v>
      </c>
      <c r="D18" s="2">
        <f>('Kwh Reading'!F19-'Kwh Reading'!F18)*1000000</f>
        <v>2199.9999999997576</v>
      </c>
      <c r="E18" s="2">
        <f>('Kwh Reading'!C19-'Kwh Reading'!C18)*1000</f>
        <v>229.99999999998977</v>
      </c>
      <c r="F18" s="2">
        <f>('Kwh Reading'!J19-'Kwh Reading'!J18)*1000</f>
        <v>90.000000000031832</v>
      </c>
      <c r="G18" s="2">
        <f>('Kwh Reading'!K19-'Kwh Reading'!K18)*1000</f>
        <v>160.00000000002501</v>
      </c>
      <c r="H18" s="2">
        <f>('Kwh Reading'!L19-'Kwh Reading'!L18)*1000</f>
        <v>150.00000000000568</v>
      </c>
      <c r="I18" s="2">
        <f>('Kwh Reading'!R19-'Kwh Reading'!R18)*1000</f>
        <v>330.00000000001251</v>
      </c>
      <c r="J18" s="2">
        <f>('Kwh Reading'!S19-'Kwh Reading'!S18)*1000</f>
        <v>60.000000000002274</v>
      </c>
      <c r="K18" s="2">
        <f>('Kwh Reading'!I19-'Kwh Reading'!I18)*1000</f>
        <v>300.00000000001137</v>
      </c>
      <c r="L18" s="2">
        <f>('Kwh Reading'!B19-'Kwh Reading'!B18)*1000</f>
        <v>1299.9999999999545</v>
      </c>
      <c r="M18" s="2">
        <f>('Kwh Reading'!M19-'Kwh Reading'!M18)*1000</f>
        <v>780.00000000002956</v>
      </c>
      <c r="N18" s="2">
        <f>('Kwh Reading'!H19-'Kwh Reading'!H18)*1000</f>
        <v>419.99999999995907</v>
      </c>
      <c r="O18" s="2">
        <f>('Kwh Reading'!P19-'Kwh Reading'!P18)*1000</f>
        <v>929.99999999994998</v>
      </c>
      <c r="P18" s="2">
        <f>('Kwh Reading'!G19-'Kwh Reading'!G18)*1000</f>
        <v>879.99999999999545</v>
      </c>
      <c r="Q18" s="2">
        <f>('Kwh Reading'!Q19-'Kwh Reading'!Q18)*1000</f>
        <v>759.99999999999091</v>
      </c>
      <c r="R18" s="2">
        <f>('Kwh Reading'!N19-'Kwh Reading'!N18)*1000</f>
        <v>769.99999999998181</v>
      </c>
      <c r="S18" s="34">
        <f>'Kwh Reading'!E19-'Kwh Reading'!E18</f>
        <v>3050.25</v>
      </c>
      <c r="T18" s="34">
        <f>'Kwh Reading'!D19-'Kwh Reading'!D18</f>
        <v>2376.2099999999627</v>
      </c>
      <c r="U18" s="27">
        <f>('Kwh Reading'!O19-'Kwh Reading'!O18)*1000</f>
        <v>240.00000000000909</v>
      </c>
      <c r="V18" s="16">
        <f t="shared" si="1"/>
        <v>7163.5400000002155</v>
      </c>
    </row>
    <row r="19" spans="1:22" x14ac:dyDescent="0.25">
      <c r="A19" s="3">
        <f>'Kwh Reading'!A19</f>
        <v>44363</v>
      </c>
      <c r="B19" s="26">
        <f>TOTAL!E17</f>
        <v>0</v>
      </c>
      <c r="C19" s="4">
        <f>('Kwh Reading'!T20-'Kwh Reading'!T19)*1000</f>
        <v>-414180</v>
      </c>
      <c r="D19" s="2">
        <f>('Kwh Reading'!F20-'Kwh Reading'!F19)*1000000</f>
        <v>-2343800</v>
      </c>
      <c r="E19" s="2">
        <f>('Kwh Reading'!C20-'Kwh Reading'!C19)*1000</f>
        <v>-226190</v>
      </c>
      <c r="F19" s="2">
        <f>('Kwh Reading'!J20-'Kwh Reading'!J19)*1000</f>
        <v>-313290</v>
      </c>
      <c r="G19" s="2">
        <f>('Kwh Reading'!K20-'Kwh Reading'!K19)*1000</f>
        <v>-336990</v>
      </c>
      <c r="H19" s="2">
        <f>('Kwh Reading'!L20-'Kwh Reading'!L19)*1000</f>
        <v>-231080</v>
      </c>
      <c r="I19" s="2">
        <f>('Kwh Reading'!R20-'Kwh Reading'!R19)*1000</f>
        <v>-153240</v>
      </c>
      <c r="J19" s="2">
        <f>('Kwh Reading'!S20-'Kwh Reading'!S19)*1000</f>
        <v>-113200</v>
      </c>
      <c r="K19" s="2">
        <f>('Kwh Reading'!I20-'Kwh Reading'!I19)*1000</f>
        <v>-231110</v>
      </c>
      <c r="L19" s="2">
        <f>('Kwh Reading'!B20-'Kwh Reading'!B19)*1000</f>
        <v>-961020</v>
      </c>
      <c r="M19" s="2">
        <f>('Kwh Reading'!M20-'Kwh Reading'!M19)*1000</f>
        <v>-506740</v>
      </c>
      <c r="N19" s="2">
        <f>('Kwh Reading'!H20-'Kwh Reading'!H19)*1000</f>
        <v>-615160</v>
      </c>
      <c r="O19" s="2">
        <f>('Kwh Reading'!P20-'Kwh Reading'!P19)*1000</f>
        <v>-603010</v>
      </c>
      <c r="P19" s="2">
        <f>('Kwh Reading'!G20-'Kwh Reading'!G19)*1000</f>
        <v>-733550</v>
      </c>
      <c r="Q19" s="2">
        <f>('Kwh Reading'!Q20-'Kwh Reading'!Q19)*1000</f>
        <v>-450190</v>
      </c>
      <c r="R19" s="2">
        <f>('Kwh Reading'!N20-'Kwh Reading'!N19)*1000</f>
        <v>-461250</v>
      </c>
      <c r="S19" s="34">
        <f>'Kwh Reading'!E20-'Kwh Reading'!E19</f>
        <v>-8135560.4299999997</v>
      </c>
      <c r="T19" s="34">
        <f>'Kwh Reading'!D20-'Kwh Reading'!D19</f>
        <v>-7444179.2400000002</v>
      </c>
      <c r="U19" s="27">
        <f>('Kwh Reading'!O20-'Kwh Reading'!O19)*1000</f>
        <v>-148000</v>
      </c>
      <c r="V19" s="16">
        <f t="shared" si="1"/>
        <v>24421739.670000002</v>
      </c>
    </row>
    <row r="20" spans="1:22" x14ac:dyDescent="0.25">
      <c r="A20" s="3">
        <f>'Kwh Reading'!A20</f>
        <v>44364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44365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44366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44367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346479.99999999953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</v>
      </c>
      <c r="F35" s="75">
        <f t="shared" ref="F35" si="5">SUM(F4:F34)</f>
        <v>-310550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-148639.99999999997</v>
      </c>
      <c r="J35" s="75">
        <f t="shared" si="6"/>
        <v>-111340</v>
      </c>
      <c r="K35" s="75">
        <f t="shared" si="6"/>
        <v>-226280</v>
      </c>
      <c r="L35" s="75">
        <f t="shared" si="6"/>
        <v>-941590</v>
      </c>
      <c r="M35" s="75">
        <f t="shared" si="6"/>
        <v>-494460</v>
      </c>
      <c r="N35" s="75">
        <f t="shared" si="6"/>
        <v>-608010</v>
      </c>
      <c r="O35" s="75">
        <f t="shared" si="6"/>
        <v>-586590</v>
      </c>
      <c r="P35" s="75">
        <f t="shared" si="6"/>
        <v>-719090.00000000012</v>
      </c>
      <c r="Q35" s="75">
        <f t="shared" si="6"/>
        <v>-439130</v>
      </c>
      <c r="R35" s="75">
        <f t="shared" si="6"/>
        <v>-448540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-144040</v>
      </c>
      <c r="V35" s="75">
        <f>SUM(V4:V34)</f>
        <v>24519892.770000003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2">
        <f t="shared" si="0"/>
        <v>5840.8199999986928</v>
      </c>
    </row>
    <row r="14" spans="1:12" x14ac:dyDescent="0.25">
      <c r="A14" s="14">
        <f>'Kwh Reading'!A15</f>
        <v>44359</v>
      </c>
      <c r="B14" s="83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580.00000000001251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2">
        <f t="shared" si="0"/>
        <v>6208.3900000021813</v>
      </c>
    </row>
    <row r="15" spans="1:12" x14ac:dyDescent="0.25">
      <c r="A15" s="14">
        <f>'Kwh Reading'!A16</f>
        <v>44360</v>
      </c>
      <c r="B15" s="83">
        <f>TOTAL!E14</f>
        <v>23749.999999999091</v>
      </c>
      <c r="C15" s="1">
        <f>'Kwh Consumption'!C16</f>
        <v>489.99999999995225</v>
      </c>
      <c r="D15" s="1">
        <f>'Kwh Consumption'!D16</f>
        <v>2499.9999999999468</v>
      </c>
      <c r="E15" s="1">
        <f>'Kwh Consumption'!E16</f>
        <v>240.00000000000909</v>
      </c>
      <c r="F15" s="1">
        <f>('Kwh Consumption'!F16+'Kwh Consumption'!G16+'Kwh Consumption'!H16)</f>
        <v>589.99999999997499</v>
      </c>
      <c r="G15" s="16">
        <f>('Kwh Consumption'!I16+'Kwh Consumption'!J16)</f>
        <v>470.00000000001307</v>
      </c>
      <c r="H15" s="1">
        <f>('Kwh Consumption'!K16+'Kwh Consumption'!L16)</f>
        <v>1830.0000000000693</v>
      </c>
      <c r="I15" s="1">
        <f>('Kwh Consumption'!M16+'Kwh Consumption'!N16+'Kwh Consumption'!O16+'Kwh Consumption'!P16+'Kwh Consumption'!Q16+'Kwh Consumption'!R16)</f>
        <v>4950.0000000000455</v>
      </c>
      <c r="J15" s="1">
        <f>('Kwh Consumption'!S16+'Kwh Consumption'!T16)</f>
        <v>6003.3300000010058</v>
      </c>
      <c r="K15" s="1">
        <f>'Kwh Consumption'!U16</f>
        <v>299.99999999998295</v>
      </c>
      <c r="L15" s="32">
        <f t="shared" si="0"/>
        <v>6376.6699999980929</v>
      </c>
    </row>
    <row r="16" spans="1:12" x14ac:dyDescent="0.25">
      <c r="A16" s="14">
        <f>'Kwh Reading'!A17</f>
        <v>44361</v>
      </c>
      <c r="B16" s="83">
        <f>TOTAL!E15</f>
        <v>22739.999999999782</v>
      </c>
      <c r="C16" s="1">
        <f>'Kwh Consumption'!C17</f>
        <v>420.00000000001592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879.99999999999545</v>
      </c>
      <c r="G16" s="16">
        <f>('Kwh Consumption'!I17+'Kwh Consumption'!J17)</f>
        <v>439.99999999999773</v>
      </c>
      <c r="H16" s="1">
        <f>('Kwh Consumption'!K17+'Kwh Consumption'!L17)</f>
        <v>1529.9999999999727</v>
      </c>
      <c r="I16" s="1">
        <f>('Kwh Consumption'!M17+'Kwh Consumption'!N17+'Kwh Consumption'!O17+'Kwh Consumption'!P17+'Kwh Consumption'!Q17+'Kwh Consumption'!R17)</f>
        <v>4970.0000000000273</v>
      </c>
      <c r="J16" s="1">
        <f>('Kwh Consumption'!S17+'Kwh Consumption'!T17)</f>
        <v>5933.4699999997392</v>
      </c>
      <c r="K16" s="1">
        <f>'Kwh Consumption'!U17</f>
        <v>280.00000000000114</v>
      </c>
      <c r="L16" s="32">
        <f t="shared" si="0"/>
        <v>5436.5299999998761</v>
      </c>
    </row>
    <row r="17" spans="1:12" x14ac:dyDescent="0.25">
      <c r="A17" s="14">
        <f>'Kwh Reading'!A18</f>
        <v>44362</v>
      </c>
      <c r="B17" s="83">
        <f>TOTAL!E16</f>
        <v>22609.999999999902</v>
      </c>
      <c r="C17" s="1">
        <f>'Kwh Consumption'!C18</f>
        <v>420.00000000001592</v>
      </c>
      <c r="D17" s="1">
        <f>'Kwh Consumption'!D18</f>
        <v>2199.9999999997576</v>
      </c>
      <c r="E17" s="1">
        <f>'Kwh Consumption'!E18</f>
        <v>229.99999999998977</v>
      </c>
      <c r="F17" s="1">
        <f>('Kwh Consumption'!F18+'Kwh Consumption'!G18+'Kwh Consumption'!H18)</f>
        <v>400.00000000006253</v>
      </c>
      <c r="G17" s="16">
        <f>('Kwh Consumption'!I18+'Kwh Consumption'!J18)</f>
        <v>390.00000000001478</v>
      </c>
      <c r="H17" s="1">
        <f>('Kwh Consumption'!K18+'Kwh Consumption'!L18)</f>
        <v>1599.9999999999659</v>
      </c>
      <c r="I17" s="1">
        <f>('Kwh Consumption'!M18+'Kwh Consumption'!N18+'Kwh Consumption'!O18+'Kwh Consumption'!P18+'Kwh Consumption'!Q18+'Kwh Consumption'!R18)</f>
        <v>4539.9999999999072</v>
      </c>
      <c r="J17" s="1">
        <f>('Kwh Consumption'!S18+'Kwh Consumption'!T18)</f>
        <v>5426.4599999999627</v>
      </c>
      <c r="K17" s="31">
        <f>'Kwh Consumption'!U18</f>
        <v>240.00000000000909</v>
      </c>
      <c r="L17" s="32">
        <f t="shared" si="0"/>
        <v>7163.5400000002192</v>
      </c>
    </row>
    <row r="18" spans="1:12" x14ac:dyDescent="0.25">
      <c r="A18" s="14">
        <f>'Kwh Reading'!A19</f>
        <v>44363</v>
      </c>
      <c r="B18" s="83">
        <f>TOTAL!E17</f>
        <v>0</v>
      </c>
      <c r="C18" s="1">
        <f>'Kwh Consumption'!C19</f>
        <v>-414180</v>
      </c>
      <c r="D18" s="1">
        <f>'Kwh Consumption'!D19</f>
        <v>-2343800</v>
      </c>
      <c r="E18" s="1">
        <f>'Kwh Consumption'!E19</f>
        <v>-226190</v>
      </c>
      <c r="F18" s="1">
        <f>('Kwh Consumption'!F19+'Kwh Consumption'!G19+'Kwh Consumption'!H19)</f>
        <v>-881360</v>
      </c>
      <c r="G18" s="16">
        <f>('Kwh Consumption'!I19+'Kwh Consumption'!J19)</f>
        <v>-266440</v>
      </c>
      <c r="H18" s="1">
        <f>('Kwh Consumption'!K19+'Kwh Consumption'!L19)</f>
        <v>-1192130</v>
      </c>
      <c r="I18" s="1">
        <f>('Kwh Consumption'!M19+'Kwh Consumption'!N19+'Kwh Consumption'!O19+'Kwh Consumption'!P19+'Kwh Consumption'!Q19+'Kwh Consumption'!R19)</f>
        <v>-3369900</v>
      </c>
      <c r="J18" s="1">
        <f>('Kwh Consumption'!S19+'Kwh Consumption'!T19)</f>
        <v>-15579739.67</v>
      </c>
      <c r="K18" s="31">
        <f>'Kwh Consumption'!U19</f>
        <v>-148000</v>
      </c>
      <c r="L18" s="32">
        <f t="shared" si="0"/>
        <v>24421739.670000002</v>
      </c>
    </row>
    <row r="19" spans="1:12" x14ac:dyDescent="0.25">
      <c r="A19" s="14">
        <f>'Kwh Reading'!A20</f>
        <v>44364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44365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44366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44367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343710.00000000023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</v>
      </c>
      <c r="F34" s="75">
        <f t="shared" si="1"/>
        <v>-872610</v>
      </c>
      <c r="G34" s="75">
        <f t="shared" si="1"/>
        <v>-259979.99999999997</v>
      </c>
      <c r="H34" s="75">
        <f t="shared" si="1"/>
        <v>-1167870</v>
      </c>
      <c r="I34" s="75">
        <f t="shared" si="1"/>
        <v>-3295820</v>
      </c>
      <c r="J34" s="75">
        <f t="shared" si="1"/>
        <v>-15494502.77</v>
      </c>
      <c r="K34" s="75">
        <f t="shared" si="1"/>
        <v>-144040</v>
      </c>
      <c r="L34" s="75">
        <f t="shared" si="1"/>
        <v>24517122.770000003</v>
      </c>
      <c r="M34" s="84">
        <f>C34+D34+E34+F34+G34+H34+I34+J34+K34+L34</f>
        <v>343710.00000000373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-31196.200000000004</v>
      </c>
      <c r="F36" s="75">
        <f>F34*B36</f>
        <v>-122165.40000000001</v>
      </c>
      <c r="G36" s="75">
        <f>G34*B36</f>
        <v>-36397.199999999997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-2169230.3878000001</v>
      </c>
      <c r="K36" s="75">
        <f>K34*B36</f>
        <v>-20165.600000000002</v>
      </c>
      <c r="L36" s="75">
        <f>L34*B36</f>
        <v>3432397.1878000009</v>
      </c>
      <c r="M36" s="84">
        <f>C36+D36+E36+F36+G36+H36+I36+J36+K36+L36</f>
        <v>48119.400000000373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869.17460000030462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3324.9999999998731</v>
      </c>
      <c r="D15" s="1">
        <f>'Kwh Consumption'!C16*' Kwh area wise $ '!B15</f>
        <v>68.599999999993315</v>
      </c>
      <c r="E15" s="1">
        <f>'Kwh Consumption'!D16*' Kwh area wise $ '!B15</f>
        <v>349.99999999999261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82.599999999996513</v>
      </c>
      <c r="H15" s="16">
        <f>('Kwh Consumption'!I16+'Kwh Consumption'!J16)*' Kwh area wise $ '!B15</f>
        <v>65.80000000000183</v>
      </c>
      <c r="I15" s="1">
        <f>('Kwh Consumption'!K16+'Kwh Consumption'!L16)*' Kwh area wise $ '!B15</f>
        <v>256.20000000000971</v>
      </c>
      <c r="J15" s="1">
        <f>('Kwh Consumption'!M16+'Kwh Consumption'!N16+'Kwh Consumption'!O16+'Kwh Consumption'!P16+'Kwh Consumption'!Q16+'Kwh Consumption'!R16)*' Kwh area wise $ '!B15</f>
        <v>693.00000000000648</v>
      </c>
      <c r="K15" s="1">
        <f>('Kwh Consumption'!S16+'Kwh Consumption'!T16)*' Kwh area wise $ '!B15</f>
        <v>840.46620000014093</v>
      </c>
      <c r="L15" s="1">
        <f>'Kwh Consumption'!U16*' Kwh area wise $ '!B15</f>
        <v>41.99999999999762</v>
      </c>
      <c r="M15" s="1">
        <f>'Kwh Consumption'!V16*' Kwh area wise $ '!B15</f>
        <v>892.73379999973292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3183.5999999999699</v>
      </c>
      <c r="D16" s="1">
        <f>'Kwh Consumption'!C17*' Kwh area wise $ '!B16</f>
        <v>58.800000000002235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123.19999999999938</v>
      </c>
      <c r="H16" s="16">
        <f>('Kwh Consumption'!I17+'Kwh Consumption'!J17)*' Kwh area wise $ '!B16</f>
        <v>61.599999999999689</v>
      </c>
      <c r="I16" s="1">
        <f>('Kwh Consumption'!K17+'Kwh Consumption'!L17)*' Kwh area wise $ '!B16</f>
        <v>214.19999999999621</v>
      </c>
      <c r="J16" s="1">
        <f>('Kwh Consumption'!M17+'Kwh Consumption'!N17+'Kwh Consumption'!O17+'Kwh Consumption'!P17+'Kwh Consumption'!Q17+'Kwh Consumption'!R17)*' Kwh area wise $ '!B16</f>
        <v>695.80000000000393</v>
      </c>
      <c r="K16" s="1">
        <f>('Kwh Consumption'!S17+'Kwh Consumption'!T17)*' Kwh area wise $ '!B16</f>
        <v>830.68579999996359</v>
      </c>
      <c r="L16" s="1">
        <f>'Kwh Consumption'!U17*' Kwh area wise $ '!B16</f>
        <v>39.200000000000166</v>
      </c>
      <c r="M16" s="1">
        <f>'Kwh Consumption'!V17*' Kwh area wise $ '!B16</f>
        <v>761.11419999998259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3165.3999999999864</v>
      </c>
      <c r="D17" s="1">
        <f>'Kwh Consumption'!C18*' Kwh area wise $ '!B17</f>
        <v>58.800000000002235</v>
      </c>
      <c r="E17" s="1">
        <f>'Kwh Consumption'!D18*' Kwh area wise $ '!B17</f>
        <v>307.99999999996612</v>
      </c>
      <c r="F17" s="1">
        <f>'Kwh Consumption'!E18*' Kwh area wise $ '!B17</f>
        <v>32.199999999998568</v>
      </c>
      <c r="G17" s="1">
        <f>('Kwh Consumption'!F18+'Kwh Consumption'!G18+'Kwh Consumption'!H18)*' Kwh area wise $ '!B17</f>
        <v>56.000000000008761</v>
      </c>
      <c r="H17" s="16">
        <f>('Kwh Consumption'!I18+'Kwh Consumption'!J18)*' Kwh area wise $ '!B17</f>
        <v>54.600000000002076</v>
      </c>
      <c r="I17" s="1">
        <f>('Kwh Consumption'!K18+'Kwh Consumption'!L18)*' Kwh area wise $ '!B17</f>
        <v>223.99999999999525</v>
      </c>
      <c r="J17" s="1">
        <f>('Kwh Consumption'!M18+'Kwh Consumption'!N18+'Kwh Consumption'!O18+'Kwh Consumption'!P18+'Kwh Consumption'!Q18+'Kwh Consumption'!R18)*' Kwh area wise $ '!B17</f>
        <v>635.59999999998706</v>
      </c>
      <c r="K17" s="1">
        <f>('Kwh Consumption'!S18+'Kwh Consumption'!T18)*' Kwh area wise $ '!B17</f>
        <v>759.70439999999485</v>
      </c>
      <c r="L17" s="1">
        <f>'Kwh Consumption'!U18*' Kwh area wise $ '!B17</f>
        <v>33.600000000001273</v>
      </c>
      <c r="M17" s="1">
        <f>'Kwh Consumption'!V18*' Kwh area wise $ '!B17</f>
        <v>1002.8956000000303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-57985.200000000004</v>
      </c>
      <c r="E18" s="1">
        <f>'Kwh Consumption'!D19*' Kwh area wise $ '!B18</f>
        <v>-328132.00000000006</v>
      </c>
      <c r="F18" s="1">
        <f>'Kwh Consumption'!E19*' Kwh area wise $ '!B18</f>
        <v>-31666.600000000002</v>
      </c>
      <c r="G18" s="1">
        <f>('Kwh Consumption'!F19+'Kwh Consumption'!G19+'Kwh Consumption'!H19)*' Kwh area wise $ '!B18</f>
        <v>-123390.40000000001</v>
      </c>
      <c r="H18" s="16">
        <f>('Kwh Consumption'!I19+'Kwh Consumption'!J19)*' Kwh area wise $ '!B18</f>
        <v>-37301.600000000006</v>
      </c>
      <c r="I18" s="1">
        <f>('Kwh Consumption'!K19+'Kwh Consumption'!L19)*' Kwh area wise $ '!B18</f>
        <v>-166898.20000000001</v>
      </c>
      <c r="J18" s="1">
        <f>('Kwh Consumption'!M19+'Kwh Consumption'!N19+'Kwh Consumption'!O19+'Kwh Consumption'!P19+'Kwh Consumption'!Q19+'Kwh Consumption'!R19)*' Kwh area wise $ '!B18</f>
        <v>-471786.00000000006</v>
      </c>
      <c r="K18" s="1">
        <f>('Kwh Consumption'!S19+'Kwh Consumption'!T19)*' Kwh area wise $ '!B18</f>
        <v>-2181163.5538000003</v>
      </c>
      <c r="L18" s="1">
        <f>'Kwh Consumption'!U19*' Kwh area wise $ '!B18</f>
        <v>-20720.000000000004</v>
      </c>
      <c r="M18" s="1">
        <f>'Kwh Consumption'!V19*' Kwh area wise $ '!B18</f>
        <v>3419043.5538000003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48507.199999999953</v>
      </c>
      <c r="D34" s="75">
        <f t="shared" si="0"/>
        <v>-57072.400000000009</v>
      </c>
      <c r="E34" s="75">
        <f t="shared" si="0"/>
        <v>-323134.00000000006</v>
      </c>
      <c r="F34" s="75">
        <f t="shared" si="0"/>
        <v>-31196.200000000004</v>
      </c>
      <c r="G34" s="75">
        <f t="shared" si="0"/>
        <v>-122165.40000000001</v>
      </c>
      <c r="H34" s="75">
        <f t="shared" si="0"/>
        <v>-36397.200000000004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-2169230.3878000006</v>
      </c>
      <c r="L34" s="75">
        <f t="shared" si="0"/>
        <v>-20165.600000000002</v>
      </c>
      <c r="M34" s="75">
        <f>SUM(M3:M33)</f>
        <v>3432784.9878000002</v>
      </c>
      <c r="N34" s="84">
        <f>D34+E34+F34+G34+H34+I34+J34+K34+L34+M34</f>
        <v>48507.199999999255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8" sqref="R1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123131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123604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123927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>
        <v>163126</v>
      </c>
      <c r="C14" s="56">
        <v>124130</v>
      </c>
      <c r="D14" s="55">
        <v>206514</v>
      </c>
      <c r="E14" s="55">
        <v>246698</v>
      </c>
      <c r="F14" s="55">
        <v>66914</v>
      </c>
      <c r="G14" s="55">
        <v>111326</v>
      </c>
      <c r="H14" s="33">
        <v>51856</v>
      </c>
      <c r="I14" s="55">
        <v>63216</v>
      </c>
      <c r="J14" s="55">
        <v>19924</v>
      </c>
      <c r="K14" s="55">
        <v>1024</v>
      </c>
      <c r="L14" s="55">
        <v>17107</v>
      </c>
      <c r="M14" s="55">
        <v>23888</v>
      </c>
      <c r="N14" s="55">
        <v>7140</v>
      </c>
      <c r="O14" s="55">
        <v>1652</v>
      </c>
      <c r="P14" s="55">
        <v>26863</v>
      </c>
      <c r="Q14" s="33">
        <v>544</v>
      </c>
      <c r="R14" s="55">
        <v>6147</v>
      </c>
    </row>
    <row r="15" spans="1:21" x14ac:dyDescent="0.25">
      <c r="A15" s="54">
        <v>44360</v>
      </c>
      <c r="B15" s="33">
        <v>164135</v>
      </c>
      <c r="C15" s="33">
        <v>124437</v>
      </c>
      <c r="D15" s="55">
        <v>206612</v>
      </c>
      <c r="E15" s="55">
        <v>246756</v>
      </c>
      <c r="F15" s="55">
        <v>66915</v>
      </c>
      <c r="G15" s="55">
        <v>111340</v>
      </c>
      <c r="H15" s="33">
        <v>51921</v>
      </c>
      <c r="I15" s="55">
        <v>63243</v>
      </c>
      <c r="J15" s="55">
        <v>19941</v>
      </c>
      <c r="K15" s="55">
        <v>1024</v>
      </c>
      <c r="L15" s="55">
        <v>17113</v>
      </c>
      <c r="M15" s="55">
        <v>23902</v>
      </c>
      <c r="N15" s="55">
        <v>7152</v>
      </c>
      <c r="O15" s="55">
        <v>1652</v>
      </c>
      <c r="P15" s="55">
        <v>26879</v>
      </c>
      <c r="Q15" s="33">
        <v>551</v>
      </c>
      <c r="R15" s="55">
        <v>6153</v>
      </c>
      <c r="T15" s="110"/>
      <c r="U15" s="110"/>
    </row>
    <row r="16" spans="1:21" x14ac:dyDescent="0.25">
      <c r="A16" s="54">
        <v>44361</v>
      </c>
      <c r="B16" s="33">
        <v>164329</v>
      </c>
      <c r="C16" s="56">
        <v>124493</v>
      </c>
      <c r="D16" s="55">
        <v>206833</v>
      </c>
      <c r="E16" s="55">
        <v>246819</v>
      </c>
      <c r="F16" s="55">
        <v>66916</v>
      </c>
      <c r="G16" s="55">
        <v>111358</v>
      </c>
      <c r="H16" s="33">
        <v>51907</v>
      </c>
      <c r="I16" s="55">
        <v>63278</v>
      </c>
      <c r="J16" s="55">
        <v>19960</v>
      </c>
      <c r="K16" s="55">
        <v>1024</v>
      </c>
      <c r="L16" s="55">
        <v>17121</v>
      </c>
      <c r="M16" s="55">
        <v>23915</v>
      </c>
      <c r="N16" s="55">
        <v>7166</v>
      </c>
      <c r="O16" s="55">
        <v>1653</v>
      </c>
      <c r="P16" s="55">
        <v>26891</v>
      </c>
      <c r="Q16" s="33">
        <v>556</v>
      </c>
      <c r="R16" s="55">
        <v>6158</v>
      </c>
    </row>
    <row r="17" spans="1:22" x14ac:dyDescent="0.25">
      <c r="A17" s="54">
        <v>44362</v>
      </c>
      <c r="B17" s="33">
        <v>164560</v>
      </c>
      <c r="C17" s="33">
        <v>124160</v>
      </c>
      <c r="D17" s="55">
        <v>206953</v>
      </c>
      <c r="E17" s="55">
        <v>246873</v>
      </c>
      <c r="F17" s="55">
        <v>66917</v>
      </c>
      <c r="G17" s="55">
        <v>111373</v>
      </c>
      <c r="H17" s="33">
        <v>52048</v>
      </c>
      <c r="I17" s="55">
        <v>63304</v>
      </c>
      <c r="J17" s="55">
        <v>19978</v>
      </c>
      <c r="K17" s="55">
        <v>1024</v>
      </c>
      <c r="L17" s="55">
        <v>17127</v>
      </c>
      <c r="M17" s="55">
        <v>23928</v>
      </c>
      <c r="N17" s="55">
        <v>7176</v>
      </c>
      <c r="O17" s="55">
        <v>1654</v>
      </c>
      <c r="P17" s="55">
        <v>26901</v>
      </c>
      <c r="Q17" s="33">
        <v>562</v>
      </c>
      <c r="R17" s="55">
        <v>6161</v>
      </c>
    </row>
    <row r="18" spans="1:22" x14ac:dyDescent="0.25">
      <c r="A18" s="54">
        <v>44363</v>
      </c>
      <c r="B18" s="33">
        <v>164877</v>
      </c>
      <c r="C18" s="56">
        <v>124468</v>
      </c>
      <c r="D18" s="55">
        <v>207095</v>
      </c>
      <c r="E18" s="55">
        <v>246932</v>
      </c>
      <c r="F18" s="55">
        <v>66918</v>
      </c>
      <c r="G18" s="55">
        <v>111388</v>
      </c>
      <c r="H18" s="33">
        <v>52143</v>
      </c>
      <c r="I18" s="55">
        <v>63329</v>
      </c>
      <c r="J18" s="33">
        <v>19996</v>
      </c>
      <c r="K18" s="55">
        <v>1024</v>
      </c>
      <c r="L18" s="55">
        <v>17133</v>
      </c>
      <c r="M18" s="55">
        <v>23944</v>
      </c>
      <c r="N18" s="55">
        <v>7187</v>
      </c>
      <c r="O18" s="55">
        <v>1655</v>
      </c>
      <c r="P18" s="55">
        <v>26915</v>
      </c>
      <c r="Q18" s="33">
        <v>563</v>
      </c>
      <c r="R18" s="55">
        <v>6165</v>
      </c>
      <c r="U18" s="110"/>
    </row>
    <row r="19" spans="1:22" x14ac:dyDescent="0.25">
      <c r="A19" s="54">
        <v>44364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44365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44366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44367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44368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2" sqref="C1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595</v>
      </c>
      <c r="D10" s="67">
        <f t="shared" si="2"/>
        <v>1.894904458598726</v>
      </c>
      <c r="E10" s="88">
        <f>'Water Reading'!H10-'Water Reading'!H9</f>
        <v>81</v>
      </c>
      <c r="F10" s="89">
        <f t="shared" si="3"/>
        <v>0.13613445378151259</v>
      </c>
      <c r="G10" s="93">
        <f>('Water Reading'!D10-'Water Reading'!D9)-('Water Reading'!R10-'Water Reading'!R9)-('Water Reading'!Q10-'Water Reading'!Q9)</f>
        <v>166</v>
      </c>
      <c r="H10" s="89">
        <f t="shared" si="4"/>
        <v>0.27899159663865547</v>
      </c>
      <c r="I10" s="90">
        <f>'Water Reading'!P10-'Water Reading'!P9</f>
        <v>7</v>
      </c>
      <c r="J10" s="68">
        <f t="shared" si="5"/>
        <v>1.1764705882352941E-2</v>
      </c>
      <c r="K10" s="91">
        <f>('Water Reading'!I10-'Water Reading'!I9)-('Water Reading'!P10-'Water Reading'!P9)</f>
        <v>14</v>
      </c>
      <c r="L10" s="68">
        <f t="shared" si="6"/>
        <v>2.3529411764705882E-2</v>
      </c>
      <c r="M10" s="90">
        <f>'Water Reading'!R10-'Water Reading'!R9</f>
        <v>4</v>
      </c>
      <c r="N10" s="92">
        <f t="shared" si="7"/>
        <v>6.7226890756302525E-3</v>
      </c>
      <c r="O10" s="90">
        <f>'Water Reading'!Q10-'Water Reading'!Q9</f>
        <v>6</v>
      </c>
      <c r="P10" s="99">
        <f t="shared" si="8"/>
        <v>1.0084033613445379E-2</v>
      </c>
      <c r="Q10" s="91">
        <f>'Water Reading'!F10-'Water Reading'!F9</f>
        <v>1</v>
      </c>
      <c r="R10" s="100">
        <f t="shared" si="9"/>
        <v>1.6806722689075631E-3</v>
      </c>
      <c r="S10" s="90">
        <f>'Water Reading'!E10-'Water Reading'!E9</f>
        <v>72</v>
      </c>
      <c r="T10" s="100">
        <f t="shared" si="10"/>
        <v>0.12100840336134454</v>
      </c>
      <c r="U10" s="90">
        <f>'Water Reading'!G10-'Water Reading'!G9</f>
        <v>13</v>
      </c>
      <c r="V10" s="100">
        <f t="shared" si="11"/>
        <v>2.1848739495798318E-2</v>
      </c>
      <c r="W10" s="90">
        <f>'Water Reading'!J10-'Water Reading'!J9</f>
        <v>16</v>
      </c>
      <c r="X10" s="100">
        <f t="shared" si="12"/>
        <v>2.689075630252101E-2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645</v>
      </c>
      <c r="D11" s="67">
        <f t="shared" si="2"/>
        <v>1.6666666666666667</v>
      </c>
      <c r="E11" s="88">
        <f>'Water Reading'!H11-'Water Reading'!H10</f>
        <v>67</v>
      </c>
      <c r="F11" s="89">
        <f t="shared" si="3"/>
        <v>0.10387596899224806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0.32868217054263565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1.2403100775193798E-2</v>
      </c>
      <c r="M11" s="90">
        <f>'Water Reading'!R11-'Water Reading'!R10</f>
        <v>3</v>
      </c>
      <c r="N11" s="92">
        <f t="shared" si="7"/>
        <v>4.6511627906976744E-3</v>
      </c>
      <c r="O11" s="98">
        <f>'Water Reading'!Q11-'Water Reading'!Q10</f>
        <v>1</v>
      </c>
      <c r="P11" s="99">
        <f t="shared" si="8"/>
        <v>1.5503875968992248E-3</v>
      </c>
      <c r="Q11" s="91">
        <f>'Water Reading'!F11-'Water Reading'!F10</f>
        <v>1</v>
      </c>
      <c r="R11" s="100">
        <f t="shared" si="9"/>
        <v>1.5503875968992248E-3</v>
      </c>
      <c r="S11" s="90">
        <f>'Water Reading'!E11-'Water Reading'!E10</f>
        <v>68</v>
      </c>
      <c r="T11" s="100">
        <f t="shared" si="10"/>
        <v>0.10542635658914729</v>
      </c>
      <c r="U11" s="90">
        <f>'Water Reading'!G11-'Water Reading'!G10</f>
        <v>12</v>
      </c>
      <c r="V11" s="100">
        <f t="shared" si="11"/>
        <v>1.8604651162790697E-2</v>
      </c>
      <c r="W11" s="90">
        <f>'Water Reading'!J11-'Water Reading'!J10</f>
        <v>16</v>
      </c>
      <c r="X11" s="100">
        <f t="shared" si="12"/>
        <v>2.4806201550387597E-2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344</v>
      </c>
      <c r="D12" s="67">
        <f t="shared" si="2"/>
        <v>1.3543307086614174</v>
      </c>
      <c r="E12" s="88">
        <f>'Water Reading'!H12-'Water Reading'!H11</f>
        <v>59</v>
      </c>
      <c r="F12" s="89">
        <f t="shared" si="3"/>
        <v>0.17151162790697674</v>
      </c>
      <c r="G12" s="93">
        <f>('Water Reading'!D12-'Water Reading'!D11)-('Water Reading'!R12-'Water Reading'!R11)-('Water Reading'!Q12-'Water Reading'!Q11)</f>
        <v>148</v>
      </c>
      <c r="H12" s="89">
        <f t="shared" si="4"/>
        <v>0.43023255813953487</v>
      </c>
      <c r="I12" s="90">
        <f>'Water Reading'!P12-'Water Reading'!P11</f>
        <v>15</v>
      </c>
      <c r="J12" s="68">
        <f t="shared" si="5"/>
        <v>4.3604651162790699E-2</v>
      </c>
      <c r="K12" s="91">
        <f>('Water Reading'!I12-'Water Reading'!I11)-('Water Reading'!P12-'Water Reading'!P11)</f>
        <v>10</v>
      </c>
      <c r="L12" s="68">
        <f t="shared" si="6"/>
        <v>2.9069767441860465E-2</v>
      </c>
      <c r="M12" s="90">
        <f>'Water Reading'!R12-'Water Reading'!R11</f>
        <v>4</v>
      </c>
      <c r="N12" s="92">
        <f t="shared" si="7"/>
        <v>1.1627906976744186E-2</v>
      </c>
      <c r="O12" s="98">
        <f>'Water Reading'!Q12-'Water Reading'!Q11</f>
        <v>5</v>
      </c>
      <c r="P12" s="99">
        <f t="shared" si="8"/>
        <v>1.4534883720930232E-2</v>
      </c>
      <c r="Q12" s="91">
        <f>'Water Reading'!F12-'Water Reading'!F11</f>
        <v>1</v>
      </c>
      <c r="R12" s="100">
        <f t="shared" si="9"/>
        <v>2.9069767441860465E-3</v>
      </c>
      <c r="S12" s="90">
        <f>'Water Reading'!E12-'Water Reading'!E11</f>
        <v>65</v>
      </c>
      <c r="T12" s="100">
        <f t="shared" si="10"/>
        <v>0.18895348837209303</v>
      </c>
      <c r="U12" s="90">
        <f>'Water Reading'!G12-'Water Reading'!G11</f>
        <v>13</v>
      </c>
      <c r="V12" s="100">
        <f t="shared" si="11"/>
        <v>3.7790697674418602E-2</v>
      </c>
      <c r="W12" s="90">
        <f>'Water Reading'!J12-'Water Reading'!J11</f>
        <v>17</v>
      </c>
      <c r="X12" s="100">
        <f t="shared" si="12"/>
        <v>4.9418604651162788E-2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257</v>
      </c>
      <c r="C14" s="66">
        <f>('Water Reading'!B14-'Water Reading'!B13)+('Water Reading'!C14-'Water Reading'!C13)</f>
        <v>294</v>
      </c>
      <c r="D14" s="67">
        <f t="shared" si="2"/>
        <v>1.1439688715953307</v>
      </c>
      <c r="E14" s="88">
        <f>'Water Reading'!H14-'Water Reading'!H13</f>
        <v>63</v>
      </c>
      <c r="F14" s="89">
        <f t="shared" si="3"/>
        <v>0.21428571428571427</v>
      </c>
      <c r="G14" s="93">
        <f>('Water Reading'!D14-'Water Reading'!D13)-('Water Reading'!R14-'Water Reading'!R13)-('Water Reading'!Q14-'Water Reading'!Q13)</f>
        <v>111</v>
      </c>
      <c r="H14" s="89">
        <f t="shared" si="4"/>
        <v>0.37755102040816324</v>
      </c>
      <c r="I14" s="90">
        <f>'Water Reading'!P14-'Water Reading'!P13</f>
        <v>4</v>
      </c>
      <c r="J14" s="68">
        <f t="shared" si="5"/>
        <v>1.3605442176870748E-2</v>
      </c>
      <c r="K14" s="91">
        <f>('Water Reading'!I14-'Water Reading'!I13)-('Water Reading'!P14-'Water Reading'!P13)</f>
        <v>15</v>
      </c>
      <c r="L14" s="68">
        <f t="shared" si="6"/>
        <v>5.1020408163265307E-2</v>
      </c>
      <c r="M14" s="90">
        <f>'Water Reading'!R14-'Water Reading'!R13</f>
        <v>1</v>
      </c>
      <c r="N14" s="92">
        <f t="shared" si="7"/>
        <v>3.4013605442176869E-3</v>
      </c>
      <c r="O14" s="90">
        <f>'Water Reading'!Q14-'Water Reading'!Q13</f>
        <v>2</v>
      </c>
      <c r="P14" s="99">
        <f t="shared" si="8"/>
        <v>6.8027210884353739E-3</v>
      </c>
      <c r="Q14" s="91">
        <f>'Water Reading'!F14-'Water Reading'!F13</f>
        <v>1</v>
      </c>
      <c r="R14" s="100">
        <f t="shared" si="9"/>
        <v>3.4013605442176869E-3</v>
      </c>
      <c r="S14" s="94">
        <f>'Water Reading'!E14-'Water Reading'!E13</f>
        <v>62</v>
      </c>
      <c r="T14" s="100">
        <f t="shared" si="10"/>
        <v>0.21088435374149661</v>
      </c>
      <c r="U14" s="90">
        <f>'Water Reading'!G14-'Water Reading'!G13</f>
        <v>17</v>
      </c>
      <c r="V14" s="100">
        <f t="shared" si="11"/>
        <v>5.7823129251700682E-2</v>
      </c>
      <c r="W14" s="90">
        <f>'Water Reading'!J14-'Water Reading'!J13</f>
        <v>18</v>
      </c>
      <c r="X14" s="100">
        <f t="shared" si="12"/>
        <v>6.1224489795918366E-2</v>
      </c>
      <c r="Y14" s="66">
        <f t="shared" si="0"/>
        <v>294</v>
      </c>
      <c r="Z14" s="67">
        <f t="shared" si="1"/>
        <v>1.1439688715953307</v>
      </c>
    </row>
    <row r="15" spans="1:26" x14ac:dyDescent="0.25">
      <c r="A15" s="8">
        <f>'Water Reading'!A14</f>
        <v>44359</v>
      </c>
      <c r="B15" s="65">
        <f>TOTAL!I13</f>
        <v>273</v>
      </c>
      <c r="C15" s="66">
        <f>('Water Reading'!B15-'Water Reading'!B14)+('Water Reading'!C15-'Water Reading'!C14)</f>
        <v>1316</v>
      </c>
      <c r="D15" s="67">
        <f t="shared" si="2"/>
        <v>4.8205128205128203</v>
      </c>
      <c r="E15" s="87">
        <f>'Water Reading'!H15-'Water Reading'!H14</f>
        <v>65</v>
      </c>
      <c r="F15" s="89">
        <f t="shared" si="3"/>
        <v>4.939209726443769E-2</v>
      </c>
      <c r="G15" s="93">
        <f>('Water Reading'!D15-'Water Reading'!D14)-('Water Reading'!R15-'Water Reading'!R14)-('Water Reading'!Q15-'Water Reading'!Q14)</f>
        <v>85</v>
      </c>
      <c r="H15" s="89">
        <f t="shared" si="4"/>
        <v>6.4589665653495443E-2</v>
      </c>
      <c r="I15" s="90">
        <f>'Water Reading'!P15-'Water Reading'!P14</f>
        <v>16</v>
      </c>
      <c r="J15" s="68">
        <f t="shared" si="5"/>
        <v>1.2158054711246201E-2</v>
      </c>
      <c r="K15" s="91">
        <f>('Water Reading'!I15-'Water Reading'!I14)-('Water Reading'!P15-'Water Reading'!P14)</f>
        <v>11</v>
      </c>
      <c r="L15" s="68">
        <f t="shared" si="6"/>
        <v>8.3586626139817623E-3</v>
      </c>
      <c r="M15" s="90">
        <f>'Water Reading'!R15-'Water Reading'!R14</f>
        <v>6</v>
      </c>
      <c r="N15" s="92">
        <f t="shared" si="7"/>
        <v>4.559270516717325E-3</v>
      </c>
      <c r="O15" s="90">
        <f>'Water Reading'!Q15-'Water Reading'!Q14</f>
        <v>7</v>
      </c>
      <c r="P15" s="99">
        <f t="shared" si="8"/>
        <v>5.3191489361702126E-3</v>
      </c>
      <c r="Q15" s="91">
        <f>'Water Reading'!F15-'Water Reading'!F14</f>
        <v>1</v>
      </c>
      <c r="R15" s="100">
        <f t="shared" si="9"/>
        <v>7.5987841945288754E-4</v>
      </c>
      <c r="S15" s="94">
        <f>'Water Reading'!E15-'Water Reading'!E14</f>
        <v>58</v>
      </c>
      <c r="T15" s="100">
        <f t="shared" si="10"/>
        <v>4.4072948328267476E-2</v>
      </c>
      <c r="U15" s="90">
        <f>'Water Reading'!G15-'Water Reading'!G14</f>
        <v>14</v>
      </c>
      <c r="V15" s="100">
        <f t="shared" si="11"/>
        <v>1.0638297872340425E-2</v>
      </c>
      <c r="W15" s="90">
        <f>'Water Reading'!J15-'Water Reading'!J14</f>
        <v>17</v>
      </c>
      <c r="X15" s="100">
        <f t="shared" si="12"/>
        <v>1.2917933130699088E-2</v>
      </c>
      <c r="Y15" s="66">
        <f t="shared" si="0"/>
        <v>280</v>
      </c>
      <c r="Z15" s="67">
        <f t="shared" si="1"/>
        <v>1.0256410256410255</v>
      </c>
    </row>
    <row r="16" spans="1:26" x14ac:dyDescent="0.25">
      <c r="A16" s="8">
        <f>'Water Reading'!A15</f>
        <v>44360</v>
      </c>
      <c r="B16" s="65">
        <f>TOTAL!I14</f>
        <v>291</v>
      </c>
      <c r="C16" s="66">
        <f>('Water Reading'!B16-'Water Reading'!B15)+('Water Reading'!C16-'Water Reading'!C15)</f>
        <v>250</v>
      </c>
      <c r="D16" s="67">
        <f t="shared" si="2"/>
        <v>0.85910652920962194</v>
      </c>
      <c r="E16" s="87">
        <f>'Water Reading'!H16-'Water Reading'!H15</f>
        <v>-14</v>
      </c>
      <c r="F16" s="89">
        <f t="shared" si="3"/>
        <v>-5.6000000000000001E-2</v>
      </c>
      <c r="G16" s="93">
        <f>('Water Reading'!D16-'Water Reading'!D15)-('Water Reading'!R16-'Water Reading'!R15)-('Water Reading'!Q16-'Water Reading'!Q15)</f>
        <v>211</v>
      </c>
      <c r="H16" s="89">
        <f t="shared" si="4"/>
        <v>0.84399999999999997</v>
      </c>
      <c r="I16" s="90">
        <f>'Water Reading'!P16-'Water Reading'!P15</f>
        <v>12</v>
      </c>
      <c r="J16" s="68">
        <f t="shared" si="5"/>
        <v>4.8000000000000001E-2</v>
      </c>
      <c r="K16" s="91">
        <f>('Water Reading'!I16-'Water Reading'!I15)-('Water Reading'!P16-'Water Reading'!P15)</f>
        <v>23</v>
      </c>
      <c r="L16" s="68">
        <f t="shared" si="6"/>
        <v>9.1999999999999998E-2</v>
      </c>
      <c r="M16" s="90">
        <f>'Water Reading'!R16-'Water Reading'!R15</f>
        <v>5</v>
      </c>
      <c r="N16" s="92">
        <f t="shared" si="7"/>
        <v>0.02</v>
      </c>
      <c r="O16" s="90">
        <f>'Water Reading'!Q16-'Water Reading'!Q15</f>
        <v>5</v>
      </c>
      <c r="P16" s="99">
        <f t="shared" si="8"/>
        <v>0.02</v>
      </c>
      <c r="Q16" s="91">
        <f>'Water Reading'!F16-'Water Reading'!F15</f>
        <v>1</v>
      </c>
      <c r="R16" s="100">
        <f t="shared" si="9"/>
        <v>4.0000000000000001E-3</v>
      </c>
      <c r="S16" s="94">
        <f>'Water Reading'!E16-'Water Reading'!E15</f>
        <v>63</v>
      </c>
      <c r="T16" s="100">
        <f t="shared" si="10"/>
        <v>0.252</v>
      </c>
      <c r="U16" s="90">
        <f>'Water Reading'!G16-'Water Reading'!G15</f>
        <v>18</v>
      </c>
      <c r="V16" s="100">
        <f t="shared" si="11"/>
        <v>7.1999999999999995E-2</v>
      </c>
      <c r="W16" s="90">
        <f>'Water Reading'!J16-'Water Reading'!J15</f>
        <v>19</v>
      </c>
      <c r="X16" s="100">
        <f t="shared" si="12"/>
        <v>7.5999999999999998E-2</v>
      </c>
      <c r="Y16" s="66">
        <f t="shared" si="0"/>
        <v>343</v>
      </c>
      <c r="Z16" s="67">
        <f t="shared" si="1"/>
        <v>1.1786941580756014</v>
      </c>
    </row>
    <row r="17" spans="1:26" x14ac:dyDescent="0.25">
      <c r="A17" s="8">
        <f>'Water Reading'!A16</f>
        <v>44361</v>
      </c>
      <c r="B17" s="65">
        <f>TOTAL!I15</f>
        <v>274</v>
      </c>
      <c r="C17" s="66">
        <f>('Water Reading'!B17-'Water Reading'!B16)+('Water Reading'!C17-'Water Reading'!C16)</f>
        <v>-102</v>
      </c>
      <c r="D17" s="67">
        <f t="shared" si="2"/>
        <v>-0.37226277372262773</v>
      </c>
      <c r="E17" s="87">
        <f>'Water Reading'!H17-'Water Reading'!H16</f>
        <v>141</v>
      </c>
      <c r="F17" s="89">
        <f t="shared" si="3"/>
        <v>-1.3823529411764706</v>
      </c>
      <c r="G17" s="93">
        <f>('Water Reading'!D17-'Water Reading'!D16)-('Water Reading'!R17-'Water Reading'!R16)-('Water Reading'!Q17-'Water Reading'!Q16)</f>
        <v>111</v>
      </c>
      <c r="H17" s="89">
        <f t="shared" si="4"/>
        <v>-1.088235294117647</v>
      </c>
      <c r="I17" s="90">
        <f>'Water Reading'!P17-'Water Reading'!P16</f>
        <v>10</v>
      </c>
      <c r="J17" s="68">
        <f t="shared" si="5"/>
        <v>-9.8039215686274508E-2</v>
      </c>
      <c r="K17" s="91">
        <f>('Water Reading'!I17-'Water Reading'!I16)-('Water Reading'!P17-'Water Reading'!P16)</f>
        <v>16</v>
      </c>
      <c r="L17" s="68">
        <f t="shared" si="6"/>
        <v>-0.15686274509803921</v>
      </c>
      <c r="M17" s="90">
        <f>'Water Reading'!R17-'Water Reading'!R16</f>
        <v>3</v>
      </c>
      <c r="N17" s="92">
        <f t="shared" si="7"/>
        <v>-2.9411764705882353E-2</v>
      </c>
      <c r="O17" s="90">
        <f>'Water Reading'!Q17-'Water Reading'!Q16</f>
        <v>6</v>
      </c>
      <c r="P17" s="99">
        <f t="shared" si="8"/>
        <v>-5.8823529411764705E-2</v>
      </c>
      <c r="Q17" s="91">
        <f>'Water Reading'!F17-'Water Reading'!F16</f>
        <v>1</v>
      </c>
      <c r="R17" s="100">
        <f t="shared" si="9"/>
        <v>-9.8039215686274508E-3</v>
      </c>
      <c r="S17" s="94">
        <f>'Water Reading'!E17-'Water Reading'!E16</f>
        <v>54</v>
      </c>
      <c r="T17" s="100">
        <f t="shared" si="10"/>
        <v>-0.52941176470588236</v>
      </c>
      <c r="U17" s="90">
        <f>'Water Reading'!G17-'Water Reading'!G16</f>
        <v>15</v>
      </c>
      <c r="V17" s="100">
        <f t="shared" si="11"/>
        <v>-0.14705882352941177</v>
      </c>
      <c r="W17" s="90">
        <f>'Water Reading'!J17-'Water Reading'!J16</f>
        <v>18</v>
      </c>
      <c r="X17" s="100">
        <f t="shared" si="12"/>
        <v>-0.17647058823529413</v>
      </c>
      <c r="Y17" s="66">
        <f t="shared" si="0"/>
        <v>375</v>
      </c>
      <c r="Z17" s="67">
        <f t="shared" si="1"/>
        <v>1.3686131386861313</v>
      </c>
    </row>
    <row r="18" spans="1:26" x14ac:dyDescent="0.25">
      <c r="A18" s="8">
        <f>'Water Reading'!A17</f>
        <v>44362</v>
      </c>
      <c r="B18" s="65">
        <f>TOTAL!I16</f>
        <v>329</v>
      </c>
      <c r="C18" s="66">
        <f>('Water Reading'!B18-'Water Reading'!B17)+('Water Reading'!C18-'Water Reading'!C17)</f>
        <v>625</v>
      </c>
      <c r="D18" s="67">
        <f t="shared" si="2"/>
        <v>1.8996960486322187</v>
      </c>
      <c r="E18" s="87">
        <f>'Water Reading'!H18-'Water Reading'!H17</f>
        <v>95</v>
      </c>
      <c r="F18" s="89">
        <f t="shared" si="3"/>
        <v>0.152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0.21920000000000001</v>
      </c>
      <c r="I18" s="90">
        <f>'Water Reading'!P18-'Water Reading'!P17</f>
        <v>14</v>
      </c>
      <c r="J18" s="68">
        <f t="shared" si="5"/>
        <v>2.24E-2</v>
      </c>
      <c r="K18" s="91">
        <f>('Water Reading'!I18-'Water Reading'!I17)-('Water Reading'!P18-'Water Reading'!P17)</f>
        <v>11</v>
      </c>
      <c r="L18" s="68">
        <f t="shared" si="6"/>
        <v>1.7600000000000001E-2</v>
      </c>
      <c r="M18" s="90">
        <f>'Water Reading'!R18-'Water Reading'!R17</f>
        <v>4</v>
      </c>
      <c r="N18" s="92">
        <f t="shared" si="7"/>
        <v>6.4000000000000003E-3</v>
      </c>
      <c r="O18" s="90">
        <f>'Water Reading'!Q18-'Water Reading'!Q17</f>
        <v>1</v>
      </c>
      <c r="P18" s="99">
        <f t="shared" si="8"/>
        <v>1.6000000000000001E-3</v>
      </c>
      <c r="Q18" s="91">
        <f>'Water Reading'!F18-'Water Reading'!F17</f>
        <v>1</v>
      </c>
      <c r="R18" s="100">
        <f t="shared" si="9"/>
        <v>1.6000000000000001E-3</v>
      </c>
      <c r="S18" s="94">
        <f>'Water Reading'!E18-'Water Reading'!E17</f>
        <v>59</v>
      </c>
      <c r="T18" s="100">
        <f t="shared" si="10"/>
        <v>9.4399999999999998E-2</v>
      </c>
      <c r="U18" s="90">
        <f>'Water Reading'!G18-'Water Reading'!G17</f>
        <v>15</v>
      </c>
      <c r="V18" s="100">
        <f t="shared" si="11"/>
        <v>2.4E-2</v>
      </c>
      <c r="W18" s="90">
        <f>'Water Reading'!J18-'Water Reading'!J17</f>
        <v>18</v>
      </c>
      <c r="X18" s="100">
        <f t="shared" si="12"/>
        <v>2.8799999999999999E-2</v>
      </c>
      <c r="Y18" s="66">
        <f t="shared" si="0"/>
        <v>355</v>
      </c>
      <c r="Z18" s="67">
        <f t="shared" si="1"/>
        <v>1.0790273556231003</v>
      </c>
    </row>
    <row r="19" spans="1:26" x14ac:dyDescent="0.25">
      <c r="A19" s="8">
        <f>'Water Reading'!A18</f>
        <v>44363</v>
      </c>
      <c r="B19" s="65">
        <f>TOTAL!I17</f>
        <v>0</v>
      </c>
      <c r="C19" s="66">
        <f>('Water Reading'!B19-'Water Reading'!B18)+('Water Reading'!C19-'Water Reading'!C18)</f>
        <v>-289345</v>
      </c>
      <c r="D19" s="67" t="e">
        <f t="shared" si="2"/>
        <v>#DIV/0!</v>
      </c>
      <c r="E19" s="87">
        <f>'Water Reading'!H19-'Water Reading'!H18</f>
        <v>-52143</v>
      </c>
      <c r="F19" s="89">
        <f t="shared" si="3"/>
        <v>0.1802104753840571</v>
      </c>
      <c r="G19" s="93">
        <f>('Water Reading'!D19-'Water Reading'!D18)-('Water Reading'!R19-'Water Reading'!R18)-('Water Reading'!Q19-'Water Reading'!Q18)</f>
        <v>-200367</v>
      </c>
      <c r="H19" s="89">
        <f t="shared" si="4"/>
        <v>0.69248475003888088</v>
      </c>
      <c r="I19" s="90">
        <f>'Water Reading'!P19-'Water Reading'!P18</f>
        <v>-26915</v>
      </c>
      <c r="J19" s="68">
        <f t="shared" si="5"/>
        <v>9.3020442724083705E-2</v>
      </c>
      <c r="K19" s="91">
        <f>('Water Reading'!I19-'Water Reading'!I18)-('Water Reading'!P19-'Water Reading'!P18)</f>
        <v>-36414</v>
      </c>
      <c r="L19" s="68">
        <f t="shared" si="6"/>
        <v>0.12584976412241441</v>
      </c>
      <c r="M19" s="90">
        <f>'Water Reading'!R19-'Water Reading'!R18</f>
        <v>-6165</v>
      </c>
      <c r="N19" s="92">
        <f t="shared" si="7"/>
        <v>2.1306744543710794E-2</v>
      </c>
      <c r="O19" s="90">
        <f>'Water Reading'!Q19-'Water Reading'!Q18</f>
        <v>-563</v>
      </c>
      <c r="P19" s="99">
        <f t="shared" si="8"/>
        <v>1.945774075930118E-3</v>
      </c>
      <c r="Q19" s="91">
        <f>'Water Reading'!F19-'Water Reading'!F18</f>
        <v>-66918</v>
      </c>
      <c r="R19" s="100">
        <f t="shared" si="9"/>
        <v>0.23127408457032261</v>
      </c>
      <c r="S19" s="94">
        <f>'Water Reading'!E19-'Water Reading'!E18</f>
        <v>-246932</v>
      </c>
      <c r="T19" s="100">
        <f t="shared" si="10"/>
        <v>0.85341720091931772</v>
      </c>
      <c r="U19" s="90">
        <f>'Water Reading'!G19-'Water Reading'!G18</f>
        <v>-111388</v>
      </c>
      <c r="V19" s="100">
        <f t="shared" si="11"/>
        <v>0.38496604399592182</v>
      </c>
      <c r="W19" s="90">
        <f>'Water Reading'!J19-'Water Reading'!J18</f>
        <v>-19996</v>
      </c>
      <c r="X19" s="100">
        <f t="shared" si="12"/>
        <v>6.9107812472999366E-2</v>
      </c>
      <c r="Y19" s="66">
        <f t="shared" si="0"/>
        <v>-767801</v>
      </c>
      <c r="Z19" s="67" t="e">
        <f t="shared" si="1"/>
        <v>#DIV/0!</v>
      </c>
    </row>
    <row r="20" spans="1:26" x14ac:dyDescent="0.25">
      <c r="A20" s="8">
        <f>'Water Reading'!A19</f>
        <v>44364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44365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44366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44367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4838</v>
      </c>
      <c r="C35" s="75">
        <f>SUM(C4:C34)</f>
        <v>-282428</v>
      </c>
      <c r="D35" s="96">
        <f>C35/B35</f>
        <v>-58.377015295576683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-157.5816453079785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2021-06-16T04:24:13Z</dcterms:modified>
  <cp:category/>
  <cp:contentStatus/>
</cp:coreProperties>
</file>