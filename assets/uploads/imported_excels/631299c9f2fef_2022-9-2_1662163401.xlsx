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HEP Daily Report 2022\"/>
    </mc:Choice>
  </mc:AlternateContent>
  <xr:revisionPtr revIDLastSave="141" documentId="11_BAA942FCA7BEAABB974CAE7280EFB50BD3AD1A25" xr6:coauthVersionLast="47" xr6:coauthVersionMax="47" xr10:uidLastSave="{328970EB-203F-4879-A5C1-D63ECB0088DE}"/>
  <bookViews>
    <workbookView xWindow="0" yWindow="0" windowWidth="28800" windowHeight="12435" tabRatio="762" firstSheet="1" activeTab="1" xr2:uid="{00000000-000D-0000-FFFF-FFFF00000000}"/>
  </bookViews>
  <sheets>
    <sheet name="TOTAL" sheetId="11" r:id="rId1"/>
    <sheet name="FS Jimbaran Aug 2022" sheetId="14" r:id="rId2"/>
    <sheet name="RNs &amp; Covers Aug 2022" sheetId="10" r:id="rId3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A48" i="14" l="1"/>
  <c r="I12" i="14"/>
  <c r="N12" i="14"/>
  <c r="O12" i="14"/>
  <c r="P12" i="14"/>
  <c r="V12" i="14"/>
  <c r="AA12" i="14"/>
  <c r="AB12" i="14"/>
  <c r="AG12" i="14"/>
  <c r="I13" i="14"/>
  <c r="N13" i="14"/>
  <c r="O13" i="14"/>
  <c r="P13" i="14"/>
  <c r="V13" i="14"/>
  <c r="AA13" i="14"/>
  <c r="AB13" i="14"/>
  <c r="AG13" i="14"/>
  <c r="Y46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AG32" i="14"/>
  <c r="AG33" i="14"/>
  <c r="AG34" i="14"/>
  <c r="AG35" i="14"/>
  <c r="AG36" i="14"/>
  <c r="AG37" i="14"/>
  <c r="AG38" i="14"/>
  <c r="AG39" i="14"/>
  <c r="AG40" i="14"/>
  <c r="AG41" i="14"/>
  <c r="AG42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AL13" i="14" l="1"/>
  <c r="AL14" i="14"/>
  <c r="AL15" i="14"/>
  <c r="AL16" i="14"/>
  <c r="AL17" i="14"/>
  <c r="AL18" i="14"/>
  <c r="AL19" i="14"/>
  <c r="AL20" i="14"/>
  <c r="AL21" i="14"/>
  <c r="AL22" i="14"/>
  <c r="AL23" i="14"/>
  <c r="AL24" i="14"/>
  <c r="AL25" i="14"/>
  <c r="AL26" i="14"/>
  <c r="AL27" i="14"/>
  <c r="AL28" i="14"/>
  <c r="AL29" i="14"/>
  <c r="AL30" i="14"/>
  <c r="AL31" i="14"/>
  <c r="AL32" i="14"/>
  <c r="AL33" i="14"/>
  <c r="AL34" i="14"/>
  <c r="AL35" i="14"/>
  <c r="AL36" i="14"/>
  <c r="AL37" i="14"/>
  <c r="AL38" i="14"/>
  <c r="AL39" i="14"/>
  <c r="AL40" i="14"/>
  <c r="AL41" i="14"/>
  <c r="AL42" i="14"/>
  <c r="AL12" i="14"/>
  <c r="X46" i="14" l="1"/>
  <c r="I46" i="14"/>
  <c r="AI13" i="14" l="1"/>
  <c r="AI14" i="14"/>
  <c r="AI15" i="14"/>
  <c r="AI16" i="14"/>
  <c r="AI17" i="14"/>
  <c r="AI18" i="14"/>
  <c r="AI19" i="14"/>
  <c r="AI20" i="14"/>
  <c r="AI21" i="14"/>
  <c r="AI22" i="14"/>
  <c r="AI23" i="14"/>
  <c r="AI24" i="14"/>
  <c r="AI25" i="14"/>
  <c r="AI26" i="14"/>
  <c r="AI27" i="14"/>
  <c r="AI28" i="14"/>
  <c r="AI29" i="14"/>
  <c r="AI30" i="14"/>
  <c r="AI31" i="14"/>
  <c r="AI32" i="14"/>
  <c r="AI33" i="14"/>
  <c r="AI34" i="14"/>
  <c r="AI35" i="14"/>
  <c r="AI36" i="14"/>
  <c r="AI37" i="14"/>
  <c r="AI38" i="14"/>
  <c r="AI39" i="14"/>
  <c r="AI40" i="14"/>
  <c r="AI41" i="14"/>
  <c r="AI42" i="14"/>
  <c r="AI12" i="14"/>
  <c r="AA17" i="14" l="1"/>
  <c r="AB17" i="14" s="1"/>
  <c r="AA18" i="14"/>
  <c r="AB18" i="14" s="1"/>
  <c r="AA20" i="14"/>
  <c r="AB20" i="14" s="1"/>
  <c r="AA25" i="14"/>
  <c r="AB25" i="14" s="1"/>
  <c r="AA26" i="14"/>
  <c r="AB26" i="14" s="1"/>
  <c r="AA28" i="14"/>
  <c r="AB28" i="14" s="1"/>
  <c r="AA33" i="14"/>
  <c r="AB33" i="14" s="1"/>
  <c r="AA34" i="14"/>
  <c r="AB34" i="14" s="1"/>
  <c r="AA36" i="14"/>
  <c r="AB36" i="14" s="1"/>
  <c r="AA41" i="14"/>
  <c r="AB41" i="14" s="1"/>
  <c r="AA42" i="14"/>
  <c r="AB42" i="14" s="1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V42" i="14"/>
  <c r="AA14" i="14"/>
  <c r="AB14" i="14" s="1"/>
  <c r="AA15" i="14"/>
  <c r="AB15" i="14" s="1"/>
  <c r="AA16" i="14"/>
  <c r="AB16" i="14" s="1"/>
  <c r="AA19" i="14"/>
  <c r="AB19" i="14" s="1"/>
  <c r="AA21" i="14"/>
  <c r="AB21" i="14" s="1"/>
  <c r="AA22" i="14"/>
  <c r="AB22" i="14" s="1"/>
  <c r="AA23" i="14"/>
  <c r="AB23" i="14" s="1"/>
  <c r="AA24" i="14"/>
  <c r="AB24" i="14" s="1"/>
  <c r="AA27" i="14"/>
  <c r="AB27" i="14" s="1"/>
  <c r="AA29" i="14"/>
  <c r="AB29" i="14" s="1"/>
  <c r="AA30" i="14"/>
  <c r="AB30" i="14" s="1"/>
  <c r="AA31" i="14"/>
  <c r="AB31" i="14" s="1"/>
  <c r="AA32" i="14"/>
  <c r="AB32" i="14" s="1"/>
  <c r="AA35" i="14"/>
  <c r="AB35" i="14" s="1"/>
  <c r="AA37" i="14"/>
  <c r="AB37" i="14" s="1"/>
  <c r="AA38" i="14"/>
  <c r="AB38" i="14" s="1"/>
  <c r="AA39" i="14"/>
  <c r="AB39" i="14" s="1"/>
  <c r="AA40" i="14"/>
  <c r="AB40" i="14" s="1"/>
  <c r="V46" i="14" l="1"/>
  <c r="AB46" i="14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2" i="11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O21" i="14"/>
  <c r="O16" i="14"/>
  <c r="O17" i="14"/>
  <c r="O18" i="14"/>
  <c r="O20" i="14"/>
  <c r="O24" i="14"/>
  <c r="O25" i="14"/>
  <c r="O26" i="14"/>
  <c r="O28" i="14"/>
  <c r="O32" i="14"/>
  <c r="O33" i="14"/>
  <c r="O34" i="14"/>
  <c r="O36" i="14"/>
  <c r="O40" i="14"/>
  <c r="O41" i="14"/>
  <c r="O42" i="14"/>
  <c r="O38" i="14" l="1"/>
  <c r="O22" i="14"/>
  <c r="O14" i="14"/>
  <c r="O30" i="14"/>
  <c r="O23" i="14"/>
  <c r="O15" i="14"/>
  <c r="O39" i="14"/>
  <c r="O31" i="14"/>
  <c r="O37" i="14"/>
  <c r="O29" i="14"/>
  <c r="O35" i="14"/>
  <c r="O27" i="14"/>
  <c r="O19" i="14"/>
  <c r="P46" i="14"/>
  <c r="L46" i="14"/>
  <c r="K46" i="14"/>
  <c r="J46" i="14"/>
  <c r="H46" i="14"/>
  <c r="G46" i="14"/>
  <c r="F46" i="14"/>
  <c r="E46" i="14"/>
  <c r="AK46" i="14" l="1"/>
  <c r="AJ46" i="14"/>
  <c r="AH46" i="14"/>
  <c r="AF46" i="14"/>
  <c r="AE46" i="14"/>
  <c r="M46" i="14"/>
  <c r="C46" i="14"/>
  <c r="D46" i="14"/>
  <c r="Z46" i="14"/>
  <c r="W46" i="14"/>
  <c r="AI46" i="14" l="1"/>
  <c r="AL46" i="14"/>
  <c r="AK48" i="14"/>
  <c r="E32" i="11"/>
  <c r="F32" i="11"/>
  <c r="G32" i="11"/>
  <c r="H32" i="11"/>
  <c r="I32" i="11"/>
  <c r="J32" i="11"/>
  <c r="K32" i="11"/>
  <c r="L32" i="11"/>
  <c r="C37" i="10" l="1"/>
  <c r="B37" i="10"/>
  <c r="AG46" i="14" l="1"/>
  <c r="AH48" i="14" s="1"/>
  <c r="N46" i="14" l="1"/>
  <c r="F31" i="11" l="1"/>
  <c r="F30" i="1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K21" i="11"/>
  <c r="K22" i="11"/>
  <c r="K23" i="11"/>
  <c r="K24" i="11"/>
  <c r="K25" i="11"/>
  <c r="K26" i="11"/>
  <c r="K27" i="11"/>
  <c r="K28" i="11"/>
  <c r="K29" i="11"/>
  <c r="AA46" i="14" l="1"/>
  <c r="L29" i="11"/>
  <c r="L27" i="11"/>
  <c r="L25" i="11"/>
  <c r="L23" i="11"/>
  <c r="L21" i="11"/>
  <c r="E23" i="11"/>
  <c r="E24" i="11"/>
  <c r="E25" i="11"/>
  <c r="E26" i="11"/>
  <c r="E27" i="11"/>
  <c r="E28" i="11"/>
  <c r="E29" i="11"/>
  <c r="L28" i="11"/>
  <c r="L26" i="11"/>
  <c r="L24" i="11"/>
  <c r="L22" i="11"/>
  <c r="E21" i="11" l="1"/>
  <c r="E22" i="11"/>
  <c r="F28" i="11"/>
  <c r="F26" i="11"/>
  <c r="F24" i="11"/>
  <c r="F22" i="11"/>
  <c r="F29" i="11"/>
  <c r="F27" i="11"/>
  <c r="F25" i="11"/>
  <c r="F23" i="11"/>
  <c r="F21" i="11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6" i="14"/>
  <c r="J20" i="11"/>
  <c r="I15" i="11"/>
  <c r="K14" i="11"/>
  <c r="I9" i="11"/>
  <c r="I7" i="11"/>
  <c r="K6" i="11"/>
  <c r="K2" i="11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H12" i="11"/>
  <c r="H14" i="11"/>
  <c r="H15" i="11"/>
  <c r="G16" i="11"/>
  <c r="H16" i="11"/>
  <c r="H18" i="11"/>
  <c r="H19" i="11"/>
  <c r="H20" i="11"/>
  <c r="H4" i="11"/>
  <c r="H6" i="11"/>
  <c r="H10" i="11"/>
  <c r="H17" i="11"/>
  <c r="G20" i="11"/>
  <c r="G15" i="11"/>
  <c r="G14" i="11"/>
  <c r="J13" i="11"/>
  <c r="J14" i="11"/>
  <c r="J6" i="11"/>
  <c r="J5" i="11"/>
  <c r="G7" i="11"/>
  <c r="G11" i="11"/>
  <c r="J17" i="11"/>
  <c r="G13" i="11"/>
  <c r="J4" i="11"/>
  <c r="G5" i="11"/>
  <c r="G3" i="11"/>
  <c r="J11" i="11"/>
  <c r="J12" i="11"/>
  <c r="J16" i="11"/>
  <c r="J8" i="11"/>
  <c r="K3" i="11"/>
  <c r="G6" i="11"/>
  <c r="I12" i="11"/>
  <c r="I4" i="11"/>
  <c r="J15" i="11"/>
  <c r="G12" i="11"/>
  <c r="G4" i="11"/>
  <c r="I18" i="11"/>
  <c r="K16" i="11"/>
  <c r="K8" i="11"/>
  <c r="G19" i="11"/>
  <c r="I17" i="11"/>
  <c r="K15" i="11"/>
  <c r="K7" i="11"/>
  <c r="L10" i="11"/>
  <c r="I10" i="11"/>
  <c r="G18" i="11"/>
  <c r="G10" i="11"/>
  <c r="I16" i="11"/>
  <c r="I8" i="11"/>
  <c r="J19" i="11"/>
  <c r="J3" i="11"/>
  <c r="L9" i="11"/>
  <c r="G17" i="11"/>
  <c r="J18" i="11"/>
  <c r="J10" i="11"/>
  <c r="K13" i="11"/>
  <c r="K5" i="11"/>
  <c r="I14" i="11"/>
  <c r="I6" i="11"/>
  <c r="K12" i="11"/>
  <c r="K4" i="11"/>
  <c r="L2" i="11"/>
  <c r="H2" i="11"/>
  <c r="J2" i="11"/>
  <c r="AC46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L14" i="11"/>
  <c r="L12" i="11"/>
  <c r="L18" i="11"/>
  <c r="L4" i="11"/>
  <c r="L20" i="11"/>
  <c r="L19" i="11"/>
  <c r="L8" i="11"/>
  <c r="L15" i="11"/>
  <c r="L13" i="11"/>
  <c r="L16" i="11"/>
  <c r="L7" i="11"/>
  <c r="L17" i="11"/>
  <c r="L5" i="11"/>
  <c r="L11" i="11"/>
  <c r="J9" i="11"/>
  <c r="L3" i="11"/>
  <c r="O46" i="14" l="1"/>
  <c r="P48" i="14" s="1"/>
  <c r="F7" i="11"/>
  <c r="F2" i="11"/>
  <c r="L6" i="11"/>
  <c r="U47" i="14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</calcChain>
</file>

<file path=xl/sharedStrings.xml><?xml version="1.0" encoding="utf-8"?>
<sst xmlns="http://schemas.openxmlformats.org/spreadsheetml/2006/main" count="101" uniqueCount="55">
  <si>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</si>
  <si>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</si>
  <si>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</si>
  <si>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</si>
  <si>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</si>
  <si>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</si>
  <si>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</si>
  <si>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</si>
  <si>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</si>
  <si>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</si>
  <si>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</si>
  <si>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</si>
  <si>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</si>
  <si>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</si>
  <si>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</si>
  <si>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</si>
  <si>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</si>
  <si>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AUGUST 2022</t>
  </si>
  <si>
    <t>Date</t>
  </si>
  <si>
    <t>Room Nights</t>
  </si>
  <si>
    <t>ELECTRICITY Resort &amp; Sundara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</si>
  <si>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</si>
  <si>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</si>
  <si>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</si>
  <si>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</si>
  <si>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</si>
  <si>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</si>
  <si>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</si>
  <si>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</si>
  <si>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</si>
  <si>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</si>
  <si>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</si>
  <si>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</si>
  <si>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</si>
  <si>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</si>
  <si>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</si>
  <si>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</si>
  <si>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</si>
  <si>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</si>
  <si>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</si>
  <si>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</si>
  <si>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</si>
  <si>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</si>
  <si>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</si>
  <si>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</si>
  <si>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</si>
  <si>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</si>
  <si>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</si>
  <si>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</si>
  <si>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</si>
  <si>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</si>
  <si>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</si>
  <si>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</si>
  <si>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kWh rate</t>
  </si>
  <si>
    <t>m3/RNs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</si>
</sst>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&quot;$&quot;#,##0"/>
    <numFmt numFmtId="167" formatCode="_-* #,##0.0_-;\-* #,##0.0_-;_-* &quot;-&quot;??_-;_-@_-"/>
  </numFmts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000000"/>
      <name val="Calibri"/>
      <family val="2"/>
    </font>
    <font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</cellStyleXfs>
  <cellXfs count="278">
    <xf numFmtId="0" fontId="0" fillId="0" borderId="0" xfId="0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/>
    <xf numFmtId="165" fontId="0" fillId="0" borderId="0" xfId="0" applyNumberFormat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164" fontId="0" fillId="3" borderId="0" xfId="0" applyNumberFormat="1" applyFill="1"/>
    <xf numFmtId="165" fontId="4" fillId="0" borderId="0" xfId="2" applyNumberFormat="1" applyFont="1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6" fillId="3" borderId="0" xfId="0" applyNumberFormat="1" applyFont="1" applyFill="1"/>
    <xf numFmtId="166" fontId="0" fillId="0" borderId="21" xfId="2" applyNumberFormat="1" applyFont="1" applyBorder="1"/>
    <xf numFmtId="166" fontId="0" fillId="3" borderId="5" xfId="0" applyNumberFormat="1" applyFill="1" applyBorder="1"/>
    <xf numFmtId="166" fontId="0" fillId="0" borderId="0" xfId="0" applyNumberFormat="1"/>
    <xf numFmtId="0" fontId="0" fillId="0" borderId="13" xfId="0" applyBorder="1" applyAlignment="1">
      <alignment horizontal="center" vertical="center" wrapText="1"/>
    </xf>
    <xf numFmtId="166" fontId="0" fillId="0" borderId="9" xfId="2" applyNumberFormat="1" applyFont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5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6" fontId="0" fillId="0" borderId="26" xfId="0" applyNumberFormat="1" applyBorder="1" applyAlignment="1">
      <alignment horizontal="center" vertical="center" wrapText="1"/>
    </xf>
    <xf numFmtId="166" fontId="0" fillId="0" borderId="43" xfId="0" applyNumberFormat="1" applyBorder="1" applyAlignment="1">
      <alignment horizontal="center" vertical="center" wrapText="1"/>
    </xf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39" xfId="0" applyNumberFormat="1" applyFill="1" applyBorder="1"/>
    <xf numFmtId="165" fontId="1" fillId="0" borderId="39" xfId="0" applyNumberFormat="1" applyFont="1" applyBorder="1"/>
    <xf numFmtId="0" fontId="0" fillId="3" borderId="47" xfId="0" applyFill="1" applyBorder="1"/>
    <xf numFmtId="165" fontId="0" fillId="3" borderId="47" xfId="2" applyNumberFormat="1" applyFont="1" applyFill="1" applyBorder="1"/>
    <xf numFmtId="164" fontId="8" fillId="3" borderId="47" xfId="2" applyFont="1" applyFill="1" applyBorder="1"/>
    <xf numFmtId="165" fontId="8" fillId="3" borderId="47" xfId="2" applyNumberFormat="1" applyFont="1" applyFill="1" applyBorder="1"/>
    <xf numFmtId="164" fontId="0" fillId="3" borderId="47" xfId="0" applyNumberFormat="1" applyFill="1" applyBorder="1"/>
    <xf numFmtId="0" fontId="0" fillId="3" borderId="49" xfId="0" applyFill="1" applyBorder="1"/>
    <xf numFmtId="43" fontId="0" fillId="3" borderId="47" xfId="0" applyNumberFormat="1" applyFill="1" applyBorder="1"/>
    <xf numFmtId="165" fontId="0" fillId="3" borderId="47" xfId="0" applyNumberFormat="1" applyFill="1" applyBorder="1"/>
    <xf numFmtId="165" fontId="0" fillId="0" borderId="47" xfId="2" applyNumberFormat="1" applyFont="1" applyBorder="1"/>
    <xf numFmtId="166" fontId="0" fillId="3" borderId="49" xfId="0" applyNumberFormat="1" applyFill="1" applyBorder="1"/>
    <xf numFmtId="165" fontId="0" fillId="0" borderId="0" xfId="2" applyNumberFormat="1" applyFont="1" applyBorder="1" applyAlignment="1">
      <alignment horizontal="right"/>
    </xf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7" fontId="6" fillId="3" borderId="0" xfId="2" applyNumberFormat="1" applyFont="1" applyFill="1" applyBorder="1" applyAlignment="1"/>
    <xf numFmtId="167" fontId="0" fillId="3" borderId="0" xfId="2" applyNumberFormat="1" applyFont="1" applyFill="1" applyBorder="1"/>
    <xf numFmtId="167" fontId="0" fillId="3" borderId="47" xfId="2" applyNumberFormat="1" applyFont="1" applyFill="1" applyBorder="1"/>
    <xf numFmtId="167" fontId="0" fillId="0" borderId="0" xfId="2" applyNumberFormat="1" applyFont="1" applyBorder="1"/>
    <xf numFmtId="167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5" fontId="9" fillId="0" borderId="53" xfId="2" applyNumberFormat="1" applyFont="1" applyBorder="1" applyAlignment="1">
      <alignment horizontal="center" vertical="center" wrapText="1"/>
    </xf>
    <xf numFmtId="165" fontId="8" fillId="0" borderId="54" xfId="2" applyNumberFormat="1" applyFont="1" applyBorder="1" applyAlignment="1">
      <alignment horizontal="center" vertical="center" wrapText="1"/>
    </xf>
    <xf numFmtId="165" fontId="0" fillId="0" borderId="29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165" fontId="8" fillId="0" borderId="44" xfId="2" applyNumberFormat="1" applyFont="1" applyBorder="1" applyAlignment="1">
      <alignment horizontal="center" vertical="center" wrapText="1"/>
    </xf>
    <xf numFmtId="167" fontId="0" fillId="0" borderId="35" xfId="2" applyNumberFormat="1" applyFont="1" applyBorder="1" applyAlignment="1">
      <alignment horizontal="center" vertical="center" wrapText="1"/>
    </xf>
    <xf numFmtId="167" fontId="4" fillId="0" borderId="0" xfId="2" applyNumberFormat="1" applyFont="1" applyBorder="1"/>
    <xf numFmtId="165" fontId="0" fillId="3" borderId="14" xfId="2" applyNumberFormat="1" applyFont="1" applyFill="1" applyBorder="1"/>
    <xf numFmtId="0" fontId="0" fillId="3" borderId="58" xfId="0" applyFill="1" applyBorder="1"/>
    <xf numFmtId="0" fontId="0" fillId="3" borderId="15" xfId="0" applyFill="1" applyBorder="1"/>
    <xf numFmtId="0" fontId="0" fillId="3" borderId="59" xfId="0" applyFill="1" applyBorder="1"/>
    <xf numFmtId="0" fontId="0" fillId="3" borderId="60" xfId="0" applyFill="1" applyBorder="1"/>
    <xf numFmtId="165" fontId="0" fillId="3" borderId="48" xfId="2" applyNumberFormat="1" applyFont="1" applyFill="1" applyBorder="1"/>
    <xf numFmtId="0" fontId="0" fillId="0" borderId="6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165" fontId="0" fillId="0" borderId="21" xfId="0" applyNumberFormat="1" applyBorder="1"/>
    <xf numFmtId="0" fontId="0" fillId="3" borderId="50" xfId="0" applyFill="1" applyBorder="1"/>
    <xf numFmtId="43" fontId="0" fillId="3" borderId="5" xfId="0" applyNumberFormat="1" applyFill="1" applyBorder="1"/>
    <xf numFmtId="0" fontId="0" fillId="3" borderId="62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0" fontId="0" fillId="3" borderId="52" xfId="0" applyFill="1" applyBorder="1" applyAlignment="1">
      <alignment wrapText="1"/>
    </xf>
    <xf numFmtId="43" fontId="0" fillId="0" borderId="0" xfId="0" applyNumberFormat="1"/>
    <xf numFmtId="167" fontId="0" fillId="0" borderId="41" xfId="2" applyNumberFormat="1" applyFont="1" applyBorder="1" applyAlignment="1">
      <alignment horizontal="center" vertical="center" wrapText="1"/>
    </xf>
    <xf numFmtId="167" fontId="0" fillId="0" borderId="25" xfId="2" applyNumberFormat="1" applyFont="1" applyBorder="1" applyAlignment="1">
      <alignment horizontal="center" vertical="center" wrapText="1"/>
    </xf>
    <xf numFmtId="167" fontId="0" fillId="0" borderId="22" xfId="2" applyNumberFormat="1" applyFont="1" applyBorder="1"/>
    <xf numFmtId="167" fontId="0" fillId="0" borderId="47" xfId="2" applyNumberFormat="1" applyFont="1" applyBorder="1"/>
    <xf numFmtId="164" fontId="5" fillId="0" borderId="0" xfId="2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8" fillId="0" borderId="0" xfId="5" applyFont="1"/>
    <xf numFmtId="9" fontId="0" fillId="0" borderId="0" xfId="0" applyNumberFormat="1"/>
    <xf numFmtId="0" fontId="1" fillId="0" borderId="11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1" fillId="0" borderId="10" xfId="2" applyNumberFormat="1" applyFont="1" applyBorder="1"/>
    <xf numFmtId="164" fontId="0" fillId="3" borderId="49" xfId="0" applyNumberFormat="1" applyFill="1" applyBorder="1"/>
    <xf numFmtId="0" fontId="0" fillId="3" borderId="58" xfId="0" applyFill="1" applyBorder="1" applyAlignment="1">
      <alignment wrapText="1"/>
    </xf>
    <xf numFmtId="0" fontId="7" fillId="3" borderId="58" xfId="4" quotePrefix="1" applyFill="1" applyBorder="1" applyAlignment="1"/>
    <xf numFmtId="165" fontId="19" fillId="0" borderId="0" xfId="2" applyNumberFormat="1" applyFont="1" applyBorder="1"/>
    <xf numFmtId="0" fontId="17" fillId="3" borderId="0" xfId="0" applyFont="1" applyFill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7" fontId="17" fillId="0" borderId="0" xfId="2" applyNumberFormat="1" applyFont="1"/>
    <xf numFmtId="166" fontId="17" fillId="0" borderId="0" xfId="0" applyNumberFormat="1" applyFont="1"/>
    <xf numFmtId="167" fontId="0" fillId="0" borderId="16" xfId="2" applyNumberFormat="1" applyFont="1" applyBorder="1"/>
    <xf numFmtId="167" fontId="0" fillId="0" borderId="14" xfId="2" applyNumberFormat="1" applyFont="1" applyBorder="1"/>
    <xf numFmtId="167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67" fontId="17" fillId="3" borderId="14" xfId="2" applyNumberFormat="1" applyFont="1" applyFill="1" applyBorder="1" applyAlignment="1">
      <alignment vertical="top" wrapText="1"/>
    </xf>
    <xf numFmtId="167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164" fontId="0" fillId="3" borderId="65" xfId="2" applyFont="1" applyFill="1" applyBorder="1"/>
    <xf numFmtId="164" fontId="0" fillId="3" borderId="46" xfId="2" applyFont="1" applyFill="1" applyBorder="1"/>
    <xf numFmtId="164" fontId="0" fillId="3" borderId="45" xfId="2" applyFont="1" applyFill="1" applyBorder="1"/>
    <xf numFmtId="164" fontId="0" fillId="3" borderId="56" xfId="2" applyFont="1" applyFill="1" applyBorder="1"/>
    <xf numFmtId="164" fontId="17" fillId="0" borderId="0" xfId="0" applyNumberFormat="1" applyFont="1"/>
    <xf numFmtId="164" fontId="0" fillId="0" borderId="0" xfId="0" applyNumberFormat="1"/>
    <xf numFmtId="164" fontId="0" fillId="0" borderId="0" xfId="2" applyFont="1" applyBorder="1"/>
    <xf numFmtId="164" fontId="0" fillId="0" borderId="0" xfId="2" applyFont="1" applyBorder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3" borderId="63" xfId="0" applyFill="1" applyBorder="1" applyAlignment="1">
      <alignment wrapText="1"/>
    </xf>
    <xf numFmtId="0" fontId="7" fillId="3" borderId="33" xfId="4" applyFill="1" applyBorder="1" applyAlignment="1">
      <alignment vertical="top" wrapText="1"/>
    </xf>
    <xf numFmtId="164" fontId="0" fillId="3" borderId="66" xfId="2" applyFont="1" applyFill="1" applyBorder="1"/>
    <xf numFmtId="165" fontId="0" fillId="0" borderId="30" xfId="0" applyNumberFormat="1" applyBorder="1"/>
    <xf numFmtId="167" fontId="0" fillId="0" borderId="67" xfId="2" applyNumberFormat="1" applyFont="1" applyBorder="1"/>
    <xf numFmtId="9" fontId="17" fillId="0" borderId="0" xfId="5" applyFont="1"/>
    <xf numFmtId="164" fontId="0" fillId="3" borderId="0" xfId="2" applyFont="1" applyFill="1" applyBorder="1"/>
    <xf numFmtId="0" fontId="0" fillId="0" borderId="68" xfId="0" applyBorder="1" applyAlignment="1">
      <alignment horizontal="center" vertical="center" wrapText="1"/>
    </xf>
    <xf numFmtId="37" fontId="0" fillId="0" borderId="8" xfId="0" applyNumberFormat="1" applyBorder="1"/>
    <xf numFmtId="0" fontId="0" fillId="0" borderId="29" xfId="0" applyBorder="1" applyAlignment="1">
      <alignment horizontal="center" vertical="center" wrapText="1"/>
    </xf>
    <xf numFmtId="1" fontId="0" fillId="0" borderId="9" xfId="2" applyNumberFormat="1" applyFont="1" applyBorder="1"/>
    <xf numFmtId="1" fontId="0" fillId="0" borderId="8" xfId="2" applyNumberFormat="1" applyFont="1" applyBorder="1"/>
    <xf numFmtId="1" fontId="0" fillId="0" borderId="45" xfId="2" applyNumberFormat="1" applyFont="1" applyBorder="1"/>
    <xf numFmtId="1" fontId="2" fillId="0" borderId="45" xfId="2" applyNumberFormat="1" applyFont="1" applyBorder="1"/>
    <xf numFmtId="1" fontId="0" fillId="0" borderId="10" xfId="2" applyNumberFormat="1" applyFont="1" applyBorder="1"/>
    <xf numFmtId="1" fontId="0" fillId="0" borderId="21" xfId="0" applyNumberFormat="1" applyBorder="1"/>
    <xf numFmtId="1" fontId="2" fillId="0" borderId="8" xfId="2" applyNumberFormat="1" applyFont="1" applyBorder="1"/>
    <xf numFmtId="1" fontId="0" fillId="0" borderId="55" xfId="2" applyNumberFormat="1" applyFont="1" applyBorder="1"/>
    <xf numFmtId="1" fontId="0" fillId="0" borderId="29" xfId="2" applyNumberFormat="1" applyFont="1" applyBorder="1"/>
    <xf numFmtId="1" fontId="2" fillId="0" borderId="29" xfId="2" applyNumberFormat="1" applyFont="1" applyBorder="1"/>
    <xf numFmtId="1" fontId="0" fillId="3" borderId="14" xfId="2" applyNumberFormat="1" applyFont="1" applyFill="1" applyBorder="1"/>
    <xf numFmtId="1" fontId="0" fillId="3" borderId="0" xfId="2" applyNumberFormat="1" applyFont="1" applyFill="1" applyBorder="1"/>
    <xf numFmtId="1" fontId="0" fillId="3" borderId="0" xfId="0" applyNumberFormat="1" applyFill="1"/>
    <xf numFmtId="1" fontId="8" fillId="3" borderId="0" xfId="2" applyNumberFormat="1" applyFont="1" applyFill="1" applyBorder="1"/>
    <xf numFmtId="1" fontId="1" fillId="0" borderId="39" xfId="0" applyNumberFormat="1" applyFont="1" applyBorder="1"/>
    <xf numFmtId="1" fontId="9" fillId="6" borderId="23" xfId="2" applyNumberFormat="1" applyFont="1" applyFill="1" applyBorder="1"/>
    <xf numFmtId="1" fontId="1" fillId="6" borderId="23" xfId="2" applyNumberFormat="1" applyFont="1" applyFill="1" applyBorder="1"/>
    <xf numFmtId="1" fontId="1" fillId="0" borderId="23" xfId="2" applyNumberFormat="1" applyFont="1" applyBorder="1"/>
    <xf numFmtId="1" fontId="9" fillId="6" borderId="23" xfId="0" applyNumberFormat="1" applyFont="1" applyFill="1" applyBorder="1"/>
    <xf numFmtId="1" fontId="9" fillId="12" borderId="7" xfId="1" applyNumberFormat="1" applyFont="1" applyFill="1" applyBorder="1"/>
    <xf numFmtId="1" fontId="1" fillId="3" borderId="6" xfId="0" applyNumberFormat="1" applyFont="1" applyFill="1" applyBorder="1"/>
    <xf numFmtId="164" fontId="14" fillId="3" borderId="8" xfId="2" applyFont="1" applyFill="1" applyBorder="1" applyProtection="1">
      <protection locked="0"/>
    </xf>
    <xf numFmtId="1" fontId="0" fillId="0" borderId="32" xfId="0" applyNumberFormat="1" applyBorder="1"/>
    <xf numFmtId="1" fontId="0" fillId="0" borderId="56" xfId="2" applyNumberFormat="1" applyFont="1" applyBorder="1"/>
    <xf numFmtId="1" fontId="2" fillId="0" borderId="56" xfId="2" applyNumberFormat="1" applyFont="1" applyBorder="1"/>
    <xf numFmtId="165" fontId="1" fillId="0" borderId="55" xfId="2" applyNumberFormat="1" applyFont="1" applyBorder="1"/>
    <xf numFmtId="1" fontId="0" fillId="0" borderId="30" xfId="2" applyNumberFormat="1" applyFont="1" applyBorder="1"/>
    <xf numFmtId="165" fontId="0" fillId="0" borderId="32" xfId="0" applyNumberFormat="1" applyBorder="1"/>
    <xf numFmtId="166" fontId="0" fillId="0" borderId="30" xfId="2" applyNumberFormat="1" applyFont="1" applyBorder="1"/>
    <xf numFmtId="1" fontId="4" fillId="0" borderId="0" xfId="0" applyNumberFormat="1" applyFont="1" applyAlignment="1">
      <alignment horizontal="center"/>
    </xf>
    <xf numFmtId="1" fontId="0" fillId="3" borderId="23" xfId="0" applyNumberFormat="1" applyFill="1" applyBorder="1"/>
    <xf numFmtId="1" fontId="0" fillId="3" borderId="23" xfId="2" applyNumberFormat="1" applyFont="1" applyFill="1" applyBorder="1"/>
    <xf numFmtId="1" fontId="1" fillId="12" borderId="7" xfId="0" applyNumberFormat="1" applyFont="1" applyFill="1" applyBorder="1"/>
    <xf numFmtId="164" fontId="0" fillId="0" borderId="67" xfId="2" applyFont="1" applyBorder="1"/>
    <xf numFmtId="166" fontId="0" fillId="0" borderId="32" xfId="2" applyNumberFormat="1" applyFont="1" applyBorder="1"/>
    <xf numFmtId="1" fontId="9" fillId="6" borderId="39" xfId="0" applyNumberFormat="1" applyFont="1" applyFill="1" applyBorder="1"/>
    <xf numFmtId="1" fontId="9" fillId="5" borderId="6" xfId="0" applyNumberFormat="1" applyFont="1" applyFill="1" applyBorder="1"/>
    <xf numFmtId="1" fontId="1" fillId="3" borderId="33" xfId="2" applyNumberFormat="1" applyFont="1" applyFill="1" applyBorder="1"/>
    <xf numFmtId="1" fontId="20" fillId="14" borderId="23" xfId="0" applyNumberFormat="1" applyFont="1" applyFill="1" applyBorder="1"/>
    <xf numFmtId="1" fontId="20" fillId="14" borderId="31" xfId="2" applyNumberFormat="1" applyFont="1" applyFill="1" applyBorder="1"/>
    <xf numFmtId="1" fontId="9" fillId="12" borderId="6" xfId="2" applyNumberFormat="1" applyFont="1" applyFill="1" applyBorder="1"/>
    <xf numFmtId="1" fontId="9" fillId="13" borderId="6" xfId="2" applyNumberFormat="1" applyFont="1" applyFill="1" applyBorder="1"/>
    <xf numFmtId="1" fontId="0" fillId="0" borderId="13" xfId="2" applyNumberFormat="1" applyFont="1" applyBorder="1" applyAlignment="1">
      <alignment horizontal="center" vertical="center" wrapText="1"/>
    </xf>
    <xf numFmtId="0" fontId="11" fillId="11" borderId="69" xfId="0" applyFont="1" applyFill="1" applyBorder="1" applyAlignment="1">
      <alignment horizontal="center" vertical="center" shrinkToFit="1"/>
    </xf>
    <xf numFmtId="1" fontId="0" fillId="0" borderId="70" xfId="2" applyNumberFormat="1" applyFont="1" applyBorder="1"/>
    <xf numFmtId="0" fontId="11" fillId="11" borderId="46" xfId="0" applyFont="1" applyFill="1" applyBorder="1" applyAlignment="1">
      <alignment horizontal="center" vertical="center" shrinkToFit="1"/>
    </xf>
    <xf numFmtId="1" fontId="0" fillId="0" borderId="71" xfId="2" applyNumberFormat="1" applyFont="1" applyBorder="1"/>
    <xf numFmtId="165" fontId="4" fillId="0" borderId="0" xfId="0" applyNumberFormat="1" applyFont="1"/>
    <xf numFmtId="0" fontId="21" fillId="0" borderId="8" xfId="0" applyFont="1" applyBorder="1"/>
    <xf numFmtId="0" fontId="21" fillId="0" borderId="10" xfId="0" applyFont="1" applyBorder="1"/>
    <xf numFmtId="0" fontId="21" fillId="0" borderId="13" xfId="0" applyFont="1" applyBorder="1"/>
    <xf numFmtId="0" fontId="21" fillId="0" borderId="24" xfId="0" applyFont="1" applyBorder="1"/>
    <xf numFmtId="0" fontId="21" fillId="0" borderId="72" xfId="0" applyFont="1" applyBorder="1"/>
    <xf numFmtId="0" fontId="21" fillId="0" borderId="70" xfId="0" applyFont="1" applyBorder="1"/>
    <xf numFmtId="0" fontId="21" fillId="0" borderId="15" xfId="0" applyFont="1" applyBorder="1"/>
    <xf numFmtId="0" fontId="21" fillId="0" borderId="11" xfId="0" applyFont="1" applyBorder="1"/>
    <xf numFmtId="164" fontId="22" fillId="3" borderId="8" xfId="2" applyFont="1" applyFill="1" applyBorder="1" applyProtection="1">
      <protection locked="0"/>
    </xf>
    <xf numFmtId="0" fontId="1" fillId="0" borderId="64" xfId="0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 wrapText="1"/>
    </xf>
    <xf numFmtId="167" fontId="1" fillId="4" borderId="1" xfId="2" applyNumberFormat="1" applyFont="1" applyFill="1" applyBorder="1" applyAlignment="1">
      <alignment horizontal="center" vertical="center"/>
    </xf>
    <xf numFmtId="167" fontId="1" fillId="4" borderId="40" xfId="2" applyNumberFormat="1" applyFont="1" applyFill="1" applyBorder="1" applyAlignment="1">
      <alignment horizontal="center" vertical="center"/>
    </xf>
    <xf numFmtId="167" fontId="1" fillId="4" borderId="2" xfId="2" applyNumberFormat="1" applyFont="1" applyFill="1" applyBorder="1" applyAlignment="1">
      <alignment horizontal="center" vertical="center"/>
    </xf>
    <xf numFmtId="167" fontId="1" fillId="0" borderId="35" xfId="2" applyNumberFormat="1" applyFont="1" applyBorder="1" applyAlignment="1">
      <alignment horizontal="center" vertical="center" wrapText="1"/>
    </xf>
    <xf numFmtId="167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8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39" xfId="2" applyNumberFormat="1" applyFont="1" applyBorder="1" applyAlignment="1">
      <alignment horizontal="center" vertical="center" wrapText="1"/>
    </xf>
    <xf numFmtId="17" fontId="6" fillId="3" borderId="57" xfId="0" applyNumberFormat="1" applyFont="1" applyFill="1" applyBorder="1" applyAlignment="1">
      <alignment horizontal="center"/>
    </xf>
    <xf numFmtId="0" fontId="6" fillId="3" borderId="57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 xr:uid="{00000000-0005-0000-0000-000001000000}"/>
    <cellStyle name="Comma 10" xfId="3" xr:uid="{00000000-0005-0000-0000-000002000000}"/>
    <cellStyle name="Comma 2" xfId="6" xr:uid="{00000000-0005-0000-0000-000003000000}"/>
    <cellStyle name="Comma 3" xfId="10" xr:uid="{00000000-0005-0000-0000-000004000000}"/>
    <cellStyle name="Currency" xfId="1" builtinId="4"/>
    <cellStyle name="Hyperlink" xfId="4" builtinId="8"/>
    <cellStyle name="Hyperlink 2" xfId="7" xr:uid="{00000000-0005-0000-0000-000007000000}"/>
    <cellStyle name="Normal" xfId="0" builtinId="0"/>
    <cellStyle name="Normal 2" xfId="9" xr:uid="{00000000-0005-0000-0000-000009000000}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Y33"/>
  <sheetViews>
    <sheetView workbookViewId="0">
      <selection activeCell="E38" sqref="E38"/>
    </sheetView>
  </sheetViews>
  <sheetFormatPr defaultColWidth="11.5703125" defaultRowHeight="15"/>
  <cols>
    <col min="1" max="1" width="18.42578125" style="125" customWidth="1"/>
    <col min="2" max="2" width="11.5703125" style="126"/>
    <col min="3" max="3" width="11.5703125" style="127"/>
    <col min="4" max="4" width="13.42578125" style="126" customWidth="1"/>
    <col min="5" max="5" width="12.5703125" style="124" customWidth="1"/>
    <col min="6" max="6" width="12.5703125" style="128" customWidth="1"/>
    <col min="7" max="7" width="11.5703125" style="124"/>
    <col min="8" max="8" width="11.5703125" style="128"/>
    <col min="9" max="9" width="11.5703125" style="129"/>
    <col min="10" max="10" width="11.5703125" style="130"/>
    <col min="11" max="11" width="11.5703125" style="124"/>
    <col min="12" max="12" width="11.5703125" style="130"/>
    <col min="13" max="25" width="11.5703125" style="124"/>
  </cols>
  <sheetData>
    <row r="1" spans="1:15" s="118" customFormat="1" ht="60">
      <c r="A1" s="114" t="s">
        <v>0</v>
      </c>
      <c r="B1" s="114" t="s">
        <v>1</v>
      </c>
      <c r="C1" s="115" t="s">
        <v>2</v>
      </c>
      <c r="D1" s="114" t="s">
        <v>3</v>
      </c>
      <c r="E1" s="113" t="s">
        <v>4</v>
      </c>
      <c r="F1" s="116" t="s">
        <v>5</v>
      </c>
      <c r="G1" s="113" t="s">
        <v>6</v>
      </c>
      <c r="H1" s="116" t="s">
        <v>7</v>
      </c>
      <c r="I1" s="113" t="s">
        <v>8</v>
      </c>
      <c r="J1" s="116" t="s">
        <v>9</v>
      </c>
      <c r="K1" s="113" t="s">
        <v>10</v>
      </c>
      <c r="L1" s="117" t="s">
        <v>11</v>
      </c>
      <c r="M1" s="113" t="s">
        <v>12</v>
      </c>
      <c r="N1" s="113" t="s">
        <v>13</v>
      </c>
    </row>
    <row r="2" spans="1:15">
      <c r="A2" s="119" t="s">
        <v>14</v>
      </c>
      <c r="B2" s="120">
        <v>1</v>
      </c>
      <c r="C2" s="121">
        <v>8</v>
      </c>
      <c r="D2" s="120">
        <v>2022</v>
      </c>
      <c r="E2" s="122">
        <f>'FS Jimbaran Aug 2022'!P12</f>
        <v>12519.999999999725</v>
      </c>
      <c r="F2" s="131">
        <f>'FS Jimbaran Aug 2022'!O12/'FS Jimbaran Aug 2022'!P12</f>
        <v>1208.6857667731731</v>
      </c>
      <c r="G2" s="122">
        <f>'FS Jimbaran Aug 2022'!AG12</f>
        <v>184.99572000000049</v>
      </c>
      <c r="H2" s="131">
        <f>'FS Jimbaran Aug 2022'!AH12/'FS Jimbaran Aug 2022'!AG12</f>
        <v>13836.787519192345</v>
      </c>
      <c r="I2" s="122">
        <f>'FS Jimbaran Aug 2022'!AJ12</f>
        <v>787.7300000000032</v>
      </c>
      <c r="J2" s="123">
        <f>'FS Jimbaran Aug 2022'!AK12/'FS Jimbaran Aug 2022'!AJ12</f>
        <v>19600</v>
      </c>
      <c r="K2" s="122">
        <f>'FS Jimbaran Aug 2022'!V12</f>
        <v>1080.46</v>
      </c>
      <c r="L2" s="131">
        <f>'FS Jimbaran Aug 2022'!AA12/'FS Jimbaran Aug 2022'!V12</f>
        <v>5782.7776276771001</v>
      </c>
      <c r="M2" s="122">
        <f>'RNs &amp; Covers Aug 2022'!B6</f>
        <v>66</v>
      </c>
      <c r="N2" s="122">
        <f>'RNs &amp; Covers Aug 2022'!C6</f>
        <v>516</v>
      </c>
    </row>
    <row r="3" spans="1:15">
      <c r="A3" s="119" t="s">
        <v>14</v>
      </c>
      <c r="B3" s="120">
        <f>B2+1</f>
        <v>2</v>
      </c>
      <c r="C3" s="121">
        <v>8</v>
      </c>
      <c r="D3" s="120">
        <v>2022</v>
      </c>
      <c r="E3" s="122">
        <f>'FS Jimbaran Aug 2022'!P13</f>
        <v>21300.000000000495</v>
      </c>
      <c r="F3" s="131">
        <f>'FS Jimbaran Aug 2022'!O13/'FS Jimbaran Aug 2022'!P13</f>
        <v>1134.0089014084467</v>
      </c>
      <c r="G3" s="122">
        <f>'FS Jimbaran Aug 2022'!AG13</f>
        <v>138.64375999999959</v>
      </c>
      <c r="H3" s="131">
        <f>'FS Jimbaran Aug 2022'!AH13/'FS Jimbaran Aug 2022'!AG13</f>
        <v>21788.934437438817</v>
      </c>
      <c r="I3" s="122">
        <f>'FS Jimbaran Aug 2022'!AJ13</f>
        <v>466.29999999999563</v>
      </c>
      <c r="J3" s="123">
        <f>'FS Jimbaran Aug 2022'!AK13/'FS Jimbaran Aug 2022'!AJ13</f>
        <v>19600</v>
      </c>
      <c r="K3" s="122">
        <f>'FS Jimbaran Aug 2022'!V13</f>
        <v>958.53000000000009</v>
      </c>
      <c r="L3" s="131">
        <f>'FS Jimbaran Aug 2022'!AA13/'FS Jimbaran Aug 2022'!V13</f>
        <v>5048.0538718662947</v>
      </c>
      <c r="M3" s="122">
        <f>'RNs &amp; Covers Aug 2022'!B7</f>
        <v>65</v>
      </c>
      <c r="N3" s="122">
        <f>'RNs &amp; Covers Aug 2022'!C7</f>
        <v>538</v>
      </c>
    </row>
    <row r="4" spans="1:15">
      <c r="A4" s="119" t="s">
        <v>14</v>
      </c>
      <c r="B4" s="120">
        <f t="shared" ref="B4:B32" si="0">B3+1</f>
        <v>3</v>
      </c>
      <c r="C4" s="121">
        <v>8</v>
      </c>
      <c r="D4" s="120">
        <v>2022</v>
      </c>
      <c r="E4" s="122">
        <f>'FS Jimbaran Aug 2022'!P14</f>
        <v>21119.99999999952</v>
      </c>
      <c r="F4" s="131">
        <f>'FS Jimbaran Aug 2022'!O14/'FS Jimbaran Aug 2022'!P14</f>
        <v>1135.3365056818186</v>
      </c>
      <c r="G4" s="122">
        <f>'FS Jimbaran Aug 2022'!AG14</f>
        <v>187.49308000000141</v>
      </c>
      <c r="H4" s="131">
        <f>'FS Jimbaran Aug 2022'!AH14/'FS Jimbaran Aug 2022'!AG14</f>
        <v>17289.444039214672</v>
      </c>
      <c r="I4" s="122">
        <f>'FS Jimbaran Aug 2022'!AJ14</f>
        <v>494.40999999999622</v>
      </c>
      <c r="J4" s="123">
        <f>'FS Jimbaran Aug 2022'!AK14/'FS Jimbaran Aug 2022'!AJ14</f>
        <v>19600</v>
      </c>
      <c r="K4" s="122">
        <f>'FS Jimbaran Aug 2022'!V14</f>
        <v>875.7600000000001</v>
      </c>
      <c r="L4" s="131">
        <f>'FS Jimbaran Aug 2022'!AA14/'FS Jimbaran Aug 2022'!V14</f>
        <v>5835.3085365853658</v>
      </c>
      <c r="M4" s="122">
        <f>'RNs &amp; Covers Aug 2022'!B8</f>
        <v>65</v>
      </c>
      <c r="N4" s="122">
        <f>'RNs &amp; Covers Aug 2022'!C8</f>
        <v>561</v>
      </c>
    </row>
    <row r="5" spans="1:15">
      <c r="A5" s="119" t="s">
        <v>14</v>
      </c>
      <c r="B5" s="120">
        <f t="shared" si="0"/>
        <v>4</v>
      </c>
      <c r="C5" s="121">
        <v>8</v>
      </c>
      <c r="D5" s="120">
        <v>2022</v>
      </c>
      <c r="E5" s="122">
        <f>'FS Jimbaran Aug 2022'!P15</f>
        <v>21359.999999999902</v>
      </c>
      <c r="F5" s="131">
        <f>'FS Jimbaran Aug 2022'!O15/'FS Jimbaran Aug 2022'!P15</f>
        <v>1137.1273876404514</v>
      </c>
      <c r="G5" s="122">
        <f>'FS Jimbaran Aug 2022'!AG15</f>
        <v>252.7869599999986</v>
      </c>
      <c r="H5" s="131">
        <f>'FS Jimbaran Aug 2022'!AH15/'FS Jimbaran Aug 2022'!AG15</f>
        <v>17261.175073271184</v>
      </c>
      <c r="I5" s="122">
        <f>'FS Jimbaran Aug 2022'!AJ15</f>
        <v>488.52999999999884</v>
      </c>
      <c r="J5" s="123">
        <f>'FS Jimbaran Aug 2022'!AK15/'FS Jimbaran Aug 2022'!AJ15</f>
        <v>19600</v>
      </c>
      <c r="K5" s="122">
        <f>'FS Jimbaran Aug 2022'!V15</f>
        <v>772.52</v>
      </c>
      <c r="L5" s="131">
        <f>'FS Jimbaran Aug 2022'!AA15/'FS Jimbaran Aug 2022'!V15</f>
        <v>6348.2532258064521</v>
      </c>
      <c r="M5" s="122">
        <f>'RNs &amp; Covers Aug 2022'!B9</f>
        <v>61</v>
      </c>
      <c r="N5" s="122">
        <f>'RNs &amp; Covers Aug 2022'!C9</f>
        <v>555</v>
      </c>
    </row>
    <row r="6" spans="1:15">
      <c r="A6" s="119" t="s">
        <v>14</v>
      </c>
      <c r="B6" s="120">
        <f t="shared" si="0"/>
        <v>5</v>
      </c>
      <c r="C6" s="121">
        <v>8</v>
      </c>
      <c r="D6" s="120">
        <v>2022</v>
      </c>
      <c r="E6" s="122">
        <f>'FS Jimbaran Aug 2022'!P16</f>
        <v>20728.000000000095</v>
      </c>
      <c r="F6" s="131">
        <f>'FS Jimbaran Aug 2022'!O16/'FS Jimbaran Aug 2022'!P16</f>
        <v>1137.4191605557726</v>
      </c>
      <c r="G6" s="122">
        <f>'FS Jimbaran Aug 2022'!AG16</f>
        <v>324.43043999999821</v>
      </c>
      <c r="H6" s="131">
        <f>'FS Jimbaran Aug 2022'!AH16/'FS Jimbaran Aug 2022'!AG16</f>
        <v>15297.07497730485</v>
      </c>
      <c r="I6" s="122">
        <f>'FS Jimbaran Aug 2022'!AJ16</f>
        <v>471.45999999999913</v>
      </c>
      <c r="J6" s="123">
        <f>'FS Jimbaran Aug 2022'!AK16/'FS Jimbaran Aug 2022'!AJ16</f>
        <v>19600</v>
      </c>
      <c r="K6" s="122">
        <f>'FS Jimbaran Aug 2022'!V16</f>
        <v>745.81999999999994</v>
      </c>
      <c r="L6" s="131">
        <f>'FS Jimbaran Aug 2022'!AA16/'FS Jimbaran Aug 2022'!V16</f>
        <v>5653.7450596658718</v>
      </c>
      <c r="M6" s="122">
        <f>'RNs &amp; Covers Aug 2022'!B10</f>
        <v>84</v>
      </c>
      <c r="N6" s="122">
        <f>'RNs &amp; Covers Aug 2022'!C10</f>
        <v>649</v>
      </c>
    </row>
    <row r="7" spans="1:15">
      <c r="A7" s="119" t="s">
        <v>14</v>
      </c>
      <c r="B7" s="120">
        <f t="shared" si="0"/>
        <v>6</v>
      </c>
      <c r="C7" s="121">
        <v>8</v>
      </c>
      <c r="D7" s="120">
        <v>2022</v>
      </c>
      <c r="E7" s="122">
        <f>'FS Jimbaran Aug 2022'!P17</f>
        <v>21652.000000000444</v>
      </c>
      <c r="F7" s="131">
        <f>'FS Jimbaran Aug 2022'!O17/'FS Jimbaran Aug 2022'!P17</f>
        <v>1142.2665268797275</v>
      </c>
      <c r="G7" s="122">
        <f>'FS Jimbaran Aug 2022'!AG17</f>
        <v>506.27931999996218</v>
      </c>
      <c r="H7" s="131">
        <f>'FS Jimbaran Aug 2022'!AH17/'FS Jimbaran Aug 2022'!AG17</f>
        <v>16854.434385489876</v>
      </c>
      <c r="I7" s="122">
        <f>'FS Jimbaran Aug 2022'!AJ17</f>
        <v>110.93000000000029</v>
      </c>
      <c r="J7" s="123">
        <f>'FS Jimbaran Aug 2022'!AK17/'FS Jimbaran Aug 2022'!AJ17</f>
        <v>19600</v>
      </c>
      <c r="K7" s="122">
        <f>'FS Jimbaran Aug 2022'!V17</f>
        <v>880.21</v>
      </c>
      <c r="L7" s="131">
        <f>'FS Jimbaran Aug 2022'!AA17/'FS Jimbaran Aug 2022'!V17</f>
        <v>5480.3200202224471</v>
      </c>
      <c r="M7" s="122">
        <f>'RNs &amp; Covers Aug 2022'!B11</f>
        <v>87</v>
      </c>
      <c r="N7" s="122">
        <f>'RNs &amp; Covers Aug 2022'!C11</f>
        <v>771</v>
      </c>
    </row>
    <row r="8" spans="1:15">
      <c r="A8" s="119" t="s">
        <v>14</v>
      </c>
      <c r="B8" s="120">
        <f t="shared" si="0"/>
        <v>7</v>
      </c>
      <c r="C8" s="121">
        <v>8</v>
      </c>
      <c r="D8" s="120">
        <v>2022</v>
      </c>
      <c r="E8" s="122">
        <f>'FS Jimbaran Aug 2022'!P18</f>
        <v>20539.99999999948</v>
      </c>
      <c r="F8" s="131">
        <f>'FS Jimbaran Aug 2022'!O18/'FS Jimbaran Aug 2022'!P18</f>
        <v>1137.6434664070175</v>
      </c>
      <c r="G8" s="122">
        <f>'FS Jimbaran Aug 2022'!AG18</f>
        <v>501.76452000003576</v>
      </c>
      <c r="H8" s="131">
        <f>'FS Jimbaran Aug 2022'!AH18/'FS Jimbaran Aug 2022'!AG18</f>
        <v>16511.84752822297</v>
      </c>
      <c r="I8" s="122">
        <f>'FS Jimbaran Aug 2022'!AJ18</f>
        <v>48.720000000001164</v>
      </c>
      <c r="J8" s="123">
        <f>'FS Jimbaran Aug 2022'!AK18/'FS Jimbaran Aug 2022'!AJ18</f>
        <v>19600</v>
      </c>
      <c r="K8" s="122">
        <f>'FS Jimbaran Aug 2022'!V18</f>
        <v>808.12</v>
      </c>
      <c r="L8" s="131">
        <f>'FS Jimbaran Aug 2022'!AA18/'FS Jimbaran Aug 2022'!V18</f>
        <v>4245.18</v>
      </c>
      <c r="M8" s="122">
        <f>'RNs &amp; Covers Aug 2022'!B12</f>
        <v>74</v>
      </c>
      <c r="N8" s="122">
        <f>'RNs &amp; Covers Aug 2022'!C12</f>
        <v>664</v>
      </c>
    </row>
    <row r="9" spans="1:15">
      <c r="A9" s="119" t="s">
        <v>14</v>
      </c>
      <c r="B9" s="120">
        <f t="shared" si="0"/>
        <v>8</v>
      </c>
      <c r="C9" s="121">
        <v>8</v>
      </c>
      <c r="D9" s="120">
        <v>2022</v>
      </c>
      <c r="E9" s="122">
        <f>'FS Jimbaran Aug 2022'!P19</f>
        <v>19780.000000000367</v>
      </c>
      <c r="F9" s="131">
        <f>'FS Jimbaran Aug 2022'!O19/'FS Jimbaran Aug 2022'!P19</f>
        <v>1136.3208291203182</v>
      </c>
      <c r="G9" s="122">
        <f>'FS Jimbaran Aug 2022'!AG19</f>
        <v>662.64284000001862</v>
      </c>
      <c r="H9" s="131">
        <f>'FS Jimbaran Aug 2022'!AH19/'FS Jimbaran Aug 2022'!AG19</f>
        <v>16752.375453887631</v>
      </c>
      <c r="I9" s="122">
        <f>'FS Jimbaran Aug 2022'!AJ19</f>
        <v>67.529999999998836</v>
      </c>
      <c r="J9" s="123">
        <f>'FS Jimbaran Aug 2022'!AK19/'FS Jimbaran Aug 2022'!AJ19</f>
        <v>19600</v>
      </c>
      <c r="K9" s="122">
        <f>'FS Jimbaran Aug 2022'!V19</f>
        <v>896.23</v>
      </c>
      <c r="L9" s="131">
        <f>'FS Jimbaran Aug 2022'!AA19/'FS Jimbaran Aug 2022'!V19</f>
        <v>5676.3206156901688</v>
      </c>
      <c r="M9" s="122">
        <f>'RNs &amp; Covers Aug 2022'!B13</f>
        <v>81</v>
      </c>
      <c r="N9" s="122">
        <f>'RNs &amp; Covers Aug 2022'!C13</f>
        <v>643</v>
      </c>
      <c r="O9" s="124" t="s">
        <v>15</v>
      </c>
    </row>
    <row r="10" spans="1:15">
      <c r="A10" s="119" t="s">
        <v>14</v>
      </c>
      <c r="B10" s="120">
        <f t="shared" si="0"/>
        <v>9</v>
      </c>
      <c r="C10" s="121">
        <v>8</v>
      </c>
      <c r="D10" s="120">
        <v>2022</v>
      </c>
      <c r="E10" s="122">
        <f>'FS Jimbaran Aug 2022'!P20</f>
        <v>20340.000000000342</v>
      </c>
      <c r="F10" s="131">
        <f>'FS Jimbaran Aug 2022'!O20/'FS Jimbaran Aug 2022'!P20</f>
        <v>1136.0989085545714</v>
      </c>
      <c r="G10" s="122">
        <f>'FS Jimbaran Aug 2022'!AG20</f>
        <v>382.97535999996381</v>
      </c>
      <c r="H10" s="131">
        <f>'FS Jimbaran Aug 2022'!AH20/'FS Jimbaran Aug 2022'!AG20</f>
        <v>16143.938700724771</v>
      </c>
      <c r="I10" s="122">
        <f>'FS Jimbaran Aug 2022'!AJ20</f>
        <v>528.63000000000466</v>
      </c>
      <c r="J10" s="123">
        <f>'FS Jimbaran Aug 2022'!AK20/'FS Jimbaran Aug 2022'!AJ20</f>
        <v>19600</v>
      </c>
      <c r="K10" s="122">
        <f>'FS Jimbaran Aug 2022'!V20</f>
        <v>931.83</v>
      </c>
      <c r="L10" s="131">
        <f>'FS Jimbaran Aug 2022'!AA20/'FS Jimbaran Aug 2022'!V20</f>
        <v>5411.8977459407824</v>
      </c>
      <c r="M10" s="122">
        <f>'RNs &amp; Covers Aug 2022'!B14</f>
        <v>99</v>
      </c>
      <c r="N10" s="122">
        <f>'RNs &amp; Covers Aug 2022'!C14</f>
        <v>679</v>
      </c>
    </row>
    <row r="11" spans="1:15">
      <c r="A11" s="119" t="s">
        <v>14</v>
      </c>
      <c r="B11" s="120">
        <f t="shared" si="0"/>
        <v>10</v>
      </c>
      <c r="C11" s="121">
        <v>8</v>
      </c>
      <c r="D11" s="120">
        <v>2022</v>
      </c>
      <c r="E11" s="122">
        <f>'FS Jimbaran Aug 2022'!P21</f>
        <v>20779.999999999149</v>
      </c>
      <c r="F11" s="131">
        <f>'FS Jimbaran Aug 2022'!O21/'FS Jimbaran Aug 2022'!P21</f>
        <v>1134.9716361886469</v>
      </c>
      <c r="G11" s="122">
        <f>'FS Jimbaran Aug 2022'!AG21</f>
        <v>204.53839999999752</v>
      </c>
      <c r="H11" s="131">
        <f>'FS Jimbaran Aug 2022'!AH21/'FS Jimbaran Aug 2022'!AG21</f>
        <v>16172.071904346556</v>
      </c>
      <c r="I11" s="122">
        <f>'FS Jimbaran Aug 2022'!AJ21</f>
        <v>421.15999999999622</v>
      </c>
      <c r="J11" s="123">
        <f>'FS Jimbaran Aug 2022'!AK21/'FS Jimbaran Aug 2022'!AJ21</f>
        <v>19600</v>
      </c>
      <c r="K11" s="122">
        <f>'FS Jimbaran Aug 2022'!V21</f>
        <v>937.17</v>
      </c>
      <c r="L11" s="131">
        <f>'FS Jimbaran Aug 2022'!AA21/'FS Jimbaran Aug 2022'!V21</f>
        <v>5692.0086039886046</v>
      </c>
      <c r="M11" s="122">
        <f>'RNs &amp; Covers Aug 2022'!B15</f>
        <v>93</v>
      </c>
      <c r="N11" s="122">
        <f>'RNs &amp; Covers Aug 2022'!C15</f>
        <v>621</v>
      </c>
    </row>
    <row r="12" spans="1:15">
      <c r="A12" s="119" t="s">
        <v>14</v>
      </c>
      <c r="B12" s="120">
        <f t="shared" si="0"/>
        <v>11</v>
      </c>
      <c r="C12" s="121">
        <v>8</v>
      </c>
      <c r="D12" s="120">
        <v>2022</v>
      </c>
      <c r="E12" s="122">
        <f>'FS Jimbaran Aug 2022'!P22</f>
        <v>22300.000000000182</v>
      </c>
      <c r="F12" s="131">
        <f>'FS Jimbaran Aug 2022'!O22/'FS Jimbaran Aug 2022'!P22</f>
        <v>1142.1448520179399</v>
      </c>
      <c r="G12" s="122">
        <f>'FS Jimbaran Aug 2022'!AG22</f>
        <v>216.14248000000077</v>
      </c>
      <c r="H12" s="131">
        <f>'FS Jimbaran Aug 2022'!AH22/'FS Jimbaran Aug 2022'!AG22</f>
        <v>17180</v>
      </c>
      <c r="I12" s="122">
        <f>'FS Jimbaran Aug 2022'!AJ22</f>
        <v>643.62999999999738</v>
      </c>
      <c r="J12" s="123">
        <f>'FS Jimbaran Aug 2022'!AK22/'FS Jimbaran Aug 2022'!AJ22</f>
        <v>19600</v>
      </c>
      <c r="K12" s="122">
        <f>'FS Jimbaran Aug 2022'!V22</f>
        <v>916.7</v>
      </c>
      <c r="L12" s="131">
        <f>'FS Jimbaran Aug 2022'!AA22/'FS Jimbaran Aug 2022'!V22</f>
        <v>6004.1530485436897</v>
      </c>
      <c r="M12" s="122">
        <f>'RNs &amp; Covers Aug 2022'!B16</f>
        <v>92</v>
      </c>
      <c r="N12" s="122">
        <f>'RNs &amp; Covers Aug 2022'!C16</f>
        <v>854</v>
      </c>
    </row>
    <row r="13" spans="1:15">
      <c r="A13" s="119" t="s">
        <v>14</v>
      </c>
      <c r="B13" s="120">
        <f t="shared" si="0"/>
        <v>12</v>
      </c>
      <c r="C13" s="121">
        <v>8</v>
      </c>
      <c r="D13" s="120">
        <v>2022</v>
      </c>
      <c r="E13" s="122">
        <f>'FS Jimbaran Aug 2022'!P23</f>
        <v>23820.000000000018</v>
      </c>
      <c r="F13" s="131">
        <f>'FS Jimbaran Aug 2022'!O23/'FS Jimbaran Aug 2022'!P23</f>
        <v>1143.6193954659927</v>
      </c>
      <c r="G13" s="122">
        <f>'FS Jimbaran Aug 2022'!AG23</f>
        <v>188.22844000000143</v>
      </c>
      <c r="H13" s="131">
        <f>'FS Jimbaran Aug 2022'!AH23/'FS Jimbaran Aug 2022'!AG23</f>
        <v>19443.207409039762</v>
      </c>
      <c r="I13" s="122">
        <f>'FS Jimbaran Aug 2022'!AJ23</f>
        <v>451.4600000000064</v>
      </c>
      <c r="J13" s="123">
        <f>'FS Jimbaran Aug 2022'!AK23/'FS Jimbaran Aug 2022'!AJ23</f>
        <v>19600</v>
      </c>
      <c r="K13" s="122">
        <f>'FS Jimbaran Aug 2022'!V23</f>
        <v>962.09</v>
      </c>
      <c r="L13" s="131">
        <f>'FS Jimbaran Aug 2022'!AA23/'FS Jimbaran Aug 2022'!V23</f>
        <v>5921.1672710453286</v>
      </c>
      <c r="M13" s="122">
        <f>'RNs &amp; Covers Aug 2022'!B17</f>
        <v>94</v>
      </c>
      <c r="N13" s="122">
        <f>'RNs &amp; Covers Aug 2022'!C17</f>
        <v>907</v>
      </c>
    </row>
    <row r="14" spans="1:15">
      <c r="A14" s="119" t="s">
        <v>14</v>
      </c>
      <c r="B14" s="120">
        <f t="shared" si="0"/>
        <v>13</v>
      </c>
      <c r="C14" s="121">
        <v>8</v>
      </c>
      <c r="D14" s="120">
        <v>2022</v>
      </c>
      <c r="E14" s="122">
        <f>'FS Jimbaran Aug 2022'!P24</f>
        <v>23220.000000000338</v>
      </c>
      <c r="F14" s="131">
        <f>'FS Jimbaran Aug 2022'!O24/'FS Jimbaran Aug 2022'!P24</f>
        <v>1133.4698449612406</v>
      </c>
      <c r="G14" s="122">
        <f>'FS Jimbaran Aug 2022'!AG24</f>
        <v>269.60040000000072</v>
      </c>
      <c r="H14" s="131">
        <f>'FS Jimbaran Aug 2022'!AH24/'FS Jimbaran Aug 2022'!AG24</f>
        <v>18837.278060418317</v>
      </c>
      <c r="I14" s="122">
        <f>'FS Jimbaran Aug 2022'!AJ24</f>
        <v>434.38999999999942</v>
      </c>
      <c r="J14" s="123">
        <f>'FS Jimbaran Aug 2022'!AK24/'FS Jimbaran Aug 2022'!AJ24</f>
        <v>19600</v>
      </c>
      <c r="K14" s="122">
        <f>'FS Jimbaran Aug 2022'!V24</f>
        <v>936.28</v>
      </c>
      <c r="L14" s="131">
        <f>'FS Jimbaran Aug 2022'!AA24/'FS Jimbaran Aug 2022'!V24</f>
        <v>5210.6492775665401</v>
      </c>
      <c r="M14" s="122">
        <f>'RNs &amp; Covers Aug 2022'!B18</f>
        <v>96</v>
      </c>
      <c r="N14" s="122">
        <f>'RNs &amp; Covers Aug 2022'!C18</f>
        <v>642</v>
      </c>
    </row>
    <row r="15" spans="1:15">
      <c r="A15" s="119" t="s">
        <v>14</v>
      </c>
      <c r="B15" s="120">
        <f t="shared" si="0"/>
        <v>14</v>
      </c>
      <c r="C15" s="121">
        <v>8</v>
      </c>
      <c r="D15" s="120">
        <v>2022</v>
      </c>
      <c r="E15" s="122">
        <f>'FS Jimbaran Aug 2022'!P25</f>
        <v>23240.000000000069</v>
      </c>
      <c r="F15" s="131">
        <f>'FS Jimbaran Aug 2022'!O25/'FS Jimbaran Aug 2022'!P25</f>
        <v>1135.1685283993081</v>
      </c>
      <c r="G15" s="122">
        <f>'FS Jimbaran Aug 2022'!AG25</f>
        <v>242.9551999999976</v>
      </c>
      <c r="H15" s="131">
        <f>'FS Jimbaran Aug 2022'!AH25/'FS Jimbaran Aug 2022'!AG25</f>
        <v>14662.498831060184</v>
      </c>
      <c r="I15" s="122">
        <f>'FS Jimbaran Aug 2022'!AJ25</f>
        <v>578.12999999999738</v>
      </c>
      <c r="J15" s="123">
        <f>'FS Jimbaran Aug 2022'!AK25/'FS Jimbaran Aug 2022'!AJ25</f>
        <v>19600</v>
      </c>
      <c r="K15" s="122">
        <f>'FS Jimbaran Aug 2022'!V25</f>
        <v>1025.28</v>
      </c>
      <c r="L15" s="131">
        <f>'FS Jimbaran Aug 2022'!AA25/'FS Jimbaran Aug 2022'!V25</f>
        <v>6461.2472916666675</v>
      </c>
      <c r="M15" s="122">
        <f>'RNs &amp; Covers Aug 2022'!B19</f>
        <v>81</v>
      </c>
      <c r="N15" s="122">
        <f>'RNs &amp; Covers Aug 2022'!C19</f>
        <v>647</v>
      </c>
    </row>
    <row r="16" spans="1:15">
      <c r="A16" s="119" t="s">
        <v>14</v>
      </c>
      <c r="B16" s="120">
        <f t="shared" si="0"/>
        <v>15</v>
      </c>
      <c r="C16" s="121">
        <v>8</v>
      </c>
      <c r="D16" s="120">
        <v>2022</v>
      </c>
      <c r="E16" s="122">
        <f>'FS Jimbaran Aug 2022'!P26</f>
        <v>21699.999999999476</v>
      </c>
      <c r="F16" s="131">
        <f>'FS Jimbaran Aug 2022'!O26/'FS Jimbaran Aug 2022'!P26</f>
        <v>1140.7899539170528</v>
      </c>
      <c r="G16" s="122">
        <f>'FS Jimbaran Aug 2022'!AG26</f>
        <v>193.94476000000259</v>
      </c>
      <c r="H16" s="131">
        <f>'FS Jimbaran Aug 2022'!AH26/'FS Jimbaran Aug 2022'!AG26</f>
        <v>17215.267774184773</v>
      </c>
      <c r="I16" s="122">
        <f>'FS Jimbaran Aug 2022'!AJ26</f>
        <v>528.94999999999709</v>
      </c>
      <c r="J16" s="123">
        <f>'FS Jimbaran Aug 2022'!AK26/'FS Jimbaran Aug 2022'!AJ26</f>
        <v>19600</v>
      </c>
      <c r="K16" s="122">
        <f>'FS Jimbaran Aug 2022'!V26</f>
        <v>946.06999999999994</v>
      </c>
      <c r="L16" s="131">
        <f>'FS Jimbaran Aug 2022'!AA26/'FS Jimbaran Aug 2022'!V26</f>
        <v>6220.6964252116668</v>
      </c>
      <c r="M16" s="122">
        <f>'RNs &amp; Covers Aug 2022'!B20</f>
        <v>94</v>
      </c>
      <c r="N16" s="122">
        <f>'RNs &amp; Covers Aug 2022'!C20</f>
        <v>657</v>
      </c>
    </row>
    <row r="17" spans="1:14">
      <c r="A17" s="119" t="s">
        <v>14</v>
      </c>
      <c r="B17" s="120">
        <f t="shared" si="0"/>
        <v>16</v>
      </c>
      <c r="C17" s="121">
        <v>8</v>
      </c>
      <c r="D17" s="120">
        <v>2022</v>
      </c>
      <c r="E17" s="122">
        <f>'FS Jimbaran Aug 2022'!P27</f>
        <v>21440.000000000058</v>
      </c>
      <c r="F17" s="131">
        <f>'FS Jimbaran Aug 2022'!O27/'FS Jimbaran Aug 2022'!P27</f>
        <v>1132.8843750000017</v>
      </c>
      <c r="G17" s="122">
        <f>'FS Jimbaran Aug 2022'!AG27</f>
        <v>168.52807999999729</v>
      </c>
      <c r="H17" s="131">
        <f>'FS Jimbaran Aug 2022'!AH27/'FS Jimbaran Aug 2022'!AG27</f>
        <v>15956.70237505819</v>
      </c>
      <c r="I17" s="122">
        <f>'FS Jimbaran Aug 2022'!AJ27</f>
        <v>549.79000000000087</v>
      </c>
      <c r="J17" s="123">
        <f>'FS Jimbaran Aug 2022'!AK27/'FS Jimbaran Aug 2022'!AJ27</f>
        <v>19600</v>
      </c>
      <c r="K17" s="122">
        <f>'FS Jimbaran Aug 2022'!V27</f>
        <v>726.24</v>
      </c>
      <c r="L17" s="131">
        <f>'FS Jimbaran Aug 2022'!AA27/'FS Jimbaran Aug 2022'!V27</f>
        <v>5187.1137254901969</v>
      </c>
      <c r="M17" s="122">
        <f>'RNs &amp; Covers Aug 2022'!B21</f>
        <v>86</v>
      </c>
      <c r="N17" s="122">
        <f>'RNs &amp; Covers Aug 2022'!C21</f>
        <v>608</v>
      </c>
    </row>
    <row r="18" spans="1:14">
      <c r="A18" s="119" t="s">
        <v>14</v>
      </c>
      <c r="B18" s="120">
        <f t="shared" si="0"/>
        <v>17</v>
      </c>
      <c r="C18" s="121">
        <v>8</v>
      </c>
      <c r="D18" s="120">
        <v>2022</v>
      </c>
      <c r="E18" s="122">
        <f>'FS Jimbaran Aug 2022'!P28</f>
        <v>20700.000000000731</v>
      </c>
      <c r="F18" s="131">
        <f>'FS Jimbaran Aug 2022'!O28/'FS Jimbaran Aug 2022'!P28</f>
        <v>1138.3572463768082</v>
      </c>
      <c r="G18" s="122">
        <f>'FS Jimbaran Aug 2022'!AG28</f>
        <v>187.58395999999971</v>
      </c>
      <c r="H18" s="131">
        <f>'FS Jimbaran Aug 2022'!AH28/'FS Jimbaran Aug 2022'!AG28</f>
        <v>20586.474626082108</v>
      </c>
      <c r="I18" s="122">
        <f>'FS Jimbaran Aug 2022'!AJ28</f>
        <v>467.62000000000262</v>
      </c>
      <c r="J18" s="123">
        <f>'FS Jimbaran Aug 2022'!AK28/'FS Jimbaran Aug 2022'!AJ28</f>
        <v>19600</v>
      </c>
      <c r="K18" s="122">
        <f>'FS Jimbaran Aug 2022'!V28</f>
        <v>979.89</v>
      </c>
      <c r="L18" s="131">
        <f>'FS Jimbaran Aug 2022'!AA28/'FS Jimbaran Aug 2022'!V28</f>
        <v>5479.3368392370576</v>
      </c>
      <c r="M18" s="122">
        <f>'RNs &amp; Covers Aug 2022'!B22</f>
        <v>75</v>
      </c>
      <c r="N18" s="122">
        <f>'RNs &amp; Covers Aug 2022'!C22</f>
        <v>568</v>
      </c>
    </row>
    <row r="19" spans="1:14">
      <c r="A19" s="119" t="s">
        <v>14</v>
      </c>
      <c r="B19" s="120">
        <f t="shared" si="0"/>
        <v>18</v>
      </c>
      <c r="C19" s="121">
        <v>8</v>
      </c>
      <c r="D19" s="120">
        <v>2022</v>
      </c>
      <c r="E19" s="122">
        <f>'FS Jimbaran Aug 2022'!P29</f>
        <v>21199.999999999367</v>
      </c>
      <c r="F19" s="131">
        <f>'FS Jimbaran Aug 2022'!O29/'FS Jimbaran Aug 2022'!P29</f>
        <v>1136.9151226415117</v>
      </c>
      <c r="G19" s="122">
        <f>'FS Jimbaran Aug 2022'!AG29</f>
        <v>215.04460000000245</v>
      </c>
      <c r="H19" s="131">
        <f>'FS Jimbaran Aug 2022'!AH29/'FS Jimbaran Aug 2022'!AG29</f>
        <v>14303.945451315712</v>
      </c>
      <c r="I19" s="122">
        <f>'FS Jimbaran Aug 2022'!AJ29</f>
        <v>265.70999999999913</v>
      </c>
      <c r="J19" s="123">
        <f>'FS Jimbaran Aug 2022'!AK29/'FS Jimbaran Aug 2022'!AJ29</f>
        <v>19600</v>
      </c>
      <c r="K19" s="122">
        <f>'FS Jimbaran Aug 2022'!V29</f>
        <v>545.57000000000005</v>
      </c>
      <c r="L19" s="131">
        <f>'FS Jimbaran Aug 2022'!AA29/'FS Jimbaran Aug 2022'!V29</f>
        <v>6976.8097553017933</v>
      </c>
      <c r="M19" s="122">
        <f>'RNs &amp; Covers Aug 2022'!B23</f>
        <v>80</v>
      </c>
      <c r="N19" s="122">
        <f>'RNs &amp; Covers Aug 2022'!C23</f>
        <v>556</v>
      </c>
    </row>
    <row r="20" spans="1:14">
      <c r="A20" s="119" t="s">
        <v>14</v>
      </c>
      <c r="B20" s="120">
        <f t="shared" si="0"/>
        <v>19</v>
      </c>
      <c r="C20" s="121">
        <v>8</v>
      </c>
      <c r="D20" s="120">
        <v>2022</v>
      </c>
      <c r="E20" s="122">
        <f>'FS Jimbaran Aug 2022'!P30</f>
        <v>20200.000000000044</v>
      </c>
      <c r="F20" s="131">
        <f>'FS Jimbaran Aug 2022'!O30/'FS Jimbaran Aug 2022'!P30</f>
        <v>1131.6665643564329</v>
      </c>
      <c r="G20" s="122">
        <f>'FS Jimbaran Aug 2022'!AG30</f>
        <v>194.1495999999988</v>
      </c>
      <c r="H20" s="131">
        <f>'FS Jimbaran Aug 2022'!AH30/'FS Jimbaran Aug 2022'!AG30</f>
        <v>31442.197810348396</v>
      </c>
      <c r="I20" s="122">
        <f>'FS Jimbaran Aug 2022'!AJ30</f>
        <v>533.94999999999709</v>
      </c>
      <c r="J20" s="123">
        <f>'FS Jimbaran Aug 2022'!AK30/'FS Jimbaran Aug 2022'!AJ30</f>
        <v>19600</v>
      </c>
      <c r="K20" s="122">
        <f>'FS Jimbaran Aug 2022'!V30</f>
        <v>631.90000000000009</v>
      </c>
      <c r="L20" s="131">
        <f>'FS Jimbaran Aug 2022'!AA30/'FS Jimbaran Aug 2022'!V30</f>
        <v>5772.3634929577456</v>
      </c>
      <c r="M20" s="122">
        <f>'RNs &amp; Covers Aug 2022'!B24</f>
        <v>69</v>
      </c>
      <c r="N20" s="122">
        <f>'RNs &amp; Covers Aug 2022'!C24</f>
        <v>597</v>
      </c>
    </row>
    <row r="21" spans="1:14">
      <c r="A21" s="119" t="s">
        <v>14</v>
      </c>
      <c r="B21" s="120">
        <f t="shared" si="0"/>
        <v>20</v>
      </c>
      <c r="C21" s="121">
        <v>8</v>
      </c>
      <c r="D21" s="120">
        <v>2022</v>
      </c>
      <c r="E21" s="122">
        <f>'FS Jimbaran Aug 2022'!P31</f>
        <v>19900.000000000462</v>
      </c>
      <c r="F21" s="131">
        <f>'FS Jimbaran Aug 2022'!O31/'FS Jimbaran Aug 2022'!P31</f>
        <v>1138.8375075376848</v>
      </c>
      <c r="G21" s="122">
        <f>'FS Jimbaran Aug 2022'!AG31</f>
        <v>318.93259999999879</v>
      </c>
      <c r="H21" s="131">
        <f>'FS Jimbaran Aug 2022'!AH31/'FS Jimbaran Aug 2022'!AG31</f>
        <v>8776.7198085112341</v>
      </c>
      <c r="I21" s="122">
        <f>'FS Jimbaran Aug 2022'!AJ31</f>
        <v>373.30000000000291</v>
      </c>
      <c r="J21" s="123">
        <f>'FS Jimbaran Aug 2022'!AK31/'FS Jimbaran Aug 2022'!AJ31</f>
        <v>19600</v>
      </c>
      <c r="K21" s="122">
        <f>'FS Jimbaran Aug 2022'!V31</f>
        <v>701.32</v>
      </c>
      <c r="L21" s="131">
        <f>'FS Jimbaran Aug 2022'!AA31/'FS Jimbaran Aug 2022'!V31</f>
        <v>5795.3747715736035</v>
      </c>
      <c r="M21" s="122">
        <f>'RNs &amp; Covers Aug 2022'!B25</f>
        <v>61</v>
      </c>
      <c r="N21" s="122">
        <f>'RNs &amp; Covers Aug 2022'!C25</f>
        <v>576</v>
      </c>
    </row>
    <row r="22" spans="1:14">
      <c r="A22" s="119" t="s">
        <v>14</v>
      </c>
      <c r="B22" s="120">
        <f t="shared" si="0"/>
        <v>21</v>
      </c>
      <c r="C22" s="121">
        <v>8</v>
      </c>
      <c r="D22" s="120">
        <v>2022</v>
      </c>
      <c r="E22" s="122">
        <f>'FS Jimbaran Aug 2022'!P32</f>
        <v>21199.999999999902</v>
      </c>
      <c r="F22" s="131">
        <f>'FS Jimbaran Aug 2022'!O32/'FS Jimbaran Aug 2022'!P32</f>
        <v>1140.3351509434012</v>
      </c>
      <c r="G22" s="122">
        <f>'FS Jimbaran Aug 2022'!AG32</f>
        <v>165.67164000000133</v>
      </c>
      <c r="H22" s="131">
        <f>'FS Jimbaran Aug 2022'!AH32/'FS Jimbaran Aug 2022'!AG32</f>
        <v>17180.000000000004</v>
      </c>
      <c r="I22" s="122">
        <f>'FS Jimbaran Aug 2022'!AJ32</f>
        <v>443.41999999999825</v>
      </c>
      <c r="J22" s="123">
        <f>'FS Jimbaran Aug 2022'!AK32/'FS Jimbaran Aug 2022'!AJ32</f>
        <v>19600</v>
      </c>
      <c r="K22" s="122">
        <f>'FS Jimbaran Aug 2022'!V32</f>
        <v>691.53</v>
      </c>
      <c r="L22" s="131">
        <f>'FS Jimbaran Aug 2022'!AA32/'FS Jimbaran Aug 2022'!V32</f>
        <v>5940.9724324324334</v>
      </c>
      <c r="M22" s="122">
        <f>'RNs &amp; Covers Aug 2022'!B26</f>
        <v>132</v>
      </c>
      <c r="N22" s="122">
        <f>'RNs &amp; Covers Aug 2022'!C26</f>
        <v>608</v>
      </c>
    </row>
    <row r="23" spans="1:14">
      <c r="A23" s="119" t="s">
        <v>14</v>
      </c>
      <c r="B23" s="120">
        <f t="shared" si="0"/>
        <v>22</v>
      </c>
      <c r="C23" s="121">
        <v>8</v>
      </c>
      <c r="D23" s="120">
        <v>2022</v>
      </c>
      <c r="E23" s="122">
        <f>'FS Jimbaran Aug 2022'!P33</f>
        <v>20540.000000000276</v>
      </c>
      <c r="F23" s="131">
        <f>'FS Jimbaran Aug 2022'!O33/'FS Jimbaran Aug 2022'!P33</f>
        <v>1135.1220934761436</v>
      </c>
      <c r="G23" s="122">
        <f>'FS Jimbaran Aug 2022'!AG33</f>
        <v>257.40771999999913</v>
      </c>
      <c r="H23" s="131">
        <f>'FS Jimbaran Aug 2022'!AH33/'FS Jimbaran Aug 2022'!AG33</f>
        <v>18021.35808203421</v>
      </c>
      <c r="I23" s="122">
        <f>'FS Jimbaran Aug 2022'!AJ33</f>
        <v>459.06000000000495</v>
      </c>
      <c r="J23" s="123">
        <f>'FS Jimbaran Aug 2022'!AK33/'FS Jimbaran Aug 2022'!AJ33</f>
        <v>19600</v>
      </c>
      <c r="K23" s="122">
        <f>'FS Jimbaran Aug 2022'!V33</f>
        <v>694.19999999999993</v>
      </c>
      <c r="L23" s="131">
        <f>'FS Jimbaran Aug 2022'!AA33/'FS Jimbaran Aug 2022'!V33</f>
        <v>5916.8535897435904</v>
      </c>
      <c r="M23" s="122">
        <f>'RNs &amp; Covers Aug 2022'!B27</f>
        <v>134</v>
      </c>
      <c r="N23" s="122">
        <f>'RNs &amp; Covers Aug 2022'!C27</f>
        <v>544</v>
      </c>
    </row>
    <row r="24" spans="1:14">
      <c r="A24" s="119" t="s">
        <v>14</v>
      </c>
      <c r="B24" s="120">
        <f t="shared" si="0"/>
        <v>23</v>
      </c>
      <c r="C24" s="121">
        <v>8</v>
      </c>
      <c r="D24" s="120">
        <v>2022</v>
      </c>
      <c r="E24" s="122">
        <f>'FS Jimbaran Aug 2022'!P34</f>
        <v>19879.99999999948</v>
      </c>
      <c r="F24" s="131">
        <f>'FS Jimbaran Aug 2022'!O34/'FS Jimbaran Aug 2022'!P34</f>
        <v>1136.8571227364166</v>
      </c>
      <c r="G24" s="122">
        <f>'FS Jimbaran Aug 2022'!AG34</f>
        <v>174.48952000000196</v>
      </c>
      <c r="H24" s="131">
        <f>'FS Jimbaran Aug 2022'!AH34/'FS Jimbaran Aug 2022'!AG34</f>
        <v>15998.496377318259</v>
      </c>
      <c r="I24" s="122">
        <f>'FS Jimbaran Aug 2022'!AJ34</f>
        <v>761.91999999999825</v>
      </c>
      <c r="J24" s="123">
        <f>'FS Jimbaran Aug 2022'!AK34/'FS Jimbaran Aug 2022'!AJ34</f>
        <v>19600</v>
      </c>
      <c r="K24" s="122">
        <f>'FS Jimbaran Aug 2022'!V34</f>
        <v>700.43000000000006</v>
      </c>
      <c r="L24" s="131">
        <f>'FS Jimbaran Aug 2022'!AA34/'FS Jimbaran Aug 2022'!V34</f>
        <v>5535.7437611181704</v>
      </c>
      <c r="M24" s="122">
        <f>'RNs &amp; Covers Aug 2022'!B28</f>
        <v>138</v>
      </c>
      <c r="N24" s="122">
        <f>'RNs &amp; Covers Aug 2022'!C28</f>
        <v>507</v>
      </c>
    </row>
    <row r="25" spans="1:14">
      <c r="A25" s="119" t="s">
        <v>14</v>
      </c>
      <c r="B25" s="120">
        <f t="shared" si="0"/>
        <v>24</v>
      </c>
      <c r="C25" s="121">
        <v>8</v>
      </c>
      <c r="D25" s="120">
        <v>2022</v>
      </c>
      <c r="E25" s="122">
        <f>'FS Jimbaran Aug 2022'!P35</f>
        <v>20600.000000000364</v>
      </c>
      <c r="F25" s="131">
        <f>'FS Jimbaran Aug 2022'!O35/'FS Jimbaran Aug 2022'!P35</f>
        <v>1140.8664174757278</v>
      </c>
      <c r="G25" s="122">
        <f>'FS Jimbaran Aug 2022'!AG35</f>
        <v>164.26183999999986</v>
      </c>
      <c r="H25" s="131">
        <f>'FS Jimbaran Aug 2022'!AH35/'FS Jimbaran Aug 2022'!AG35</f>
        <v>19773.420358617681</v>
      </c>
      <c r="I25" s="122">
        <f>'FS Jimbaran Aug 2022'!AJ35</f>
        <v>687.04000000000087</v>
      </c>
      <c r="J25" s="123">
        <f>'FS Jimbaran Aug 2022'!AK35/'FS Jimbaran Aug 2022'!AJ35</f>
        <v>19600</v>
      </c>
      <c r="K25" s="122">
        <f>'FS Jimbaran Aug 2022'!V35</f>
        <v>775.19</v>
      </c>
      <c r="L25" s="131">
        <f>'FS Jimbaran Aug 2022'!AA35/'FS Jimbaran Aug 2022'!V35</f>
        <v>6671.9300344431686</v>
      </c>
      <c r="M25" s="122">
        <f>'RNs &amp; Covers Aug 2022'!B29</f>
        <v>135</v>
      </c>
      <c r="N25" s="122">
        <f>'RNs &amp; Covers Aug 2022'!C29</f>
        <v>754</v>
      </c>
    </row>
    <row r="26" spans="1:14">
      <c r="A26" s="119" t="s">
        <v>14</v>
      </c>
      <c r="B26" s="120">
        <f>B25+1</f>
        <v>25</v>
      </c>
      <c r="C26" s="121">
        <v>8</v>
      </c>
      <c r="D26" s="120">
        <v>2022</v>
      </c>
      <c r="E26" s="122">
        <f>'FS Jimbaran Aug 2022'!P36</f>
        <v>20880.000000000047</v>
      </c>
      <c r="F26" s="131">
        <f>'FS Jimbaran Aug 2022'!O36/'FS Jimbaran Aug 2022'!P36</f>
        <v>1138.4650862068975</v>
      </c>
      <c r="G26" s="122">
        <f>'FS Jimbaran Aug 2022'!AG36</f>
        <v>204.2811959999984</v>
      </c>
      <c r="H26" s="131">
        <f>'FS Jimbaran Aug 2022'!AH36/'FS Jimbaran Aug 2022'!AG36</f>
        <v>15161.605707849862</v>
      </c>
      <c r="I26" s="122">
        <f>'FS Jimbaran Aug 2022'!AJ36</f>
        <v>303.13999999999942</v>
      </c>
      <c r="J26" s="123">
        <f>'FS Jimbaran Aug 2022'!AK36/'FS Jimbaran Aug 2022'!AJ36</f>
        <v>19600</v>
      </c>
      <c r="K26" s="122">
        <f>'FS Jimbaran Aug 2022'!V36</f>
        <v>713.78</v>
      </c>
      <c r="L26" s="131">
        <f>'FS Jimbaran Aug 2022'!AA36/'FS Jimbaran Aug 2022'!V36</f>
        <v>5511.6060349127183</v>
      </c>
      <c r="M26" s="122">
        <f>'RNs &amp; Covers Aug 2022'!B30</f>
        <v>134</v>
      </c>
      <c r="N26" s="122">
        <f>'RNs &amp; Covers Aug 2022'!C30</f>
        <v>537</v>
      </c>
    </row>
    <row r="27" spans="1:14">
      <c r="A27" s="119" t="s">
        <v>14</v>
      </c>
      <c r="B27" s="120">
        <f t="shared" si="0"/>
        <v>26</v>
      </c>
      <c r="C27" s="121">
        <v>8</v>
      </c>
      <c r="D27" s="120">
        <v>2022</v>
      </c>
      <c r="E27" s="122">
        <f>'FS Jimbaran Aug 2022'!P37</f>
        <v>20919.999999999673</v>
      </c>
      <c r="F27" s="131">
        <f>'FS Jimbaran Aug 2022'!O37/'FS Jimbaran Aug 2022'!P37</f>
        <v>1133.8127151051638</v>
      </c>
      <c r="G27" s="122">
        <f>'FS Jimbaran Aug 2022'!AG37</f>
        <v>173.2201119999996</v>
      </c>
      <c r="H27" s="131">
        <f>'FS Jimbaran Aug 2022'!AH37/'FS Jimbaran Aug 2022'!AG37</f>
        <v>20868.948082425908</v>
      </c>
      <c r="I27" s="122">
        <f>'FS Jimbaran Aug 2022'!AJ37</f>
        <v>511.77999999999884</v>
      </c>
      <c r="J27" s="123">
        <f>'FS Jimbaran Aug 2022'!AK37/'FS Jimbaran Aug 2022'!AJ37</f>
        <v>19600</v>
      </c>
      <c r="K27" s="122">
        <f>'FS Jimbaran Aug 2022'!V37</f>
        <v>729.8</v>
      </c>
      <c r="L27" s="131">
        <f>'FS Jimbaran Aug 2022'!AA37/'FS Jimbaran Aug 2022'!V37</f>
        <v>5701.402975609757</v>
      </c>
      <c r="M27" s="122">
        <f>'RNs &amp; Covers Aug 2022'!B31</f>
        <v>133</v>
      </c>
      <c r="N27" s="122">
        <f>'RNs &amp; Covers Aug 2022'!C31</f>
        <v>614</v>
      </c>
    </row>
    <row r="28" spans="1:14">
      <c r="A28" s="119" t="s">
        <v>14</v>
      </c>
      <c r="B28" s="120">
        <f t="shared" si="0"/>
        <v>27</v>
      </c>
      <c r="C28" s="121">
        <v>8</v>
      </c>
      <c r="D28" s="120">
        <v>2022</v>
      </c>
      <c r="E28" s="122">
        <f>'FS Jimbaran Aug 2022'!P38</f>
        <v>20520.000000000211</v>
      </c>
      <c r="F28" s="131">
        <f>'FS Jimbaran Aug 2022'!O38/'FS Jimbaran Aug 2022'!P38</f>
        <v>1136.2284502923972</v>
      </c>
      <c r="G28" s="122">
        <f>'FS Jimbaran Aug 2022'!AG38</f>
        <v>197.03541200000291</v>
      </c>
      <c r="H28" s="131">
        <f>'FS Jimbaran Aug 2022'!AH38/'FS Jimbaran Aug 2022'!AG38</f>
        <v>17284.143716054452</v>
      </c>
      <c r="I28" s="122">
        <f>'FS Jimbaran Aug 2022'!AJ38</f>
        <v>471.78999999998632</v>
      </c>
      <c r="J28" s="123">
        <f>'FS Jimbaran Aug 2022'!AK38/'FS Jimbaran Aug 2022'!AJ38</f>
        <v>19600</v>
      </c>
      <c r="K28" s="122">
        <f>'FS Jimbaran Aug 2022'!V38</f>
        <v>763.62</v>
      </c>
      <c r="L28" s="131">
        <f>'FS Jimbaran Aug 2022'!AA38/'FS Jimbaran Aug 2022'!V38</f>
        <v>5860.8645221445213</v>
      </c>
      <c r="M28" s="122">
        <f>'RNs &amp; Covers Aug 2022'!B32</f>
        <v>31</v>
      </c>
      <c r="N28" s="122">
        <f>'RNs &amp; Covers Aug 2022'!C32</f>
        <v>921</v>
      </c>
    </row>
    <row r="29" spans="1:14">
      <c r="A29" s="119" t="s">
        <v>14</v>
      </c>
      <c r="B29" s="120">
        <f t="shared" si="0"/>
        <v>28</v>
      </c>
      <c r="C29" s="121">
        <v>8</v>
      </c>
      <c r="D29" s="120">
        <v>2022</v>
      </c>
      <c r="E29" s="122">
        <f>'FS Jimbaran Aug 2022'!P39</f>
        <v>19299.999999999385</v>
      </c>
      <c r="F29" s="131">
        <f>'FS Jimbaran Aug 2022'!O39/'FS Jimbaran Aug 2022'!P39</f>
        <v>1144.7247357512974</v>
      </c>
      <c r="G29" s="122">
        <f>'FS Jimbaran Aug 2022'!AG39</f>
        <v>217.98503999999747</v>
      </c>
      <c r="H29" s="131">
        <f>'FS Jimbaran Aug 2022'!AH39/'FS Jimbaran Aug 2022'!AG39</f>
        <v>16297.003625569894</v>
      </c>
      <c r="I29" s="122">
        <f>'FS Jimbaran Aug 2022'!AJ39</f>
        <v>462.95999999999913</v>
      </c>
      <c r="J29" s="123">
        <f>'FS Jimbaran Aug 2022'!AK39/'FS Jimbaran Aug 2022'!AJ39</f>
        <v>19600</v>
      </c>
      <c r="K29" s="122">
        <f>'FS Jimbaran Aug 2022'!V39</f>
        <v>699.54</v>
      </c>
      <c r="L29" s="131">
        <f>'FS Jimbaran Aug 2022'!AA39/'FS Jimbaran Aug 2022'!V39</f>
        <v>6480.3466157760822</v>
      </c>
      <c r="M29" s="122">
        <f>'RNs &amp; Covers Aug 2022'!B33</f>
        <v>118</v>
      </c>
      <c r="N29" s="122">
        <f>'RNs &amp; Covers Aug 2022'!C33</f>
        <v>442</v>
      </c>
    </row>
    <row r="30" spans="1:14">
      <c r="A30" s="119" t="s">
        <v>14</v>
      </c>
      <c r="B30" s="120">
        <f t="shared" si="0"/>
        <v>29</v>
      </c>
      <c r="C30" s="121">
        <v>8</v>
      </c>
      <c r="D30" s="120">
        <v>2022</v>
      </c>
      <c r="E30" s="122">
        <f>'FS Jimbaran Aug 2022'!P40</f>
        <v>19920.000000000615</v>
      </c>
      <c r="F30" s="131">
        <f>'FS Jimbaran Aug 2022'!O40/'FS Jimbaran Aug 2022'!P40</f>
        <v>1141.8538554216866</v>
      </c>
      <c r="G30" s="122">
        <f>'FS Jimbaran Aug 2022'!AG40</f>
        <v>177.99044000000097</v>
      </c>
      <c r="H30" s="131">
        <f>'FS Jimbaran Aug 2022'!AH40/'FS Jimbaran Aug 2022'!AG40</f>
        <v>14863.471089795623</v>
      </c>
      <c r="I30" s="122">
        <f>'FS Jimbaran Aug 2022'!AJ40</f>
        <v>542.40000000000146</v>
      </c>
      <c r="J30" s="123">
        <f>'FS Jimbaran Aug 2022'!AK40/'FS Jimbaran Aug 2022'!AJ40</f>
        <v>19600</v>
      </c>
      <c r="K30" s="122">
        <f>'FS Jimbaran Aug 2022'!V40</f>
        <v>740.48</v>
      </c>
      <c r="L30" s="131">
        <f>'FS Jimbaran Aug 2022'!AA40/'FS Jimbaran Aug 2022'!V40</f>
        <v>6043.3288942307699</v>
      </c>
      <c r="M30" s="122">
        <f>'RNs &amp; Covers Aug 2022'!B34</f>
        <v>117</v>
      </c>
      <c r="N30" s="122">
        <f>'RNs &amp; Covers Aug 2022'!C34</f>
        <v>470</v>
      </c>
    </row>
    <row r="31" spans="1:14">
      <c r="A31" s="119" t="s">
        <v>14</v>
      </c>
      <c r="B31" s="120">
        <f t="shared" si="0"/>
        <v>30</v>
      </c>
      <c r="C31" s="121">
        <v>8</v>
      </c>
      <c r="D31" s="120">
        <v>2022</v>
      </c>
      <c r="E31" s="122">
        <f>'FS Jimbaran Aug 2022'!P41</f>
        <v>20879.99999999988</v>
      </c>
      <c r="F31" s="131">
        <f>'FS Jimbaran Aug 2022'!O41/'FS Jimbaran Aug 2022'!P41</f>
        <v>1137.9690229885036</v>
      </c>
      <c r="G31" s="122">
        <f>'FS Jimbaran Aug 2022'!AG41</f>
        <v>146.61920000000035</v>
      </c>
      <c r="H31" s="131">
        <f>'FS Jimbaran Aug 2022'!AH41/'FS Jimbaran Aug 2022'!AG41</f>
        <v>18632.742887698198</v>
      </c>
      <c r="I31" s="122">
        <f>'FS Jimbaran Aug 2022'!AJ41</f>
        <v>530.29000000000087</v>
      </c>
      <c r="J31" s="123">
        <f>'FS Jimbaran Aug 2022'!AK41/'FS Jimbaran Aug 2022'!AJ41</f>
        <v>19600</v>
      </c>
      <c r="K31" s="122">
        <f>'FS Jimbaran Aug 2022'!V41</f>
        <v>709.32999999999993</v>
      </c>
      <c r="L31" s="131">
        <f>'FS Jimbaran Aug 2022'!AA41/'FS Jimbaran Aug 2022'!V41</f>
        <v>5881.196813048934</v>
      </c>
      <c r="M31" s="122">
        <f>'RNs &amp; Covers Aug 2022'!B35</f>
        <v>117</v>
      </c>
      <c r="N31" s="122">
        <f>'RNs &amp; Covers Aug 2022'!C35</f>
        <v>395</v>
      </c>
    </row>
    <row r="32" spans="1:14">
      <c r="A32" s="119" t="s">
        <v>14</v>
      </c>
      <c r="B32" s="120">
        <f t="shared" si="0"/>
        <v>31</v>
      </c>
      <c r="C32" s="121">
        <v>8</v>
      </c>
      <c r="D32" s="120">
        <v>2022</v>
      </c>
      <c r="E32" s="122">
        <f>'FS Jimbaran Aug 2022'!P42</f>
        <v>30099.999999999371</v>
      </c>
      <c r="F32" s="131">
        <f>'FS Jimbaran Aug 2022'!O42/'FS Jimbaran Aug 2022'!P42</f>
        <v>1119.0553355481734</v>
      </c>
      <c r="G32" s="122">
        <f>'FS Jimbaran Aug 2022'!AG42</f>
        <v>163.85559999999833</v>
      </c>
      <c r="H32" s="131">
        <f>'FS Jimbaran Aug 2022'!AH42/'FS Jimbaran Aug 2022'!AG42</f>
        <v>17221.744072219688</v>
      </c>
      <c r="I32" s="122">
        <f>'FS Jimbaran Aug 2022'!AJ42</f>
        <v>497.86000000000058</v>
      </c>
      <c r="J32" s="123">
        <f>'FS Jimbaran Aug 2022'!AK42/'FS Jimbaran Aug 2022'!AJ42</f>
        <v>19600</v>
      </c>
      <c r="K32" s="122">
        <f>'FS Jimbaran Aug 2022'!V42</f>
        <v>905.13</v>
      </c>
      <c r="L32" s="131">
        <f>'FS Jimbaran Aug 2022'!AA42/'FS Jimbaran Aug 2022'!V42</f>
        <v>6040.133352999017</v>
      </c>
      <c r="M32" s="122">
        <f>'RNs &amp; Covers Aug 2022'!B36</f>
        <v>133</v>
      </c>
      <c r="N32" s="122">
        <f>'RNs &amp; Covers Aug 2022'!C36</f>
        <v>671</v>
      </c>
    </row>
    <row r="33" spans="12:12">
      <c r="L33" s="20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M69"/>
  <sheetViews>
    <sheetView tabSelected="1" zoomScale="85" zoomScaleNormal="85" workbookViewId="0">
      <pane xSplit="4" ySplit="10" topLeftCell="Z35" activePane="bottomRight" state="frozen"/>
      <selection pane="bottomRight" activeCell="AA48" sqref="AA48"/>
      <selection pane="bottomLeft" activeCell="A11" sqref="A11"/>
      <selection pane="topRight" activeCell="E1" sqref="E1"/>
    </sheetView>
  </sheetViews>
  <sheetFormatPr defaultRowHeight="15.75"/>
  <cols>
    <col min="1" max="1" width="3.7109375" style="7" customWidth="1"/>
    <col min="2" max="2" width="8.7109375" style="7" customWidth="1"/>
    <col min="3" max="3" width="7.28515625" style="3" customWidth="1"/>
    <col min="4" max="4" width="8.710937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55" bestFit="1" customWidth="1"/>
    <col min="14" max="14" width="20.42578125" style="59" customWidth="1"/>
    <col min="15" max="15" width="18.85546875" customWidth="1"/>
    <col min="16" max="16" width="15.140625" style="59" customWidth="1"/>
    <col min="17" max="17" width="19.7109375" hidden="1" customWidth="1"/>
    <col min="18" max="18" width="18.140625" style="79" hidden="1" customWidth="1"/>
    <col min="19" max="19" width="24.28515625" hidden="1" customWidth="1"/>
    <col min="20" max="20" width="21.140625" hidden="1" customWidth="1"/>
    <col min="21" max="21" width="18.85546875" hidden="1" customWidth="1"/>
    <col min="22" max="22" width="13.7109375" customWidth="1"/>
    <col min="23" max="23" width="12.140625" customWidth="1"/>
    <col min="24" max="24" width="13.5703125" customWidth="1"/>
    <col min="25" max="25" width="13.28515625" customWidth="1"/>
    <col min="26" max="26" width="13.5703125" customWidth="1"/>
    <col min="27" max="27" width="11.5703125" customWidth="1"/>
    <col min="28" max="28" width="10.5703125" customWidth="1"/>
    <col min="29" max="29" width="13.42578125" customWidth="1"/>
    <col min="30" max="30" width="12.85546875" style="3" bestFit="1" customWidth="1"/>
    <col min="31" max="31" width="14.85546875" customWidth="1"/>
    <col min="32" max="32" width="12.28515625" bestFit="1" customWidth="1"/>
    <col min="33" max="33" width="11.42578125" bestFit="1" customWidth="1"/>
    <col min="34" max="34" width="19" style="3" customWidth="1"/>
    <col min="35" max="35" width="10.5703125" customWidth="1"/>
    <col min="36" max="36" width="13.28515625" style="79" bestFit="1" customWidth="1"/>
    <col min="37" max="37" width="20.7109375" bestFit="1" customWidth="1"/>
    <col min="38" max="38" width="12.140625" style="35" customWidth="1"/>
    <col min="39" max="39" width="2.28515625" style="7" customWidth="1"/>
  </cols>
  <sheetData>
    <row r="5" spans="1:39">
      <c r="N5" s="132"/>
      <c r="X5" s="133"/>
    </row>
    <row r="6" spans="1:39" s="23" customFormat="1" ht="19.5" thickBot="1">
      <c r="B6" s="23" t="s">
        <v>16</v>
      </c>
      <c r="C6" s="31"/>
      <c r="E6" s="31"/>
      <c r="F6" s="31"/>
      <c r="H6" s="31"/>
      <c r="L6" s="31"/>
      <c r="M6" s="50"/>
      <c r="N6" s="56"/>
      <c r="P6" s="56"/>
      <c r="R6" s="75"/>
      <c r="AD6" s="31"/>
      <c r="AH6" s="31"/>
      <c r="AJ6" s="75"/>
      <c r="AL6" s="32"/>
    </row>
    <row r="7" spans="1:39" s="11" customFormat="1" ht="16.5" thickBot="1">
      <c r="A7" s="27"/>
      <c r="B7" s="248" t="s">
        <v>17</v>
      </c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  <c r="AA7" s="249"/>
      <c r="AB7" s="249"/>
      <c r="AC7" s="249"/>
      <c r="AD7" s="249"/>
      <c r="AE7" s="249"/>
      <c r="AF7" s="249"/>
      <c r="AG7" s="249"/>
      <c r="AH7" s="249"/>
      <c r="AI7" s="249"/>
      <c r="AJ7" s="249"/>
      <c r="AK7" s="249"/>
      <c r="AL7" s="250"/>
      <c r="AM7" s="27"/>
    </row>
    <row r="8" spans="1:39" s="7" customFormat="1" ht="15.75" customHeight="1" thickBot="1">
      <c r="A8" s="24"/>
      <c r="B8" s="251" t="s">
        <v>18</v>
      </c>
      <c r="C8" s="254" t="s">
        <v>19</v>
      </c>
      <c r="D8" s="257" t="s">
        <v>13</v>
      </c>
      <c r="E8" s="259" t="s">
        <v>20</v>
      </c>
      <c r="F8" s="259"/>
      <c r="G8" s="259"/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60"/>
      <c r="V8" s="261" t="s">
        <v>21</v>
      </c>
      <c r="W8" s="262"/>
      <c r="X8" s="262"/>
      <c r="Y8" s="262"/>
      <c r="Z8" s="262"/>
      <c r="AA8" s="262"/>
      <c r="AB8" s="263"/>
      <c r="AC8" s="264" t="s">
        <v>22</v>
      </c>
      <c r="AD8" s="264"/>
      <c r="AE8" s="264"/>
      <c r="AF8" s="264"/>
      <c r="AG8" s="264"/>
      <c r="AH8" s="264"/>
      <c r="AI8" s="264"/>
      <c r="AJ8" s="264"/>
      <c r="AK8" s="264"/>
      <c r="AL8" s="265"/>
      <c r="AM8" s="26"/>
    </row>
    <row r="9" spans="1:39" ht="15" customHeight="1" thickBot="1">
      <c r="B9" s="252"/>
      <c r="C9" s="255"/>
      <c r="D9" s="258"/>
      <c r="E9" s="266" t="s">
        <v>23</v>
      </c>
      <c r="F9" s="267"/>
      <c r="G9" s="267"/>
      <c r="H9" s="267"/>
      <c r="I9" s="268"/>
      <c r="J9" s="269" t="s">
        <v>24</v>
      </c>
      <c r="K9" s="269"/>
      <c r="L9" s="269"/>
      <c r="M9" s="269"/>
      <c r="N9" s="270"/>
      <c r="O9" s="257" t="s">
        <v>25</v>
      </c>
      <c r="P9" s="272" t="s">
        <v>26</v>
      </c>
      <c r="Q9" s="235" t="s">
        <v>27</v>
      </c>
      <c r="R9" s="240" t="s">
        <v>28</v>
      </c>
      <c r="S9" s="242" t="s">
        <v>29</v>
      </c>
      <c r="T9" s="244" t="s">
        <v>30</v>
      </c>
      <c r="U9" s="245"/>
      <c r="V9" s="45"/>
      <c r="W9" s="45" t="s">
        <v>31</v>
      </c>
      <c r="X9" s="45"/>
      <c r="Y9" s="46"/>
      <c r="Z9" s="167"/>
      <c r="AA9" s="246" t="s">
        <v>32</v>
      </c>
      <c r="AB9" s="247"/>
      <c r="AC9" s="264" t="s">
        <v>33</v>
      </c>
      <c r="AD9" s="264"/>
      <c r="AE9" s="264"/>
      <c r="AF9" s="264"/>
      <c r="AG9" s="264"/>
      <c r="AH9" s="264"/>
      <c r="AI9" s="265"/>
      <c r="AJ9" s="237" t="s">
        <v>34</v>
      </c>
      <c r="AK9" s="238"/>
      <c r="AL9" s="239"/>
    </row>
    <row r="10" spans="1:39" ht="61.5" customHeight="1" thickBot="1">
      <c r="A10" s="25"/>
      <c r="B10" s="253"/>
      <c r="C10" s="256"/>
      <c r="D10" s="258"/>
      <c r="E10" s="85" t="s">
        <v>35</v>
      </c>
      <c r="F10" s="73" t="s">
        <v>36</v>
      </c>
      <c r="G10" s="104" t="s">
        <v>37</v>
      </c>
      <c r="H10" s="16" t="s">
        <v>36</v>
      </c>
      <c r="I10" s="86" t="s">
        <v>38</v>
      </c>
      <c r="J10" s="85" t="s">
        <v>35</v>
      </c>
      <c r="K10" s="74" t="s">
        <v>36</v>
      </c>
      <c r="L10" s="104" t="s">
        <v>37</v>
      </c>
      <c r="M10" s="51" t="s">
        <v>36</v>
      </c>
      <c r="N10" s="82" t="s">
        <v>39</v>
      </c>
      <c r="O10" s="271"/>
      <c r="P10" s="273"/>
      <c r="Q10" s="236"/>
      <c r="R10" s="241"/>
      <c r="S10" s="243"/>
      <c r="T10" s="134" t="s">
        <v>40</v>
      </c>
      <c r="U10" s="21" t="s">
        <v>41</v>
      </c>
      <c r="V10" s="135" t="s">
        <v>42</v>
      </c>
      <c r="W10" s="177" t="s">
        <v>43</v>
      </c>
      <c r="X10" s="177" t="s">
        <v>44</v>
      </c>
      <c r="Y10" s="20" t="s">
        <v>45</v>
      </c>
      <c r="Z10" s="20" t="s">
        <v>46</v>
      </c>
      <c r="AA10" s="20" t="s">
        <v>40</v>
      </c>
      <c r="AB10" s="12" t="s">
        <v>41</v>
      </c>
      <c r="AC10" s="98" t="s">
        <v>47</v>
      </c>
      <c r="AD10" s="41" t="s">
        <v>48</v>
      </c>
      <c r="AE10" s="40" t="s">
        <v>49</v>
      </c>
      <c r="AF10" s="40" t="s">
        <v>50</v>
      </c>
      <c r="AG10" s="40" t="s">
        <v>51</v>
      </c>
      <c r="AH10" s="41" t="s">
        <v>40</v>
      </c>
      <c r="AI10" s="42" t="s">
        <v>41</v>
      </c>
      <c r="AJ10" s="107" t="s">
        <v>52</v>
      </c>
      <c r="AK10" s="40" t="s">
        <v>40</v>
      </c>
      <c r="AL10" s="44" t="s">
        <v>41</v>
      </c>
      <c r="AM10" s="25"/>
    </row>
    <row r="11" spans="1:39">
      <c r="A11" s="25"/>
      <c r="B11" s="48"/>
      <c r="C11" s="87"/>
      <c r="D11" s="175"/>
      <c r="E11" s="18"/>
      <c r="F11" s="80"/>
      <c r="G11" s="17"/>
      <c r="H11" s="18"/>
      <c r="I11" s="88"/>
      <c r="J11" s="81"/>
      <c r="K11" s="17"/>
      <c r="L11" s="18"/>
      <c r="M11" s="52"/>
      <c r="N11" s="83"/>
      <c r="O11" s="47"/>
      <c r="P11" s="89"/>
      <c r="Q11" s="136"/>
      <c r="R11" s="90"/>
      <c r="S11" s="137"/>
      <c r="T11" s="137"/>
      <c r="U11" s="166"/>
      <c r="V11" s="81"/>
      <c r="W11" s="17"/>
      <c r="X11" s="17"/>
      <c r="Y11" s="19"/>
      <c r="Z11" s="19"/>
      <c r="AA11" s="19"/>
      <c r="AB11" s="88">
        <v>14522</v>
      </c>
      <c r="AC11" s="99">
        <v>16068.36</v>
      </c>
      <c r="AD11" s="220">
        <v>859000</v>
      </c>
      <c r="AE11" s="36">
        <v>859000</v>
      </c>
      <c r="AF11" s="36">
        <v>213000</v>
      </c>
      <c r="AG11" s="36"/>
      <c r="AH11" s="38"/>
      <c r="AI11" s="39"/>
      <c r="AJ11" s="108"/>
      <c r="AK11" s="36"/>
      <c r="AL11" s="43"/>
      <c r="AM11" s="25"/>
    </row>
    <row r="12" spans="1:39" ht="15">
      <c r="A12" s="30"/>
      <c r="B12" s="49">
        <v>1</v>
      </c>
      <c r="C12" s="226">
        <v>66</v>
      </c>
      <c r="D12" s="227">
        <v>516</v>
      </c>
      <c r="E12" s="182">
        <v>7439.9999999995998</v>
      </c>
      <c r="F12" s="179">
        <v>7706203.1999995857</v>
      </c>
      <c r="G12" s="179">
        <v>3600.0000000001364</v>
      </c>
      <c r="H12" s="179">
        <v>5593212.0000002123</v>
      </c>
      <c r="I12" s="183">
        <f>F12+H12</f>
        <v>13299415.199999798</v>
      </c>
      <c r="J12" s="182">
        <v>899.99999999997726</v>
      </c>
      <c r="K12" s="179">
        <v>932201.99999997637</v>
      </c>
      <c r="L12" s="184">
        <v>580.00000000001251</v>
      </c>
      <c r="M12" s="184">
        <v>901128.60000001942</v>
      </c>
      <c r="N12" s="183">
        <f>K12+M12</f>
        <v>1833330.5999999959</v>
      </c>
      <c r="O12" s="180">
        <f>I12+N12</f>
        <v>15132745.799999794</v>
      </c>
      <c r="P12" s="181">
        <f>E12+G12+J12+L12</f>
        <v>12519.999999999725</v>
      </c>
      <c r="Q12" s="105"/>
      <c r="R12" s="150"/>
      <c r="S12" s="160"/>
      <c r="T12" s="159"/>
      <c r="U12" s="158">
        <v>0</v>
      </c>
      <c r="V12" s="138">
        <f>W12+Y12</f>
        <v>1080.46</v>
      </c>
      <c r="W12" s="2">
        <v>121.04</v>
      </c>
      <c r="X12" s="179">
        <v>2175149.3200000003</v>
      </c>
      <c r="Y12" s="28">
        <v>959.42</v>
      </c>
      <c r="Z12" s="178">
        <v>4072910.5956000001</v>
      </c>
      <c r="AA12" s="178">
        <f>X12+Z12</f>
        <v>6248059.9155999999</v>
      </c>
      <c r="AB12" s="100">
        <f>AA12/$AB$11</f>
        <v>430.24789392645641</v>
      </c>
      <c r="AC12" s="199">
        <v>0</v>
      </c>
      <c r="AD12" s="2">
        <v>90.146639999999977</v>
      </c>
      <c r="AE12" s="2">
        <v>58.849080000000505</v>
      </c>
      <c r="AF12" s="2">
        <v>36</v>
      </c>
      <c r="AG12" s="2">
        <f>AC12+AD12+AE12+AF12</f>
        <v>184.99572000000049</v>
      </c>
      <c r="AH12" s="179">
        <v>2559746.4696000083</v>
      </c>
      <c r="AI12" s="37">
        <f>AH12/14522</f>
        <v>176.26680000000059</v>
      </c>
      <c r="AJ12" s="109">
        <v>787.7300000000032</v>
      </c>
      <c r="AK12" s="179">
        <v>15439508.000000063</v>
      </c>
      <c r="AL12" s="33">
        <f>AK12/14522</f>
        <v>1063.1805536427532</v>
      </c>
      <c r="AM12" s="6"/>
    </row>
    <row r="13" spans="1:39" ht="15">
      <c r="A13" s="30"/>
      <c r="B13" s="49">
        <v>2</v>
      </c>
      <c r="C13" s="228">
        <v>65</v>
      </c>
      <c r="D13" s="229">
        <v>538</v>
      </c>
      <c r="E13" s="182">
        <v>15480.000000000473</v>
      </c>
      <c r="F13" s="179">
        <v>16033874.40000049</v>
      </c>
      <c r="G13" s="179">
        <v>3559.9999999999454</v>
      </c>
      <c r="H13" s="179">
        <v>5531065.1999999154</v>
      </c>
      <c r="I13" s="183">
        <f t="shared" ref="I13:I42" si="0">F13+H13</f>
        <v>21564939.600000404</v>
      </c>
      <c r="J13" s="182">
        <v>1780.0000000000864</v>
      </c>
      <c r="K13" s="179">
        <v>1843688.4000000895</v>
      </c>
      <c r="L13" s="184">
        <v>479.99999999998977</v>
      </c>
      <c r="M13" s="184">
        <v>745761.59999998414</v>
      </c>
      <c r="N13" s="183">
        <f t="shared" ref="N13:N42" si="1">K13+M13</f>
        <v>2589450.0000000736</v>
      </c>
      <c r="O13" s="180">
        <f t="shared" ref="O13:O42" si="2">I13+N13</f>
        <v>24154389.600000478</v>
      </c>
      <c r="P13" s="181">
        <f t="shared" ref="P13:P42" si="3">E13+G13+J13+L13</f>
        <v>21300.000000000495</v>
      </c>
      <c r="Q13" s="140"/>
      <c r="R13" s="151"/>
      <c r="S13" s="160"/>
      <c r="T13" s="159"/>
      <c r="U13" s="158">
        <v>0</v>
      </c>
      <c r="V13" s="138">
        <f t="shared" ref="V13:V42" si="4">W13+Y13</f>
        <v>958.53000000000009</v>
      </c>
      <c r="W13" s="2">
        <v>56.07</v>
      </c>
      <c r="X13" s="179">
        <v>1007605.9350000001</v>
      </c>
      <c r="Y13" s="28">
        <v>902.46</v>
      </c>
      <c r="Z13" s="178">
        <v>3831105.1428000005</v>
      </c>
      <c r="AA13" s="178">
        <f t="shared" ref="AA13:AA42" si="5">X13+Z13</f>
        <v>4838711.0778000001</v>
      </c>
      <c r="AB13" s="100">
        <f t="shared" ref="AB13:AB42" si="6">AA13/$AB$11</f>
        <v>333.19866945324338</v>
      </c>
      <c r="AC13" s="199">
        <v>0</v>
      </c>
      <c r="AD13" s="2">
        <v>85.796400000000034</v>
      </c>
      <c r="AE13" s="2">
        <v>52.847359999999554</v>
      </c>
      <c r="AF13" s="2">
        <v>0</v>
      </c>
      <c r="AG13" s="2">
        <f t="shared" ref="AG13:AG42" si="7">AC13+AD13+AE13+AF13</f>
        <v>138.64375999999959</v>
      </c>
      <c r="AH13" s="179">
        <v>3020899.7967999931</v>
      </c>
      <c r="AI13" s="37">
        <f t="shared" ref="AI13:AI42" si="8">AH13/14522</f>
        <v>208.02229698388604</v>
      </c>
      <c r="AJ13" s="109">
        <v>466.29999999999563</v>
      </c>
      <c r="AK13" s="179">
        <v>9139479.9999999143</v>
      </c>
      <c r="AL13" s="33">
        <f t="shared" ref="AL13:AL42" si="9">AK13/14522</f>
        <v>629.35408345957262</v>
      </c>
      <c r="AM13" s="6"/>
    </row>
    <row r="14" spans="1:39" ht="15">
      <c r="A14" s="30"/>
      <c r="B14" s="49">
        <v>3</v>
      </c>
      <c r="C14" s="228">
        <v>65</v>
      </c>
      <c r="D14" s="229">
        <v>561</v>
      </c>
      <c r="E14" s="182">
        <v>15319.999999999709</v>
      </c>
      <c r="F14" s="179">
        <v>15868149.599999698</v>
      </c>
      <c r="G14" s="179">
        <v>3599.9999999999091</v>
      </c>
      <c r="H14" s="179">
        <v>5593211.9999998594</v>
      </c>
      <c r="I14" s="183">
        <f t="shared" si="0"/>
        <v>21461361.599999558</v>
      </c>
      <c r="J14" s="182">
        <v>1739.9999999998954</v>
      </c>
      <c r="K14" s="179">
        <v>1802257.1999998917</v>
      </c>
      <c r="L14" s="184">
        <v>460.00000000000796</v>
      </c>
      <c r="M14" s="184">
        <v>714688.20000001241</v>
      </c>
      <c r="N14" s="183">
        <f t="shared" si="1"/>
        <v>2516945.399999904</v>
      </c>
      <c r="O14" s="180">
        <f t="shared" si="2"/>
        <v>23978306.999999464</v>
      </c>
      <c r="P14" s="181">
        <f t="shared" si="3"/>
        <v>21119.99999999952</v>
      </c>
      <c r="Q14" s="140"/>
      <c r="R14" s="151"/>
      <c r="S14" s="160"/>
      <c r="T14" s="159"/>
      <c r="U14" s="158">
        <v>0</v>
      </c>
      <c r="V14" s="138">
        <f t="shared" si="4"/>
        <v>875.7600000000001</v>
      </c>
      <c r="W14" s="2">
        <v>101.46000000000001</v>
      </c>
      <c r="X14" s="179">
        <v>1823286.9300000002</v>
      </c>
      <c r="Y14" s="28">
        <v>774.30000000000007</v>
      </c>
      <c r="Z14" s="178">
        <v>3287042.8740000003</v>
      </c>
      <c r="AA14" s="178">
        <f t="shared" si="5"/>
        <v>5110329.8040000005</v>
      </c>
      <c r="AB14" s="100">
        <f t="shared" si="6"/>
        <v>351.90261699490429</v>
      </c>
      <c r="AC14" s="199">
        <v>0</v>
      </c>
      <c r="AD14" s="2">
        <v>101.9083999999998</v>
      </c>
      <c r="AE14" s="2">
        <v>49.584680000001605</v>
      </c>
      <c r="AF14" s="2">
        <v>36</v>
      </c>
      <c r="AG14" s="2">
        <f t="shared" si="7"/>
        <v>187.49308000000141</v>
      </c>
      <c r="AH14" s="179">
        <v>3241651.1144000241</v>
      </c>
      <c r="AI14" s="37">
        <f t="shared" si="8"/>
        <v>223.22346194739183</v>
      </c>
      <c r="AJ14" s="109">
        <v>494.40999999999622</v>
      </c>
      <c r="AK14" s="179">
        <v>9690435.9999999255</v>
      </c>
      <c r="AL14" s="33">
        <f t="shared" si="9"/>
        <v>667.29348574575988</v>
      </c>
      <c r="AM14" s="6"/>
    </row>
    <row r="15" spans="1:39" ht="15">
      <c r="A15" s="30"/>
      <c r="B15" s="49">
        <v>4</v>
      </c>
      <c r="C15" s="228">
        <v>61</v>
      </c>
      <c r="D15" s="229">
        <v>555</v>
      </c>
      <c r="E15" s="182">
        <v>15279.999999999745</v>
      </c>
      <c r="F15" s="179">
        <v>15826718.399999736</v>
      </c>
      <c r="G15" s="179">
        <v>3680.0000000000637</v>
      </c>
      <c r="H15" s="179">
        <v>5717505.6000000993</v>
      </c>
      <c r="I15" s="183">
        <f t="shared" si="0"/>
        <v>21544223.999999836</v>
      </c>
      <c r="J15" s="182">
        <v>1900.0000000000909</v>
      </c>
      <c r="K15" s="179">
        <v>1967982.0000000941</v>
      </c>
      <c r="L15" s="184">
        <v>500</v>
      </c>
      <c r="M15" s="184">
        <v>776835</v>
      </c>
      <c r="N15" s="183">
        <f t="shared" si="1"/>
        <v>2744817.0000000941</v>
      </c>
      <c r="O15" s="180">
        <f t="shared" si="2"/>
        <v>24289040.999999929</v>
      </c>
      <c r="P15" s="181">
        <f t="shared" si="3"/>
        <v>21359.999999999902</v>
      </c>
      <c r="Q15" s="140"/>
      <c r="R15" s="151"/>
      <c r="S15" s="160"/>
      <c r="T15" s="159"/>
      <c r="U15" s="158">
        <v>0</v>
      </c>
      <c r="V15" s="138">
        <f t="shared" si="4"/>
        <v>772.52</v>
      </c>
      <c r="W15" s="2">
        <v>118.37</v>
      </c>
      <c r="X15" s="179">
        <v>2127168.085</v>
      </c>
      <c r="Y15" s="28">
        <v>654.15</v>
      </c>
      <c r="Z15" s="178">
        <v>2776984.497</v>
      </c>
      <c r="AA15" s="178">
        <f t="shared" si="5"/>
        <v>4904152.5820000004</v>
      </c>
      <c r="AB15" s="100">
        <f t="shared" si="6"/>
        <v>337.70503938851402</v>
      </c>
      <c r="AC15" s="199">
        <v>0</v>
      </c>
      <c r="AD15" s="2">
        <v>139.81187999999992</v>
      </c>
      <c r="AE15" s="2">
        <v>76.97507999999867</v>
      </c>
      <c r="AF15" s="2">
        <v>36</v>
      </c>
      <c r="AG15" s="2">
        <f t="shared" si="7"/>
        <v>252.7869599999986</v>
      </c>
      <c r="AH15" s="179">
        <v>4363399.9727999754</v>
      </c>
      <c r="AI15" s="37">
        <f t="shared" si="8"/>
        <v>300.46825318826438</v>
      </c>
      <c r="AJ15" s="109">
        <v>488.52999999999884</v>
      </c>
      <c r="AK15" s="179">
        <v>9575187.9999999776</v>
      </c>
      <c r="AL15" s="33">
        <f t="shared" si="9"/>
        <v>659.35738878942141</v>
      </c>
      <c r="AM15" s="6"/>
    </row>
    <row r="16" spans="1:39" ht="15">
      <c r="A16" s="30"/>
      <c r="B16" s="49">
        <v>5</v>
      </c>
      <c r="C16" s="228">
        <v>84</v>
      </c>
      <c r="D16" s="229">
        <v>649</v>
      </c>
      <c r="E16" s="182">
        <v>14960.000000000036</v>
      </c>
      <c r="F16" s="179">
        <v>15495268.800000038</v>
      </c>
      <c r="G16" s="179">
        <v>3600.0000000001364</v>
      </c>
      <c r="H16" s="179">
        <v>5593212.0000002123</v>
      </c>
      <c r="I16" s="183">
        <f t="shared" si="0"/>
        <v>21088480.80000025</v>
      </c>
      <c r="J16" s="182">
        <v>1699.9999999999318</v>
      </c>
      <c r="K16" s="179">
        <v>1760825.9999999292</v>
      </c>
      <c r="L16" s="184">
        <v>467.99999999998931</v>
      </c>
      <c r="M16" s="184">
        <v>727117.55999998341</v>
      </c>
      <c r="N16" s="183">
        <f t="shared" si="1"/>
        <v>2487943.5599999125</v>
      </c>
      <c r="O16" s="180">
        <f t="shared" si="2"/>
        <v>23576424.360000163</v>
      </c>
      <c r="P16" s="181">
        <f t="shared" si="3"/>
        <v>20728.000000000095</v>
      </c>
      <c r="Q16" s="140"/>
      <c r="R16" s="151"/>
      <c r="S16" s="160"/>
      <c r="T16" s="159"/>
      <c r="U16" s="158">
        <v>0</v>
      </c>
      <c r="V16" s="138">
        <f t="shared" si="4"/>
        <v>745.81999999999994</v>
      </c>
      <c r="W16" s="2">
        <v>76.540000000000006</v>
      </c>
      <c r="X16" s="179">
        <v>1375462.07</v>
      </c>
      <c r="Y16" s="28">
        <v>669.28</v>
      </c>
      <c r="Z16" s="178">
        <v>2841214.0704000001</v>
      </c>
      <c r="AA16" s="178">
        <f t="shared" si="5"/>
        <v>4216676.1403999999</v>
      </c>
      <c r="AB16" s="100">
        <f t="shared" si="6"/>
        <v>290.36469772758574</v>
      </c>
      <c r="AC16" s="199">
        <v>0</v>
      </c>
      <c r="AD16" s="2">
        <v>215</v>
      </c>
      <c r="AE16" s="2">
        <v>73.430439999998228</v>
      </c>
      <c r="AF16" s="2">
        <v>36</v>
      </c>
      <c r="AG16" s="2">
        <f t="shared" si="7"/>
        <v>324.43043999999821</v>
      </c>
      <c r="AH16" s="179">
        <v>4962836.7655999754</v>
      </c>
      <c r="AI16" s="37">
        <f t="shared" si="8"/>
        <v>341.74609321029993</v>
      </c>
      <c r="AJ16" s="109">
        <v>471.45999999999913</v>
      </c>
      <c r="AK16" s="179">
        <v>9240615.9999999832</v>
      </c>
      <c r="AL16" s="33">
        <f t="shared" si="9"/>
        <v>636.31841344167356</v>
      </c>
      <c r="AM16" s="6"/>
    </row>
    <row r="17" spans="1:39" ht="15">
      <c r="A17" s="30"/>
      <c r="B17" s="49">
        <v>6</v>
      </c>
      <c r="C17" s="228">
        <v>87</v>
      </c>
      <c r="D17" s="229">
        <v>771</v>
      </c>
      <c r="E17" s="182">
        <v>15400.000000000546</v>
      </c>
      <c r="F17" s="179">
        <v>15951012.000000564</v>
      </c>
      <c r="G17" s="179">
        <v>3959.999999999809</v>
      </c>
      <c r="H17" s="179">
        <v>6152533.1999997031</v>
      </c>
      <c r="I17" s="183">
        <f t="shared" si="0"/>
        <v>22103545.200000267</v>
      </c>
      <c r="J17" s="182">
        <v>1800.0000000000682</v>
      </c>
      <c r="K17" s="179">
        <v>1864404.0000000705</v>
      </c>
      <c r="L17" s="184">
        <v>492.00000000001864</v>
      </c>
      <c r="M17" s="184">
        <v>764405.640000029</v>
      </c>
      <c r="N17" s="183">
        <f t="shared" si="1"/>
        <v>2628809.6400000993</v>
      </c>
      <c r="O17" s="180">
        <f t="shared" si="2"/>
        <v>24732354.840000369</v>
      </c>
      <c r="P17" s="181">
        <f t="shared" si="3"/>
        <v>21652.000000000444</v>
      </c>
      <c r="Q17" s="140"/>
      <c r="R17" s="151"/>
      <c r="S17" s="160"/>
      <c r="T17" s="159"/>
      <c r="U17" s="158">
        <v>0</v>
      </c>
      <c r="V17" s="138">
        <f t="shared" si="4"/>
        <v>880.21</v>
      </c>
      <c r="W17" s="2">
        <v>79.210000000000008</v>
      </c>
      <c r="X17" s="179">
        <v>1423443.3050000002</v>
      </c>
      <c r="Y17" s="28">
        <v>801</v>
      </c>
      <c r="Z17" s="178">
        <v>3400389.18</v>
      </c>
      <c r="AA17" s="178">
        <f t="shared" si="5"/>
        <v>4823832.4850000003</v>
      </c>
      <c r="AB17" s="100">
        <f t="shared" si="6"/>
        <v>332.1741141027407</v>
      </c>
      <c r="AC17" s="234">
        <v>339.88263999996013</v>
      </c>
      <c r="AD17" s="2">
        <v>89.099360000000004</v>
      </c>
      <c r="AE17" s="2">
        <v>77.297320000002046</v>
      </c>
      <c r="AF17" s="2">
        <v>0</v>
      </c>
      <c r="AG17" s="2">
        <f t="shared" si="7"/>
        <v>506.27931999996218</v>
      </c>
      <c r="AH17" s="179">
        <v>8533051.5796697941</v>
      </c>
      <c r="AI17" s="37">
        <f t="shared" si="8"/>
        <v>587.59479270553607</v>
      </c>
      <c r="AJ17" s="109">
        <v>110.93000000000029</v>
      </c>
      <c r="AK17" s="179">
        <v>2174228.0000000056</v>
      </c>
      <c r="AL17" s="33">
        <f t="shared" si="9"/>
        <v>149.71959785153598</v>
      </c>
      <c r="AM17" s="6"/>
    </row>
    <row r="18" spans="1:39" ht="15">
      <c r="A18" s="30"/>
      <c r="B18" s="49">
        <v>7</v>
      </c>
      <c r="C18" s="228">
        <v>74</v>
      </c>
      <c r="D18" s="229">
        <v>664</v>
      </c>
      <c r="E18" s="182">
        <v>14719.999999999345</v>
      </c>
      <c r="F18" s="179">
        <v>15246681.599999322</v>
      </c>
      <c r="G18" s="179">
        <v>3560.0000000001728</v>
      </c>
      <c r="H18" s="179">
        <v>5531065.2000002684</v>
      </c>
      <c r="I18" s="183">
        <f t="shared" si="0"/>
        <v>20777746.799999591</v>
      </c>
      <c r="J18" s="182">
        <v>1779.9999999999727</v>
      </c>
      <c r="K18" s="179">
        <v>1843688.3999999717</v>
      </c>
      <c r="L18" s="184">
        <v>479.99999999998977</v>
      </c>
      <c r="M18" s="184">
        <v>745761.59999998414</v>
      </c>
      <c r="N18" s="183">
        <f t="shared" si="1"/>
        <v>2589449.9999999558</v>
      </c>
      <c r="O18" s="180">
        <f t="shared" si="2"/>
        <v>23367196.799999546</v>
      </c>
      <c r="P18" s="181">
        <f t="shared" si="3"/>
        <v>20539.99999999948</v>
      </c>
      <c r="Q18" s="140"/>
      <c r="R18" s="151"/>
      <c r="S18" s="160"/>
      <c r="T18" s="159"/>
      <c r="U18" s="158">
        <v>0</v>
      </c>
      <c r="V18" s="138">
        <f t="shared" si="4"/>
        <v>808.12</v>
      </c>
      <c r="W18" s="2">
        <v>0</v>
      </c>
      <c r="X18" s="179">
        <v>0</v>
      </c>
      <c r="Y18" s="28">
        <v>808.12</v>
      </c>
      <c r="Z18" s="178">
        <v>3430614.8616000004</v>
      </c>
      <c r="AA18" s="178">
        <f t="shared" si="5"/>
        <v>3430614.8616000004</v>
      </c>
      <c r="AB18" s="100">
        <f t="shared" si="6"/>
        <v>236.23570180415925</v>
      </c>
      <c r="AC18" s="234">
        <v>307.73920000003511</v>
      </c>
      <c r="AD18" s="2">
        <v>107.30591999999993</v>
      </c>
      <c r="AE18" s="2">
        <v>74.719400000000718</v>
      </c>
      <c r="AF18" s="2">
        <v>12</v>
      </c>
      <c r="AG18" s="2">
        <f t="shared" si="7"/>
        <v>501.76452000003576</v>
      </c>
      <c r="AH18" s="179">
        <v>8285059.2493125759</v>
      </c>
      <c r="AI18" s="37">
        <f t="shared" si="8"/>
        <v>570.51778331583637</v>
      </c>
      <c r="AJ18" s="109">
        <v>48.720000000001164</v>
      </c>
      <c r="AK18" s="179">
        <v>954912.00000002282</v>
      </c>
      <c r="AL18" s="33">
        <f t="shared" si="9"/>
        <v>65.756231923978987</v>
      </c>
      <c r="AM18" s="6"/>
    </row>
    <row r="19" spans="1:39" ht="15">
      <c r="A19" s="30"/>
      <c r="B19" s="49">
        <v>8</v>
      </c>
      <c r="C19" s="228">
        <v>81</v>
      </c>
      <c r="D19" s="229">
        <v>643</v>
      </c>
      <c r="E19" s="182">
        <v>14400.000000000546</v>
      </c>
      <c r="F19" s="179">
        <v>14915232.000000564</v>
      </c>
      <c r="G19" s="179">
        <v>3399.9999999998636</v>
      </c>
      <c r="H19" s="179">
        <v>5282477.9999997886</v>
      </c>
      <c r="I19" s="183">
        <f t="shared" si="0"/>
        <v>20197710.000000354</v>
      </c>
      <c r="J19" s="182">
        <v>1539.9999999999636</v>
      </c>
      <c r="K19" s="179">
        <v>1595101.1999999622</v>
      </c>
      <c r="L19" s="184">
        <v>439.99999999999773</v>
      </c>
      <c r="M19" s="184">
        <v>683614.79999999655</v>
      </c>
      <c r="N19" s="183">
        <f t="shared" si="1"/>
        <v>2278715.999999959</v>
      </c>
      <c r="O19" s="180">
        <f t="shared" si="2"/>
        <v>22476426.000000313</v>
      </c>
      <c r="P19" s="181">
        <f t="shared" si="3"/>
        <v>19780.000000000367</v>
      </c>
      <c r="Q19" s="140"/>
      <c r="R19" s="151"/>
      <c r="S19" s="160"/>
      <c r="T19" s="159"/>
      <c r="U19" s="158">
        <v>0</v>
      </c>
      <c r="V19" s="138">
        <f t="shared" si="4"/>
        <v>896.23</v>
      </c>
      <c r="W19" s="2">
        <v>93.45</v>
      </c>
      <c r="X19" s="179">
        <v>1679343.2250000001</v>
      </c>
      <c r="Y19" s="28">
        <v>802.78</v>
      </c>
      <c r="Z19" s="178">
        <v>3407945.6004000003</v>
      </c>
      <c r="AA19" s="178">
        <f t="shared" si="5"/>
        <v>5087288.8254000004</v>
      </c>
      <c r="AB19" s="100">
        <f t="shared" si="6"/>
        <v>350.31599128219256</v>
      </c>
      <c r="AC19" s="234">
        <v>452.66664000001873</v>
      </c>
      <c r="AD19" s="2">
        <v>119.4301999999999</v>
      </c>
      <c r="AE19" s="2">
        <v>78.545999999999992</v>
      </c>
      <c r="AF19" s="2">
        <v>12</v>
      </c>
      <c r="AG19" s="2">
        <f t="shared" si="7"/>
        <v>662.64284000001862</v>
      </c>
      <c r="AH19" s="179">
        <v>11100841.6475107</v>
      </c>
      <c r="AI19" s="37">
        <f t="shared" si="8"/>
        <v>764.41548323307393</v>
      </c>
      <c r="AJ19" s="109">
        <v>67.529999999998836</v>
      </c>
      <c r="AK19" s="179">
        <v>1323587.9999999772</v>
      </c>
      <c r="AL19" s="33">
        <f t="shared" si="9"/>
        <v>91.143644126151855</v>
      </c>
      <c r="AM19" s="6"/>
    </row>
    <row r="20" spans="1:39" ht="15">
      <c r="A20" s="30"/>
      <c r="B20" s="49">
        <v>9</v>
      </c>
      <c r="C20" s="228">
        <v>99</v>
      </c>
      <c r="D20" s="229">
        <v>679</v>
      </c>
      <c r="E20" s="182">
        <v>14680.000000000291</v>
      </c>
      <c r="F20" s="179">
        <v>15205250.4000003</v>
      </c>
      <c r="G20" s="179">
        <v>3480.0000000000182</v>
      </c>
      <c r="H20" s="179">
        <v>5406771.6000000285</v>
      </c>
      <c r="I20" s="183">
        <f t="shared" si="0"/>
        <v>20612022.000000328</v>
      </c>
      <c r="J20" s="182">
        <v>1720.0000000000273</v>
      </c>
      <c r="K20" s="179">
        <v>1781541.6000000283</v>
      </c>
      <c r="L20" s="184">
        <v>460.00000000000796</v>
      </c>
      <c r="M20" s="184">
        <v>714688.20000001241</v>
      </c>
      <c r="N20" s="183">
        <f t="shared" si="1"/>
        <v>2496229.8000000408</v>
      </c>
      <c r="O20" s="180">
        <f t="shared" si="2"/>
        <v>23108251.80000037</v>
      </c>
      <c r="P20" s="181">
        <f t="shared" si="3"/>
        <v>20340.000000000342</v>
      </c>
      <c r="Q20" s="140"/>
      <c r="R20" s="151"/>
      <c r="S20" s="160"/>
      <c r="T20" s="159"/>
      <c r="U20" s="158">
        <v>0</v>
      </c>
      <c r="V20" s="138">
        <f t="shared" si="4"/>
        <v>931.83</v>
      </c>
      <c r="W20" s="2">
        <v>79.210000000000008</v>
      </c>
      <c r="X20" s="179">
        <v>1423443.3050000002</v>
      </c>
      <c r="Y20" s="28">
        <v>852.62</v>
      </c>
      <c r="Z20" s="178">
        <v>3619525.3716000002</v>
      </c>
      <c r="AA20" s="178">
        <f t="shared" si="5"/>
        <v>5042968.6765999999</v>
      </c>
      <c r="AB20" s="100">
        <f t="shared" si="6"/>
        <v>347.26405981269795</v>
      </c>
      <c r="AC20" s="234">
        <v>177.63479999996483</v>
      </c>
      <c r="AD20" s="2">
        <v>112.58260000000017</v>
      </c>
      <c r="AE20" s="2">
        <v>68.757959999998818</v>
      </c>
      <c r="AF20" s="2">
        <v>24</v>
      </c>
      <c r="AG20" s="2">
        <f t="shared" si="7"/>
        <v>382.97535999996381</v>
      </c>
      <c r="AH20" s="179">
        <v>6182730.7357274173</v>
      </c>
      <c r="AI20" s="37">
        <f t="shared" si="8"/>
        <v>425.74925876101207</v>
      </c>
      <c r="AJ20" s="109">
        <v>528.63000000000466</v>
      </c>
      <c r="AK20" s="179">
        <v>10361148.000000091</v>
      </c>
      <c r="AL20" s="33">
        <f t="shared" si="9"/>
        <v>713.47941054951741</v>
      </c>
      <c r="AM20" s="6"/>
    </row>
    <row r="21" spans="1:39" ht="15">
      <c r="A21" s="30"/>
      <c r="B21" s="49">
        <v>10</v>
      </c>
      <c r="C21" s="228">
        <v>93</v>
      </c>
      <c r="D21" s="229">
        <v>621</v>
      </c>
      <c r="E21" s="182">
        <v>14919.999999999163</v>
      </c>
      <c r="F21" s="179">
        <v>15453837.599999133</v>
      </c>
      <c r="G21" s="179">
        <v>3519.9999999999818</v>
      </c>
      <c r="H21" s="179">
        <v>5468918.3999999724</v>
      </c>
      <c r="I21" s="183">
        <f t="shared" si="0"/>
        <v>20922755.999999106</v>
      </c>
      <c r="J21" s="182">
        <v>1879.9999999999955</v>
      </c>
      <c r="K21" s="179">
        <v>1947266.3999999953</v>
      </c>
      <c r="L21" s="184">
        <v>460.00000000000796</v>
      </c>
      <c r="M21" s="184">
        <v>714688.20000001241</v>
      </c>
      <c r="N21" s="183">
        <f t="shared" si="1"/>
        <v>2661954.6000000075</v>
      </c>
      <c r="O21" s="180">
        <f t="shared" si="2"/>
        <v>23584710.599999115</v>
      </c>
      <c r="P21" s="181">
        <f t="shared" si="3"/>
        <v>20779.999999999149</v>
      </c>
      <c r="Q21" s="140"/>
      <c r="R21" s="151"/>
      <c r="S21" s="160"/>
      <c r="T21" s="159"/>
      <c r="U21" s="158">
        <v>0</v>
      </c>
      <c r="V21" s="138">
        <f t="shared" si="4"/>
        <v>937.17</v>
      </c>
      <c r="W21" s="2">
        <v>98.79</v>
      </c>
      <c r="X21" s="179">
        <v>1775305.6950000001</v>
      </c>
      <c r="Y21" s="28">
        <v>838.38</v>
      </c>
      <c r="Z21" s="178">
        <v>3559074.0084000002</v>
      </c>
      <c r="AA21" s="178">
        <f t="shared" si="5"/>
        <v>5334379.7034</v>
      </c>
      <c r="AB21" s="100">
        <f t="shared" si="6"/>
        <v>367.33092572648394</v>
      </c>
      <c r="AC21" s="199">
        <v>0</v>
      </c>
      <c r="AD21" s="2">
        <v>123.82071999999957</v>
      </c>
      <c r="AE21" s="2">
        <v>68.717679999997941</v>
      </c>
      <c r="AF21" s="2">
        <v>12</v>
      </c>
      <c r="AG21" s="2">
        <f t="shared" si="7"/>
        <v>204.53839999999752</v>
      </c>
      <c r="AH21" s="179">
        <v>3307809.7119999574</v>
      </c>
      <c r="AI21" s="37">
        <f t="shared" si="8"/>
        <v>227.7792116788292</v>
      </c>
      <c r="AJ21" s="109">
        <v>421.15999999999622</v>
      </c>
      <c r="AK21" s="179">
        <v>8254735.9999999255</v>
      </c>
      <c r="AL21" s="33">
        <f t="shared" si="9"/>
        <v>568.42969287976348</v>
      </c>
      <c r="AM21" s="6"/>
    </row>
    <row r="22" spans="1:39" ht="15">
      <c r="A22" s="30"/>
      <c r="B22" s="49">
        <v>11</v>
      </c>
      <c r="C22" s="228">
        <v>92</v>
      </c>
      <c r="D22" s="229">
        <v>854</v>
      </c>
      <c r="E22" s="182">
        <v>15920.000000000073</v>
      </c>
      <c r="F22" s="179">
        <v>16489617.600000074</v>
      </c>
      <c r="G22" s="179">
        <v>4080.0000000001546</v>
      </c>
      <c r="H22" s="179">
        <v>6338973.6000002408</v>
      </c>
      <c r="I22" s="183">
        <f t="shared" si="0"/>
        <v>22828591.200000316</v>
      </c>
      <c r="J22" s="182">
        <v>1799.9999999999545</v>
      </c>
      <c r="K22" s="179">
        <v>1864403.9999999527</v>
      </c>
      <c r="L22" s="184">
        <v>500</v>
      </c>
      <c r="M22" s="184">
        <v>776835</v>
      </c>
      <c r="N22" s="183">
        <f t="shared" si="1"/>
        <v>2641238.9999999525</v>
      </c>
      <c r="O22" s="180">
        <f t="shared" si="2"/>
        <v>25469830.200000267</v>
      </c>
      <c r="P22" s="181">
        <f t="shared" si="3"/>
        <v>22300.000000000182</v>
      </c>
      <c r="Q22" s="140"/>
      <c r="R22" s="151"/>
      <c r="S22" s="160"/>
      <c r="T22" s="159"/>
      <c r="U22" s="158">
        <v>0</v>
      </c>
      <c r="V22" s="138">
        <f t="shared" si="4"/>
        <v>916.7</v>
      </c>
      <c r="W22" s="2">
        <v>117.48</v>
      </c>
      <c r="X22" s="179">
        <v>2111174.34</v>
      </c>
      <c r="Y22" s="28">
        <v>799.22</v>
      </c>
      <c r="Z22" s="178">
        <v>3392832.7596000005</v>
      </c>
      <c r="AA22" s="178">
        <f t="shared" si="5"/>
        <v>5504007.0996000003</v>
      </c>
      <c r="AB22" s="100">
        <f t="shared" si="6"/>
        <v>379.01164437405316</v>
      </c>
      <c r="AC22" s="199">
        <v>0</v>
      </c>
      <c r="AD22" s="2">
        <v>146.29696000000018</v>
      </c>
      <c r="AE22" s="2">
        <v>69.845520000000576</v>
      </c>
      <c r="AF22" s="2">
        <v>0</v>
      </c>
      <c r="AG22" s="2">
        <f t="shared" si="7"/>
        <v>216.14248000000077</v>
      </c>
      <c r="AH22" s="179">
        <v>3713327.8064000132</v>
      </c>
      <c r="AI22" s="37">
        <f t="shared" si="8"/>
        <v>255.70360875912499</v>
      </c>
      <c r="AJ22" s="109">
        <v>643.62999999999738</v>
      </c>
      <c r="AK22" s="179">
        <v>12615147.999999948</v>
      </c>
      <c r="AL22" s="33">
        <f t="shared" si="9"/>
        <v>868.6921911582391</v>
      </c>
      <c r="AM22" s="6"/>
    </row>
    <row r="23" spans="1:39" ht="15">
      <c r="A23" s="30"/>
      <c r="B23" s="49">
        <v>12</v>
      </c>
      <c r="C23" s="228">
        <v>94</v>
      </c>
      <c r="D23" s="229">
        <v>907</v>
      </c>
      <c r="E23" s="182">
        <v>16960.000000000036</v>
      </c>
      <c r="F23" s="179">
        <v>17566828.800000038</v>
      </c>
      <c r="G23" s="179">
        <v>4359.9999999999</v>
      </c>
      <c r="H23" s="179">
        <v>6774001.1999998447</v>
      </c>
      <c r="I23" s="183">
        <f t="shared" si="0"/>
        <v>24340829.999999881</v>
      </c>
      <c r="J23" s="182">
        <v>1900.0000000000909</v>
      </c>
      <c r="K23" s="179">
        <v>1967982.0000000941</v>
      </c>
      <c r="L23" s="184">
        <v>599.99999999999432</v>
      </c>
      <c r="M23" s="184">
        <v>932201.99999999127</v>
      </c>
      <c r="N23" s="183">
        <f t="shared" si="1"/>
        <v>2900184.0000000852</v>
      </c>
      <c r="O23" s="180">
        <f t="shared" si="2"/>
        <v>27241013.999999966</v>
      </c>
      <c r="P23" s="181">
        <f t="shared" si="3"/>
        <v>23820.000000000018</v>
      </c>
      <c r="Q23" s="140"/>
      <c r="R23" s="151"/>
      <c r="S23" s="160"/>
      <c r="T23" s="159"/>
      <c r="U23" s="158">
        <v>0</v>
      </c>
      <c r="V23" s="138">
        <f t="shared" si="4"/>
        <v>962.09</v>
      </c>
      <c r="W23" s="2">
        <v>117.48</v>
      </c>
      <c r="X23" s="179">
        <v>2111174.34</v>
      </c>
      <c r="Y23" s="28">
        <v>844.61</v>
      </c>
      <c r="Z23" s="178">
        <v>3585521.4798000003</v>
      </c>
      <c r="AA23" s="178">
        <f t="shared" si="5"/>
        <v>5696695.8198000006</v>
      </c>
      <c r="AB23" s="100">
        <f t="shared" si="6"/>
        <v>392.2803897397053</v>
      </c>
      <c r="AC23" s="199">
        <v>0</v>
      </c>
      <c r="AD23" s="2">
        <v>119.51075999999982</v>
      </c>
      <c r="AE23" s="2">
        <v>68.717680000001607</v>
      </c>
      <c r="AF23" s="2">
        <v>0</v>
      </c>
      <c r="AG23" s="2">
        <f t="shared" si="7"/>
        <v>188.22844000000143</v>
      </c>
      <c r="AH23" s="179">
        <v>3659764.5992000243</v>
      </c>
      <c r="AI23" s="37">
        <f t="shared" si="8"/>
        <v>252.01519068998928</v>
      </c>
      <c r="AJ23" s="109">
        <v>451.4600000000064</v>
      </c>
      <c r="AK23" s="179">
        <v>8848616.0000001248</v>
      </c>
      <c r="AL23" s="33">
        <f t="shared" si="9"/>
        <v>609.32488637929521</v>
      </c>
      <c r="AM23" s="6"/>
    </row>
    <row r="24" spans="1:39" ht="15">
      <c r="A24" s="30"/>
      <c r="B24" s="49">
        <v>13</v>
      </c>
      <c r="C24" s="228">
        <v>96</v>
      </c>
      <c r="D24" s="229">
        <v>642</v>
      </c>
      <c r="E24" s="182">
        <v>16680.000000000291</v>
      </c>
      <c r="F24" s="179">
        <v>17276810.4000003</v>
      </c>
      <c r="G24" s="179">
        <v>3920.0000000000728</v>
      </c>
      <c r="H24" s="179">
        <v>6090386.4000001131</v>
      </c>
      <c r="I24" s="183">
        <f t="shared" si="0"/>
        <v>23367196.800000414</v>
      </c>
      <c r="J24" s="182">
        <v>2159.9999999999682</v>
      </c>
      <c r="K24" s="179">
        <v>2237284.7999999668</v>
      </c>
      <c r="L24" s="184">
        <v>460.00000000000796</v>
      </c>
      <c r="M24" s="184">
        <v>714688.20000001241</v>
      </c>
      <c r="N24" s="183">
        <f t="shared" si="1"/>
        <v>2951972.999999979</v>
      </c>
      <c r="O24" s="180">
        <f t="shared" si="2"/>
        <v>26319169.800000392</v>
      </c>
      <c r="P24" s="181">
        <f t="shared" si="3"/>
        <v>23220.000000000338</v>
      </c>
      <c r="Q24" s="140"/>
      <c r="R24" s="140"/>
      <c r="S24" s="160"/>
      <c r="T24" s="159"/>
      <c r="U24" s="158">
        <v>0</v>
      </c>
      <c r="V24" s="138">
        <f t="shared" si="4"/>
        <v>936.28</v>
      </c>
      <c r="W24" s="2">
        <v>65.86</v>
      </c>
      <c r="X24" s="179">
        <v>1183537.1299999999</v>
      </c>
      <c r="Y24" s="28">
        <v>870.42</v>
      </c>
      <c r="Z24" s="178">
        <v>3695089.5756000001</v>
      </c>
      <c r="AA24" s="178">
        <f t="shared" si="5"/>
        <v>4878626.7056</v>
      </c>
      <c r="AB24" s="100">
        <f t="shared" si="6"/>
        <v>335.94730103291556</v>
      </c>
      <c r="AC24" s="199">
        <v>0</v>
      </c>
      <c r="AD24" s="2">
        <v>188</v>
      </c>
      <c r="AE24" s="2">
        <v>57.600400000000725</v>
      </c>
      <c r="AF24" s="2">
        <v>24</v>
      </c>
      <c r="AG24" s="2">
        <f t="shared" si="7"/>
        <v>269.60040000000072</v>
      </c>
      <c r="AH24" s="179">
        <v>5078537.700000016</v>
      </c>
      <c r="AI24" s="37">
        <f t="shared" si="8"/>
        <v>349.71337969976696</v>
      </c>
      <c r="AJ24" s="109">
        <v>434.38999999999942</v>
      </c>
      <c r="AK24" s="179">
        <v>8514043.9999999888</v>
      </c>
      <c r="AL24" s="33">
        <f t="shared" si="9"/>
        <v>586.28591103153758</v>
      </c>
      <c r="AM24" s="6"/>
    </row>
    <row r="25" spans="1:39" ht="15">
      <c r="A25" s="30"/>
      <c r="B25" s="49">
        <v>14</v>
      </c>
      <c r="C25" s="228">
        <v>81</v>
      </c>
      <c r="D25" s="229">
        <v>647</v>
      </c>
      <c r="E25" s="182">
        <v>16720.000000000255</v>
      </c>
      <c r="F25" s="179">
        <v>17318241.600000262</v>
      </c>
      <c r="G25" s="179">
        <v>3879.9999999998818</v>
      </c>
      <c r="H25" s="179">
        <v>6028239.5999998162</v>
      </c>
      <c r="I25" s="183">
        <f t="shared" si="0"/>
        <v>23346481.200000077</v>
      </c>
      <c r="J25" s="182">
        <v>2059.9999999999454</v>
      </c>
      <c r="K25" s="179">
        <v>2133706.7999999435</v>
      </c>
      <c r="L25" s="184">
        <v>579.99999999998408</v>
      </c>
      <c r="M25" s="184">
        <v>901128.5999999753</v>
      </c>
      <c r="N25" s="183">
        <f t="shared" si="1"/>
        <v>3034835.3999999189</v>
      </c>
      <c r="O25" s="180">
        <f t="shared" si="2"/>
        <v>26381316.599999998</v>
      </c>
      <c r="P25" s="181">
        <f t="shared" si="3"/>
        <v>23240.000000000069</v>
      </c>
      <c r="Q25" s="141"/>
      <c r="R25" s="141"/>
      <c r="S25" s="160"/>
      <c r="T25" s="159"/>
      <c r="U25" s="158">
        <v>0</v>
      </c>
      <c r="V25" s="138">
        <f t="shared" si="4"/>
        <v>1025.28</v>
      </c>
      <c r="W25" s="2">
        <v>165.54</v>
      </c>
      <c r="X25" s="179">
        <v>2974836.57</v>
      </c>
      <c r="Y25" s="28">
        <v>859.74</v>
      </c>
      <c r="Z25" s="178">
        <v>3649751.0532000004</v>
      </c>
      <c r="AA25" s="178">
        <f t="shared" si="5"/>
        <v>6624587.6232000003</v>
      </c>
      <c r="AB25" s="100">
        <f t="shared" si="6"/>
        <v>456.17598286737365</v>
      </c>
      <c r="AC25" s="199">
        <v>0</v>
      </c>
      <c r="AD25" s="2">
        <v>115.68416000000009</v>
      </c>
      <c r="AE25" s="2">
        <v>79.271039999997498</v>
      </c>
      <c r="AF25" s="2">
        <v>48</v>
      </c>
      <c r="AG25" s="2">
        <f t="shared" si="7"/>
        <v>242.9551999999976</v>
      </c>
      <c r="AH25" s="179">
        <v>3562330.3359999582</v>
      </c>
      <c r="AI25" s="37">
        <f t="shared" si="8"/>
        <v>245.30576614791065</v>
      </c>
      <c r="AJ25" s="109">
        <v>578.12999999999738</v>
      </c>
      <c r="AK25" s="179">
        <v>11331347.999999948</v>
      </c>
      <c r="AL25" s="33">
        <f t="shared" si="9"/>
        <v>780.288390028918</v>
      </c>
      <c r="AM25" s="6"/>
    </row>
    <row r="26" spans="1:39" ht="15">
      <c r="A26" s="30"/>
      <c r="B26" s="49">
        <v>15</v>
      </c>
      <c r="C26" s="228">
        <v>94</v>
      </c>
      <c r="D26" s="229">
        <v>657</v>
      </c>
      <c r="E26" s="182">
        <v>15639.999999999418</v>
      </c>
      <c r="F26" s="179">
        <v>16199599.199999396</v>
      </c>
      <c r="G26" s="179">
        <v>4039.9999999999636</v>
      </c>
      <c r="H26" s="179">
        <v>6276826.7999999439</v>
      </c>
      <c r="I26" s="183">
        <f t="shared" si="0"/>
        <v>22476425.999999341</v>
      </c>
      <c r="J26" s="182">
        <v>1660.0000000000819</v>
      </c>
      <c r="K26" s="179">
        <v>1719394.8000000848</v>
      </c>
      <c r="L26" s="184">
        <v>360.00000000001364</v>
      </c>
      <c r="M26" s="184">
        <v>559321.20000002126</v>
      </c>
      <c r="N26" s="183">
        <f t="shared" si="1"/>
        <v>2278716.0000001062</v>
      </c>
      <c r="O26" s="180">
        <f t="shared" si="2"/>
        <v>24755141.999999449</v>
      </c>
      <c r="P26" s="181">
        <f t="shared" si="3"/>
        <v>21699.999999999476</v>
      </c>
      <c r="Q26" s="140"/>
      <c r="R26" s="151"/>
      <c r="S26" s="160"/>
      <c r="T26" s="159"/>
      <c r="U26" s="158">
        <v>0</v>
      </c>
      <c r="V26" s="138">
        <f t="shared" si="4"/>
        <v>946.06999999999994</v>
      </c>
      <c r="W26" s="2">
        <v>136.17000000000002</v>
      </c>
      <c r="X26" s="179">
        <v>2447042.9850000003</v>
      </c>
      <c r="Y26" s="28">
        <v>809.9</v>
      </c>
      <c r="Z26" s="178">
        <v>3438171.2820000001</v>
      </c>
      <c r="AA26" s="178">
        <f t="shared" si="5"/>
        <v>5885214.2670000009</v>
      </c>
      <c r="AB26" s="100">
        <f t="shared" si="6"/>
        <v>405.26196577606396</v>
      </c>
      <c r="AC26" s="199">
        <v>0</v>
      </c>
      <c r="AD26" s="2">
        <v>130.30580000000009</v>
      </c>
      <c r="AE26" s="2">
        <v>51.638960000002484</v>
      </c>
      <c r="AF26" s="2">
        <v>12</v>
      </c>
      <c r="AG26" s="2">
        <f t="shared" si="7"/>
        <v>193.94476000000259</v>
      </c>
      <c r="AH26" s="179">
        <v>3338810.9768000445</v>
      </c>
      <c r="AI26" s="37">
        <f t="shared" si="8"/>
        <v>229.91399096543483</v>
      </c>
      <c r="AJ26" s="109">
        <v>528.94999999999709</v>
      </c>
      <c r="AK26" s="179">
        <v>10367419.999999942</v>
      </c>
      <c r="AL26" s="33">
        <f t="shared" si="9"/>
        <v>713.91130698250527</v>
      </c>
      <c r="AM26" s="6"/>
    </row>
    <row r="27" spans="1:39" ht="15">
      <c r="A27" s="30"/>
      <c r="B27" s="49">
        <v>16</v>
      </c>
      <c r="C27" s="228">
        <v>86</v>
      </c>
      <c r="D27" s="229">
        <v>608</v>
      </c>
      <c r="E27" s="182">
        <v>16000</v>
      </c>
      <c r="F27" s="179">
        <v>16572480</v>
      </c>
      <c r="G27" s="179">
        <v>3640.0000000001</v>
      </c>
      <c r="H27" s="179">
        <v>5655358.8000001553</v>
      </c>
      <c r="I27" s="183">
        <f t="shared" si="0"/>
        <v>22227838.800000153</v>
      </c>
      <c r="J27" s="182">
        <v>1419.9999999999591</v>
      </c>
      <c r="K27" s="179">
        <v>1470807.5999999575</v>
      </c>
      <c r="L27" s="184">
        <v>379.99999999999545</v>
      </c>
      <c r="M27" s="184">
        <v>590394.59999999299</v>
      </c>
      <c r="N27" s="183">
        <f t="shared" si="1"/>
        <v>2061202.1999999504</v>
      </c>
      <c r="O27" s="180">
        <f t="shared" si="2"/>
        <v>24289041.000000104</v>
      </c>
      <c r="P27" s="181">
        <f t="shared" si="3"/>
        <v>21440.000000000058</v>
      </c>
      <c r="Q27" s="140"/>
      <c r="R27" s="140"/>
      <c r="S27" s="160"/>
      <c r="T27" s="159"/>
      <c r="U27" s="158">
        <v>0</v>
      </c>
      <c r="V27" s="138">
        <f t="shared" si="4"/>
        <v>726.24</v>
      </c>
      <c r="W27" s="2">
        <v>49.84</v>
      </c>
      <c r="X27" s="179">
        <v>895649.72000000009</v>
      </c>
      <c r="Y27" s="28">
        <v>676.4</v>
      </c>
      <c r="Z27" s="178">
        <v>2871439.7520000003</v>
      </c>
      <c r="AA27" s="178">
        <f t="shared" si="5"/>
        <v>3767089.4720000005</v>
      </c>
      <c r="AB27" s="100">
        <f t="shared" si="6"/>
        <v>259.40569287976865</v>
      </c>
      <c r="AC27" s="199">
        <v>0</v>
      </c>
      <c r="AD27" s="2">
        <v>87.488159999999638</v>
      </c>
      <c r="AE27" s="2">
        <v>69.03991999999765</v>
      </c>
      <c r="AF27" s="2">
        <v>12</v>
      </c>
      <c r="AG27" s="2">
        <f t="shared" si="7"/>
        <v>168.52807999999729</v>
      </c>
      <c r="AH27" s="179">
        <v>2689152.4143999536</v>
      </c>
      <c r="AI27" s="37">
        <f t="shared" si="8"/>
        <v>185.17782773722308</v>
      </c>
      <c r="AJ27" s="109">
        <v>549.79000000000087</v>
      </c>
      <c r="AK27" s="179">
        <v>10775884.000000017</v>
      </c>
      <c r="AL27" s="33">
        <f t="shared" si="9"/>
        <v>742.03856218151884</v>
      </c>
      <c r="AM27" s="6"/>
    </row>
    <row r="28" spans="1:39" ht="15">
      <c r="A28" s="30"/>
      <c r="B28" s="49">
        <v>17</v>
      </c>
      <c r="C28" s="228">
        <v>75</v>
      </c>
      <c r="D28" s="229">
        <v>568</v>
      </c>
      <c r="E28" s="182">
        <v>15280.000000000655</v>
      </c>
      <c r="F28" s="179">
        <v>15826718.400000678</v>
      </c>
      <c r="G28" s="179">
        <v>3720.0000000000273</v>
      </c>
      <c r="H28" s="179">
        <v>5779652.4000000423</v>
      </c>
      <c r="I28" s="183">
        <f t="shared" si="0"/>
        <v>21606370.80000072</v>
      </c>
      <c r="J28" s="182">
        <v>1320.00000000005</v>
      </c>
      <c r="K28" s="179">
        <v>1367229.6000000518</v>
      </c>
      <c r="L28" s="184">
        <v>379.99999999999545</v>
      </c>
      <c r="M28" s="184">
        <v>590394.59999999299</v>
      </c>
      <c r="N28" s="183">
        <f t="shared" si="1"/>
        <v>1957624.2000000449</v>
      </c>
      <c r="O28" s="180">
        <f t="shared" si="2"/>
        <v>23563995.000000764</v>
      </c>
      <c r="P28" s="181">
        <f t="shared" si="3"/>
        <v>20700.000000000731</v>
      </c>
      <c r="Q28" s="141"/>
      <c r="R28" s="141"/>
      <c r="S28" s="160"/>
      <c r="T28" s="159"/>
      <c r="U28" s="158">
        <v>0</v>
      </c>
      <c r="V28" s="138">
        <f t="shared" si="4"/>
        <v>979.89</v>
      </c>
      <c r="W28" s="2">
        <v>88.11</v>
      </c>
      <c r="X28" s="179">
        <v>1583380.7549999999</v>
      </c>
      <c r="Y28" s="28">
        <v>891.78</v>
      </c>
      <c r="Z28" s="178">
        <v>3785766.6204000004</v>
      </c>
      <c r="AA28" s="178">
        <f t="shared" si="5"/>
        <v>5369147.3754000003</v>
      </c>
      <c r="AB28" s="100">
        <f t="shared" si="6"/>
        <v>369.725063724005</v>
      </c>
      <c r="AC28" s="199">
        <v>0</v>
      </c>
      <c r="AD28" s="2">
        <v>114.59660000000017</v>
      </c>
      <c r="AE28" s="2">
        <v>72.987359999999555</v>
      </c>
      <c r="AF28" s="2">
        <v>0</v>
      </c>
      <c r="AG28" s="2">
        <f t="shared" si="7"/>
        <v>187.58395999999971</v>
      </c>
      <c r="AH28" s="179">
        <v>3861692.4327999949</v>
      </c>
      <c r="AI28" s="37">
        <f t="shared" si="8"/>
        <v>265.9201509984847</v>
      </c>
      <c r="AJ28" s="109">
        <v>467.62000000000262</v>
      </c>
      <c r="AK28" s="179">
        <v>9165352.0000000522</v>
      </c>
      <c r="AL28" s="33">
        <f t="shared" si="9"/>
        <v>631.13565624569981</v>
      </c>
      <c r="AM28" s="6"/>
    </row>
    <row r="29" spans="1:39" ht="15">
      <c r="A29" s="30"/>
      <c r="B29" s="49">
        <v>18</v>
      </c>
      <c r="C29" s="228">
        <v>80</v>
      </c>
      <c r="D29" s="229">
        <v>556</v>
      </c>
      <c r="E29" s="182">
        <v>15639.999999999418</v>
      </c>
      <c r="F29" s="179">
        <v>16199599.199999396</v>
      </c>
      <c r="G29" s="179">
        <v>3759.9999999999909</v>
      </c>
      <c r="H29" s="179">
        <v>5841799.1999999862</v>
      </c>
      <c r="I29" s="183">
        <f t="shared" si="0"/>
        <v>22041398.39999938</v>
      </c>
      <c r="J29" s="182">
        <v>1419.9999999999591</v>
      </c>
      <c r="K29" s="179">
        <v>1470807.5999999575</v>
      </c>
      <c r="L29" s="184">
        <v>379.99999999999545</v>
      </c>
      <c r="M29" s="184">
        <v>590394.59999999299</v>
      </c>
      <c r="N29" s="183">
        <f t="shared" si="1"/>
        <v>2061202.1999999504</v>
      </c>
      <c r="O29" s="180">
        <f t="shared" si="2"/>
        <v>24102600.599999331</v>
      </c>
      <c r="P29" s="181">
        <f t="shared" si="3"/>
        <v>21199.999999999367</v>
      </c>
      <c r="Q29" s="141"/>
      <c r="R29" s="141"/>
      <c r="S29" s="160"/>
      <c r="T29" s="159"/>
      <c r="U29" s="158">
        <v>0</v>
      </c>
      <c r="V29" s="138">
        <f t="shared" si="4"/>
        <v>545.57000000000005</v>
      </c>
      <c r="W29" s="2">
        <v>108.58</v>
      </c>
      <c r="X29" s="179">
        <v>1951236.89</v>
      </c>
      <c r="Y29" s="28">
        <v>436.99</v>
      </c>
      <c r="Z29" s="178">
        <v>1855101.2082000002</v>
      </c>
      <c r="AA29" s="178">
        <f t="shared" si="5"/>
        <v>3806338.0981999999</v>
      </c>
      <c r="AB29" s="100">
        <f t="shared" si="6"/>
        <v>262.10839403663408</v>
      </c>
      <c r="AC29" s="199">
        <v>0</v>
      </c>
      <c r="AD29" s="2">
        <v>107.42675999999983</v>
      </c>
      <c r="AE29" s="2">
        <v>71.61784000000263</v>
      </c>
      <c r="AF29" s="2">
        <v>36</v>
      </c>
      <c r="AG29" s="2">
        <f t="shared" si="7"/>
        <v>215.04460000000245</v>
      </c>
      <c r="AH29" s="179">
        <v>3075986.228000042</v>
      </c>
      <c r="AI29" s="37">
        <f t="shared" si="8"/>
        <v>211.81560583941896</v>
      </c>
      <c r="AJ29" s="109">
        <v>265.70999999999913</v>
      </c>
      <c r="AK29" s="179">
        <v>5207915.9999999832</v>
      </c>
      <c r="AL29" s="33">
        <f t="shared" si="9"/>
        <v>358.62250378735598</v>
      </c>
      <c r="AM29" s="6"/>
    </row>
    <row r="30" spans="1:39" ht="15">
      <c r="A30" s="30"/>
      <c r="B30" s="49">
        <v>19</v>
      </c>
      <c r="C30" s="228">
        <v>69</v>
      </c>
      <c r="D30" s="229">
        <v>597</v>
      </c>
      <c r="E30" s="182">
        <v>14840.000000000146</v>
      </c>
      <c r="F30" s="179">
        <v>15370975.20000015</v>
      </c>
      <c r="G30" s="179">
        <v>3359.9999999999</v>
      </c>
      <c r="H30" s="179">
        <v>5220331.1999998447</v>
      </c>
      <c r="I30" s="183">
        <f t="shared" si="0"/>
        <v>20591306.399999995</v>
      </c>
      <c r="J30" s="182">
        <v>1620.0000000000045</v>
      </c>
      <c r="K30" s="179">
        <v>1677963.6000000047</v>
      </c>
      <c r="L30" s="184">
        <v>379.99999999999545</v>
      </c>
      <c r="M30" s="184">
        <v>590394.59999999299</v>
      </c>
      <c r="N30" s="183">
        <f t="shared" si="1"/>
        <v>2268358.1999999979</v>
      </c>
      <c r="O30" s="180">
        <f t="shared" si="2"/>
        <v>22859664.599999994</v>
      </c>
      <c r="P30" s="181">
        <f t="shared" si="3"/>
        <v>20200.000000000044</v>
      </c>
      <c r="Q30" s="140"/>
      <c r="R30" s="140"/>
      <c r="S30" s="160"/>
      <c r="T30" s="159"/>
      <c r="U30" s="158">
        <v>0</v>
      </c>
      <c r="V30" s="138">
        <f t="shared" si="4"/>
        <v>631.90000000000009</v>
      </c>
      <c r="W30" s="2">
        <v>70.31</v>
      </c>
      <c r="X30" s="179">
        <v>1263505.855</v>
      </c>
      <c r="Y30" s="28">
        <v>561.59</v>
      </c>
      <c r="Z30" s="178">
        <v>2384050.6362000001</v>
      </c>
      <c r="AA30" s="178">
        <f t="shared" si="5"/>
        <v>3647556.4912</v>
      </c>
      <c r="AB30" s="100">
        <f t="shared" si="6"/>
        <v>251.17452769590966</v>
      </c>
      <c r="AC30" s="199">
        <v>0</v>
      </c>
      <c r="AD30" s="2">
        <v>130.26552000000012</v>
      </c>
      <c r="AE30" s="2">
        <v>63.884079999998676</v>
      </c>
      <c r="AF30" s="2">
        <v>0</v>
      </c>
      <c r="AG30" s="2">
        <f t="shared" si="7"/>
        <v>194.1495999999988</v>
      </c>
      <c r="AH30" s="179">
        <v>6104490.1279999791</v>
      </c>
      <c r="AI30" s="37">
        <f t="shared" si="8"/>
        <v>420.36152926593991</v>
      </c>
      <c r="AJ30" s="109">
        <v>533.94999999999709</v>
      </c>
      <c r="AK30" s="179">
        <v>10465419.999999942</v>
      </c>
      <c r="AL30" s="33">
        <f t="shared" si="9"/>
        <v>720.65968874810233</v>
      </c>
      <c r="AM30" s="6"/>
    </row>
    <row r="31" spans="1:39" ht="15">
      <c r="A31" s="30"/>
      <c r="B31" s="49">
        <v>20</v>
      </c>
      <c r="C31" s="228">
        <v>61</v>
      </c>
      <c r="D31" s="229">
        <v>576</v>
      </c>
      <c r="E31" s="182">
        <v>14400.000000000546</v>
      </c>
      <c r="F31" s="179">
        <v>14915232.000000564</v>
      </c>
      <c r="G31" s="179">
        <v>3559.9999999999454</v>
      </c>
      <c r="H31" s="179">
        <v>5531065.1999999154</v>
      </c>
      <c r="I31" s="183">
        <f t="shared" si="0"/>
        <v>20446297.20000048</v>
      </c>
      <c r="J31" s="182">
        <v>1539.9999999999636</v>
      </c>
      <c r="K31" s="179">
        <v>1595101.1999999622</v>
      </c>
      <c r="L31" s="184">
        <v>400.00000000000568</v>
      </c>
      <c r="M31" s="184">
        <v>621468.00000000885</v>
      </c>
      <c r="N31" s="183">
        <f t="shared" si="1"/>
        <v>2216569.1999999713</v>
      </c>
      <c r="O31" s="180">
        <f t="shared" si="2"/>
        <v>22662866.400000453</v>
      </c>
      <c r="P31" s="181">
        <f t="shared" si="3"/>
        <v>19900.000000000462</v>
      </c>
      <c r="Q31" s="141"/>
      <c r="R31" s="141"/>
      <c r="S31" s="160"/>
      <c r="T31" s="159"/>
      <c r="U31" s="158">
        <v>0</v>
      </c>
      <c r="V31" s="138">
        <f t="shared" si="4"/>
        <v>701.32</v>
      </c>
      <c r="W31" s="2">
        <v>79.210000000000008</v>
      </c>
      <c r="X31" s="179">
        <v>1423443.3050000002</v>
      </c>
      <c r="Y31" s="28">
        <v>622.11</v>
      </c>
      <c r="Z31" s="178">
        <v>2640968.9298</v>
      </c>
      <c r="AA31" s="178">
        <f t="shared" si="5"/>
        <v>4064412.2348000002</v>
      </c>
      <c r="AB31" s="100">
        <f t="shared" si="6"/>
        <v>279.87964707340586</v>
      </c>
      <c r="AC31" s="199">
        <v>0</v>
      </c>
      <c r="AD31" s="2">
        <v>88.978520000000117</v>
      </c>
      <c r="AE31" s="2">
        <v>73.954079999998669</v>
      </c>
      <c r="AF31" s="2">
        <v>156</v>
      </c>
      <c r="AG31" s="2">
        <f t="shared" si="7"/>
        <v>318.93259999999879</v>
      </c>
      <c r="AH31" s="179">
        <v>2799182.0679999795</v>
      </c>
      <c r="AI31" s="37">
        <f t="shared" si="8"/>
        <v>192.75458394160444</v>
      </c>
      <c r="AJ31" s="109">
        <v>373.30000000000291</v>
      </c>
      <c r="AK31" s="179">
        <v>7316680.0000000568</v>
      </c>
      <c r="AL31" s="33">
        <f t="shared" si="9"/>
        <v>503.83418261947782</v>
      </c>
      <c r="AM31" s="6"/>
    </row>
    <row r="32" spans="1:39" ht="15">
      <c r="A32" s="30"/>
      <c r="B32" s="49">
        <v>21</v>
      </c>
      <c r="C32" s="228">
        <v>132</v>
      </c>
      <c r="D32" s="229">
        <v>608</v>
      </c>
      <c r="E32" s="182">
        <v>15279.999999999745</v>
      </c>
      <c r="F32" s="179">
        <v>15826718.399999736</v>
      </c>
      <c r="G32" s="179">
        <v>3800.0000000001819</v>
      </c>
      <c r="H32" s="179">
        <v>5903946.0000002831</v>
      </c>
      <c r="I32" s="183">
        <f t="shared" si="0"/>
        <v>21730664.400000021</v>
      </c>
      <c r="J32" s="182">
        <v>1639.9999999999864</v>
      </c>
      <c r="K32" s="179">
        <v>1698679.1999999858</v>
      </c>
      <c r="L32" s="184">
        <v>479.99999999998977</v>
      </c>
      <c r="M32" s="184">
        <v>745761.59999998414</v>
      </c>
      <c r="N32" s="183">
        <f t="shared" si="1"/>
        <v>2444440.79999997</v>
      </c>
      <c r="O32" s="180">
        <f t="shared" si="2"/>
        <v>24175105.199999992</v>
      </c>
      <c r="P32" s="181">
        <f t="shared" si="3"/>
        <v>21199.999999999902</v>
      </c>
      <c r="Q32" s="140"/>
      <c r="R32" s="152"/>
      <c r="S32" s="160"/>
      <c r="T32" s="159"/>
      <c r="U32" s="158">
        <v>0</v>
      </c>
      <c r="V32" s="138">
        <f t="shared" si="4"/>
        <v>691.53</v>
      </c>
      <c r="W32" s="2">
        <v>85.44</v>
      </c>
      <c r="X32" s="179">
        <v>1535399.52</v>
      </c>
      <c r="Y32" s="28">
        <v>606.09</v>
      </c>
      <c r="Z32" s="178">
        <v>2572961.1462000003</v>
      </c>
      <c r="AA32" s="178">
        <f t="shared" si="5"/>
        <v>4108360.6662000003</v>
      </c>
      <c r="AB32" s="100">
        <f t="shared" si="6"/>
        <v>282.90598169673603</v>
      </c>
      <c r="AC32" s="199">
        <v>0</v>
      </c>
      <c r="AD32" s="2">
        <v>99.813839999999885</v>
      </c>
      <c r="AE32" s="2">
        <v>65.857800000001461</v>
      </c>
      <c r="AF32" s="2">
        <v>0</v>
      </c>
      <c r="AG32" s="2">
        <f t="shared" si="7"/>
        <v>165.67164000000133</v>
      </c>
      <c r="AH32" s="179">
        <v>2846238.7752000233</v>
      </c>
      <c r="AI32" s="37">
        <f t="shared" si="8"/>
        <v>195.99495766423519</v>
      </c>
      <c r="AJ32" s="109">
        <v>443.41999999999825</v>
      </c>
      <c r="AK32" s="179">
        <v>8691031.9999999665</v>
      </c>
      <c r="AL32" s="33">
        <f t="shared" si="9"/>
        <v>598.47348850020433</v>
      </c>
      <c r="AM32" s="6"/>
    </row>
    <row r="33" spans="1:39" ht="15">
      <c r="A33" s="30"/>
      <c r="B33" s="49">
        <v>22</v>
      </c>
      <c r="C33" s="228">
        <v>134</v>
      </c>
      <c r="D33" s="229">
        <v>544</v>
      </c>
      <c r="E33" s="182">
        <v>14800.000000000182</v>
      </c>
      <c r="F33" s="179">
        <v>15329544.000000188</v>
      </c>
      <c r="G33" s="179">
        <v>3480.0000000000182</v>
      </c>
      <c r="H33" s="179">
        <v>5406771.6000000285</v>
      </c>
      <c r="I33" s="183">
        <f t="shared" si="0"/>
        <v>20736315.600000218</v>
      </c>
      <c r="J33" s="182">
        <v>1800.0000000000682</v>
      </c>
      <c r="K33" s="179">
        <v>1864404.0000000705</v>
      </c>
      <c r="L33" s="184">
        <v>460.00000000000796</v>
      </c>
      <c r="M33" s="184">
        <v>714688.20000001241</v>
      </c>
      <c r="N33" s="183">
        <f t="shared" si="1"/>
        <v>2579092.2000000831</v>
      </c>
      <c r="O33" s="180">
        <f t="shared" si="2"/>
        <v>23315407.800000302</v>
      </c>
      <c r="P33" s="181">
        <f t="shared" si="3"/>
        <v>20540.000000000276</v>
      </c>
      <c r="Q33" s="140"/>
      <c r="R33" s="153"/>
      <c r="S33" s="160"/>
      <c r="T33" s="159"/>
      <c r="U33" s="158">
        <v>0</v>
      </c>
      <c r="V33" s="138">
        <f t="shared" si="4"/>
        <v>694.19999999999993</v>
      </c>
      <c r="W33" s="2">
        <v>84.55</v>
      </c>
      <c r="X33" s="179">
        <v>1519405.7749999999</v>
      </c>
      <c r="Y33" s="28">
        <v>609.65</v>
      </c>
      <c r="Z33" s="178">
        <v>2588073.9870000002</v>
      </c>
      <c r="AA33" s="178">
        <f t="shared" si="5"/>
        <v>4107479.7620000001</v>
      </c>
      <c r="AB33" s="100">
        <f t="shared" si="6"/>
        <v>282.84532171877152</v>
      </c>
      <c r="AC33" s="199">
        <v>0</v>
      </c>
      <c r="AD33" s="2">
        <v>193</v>
      </c>
      <c r="AE33" s="2">
        <v>64.407719999999117</v>
      </c>
      <c r="AF33" s="2">
        <v>0</v>
      </c>
      <c r="AG33" s="2">
        <f t="shared" si="7"/>
        <v>257.40771999999913</v>
      </c>
      <c r="AH33" s="179">
        <v>4638836.6951999832</v>
      </c>
      <c r="AI33" s="37">
        <f t="shared" si="8"/>
        <v>319.43511191295852</v>
      </c>
      <c r="AJ33" s="109">
        <v>459.06000000000495</v>
      </c>
      <c r="AK33" s="179">
        <v>8997576.0000000969</v>
      </c>
      <c r="AL33" s="33">
        <f t="shared" si="9"/>
        <v>619.58242666300077</v>
      </c>
      <c r="AM33" s="6"/>
    </row>
    <row r="34" spans="1:39" ht="15">
      <c r="A34" s="30"/>
      <c r="B34" s="49">
        <v>23</v>
      </c>
      <c r="C34" s="228">
        <v>138</v>
      </c>
      <c r="D34" s="229">
        <v>507</v>
      </c>
      <c r="E34" s="182">
        <v>14319.999999999709</v>
      </c>
      <c r="F34" s="179">
        <v>14832369.599999698</v>
      </c>
      <c r="G34" s="179">
        <v>3439.9999999998272</v>
      </c>
      <c r="H34" s="179">
        <v>5344624.7999997316</v>
      </c>
      <c r="I34" s="183">
        <f t="shared" si="0"/>
        <v>20176994.399999429</v>
      </c>
      <c r="J34" s="182">
        <v>1679.99999999995</v>
      </c>
      <c r="K34" s="179">
        <v>1740110.3999999482</v>
      </c>
      <c r="L34" s="184">
        <v>439.99999999999773</v>
      </c>
      <c r="M34" s="184">
        <v>683614.79999999655</v>
      </c>
      <c r="N34" s="183">
        <f t="shared" si="1"/>
        <v>2423725.1999999448</v>
      </c>
      <c r="O34" s="180">
        <f t="shared" si="2"/>
        <v>22600719.599999372</v>
      </c>
      <c r="P34" s="181">
        <f t="shared" si="3"/>
        <v>19879.99999999948</v>
      </c>
      <c r="Q34" s="141"/>
      <c r="R34" s="154"/>
      <c r="S34" s="160"/>
      <c r="T34" s="159"/>
      <c r="U34" s="158">
        <v>0</v>
      </c>
      <c r="V34" s="138">
        <f t="shared" si="4"/>
        <v>700.43000000000006</v>
      </c>
      <c r="W34" s="2">
        <v>65.86</v>
      </c>
      <c r="X34" s="179">
        <v>1183537.1299999999</v>
      </c>
      <c r="Y34" s="28">
        <v>634.57000000000005</v>
      </c>
      <c r="Z34" s="178">
        <v>2693863.8726000004</v>
      </c>
      <c r="AA34" s="178">
        <f t="shared" si="5"/>
        <v>3877401.0026000002</v>
      </c>
      <c r="AB34" s="100">
        <f t="shared" si="6"/>
        <v>267.00185942707617</v>
      </c>
      <c r="AC34" s="199">
        <v>0</v>
      </c>
      <c r="AD34" s="2">
        <v>90.549439999999606</v>
      </c>
      <c r="AE34" s="2">
        <v>71.940080000002339</v>
      </c>
      <c r="AF34" s="2">
        <v>12</v>
      </c>
      <c r="AG34" s="2">
        <f t="shared" si="7"/>
        <v>174.48952000000196</v>
      </c>
      <c r="AH34" s="179">
        <v>2791569.9536000332</v>
      </c>
      <c r="AI34" s="37">
        <f t="shared" si="8"/>
        <v>192.23040583941835</v>
      </c>
      <c r="AJ34" s="109">
        <v>761.91999999999825</v>
      </c>
      <c r="AK34" s="179">
        <v>14933631.999999966</v>
      </c>
      <c r="AL34" s="33">
        <f t="shared" si="9"/>
        <v>1028.3454069687348</v>
      </c>
      <c r="AM34" s="6"/>
    </row>
    <row r="35" spans="1:39" ht="15">
      <c r="A35" s="30"/>
      <c r="B35" s="49">
        <v>24</v>
      </c>
      <c r="C35" s="228">
        <v>135</v>
      </c>
      <c r="D35" s="229">
        <v>754</v>
      </c>
      <c r="E35" s="182">
        <v>14640.000000000327</v>
      </c>
      <c r="F35" s="179">
        <v>15163819.200000338</v>
      </c>
      <c r="G35" s="179">
        <v>3680.0000000000637</v>
      </c>
      <c r="H35" s="179">
        <v>5717505.6000000993</v>
      </c>
      <c r="I35" s="183">
        <f t="shared" si="0"/>
        <v>20881324.800000437</v>
      </c>
      <c r="J35" s="182">
        <v>1779.9999999999727</v>
      </c>
      <c r="K35" s="179">
        <v>1843688.3999999717</v>
      </c>
      <c r="L35" s="184">
        <v>500</v>
      </c>
      <c r="M35" s="184">
        <v>776835</v>
      </c>
      <c r="N35" s="183">
        <f t="shared" si="1"/>
        <v>2620523.3999999715</v>
      </c>
      <c r="O35" s="180">
        <f t="shared" si="2"/>
        <v>23501848.200000409</v>
      </c>
      <c r="P35" s="181">
        <f t="shared" si="3"/>
        <v>20600.000000000364</v>
      </c>
      <c r="Q35" s="140"/>
      <c r="R35" s="152"/>
      <c r="S35" s="160"/>
      <c r="T35" s="159"/>
      <c r="U35" s="158">
        <v>0</v>
      </c>
      <c r="V35" s="138">
        <f t="shared" si="4"/>
        <v>775.19</v>
      </c>
      <c r="W35" s="2">
        <v>137.06</v>
      </c>
      <c r="X35" s="179">
        <v>2463036.73</v>
      </c>
      <c r="Y35" s="28">
        <v>638.13</v>
      </c>
      <c r="Z35" s="178">
        <v>2708976.7134000002</v>
      </c>
      <c r="AA35" s="178">
        <f t="shared" si="5"/>
        <v>5172013.4434000002</v>
      </c>
      <c r="AB35" s="100">
        <f t="shared" si="6"/>
        <v>356.15021645778819</v>
      </c>
      <c r="AC35" s="199">
        <v>0</v>
      </c>
      <c r="AD35" s="2">
        <v>104.04324000000061</v>
      </c>
      <c r="AE35" s="2">
        <v>60.218599999999263</v>
      </c>
      <c r="AF35" s="2">
        <v>0</v>
      </c>
      <c r="AG35" s="2">
        <f t="shared" si="7"/>
        <v>164.26183999999986</v>
      </c>
      <c r="AH35" s="179">
        <v>3248018.4111999976</v>
      </c>
      <c r="AI35" s="37">
        <f t="shared" si="8"/>
        <v>223.66192061699473</v>
      </c>
      <c r="AJ35" s="109">
        <v>687.04000000000087</v>
      </c>
      <c r="AK35" s="179">
        <v>13465984.000000017</v>
      </c>
      <c r="AL35" s="33">
        <f t="shared" si="9"/>
        <v>927.28164164715724</v>
      </c>
      <c r="AM35" s="6"/>
    </row>
    <row r="36" spans="1:39" ht="15">
      <c r="A36" s="30"/>
      <c r="B36" s="49">
        <v>25</v>
      </c>
      <c r="C36" s="228">
        <v>134</v>
      </c>
      <c r="D36" s="229">
        <v>537</v>
      </c>
      <c r="E36" s="182">
        <v>15079.999999999927</v>
      </c>
      <c r="F36" s="179">
        <v>15619562.399999924</v>
      </c>
      <c r="G36" s="179">
        <v>3700.0000000000455</v>
      </c>
      <c r="H36" s="179">
        <v>5748579.0000000708</v>
      </c>
      <c r="I36" s="183">
        <f t="shared" si="0"/>
        <v>21368141.399999995</v>
      </c>
      <c r="J36" s="182">
        <v>1660.0000000000819</v>
      </c>
      <c r="K36" s="179">
        <v>1719394.8000000848</v>
      </c>
      <c r="L36" s="184">
        <v>439.99999999999773</v>
      </c>
      <c r="M36" s="184">
        <v>683614.79999999655</v>
      </c>
      <c r="N36" s="183">
        <f t="shared" si="1"/>
        <v>2403009.6000000816</v>
      </c>
      <c r="O36" s="180">
        <f t="shared" si="2"/>
        <v>23771151.000000075</v>
      </c>
      <c r="P36" s="181">
        <f t="shared" si="3"/>
        <v>20880.000000000047</v>
      </c>
      <c r="Q36" s="140"/>
      <c r="R36" s="152"/>
      <c r="S36" s="160"/>
      <c r="T36" s="159"/>
      <c r="U36" s="158">
        <v>0</v>
      </c>
      <c r="V36" s="138">
        <f t="shared" si="4"/>
        <v>713.78</v>
      </c>
      <c r="W36" s="2">
        <v>65.86</v>
      </c>
      <c r="X36" s="179">
        <v>1183537.1299999999</v>
      </c>
      <c r="Y36" s="28">
        <v>647.91999999999996</v>
      </c>
      <c r="Z36" s="178">
        <v>2750537.0255999998</v>
      </c>
      <c r="AA36" s="178">
        <f t="shared" si="5"/>
        <v>3934074.1555999997</v>
      </c>
      <c r="AB36" s="100">
        <f t="shared" si="6"/>
        <v>270.90443159344443</v>
      </c>
      <c r="AC36" s="199">
        <v>0</v>
      </c>
      <c r="AD36" s="2">
        <v>116.65088000000013</v>
      </c>
      <c r="AE36" s="2">
        <v>63.630315999998267</v>
      </c>
      <c r="AF36" s="2">
        <v>24</v>
      </c>
      <c r="AG36" s="2">
        <f t="shared" si="7"/>
        <v>204.2811959999984</v>
      </c>
      <c r="AH36" s="179">
        <v>3097230.947279972</v>
      </c>
      <c r="AI36" s="37">
        <f t="shared" si="8"/>
        <v>213.27853927007106</v>
      </c>
      <c r="AJ36" s="109">
        <v>303.13999999999942</v>
      </c>
      <c r="AK36" s="179">
        <v>5941543.9999999888</v>
      </c>
      <c r="AL36" s="33">
        <f t="shared" si="9"/>
        <v>409.14088968461567</v>
      </c>
      <c r="AM36" s="6"/>
    </row>
    <row r="37" spans="1:39" ht="15">
      <c r="A37" s="30"/>
      <c r="B37" s="49">
        <v>26</v>
      </c>
      <c r="C37" s="228">
        <v>133</v>
      </c>
      <c r="D37" s="229">
        <v>614</v>
      </c>
      <c r="E37" s="182">
        <v>15239.999999999782</v>
      </c>
      <c r="F37" s="179">
        <v>15785287.199999774</v>
      </c>
      <c r="G37" s="179">
        <v>3539.9999999999636</v>
      </c>
      <c r="H37" s="179">
        <v>5499991.7999999439</v>
      </c>
      <c r="I37" s="183">
        <f t="shared" si="0"/>
        <v>21285278.999999717</v>
      </c>
      <c r="J37" s="182">
        <v>1719.9999999999136</v>
      </c>
      <c r="K37" s="179">
        <v>1781541.5999999105</v>
      </c>
      <c r="L37" s="184">
        <v>420.00000000001592</v>
      </c>
      <c r="M37" s="184">
        <v>652541.4000000247</v>
      </c>
      <c r="N37" s="183">
        <f t="shared" si="1"/>
        <v>2434082.9999999353</v>
      </c>
      <c r="O37" s="180">
        <f t="shared" si="2"/>
        <v>23719361.999999654</v>
      </c>
      <c r="P37" s="181">
        <f t="shared" si="3"/>
        <v>20919.999999999673</v>
      </c>
      <c r="Q37" s="140"/>
      <c r="R37" s="152"/>
      <c r="S37" s="160"/>
      <c r="T37" s="159"/>
      <c r="U37" s="158">
        <v>0</v>
      </c>
      <c r="V37" s="138">
        <f t="shared" si="4"/>
        <v>729.8</v>
      </c>
      <c r="W37" s="2">
        <v>77.430000000000007</v>
      </c>
      <c r="X37" s="179">
        <v>1391455.8150000002</v>
      </c>
      <c r="Y37" s="28">
        <v>652.37</v>
      </c>
      <c r="Z37" s="178">
        <v>2769428.0766000003</v>
      </c>
      <c r="AA37" s="178">
        <f t="shared" si="5"/>
        <v>4160883.8916000007</v>
      </c>
      <c r="AB37" s="100">
        <f t="shared" si="6"/>
        <v>286.522785539182</v>
      </c>
      <c r="AC37" s="199">
        <v>0</v>
      </c>
      <c r="AD37" s="2">
        <v>103.88211999999984</v>
      </c>
      <c r="AE37" s="2">
        <v>69.337991999999758</v>
      </c>
      <c r="AF37" s="2">
        <v>0</v>
      </c>
      <c r="AG37" s="2">
        <f t="shared" si="7"/>
        <v>173.2201119999996</v>
      </c>
      <c r="AH37" s="179">
        <v>3614921.524159993</v>
      </c>
      <c r="AI37" s="37">
        <f t="shared" si="8"/>
        <v>248.92724997658678</v>
      </c>
      <c r="AJ37" s="109">
        <v>511.77999999999884</v>
      </c>
      <c r="AK37" s="179">
        <v>10030887.999999978</v>
      </c>
      <c r="AL37" s="33">
        <f t="shared" si="9"/>
        <v>690.73736399944755</v>
      </c>
      <c r="AM37" s="6"/>
    </row>
    <row r="38" spans="1:39" ht="15">
      <c r="A38" s="30"/>
      <c r="B38" s="49">
        <v>27</v>
      </c>
      <c r="C38" s="228">
        <v>31</v>
      </c>
      <c r="D38" s="229">
        <v>921</v>
      </c>
      <c r="E38" s="182">
        <v>14800.000000000182</v>
      </c>
      <c r="F38" s="179">
        <v>15329544.000000188</v>
      </c>
      <c r="G38" s="179">
        <v>3480.0000000000182</v>
      </c>
      <c r="H38" s="179">
        <v>5406771.6000000285</v>
      </c>
      <c r="I38" s="183">
        <f t="shared" si="0"/>
        <v>20736315.600000218</v>
      </c>
      <c r="J38" s="182">
        <v>1740.0000000000091</v>
      </c>
      <c r="K38" s="179">
        <v>1802257.2000000093</v>
      </c>
      <c r="L38" s="184">
        <v>500</v>
      </c>
      <c r="M38" s="184">
        <v>776835</v>
      </c>
      <c r="N38" s="183">
        <f t="shared" si="1"/>
        <v>2579092.2000000095</v>
      </c>
      <c r="O38" s="180">
        <f t="shared" si="2"/>
        <v>23315407.800000228</v>
      </c>
      <c r="P38" s="181">
        <f t="shared" si="3"/>
        <v>20520.000000000211</v>
      </c>
      <c r="Q38" s="140"/>
      <c r="R38" s="152"/>
      <c r="S38" s="160"/>
      <c r="T38" s="159"/>
      <c r="U38" s="158">
        <v>0</v>
      </c>
      <c r="V38" s="138">
        <f t="shared" si="4"/>
        <v>763.62</v>
      </c>
      <c r="W38" s="2">
        <v>89.89</v>
      </c>
      <c r="X38" s="179">
        <v>1615368.2450000001</v>
      </c>
      <c r="Y38" s="28">
        <v>673.73</v>
      </c>
      <c r="Z38" s="178">
        <v>2860105.1214000001</v>
      </c>
      <c r="AA38" s="178">
        <f t="shared" si="5"/>
        <v>4475473.3663999997</v>
      </c>
      <c r="AB38" s="100">
        <f t="shared" si="6"/>
        <v>308.1857434513152</v>
      </c>
      <c r="AC38" s="199">
        <v>0</v>
      </c>
      <c r="AD38" s="2">
        <v>103.64044000000007</v>
      </c>
      <c r="AE38" s="2">
        <v>57.394972000002838</v>
      </c>
      <c r="AF38" s="2">
        <v>36</v>
      </c>
      <c r="AG38" s="2">
        <f t="shared" si="7"/>
        <v>197.03541200000291</v>
      </c>
      <c r="AH38" s="179">
        <v>3405588.3781600501</v>
      </c>
      <c r="AI38" s="37">
        <f t="shared" si="8"/>
        <v>234.51235216637173</v>
      </c>
      <c r="AJ38" s="109">
        <v>471.78999999998632</v>
      </c>
      <c r="AK38" s="179">
        <v>9247083.9999997318</v>
      </c>
      <c r="AL38" s="33">
        <f t="shared" si="9"/>
        <v>636.76380663818566</v>
      </c>
      <c r="AM38" s="6"/>
    </row>
    <row r="39" spans="1:39" ht="15">
      <c r="A39" s="30"/>
      <c r="B39" s="49">
        <v>28</v>
      </c>
      <c r="C39" s="228">
        <v>118</v>
      </c>
      <c r="D39" s="229">
        <v>442</v>
      </c>
      <c r="E39" s="182">
        <v>13639.999999999418</v>
      </c>
      <c r="F39" s="179">
        <v>14128039.199999398</v>
      </c>
      <c r="G39" s="179">
        <v>3559.9999999999454</v>
      </c>
      <c r="H39" s="179">
        <v>5531065.1999999154</v>
      </c>
      <c r="I39" s="183">
        <f t="shared" si="0"/>
        <v>19659104.399999313</v>
      </c>
      <c r="J39" s="182">
        <v>1600.0000000000227</v>
      </c>
      <c r="K39" s="179">
        <v>1657248.0000000235</v>
      </c>
      <c r="L39" s="184">
        <v>500</v>
      </c>
      <c r="M39" s="184">
        <v>776835</v>
      </c>
      <c r="N39" s="183">
        <f t="shared" si="1"/>
        <v>2434083.0000000233</v>
      </c>
      <c r="O39" s="180">
        <f t="shared" si="2"/>
        <v>22093187.399999335</v>
      </c>
      <c r="P39" s="181">
        <f t="shared" si="3"/>
        <v>19299.999999999385</v>
      </c>
      <c r="Q39" s="140"/>
      <c r="R39" s="155"/>
      <c r="S39" s="160"/>
      <c r="T39" s="159"/>
      <c r="U39" s="158">
        <v>0</v>
      </c>
      <c r="V39" s="138">
        <f t="shared" si="4"/>
        <v>699.54</v>
      </c>
      <c r="W39" s="2">
        <v>113.92</v>
      </c>
      <c r="X39" s="179">
        <v>2047199.36</v>
      </c>
      <c r="Y39" s="28">
        <v>585.62</v>
      </c>
      <c r="Z39" s="178">
        <v>2486062.3116000001</v>
      </c>
      <c r="AA39" s="178">
        <f t="shared" si="5"/>
        <v>4533261.6716</v>
      </c>
      <c r="AB39" s="100">
        <f t="shared" si="6"/>
        <v>312.16510615617682</v>
      </c>
      <c r="AC39" s="199">
        <v>0</v>
      </c>
      <c r="AD39" s="2">
        <v>113.26735999999954</v>
      </c>
      <c r="AE39" s="2">
        <v>68.717679999997941</v>
      </c>
      <c r="AF39" s="2">
        <v>36</v>
      </c>
      <c r="AG39" s="2">
        <f t="shared" si="7"/>
        <v>217.98503999999747</v>
      </c>
      <c r="AH39" s="179">
        <v>3552502.987199957</v>
      </c>
      <c r="AI39" s="37">
        <f t="shared" si="8"/>
        <v>244.62904470458318</v>
      </c>
      <c r="AJ39" s="109">
        <v>462.95999999999913</v>
      </c>
      <c r="AK39" s="179">
        <v>9074015.9999999832</v>
      </c>
      <c r="AL39" s="33">
        <f t="shared" si="9"/>
        <v>624.84616444015865</v>
      </c>
      <c r="AM39" s="6"/>
    </row>
    <row r="40" spans="1:39" ht="15">
      <c r="A40" s="30"/>
      <c r="B40" s="49">
        <v>29</v>
      </c>
      <c r="C40" s="228">
        <v>117</v>
      </c>
      <c r="D40" s="229">
        <v>470</v>
      </c>
      <c r="E40" s="182">
        <v>14440.000000000509</v>
      </c>
      <c r="F40" s="179">
        <v>14956663.200000526</v>
      </c>
      <c r="G40" s="179">
        <v>3600.0000000001364</v>
      </c>
      <c r="H40" s="179">
        <v>5593212.0000002123</v>
      </c>
      <c r="I40" s="183">
        <f t="shared" si="0"/>
        <v>20549875.200000741</v>
      </c>
      <c r="J40" s="182">
        <v>1399.9999999999773</v>
      </c>
      <c r="K40" s="179">
        <v>1450091.9999999765</v>
      </c>
      <c r="L40" s="184">
        <v>479.99999999998977</v>
      </c>
      <c r="M40" s="184">
        <v>745761.59999998414</v>
      </c>
      <c r="N40" s="183">
        <f t="shared" si="1"/>
        <v>2195853.5999999605</v>
      </c>
      <c r="O40" s="180">
        <f t="shared" si="2"/>
        <v>22745728.800000701</v>
      </c>
      <c r="P40" s="181">
        <f t="shared" si="3"/>
        <v>19920.000000000615</v>
      </c>
      <c r="Q40" s="141"/>
      <c r="R40" s="156"/>
      <c r="S40" s="160"/>
      <c r="T40" s="159"/>
      <c r="U40" s="158">
        <v>0</v>
      </c>
      <c r="V40" s="138">
        <f t="shared" si="4"/>
        <v>740.48</v>
      </c>
      <c r="W40" s="2">
        <v>97.01</v>
      </c>
      <c r="X40" s="179">
        <v>1743318.2050000001</v>
      </c>
      <c r="Y40" s="28">
        <v>643.47</v>
      </c>
      <c r="Z40" s="178">
        <v>2731645.9746000003</v>
      </c>
      <c r="AA40" s="178">
        <f t="shared" si="5"/>
        <v>4474964.1796000004</v>
      </c>
      <c r="AB40" s="100">
        <f t="shared" si="6"/>
        <v>308.15068031951523</v>
      </c>
      <c r="AC40" s="199">
        <v>0</v>
      </c>
      <c r="AD40" s="2">
        <v>94.5371600000001</v>
      </c>
      <c r="AE40" s="2">
        <v>59.453280000000873</v>
      </c>
      <c r="AF40" s="2">
        <v>24</v>
      </c>
      <c r="AG40" s="2">
        <f t="shared" si="7"/>
        <v>177.99044000000097</v>
      </c>
      <c r="AH40" s="179">
        <v>2645555.759200017</v>
      </c>
      <c r="AI40" s="37">
        <f t="shared" si="8"/>
        <v>182.17571678832235</v>
      </c>
      <c r="AJ40" s="109">
        <v>542.40000000000146</v>
      </c>
      <c r="AK40" s="179">
        <v>10631040.000000028</v>
      </c>
      <c r="AL40" s="33">
        <f t="shared" si="9"/>
        <v>732.06445393196725</v>
      </c>
      <c r="AM40" s="6"/>
    </row>
    <row r="41" spans="1:39" ht="17.25" customHeight="1">
      <c r="A41" s="30"/>
      <c r="B41" s="223">
        <v>30</v>
      </c>
      <c r="C41" s="232">
        <v>117</v>
      </c>
      <c r="D41" s="233">
        <v>395</v>
      </c>
      <c r="E41" s="224">
        <v>15119.999999999891</v>
      </c>
      <c r="F41" s="179">
        <v>15660993.599999886</v>
      </c>
      <c r="G41" s="179">
        <v>3639.9999999998727</v>
      </c>
      <c r="H41" s="179">
        <v>5655358.7999998024</v>
      </c>
      <c r="I41" s="183">
        <f t="shared" si="0"/>
        <v>21316352.399999689</v>
      </c>
      <c r="J41" s="182">
        <v>1640.0000000001</v>
      </c>
      <c r="K41" s="179">
        <v>1698679.2000001036</v>
      </c>
      <c r="L41" s="184">
        <v>480.00000000001819</v>
      </c>
      <c r="M41" s="184">
        <v>745761.60000002827</v>
      </c>
      <c r="N41" s="183">
        <f t="shared" si="1"/>
        <v>2444440.8000001321</v>
      </c>
      <c r="O41" s="180">
        <f t="shared" si="2"/>
        <v>23760793.19999982</v>
      </c>
      <c r="P41" s="181">
        <f t="shared" si="3"/>
        <v>20879.99999999988</v>
      </c>
      <c r="Q41" s="140"/>
      <c r="R41" s="157"/>
      <c r="S41" s="160"/>
      <c r="T41" s="159"/>
      <c r="U41" s="158">
        <v>0</v>
      </c>
      <c r="V41" s="138">
        <f t="shared" si="4"/>
        <v>709.32999999999993</v>
      </c>
      <c r="W41" s="2">
        <v>84.55</v>
      </c>
      <c r="X41" s="179">
        <v>1519405.7749999999</v>
      </c>
      <c r="Y41" s="28">
        <v>624.78</v>
      </c>
      <c r="Z41" s="178">
        <v>2652303.5603999998</v>
      </c>
      <c r="AA41" s="178">
        <f t="shared" si="5"/>
        <v>4171709.3353999997</v>
      </c>
      <c r="AB41" s="100">
        <f t="shared" si="6"/>
        <v>287.26823684065556</v>
      </c>
      <c r="AC41" s="199">
        <v>0</v>
      </c>
      <c r="AD41" s="2">
        <v>85.192200000000355</v>
      </c>
      <c r="AE41" s="2">
        <v>61.426999999999992</v>
      </c>
      <c r="AF41" s="2">
        <v>0</v>
      </c>
      <c r="AG41" s="2">
        <f t="shared" si="7"/>
        <v>146.61920000000035</v>
      </c>
      <c r="AH41" s="179">
        <v>2731917.8560000062</v>
      </c>
      <c r="AI41" s="37">
        <f t="shared" si="8"/>
        <v>188.12270045448329</v>
      </c>
      <c r="AJ41" s="109">
        <v>530.29000000000087</v>
      </c>
      <c r="AK41" s="179">
        <v>10393684.000000017</v>
      </c>
      <c r="AL41" s="33">
        <f t="shared" si="9"/>
        <v>715.71987329569049</v>
      </c>
      <c r="AM41" s="6"/>
    </row>
    <row r="42" spans="1:39" ht="15">
      <c r="A42" s="30"/>
      <c r="B42" s="221">
        <v>31</v>
      </c>
      <c r="C42" s="230">
        <v>133</v>
      </c>
      <c r="D42" s="231">
        <v>671</v>
      </c>
      <c r="E42" s="222">
        <v>22559.999999999491</v>
      </c>
      <c r="F42" s="186">
        <v>23367196.799999472</v>
      </c>
      <c r="G42" s="186">
        <v>3799.9999999999545</v>
      </c>
      <c r="H42" s="186">
        <v>5903945.9999999292</v>
      </c>
      <c r="I42" s="200">
        <f t="shared" si="0"/>
        <v>29271142.799999401</v>
      </c>
      <c r="J42" s="185">
        <v>2699.9999999999318</v>
      </c>
      <c r="K42" s="186">
        <v>2796605.9999999292</v>
      </c>
      <c r="L42" s="187">
        <v>1039.999999999992</v>
      </c>
      <c r="M42" s="187">
        <v>1615816.7999999877</v>
      </c>
      <c r="N42" s="200">
        <f t="shared" si="1"/>
        <v>4412422.7999999169</v>
      </c>
      <c r="O42" s="201">
        <f t="shared" si="2"/>
        <v>33683565.599999316</v>
      </c>
      <c r="P42" s="202">
        <f t="shared" si="3"/>
        <v>30099.999999999371</v>
      </c>
      <c r="Q42" s="168"/>
      <c r="R42" s="169"/>
      <c r="S42" s="161"/>
      <c r="T42" s="161"/>
      <c r="U42" s="170"/>
      <c r="V42" s="203">
        <f t="shared" si="4"/>
        <v>905.13</v>
      </c>
      <c r="W42" s="84">
        <v>118.37</v>
      </c>
      <c r="X42" s="186">
        <v>2127168.085</v>
      </c>
      <c r="Y42" s="171">
        <v>786.76</v>
      </c>
      <c r="Z42" s="204">
        <v>3339937.8168000001</v>
      </c>
      <c r="AA42" s="204">
        <f t="shared" si="5"/>
        <v>5467105.9018000001</v>
      </c>
      <c r="AB42" s="205">
        <f t="shared" si="6"/>
        <v>376.4705895744388</v>
      </c>
      <c r="AC42" s="211">
        <v>0</v>
      </c>
      <c r="AD42" s="84">
        <v>98.887399999999801</v>
      </c>
      <c r="AE42" s="84">
        <v>52.968199999998532</v>
      </c>
      <c r="AF42" s="84">
        <v>12</v>
      </c>
      <c r="AG42" s="84">
        <f t="shared" si="7"/>
        <v>163.85559999999833</v>
      </c>
      <c r="AH42" s="186">
        <v>2821879.2079999717</v>
      </c>
      <c r="AI42" s="206">
        <f t="shared" si="8"/>
        <v>194.31753257126923</v>
      </c>
      <c r="AJ42" s="172">
        <v>497.86000000000058</v>
      </c>
      <c r="AK42" s="179">
        <v>9758056.0000000112</v>
      </c>
      <c r="AL42" s="212">
        <f t="shared" si="9"/>
        <v>671.94986916402775</v>
      </c>
      <c r="AM42" s="6"/>
    </row>
    <row r="43" spans="1:39" s="7" customFormat="1" ht="13.5" customHeight="1">
      <c r="B43" s="93"/>
      <c r="C43" s="94"/>
      <c r="D43" s="94"/>
      <c r="E43" s="188"/>
      <c r="F43" s="189"/>
      <c r="G43" s="190"/>
      <c r="H43" s="189"/>
      <c r="I43" s="190"/>
      <c r="J43" s="190"/>
      <c r="K43" s="190"/>
      <c r="L43" s="189"/>
      <c r="M43" s="191"/>
      <c r="N43" s="191"/>
      <c r="P43" s="57"/>
      <c r="R43" s="76"/>
      <c r="S43" s="6"/>
      <c r="U43" s="29"/>
      <c r="V43" s="101"/>
      <c r="AB43" s="29"/>
      <c r="AD43" s="6"/>
      <c r="AF43" s="7">
        <v>12</v>
      </c>
      <c r="AJ43" s="76"/>
      <c r="AL43" s="29"/>
    </row>
    <row r="44" spans="1:39" s="7" customFormat="1" ht="6" customHeight="1">
      <c r="B44" s="93"/>
      <c r="C44" s="94"/>
      <c r="D44" s="94"/>
      <c r="E44" s="92"/>
      <c r="F44" s="6"/>
      <c r="H44" s="6"/>
      <c r="L44" s="6"/>
      <c r="M44" s="53"/>
      <c r="N44" s="57"/>
      <c r="P44" s="57"/>
      <c r="R44" s="76"/>
      <c r="S44" s="14"/>
      <c r="T44" s="14"/>
      <c r="U44" s="29"/>
      <c r="V44" s="101"/>
      <c r="AB44" s="102"/>
      <c r="AD44" s="6"/>
      <c r="AH44" s="6"/>
      <c r="AJ44" s="78"/>
      <c r="AK44" s="4"/>
      <c r="AL44" s="34"/>
    </row>
    <row r="45" spans="1:39" s="7" customFormat="1" ht="16.5" thickBot="1">
      <c r="B45" s="95"/>
      <c r="C45" s="96"/>
      <c r="D45" s="96"/>
      <c r="E45" s="97"/>
      <c r="F45" s="63"/>
      <c r="G45" s="62"/>
      <c r="H45" s="63"/>
      <c r="I45" s="62"/>
      <c r="J45" s="62"/>
      <c r="K45" s="62"/>
      <c r="L45" s="63"/>
      <c r="M45" s="64"/>
      <c r="N45" s="65"/>
      <c r="O45" s="62"/>
      <c r="P45" s="65"/>
      <c r="Q45" s="62"/>
      <c r="R45" s="77"/>
      <c r="S45" s="66"/>
      <c r="T45" s="62"/>
      <c r="U45" s="139"/>
      <c r="V45" s="103"/>
      <c r="W45" s="68"/>
      <c r="X45" s="62"/>
      <c r="Y45" s="62"/>
      <c r="Z45" s="62"/>
      <c r="AA45" s="62"/>
      <c r="AB45" s="67"/>
      <c r="AC45" s="69"/>
      <c r="AD45" s="63"/>
      <c r="AE45" s="69"/>
      <c r="AF45" s="69"/>
      <c r="AG45" s="69"/>
      <c r="AH45" s="63"/>
      <c r="AI45" s="62"/>
      <c r="AJ45" s="110"/>
      <c r="AK45" s="70"/>
      <c r="AL45" s="71"/>
    </row>
    <row r="46" spans="1:39" ht="17.25" thickTop="1" thickBot="1">
      <c r="A46" s="22"/>
      <c r="B46" s="60"/>
      <c r="C46" s="61">
        <f t="shared" ref="C46:O46" si="10">SUM(C12:C42)</f>
        <v>2925</v>
      </c>
      <c r="D46" s="61">
        <f t="shared" si="10"/>
        <v>19272</v>
      </c>
      <c r="E46" s="192">
        <f t="shared" si="10"/>
        <v>470599.99999999948</v>
      </c>
      <c r="F46" s="192">
        <f t="shared" si="10"/>
        <v>487438067.99999946</v>
      </c>
      <c r="G46" s="192">
        <f t="shared" si="10"/>
        <v>113999.99999999997</v>
      </c>
      <c r="H46" s="192">
        <f t="shared" si="10"/>
        <v>177118380</v>
      </c>
      <c r="I46" s="192">
        <f>SUM(I12:I42)</f>
        <v>664556447.9999994</v>
      </c>
      <c r="J46" s="192">
        <f t="shared" si="10"/>
        <v>52999.999999999993</v>
      </c>
      <c r="K46" s="192">
        <f t="shared" si="10"/>
        <v>54896340</v>
      </c>
      <c r="L46" s="192">
        <f t="shared" si="10"/>
        <v>14980.000000000018</v>
      </c>
      <c r="M46" s="192">
        <f t="shared" si="10"/>
        <v>23273976.600000024</v>
      </c>
      <c r="N46" s="192">
        <f t="shared" si="10"/>
        <v>78170316.600000039</v>
      </c>
      <c r="O46" s="213">
        <f t="shared" si="10"/>
        <v>742726764.59999943</v>
      </c>
      <c r="P46" s="193">
        <f>SUM(P12:P42)</f>
        <v>652579.99999999953</v>
      </c>
      <c r="Q46" s="194"/>
      <c r="R46" s="195"/>
      <c r="S46" s="196"/>
      <c r="T46" s="196"/>
      <c r="U46" s="197"/>
      <c r="V46" s="214">
        <f t="shared" ref="V46:AB46" si="11">SUM(V12:V42)</f>
        <v>25381.02</v>
      </c>
      <c r="W46" s="198">
        <f t="shared" si="11"/>
        <v>2842.66</v>
      </c>
      <c r="X46" s="198">
        <f>SUM(X12:X42)</f>
        <v>51084021.529999994</v>
      </c>
      <c r="Y46" s="198">
        <f>SUM(Y12:Y42)</f>
        <v>22538.359999999997</v>
      </c>
      <c r="Z46" s="198">
        <f t="shared" si="11"/>
        <v>95679395.104800016</v>
      </c>
      <c r="AA46" s="214">
        <f t="shared" si="11"/>
        <v>146763416.63479999</v>
      </c>
      <c r="AB46" s="198">
        <f t="shared" si="11"/>
        <v>10106.281272193915</v>
      </c>
      <c r="AC46" s="208">
        <f>SUM(AC12:AC41)</f>
        <v>1277.9232799999788</v>
      </c>
      <c r="AD46" s="209">
        <f>SUM(AD12:AD41)</f>
        <v>3518.0320399999991</v>
      </c>
      <c r="AE46" s="208">
        <f>SUM(AE12:AE42)</f>
        <v>2053.635519999998</v>
      </c>
      <c r="AF46" s="208">
        <f>SUM(AF12:AF42)</f>
        <v>636</v>
      </c>
      <c r="AG46" s="216">
        <f>SUM(AG12:AG42)</f>
        <v>7584.4782399999776</v>
      </c>
      <c r="AH46" s="217">
        <f>SUM(AH12:AH42)</f>
        <v>128835562.22822043</v>
      </c>
      <c r="AI46" s="215">
        <f>AH46/$AL$47</f>
        <v>9928.6890140420128</v>
      </c>
      <c r="AJ46" s="219">
        <f>SUM(AJ12:AJ42)</f>
        <v>14383.989999999983</v>
      </c>
      <c r="AK46" s="218">
        <f>SUM(AK12:AK42)</f>
        <v>281926203.9999997</v>
      </c>
      <c r="AL46" s="210">
        <f>AK46/AL47</f>
        <v>21726.591292138055</v>
      </c>
      <c r="AM46" s="22"/>
    </row>
    <row r="47" spans="1:39">
      <c r="A47" s="22"/>
      <c r="B47" s="22"/>
      <c r="C47" s="4"/>
      <c r="D47" s="10"/>
      <c r="E47" s="4"/>
      <c r="F47" s="4"/>
      <c r="G47" s="10"/>
      <c r="H47" s="4"/>
      <c r="I47" s="8"/>
      <c r="J47" s="8"/>
      <c r="K47" s="8"/>
      <c r="L47" s="15"/>
      <c r="M47" s="54"/>
      <c r="N47" s="58"/>
      <c r="O47" s="9"/>
      <c r="P47" s="58"/>
      <c r="Q47" s="9"/>
      <c r="R47" s="91"/>
      <c r="S47" s="13"/>
      <c r="T47" s="72" t="s">
        <v>53</v>
      </c>
      <c r="U47" s="112" t="e">
        <f>U46/S46</f>
        <v>#DIV/0!</v>
      </c>
      <c r="V47" s="142" t="s">
        <v>54</v>
      </c>
      <c r="W47" s="10"/>
      <c r="X47" s="10"/>
      <c r="Y47" s="106"/>
      <c r="Z47" s="10"/>
      <c r="AA47" s="10"/>
      <c r="AB47" s="10"/>
      <c r="AC47" s="14"/>
      <c r="AD47" s="6"/>
      <c r="AE47" s="14"/>
      <c r="AF47" s="14"/>
      <c r="AG47" s="6"/>
      <c r="AH47" s="164"/>
      <c r="AI47" s="10"/>
      <c r="AJ47" s="78"/>
      <c r="AK47" s="10"/>
      <c r="AL47" s="111">
        <v>12976.09</v>
      </c>
      <c r="AM47" s="22"/>
    </row>
    <row r="48" spans="1:39">
      <c r="A48" s="22"/>
      <c r="B48" s="22"/>
      <c r="C48" s="4"/>
      <c r="D48" s="10"/>
      <c r="E48" s="4"/>
      <c r="F48" s="4"/>
      <c r="G48" s="10"/>
      <c r="H48" s="4"/>
      <c r="I48" s="8"/>
      <c r="J48" s="8"/>
      <c r="K48" s="8"/>
      <c r="L48" s="15"/>
      <c r="M48" s="54"/>
      <c r="N48" s="58"/>
      <c r="O48" s="9"/>
      <c r="P48" s="58">
        <f>O46/P46</f>
        <v>1138.1390244874192</v>
      </c>
      <c r="Q48" s="9"/>
      <c r="R48" s="91"/>
      <c r="S48" s="13"/>
      <c r="T48" s="165"/>
      <c r="U48" s="112"/>
      <c r="V48" s="142"/>
      <c r="W48" s="163"/>
      <c r="X48" s="163"/>
      <c r="Y48" s="106"/>
      <c r="Z48" s="163"/>
      <c r="AA48" s="225">
        <f>AA46/V46</f>
        <v>5782.408139420716</v>
      </c>
      <c r="AB48" s="10"/>
      <c r="AC48" s="14"/>
      <c r="AD48" s="6"/>
      <c r="AE48" s="14"/>
      <c r="AF48" s="14"/>
      <c r="AG48" s="6"/>
      <c r="AH48" s="8">
        <f>AH46/AG46</f>
        <v>16986.740307164597</v>
      </c>
      <c r="AI48" s="10"/>
      <c r="AJ48" s="78"/>
      <c r="AK48" s="225">
        <f>AK46/AJ46</f>
        <v>19600.000000000004</v>
      </c>
      <c r="AL48" s="111"/>
      <c r="AM48" s="22"/>
    </row>
    <row r="49" spans="1:39">
      <c r="A49" s="22"/>
      <c r="B49" s="22"/>
      <c r="C49" s="4"/>
      <c r="D49" s="10"/>
      <c r="E49" s="4"/>
      <c r="F49" s="4"/>
      <c r="G49" s="10"/>
      <c r="H49" s="4"/>
      <c r="I49" s="8"/>
      <c r="J49" s="8"/>
      <c r="K49" s="8"/>
      <c r="L49" s="15"/>
      <c r="M49" s="54"/>
      <c r="N49" s="58"/>
      <c r="O49" s="9"/>
      <c r="P49" s="58"/>
      <c r="Q49" s="9"/>
      <c r="R49" s="91"/>
      <c r="S49" s="13"/>
      <c r="T49" s="72"/>
      <c r="U49" s="112"/>
      <c r="V49" s="142"/>
      <c r="W49" s="10"/>
      <c r="X49" s="10"/>
      <c r="Y49" s="106"/>
      <c r="Z49" s="163"/>
      <c r="AA49" s="10"/>
      <c r="AB49" s="10"/>
      <c r="AC49" s="14"/>
      <c r="AD49" s="6"/>
      <c r="AE49" s="14"/>
      <c r="AF49" s="14"/>
      <c r="AG49" s="174"/>
      <c r="AH49" s="164"/>
      <c r="AI49" s="10"/>
      <c r="AJ49" s="78"/>
      <c r="AK49" s="10"/>
      <c r="AL49" s="111"/>
      <c r="AM49" s="22"/>
    </row>
    <row r="50" spans="1:39" s="145" customFormat="1">
      <c r="A50" s="143"/>
      <c r="B50" s="143"/>
      <c r="C50" s="144"/>
      <c r="E50" s="144"/>
      <c r="F50" s="144"/>
      <c r="H50" s="144"/>
      <c r="L50" s="144"/>
      <c r="M50" s="146"/>
      <c r="N50" s="147"/>
      <c r="P50" s="147"/>
      <c r="R50" s="148"/>
      <c r="T50" s="162"/>
      <c r="Y50" s="173"/>
      <c r="AD50" s="144"/>
      <c r="AG50" s="162"/>
      <c r="AH50" s="144"/>
      <c r="AJ50" s="148"/>
      <c r="AL50" s="149"/>
      <c r="AM50" s="143"/>
    </row>
    <row r="51" spans="1:39" s="145" customFormat="1">
      <c r="A51" s="143"/>
      <c r="B51" s="143"/>
      <c r="C51" s="144"/>
      <c r="E51" s="144"/>
      <c r="F51" s="144"/>
      <c r="H51" s="144"/>
      <c r="L51" s="144"/>
      <c r="M51" s="146"/>
      <c r="N51" s="147"/>
      <c r="P51" s="147"/>
      <c r="R51" s="148"/>
      <c r="S51" s="162"/>
      <c r="T51" s="162"/>
      <c r="Z51" s="162"/>
      <c r="AD51" s="144"/>
      <c r="AH51" s="144"/>
      <c r="AJ51" s="148"/>
      <c r="AL51" s="149"/>
      <c r="AM51" s="143"/>
    </row>
    <row r="52" spans="1:39" s="145" customFormat="1">
      <c r="A52" s="143"/>
      <c r="B52" s="143"/>
      <c r="C52" s="144"/>
      <c r="E52" s="144"/>
      <c r="F52" s="144"/>
      <c r="H52" s="144"/>
      <c r="L52" s="144"/>
      <c r="M52" s="146"/>
      <c r="N52" s="147"/>
      <c r="P52" s="147"/>
      <c r="R52" s="148"/>
      <c r="X52" s="162"/>
      <c r="AD52" s="144"/>
      <c r="AH52" s="144"/>
      <c r="AJ52" s="148"/>
      <c r="AL52" s="149"/>
      <c r="AM52" s="143"/>
    </row>
    <row r="53" spans="1:39" s="145" customFormat="1">
      <c r="A53" s="143"/>
      <c r="B53" s="143"/>
      <c r="C53" s="144"/>
      <c r="E53" s="144"/>
      <c r="F53" s="144"/>
      <c r="H53" s="144"/>
      <c r="L53" s="144"/>
      <c r="M53" s="146"/>
      <c r="N53" s="147"/>
      <c r="P53" s="147"/>
      <c r="R53" s="148"/>
      <c r="S53" s="162"/>
      <c r="AD53" s="144"/>
      <c r="AH53" s="144"/>
      <c r="AJ53" s="148"/>
      <c r="AL53" s="149"/>
      <c r="AM53" s="143"/>
    </row>
    <row r="54" spans="1:39" s="145" customFormat="1">
      <c r="A54" s="143"/>
      <c r="B54" s="143"/>
      <c r="C54" s="144"/>
      <c r="E54" s="144"/>
      <c r="F54" s="144"/>
      <c r="H54" s="144"/>
      <c r="L54" s="144"/>
      <c r="M54" s="146"/>
      <c r="N54" s="147"/>
      <c r="P54" s="147"/>
      <c r="R54" s="148"/>
      <c r="T54" s="162"/>
      <c r="AD54" s="144"/>
      <c r="AH54" s="144"/>
      <c r="AJ54" s="148"/>
      <c r="AL54" s="149"/>
      <c r="AM54" s="143"/>
    </row>
    <row r="55" spans="1:39" s="145" customFormat="1">
      <c r="A55" s="143"/>
      <c r="B55" s="143"/>
      <c r="C55" s="144"/>
      <c r="E55" s="144"/>
      <c r="F55" s="144"/>
      <c r="H55" s="144"/>
      <c r="L55" s="144"/>
      <c r="M55" s="146"/>
      <c r="N55" s="147"/>
      <c r="P55" s="147"/>
      <c r="R55" s="148"/>
      <c r="AD55" s="144"/>
      <c r="AH55" s="144"/>
      <c r="AJ55" s="148"/>
      <c r="AL55" s="149"/>
      <c r="AM55" s="143"/>
    </row>
    <row r="56" spans="1:39" s="145" customFormat="1">
      <c r="A56" s="143"/>
      <c r="B56" s="143"/>
      <c r="C56" s="144"/>
      <c r="E56" s="144"/>
      <c r="F56" s="144"/>
      <c r="H56" s="144"/>
      <c r="L56" s="144"/>
      <c r="M56" s="146"/>
      <c r="N56" s="147"/>
      <c r="P56" s="147"/>
      <c r="R56" s="148"/>
      <c r="AD56" s="144"/>
      <c r="AH56" s="144"/>
      <c r="AJ56" s="148"/>
      <c r="AL56" s="149"/>
      <c r="AM56" s="143"/>
    </row>
    <row r="57" spans="1:39" s="145" customFormat="1">
      <c r="A57" s="143"/>
      <c r="B57" s="143"/>
      <c r="C57" s="144"/>
      <c r="E57" s="144"/>
      <c r="F57" s="144"/>
      <c r="H57" s="144"/>
      <c r="L57" s="144"/>
      <c r="M57" s="146"/>
      <c r="N57" s="147"/>
      <c r="P57" s="147"/>
      <c r="R57" s="148"/>
      <c r="AD57" s="144"/>
      <c r="AH57" s="144"/>
      <c r="AJ57" s="148"/>
      <c r="AL57" s="149"/>
      <c r="AM57" s="143"/>
    </row>
    <row r="58" spans="1:39" s="145" customFormat="1">
      <c r="A58" s="143"/>
      <c r="B58" s="143"/>
      <c r="C58" s="144"/>
      <c r="E58" s="144"/>
      <c r="F58" s="144"/>
      <c r="H58" s="144"/>
      <c r="L58" s="144"/>
      <c r="M58" s="146"/>
      <c r="N58" s="147"/>
      <c r="P58" s="147"/>
      <c r="R58" s="148"/>
      <c r="AD58" s="144"/>
      <c r="AH58" s="144"/>
      <c r="AJ58" s="148"/>
      <c r="AL58" s="149"/>
      <c r="AM58" s="143"/>
    </row>
    <row r="59" spans="1:39" s="145" customFormat="1">
      <c r="A59" s="143"/>
      <c r="B59" s="143"/>
      <c r="C59" s="144"/>
      <c r="E59" s="144"/>
      <c r="F59" s="144"/>
      <c r="H59" s="144"/>
      <c r="L59" s="144"/>
      <c r="M59" s="146"/>
      <c r="N59" s="147"/>
      <c r="P59" s="147"/>
      <c r="R59" s="148"/>
      <c r="AD59" s="144"/>
      <c r="AH59" s="144"/>
      <c r="AJ59" s="148"/>
      <c r="AL59" s="149"/>
      <c r="AM59" s="143"/>
    </row>
    <row r="60" spans="1:39" s="145" customFormat="1">
      <c r="A60" s="143"/>
      <c r="B60" s="143"/>
      <c r="C60" s="144"/>
      <c r="E60" s="144"/>
      <c r="F60" s="144"/>
      <c r="H60" s="144"/>
      <c r="L60" s="144"/>
      <c r="M60" s="146"/>
      <c r="N60" s="147"/>
      <c r="P60" s="147"/>
      <c r="R60" s="148"/>
      <c r="AD60" s="144"/>
      <c r="AH60" s="144"/>
      <c r="AJ60" s="148"/>
      <c r="AL60" s="149"/>
      <c r="AM60" s="143"/>
    </row>
    <row r="61" spans="1:39" s="145" customFormat="1">
      <c r="A61" s="143"/>
      <c r="B61" s="143"/>
      <c r="C61" s="144"/>
      <c r="E61" s="144"/>
      <c r="F61" s="144"/>
      <c r="H61" s="144"/>
      <c r="L61" s="144"/>
      <c r="M61" s="146"/>
      <c r="N61" s="147"/>
      <c r="P61" s="147"/>
      <c r="R61" s="148"/>
      <c r="AD61" s="144"/>
      <c r="AH61" s="144"/>
      <c r="AJ61" s="148"/>
      <c r="AL61" s="149"/>
      <c r="AM61" s="143"/>
    </row>
    <row r="62" spans="1:39" s="145" customFormat="1">
      <c r="A62" s="143"/>
      <c r="B62" s="143"/>
      <c r="C62" s="144"/>
      <c r="E62" s="144"/>
      <c r="F62" s="144"/>
      <c r="H62" s="144"/>
      <c r="I62" s="144"/>
      <c r="J62" s="144"/>
      <c r="L62" s="144"/>
      <c r="M62" s="146"/>
      <c r="N62" s="147"/>
      <c r="P62" s="147"/>
      <c r="R62" s="148"/>
      <c r="AD62" s="144"/>
      <c r="AH62" s="144"/>
      <c r="AJ62" s="148"/>
      <c r="AL62" s="149"/>
      <c r="AM62" s="143"/>
    </row>
    <row r="63" spans="1:39" s="145" customFormat="1">
      <c r="A63" s="143"/>
      <c r="B63" s="143"/>
      <c r="C63" s="144"/>
      <c r="E63" s="144"/>
      <c r="F63" s="144"/>
      <c r="H63" s="144"/>
      <c r="L63" s="144"/>
      <c r="M63" s="146"/>
      <c r="N63" s="147"/>
      <c r="P63" s="147"/>
      <c r="R63" s="148"/>
      <c r="AD63" s="144"/>
      <c r="AH63" s="144"/>
      <c r="AJ63" s="148"/>
      <c r="AL63" s="149"/>
      <c r="AM63" s="143"/>
    </row>
    <row r="64" spans="1:39" s="145" customFormat="1">
      <c r="A64" s="143"/>
      <c r="B64" s="143"/>
      <c r="C64" s="144"/>
      <c r="E64" s="144"/>
      <c r="F64" s="144"/>
      <c r="H64" s="144"/>
      <c r="L64" s="144"/>
      <c r="M64" s="146"/>
      <c r="N64" s="147"/>
      <c r="P64" s="147"/>
      <c r="R64" s="148"/>
      <c r="AD64" s="144"/>
      <c r="AH64" s="144"/>
      <c r="AJ64" s="148"/>
      <c r="AL64" s="149"/>
      <c r="AM64" s="143"/>
    </row>
    <row r="65" spans="1:39" s="145" customFormat="1">
      <c r="A65" s="143"/>
      <c r="B65" s="143"/>
      <c r="C65" s="144"/>
      <c r="E65" s="144"/>
      <c r="F65" s="144"/>
      <c r="H65" s="144"/>
      <c r="L65" s="144"/>
      <c r="M65" s="146"/>
      <c r="N65" s="147"/>
      <c r="P65" s="147"/>
      <c r="R65" s="148"/>
      <c r="AD65" s="144"/>
      <c r="AH65" s="144"/>
      <c r="AJ65" s="148"/>
      <c r="AL65" s="149"/>
      <c r="AM65" s="143"/>
    </row>
    <row r="66" spans="1:39" s="145" customFormat="1">
      <c r="A66" s="143"/>
      <c r="B66" s="143"/>
      <c r="C66" s="144"/>
      <c r="E66" s="144"/>
      <c r="F66" s="144"/>
      <c r="H66" s="144"/>
      <c r="L66" s="144"/>
      <c r="M66" s="146"/>
      <c r="N66" s="147"/>
      <c r="P66" s="147"/>
      <c r="R66" s="148"/>
      <c r="AD66" s="144"/>
      <c r="AH66" s="144"/>
      <c r="AJ66" s="148"/>
      <c r="AL66" s="149"/>
      <c r="AM66" s="143"/>
    </row>
    <row r="67" spans="1:39" s="145" customFormat="1">
      <c r="A67" s="143"/>
      <c r="B67" s="143"/>
      <c r="C67" s="144"/>
      <c r="E67" s="144"/>
      <c r="F67" s="144"/>
      <c r="H67" s="144"/>
      <c r="L67" s="144"/>
      <c r="M67" s="146"/>
      <c r="N67" s="147"/>
      <c r="P67" s="147"/>
      <c r="R67" s="148"/>
      <c r="AD67" s="144"/>
      <c r="AH67" s="144"/>
      <c r="AJ67" s="148"/>
      <c r="AL67" s="149"/>
      <c r="AM67" s="143"/>
    </row>
    <row r="68" spans="1:39" s="145" customFormat="1">
      <c r="A68" s="143"/>
      <c r="B68" s="143"/>
      <c r="C68" s="144"/>
      <c r="E68" s="144"/>
      <c r="F68" s="144"/>
      <c r="H68" s="144"/>
      <c r="L68" s="144"/>
      <c r="M68" s="146"/>
      <c r="N68" s="147"/>
      <c r="P68" s="147"/>
      <c r="R68" s="148"/>
      <c r="AD68" s="144"/>
      <c r="AH68" s="144"/>
      <c r="AJ68" s="148"/>
      <c r="AL68" s="149"/>
      <c r="AM68" s="143"/>
    </row>
    <row r="69" spans="1:39" s="145" customFormat="1">
      <c r="A69" s="143"/>
      <c r="B69" s="143"/>
      <c r="C69" s="144"/>
      <c r="E69" s="144"/>
      <c r="F69" s="144"/>
      <c r="H69" s="144"/>
      <c r="L69" s="144"/>
      <c r="M69" s="146"/>
      <c r="N69" s="147"/>
      <c r="P69" s="147"/>
      <c r="R69" s="148"/>
      <c r="AD69" s="144"/>
      <c r="AH69" s="144"/>
      <c r="AJ69" s="148"/>
      <c r="AL69" s="149"/>
      <c r="AM69" s="143"/>
    </row>
  </sheetData>
  <mergeCells count="18"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AJ9:AL9"/>
    <mergeCell ref="R9:R10"/>
    <mergeCell ref="S9:S10"/>
    <mergeCell ref="T9:U9"/>
    <mergeCell ref="AA9:AB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workbookViewId="0">
      <pane xSplit="1" ySplit="5" topLeftCell="B6" activePane="bottomRight" state="frozen"/>
      <selection pane="bottomRight" activeCell="B6" sqref="B6:C36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>
      <c r="A1" s="23" t="s">
        <v>16</v>
      </c>
    </row>
    <row r="2" spans="1:3" ht="18">
      <c r="A2" s="274">
        <v>44774</v>
      </c>
      <c r="B2" s="275"/>
      <c r="C2" s="275"/>
    </row>
    <row r="3" spans="1:3">
      <c r="A3" s="277" t="s">
        <v>18</v>
      </c>
      <c r="B3" s="276" t="s">
        <v>19</v>
      </c>
      <c r="C3" s="276" t="s">
        <v>13</v>
      </c>
    </row>
    <row r="4" spans="1:3">
      <c r="A4" s="277"/>
      <c r="B4" s="276"/>
      <c r="C4" s="276"/>
    </row>
    <row r="5" spans="1:3">
      <c r="A5" s="277"/>
      <c r="B5" s="276"/>
      <c r="C5" s="276"/>
    </row>
    <row r="6" spans="1:3">
      <c r="A6" s="1">
        <v>1</v>
      </c>
      <c r="B6" s="1">
        <v>66</v>
      </c>
      <c r="C6" s="176">
        <v>516</v>
      </c>
    </row>
    <row r="7" spans="1:3">
      <c r="A7" s="1">
        <v>2</v>
      </c>
      <c r="B7" s="1">
        <v>65</v>
      </c>
      <c r="C7" s="176">
        <v>538</v>
      </c>
    </row>
    <row r="8" spans="1:3">
      <c r="A8" s="1">
        <f>A7+1</f>
        <v>3</v>
      </c>
      <c r="B8" s="1">
        <v>65</v>
      </c>
      <c r="C8" s="176">
        <v>561</v>
      </c>
    </row>
    <row r="9" spans="1:3">
      <c r="A9" s="1">
        <f>A8+1</f>
        <v>4</v>
      </c>
      <c r="B9" s="1">
        <v>61</v>
      </c>
      <c r="C9" s="176">
        <v>555</v>
      </c>
    </row>
    <row r="10" spans="1:3">
      <c r="A10" s="1">
        <f t="shared" ref="A10:A36" si="0">A9+1</f>
        <v>5</v>
      </c>
      <c r="B10" s="1">
        <v>84</v>
      </c>
      <c r="C10" s="176">
        <v>649</v>
      </c>
    </row>
    <row r="11" spans="1:3">
      <c r="A11" s="1">
        <f t="shared" si="0"/>
        <v>6</v>
      </c>
      <c r="B11" s="1">
        <v>87</v>
      </c>
      <c r="C11" s="176">
        <v>771</v>
      </c>
    </row>
    <row r="12" spans="1:3">
      <c r="A12" s="1">
        <f t="shared" si="0"/>
        <v>7</v>
      </c>
      <c r="B12" s="1">
        <v>74</v>
      </c>
      <c r="C12" s="176">
        <v>664</v>
      </c>
    </row>
    <row r="13" spans="1:3">
      <c r="A13" s="1">
        <f t="shared" si="0"/>
        <v>8</v>
      </c>
      <c r="B13" s="1">
        <v>81</v>
      </c>
      <c r="C13" s="176">
        <v>643</v>
      </c>
    </row>
    <row r="14" spans="1:3">
      <c r="A14" s="1">
        <f t="shared" si="0"/>
        <v>9</v>
      </c>
      <c r="B14" s="1">
        <v>99</v>
      </c>
      <c r="C14" s="176">
        <v>679</v>
      </c>
    </row>
    <row r="15" spans="1:3">
      <c r="A15" s="1">
        <f t="shared" si="0"/>
        <v>10</v>
      </c>
      <c r="B15" s="1">
        <v>93</v>
      </c>
      <c r="C15" s="176">
        <v>621</v>
      </c>
    </row>
    <row r="16" spans="1:3">
      <c r="A16" s="1">
        <f t="shared" si="0"/>
        <v>11</v>
      </c>
      <c r="B16" s="1">
        <v>92</v>
      </c>
      <c r="C16" s="176">
        <v>854</v>
      </c>
    </row>
    <row r="17" spans="1:3">
      <c r="A17" s="1">
        <f t="shared" si="0"/>
        <v>12</v>
      </c>
      <c r="B17" s="1">
        <v>94</v>
      </c>
      <c r="C17" s="176">
        <v>907</v>
      </c>
    </row>
    <row r="18" spans="1:3">
      <c r="A18" s="1">
        <f t="shared" si="0"/>
        <v>13</v>
      </c>
      <c r="B18" s="1">
        <v>96</v>
      </c>
      <c r="C18" s="176">
        <v>642</v>
      </c>
    </row>
    <row r="19" spans="1:3">
      <c r="A19" s="1">
        <f t="shared" si="0"/>
        <v>14</v>
      </c>
      <c r="B19" s="1">
        <v>81</v>
      </c>
      <c r="C19" s="176">
        <v>647</v>
      </c>
    </row>
    <row r="20" spans="1:3">
      <c r="A20" s="1">
        <f t="shared" si="0"/>
        <v>15</v>
      </c>
      <c r="B20" s="1">
        <v>94</v>
      </c>
      <c r="C20" s="176">
        <v>657</v>
      </c>
    </row>
    <row r="21" spans="1:3">
      <c r="A21" s="1">
        <f t="shared" si="0"/>
        <v>16</v>
      </c>
      <c r="B21" s="1">
        <v>86</v>
      </c>
      <c r="C21" s="176">
        <v>608</v>
      </c>
    </row>
    <row r="22" spans="1:3">
      <c r="A22" s="1">
        <f t="shared" si="0"/>
        <v>17</v>
      </c>
      <c r="B22" s="1">
        <v>75</v>
      </c>
      <c r="C22" s="176">
        <v>568</v>
      </c>
    </row>
    <row r="23" spans="1:3">
      <c r="A23" s="1">
        <f t="shared" si="0"/>
        <v>18</v>
      </c>
      <c r="B23" s="1">
        <v>80</v>
      </c>
      <c r="C23" s="176">
        <v>556</v>
      </c>
    </row>
    <row r="24" spans="1:3">
      <c r="A24" s="1">
        <f t="shared" si="0"/>
        <v>19</v>
      </c>
      <c r="B24" s="1">
        <v>69</v>
      </c>
      <c r="C24" s="176">
        <v>597</v>
      </c>
    </row>
    <row r="25" spans="1:3">
      <c r="A25" s="1">
        <f t="shared" si="0"/>
        <v>20</v>
      </c>
      <c r="B25" s="1">
        <v>61</v>
      </c>
      <c r="C25" s="176">
        <v>576</v>
      </c>
    </row>
    <row r="26" spans="1:3">
      <c r="A26" s="1">
        <f t="shared" si="0"/>
        <v>21</v>
      </c>
      <c r="B26" s="1">
        <v>132</v>
      </c>
      <c r="C26" s="176">
        <v>608</v>
      </c>
    </row>
    <row r="27" spans="1:3">
      <c r="A27" s="1">
        <f t="shared" si="0"/>
        <v>22</v>
      </c>
      <c r="B27" s="1">
        <v>134</v>
      </c>
      <c r="C27" s="176">
        <v>544</v>
      </c>
    </row>
    <row r="28" spans="1:3">
      <c r="A28" s="1">
        <f t="shared" si="0"/>
        <v>23</v>
      </c>
      <c r="B28" s="1">
        <v>138</v>
      </c>
      <c r="C28" s="176">
        <v>507</v>
      </c>
    </row>
    <row r="29" spans="1:3">
      <c r="A29" s="1">
        <f t="shared" si="0"/>
        <v>24</v>
      </c>
      <c r="B29" s="1">
        <v>135</v>
      </c>
      <c r="C29" s="176">
        <v>754</v>
      </c>
    </row>
    <row r="30" spans="1:3">
      <c r="A30" s="1">
        <f t="shared" si="0"/>
        <v>25</v>
      </c>
      <c r="B30" s="1">
        <v>134</v>
      </c>
      <c r="C30" s="176">
        <v>537</v>
      </c>
    </row>
    <row r="31" spans="1:3">
      <c r="A31" s="1">
        <f t="shared" si="0"/>
        <v>26</v>
      </c>
      <c r="B31" s="1">
        <v>133</v>
      </c>
      <c r="C31" s="176">
        <v>614</v>
      </c>
    </row>
    <row r="32" spans="1:3">
      <c r="A32" s="1">
        <f t="shared" si="0"/>
        <v>27</v>
      </c>
      <c r="B32" s="1">
        <v>31</v>
      </c>
      <c r="C32" s="176">
        <v>921</v>
      </c>
    </row>
    <row r="33" spans="1:3">
      <c r="A33" s="1">
        <f t="shared" si="0"/>
        <v>28</v>
      </c>
      <c r="B33" s="1">
        <v>118</v>
      </c>
      <c r="C33" s="176">
        <v>442</v>
      </c>
    </row>
    <row r="34" spans="1:3">
      <c r="A34" s="1">
        <f t="shared" si="0"/>
        <v>29</v>
      </c>
      <c r="B34" s="1">
        <v>117</v>
      </c>
      <c r="C34" s="176">
        <v>470</v>
      </c>
    </row>
    <row r="35" spans="1:3">
      <c r="A35" s="1">
        <f t="shared" si="0"/>
        <v>30</v>
      </c>
      <c r="B35" s="1">
        <v>117</v>
      </c>
      <c r="C35" s="176">
        <v>395</v>
      </c>
    </row>
    <row r="36" spans="1:3">
      <c r="A36" s="1">
        <f t="shared" si="0"/>
        <v>31</v>
      </c>
      <c r="B36" s="1">
        <v>133</v>
      </c>
      <c r="C36" s="176">
        <v>671</v>
      </c>
    </row>
    <row r="37" spans="1:3">
      <c r="B37" s="5">
        <f>SUM(B6:B36)</f>
        <v>2925</v>
      </c>
      <c r="C37" s="5">
        <f>SUM(C6:C36)</f>
        <v>19272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63AC17-9EFD-48DA-BB12-4FD1F7102A5E}"/>
</file>

<file path=customXml/itemProps2.xml><?xml version="1.0" encoding="utf-8"?>
<ds:datastoreItem xmlns:ds="http://schemas.openxmlformats.org/officeDocument/2006/customXml" ds:itemID="{9EAE74F4-7ADC-443D-BDD6-B8BBEBD453EB}"/>
</file>

<file path=customXml/itemProps3.xml><?xml version="1.0" encoding="utf-8"?>
<ds:datastoreItem xmlns:ds="http://schemas.openxmlformats.org/officeDocument/2006/customXml" ds:itemID="{9521302E-973B-4F96-B72C-500671D7AF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2022-09-03T00:00:36Z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