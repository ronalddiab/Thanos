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" l="1"/>
  <c r="F37" i="3"/>
  <c r="H37" i="3"/>
  <c r="N37" i="3"/>
  <c r="P37" i="3"/>
  <c r="U37" i="3"/>
  <c r="V37" i="3" s="1"/>
  <c r="D38" i="3"/>
  <c r="F38" i="3"/>
  <c r="H38" i="3"/>
  <c r="N38" i="3"/>
  <c r="P38" i="3"/>
  <c r="U38" i="3"/>
  <c r="V38" i="3" s="1"/>
  <c r="D39" i="3"/>
  <c r="F39" i="3"/>
  <c r="H39" i="3"/>
  <c r="N39" i="3"/>
  <c r="P39" i="3"/>
  <c r="U39" i="3"/>
  <c r="V39" i="3" s="1"/>
  <c r="Y40" i="3"/>
  <c r="Q39" i="3" l="1"/>
  <c r="R39" i="3"/>
  <c r="I39" i="3"/>
  <c r="K39" i="3" s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9" i="3" l="1"/>
  <c r="Z39" i="3" s="1"/>
  <c r="X38" i="3"/>
  <c r="Z38" i="3" s="1"/>
  <c r="X37" i="3"/>
  <c r="Z37" i="3" s="1"/>
  <c r="K27" i="2"/>
  <c r="K28" i="2"/>
  <c r="K29" i="2"/>
  <c r="B37" i="3"/>
  <c r="B38" i="3"/>
  <c r="B39" i="3" s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G28" i="2" s="1"/>
  <c r="H36" i="3"/>
  <c r="G29" i="2" s="1"/>
  <c r="F36" i="3"/>
  <c r="F29" i="2" s="1"/>
  <c r="D36" i="3"/>
  <c r="E29" i="2" s="1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40" i="3"/>
  <c r="I2" i="2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R32" i="3"/>
  <c r="E7" i="1"/>
  <c r="J6" i="2"/>
  <c r="I6" i="1" s="1"/>
  <c r="I10" i="3"/>
  <c r="K10" i="3" s="1"/>
  <c r="E9" i="1"/>
  <c r="E5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J11" i="2"/>
  <c r="I11" i="1" s="1"/>
  <c r="J7" i="2"/>
  <c r="I7" i="1" s="1"/>
  <c r="J3" i="2"/>
  <c r="I3" i="1" s="1"/>
  <c r="K6" i="3"/>
  <c r="J23" i="2"/>
  <c r="I23" i="1" s="1"/>
  <c r="G26" i="1"/>
  <c r="R36" i="3"/>
  <c r="Q36" i="3"/>
  <c r="G24" i="1"/>
  <c r="G28" i="1"/>
  <c r="G25" i="1"/>
  <c r="G22" i="1"/>
  <c r="G23" i="1"/>
  <c r="Q34" i="3"/>
  <c r="G29" i="1"/>
  <c r="R31" i="3"/>
  <c r="Q30" i="3"/>
  <c r="R34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G2" i="1" l="1"/>
  <c r="E2" i="1"/>
  <c r="V40" i="3"/>
  <c r="R40" i="3"/>
  <c r="Q40" i="3"/>
  <c r="K9" i="3"/>
  <c r="K40" i="3" s="1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<sst xmlns="http://schemas.openxmlformats.org/spreadsheetml/2006/main" count="304" uniqueCount="123">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</sst>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45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opLeftCell="A2" workbookViewId="0">
      <selection activeCell="D33" sqref="D33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2</v>
      </c>
      <c r="D2" s="6">
        <v>2022</v>
      </c>
      <c r="E2" s="8">
        <f>Submetring!E2+Submetring!F2+Submetring!G2</f>
        <v>8063</v>
      </c>
      <c r="F2" s="6">
        <v>0.251</v>
      </c>
      <c r="G2" s="8">
        <f>Submetring!H2+Submetring!I2</f>
        <v>2684</v>
      </c>
      <c r="H2" s="6">
        <v>0.56711199999999995</v>
      </c>
      <c r="I2" s="8">
        <f>Submetring!J2</f>
        <v>144</v>
      </c>
      <c r="J2" s="6">
        <v>3.03</v>
      </c>
      <c r="K2" s="8">
        <f>Hotel!Y9</f>
        <v>55</v>
      </c>
    </row>
    <row r="3" spans="1:11" x14ac:dyDescent="0.25">
      <c r="A3" s="6" t="s">
        <v>11</v>
      </c>
      <c r="B3" s="9">
        <f>B2+1</f>
        <v>2</v>
      </c>
      <c r="C3" s="7">
        <v>2</v>
      </c>
      <c r="D3" s="6">
        <v>2022</v>
      </c>
      <c r="E3" s="8">
        <f>Submetring!E3+Submetring!F3+Submetring!G3</f>
        <v>8069</v>
      </c>
      <c r="F3" s="6">
        <v>0.251</v>
      </c>
      <c r="G3" s="8">
        <f>Submetring!H3+Submetring!I3</f>
        <v>2522</v>
      </c>
      <c r="H3" s="6">
        <v>0.56711199999999995</v>
      </c>
      <c r="I3" s="8">
        <f>Submetring!J3</f>
        <v>101</v>
      </c>
      <c r="J3" s="6">
        <v>3.03</v>
      </c>
      <c r="K3" s="8">
        <f>Hotel!Y10</f>
        <v>50</v>
      </c>
    </row>
    <row r="4" spans="1:11" x14ac:dyDescent="0.25">
      <c r="A4" s="6" t="s">
        <v>11</v>
      </c>
      <c r="B4" s="9">
        <f t="shared" ref="B4:B29" si="0">B3+1</f>
        <v>3</v>
      </c>
      <c r="C4" s="7">
        <v>2</v>
      </c>
      <c r="D4" s="6">
        <v>2022</v>
      </c>
      <c r="E4" s="8">
        <f>Submetring!E4+Submetring!F4+Submetring!G4</f>
        <v>8018</v>
      </c>
      <c r="F4" s="6">
        <v>0.251</v>
      </c>
      <c r="G4" s="8">
        <f>Submetring!H4+Submetring!I4</f>
        <v>1848</v>
      </c>
      <c r="H4" s="6">
        <v>0.56711199999999995</v>
      </c>
      <c r="I4" s="8">
        <f>Submetring!J4</f>
        <v>223</v>
      </c>
      <c r="J4" s="6">
        <v>3.03</v>
      </c>
      <c r="K4" s="8">
        <f>Hotel!Y11</f>
        <v>56</v>
      </c>
    </row>
    <row r="5" spans="1:11" x14ac:dyDescent="0.25">
      <c r="A5" s="6" t="s">
        <v>11</v>
      </c>
      <c r="B5" s="9">
        <f t="shared" si="0"/>
        <v>4</v>
      </c>
      <c r="C5" s="7">
        <v>2</v>
      </c>
      <c r="D5" s="6">
        <v>2022</v>
      </c>
      <c r="E5" s="8">
        <f>Submetring!E5+Submetring!F5+Submetring!G5</f>
        <v>8090</v>
      </c>
      <c r="F5" s="6">
        <v>0.251</v>
      </c>
      <c r="G5" s="8">
        <f>Submetring!H5+Submetring!I5</f>
        <v>2077</v>
      </c>
      <c r="H5" s="6">
        <v>0.56711199999999995</v>
      </c>
      <c r="I5" s="8">
        <f>Submetring!J5</f>
        <v>176</v>
      </c>
      <c r="J5" s="6">
        <v>3.03</v>
      </c>
      <c r="K5" s="8">
        <f>Hotel!Y12</f>
        <v>70</v>
      </c>
    </row>
    <row r="6" spans="1:11" x14ac:dyDescent="0.25">
      <c r="A6" s="6" t="s">
        <v>11</v>
      </c>
      <c r="B6" s="9">
        <f t="shared" si="0"/>
        <v>5</v>
      </c>
      <c r="C6" s="7">
        <v>2</v>
      </c>
      <c r="D6" s="6">
        <v>2022</v>
      </c>
      <c r="E6" s="8">
        <f>Submetring!E6+Submetring!F6+Submetring!G6</f>
        <v>7778</v>
      </c>
      <c r="F6" s="6">
        <v>0.251</v>
      </c>
      <c r="G6" s="8">
        <f>Submetring!H6+Submetring!I6</f>
        <v>1809</v>
      </c>
      <c r="H6" s="6">
        <v>0.56711199999999995</v>
      </c>
      <c r="I6" s="8">
        <f>Submetring!J6</f>
        <v>134</v>
      </c>
      <c r="J6" s="6">
        <v>3.03</v>
      </c>
      <c r="K6" s="8">
        <f>Hotel!Y13</f>
        <v>66</v>
      </c>
    </row>
    <row r="7" spans="1:11" x14ac:dyDescent="0.25">
      <c r="A7" s="6" t="s">
        <v>11</v>
      </c>
      <c r="B7" s="9">
        <f t="shared" si="0"/>
        <v>6</v>
      </c>
      <c r="C7" s="7">
        <v>2</v>
      </c>
      <c r="D7" s="6">
        <v>2022</v>
      </c>
      <c r="E7" s="8">
        <f>Submetring!E7+Submetring!F7+Submetring!G7</f>
        <v>7759</v>
      </c>
      <c r="F7" s="6">
        <v>0.251</v>
      </c>
      <c r="G7" s="8">
        <f>Submetring!H7+Submetring!I7</f>
        <v>1773</v>
      </c>
      <c r="H7" s="6">
        <v>0.56711199999999995</v>
      </c>
      <c r="I7" s="8">
        <f>Submetring!J7</f>
        <v>128</v>
      </c>
      <c r="J7" s="6">
        <v>3.03</v>
      </c>
      <c r="K7" s="8">
        <f>Hotel!Y14</f>
        <v>71</v>
      </c>
    </row>
    <row r="8" spans="1:11" x14ac:dyDescent="0.25">
      <c r="A8" s="6" t="s">
        <v>11</v>
      </c>
      <c r="B8" s="9">
        <f t="shared" si="0"/>
        <v>7</v>
      </c>
      <c r="C8" s="7">
        <v>2</v>
      </c>
      <c r="D8" s="6">
        <v>2022</v>
      </c>
      <c r="E8" s="8">
        <f>Submetring!E8+Submetring!F8+Submetring!G8</f>
        <v>7690</v>
      </c>
      <c r="F8" s="6">
        <v>0.251</v>
      </c>
      <c r="G8" s="8">
        <f>Submetring!H8+Submetring!I8</f>
        <v>1904</v>
      </c>
      <c r="H8" s="6">
        <v>0.56711199999999995</v>
      </c>
      <c r="I8" s="8">
        <f>Submetring!J8</f>
        <v>172</v>
      </c>
      <c r="J8" s="6">
        <v>3.03</v>
      </c>
      <c r="K8" s="8">
        <f>Hotel!Y15</f>
        <v>55</v>
      </c>
    </row>
    <row r="9" spans="1:11" x14ac:dyDescent="0.25">
      <c r="A9" s="6" t="s">
        <v>11</v>
      </c>
      <c r="B9" s="9">
        <f t="shared" si="0"/>
        <v>8</v>
      </c>
      <c r="C9" s="7">
        <v>2</v>
      </c>
      <c r="D9" s="6">
        <v>2022</v>
      </c>
      <c r="E9" s="8">
        <f>Submetring!E9+Submetring!F9+Submetring!G9</f>
        <v>7639</v>
      </c>
      <c r="F9" s="6">
        <v>0.251</v>
      </c>
      <c r="G9" s="8">
        <f>Submetring!H9+Submetring!I9</f>
        <v>1890</v>
      </c>
      <c r="H9" s="6">
        <v>0.56711199999999995</v>
      </c>
      <c r="I9" s="8">
        <f>Submetring!J9</f>
        <v>162</v>
      </c>
      <c r="J9" s="6">
        <v>3.03</v>
      </c>
      <c r="K9" s="8">
        <f>Hotel!Y16</f>
        <v>71</v>
      </c>
    </row>
    <row r="10" spans="1:11" x14ac:dyDescent="0.25">
      <c r="A10" s="6" t="s">
        <v>11</v>
      </c>
      <c r="B10" s="9">
        <f t="shared" si="0"/>
        <v>9</v>
      </c>
      <c r="C10" s="7">
        <v>2</v>
      </c>
      <c r="D10" s="6">
        <v>2022</v>
      </c>
      <c r="E10" s="8">
        <f>Submetring!E10+Submetring!F10+Submetring!G10</f>
        <v>7710</v>
      </c>
      <c r="F10" s="6">
        <v>0.251</v>
      </c>
      <c r="G10" s="8">
        <f>Submetring!H10+Submetring!I10</f>
        <v>1700</v>
      </c>
      <c r="H10" s="6">
        <v>0.56711199999999995</v>
      </c>
      <c r="I10" s="8">
        <f>Submetring!J10</f>
        <v>127</v>
      </c>
      <c r="J10" s="6">
        <v>3.03</v>
      </c>
      <c r="K10" s="8">
        <f>Hotel!Y17</f>
        <v>76</v>
      </c>
    </row>
    <row r="11" spans="1:11" x14ac:dyDescent="0.25">
      <c r="A11" s="6" t="s">
        <v>11</v>
      </c>
      <c r="B11" s="9">
        <f t="shared" si="0"/>
        <v>10</v>
      </c>
      <c r="C11" s="7">
        <v>2</v>
      </c>
      <c r="D11" s="6">
        <v>2022</v>
      </c>
      <c r="E11" s="8">
        <f>Submetring!E11+Submetring!F11+Submetring!G11</f>
        <v>7742</v>
      </c>
      <c r="F11" s="6">
        <v>0.251</v>
      </c>
      <c r="G11" s="8">
        <f>Submetring!H11+Submetring!I11</f>
        <v>1765</v>
      </c>
      <c r="H11" s="6">
        <v>0.56711199999999995</v>
      </c>
      <c r="I11" s="8">
        <f>Submetring!J11</f>
        <v>168</v>
      </c>
      <c r="J11" s="6">
        <v>3.03</v>
      </c>
      <c r="K11" s="8">
        <f>Hotel!Y18</f>
        <v>69</v>
      </c>
    </row>
    <row r="12" spans="1:11" x14ac:dyDescent="0.25">
      <c r="A12" s="6" t="s">
        <v>11</v>
      </c>
      <c r="B12" s="9">
        <f t="shared" si="0"/>
        <v>11</v>
      </c>
      <c r="C12" s="7">
        <v>2</v>
      </c>
      <c r="D12" s="6">
        <v>2022</v>
      </c>
      <c r="E12" s="8">
        <f>Submetring!E12+Submetring!F12+Submetring!G12</f>
        <v>7481</v>
      </c>
      <c r="F12" s="6">
        <v>0.251</v>
      </c>
      <c r="G12" s="8">
        <f>Submetring!H12+Submetring!I12</f>
        <v>1858</v>
      </c>
      <c r="H12" s="6">
        <v>0.56711199999999995</v>
      </c>
      <c r="I12" s="8">
        <f>Submetring!J12</f>
        <v>207</v>
      </c>
      <c r="J12" s="6">
        <v>3.03</v>
      </c>
      <c r="K12" s="8">
        <f>Hotel!Y19</f>
        <v>70</v>
      </c>
    </row>
    <row r="13" spans="1:11" x14ac:dyDescent="0.25">
      <c r="A13" s="6" t="s">
        <v>11</v>
      </c>
      <c r="B13" s="9">
        <f t="shared" si="0"/>
        <v>12</v>
      </c>
      <c r="C13" s="7">
        <v>2</v>
      </c>
      <c r="D13" s="6">
        <v>2022</v>
      </c>
      <c r="E13" s="8">
        <f>Submetring!E13+Submetring!F13+Submetring!G13</f>
        <v>7622</v>
      </c>
      <c r="F13" s="6">
        <v>0.251</v>
      </c>
      <c r="G13" s="8">
        <f>Submetring!H13+Submetring!I13</f>
        <v>1830</v>
      </c>
      <c r="H13" s="6">
        <v>0.56711199999999995</v>
      </c>
      <c r="I13" s="8">
        <f>Submetring!J13</f>
        <v>129</v>
      </c>
      <c r="J13" s="6">
        <v>3.03</v>
      </c>
      <c r="K13" s="8">
        <f>Hotel!Y20</f>
        <v>63</v>
      </c>
    </row>
    <row r="14" spans="1:11" x14ac:dyDescent="0.25">
      <c r="A14" s="6" t="s">
        <v>11</v>
      </c>
      <c r="B14" s="9">
        <f t="shared" si="0"/>
        <v>13</v>
      </c>
      <c r="C14" s="7">
        <v>2</v>
      </c>
      <c r="D14" s="6">
        <v>2022</v>
      </c>
      <c r="E14" s="8">
        <f>Submetring!E14+Submetring!F14+Submetring!G14</f>
        <v>7492</v>
      </c>
      <c r="F14" s="6">
        <v>0.251</v>
      </c>
      <c r="G14" s="8">
        <f>Submetring!H14+Submetring!I14</f>
        <v>1815</v>
      </c>
      <c r="H14" s="6">
        <v>0.56711199999999995</v>
      </c>
      <c r="I14" s="8">
        <f>Submetring!J14</f>
        <v>159</v>
      </c>
      <c r="J14" s="6">
        <v>3.03</v>
      </c>
      <c r="K14" s="8">
        <f>Hotel!Y21</f>
        <v>79</v>
      </c>
    </row>
    <row r="15" spans="1:11" x14ac:dyDescent="0.25">
      <c r="A15" s="6" t="s">
        <v>11</v>
      </c>
      <c r="B15" s="9">
        <f t="shared" si="0"/>
        <v>14</v>
      </c>
      <c r="C15" s="7">
        <v>2</v>
      </c>
      <c r="D15" s="6">
        <v>2022</v>
      </c>
      <c r="E15" s="8">
        <f>Submetring!E15+Submetring!F15+Submetring!G15</f>
        <v>6958</v>
      </c>
      <c r="F15" s="6">
        <v>0.251</v>
      </c>
      <c r="G15" s="8">
        <f>Submetring!H15+Submetring!I15</f>
        <v>1744</v>
      </c>
      <c r="H15" s="6">
        <v>0.56711199999999995</v>
      </c>
      <c r="I15" s="8">
        <f>Submetring!J15</f>
        <v>194</v>
      </c>
      <c r="J15" s="6">
        <v>3.03</v>
      </c>
      <c r="K15" s="8">
        <f>Hotel!Y22</f>
        <v>65</v>
      </c>
    </row>
    <row r="16" spans="1:11" x14ac:dyDescent="0.25">
      <c r="A16" s="6" t="s">
        <v>11</v>
      </c>
      <c r="B16" s="9">
        <f t="shared" si="0"/>
        <v>15</v>
      </c>
      <c r="C16" s="7">
        <v>2</v>
      </c>
      <c r="D16" s="6">
        <v>2022</v>
      </c>
      <c r="E16" s="8">
        <f>Submetring!E16+Submetring!F16+Submetring!G16</f>
        <v>7721</v>
      </c>
      <c r="F16" s="6">
        <v>0.251</v>
      </c>
      <c r="G16" s="8">
        <f>Submetring!H16+Submetring!I16</f>
        <v>1835</v>
      </c>
      <c r="H16" s="6">
        <v>0.56711199999999995</v>
      </c>
      <c r="I16" s="8">
        <f>Submetring!J16</f>
        <v>181</v>
      </c>
      <c r="J16" s="6">
        <v>3.03</v>
      </c>
      <c r="K16" s="8">
        <f>Hotel!Y23</f>
        <v>96</v>
      </c>
    </row>
    <row r="17" spans="1:11" x14ac:dyDescent="0.25">
      <c r="A17" s="6" t="s">
        <v>11</v>
      </c>
      <c r="B17" s="9">
        <f t="shared" si="0"/>
        <v>16</v>
      </c>
      <c r="C17" s="7">
        <v>2</v>
      </c>
      <c r="D17" s="6">
        <v>2022</v>
      </c>
      <c r="E17" s="8">
        <f>Submetring!E17+Submetring!F17+Submetring!G17</f>
        <v>6984</v>
      </c>
      <c r="F17" s="6">
        <v>0.251</v>
      </c>
      <c r="G17" s="8">
        <f>Submetring!H17+Submetring!I17</f>
        <v>1976</v>
      </c>
      <c r="H17" s="6">
        <v>0.56711199999999995</v>
      </c>
      <c r="I17" s="8">
        <f>Submetring!J17</f>
        <v>185</v>
      </c>
      <c r="J17" s="6">
        <v>3.03</v>
      </c>
      <c r="K17" s="8">
        <f>Hotel!Y24</f>
        <v>85</v>
      </c>
    </row>
    <row r="18" spans="1:11" x14ac:dyDescent="0.25">
      <c r="A18" s="6" t="s">
        <v>11</v>
      </c>
      <c r="B18" s="9">
        <f t="shared" si="0"/>
        <v>17</v>
      </c>
      <c r="C18" s="7">
        <v>2</v>
      </c>
      <c r="D18" s="6">
        <v>2022</v>
      </c>
      <c r="E18" s="8">
        <f>Submetring!E18+Submetring!F18+Submetring!G18</f>
        <v>7266</v>
      </c>
      <c r="F18" s="6">
        <v>0.251</v>
      </c>
      <c r="G18" s="8">
        <f>Submetring!H18+Submetring!I18</f>
        <v>1848</v>
      </c>
      <c r="H18" s="6">
        <v>0.56711199999999995</v>
      </c>
      <c r="I18" s="8">
        <f>Submetring!J18</f>
        <v>171</v>
      </c>
      <c r="J18" s="6">
        <v>3.03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2</v>
      </c>
      <c r="D19" s="6">
        <v>2022</v>
      </c>
      <c r="E19" s="8">
        <f>Submetring!E19+Submetring!F19+Submetring!G19</f>
        <v>0</v>
      </c>
      <c r="F19" s="6">
        <v>0.251</v>
      </c>
      <c r="G19" s="8">
        <f>Submetring!H19+Submetring!I19</f>
        <v>0</v>
      </c>
      <c r="H19" s="6">
        <v>0.56711199999999995</v>
      </c>
      <c r="I19" s="8" t="str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2</v>
      </c>
      <c r="D20" s="6">
        <v>2022</v>
      </c>
      <c r="E20" s="8">
        <f>Submetring!E20+Submetring!F20+Submetring!G20</f>
        <v>0</v>
      </c>
      <c r="F20" s="6">
        <v>0.251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2</v>
      </c>
      <c r="D21" s="6">
        <v>2022</v>
      </c>
      <c r="E21" s="8">
        <f>Submetring!E21+Submetring!F21+Submetring!G21</f>
        <v>0</v>
      </c>
      <c r="F21" s="6">
        <v>0.251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2</v>
      </c>
      <c r="D22" s="6">
        <v>2022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2</v>
      </c>
      <c r="D23" s="6">
        <v>2022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2</v>
      </c>
      <c r="D24" s="6">
        <v>2022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2</v>
      </c>
      <c r="D25" s="6">
        <v>2022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2</v>
      </c>
      <c r="D26" s="6">
        <v>2022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2</v>
      </c>
      <c r="D27" s="6">
        <v>2022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2</v>
      </c>
      <c r="D28" s="6">
        <v>2022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2</v>
      </c>
      <c r="D29" s="6">
        <v>2022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9"/>
  <sheetViews>
    <sheetView topLeftCell="A2" workbookViewId="0">
      <selection activeCell="D34" sqref="D34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2</v>
      </c>
      <c r="D2" s="10">
        <v>2022</v>
      </c>
      <c r="E2" s="11">
        <f>Hotel!D9</f>
        <v>2728</v>
      </c>
      <c r="F2" s="11">
        <f>Hotel!F9</f>
        <v>2725</v>
      </c>
      <c r="G2" s="11">
        <f>Hotel!H9</f>
        <v>2610</v>
      </c>
      <c r="H2" s="11">
        <f>Hotel!N9</f>
        <v>94</v>
      </c>
      <c r="I2" s="11">
        <f>Hotel!P9</f>
        <v>2590</v>
      </c>
      <c r="J2" s="11">
        <f>Hotel!U9</f>
        <v>144</v>
      </c>
      <c r="K2" s="11">
        <f>Hotel!Y9</f>
        <v>55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2</v>
      </c>
      <c r="D3" s="10">
        <v>2022</v>
      </c>
      <c r="E3" s="11">
        <f>Hotel!D10</f>
        <v>2740</v>
      </c>
      <c r="F3" s="11">
        <f>Hotel!F10</f>
        <v>2733</v>
      </c>
      <c r="G3" s="11">
        <f>Hotel!H10</f>
        <v>2596</v>
      </c>
      <c r="H3" s="11">
        <f>Hotel!N10</f>
        <v>90</v>
      </c>
      <c r="I3" s="11">
        <f>Hotel!P10</f>
        <v>2432</v>
      </c>
      <c r="J3" s="11">
        <f>Hotel!U10</f>
        <v>101</v>
      </c>
      <c r="K3" s="11">
        <f>Hotel!Y10</f>
        <v>50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29" si="0">B3+1</f>
        <v>3</v>
      </c>
      <c r="C4" s="10">
        <v>2</v>
      </c>
      <c r="D4" s="10">
        <v>2022</v>
      </c>
      <c r="E4" s="11">
        <f>Hotel!D11</f>
        <v>2734</v>
      </c>
      <c r="F4" s="11">
        <f>Hotel!F11</f>
        <v>2710</v>
      </c>
      <c r="G4" s="11">
        <f>Hotel!H11</f>
        <v>2574</v>
      </c>
      <c r="H4" s="11">
        <f>Hotel!N11</f>
        <v>81</v>
      </c>
      <c r="I4" s="11">
        <f>Hotel!P11</f>
        <v>1767</v>
      </c>
      <c r="J4" s="11">
        <f>Hotel!U11</f>
        <v>223</v>
      </c>
      <c r="K4" s="11">
        <f>Hotel!Y11</f>
        <v>56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2</v>
      </c>
      <c r="D5" s="10">
        <v>2022</v>
      </c>
      <c r="E5" s="11">
        <f>Hotel!D12</f>
        <v>2749</v>
      </c>
      <c r="F5" s="11">
        <f>Hotel!F12</f>
        <v>2730</v>
      </c>
      <c r="G5" s="11">
        <f>Hotel!H12</f>
        <v>2611</v>
      </c>
      <c r="H5" s="11">
        <f>Hotel!N12</f>
        <v>94</v>
      </c>
      <c r="I5" s="11">
        <f>Hotel!P12</f>
        <v>1983</v>
      </c>
      <c r="J5" s="11">
        <f>Hotel!U12</f>
        <v>176</v>
      </c>
      <c r="K5" s="11">
        <f>Hotel!Y12</f>
        <v>70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2</v>
      </c>
      <c r="D6" s="10">
        <v>2022</v>
      </c>
      <c r="E6" s="11">
        <f>Hotel!D13</f>
        <v>2641</v>
      </c>
      <c r="F6" s="11">
        <f>Hotel!F13</f>
        <v>2627</v>
      </c>
      <c r="G6" s="11">
        <f>Hotel!H13</f>
        <v>2510</v>
      </c>
      <c r="H6" s="11">
        <f>Hotel!N13</f>
        <v>100</v>
      </c>
      <c r="I6" s="11">
        <f>Hotel!P13</f>
        <v>1709</v>
      </c>
      <c r="J6" s="11">
        <f>Hotel!U13</f>
        <v>134</v>
      </c>
      <c r="K6" s="11">
        <f>Hotel!Y13</f>
        <v>66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2</v>
      </c>
      <c r="D7" s="10">
        <v>2022</v>
      </c>
      <c r="E7" s="11">
        <f>Hotel!D14</f>
        <v>2654</v>
      </c>
      <c r="F7" s="11">
        <f>Hotel!F14</f>
        <v>2625</v>
      </c>
      <c r="G7" s="11">
        <f>Hotel!H14</f>
        <v>2480</v>
      </c>
      <c r="H7" s="11">
        <f>Hotel!N14</f>
        <v>109</v>
      </c>
      <c r="I7" s="11">
        <f>Hotel!P14</f>
        <v>1664</v>
      </c>
      <c r="J7" s="11">
        <f>Hotel!U14</f>
        <v>128</v>
      </c>
      <c r="K7" s="11">
        <f>Hotel!Y14</f>
        <v>71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2</v>
      </c>
      <c r="D8" s="10">
        <v>2022</v>
      </c>
      <c r="E8" s="11">
        <f>Hotel!D15</f>
        <v>2640</v>
      </c>
      <c r="F8" s="11">
        <f>Hotel!F15</f>
        <v>2587</v>
      </c>
      <c r="G8" s="11">
        <f>Hotel!H15</f>
        <v>2463</v>
      </c>
      <c r="H8" s="11">
        <f>Hotel!N15</f>
        <v>93</v>
      </c>
      <c r="I8" s="11">
        <f>Hotel!P15</f>
        <v>1811</v>
      </c>
      <c r="J8" s="11">
        <f>Hotel!U15</f>
        <v>172</v>
      </c>
      <c r="K8" s="11">
        <f>Hotel!Y15</f>
        <v>55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2</v>
      </c>
      <c r="D9" s="10">
        <v>2022</v>
      </c>
      <c r="E9" s="11">
        <f>Hotel!D16</f>
        <v>2668</v>
      </c>
      <c r="F9" s="11">
        <f>Hotel!F16</f>
        <v>2502</v>
      </c>
      <c r="G9" s="11">
        <f>Hotel!H16</f>
        <v>2469</v>
      </c>
      <c r="H9" s="11">
        <f>Hotel!N16</f>
        <v>92</v>
      </c>
      <c r="I9" s="11">
        <f>Hotel!P16</f>
        <v>1798</v>
      </c>
      <c r="J9" s="11">
        <f>Hotel!U16</f>
        <v>162</v>
      </c>
      <c r="K9" s="11">
        <f>Hotel!Y16</f>
        <v>71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2</v>
      </c>
      <c r="D10" s="10">
        <v>2022</v>
      </c>
      <c r="E10" s="11">
        <f>Hotel!D17</f>
        <v>2558</v>
      </c>
      <c r="F10" s="11">
        <f>Hotel!F17</f>
        <v>2692</v>
      </c>
      <c r="G10" s="11">
        <f>Hotel!H17</f>
        <v>2460</v>
      </c>
      <c r="H10" s="11">
        <f>Hotel!N17</f>
        <v>98</v>
      </c>
      <c r="I10" s="11">
        <f>Hotel!P17</f>
        <v>1602</v>
      </c>
      <c r="J10" s="11">
        <f>Hotel!U17</f>
        <v>127</v>
      </c>
      <c r="K10" s="11">
        <f>Hotel!Y17</f>
        <v>76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2</v>
      </c>
      <c r="D11" s="10">
        <v>2022</v>
      </c>
      <c r="E11" s="11">
        <f>Hotel!D18</f>
        <v>2637</v>
      </c>
      <c r="F11" s="11">
        <f>Hotel!F18</f>
        <v>2609</v>
      </c>
      <c r="G11" s="11">
        <f>Hotel!H18</f>
        <v>2496</v>
      </c>
      <c r="H11" s="11">
        <f>Hotel!N18</f>
        <v>105</v>
      </c>
      <c r="I11" s="11">
        <f>Hotel!P18</f>
        <v>1660</v>
      </c>
      <c r="J11" s="11">
        <f>Hotel!U18</f>
        <v>168</v>
      </c>
      <c r="K11" s="11">
        <f>Hotel!Y18</f>
        <v>69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2</v>
      </c>
      <c r="D12" s="10">
        <v>2022</v>
      </c>
      <c r="E12" s="11">
        <f>Hotel!D19</f>
        <v>2553</v>
      </c>
      <c r="F12" s="11">
        <f>Hotel!F19</f>
        <v>2525</v>
      </c>
      <c r="G12" s="11">
        <f>Hotel!H19</f>
        <v>2403</v>
      </c>
      <c r="H12" s="11">
        <f>Hotel!N19</f>
        <v>106</v>
      </c>
      <c r="I12" s="11">
        <f>Hotel!P19</f>
        <v>1752</v>
      </c>
      <c r="J12" s="11">
        <f>Hotel!U19</f>
        <v>207</v>
      </c>
      <c r="K12" s="11">
        <f>Hotel!Y19</f>
        <v>70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2</v>
      </c>
      <c r="D13" s="10">
        <v>2022</v>
      </c>
      <c r="E13" s="11">
        <f>Hotel!D20</f>
        <v>2598</v>
      </c>
      <c r="F13" s="11">
        <f>Hotel!F20</f>
        <v>2585</v>
      </c>
      <c r="G13" s="11">
        <f>Hotel!H20</f>
        <v>2439</v>
      </c>
      <c r="H13" s="11">
        <f>Hotel!N20</f>
        <v>112</v>
      </c>
      <c r="I13" s="11">
        <f>Hotel!P20</f>
        <v>1718</v>
      </c>
      <c r="J13" s="11">
        <f>Hotel!U20</f>
        <v>129</v>
      </c>
      <c r="K13" s="11">
        <f>Hotel!Y20</f>
        <v>63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2</v>
      </c>
      <c r="D14" s="10">
        <v>2022</v>
      </c>
      <c r="E14" s="11">
        <f>Hotel!D21</f>
        <v>2565</v>
      </c>
      <c r="F14" s="11">
        <f>Hotel!F21</f>
        <v>2540</v>
      </c>
      <c r="G14" s="11">
        <f>Hotel!H21</f>
        <v>2387</v>
      </c>
      <c r="H14" s="11">
        <f>Hotel!N21</f>
        <v>126</v>
      </c>
      <c r="I14" s="11">
        <f>Hotel!P21</f>
        <v>1689</v>
      </c>
      <c r="J14" s="11">
        <f>Hotel!U21</f>
        <v>159</v>
      </c>
      <c r="K14" s="11">
        <f>Hotel!Y21</f>
        <v>79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2</v>
      </c>
      <c r="D15" s="10">
        <v>2022</v>
      </c>
      <c r="E15" s="11">
        <f>Hotel!D22</f>
        <v>2391</v>
      </c>
      <c r="F15" s="11">
        <f>Hotel!F22</f>
        <v>2354</v>
      </c>
      <c r="G15" s="11">
        <f>Hotel!H22</f>
        <v>2213</v>
      </c>
      <c r="H15" s="11">
        <f>Hotel!N22</f>
        <v>112</v>
      </c>
      <c r="I15" s="11">
        <f>Hotel!P22</f>
        <v>1632</v>
      </c>
      <c r="J15" s="11">
        <f>Hotel!U22</f>
        <v>194</v>
      </c>
      <c r="K15" s="11">
        <f>Hotel!Y22</f>
        <v>65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2</v>
      </c>
      <c r="D16" s="10">
        <v>2022</v>
      </c>
      <c r="E16" s="11">
        <f>Hotel!D23</f>
        <v>2628</v>
      </c>
      <c r="F16" s="11">
        <f>Hotel!F23</f>
        <v>2635</v>
      </c>
      <c r="G16" s="11">
        <f>Hotel!H23</f>
        <v>2458</v>
      </c>
      <c r="H16" s="11">
        <f>Hotel!N23</f>
        <v>112</v>
      </c>
      <c r="I16" s="11">
        <f>Hotel!P23</f>
        <v>1723</v>
      </c>
      <c r="J16" s="11">
        <f>Hotel!U23</f>
        <v>181</v>
      </c>
      <c r="K16" s="11">
        <f>Hotel!Y23</f>
        <v>96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2</v>
      </c>
      <c r="D17" s="10">
        <v>2022</v>
      </c>
      <c r="E17" s="11">
        <f>Hotel!D24</f>
        <v>2377</v>
      </c>
      <c r="F17" s="11">
        <f>Hotel!F24</f>
        <v>2375</v>
      </c>
      <c r="G17" s="11">
        <f>Hotel!H24</f>
        <v>2232</v>
      </c>
      <c r="H17" s="11">
        <f>Hotel!N24</f>
        <v>107</v>
      </c>
      <c r="I17" s="11">
        <f>Hotel!P24</f>
        <v>1869</v>
      </c>
      <c r="J17" s="11">
        <f>Hotel!U24</f>
        <v>185</v>
      </c>
      <c r="K17" s="11">
        <f>Hotel!Y24</f>
        <v>85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2</v>
      </c>
      <c r="D18" s="10">
        <v>2022</v>
      </c>
      <c r="E18" s="11">
        <f>Hotel!D25</f>
        <v>2484</v>
      </c>
      <c r="F18" s="11">
        <f>Hotel!F25</f>
        <v>2463</v>
      </c>
      <c r="G18" s="11">
        <f>Hotel!H25</f>
        <v>2319</v>
      </c>
      <c r="H18" s="11">
        <f>Hotel!N25</f>
        <v>109</v>
      </c>
      <c r="I18" s="11">
        <f>Hotel!P25</f>
        <v>1739</v>
      </c>
      <c r="J18" s="11">
        <f>Hotel!U25</f>
        <v>171</v>
      </c>
      <c r="K18" s="11">
        <f>Hotel!Y25</f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2</v>
      </c>
      <c r="D19" s="10">
        <v>2022</v>
      </c>
      <c r="E19" s="11" t="str">
        <f>Hotel!D26</f>
        <v>0</v>
      </c>
      <c r="F19" s="11" t="str">
        <f>Hotel!F26</f>
        <v>0</v>
      </c>
      <c r="G19" s="11" t="str">
        <f>Hotel!H26</f>
        <v>0</v>
      </c>
      <c r="H19" s="11" t="str">
        <f>Hotel!N26</f>
        <v>0</v>
      </c>
      <c r="I19" s="11" t="str">
        <f>Hotel!P26</f>
        <v>0</v>
      </c>
      <c r="J19" s="11" t="str">
        <f>Hotel!U26</f>
        <v>0</v>
      </c>
      <c r="K19" s="11">
        <f>Hotel!Y26</f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2</v>
      </c>
      <c r="D20" s="10">
        <v>2022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2</v>
      </c>
      <c r="D21" s="10">
        <v>2022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2</v>
      </c>
      <c r="D22" s="10">
        <v>2022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2</v>
      </c>
      <c r="D23" s="10">
        <v>2022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2</v>
      </c>
      <c r="D24" s="10">
        <v>2022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2</v>
      </c>
      <c r="D25" s="10">
        <v>2022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2</v>
      </c>
      <c r="D26" s="10">
        <v>2022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2</v>
      </c>
      <c r="D27" s="10">
        <v>2022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2</v>
      </c>
      <c r="D28" s="10">
        <v>2022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2</v>
      </c>
      <c r="D29" s="10">
        <v>2022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Y26" sqref="Y26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25"/>
      <c r="C1" s="125"/>
      <c r="D1" s="125"/>
      <c r="E1" s="125"/>
      <c r="F1" s="126" t="s">
        <v>95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8"/>
      <c r="W1" s="126" t="s">
        <v>122</v>
      </c>
      <c r="X1" s="127"/>
      <c r="Y1" s="127"/>
      <c r="Z1" s="128"/>
    </row>
    <row r="2" spans="1:27" x14ac:dyDescent="0.25">
      <c r="A2" s="10"/>
      <c r="B2" s="125"/>
      <c r="C2" s="125"/>
      <c r="D2" s="125"/>
      <c r="E2" s="125"/>
      <c r="F2" s="129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29"/>
      <c r="X2" s="130"/>
      <c r="Y2" s="130"/>
      <c r="Z2" s="131"/>
    </row>
    <row r="3" spans="1:27" x14ac:dyDescent="0.25">
      <c r="A3" s="10"/>
      <c r="B3" s="125"/>
      <c r="C3" s="125"/>
      <c r="D3" s="125"/>
      <c r="E3" s="125"/>
      <c r="F3" s="129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1"/>
      <c r="W3" s="129">
        <v>2022</v>
      </c>
      <c r="X3" s="130"/>
      <c r="Y3" s="130"/>
      <c r="Z3" s="131"/>
    </row>
    <row r="4" spans="1:27" x14ac:dyDescent="0.25">
      <c r="A4" s="10"/>
      <c r="B4" s="125"/>
      <c r="C4" s="125"/>
      <c r="D4" s="125"/>
      <c r="E4" s="125"/>
      <c r="F4" s="132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4"/>
      <c r="W4" s="132"/>
      <c r="X4" s="133"/>
      <c r="Y4" s="133"/>
      <c r="Z4" s="134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6336016</v>
      </c>
      <c r="D6" s="28"/>
      <c r="E6" s="29">
        <v>6285331</v>
      </c>
      <c r="F6" s="30"/>
      <c r="G6" s="122">
        <v>5933816</v>
      </c>
      <c r="H6" s="31">
        <f>G6-G5</f>
        <v>5933816</v>
      </c>
      <c r="I6" s="32"/>
      <c r="J6" s="33">
        <f>D6+F6+H6</f>
        <v>5933816</v>
      </c>
      <c r="K6" s="33" t="e">
        <f>D6*0.152+F6*0.238+H6*0.115+#REF!*0.218</f>
        <v>#REF!</v>
      </c>
      <c r="L6" s="34"/>
      <c r="M6" s="35">
        <v>171759</v>
      </c>
      <c r="N6" s="31" t="e">
        <f>M6-#REF!</f>
        <v>#REF!</v>
      </c>
      <c r="O6" s="36">
        <v>2563404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336241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35" t="s">
        <v>97</v>
      </c>
      <c r="D7" s="136"/>
      <c r="E7" s="136"/>
      <c r="F7" s="136"/>
      <c r="G7" s="136"/>
      <c r="H7" s="136"/>
      <c r="I7" s="136"/>
      <c r="J7" s="136"/>
      <c r="K7" s="137"/>
      <c r="L7" s="41"/>
      <c r="M7" s="135" t="s">
        <v>98</v>
      </c>
      <c r="N7" s="136"/>
      <c r="O7" s="136"/>
      <c r="P7" s="136"/>
      <c r="Q7" s="136"/>
      <c r="R7" s="137"/>
      <c r="S7" s="41"/>
      <c r="T7" s="138" t="s">
        <v>99</v>
      </c>
      <c r="U7" s="138"/>
      <c r="V7" s="139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2">
        <v>6338744</v>
      </c>
      <c r="D9" s="61">
        <f>IF((C9-C6&lt;0), "0",C9-C6)</f>
        <v>2728</v>
      </c>
      <c r="E9" s="62">
        <v>6288056</v>
      </c>
      <c r="F9" s="61">
        <f>IF((E9-E6&lt;0), "0",E9-E6)</f>
        <v>2725</v>
      </c>
      <c r="G9" s="63">
        <v>5936426</v>
      </c>
      <c r="H9" s="61">
        <f>IF((G9-G6&lt;0), "0",G9-G6)</f>
        <v>2610</v>
      </c>
      <c r="I9" s="60">
        <f>H9+F9+D9</f>
        <v>8063</v>
      </c>
      <c r="J9" s="64">
        <v>0.99</v>
      </c>
      <c r="K9" s="65">
        <f>I9*0.251</f>
        <v>2023.8130000000001</v>
      </c>
      <c r="L9" s="66"/>
      <c r="M9" s="60">
        <v>171853</v>
      </c>
      <c r="N9" s="61">
        <f>IF((M9-M6&lt;0), "0",M9-M6)</f>
        <v>94</v>
      </c>
      <c r="O9" s="60">
        <v>2565994</v>
      </c>
      <c r="P9" s="61">
        <f>IF((O9-O6&lt;0), "0",O9-O6)</f>
        <v>2590</v>
      </c>
      <c r="Q9" s="67">
        <f t="shared" ref="Q9:Q39" si="0">N9+P9</f>
        <v>2684</v>
      </c>
      <c r="R9" s="68">
        <f>(P9+N9*1.2285)*0.056*10.127</f>
        <v>1534.309606648</v>
      </c>
      <c r="S9" s="69"/>
      <c r="T9" s="70">
        <v>336385</v>
      </c>
      <c r="U9" s="61">
        <f>IF((T9-T6&lt;0), "0",T9-T6)</f>
        <v>144</v>
      </c>
      <c r="V9" s="71">
        <f>U9*(1.315+1.54)</f>
        <v>411.12</v>
      </c>
      <c r="W9" s="72"/>
      <c r="X9" s="73">
        <f t="shared" ref="X9:X39" si="1">K9+R9+V9</f>
        <v>3969.2426066480002</v>
      </c>
      <c r="Y9" s="74">
        <v>55</v>
      </c>
      <c r="Z9" s="75">
        <f>X9/Y9</f>
        <v>72.168047393600006</v>
      </c>
    </row>
    <row r="10" spans="1:27" x14ac:dyDescent="0.25">
      <c r="A10" s="10" t="s">
        <v>120</v>
      </c>
      <c r="B10" s="59">
        <f>B9+1</f>
        <v>2</v>
      </c>
      <c r="C10" s="62">
        <v>6341484</v>
      </c>
      <c r="D10" s="61">
        <f t="shared" ref="D10:D39" si="2">IF((C10-C9&lt;0), "0",C10-C9)</f>
        <v>2740</v>
      </c>
      <c r="E10" s="62">
        <v>6290789</v>
      </c>
      <c r="F10" s="61">
        <f>IF((E10-E9&lt;0), "0",E10-E9)</f>
        <v>2733</v>
      </c>
      <c r="G10" s="63">
        <v>5939022</v>
      </c>
      <c r="H10" s="61">
        <f t="shared" ref="H10:H39" si="3">IF((G10-G9&lt;0), "0",G10-G9)</f>
        <v>2596</v>
      </c>
      <c r="I10" s="60">
        <f t="shared" ref="I10:I39" si="4">H10+F10+D10</f>
        <v>8069</v>
      </c>
      <c r="J10" s="64">
        <v>0.99</v>
      </c>
      <c r="K10" s="65">
        <f t="shared" ref="K10:K39" si="5">I10*0.251</f>
        <v>2025.319</v>
      </c>
      <c r="L10" s="66"/>
      <c r="M10" s="60">
        <v>171943</v>
      </c>
      <c r="N10" s="61">
        <f>IF((M10-M9&lt;0), "0",M10-M9)</f>
        <v>90</v>
      </c>
      <c r="O10" s="60">
        <v>2568426</v>
      </c>
      <c r="P10" s="61">
        <f>IF((O10-O9&lt;0), "0",O10-O9)</f>
        <v>2432</v>
      </c>
      <c r="Q10" s="67">
        <f t="shared" si="0"/>
        <v>2522</v>
      </c>
      <c r="R10" s="68">
        <f t="shared" ref="R10:R39" si="6">(P10+N10*1.2285)*0.056*10.127</f>
        <v>1441.9191222800002</v>
      </c>
      <c r="S10" s="69"/>
      <c r="T10" s="70">
        <v>336486</v>
      </c>
      <c r="U10" s="61">
        <f>IF((T10-T9&lt;0), "0",T10-T9)</f>
        <v>101</v>
      </c>
      <c r="V10" s="71">
        <f t="shared" ref="V10:V39" si="7">U10*(1.315+1.54)</f>
        <v>288.35500000000002</v>
      </c>
      <c r="W10" s="72"/>
      <c r="X10" s="77">
        <f t="shared" si="1"/>
        <v>3755.5931222800004</v>
      </c>
      <c r="Y10" s="78">
        <v>50</v>
      </c>
      <c r="Z10" s="79">
        <f t="shared" ref="Z10:Z39" si="8">X10/Y10</f>
        <v>75.111862445600011</v>
      </c>
    </row>
    <row r="11" spans="1:27" x14ac:dyDescent="0.25">
      <c r="A11" s="10" t="s">
        <v>121</v>
      </c>
      <c r="B11" s="59">
        <f t="shared" ref="B11:B39" si="9">B10+1</f>
        <v>3</v>
      </c>
      <c r="C11" s="62">
        <v>6344218</v>
      </c>
      <c r="D11" s="61">
        <f t="shared" si="2"/>
        <v>2734</v>
      </c>
      <c r="E11" s="62">
        <v>6293499</v>
      </c>
      <c r="F11" s="61">
        <f t="shared" ref="F11:F39" si="10">IF((E11-E10&lt;0), "0",E11-E10)</f>
        <v>2710</v>
      </c>
      <c r="G11" s="63">
        <v>5941596</v>
      </c>
      <c r="H11" s="61">
        <f t="shared" si="3"/>
        <v>2574</v>
      </c>
      <c r="I11" s="60">
        <f t="shared" si="4"/>
        <v>8018</v>
      </c>
      <c r="J11" s="64">
        <v>0.99</v>
      </c>
      <c r="K11" s="65">
        <f t="shared" si="5"/>
        <v>2012.518</v>
      </c>
      <c r="L11" s="66"/>
      <c r="M11" s="60">
        <v>172024</v>
      </c>
      <c r="N11" s="61">
        <f t="shared" ref="N11:N39" si="11">IF((M11-M10&lt;0), "0",M11-M10)</f>
        <v>81</v>
      </c>
      <c r="O11" s="60">
        <v>2570193</v>
      </c>
      <c r="P11" s="61">
        <f t="shared" ref="P11:P39" si="12">IF((O11-O10&lt;0), "0",O11-O10)</f>
        <v>1767</v>
      </c>
      <c r="Q11" s="67">
        <f t="shared" si="0"/>
        <v>1848</v>
      </c>
      <c r="R11" s="68">
        <f t="shared" si="6"/>
        <v>1058.519368452</v>
      </c>
      <c r="S11" s="69"/>
      <c r="T11" s="70">
        <v>336709</v>
      </c>
      <c r="U11" s="61">
        <f t="shared" ref="U11:U39" si="13">IF((T11-T10&lt;0), "0",T11-T10)</f>
        <v>223</v>
      </c>
      <c r="V11" s="71">
        <f t="shared" si="7"/>
        <v>636.66499999999996</v>
      </c>
      <c r="W11" s="72"/>
      <c r="X11" s="77">
        <f t="shared" si="1"/>
        <v>3707.702368452</v>
      </c>
      <c r="Y11" s="78">
        <v>56</v>
      </c>
      <c r="Z11" s="79">
        <f t="shared" si="8"/>
        <v>66.208970865214283</v>
      </c>
    </row>
    <row r="12" spans="1:27" x14ac:dyDescent="0.25">
      <c r="A12" s="10" t="s">
        <v>96</v>
      </c>
      <c r="B12" s="59">
        <f t="shared" si="9"/>
        <v>4</v>
      </c>
      <c r="C12" s="62">
        <v>6346967</v>
      </c>
      <c r="D12" s="61">
        <f t="shared" si="2"/>
        <v>2749</v>
      </c>
      <c r="E12" s="62">
        <v>6296229</v>
      </c>
      <c r="F12" s="61">
        <f t="shared" si="10"/>
        <v>2730</v>
      </c>
      <c r="G12" s="63">
        <v>5944207</v>
      </c>
      <c r="H12" s="61">
        <f t="shared" si="3"/>
        <v>2611</v>
      </c>
      <c r="I12" s="60">
        <f t="shared" si="4"/>
        <v>8090</v>
      </c>
      <c r="J12" s="64">
        <v>0.99</v>
      </c>
      <c r="K12" s="65">
        <f t="shared" si="5"/>
        <v>2030.59</v>
      </c>
      <c r="L12" s="66"/>
      <c r="M12" s="60">
        <v>172118</v>
      </c>
      <c r="N12" s="61">
        <f t="shared" si="11"/>
        <v>94</v>
      </c>
      <c r="O12" s="60">
        <v>2572176</v>
      </c>
      <c r="P12" s="61">
        <f t="shared" si="12"/>
        <v>1983</v>
      </c>
      <c r="Q12" s="67">
        <f t="shared" si="0"/>
        <v>2077</v>
      </c>
      <c r="R12" s="68">
        <f t="shared" si="6"/>
        <v>1190.0726226479999</v>
      </c>
      <c r="S12" s="69"/>
      <c r="T12" s="70">
        <v>336885</v>
      </c>
      <c r="U12" s="61">
        <f t="shared" si="13"/>
        <v>176</v>
      </c>
      <c r="V12" s="71">
        <f t="shared" si="7"/>
        <v>502.48</v>
      </c>
      <c r="W12" s="72"/>
      <c r="X12" s="77">
        <f t="shared" si="1"/>
        <v>3723.1426226479998</v>
      </c>
      <c r="Y12" s="78">
        <v>70</v>
      </c>
      <c r="Z12" s="79">
        <f t="shared" si="8"/>
        <v>53.187751752114281</v>
      </c>
    </row>
    <row r="13" spans="1:27" x14ac:dyDescent="0.25">
      <c r="A13" s="10" t="s">
        <v>116</v>
      </c>
      <c r="B13" s="59">
        <f t="shared" si="9"/>
        <v>5</v>
      </c>
      <c r="C13" s="62">
        <v>6349608</v>
      </c>
      <c r="D13" s="61">
        <f t="shared" si="2"/>
        <v>2641</v>
      </c>
      <c r="E13" s="62">
        <v>6298856</v>
      </c>
      <c r="F13" s="61">
        <f t="shared" si="10"/>
        <v>2627</v>
      </c>
      <c r="G13" s="63">
        <v>5946717</v>
      </c>
      <c r="H13" s="61">
        <f t="shared" si="3"/>
        <v>2510</v>
      </c>
      <c r="I13" s="60">
        <f t="shared" si="4"/>
        <v>7778</v>
      </c>
      <c r="J13" s="64">
        <v>0.99</v>
      </c>
      <c r="K13" s="65">
        <f t="shared" si="5"/>
        <v>1952.278</v>
      </c>
      <c r="L13" s="66"/>
      <c r="M13" s="60">
        <v>172218</v>
      </c>
      <c r="N13" s="61">
        <f t="shared" si="11"/>
        <v>100</v>
      </c>
      <c r="O13" s="60">
        <v>2573885</v>
      </c>
      <c r="P13" s="61">
        <f t="shared" si="12"/>
        <v>1709</v>
      </c>
      <c r="Q13" s="67">
        <f t="shared" si="0"/>
        <v>1809</v>
      </c>
      <c r="R13" s="68">
        <f t="shared" si="6"/>
        <v>1038.8641172</v>
      </c>
      <c r="S13" s="69"/>
      <c r="T13" s="70">
        <v>337019</v>
      </c>
      <c r="U13" s="61">
        <f t="shared" si="13"/>
        <v>134</v>
      </c>
      <c r="V13" s="71">
        <f t="shared" si="7"/>
        <v>382.57</v>
      </c>
      <c r="W13" s="72"/>
      <c r="X13" s="77">
        <f t="shared" si="1"/>
        <v>3373.7121172000002</v>
      </c>
      <c r="Y13" s="78">
        <v>66</v>
      </c>
      <c r="Z13" s="79">
        <f t="shared" si="8"/>
        <v>51.116850260606064</v>
      </c>
    </row>
    <row r="14" spans="1:27" x14ac:dyDescent="0.25">
      <c r="A14" s="10" t="s">
        <v>117</v>
      </c>
      <c r="B14" s="59">
        <f t="shared" si="9"/>
        <v>6</v>
      </c>
      <c r="C14" s="62">
        <v>6352262</v>
      </c>
      <c r="D14" s="61">
        <f t="shared" si="2"/>
        <v>2654</v>
      </c>
      <c r="E14" s="62">
        <v>6301481</v>
      </c>
      <c r="F14" s="61">
        <f t="shared" si="10"/>
        <v>2625</v>
      </c>
      <c r="G14" s="63">
        <v>5949197</v>
      </c>
      <c r="H14" s="61">
        <f t="shared" si="3"/>
        <v>2480</v>
      </c>
      <c r="I14" s="60">
        <f t="shared" si="4"/>
        <v>7759</v>
      </c>
      <c r="J14" s="64">
        <v>0.99</v>
      </c>
      <c r="K14" s="65">
        <f t="shared" si="5"/>
        <v>1947.509</v>
      </c>
      <c r="L14" s="66"/>
      <c r="M14" s="60">
        <v>172327</v>
      </c>
      <c r="N14" s="61">
        <f t="shared" si="11"/>
        <v>109</v>
      </c>
      <c r="O14" s="60">
        <v>2575549</v>
      </c>
      <c r="P14" s="61">
        <f t="shared" si="12"/>
        <v>1664</v>
      </c>
      <c r="Q14" s="67">
        <f t="shared" si="0"/>
        <v>1773</v>
      </c>
      <c r="R14" s="68">
        <f t="shared" si="6"/>
        <v>1019.6143510280001</v>
      </c>
      <c r="S14" s="69"/>
      <c r="T14" s="70">
        <v>337147</v>
      </c>
      <c r="U14" s="61">
        <f t="shared" si="13"/>
        <v>128</v>
      </c>
      <c r="V14" s="71">
        <f t="shared" si="7"/>
        <v>365.44</v>
      </c>
      <c r="W14" s="72"/>
      <c r="X14" s="77">
        <f t="shared" si="1"/>
        <v>3332.5633510279999</v>
      </c>
      <c r="Y14" s="78">
        <v>71</v>
      </c>
      <c r="Z14" s="79">
        <f t="shared" si="8"/>
        <v>46.937511986309858</v>
      </c>
    </row>
    <row r="15" spans="1:27" x14ac:dyDescent="0.25">
      <c r="A15" s="10" t="s">
        <v>118</v>
      </c>
      <c r="B15" s="59">
        <f t="shared" si="9"/>
        <v>7</v>
      </c>
      <c r="C15" s="62">
        <v>6354902</v>
      </c>
      <c r="D15" s="61">
        <f t="shared" si="2"/>
        <v>2640</v>
      </c>
      <c r="E15" s="62">
        <v>6304068</v>
      </c>
      <c r="F15" s="61">
        <f t="shared" si="10"/>
        <v>2587</v>
      </c>
      <c r="G15" s="63">
        <v>5951660</v>
      </c>
      <c r="H15" s="61">
        <f t="shared" si="3"/>
        <v>2463</v>
      </c>
      <c r="I15" s="60">
        <f t="shared" si="4"/>
        <v>7690</v>
      </c>
      <c r="J15" s="64">
        <v>0.99</v>
      </c>
      <c r="K15" s="65">
        <f t="shared" si="5"/>
        <v>1930.19</v>
      </c>
      <c r="L15" s="66"/>
      <c r="M15" s="60">
        <v>172420</v>
      </c>
      <c r="N15" s="61">
        <f t="shared" si="11"/>
        <v>93</v>
      </c>
      <c r="O15" s="60">
        <v>2577360</v>
      </c>
      <c r="P15" s="61">
        <f t="shared" si="12"/>
        <v>1811</v>
      </c>
      <c r="Q15" s="67">
        <f t="shared" si="0"/>
        <v>1904</v>
      </c>
      <c r="R15" s="68">
        <f t="shared" si="6"/>
        <v>1091.8326615560002</v>
      </c>
      <c r="S15" s="69"/>
      <c r="T15" s="70">
        <v>337319</v>
      </c>
      <c r="U15" s="61">
        <f t="shared" si="13"/>
        <v>172</v>
      </c>
      <c r="V15" s="71">
        <f t="shared" si="7"/>
        <v>491.06</v>
      </c>
      <c r="W15" s="72"/>
      <c r="X15" s="77">
        <f t="shared" si="1"/>
        <v>3513.0826615560004</v>
      </c>
      <c r="Y15" s="78">
        <v>55</v>
      </c>
      <c r="Z15" s="79">
        <f t="shared" si="8"/>
        <v>63.874230210109097</v>
      </c>
    </row>
    <row r="16" spans="1:27" x14ac:dyDescent="0.25">
      <c r="A16" s="10" t="s">
        <v>119</v>
      </c>
      <c r="B16" s="59">
        <f t="shared" si="9"/>
        <v>8</v>
      </c>
      <c r="C16" s="62">
        <v>6357570</v>
      </c>
      <c r="D16" s="61">
        <f t="shared" si="2"/>
        <v>2668</v>
      </c>
      <c r="E16" s="62">
        <v>6306570</v>
      </c>
      <c r="F16" s="61">
        <f t="shared" si="10"/>
        <v>2502</v>
      </c>
      <c r="G16" s="63">
        <v>5954129</v>
      </c>
      <c r="H16" s="61">
        <f t="shared" si="3"/>
        <v>2469</v>
      </c>
      <c r="I16" s="60">
        <f t="shared" si="4"/>
        <v>7639</v>
      </c>
      <c r="J16" s="64">
        <v>0.99</v>
      </c>
      <c r="K16" s="65">
        <f t="shared" si="5"/>
        <v>1917.3889999999999</v>
      </c>
      <c r="L16" s="66"/>
      <c r="M16" s="60">
        <v>172512</v>
      </c>
      <c r="N16" s="61">
        <f t="shared" si="11"/>
        <v>92</v>
      </c>
      <c r="O16" s="60">
        <v>2579158</v>
      </c>
      <c r="P16" s="61">
        <f t="shared" si="12"/>
        <v>1798</v>
      </c>
      <c r="Q16" s="67">
        <f t="shared" si="0"/>
        <v>1890</v>
      </c>
      <c r="R16" s="68">
        <f t="shared" si="6"/>
        <v>1083.7635084640001</v>
      </c>
      <c r="S16" s="69"/>
      <c r="T16" s="70">
        <v>337481</v>
      </c>
      <c r="U16" s="61">
        <f t="shared" si="13"/>
        <v>162</v>
      </c>
      <c r="V16" s="71">
        <f t="shared" si="7"/>
        <v>462.51</v>
      </c>
      <c r="W16" s="72"/>
      <c r="X16" s="77">
        <f t="shared" si="1"/>
        <v>3463.662508464</v>
      </c>
      <c r="Y16" s="78">
        <v>71</v>
      </c>
      <c r="Z16" s="79">
        <f t="shared" si="8"/>
        <v>48.783978992450706</v>
      </c>
    </row>
    <row r="17" spans="1:26" x14ac:dyDescent="0.25">
      <c r="A17" s="10" t="s">
        <v>120</v>
      </c>
      <c r="B17" s="59">
        <v>9</v>
      </c>
      <c r="C17" s="62">
        <v>6360128</v>
      </c>
      <c r="D17" s="61">
        <f t="shared" si="2"/>
        <v>2558</v>
      </c>
      <c r="E17" s="62">
        <v>6309262</v>
      </c>
      <c r="F17" s="61">
        <f t="shared" si="10"/>
        <v>2692</v>
      </c>
      <c r="G17" s="63">
        <v>5956589</v>
      </c>
      <c r="H17" s="61">
        <f t="shared" si="3"/>
        <v>2460</v>
      </c>
      <c r="I17" s="60">
        <f t="shared" si="4"/>
        <v>7710</v>
      </c>
      <c r="J17" s="64">
        <v>0.99</v>
      </c>
      <c r="K17" s="65">
        <f t="shared" si="5"/>
        <v>1935.21</v>
      </c>
      <c r="L17" s="66"/>
      <c r="M17" s="60">
        <v>172610</v>
      </c>
      <c r="N17" s="61">
        <f t="shared" si="11"/>
        <v>98</v>
      </c>
      <c r="O17" s="60">
        <v>2580760</v>
      </c>
      <c r="P17" s="61">
        <f t="shared" si="12"/>
        <v>1602</v>
      </c>
      <c r="Q17" s="67">
        <f t="shared" si="0"/>
        <v>1700</v>
      </c>
      <c r="R17" s="68">
        <f t="shared" si="6"/>
        <v>976.78973901600011</v>
      </c>
      <c r="S17" s="69"/>
      <c r="T17" s="70">
        <v>337608</v>
      </c>
      <c r="U17" s="61">
        <f t="shared" si="13"/>
        <v>127</v>
      </c>
      <c r="V17" s="71">
        <f t="shared" si="7"/>
        <v>362.58499999999998</v>
      </c>
      <c r="W17" s="72"/>
      <c r="X17" s="77">
        <f t="shared" si="1"/>
        <v>3274.5847390160002</v>
      </c>
      <c r="Y17" s="78">
        <v>76</v>
      </c>
      <c r="Z17" s="79">
        <f t="shared" si="8"/>
        <v>43.086641302842111</v>
      </c>
    </row>
    <row r="18" spans="1:26" x14ac:dyDescent="0.25">
      <c r="A18" s="10" t="s">
        <v>121</v>
      </c>
      <c r="B18" s="80">
        <f t="shared" si="9"/>
        <v>10</v>
      </c>
      <c r="C18" s="62">
        <v>6362765</v>
      </c>
      <c r="D18" s="61">
        <f t="shared" si="2"/>
        <v>2637</v>
      </c>
      <c r="E18" s="62">
        <v>6311871</v>
      </c>
      <c r="F18" s="61">
        <f t="shared" si="10"/>
        <v>2609</v>
      </c>
      <c r="G18" s="63">
        <v>5959085</v>
      </c>
      <c r="H18" s="61">
        <f t="shared" si="3"/>
        <v>2496</v>
      </c>
      <c r="I18" s="60">
        <f t="shared" si="4"/>
        <v>7742</v>
      </c>
      <c r="J18" s="64">
        <v>0.99</v>
      </c>
      <c r="K18" s="65">
        <f t="shared" si="5"/>
        <v>1943.242</v>
      </c>
      <c r="L18" s="81"/>
      <c r="M18" s="60">
        <v>172715</v>
      </c>
      <c r="N18" s="61">
        <f t="shared" si="11"/>
        <v>105</v>
      </c>
      <c r="O18" s="60">
        <v>2582420</v>
      </c>
      <c r="P18" s="61">
        <f t="shared" si="12"/>
        <v>1660</v>
      </c>
      <c r="Q18" s="67">
        <f t="shared" si="0"/>
        <v>1765</v>
      </c>
      <c r="R18" s="68">
        <f t="shared" si="6"/>
        <v>1014.5591146600001</v>
      </c>
      <c r="S18" s="82"/>
      <c r="T18" s="70">
        <v>337776</v>
      </c>
      <c r="U18" s="61">
        <f t="shared" si="13"/>
        <v>168</v>
      </c>
      <c r="V18" s="71">
        <f t="shared" si="7"/>
        <v>479.64</v>
      </c>
      <c r="W18" s="72"/>
      <c r="X18" s="77">
        <f t="shared" si="1"/>
        <v>3437.44111466</v>
      </c>
      <c r="Y18" s="78">
        <v>69</v>
      </c>
      <c r="Z18" s="83">
        <f t="shared" si="8"/>
        <v>49.81798716898551</v>
      </c>
    </row>
    <row r="19" spans="1:26" x14ac:dyDescent="0.25">
      <c r="A19" s="10" t="s">
        <v>96</v>
      </c>
      <c r="B19" s="84">
        <f t="shared" si="9"/>
        <v>11</v>
      </c>
      <c r="C19" s="62">
        <v>6365318</v>
      </c>
      <c r="D19" s="61">
        <f t="shared" si="2"/>
        <v>2553</v>
      </c>
      <c r="E19" s="62">
        <v>6314396</v>
      </c>
      <c r="F19" s="61">
        <f t="shared" si="10"/>
        <v>2525</v>
      </c>
      <c r="G19" s="63">
        <v>5961488</v>
      </c>
      <c r="H19" s="61">
        <f t="shared" si="3"/>
        <v>2403</v>
      </c>
      <c r="I19" s="60">
        <f t="shared" si="4"/>
        <v>7481</v>
      </c>
      <c r="J19" s="64">
        <v>0.99</v>
      </c>
      <c r="K19" s="65">
        <f t="shared" si="5"/>
        <v>1877.731</v>
      </c>
      <c r="L19" s="66"/>
      <c r="M19" s="60">
        <v>172821</v>
      </c>
      <c r="N19" s="61">
        <f t="shared" si="11"/>
        <v>106</v>
      </c>
      <c r="O19" s="60">
        <v>2584172</v>
      </c>
      <c r="P19" s="61">
        <f t="shared" si="12"/>
        <v>1752</v>
      </c>
      <c r="Q19" s="67">
        <f t="shared" si="0"/>
        <v>1858</v>
      </c>
      <c r="R19" s="68">
        <f t="shared" si="6"/>
        <v>1067.4301157520001</v>
      </c>
      <c r="S19" s="69"/>
      <c r="T19" s="70">
        <v>337983</v>
      </c>
      <c r="U19" s="61">
        <f t="shared" si="13"/>
        <v>207</v>
      </c>
      <c r="V19" s="71">
        <f t="shared" si="7"/>
        <v>590.98500000000001</v>
      </c>
      <c r="W19" s="72"/>
      <c r="X19" s="77">
        <f t="shared" si="1"/>
        <v>3536.1461157520002</v>
      </c>
      <c r="Y19" s="78">
        <v>70</v>
      </c>
      <c r="Z19" s="75">
        <f t="shared" si="8"/>
        <v>50.516373082171434</v>
      </c>
    </row>
    <row r="20" spans="1:26" x14ac:dyDescent="0.25">
      <c r="A20" s="10" t="s">
        <v>116</v>
      </c>
      <c r="B20" s="59">
        <f t="shared" si="9"/>
        <v>12</v>
      </c>
      <c r="C20" s="62">
        <v>6367916</v>
      </c>
      <c r="D20" s="61">
        <f t="shared" si="2"/>
        <v>2598</v>
      </c>
      <c r="E20" s="62">
        <v>6316981</v>
      </c>
      <c r="F20" s="61">
        <f t="shared" si="10"/>
        <v>2585</v>
      </c>
      <c r="G20" s="63">
        <v>5963927</v>
      </c>
      <c r="H20" s="61">
        <f t="shared" si="3"/>
        <v>2439</v>
      </c>
      <c r="I20" s="60">
        <f t="shared" si="4"/>
        <v>7622</v>
      </c>
      <c r="J20" s="64">
        <v>0.99</v>
      </c>
      <c r="K20" s="65">
        <f t="shared" si="5"/>
        <v>1913.1220000000001</v>
      </c>
      <c r="L20" s="66"/>
      <c r="M20" s="60">
        <v>172933</v>
      </c>
      <c r="N20" s="61">
        <f t="shared" si="11"/>
        <v>112</v>
      </c>
      <c r="O20" s="60">
        <v>2585890</v>
      </c>
      <c r="P20" s="61">
        <f t="shared" si="12"/>
        <v>1718</v>
      </c>
      <c r="Q20" s="67">
        <f t="shared" si="0"/>
        <v>1830</v>
      </c>
      <c r="R20" s="68">
        <f t="shared" si="6"/>
        <v>1052.3284903040001</v>
      </c>
      <c r="S20" s="69"/>
      <c r="T20" s="70">
        <v>338112</v>
      </c>
      <c r="U20" s="61">
        <f t="shared" si="13"/>
        <v>129</v>
      </c>
      <c r="V20" s="71">
        <f t="shared" si="7"/>
        <v>368.29500000000002</v>
      </c>
      <c r="W20" s="72"/>
      <c r="X20" s="77">
        <f t="shared" si="1"/>
        <v>3333.7454903040002</v>
      </c>
      <c r="Y20" s="78">
        <v>63</v>
      </c>
      <c r="Z20" s="79">
        <f t="shared" si="8"/>
        <v>52.916595084190483</v>
      </c>
    </row>
    <row r="21" spans="1:26" x14ac:dyDescent="0.25">
      <c r="A21" s="10" t="s">
        <v>117</v>
      </c>
      <c r="B21" s="59">
        <f t="shared" si="9"/>
        <v>13</v>
      </c>
      <c r="C21" s="62">
        <v>6370481</v>
      </c>
      <c r="D21" s="61">
        <f t="shared" si="2"/>
        <v>2565</v>
      </c>
      <c r="E21" s="62">
        <v>6319521</v>
      </c>
      <c r="F21" s="61">
        <f t="shared" si="10"/>
        <v>2540</v>
      </c>
      <c r="G21" s="63">
        <v>5966314</v>
      </c>
      <c r="H21" s="61">
        <f t="shared" si="3"/>
        <v>2387</v>
      </c>
      <c r="I21" s="60">
        <f t="shared" si="4"/>
        <v>7492</v>
      </c>
      <c r="J21" s="64">
        <v>0.99</v>
      </c>
      <c r="K21" s="65">
        <f t="shared" si="5"/>
        <v>1880.492</v>
      </c>
      <c r="L21" s="66"/>
      <c r="M21" s="60">
        <v>173059</v>
      </c>
      <c r="N21" s="61">
        <f t="shared" si="11"/>
        <v>126</v>
      </c>
      <c r="O21" s="60">
        <v>2587579</v>
      </c>
      <c r="P21" s="61">
        <f t="shared" si="12"/>
        <v>1689</v>
      </c>
      <c r="Q21" s="67">
        <f t="shared" si="0"/>
        <v>1815</v>
      </c>
      <c r="R21" s="68">
        <f t="shared" si="6"/>
        <v>1045.6360015920002</v>
      </c>
      <c r="S21" s="69"/>
      <c r="T21" s="70">
        <v>338271</v>
      </c>
      <c r="U21" s="61">
        <f t="shared" si="13"/>
        <v>159</v>
      </c>
      <c r="V21" s="71">
        <f t="shared" si="7"/>
        <v>453.94499999999999</v>
      </c>
      <c r="W21" s="72"/>
      <c r="X21" s="77">
        <f t="shared" si="1"/>
        <v>3380.0730015920003</v>
      </c>
      <c r="Y21" s="78">
        <v>79</v>
      </c>
      <c r="Z21" s="79">
        <f t="shared" si="8"/>
        <v>42.785734197367091</v>
      </c>
    </row>
    <row r="22" spans="1:26" x14ac:dyDescent="0.25">
      <c r="A22" s="10" t="s">
        <v>118</v>
      </c>
      <c r="B22" s="59">
        <f t="shared" si="9"/>
        <v>14</v>
      </c>
      <c r="C22" s="62">
        <v>6372872</v>
      </c>
      <c r="D22" s="61">
        <f t="shared" si="2"/>
        <v>2391</v>
      </c>
      <c r="E22" s="62">
        <v>6321875</v>
      </c>
      <c r="F22" s="61">
        <f t="shared" si="10"/>
        <v>2354</v>
      </c>
      <c r="G22" s="63">
        <v>5968527</v>
      </c>
      <c r="H22" s="61">
        <f t="shared" si="3"/>
        <v>2213</v>
      </c>
      <c r="I22" s="60">
        <f t="shared" si="4"/>
        <v>6958</v>
      </c>
      <c r="J22" s="64">
        <v>0.99</v>
      </c>
      <c r="K22" s="65">
        <f t="shared" si="5"/>
        <v>1746.4580000000001</v>
      </c>
      <c r="L22" s="66"/>
      <c r="M22" s="60">
        <v>173171</v>
      </c>
      <c r="N22" s="61">
        <f t="shared" si="11"/>
        <v>112</v>
      </c>
      <c r="O22" s="60">
        <v>2589211</v>
      </c>
      <c r="P22" s="61">
        <f t="shared" si="12"/>
        <v>1632</v>
      </c>
      <c r="Q22" s="67">
        <f t="shared" si="0"/>
        <v>1744</v>
      </c>
      <c r="R22" s="68">
        <f t="shared" si="6"/>
        <v>1003.5568583040001</v>
      </c>
      <c r="S22" s="69"/>
      <c r="T22" s="70">
        <v>338465</v>
      </c>
      <c r="U22" s="61">
        <f t="shared" si="13"/>
        <v>194</v>
      </c>
      <c r="V22" s="71">
        <f t="shared" si="7"/>
        <v>553.87</v>
      </c>
      <c r="W22" s="72"/>
      <c r="X22" s="77">
        <f t="shared" si="1"/>
        <v>3303.8848583039999</v>
      </c>
      <c r="Y22" s="78">
        <v>65</v>
      </c>
      <c r="Z22" s="79">
        <f t="shared" si="8"/>
        <v>50.828997820061538</v>
      </c>
    </row>
    <row r="23" spans="1:26" x14ac:dyDescent="0.25">
      <c r="A23" s="10" t="s">
        <v>119</v>
      </c>
      <c r="B23" s="59">
        <f t="shared" si="9"/>
        <v>15</v>
      </c>
      <c r="C23" s="62">
        <v>6375500</v>
      </c>
      <c r="D23" s="61">
        <f t="shared" si="2"/>
        <v>2628</v>
      </c>
      <c r="E23" s="62">
        <v>6324510</v>
      </c>
      <c r="F23" s="61">
        <f t="shared" si="10"/>
        <v>2635</v>
      </c>
      <c r="G23" s="63">
        <v>5970985</v>
      </c>
      <c r="H23" s="61">
        <f t="shared" si="3"/>
        <v>2458</v>
      </c>
      <c r="I23" s="60">
        <f t="shared" si="4"/>
        <v>7721</v>
      </c>
      <c r="J23" s="64">
        <v>0.99</v>
      </c>
      <c r="K23" s="65">
        <f t="shared" si="5"/>
        <v>1937.971</v>
      </c>
      <c r="L23" s="66"/>
      <c r="M23" s="60">
        <v>173283</v>
      </c>
      <c r="N23" s="61">
        <f t="shared" si="11"/>
        <v>112</v>
      </c>
      <c r="O23" s="60">
        <v>2590934</v>
      </c>
      <c r="P23" s="61">
        <f t="shared" si="12"/>
        <v>1723</v>
      </c>
      <c r="Q23" s="67">
        <f t="shared" si="0"/>
        <v>1835</v>
      </c>
      <c r="R23" s="68">
        <f t="shared" si="6"/>
        <v>1055.1640503040003</v>
      </c>
      <c r="S23" s="69"/>
      <c r="T23" s="70">
        <v>338646</v>
      </c>
      <c r="U23" s="61">
        <f t="shared" si="13"/>
        <v>181</v>
      </c>
      <c r="V23" s="71">
        <f t="shared" si="7"/>
        <v>516.755</v>
      </c>
      <c r="W23" s="72"/>
      <c r="X23" s="77">
        <f t="shared" si="1"/>
        <v>3509.8900503040004</v>
      </c>
      <c r="Y23" s="78">
        <v>96</v>
      </c>
      <c r="Z23" s="79">
        <f t="shared" si="8"/>
        <v>36.561354690666668</v>
      </c>
    </row>
    <row r="24" spans="1:26" x14ac:dyDescent="0.25">
      <c r="A24" s="10" t="s">
        <v>120</v>
      </c>
      <c r="B24" s="59">
        <f t="shared" si="9"/>
        <v>16</v>
      </c>
      <c r="C24" s="62">
        <v>6377877</v>
      </c>
      <c r="D24" s="61">
        <f t="shared" si="2"/>
        <v>2377</v>
      </c>
      <c r="E24" s="62">
        <v>6326885</v>
      </c>
      <c r="F24" s="61">
        <f t="shared" si="10"/>
        <v>2375</v>
      </c>
      <c r="G24" s="63">
        <v>5973217</v>
      </c>
      <c r="H24" s="61">
        <f t="shared" si="3"/>
        <v>2232</v>
      </c>
      <c r="I24" s="60">
        <f t="shared" si="4"/>
        <v>6984</v>
      </c>
      <c r="J24" s="64">
        <v>0.99</v>
      </c>
      <c r="K24" s="65">
        <f t="shared" si="5"/>
        <v>1752.9839999999999</v>
      </c>
      <c r="L24" s="66"/>
      <c r="M24" s="60">
        <v>173390</v>
      </c>
      <c r="N24" s="61">
        <f t="shared" si="11"/>
        <v>107</v>
      </c>
      <c r="O24" s="60">
        <v>2592803</v>
      </c>
      <c r="P24" s="61">
        <f t="shared" si="12"/>
        <v>1869</v>
      </c>
      <c r="Q24" s="67">
        <f t="shared" si="0"/>
        <v>1976</v>
      </c>
      <c r="R24" s="68">
        <f t="shared" si="6"/>
        <v>1134.478916844</v>
      </c>
      <c r="S24" s="69"/>
      <c r="T24" s="70">
        <v>338831</v>
      </c>
      <c r="U24" s="61">
        <f t="shared" si="13"/>
        <v>185</v>
      </c>
      <c r="V24" s="71">
        <f t="shared" si="7"/>
        <v>528.17499999999995</v>
      </c>
      <c r="W24" s="72"/>
      <c r="X24" s="77">
        <f t="shared" si="1"/>
        <v>3415.6379168439998</v>
      </c>
      <c r="Y24" s="78">
        <v>85</v>
      </c>
      <c r="Z24" s="79">
        <f t="shared" si="8"/>
        <v>40.18397549228235</v>
      </c>
    </row>
    <row r="25" spans="1:26" x14ac:dyDescent="0.25">
      <c r="A25" s="10" t="s">
        <v>121</v>
      </c>
      <c r="B25" s="59">
        <f t="shared" si="9"/>
        <v>17</v>
      </c>
      <c r="C25" s="62">
        <v>6380361</v>
      </c>
      <c r="D25" s="61">
        <f t="shared" si="2"/>
        <v>2484</v>
      </c>
      <c r="E25" s="62">
        <v>6329348</v>
      </c>
      <c r="F25" s="61">
        <f t="shared" si="10"/>
        <v>2463</v>
      </c>
      <c r="G25" s="63">
        <v>5975536</v>
      </c>
      <c r="H25" s="61">
        <f t="shared" si="3"/>
        <v>2319</v>
      </c>
      <c r="I25" s="60">
        <f t="shared" si="4"/>
        <v>7266</v>
      </c>
      <c r="J25" s="64">
        <v>0.99</v>
      </c>
      <c r="K25" s="65">
        <f t="shared" si="5"/>
        <v>1823.7660000000001</v>
      </c>
      <c r="L25" s="66"/>
      <c r="M25" s="60">
        <v>173499</v>
      </c>
      <c r="N25" s="61">
        <f t="shared" si="11"/>
        <v>109</v>
      </c>
      <c r="O25" s="60">
        <v>2594542</v>
      </c>
      <c r="P25" s="61">
        <f t="shared" si="12"/>
        <v>1739</v>
      </c>
      <c r="Q25" s="67">
        <f t="shared" si="0"/>
        <v>1848</v>
      </c>
      <c r="R25" s="68">
        <f t="shared" si="6"/>
        <v>1062.1477510280001</v>
      </c>
      <c r="S25" s="69"/>
      <c r="T25" s="70">
        <v>339002</v>
      </c>
      <c r="U25" s="61">
        <f t="shared" si="13"/>
        <v>171</v>
      </c>
      <c r="V25" s="71">
        <f t="shared" si="7"/>
        <v>488.20499999999998</v>
      </c>
      <c r="W25" s="72"/>
      <c r="X25" s="77">
        <f t="shared" si="1"/>
        <v>3374.1187510280001</v>
      </c>
      <c r="Y25" s="78"/>
      <c r="Z25" s="79" t="e">
        <f t="shared" si="8"/>
        <v>#DIV/0!</v>
      </c>
    </row>
    <row r="26" spans="1:26" x14ac:dyDescent="0.25">
      <c r="A26" s="10" t="s">
        <v>96</v>
      </c>
      <c r="B26" s="59">
        <f t="shared" si="9"/>
        <v>18</v>
      </c>
      <c r="C26" s="62"/>
      <c r="D26" s="61" t="str">
        <f t="shared" si="2"/>
        <v>0</v>
      </c>
      <c r="E26" s="62"/>
      <c r="F26" s="61" t="str">
        <f t="shared" si="10"/>
        <v>0</v>
      </c>
      <c r="G26" s="63"/>
      <c r="H26" s="61" t="str">
        <f t="shared" si="3"/>
        <v>0</v>
      </c>
      <c r="I26" s="60">
        <f t="shared" si="4"/>
        <v>0</v>
      </c>
      <c r="J26" s="64">
        <v>0.99</v>
      </c>
      <c r="K26" s="65">
        <f t="shared" si="5"/>
        <v>0</v>
      </c>
      <c r="L26" s="66"/>
      <c r="M26" s="60"/>
      <c r="N26" s="61" t="str">
        <f t="shared" si="11"/>
        <v>0</v>
      </c>
      <c r="O26" s="60"/>
      <c r="P26" s="61" t="str">
        <f t="shared" si="12"/>
        <v>0</v>
      </c>
      <c r="Q26" s="67">
        <f t="shared" si="0"/>
        <v>0</v>
      </c>
      <c r="R26" s="68">
        <f t="shared" si="6"/>
        <v>0</v>
      </c>
      <c r="S26" s="69"/>
      <c r="T26" s="70"/>
      <c r="U26" s="61" t="str">
        <f t="shared" si="13"/>
        <v>0</v>
      </c>
      <c r="V26" s="71">
        <f t="shared" si="7"/>
        <v>0</v>
      </c>
      <c r="W26" s="72"/>
      <c r="X26" s="77">
        <f t="shared" si="1"/>
        <v>0</v>
      </c>
      <c r="Y26" s="78"/>
      <c r="Z26" s="79" t="e">
        <f t="shared" si="8"/>
        <v>#DIV/0!</v>
      </c>
    </row>
    <row r="27" spans="1:26" x14ac:dyDescent="0.25">
      <c r="A27" s="10" t="s">
        <v>116</v>
      </c>
      <c r="B27" s="59">
        <f t="shared" si="9"/>
        <v>19</v>
      </c>
      <c r="C27" s="62"/>
      <c r="D27" s="61">
        <f t="shared" si="2"/>
        <v>0</v>
      </c>
      <c r="E27" s="62"/>
      <c r="F27" s="61">
        <f t="shared" si="10"/>
        <v>0</v>
      </c>
      <c r="G27" s="63"/>
      <c r="H27" s="61">
        <f t="shared" si="3"/>
        <v>0</v>
      </c>
      <c r="I27" s="60">
        <f t="shared" si="4"/>
        <v>0</v>
      </c>
      <c r="J27" s="64">
        <v>0.99</v>
      </c>
      <c r="K27" s="65">
        <f t="shared" si="5"/>
        <v>0</v>
      </c>
      <c r="L27" s="85"/>
      <c r="M27" s="60"/>
      <c r="N27" s="61">
        <f t="shared" si="11"/>
        <v>0</v>
      </c>
      <c r="O27" s="60"/>
      <c r="P27" s="61">
        <f t="shared" si="12"/>
        <v>0</v>
      </c>
      <c r="Q27" s="67">
        <f t="shared" si="0"/>
        <v>0</v>
      </c>
      <c r="R27" s="68">
        <f t="shared" si="6"/>
        <v>0</v>
      </c>
      <c r="S27" s="69"/>
      <c r="T27" s="70"/>
      <c r="U27" s="61">
        <f t="shared" si="13"/>
        <v>0</v>
      </c>
      <c r="V27" s="71">
        <f t="shared" si="7"/>
        <v>0</v>
      </c>
      <c r="W27" s="72"/>
      <c r="X27" s="77">
        <f t="shared" si="1"/>
        <v>0</v>
      </c>
      <c r="Y27" s="78"/>
      <c r="Z27" s="79" t="e">
        <f t="shared" si="8"/>
        <v>#DIV/0!</v>
      </c>
    </row>
    <row r="28" spans="1:26" x14ac:dyDescent="0.25">
      <c r="A28" s="10" t="s">
        <v>117</v>
      </c>
      <c r="B28" s="80">
        <f t="shared" si="9"/>
        <v>20</v>
      </c>
      <c r="C28" s="62"/>
      <c r="D28" s="61">
        <f t="shared" si="2"/>
        <v>0</v>
      </c>
      <c r="E28" s="62"/>
      <c r="F28" s="61">
        <f t="shared" si="10"/>
        <v>0</v>
      </c>
      <c r="G28" s="63"/>
      <c r="H28" s="61">
        <f t="shared" si="3"/>
        <v>0</v>
      </c>
      <c r="I28" s="60">
        <f t="shared" si="4"/>
        <v>0</v>
      </c>
      <c r="J28" s="64">
        <v>0.99</v>
      </c>
      <c r="K28" s="65">
        <f t="shared" si="5"/>
        <v>0</v>
      </c>
      <c r="L28" s="86"/>
      <c r="M28" s="60"/>
      <c r="N28" s="61">
        <f t="shared" si="11"/>
        <v>0</v>
      </c>
      <c r="O28" s="60"/>
      <c r="P28" s="61">
        <f t="shared" si="12"/>
        <v>0</v>
      </c>
      <c r="Q28" s="67">
        <f t="shared" si="0"/>
        <v>0</v>
      </c>
      <c r="R28" s="68">
        <f t="shared" si="6"/>
        <v>0</v>
      </c>
      <c r="S28" s="76"/>
      <c r="T28" s="70"/>
      <c r="U28" s="61">
        <f t="shared" si="13"/>
        <v>0</v>
      </c>
      <c r="V28" s="71">
        <f t="shared" si="7"/>
        <v>0</v>
      </c>
      <c r="W28" s="72"/>
      <c r="X28" s="87">
        <f t="shared" si="1"/>
        <v>0</v>
      </c>
      <c r="Y28" s="78"/>
      <c r="Z28" s="83" t="e">
        <f t="shared" si="8"/>
        <v>#DIV/0!</v>
      </c>
    </row>
    <row r="29" spans="1:26" x14ac:dyDescent="0.25">
      <c r="A29" s="10" t="s">
        <v>118</v>
      </c>
      <c r="B29" s="84">
        <f t="shared" si="9"/>
        <v>21</v>
      </c>
      <c r="C29" s="62"/>
      <c r="D29" s="61">
        <f t="shared" si="2"/>
        <v>0</v>
      </c>
      <c r="E29" s="62"/>
      <c r="F29" s="61">
        <f t="shared" si="10"/>
        <v>0</v>
      </c>
      <c r="G29" s="63"/>
      <c r="H29" s="61">
        <f t="shared" si="3"/>
        <v>0</v>
      </c>
      <c r="I29" s="60">
        <f t="shared" si="4"/>
        <v>0</v>
      </c>
      <c r="J29" s="64">
        <v>0.99</v>
      </c>
      <c r="K29" s="65">
        <f t="shared" si="5"/>
        <v>0</v>
      </c>
      <c r="L29" s="66"/>
      <c r="M29" s="60"/>
      <c r="N29" s="61">
        <f t="shared" si="11"/>
        <v>0</v>
      </c>
      <c r="O29" s="60"/>
      <c r="P29" s="61">
        <f t="shared" si="12"/>
        <v>0</v>
      </c>
      <c r="Q29" s="67">
        <f t="shared" si="0"/>
        <v>0</v>
      </c>
      <c r="R29" s="68">
        <f t="shared" si="6"/>
        <v>0</v>
      </c>
      <c r="S29" s="69"/>
      <c r="T29" s="70"/>
      <c r="U29" s="61">
        <f t="shared" si="13"/>
        <v>0</v>
      </c>
      <c r="V29" s="71">
        <f t="shared" si="7"/>
        <v>0</v>
      </c>
      <c r="W29" s="72"/>
      <c r="X29" s="73">
        <f t="shared" si="1"/>
        <v>0</v>
      </c>
      <c r="Y29" s="78"/>
      <c r="Z29" s="75" t="e">
        <f t="shared" si="8"/>
        <v>#DIV/0!</v>
      </c>
    </row>
    <row r="30" spans="1:26" x14ac:dyDescent="0.25">
      <c r="A30" s="10" t="s">
        <v>119</v>
      </c>
      <c r="B30" s="59">
        <f t="shared" si="9"/>
        <v>22</v>
      </c>
      <c r="C30" s="62"/>
      <c r="D30" s="61">
        <f t="shared" si="2"/>
        <v>0</v>
      </c>
      <c r="E30" s="62"/>
      <c r="F30" s="61">
        <f t="shared" si="10"/>
        <v>0</v>
      </c>
      <c r="G30" s="63"/>
      <c r="H30" s="61">
        <f t="shared" si="3"/>
        <v>0</v>
      </c>
      <c r="I30" s="60">
        <f t="shared" si="4"/>
        <v>0</v>
      </c>
      <c r="J30" s="64">
        <v>0.99</v>
      </c>
      <c r="K30" s="65">
        <f t="shared" si="5"/>
        <v>0</v>
      </c>
      <c r="L30" s="66"/>
      <c r="M30" s="60"/>
      <c r="N30" s="61">
        <f t="shared" si="11"/>
        <v>0</v>
      </c>
      <c r="O30" s="60"/>
      <c r="P30" s="61">
        <f t="shared" si="12"/>
        <v>0</v>
      </c>
      <c r="Q30" s="67">
        <f t="shared" si="0"/>
        <v>0</v>
      </c>
      <c r="R30" s="68">
        <f t="shared" si="6"/>
        <v>0</v>
      </c>
      <c r="S30" s="69"/>
      <c r="T30" s="70"/>
      <c r="U30" s="61">
        <f t="shared" si="13"/>
        <v>0</v>
      </c>
      <c r="V30" s="71">
        <f t="shared" si="7"/>
        <v>0</v>
      </c>
      <c r="W30" s="72"/>
      <c r="X30" s="77">
        <f t="shared" si="1"/>
        <v>0</v>
      </c>
      <c r="Y30" s="78"/>
      <c r="Z30" s="79" t="e">
        <f t="shared" si="8"/>
        <v>#DIV/0!</v>
      </c>
    </row>
    <row r="31" spans="1:26" x14ac:dyDescent="0.25">
      <c r="A31" s="10" t="s">
        <v>120</v>
      </c>
      <c r="B31" s="59">
        <f t="shared" si="9"/>
        <v>23</v>
      </c>
      <c r="C31" s="62"/>
      <c r="D31" s="61">
        <f t="shared" si="2"/>
        <v>0</v>
      </c>
      <c r="E31" s="62"/>
      <c r="F31" s="61">
        <f t="shared" si="10"/>
        <v>0</v>
      </c>
      <c r="G31" s="63"/>
      <c r="H31" s="61">
        <f t="shared" si="3"/>
        <v>0</v>
      </c>
      <c r="I31" s="60">
        <f t="shared" si="4"/>
        <v>0</v>
      </c>
      <c r="J31" s="64">
        <v>0.99</v>
      </c>
      <c r="K31" s="65">
        <f t="shared" si="5"/>
        <v>0</v>
      </c>
      <c r="L31" s="66"/>
      <c r="M31" s="60"/>
      <c r="N31" s="61">
        <f t="shared" si="11"/>
        <v>0</v>
      </c>
      <c r="O31" s="60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70"/>
      <c r="U31" s="61">
        <f t="shared" si="13"/>
        <v>0</v>
      </c>
      <c r="V31" s="71">
        <f t="shared" si="7"/>
        <v>0</v>
      </c>
      <c r="W31" s="72"/>
      <c r="X31" s="88">
        <f t="shared" si="1"/>
        <v>0</v>
      </c>
      <c r="Y31" s="78"/>
      <c r="Z31" s="79" t="e">
        <f t="shared" si="8"/>
        <v>#DIV/0!</v>
      </c>
    </row>
    <row r="32" spans="1:26" x14ac:dyDescent="0.25">
      <c r="A32" s="10" t="s">
        <v>121</v>
      </c>
      <c r="B32" s="59">
        <f t="shared" si="9"/>
        <v>24</v>
      </c>
      <c r="C32" s="62"/>
      <c r="D32" s="61">
        <f t="shared" si="2"/>
        <v>0</v>
      </c>
      <c r="E32" s="62"/>
      <c r="F32" s="61">
        <f t="shared" si="10"/>
        <v>0</v>
      </c>
      <c r="G32" s="63"/>
      <c r="H32" s="61">
        <f t="shared" si="3"/>
        <v>0</v>
      </c>
      <c r="I32" s="60">
        <f t="shared" si="4"/>
        <v>0</v>
      </c>
      <c r="J32" s="64">
        <v>0.99</v>
      </c>
      <c r="K32" s="65">
        <f t="shared" si="5"/>
        <v>0</v>
      </c>
      <c r="L32" s="66"/>
      <c r="M32" s="60"/>
      <c r="N32" s="61">
        <f t="shared" si="11"/>
        <v>0</v>
      </c>
      <c r="O32" s="60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70"/>
      <c r="U32" s="61">
        <f t="shared" si="13"/>
        <v>0</v>
      </c>
      <c r="V32" s="71">
        <f t="shared" si="7"/>
        <v>0</v>
      </c>
      <c r="W32" s="72"/>
      <c r="X32" s="88">
        <f t="shared" si="1"/>
        <v>0</v>
      </c>
      <c r="Y32" s="78"/>
      <c r="Z32" s="79" t="e">
        <f t="shared" si="8"/>
        <v>#DIV/0!</v>
      </c>
    </row>
    <row r="33" spans="1:26" x14ac:dyDescent="0.25">
      <c r="A33" s="10" t="s">
        <v>96</v>
      </c>
      <c r="B33" s="59">
        <f t="shared" si="9"/>
        <v>25</v>
      </c>
      <c r="C33" s="62"/>
      <c r="D33" s="61">
        <f t="shared" si="2"/>
        <v>0</v>
      </c>
      <c r="E33" s="62"/>
      <c r="F33" s="61">
        <f t="shared" si="10"/>
        <v>0</v>
      </c>
      <c r="G33" s="63"/>
      <c r="H33" s="61">
        <f t="shared" si="3"/>
        <v>0</v>
      </c>
      <c r="I33" s="60">
        <f t="shared" si="4"/>
        <v>0</v>
      </c>
      <c r="J33" s="64">
        <v>0.99</v>
      </c>
      <c r="K33" s="65">
        <f t="shared" si="5"/>
        <v>0</v>
      </c>
      <c r="L33" s="66"/>
      <c r="M33" s="60"/>
      <c r="N33" s="61">
        <f t="shared" si="11"/>
        <v>0</v>
      </c>
      <c r="O33" s="60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70"/>
      <c r="U33" s="61">
        <f t="shared" si="13"/>
        <v>0</v>
      </c>
      <c r="V33" s="71">
        <f t="shared" si="7"/>
        <v>0</v>
      </c>
      <c r="W33" s="72"/>
      <c r="X33" s="88">
        <f t="shared" si="1"/>
        <v>0</v>
      </c>
      <c r="Y33" s="78"/>
      <c r="Z33" s="79" t="e">
        <f t="shared" si="8"/>
        <v>#DIV/0!</v>
      </c>
    </row>
    <row r="34" spans="1:26" x14ac:dyDescent="0.25">
      <c r="A34" s="10" t="s">
        <v>116</v>
      </c>
      <c r="B34" s="59">
        <f t="shared" si="9"/>
        <v>26</v>
      </c>
      <c r="C34" s="62"/>
      <c r="D34" s="61">
        <f t="shared" si="2"/>
        <v>0</v>
      </c>
      <c r="E34" s="62"/>
      <c r="F34" s="61">
        <f t="shared" si="10"/>
        <v>0</v>
      </c>
      <c r="G34" s="63"/>
      <c r="H34" s="61">
        <f t="shared" si="3"/>
        <v>0</v>
      </c>
      <c r="I34" s="60">
        <f t="shared" si="4"/>
        <v>0</v>
      </c>
      <c r="J34" s="64">
        <v>0.99</v>
      </c>
      <c r="K34" s="65">
        <f t="shared" si="5"/>
        <v>0</v>
      </c>
      <c r="L34" s="66"/>
      <c r="M34" s="60"/>
      <c r="N34" s="61">
        <f t="shared" si="11"/>
        <v>0</v>
      </c>
      <c r="O34" s="60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70"/>
      <c r="U34" s="61">
        <f t="shared" si="13"/>
        <v>0</v>
      </c>
      <c r="V34" s="71">
        <f t="shared" si="7"/>
        <v>0</v>
      </c>
      <c r="W34" s="72"/>
      <c r="X34" s="88">
        <f t="shared" si="1"/>
        <v>0</v>
      </c>
      <c r="Y34" s="78"/>
      <c r="Z34" s="79" t="e">
        <f t="shared" si="8"/>
        <v>#DIV/0!</v>
      </c>
    </row>
    <row r="35" spans="1:26" x14ac:dyDescent="0.25">
      <c r="A35" s="10" t="s">
        <v>117</v>
      </c>
      <c r="B35" s="59">
        <f t="shared" si="9"/>
        <v>27</v>
      </c>
      <c r="C35" s="62"/>
      <c r="D35" s="61">
        <f t="shared" si="2"/>
        <v>0</v>
      </c>
      <c r="E35" s="62"/>
      <c r="F35" s="61">
        <f t="shared" si="10"/>
        <v>0</v>
      </c>
      <c r="G35" s="63"/>
      <c r="H35" s="61">
        <f t="shared" si="3"/>
        <v>0</v>
      </c>
      <c r="I35" s="60">
        <f t="shared" si="4"/>
        <v>0</v>
      </c>
      <c r="J35" s="64">
        <v>0.99</v>
      </c>
      <c r="K35" s="65">
        <f t="shared" si="5"/>
        <v>0</v>
      </c>
      <c r="L35" s="66"/>
      <c r="M35" s="60"/>
      <c r="N35" s="61">
        <f t="shared" si="11"/>
        <v>0</v>
      </c>
      <c r="O35" s="60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70"/>
      <c r="U35" s="61">
        <f t="shared" si="13"/>
        <v>0</v>
      </c>
      <c r="V35" s="71">
        <f t="shared" si="7"/>
        <v>0</v>
      </c>
      <c r="W35" s="72"/>
      <c r="X35" s="88">
        <f t="shared" si="1"/>
        <v>0</v>
      </c>
      <c r="Y35" s="78"/>
      <c r="Z35" s="79" t="e">
        <f t="shared" si="8"/>
        <v>#DIV/0!</v>
      </c>
    </row>
    <row r="36" spans="1:26" x14ac:dyDescent="0.25">
      <c r="A36" s="10" t="s">
        <v>118</v>
      </c>
      <c r="B36" s="59">
        <f t="shared" si="9"/>
        <v>28</v>
      </c>
      <c r="C36" s="62"/>
      <c r="D36" s="61">
        <f t="shared" si="2"/>
        <v>0</v>
      </c>
      <c r="E36" s="62"/>
      <c r="F36" s="61">
        <f t="shared" si="10"/>
        <v>0</v>
      </c>
      <c r="G36" s="63"/>
      <c r="H36" s="61">
        <f t="shared" si="3"/>
        <v>0</v>
      </c>
      <c r="I36" s="60">
        <f t="shared" si="4"/>
        <v>0</v>
      </c>
      <c r="J36" s="64">
        <v>0.99</v>
      </c>
      <c r="K36" s="65">
        <f t="shared" si="5"/>
        <v>0</v>
      </c>
      <c r="L36" s="66"/>
      <c r="M36" s="60"/>
      <c r="N36" s="61">
        <f t="shared" si="11"/>
        <v>0</v>
      </c>
      <c r="O36" s="60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70"/>
      <c r="U36" s="61">
        <f t="shared" si="13"/>
        <v>0</v>
      </c>
      <c r="V36" s="71">
        <f t="shared" si="7"/>
        <v>0</v>
      </c>
      <c r="W36" s="72"/>
      <c r="X36" s="88">
        <f t="shared" si="1"/>
        <v>0</v>
      </c>
      <c r="Y36" s="78"/>
      <c r="Z36" s="79" t="e">
        <f t="shared" si="8"/>
        <v>#DIV/0!</v>
      </c>
    </row>
    <row r="37" spans="1:26" x14ac:dyDescent="0.25">
      <c r="A37" s="10" t="s">
        <v>119</v>
      </c>
      <c r="B37" s="59">
        <f t="shared" si="9"/>
        <v>29</v>
      </c>
      <c r="C37" s="62"/>
      <c r="D37" s="61">
        <f t="shared" si="2"/>
        <v>0</v>
      </c>
      <c r="E37" s="62"/>
      <c r="F37" s="61">
        <f t="shared" si="10"/>
        <v>0</v>
      </c>
      <c r="G37" s="63"/>
      <c r="H37" s="61">
        <f t="shared" si="3"/>
        <v>0</v>
      </c>
      <c r="I37" s="60">
        <f t="shared" si="4"/>
        <v>0</v>
      </c>
      <c r="J37" s="64">
        <v>0.99</v>
      </c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70"/>
      <c r="U37" s="61">
        <f t="shared" si="13"/>
        <v>0</v>
      </c>
      <c r="V37" s="71">
        <f t="shared" si="7"/>
        <v>0</v>
      </c>
      <c r="W37" s="72"/>
      <c r="X37" s="88">
        <f t="shared" si="1"/>
        <v>0</v>
      </c>
      <c r="Y37" s="101"/>
      <c r="Z37" s="79" t="e">
        <f t="shared" si="8"/>
        <v>#DIV/0!</v>
      </c>
    </row>
    <row r="38" spans="1:26" x14ac:dyDescent="0.25">
      <c r="A38" s="10" t="s">
        <v>120</v>
      </c>
      <c r="B38" s="59">
        <f t="shared" si="9"/>
        <v>30</v>
      </c>
      <c r="C38" s="62"/>
      <c r="D38" s="61">
        <f t="shared" si="2"/>
        <v>0</v>
      </c>
      <c r="E38" s="62"/>
      <c r="F38" s="61">
        <f t="shared" si="10"/>
        <v>0</v>
      </c>
      <c r="G38" s="63"/>
      <c r="H38" s="61">
        <f t="shared" si="3"/>
        <v>0</v>
      </c>
      <c r="I38" s="60">
        <f t="shared" si="4"/>
        <v>0</v>
      </c>
      <c r="J38" s="64">
        <v>0.99</v>
      </c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70"/>
      <c r="U38" s="61">
        <f t="shared" si="13"/>
        <v>0</v>
      </c>
      <c r="V38" s="71">
        <f t="shared" si="7"/>
        <v>0</v>
      </c>
      <c r="W38" s="72"/>
      <c r="X38" s="88">
        <f t="shared" si="1"/>
        <v>0</v>
      </c>
      <c r="Y38" s="101"/>
      <c r="Z38" s="79" t="e">
        <f t="shared" si="8"/>
        <v>#DIV/0!</v>
      </c>
    </row>
    <row r="39" spans="1:26" x14ac:dyDescent="0.25">
      <c r="A39" s="10" t="s">
        <v>121</v>
      </c>
      <c r="B39" s="59">
        <f t="shared" si="9"/>
        <v>31</v>
      </c>
      <c r="C39" s="62"/>
      <c r="D39" s="61">
        <f t="shared" si="2"/>
        <v>0</v>
      </c>
      <c r="E39" s="62"/>
      <c r="F39" s="61">
        <f t="shared" si="10"/>
        <v>0</v>
      </c>
      <c r="G39" s="63"/>
      <c r="H39" s="61">
        <f t="shared" si="3"/>
        <v>0</v>
      </c>
      <c r="I39" s="60">
        <f t="shared" si="4"/>
        <v>0</v>
      </c>
      <c r="J39" s="64">
        <v>0.99</v>
      </c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70"/>
      <c r="U39" s="61">
        <f t="shared" si="13"/>
        <v>0</v>
      </c>
      <c r="V39" s="71">
        <f t="shared" si="7"/>
        <v>0</v>
      </c>
      <c r="W39" s="72"/>
      <c r="X39" s="88">
        <f t="shared" si="1"/>
        <v>0</v>
      </c>
      <c r="Y39" s="101"/>
      <c r="Z39" s="79" t="e">
        <f t="shared" si="8"/>
        <v>#DIV/0!</v>
      </c>
    </row>
    <row r="40" spans="1:26" x14ac:dyDescent="0.25">
      <c r="A40" s="10"/>
      <c r="B40" s="89"/>
      <c r="C40" s="90">
        <f>SUMIF(D9:D36,"&gt;0")</f>
        <v>44345</v>
      </c>
      <c r="D40" s="91"/>
      <c r="E40" s="140">
        <f>SUMIF(F9:F36,"&gt;0")</f>
        <v>44017</v>
      </c>
      <c r="F40" s="141"/>
      <c r="G40" s="142">
        <f>SUMIF(H9:H36,"&gt;0")</f>
        <v>41720</v>
      </c>
      <c r="H40" s="141"/>
      <c r="I40" s="92">
        <f>SUMIF(I9:I36,"&gt;0")</f>
        <v>130082</v>
      </c>
      <c r="J40" s="93"/>
      <c r="K40" s="94">
        <f>SUMIF(K9:K36,"&gt;0")</f>
        <v>32650.581999999995</v>
      </c>
      <c r="L40" s="92"/>
      <c r="M40" s="142">
        <f>SUMIF(N9:N36,"&gt;0")</f>
        <v>1740</v>
      </c>
      <c r="N40" s="141"/>
      <c r="O40" s="142">
        <f>SUMIF(P9:P36,"&gt;0")</f>
        <v>31138</v>
      </c>
      <c r="P40" s="141"/>
      <c r="Q40" s="93">
        <f>SUMIF(Q9:Q36,"&gt;0")</f>
        <v>32878</v>
      </c>
      <c r="R40" s="94">
        <f>SUMIF(R9:R36,"&gt;0")</f>
        <v>18870.986396079999</v>
      </c>
      <c r="S40" s="95"/>
      <c r="T40" s="143">
        <f>SUMIF(U9:U36,"&gt;0")</f>
        <v>2761</v>
      </c>
      <c r="U40" s="144"/>
      <c r="V40" s="96">
        <f>SUMIF(V9:V36,"&gt;0")</f>
        <v>7882.6549999999997</v>
      </c>
      <c r="W40" s="97"/>
      <c r="X40" s="98">
        <f>SUMIF(X9:X36,"&gt;0")</f>
        <v>59404.223396080008</v>
      </c>
      <c r="Y40" s="99">
        <f>SUM(Y9:Y39)</f>
        <v>1097</v>
      </c>
      <c r="Z40" s="100">
        <f>(SUMIF(Z9:Z36,"&gt;0")/31)</f>
        <v>27.228608475631333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N46" sqref="N46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02">
        <v>49433</v>
      </c>
      <c r="C6" s="103">
        <v>79236</v>
      </c>
      <c r="D6" s="104">
        <v>15207</v>
      </c>
      <c r="E6" s="104">
        <v>13719</v>
      </c>
      <c r="F6" s="104">
        <v>189420</v>
      </c>
      <c r="G6" s="104">
        <v>3495</v>
      </c>
      <c r="H6" s="103">
        <v>1485</v>
      </c>
      <c r="I6" s="104">
        <v>380288</v>
      </c>
      <c r="J6" s="104">
        <v>68377</v>
      </c>
      <c r="K6" s="104">
        <v>7921</v>
      </c>
      <c r="L6" s="104">
        <v>29890</v>
      </c>
      <c r="M6" s="104">
        <v>52115</v>
      </c>
      <c r="N6" s="104">
        <v>38542</v>
      </c>
      <c r="O6" s="104">
        <v>181658</v>
      </c>
      <c r="P6" s="104">
        <v>375920</v>
      </c>
      <c r="Q6" s="104">
        <v>2808</v>
      </c>
      <c r="R6" s="104">
        <v>18050</v>
      </c>
      <c r="S6" s="104">
        <v>25503</v>
      </c>
      <c r="T6" s="104">
        <v>278413</v>
      </c>
      <c r="U6" s="104">
        <v>375407</v>
      </c>
      <c r="V6" s="104">
        <v>40159</v>
      </c>
      <c r="W6" s="104">
        <v>5416</v>
      </c>
      <c r="X6" s="104">
        <v>13927</v>
      </c>
      <c r="Y6" s="104">
        <v>86195</v>
      </c>
      <c r="Z6" s="103">
        <v>540</v>
      </c>
      <c r="AA6" s="104">
        <v>170186</v>
      </c>
      <c r="AB6" s="104">
        <v>7562</v>
      </c>
      <c r="AC6" s="104">
        <v>1974</v>
      </c>
      <c r="AD6" s="104">
        <v>17975</v>
      </c>
      <c r="AE6" s="104">
        <v>76508</v>
      </c>
      <c r="AF6" s="104">
        <v>205359</v>
      </c>
      <c r="AG6" s="104">
        <v>1125790</v>
      </c>
      <c r="AH6" s="104">
        <v>11123</v>
      </c>
      <c r="AI6" s="104">
        <v>483379</v>
      </c>
      <c r="AJ6" s="104">
        <v>637743</v>
      </c>
      <c r="AK6" s="104">
        <v>9334</v>
      </c>
      <c r="AL6" s="105">
        <v>29315</v>
      </c>
      <c r="AM6" s="104">
        <v>28542</v>
      </c>
      <c r="AN6" s="106">
        <v>596531</v>
      </c>
      <c r="AO6" s="106">
        <v>5246</v>
      </c>
      <c r="AP6" s="107">
        <v>0</v>
      </c>
      <c r="AQ6" s="104">
        <v>109712</v>
      </c>
      <c r="AR6" s="104">
        <v>217210</v>
      </c>
      <c r="AS6" s="104">
        <v>63112</v>
      </c>
      <c r="AT6" s="104">
        <v>560</v>
      </c>
      <c r="AU6" s="104">
        <v>107079</v>
      </c>
      <c r="AV6" s="104">
        <v>44534</v>
      </c>
      <c r="AW6" s="104">
        <v>38275</v>
      </c>
      <c r="AX6" s="104">
        <v>175158</v>
      </c>
      <c r="AY6" s="108">
        <v>481902</v>
      </c>
    </row>
    <row r="7" spans="1:83" ht="90" x14ac:dyDescent="0.25">
      <c r="A7" s="109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0" t="s">
        <v>63</v>
      </c>
      <c r="BA7" s="110" t="s">
        <v>64</v>
      </c>
      <c r="BB7" s="110" t="s">
        <v>65</v>
      </c>
      <c r="BC7" s="110" t="s">
        <v>66</v>
      </c>
      <c r="BD7" s="110" t="s">
        <v>67</v>
      </c>
      <c r="BE7" s="110" t="s">
        <v>68</v>
      </c>
      <c r="BF7" s="110" t="s">
        <v>69</v>
      </c>
      <c r="BG7" s="110" t="s">
        <v>70</v>
      </c>
      <c r="BH7" s="110" t="s">
        <v>71</v>
      </c>
      <c r="BI7" s="110" t="s">
        <v>72</v>
      </c>
      <c r="BJ7" s="110" t="s">
        <v>73</v>
      </c>
      <c r="BK7" s="110" t="s">
        <v>74</v>
      </c>
      <c r="BL7" s="110" t="s">
        <v>75</v>
      </c>
      <c r="BM7" s="110" t="s">
        <v>76</v>
      </c>
      <c r="BN7" s="110" t="s">
        <v>77</v>
      </c>
      <c r="BO7" s="110" t="s">
        <v>78</v>
      </c>
      <c r="BP7" s="110" t="s">
        <v>79</v>
      </c>
      <c r="BQ7" s="110" t="s">
        <v>80</v>
      </c>
      <c r="BR7" s="110" t="s">
        <v>81</v>
      </c>
      <c r="BS7" s="111" t="s">
        <v>82</v>
      </c>
      <c r="BT7" s="111" t="s">
        <v>83</v>
      </c>
      <c r="BU7" s="111" t="s">
        <v>84</v>
      </c>
      <c r="BV7" s="111" t="s">
        <v>85</v>
      </c>
      <c r="BW7" s="111" t="s">
        <v>86</v>
      </c>
      <c r="BX7" s="111" t="s">
        <v>87</v>
      </c>
      <c r="BY7" s="111" t="s">
        <v>88</v>
      </c>
      <c r="BZ7" s="111" t="s">
        <v>89</v>
      </c>
      <c r="CA7" s="111" t="s">
        <v>90</v>
      </c>
      <c r="CB7" s="111" t="s">
        <v>91</v>
      </c>
      <c r="CC7" s="111" t="s">
        <v>92</v>
      </c>
      <c r="CD7" s="111" t="s">
        <v>93</v>
      </c>
      <c r="CE7" s="111" t="s">
        <v>94</v>
      </c>
    </row>
    <row r="8" spans="1:83" ht="15.75" thickBot="1" x14ac:dyDescent="0.3">
      <c r="A8">
        <v>1</v>
      </c>
      <c r="B8" s="112">
        <v>81453</v>
      </c>
      <c r="C8" s="113">
        <v>115141</v>
      </c>
      <c r="D8" s="113">
        <v>20076</v>
      </c>
      <c r="E8" s="113">
        <v>22051</v>
      </c>
      <c r="F8" s="113">
        <v>279437</v>
      </c>
      <c r="G8" s="113">
        <v>5004</v>
      </c>
      <c r="H8" s="113">
        <v>10613</v>
      </c>
      <c r="I8" s="113">
        <v>552495</v>
      </c>
      <c r="J8" s="113">
        <v>92993</v>
      </c>
      <c r="K8" s="113">
        <v>8097</v>
      </c>
      <c r="L8" s="113">
        <v>40945</v>
      </c>
      <c r="M8" s="113">
        <v>62385</v>
      </c>
      <c r="N8" s="113">
        <v>56624</v>
      </c>
      <c r="O8" s="113">
        <v>276106</v>
      </c>
      <c r="P8" s="113">
        <v>580401</v>
      </c>
      <c r="Q8" s="113">
        <v>5311</v>
      </c>
      <c r="R8" s="113">
        <v>26986</v>
      </c>
      <c r="S8" s="113">
        <v>25503</v>
      </c>
      <c r="T8" s="113">
        <v>379798</v>
      </c>
      <c r="U8" s="113">
        <v>547936</v>
      </c>
      <c r="V8" s="113">
        <v>60775</v>
      </c>
      <c r="W8" s="113">
        <v>8146</v>
      </c>
      <c r="X8" s="113">
        <v>22495</v>
      </c>
      <c r="Y8" s="113">
        <v>126192</v>
      </c>
      <c r="Z8" s="113">
        <v>1303</v>
      </c>
      <c r="AA8" s="113">
        <v>240800</v>
      </c>
      <c r="AB8" s="113">
        <v>11410</v>
      </c>
      <c r="AC8" s="113">
        <v>2806</v>
      </c>
      <c r="AD8" s="113">
        <v>25797</v>
      </c>
      <c r="AE8" s="113">
        <v>125253</v>
      </c>
      <c r="AF8" s="113">
        <v>317698</v>
      </c>
      <c r="AG8" s="113">
        <v>1546301</v>
      </c>
      <c r="AH8" s="113">
        <v>14222</v>
      </c>
      <c r="AI8" s="113">
        <v>509977</v>
      </c>
      <c r="AJ8" s="113">
        <v>931683</v>
      </c>
      <c r="AK8" s="113">
        <v>14943</v>
      </c>
      <c r="AL8" s="114">
        <v>50920</v>
      </c>
      <c r="AM8" s="113">
        <v>50431</v>
      </c>
      <c r="AN8" s="115">
        <v>866987</v>
      </c>
      <c r="AO8" s="115">
        <v>5710</v>
      </c>
      <c r="AP8" s="115">
        <v>0</v>
      </c>
      <c r="AQ8" s="113">
        <v>155790</v>
      </c>
      <c r="AR8" s="113">
        <v>310812</v>
      </c>
      <c r="AS8" s="113">
        <v>87547</v>
      </c>
      <c r="AT8" s="113">
        <v>885</v>
      </c>
      <c r="AU8" s="113">
        <v>167099</v>
      </c>
      <c r="AV8" s="113">
        <v>62658</v>
      </c>
      <c r="AW8" s="113">
        <v>52505</v>
      </c>
      <c r="AX8" s="113">
        <v>263408</v>
      </c>
      <c r="AY8" s="124">
        <v>712686</v>
      </c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</row>
    <row r="9" spans="1:83" x14ac:dyDescent="0.25">
      <c r="A9">
        <v>2</v>
      </c>
      <c r="B9" s="103">
        <v>81545</v>
      </c>
      <c r="C9" s="103">
        <v>115331</v>
      </c>
      <c r="D9" s="103">
        <v>20095</v>
      </c>
      <c r="E9" s="103">
        <v>22062</v>
      </c>
      <c r="F9" s="103">
        <v>279627</v>
      </c>
      <c r="G9" s="103">
        <v>5008</v>
      </c>
      <c r="H9" s="103">
        <v>10634</v>
      </c>
      <c r="I9" s="103">
        <v>552890</v>
      </c>
      <c r="J9" s="103">
        <v>93055</v>
      </c>
      <c r="K9" s="103">
        <v>8098</v>
      </c>
      <c r="L9" s="103">
        <v>40969</v>
      </c>
      <c r="M9" s="103">
        <v>62411</v>
      </c>
      <c r="N9" s="103">
        <v>56662</v>
      </c>
      <c r="O9" s="103">
        <v>276303</v>
      </c>
      <c r="P9" s="103">
        <v>581062</v>
      </c>
      <c r="Q9" s="103">
        <v>5318</v>
      </c>
      <c r="R9" s="103">
        <v>26996</v>
      </c>
      <c r="S9" s="103">
        <v>25503</v>
      </c>
      <c r="T9" s="103">
        <v>380025</v>
      </c>
      <c r="U9" s="103">
        <v>548305</v>
      </c>
      <c r="V9" s="103">
        <v>60817</v>
      </c>
      <c r="W9" s="103">
        <v>8152</v>
      </c>
      <c r="X9" s="103">
        <v>22513</v>
      </c>
      <c r="Y9" s="103">
        <v>126292</v>
      </c>
      <c r="Z9" s="103">
        <v>1303</v>
      </c>
      <c r="AA9" s="103">
        <v>240953</v>
      </c>
      <c r="AB9" s="103">
        <v>11413</v>
      </c>
      <c r="AC9" s="103">
        <v>2807</v>
      </c>
      <c r="AD9" s="103">
        <v>25822</v>
      </c>
      <c r="AE9" s="103">
        <v>125366</v>
      </c>
      <c r="AF9" s="103">
        <v>317965</v>
      </c>
      <c r="AG9" s="103">
        <v>1547377</v>
      </c>
      <c r="AH9" s="103">
        <v>14225</v>
      </c>
      <c r="AI9" s="103">
        <v>509997</v>
      </c>
      <c r="AJ9" s="103">
        <v>932399</v>
      </c>
      <c r="AK9" s="103">
        <v>14960</v>
      </c>
      <c r="AL9" s="117">
        <v>51024</v>
      </c>
      <c r="AM9" s="103">
        <v>50499</v>
      </c>
      <c r="AN9" s="107">
        <v>867520</v>
      </c>
      <c r="AO9" s="107">
        <v>5710</v>
      </c>
      <c r="AP9" s="107">
        <v>0</v>
      </c>
      <c r="AQ9" s="103">
        <v>155911</v>
      </c>
      <c r="AR9" s="103">
        <v>311076</v>
      </c>
      <c r="AS9" s="103">
        <v>87582</v>
      </c>
      <c r="AT9" s="103">
        <v>886</v>
      </c>
      <c r="AU9" s="103">
        <v>167217</v>
      </c>
      <c r="AV9" s="103">
        <v>62698</v>
      </c>
      <c r="AW9" s="103">
        <v>52543</v>
      </c>
      <c r="AX9" s="103">
        <v>263679</v>
      </c>
      <c r="AY9" s="103">
        <v>713302</v>
      </c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</row>
    <row r="10" spans="1:83" x14ac:dyDescent="0.25">
      <c r="A10">
        <v>3</v>
      </c>
      <c r="B10" s="103">
        <v>81628</v>
      </c>
      <c r="C10" s="103">
        <v>115522</v>
      </c>
      <c r="D10" s="103">
        <v>20114</v>
      </c>
      <c r="E10" s="103">
        <v>22072</v>
      </c>
      <c r="F10" s="103">
        <v>279808</v>
      </c>
      <c r="G10" s="103">
        <v>5013</v>
      </c>
      <c r="H10" s="103">
        <v>10648</v>
      </c>
      <c r="I10" s="103">
        <v>553284</v>
      </c>
      <c r="J10" s="103">
        <v>93115</v>
      </c>
      <c r="K10" s="103">
        <v>8098</v>
      </c>
      <c r="L10" s="103">
        <v>40997</v>
      </c>
      <c r="M10" s="103">
        <v>62434</v>
      </c>
      <c r="N10" s="103">
        <v>56699</v>
      </c>
      <c r="O10" s="103">
        <v>276502</v>
      </c>
      <c r="P10" s="103">
        <v>581684</v>
      </c>
      <c r="Q10" s="103">
        <v>5325</v>
      </c>
      <c r="R10" s="103">
        <v>27009</v>
      </c>
      <c r="S10" s="103">
        <v>25503</v>
      </c>
      <c r="T10" s="103">
        <v>380283</v>
      </c>
      <c r="U10" s="103">
        <v>548698</v>
      </c>
      <c r="V10" s="103">
        <v>60860</v>
      </c>
      <c r="W10" s="103">
        <v>8156</v>
      </c>
      <c r="X10" s="103">
        <v>22536</v>
      </c>
      <c r="Y10" s="103">
        <v>126388</v>
      </c>
      <c r="Z10" s="103">
        <v>1303</v>
      </c>
      <c r="AA10" s="103">
        <v>241105</v>
      </c>
      <c r="AB10" s="103">
        <v>11415</v>
      </c>
      <c r="AC10" s="103">
        <v>2809</v>
      </c>
      <c r="AD10" s="103">
        <v>25835</v>
      </c>
      <c r="AE10" s="103">
        <v>125472</v>
      </c>
      <c r="AF10" s="103">
        <v>318245</v>
      </c>
      <c r="AG10" s="103">
        <v>1548452</v>
      </c>
      <c r="AH10" s="103">
        <v>14230</v>
      </c>
      <c r="AI10" s="103">
        <v>510014</v>
      </c>
      <c r="AJ10" s="103">
        <v>933033</v>
      </c>
      <c r="AK10" s="103">
        <v>14972</v>
      </c>
      <c r="AL10" s="117">
        <v>51147</v>
      </c>
      <c r="AM10" s="103">
        <v>50572</v>
      </c>
      <c r="AN10" s="107">
        <v>868159</v>
      </c>
      <c r="AO10" s="107">
        <v>5710</v>
      </c>
      <c r="AP10" s="107">
        <v>0</v>
      </c>
      <c r="AQ10" s="103">
        <v>156048</v>
      </c>
      <c r="AR10" s="103">
        <v>311309</v>
      </c>
      <c r="AS10" s="103">
        <v>87643</v>
      </c>
      <c r="AT10" s="103">
        <v>886</v>
      </c>
      <c r="AU10" s="103">
        <v>167339</v>
      </c>
      <c r="AV10" s="103">
        <v>62729</v>
      </c>
      <c r="AW10" s="103">
        <v>52571</v>
      </c>
      <c r="AX10" s="103">
        <v>263833</v>
      </c>
      <c r="AY10" s="103">
        <v>713925</v>
      </c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</row>
    <row r="11" spans="1:83" x14ac:dyDescent="0.25">
      <c r="A11">
        <v>4</v>
      </c>
      <c r="B11" s="103">
        <v>81709</v>
      </c>
      <c r="C11" s="103">
        <v>115684</v>
      </c>
      <c r="D11" s="103">
        <v>20127</v>
      </c>
      <c r="E11" s="103">
        <v>22079</v>
      </c>
      <c r="F11" s="103">
        <v>279988</v>
      </c>
      <c r="G11" s="103">
        <v>5018</v>
      </c>
      <c r="H11" s="103">
        <v>10665</v>
      </c>
      <c r="I11" s="103">
        <v>553640</v>
      </c>
      <c r="J11" s="103">
        <v>93170</v>
      </c>
      <c r="K11" s="103">
        <v>8100</v>
      </c>
      <c r="L11" s="103">
        <v>41024</v>
      </c>
      <c r="M11" s="103">
        <v>62462</v>
      </c>
      <c r="N11" s="103">
        <v>56737</v>
      </c>
      <c r="O11" s="103">
        <v>276696</v>
      </c>
      <c r="P11" s="103">
        <v>582168</v>
      </c>
      <c r="Q11" s="103">
        <v>5331</v>
      </c>
      <c r="R11" s="103">
        <v>27022</v>
      </c>
      <c r="S11" s="103">
        <v>25503</v>
      </c>
      <c r="T11" s="103">
        <v>380498</v>
      </c>
      <c r="U11" s="103">
        <v>549087</v>
      </c>
      <c r="V11" s="103">
        <v>60907</v>
      </c>
      <c r="W11" s="103">
        <v>8158</v>
      </c>
      <c r="X11" s="103">
        <v>22553</v>
      </c>
      <c r="Y11" s="103">
        <v>126478</v>
      </c>
      <c r="Z11" s="103">
        <v>1303</v>
      </c>
      <c r="AA11" s="103">
        <v>241251</v>
      </c>
      <c r="AB11" s="103">
        <v>11416</v>
      </c>
      <c r="AC11" s="103">
        <v>2810</v>
      </c>
      <c r="AD11" s="103">
        <v>25857</v>
      </c>
      <c r="AE11" s="103">
        <v>125580</v>
      </c>
      <c r="AF11" s="103">
        <v>318520</v>
      </c>
      <c r="AG11" s="103">
        <v>1549416</v>
      </c>
      <c r="AH11" s="103">
        <v>14231</v>
      </c>
      <c r="AI11" s="123">
        <v>510032</v>
      </c>
      <c r="AJ11" s="103">
        <v>933764</v>
      </c>
      <c r="AK11" s="103">
        <v>14981</v>
      </c>
      <c r="AL11" s="103">
        <v>51246</v>
      </c>
      <c r="AM11" s="123">
        <v>50645</v>
      </c>
      <c r="AN11" s="117">
        <v>868613</v>
      </c>
      <c r="AO11" s="103">
        <v>5710</v>
      </c>
      <c r="AP11" s="107">
        <v>0</v>
      </c>
      <c r="AQ11" s="107">
        <v>156189</v>
      </c>
      <c r="AR11" s="103">
        <v>311551</v>
      </c>
      <c r="AS11" s="123">
        <v>87709</v>
      </c>
      <c r="AT11" s="103">
        <v>887</v>
      </c>
      <c r="AU11" s="103">
        <v>167455</v>
      </c>
      <c r="AV11" s="103">
        <v>62762</v>
      </c>
      <c r="AW11" s="103">
        <v>52598</v>
      </c>
      <c r="AX11" s="103">
        <v>264029</v>
      </c>
      <c r="AY11" s="103">
        <v>714454</v>
      </c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</row>
    <row r="12" spans="1:83" x14ac:dyDescent="0.25">
      <c r="A12">
        <v>5</v>
      </c>
      <c r="B12" s="103">
        <v>81788</v>
      </c>
      <c r="C12" s="103">
        <v>115849</v>
      </c>
      <c r="D12" s="103">
        <v>20134</v>
      </c>
      <c r="E12" s="103">
        <v>22091</v>
      </c>
      <c r="F12" s="103">
        <v>280165</v>
      </c>
      <c r="G12" s="103">
        <v>5022</v>
      </c>
      <c r="H12" s="103">
        <v>10675</v>
      </c>
      <c r="I12" s="103">
        <v>554016</v>
      </c>
      <c r="J12" s="103">
        <v>93220</v>
      </c>
      <c r="K12" s="103">
        <v>8100</v>
      </c>
      <c r="L12" s="103">
        <v>41048</v>
      </c>
      <c r="M12" s="103">
        <v>62492</v>
      </c>
      <c r="N12" s="103">
        <v>56772</v>
      </c>
      <c r="O12" s="103">
        <v>276893</v>
      </c>
      <c r="P12" s="103">
        <v>582651</v>
      </c>
      <c r="Q12" s="103">
        <v>5339</v>
      </c>
      <c r="R12" s="123">
        <v>27036</v>
      </c>
      <c r="S12" s="103">
        <v>25503</v>
      </c>
      <c r="T12" s="103">
        <v>380725</v>
      </c>
      <c r="U12" s="103">
        <v>549466</v>
      </c>
      <c r="V12" s="103">
        <v>60949</v>
      </c>
      <c r="W12" s="103">
        <v>8159</v>
      </c>
      <c r="X12" s="103">
        <v>22573</v>
      </c>
      <c r="Y12" s="103">
        <v>126565</v>
      </c>
      <c r="Z12" s="103">
        <v>1303</v>
      </c>
      <c r="AA12" s="103">
        <v>241404</v>
      </c>
      <c r="AB12" s="103">
        <v>11421</v>
      </c>
      <c r="AC12" s="103">
        <v>2812</v>
      </c>
      <c r="AD12" s="103">
        <v>25876</v>
      </c>
      <c r="AE12" s="103">
        <v>125686</v>
      </c>
      <c r="AF12" s="103">
        <v>318800</v>
      </c>
      <c r="AG12" s="103">
        <v>1550380</v>
      </c>
      <c r="AH12" s="103">
        <v>14232</v>
      </c>
      <c r="AI12" s="103">
        <v>510051</v>
      </c>
      <c r="AJ12" s="103">
        <v>934553</v>
      </c>
      <c r="AK12" s="103">
        <v>14995</v>
      </c>
      <c r="AL12" s="103">
        <v>51341</v>
      </c>
      <c r="AM12" s="103">
        <v>51717</v>
      </c>
      <c r="AN12" s="103">
        <v>869351</v>
      </c>
      <c r="AO12" s="103">
        <v>5710</v>
      </c>
      <c r="AP12" s="103">
        <v>0</v>
      </c>
      <c r="AQ12" s="103">
        <v>156339</v>
      </c>
      <c r="AR12" s="103">
        <v>311798</v>
      </c>
      <c r="AS12" s="103">
        <v>87771</v>
      </c>
      <c r="AT12" s="103">
        <v>887</v>
      </c>
      <c r="AU12" s="103">
        <v>167595</v>
      </c>
      <c r="AV12" s="103">
        <v>62797</v>
      </c>
      <c r="AW12" s="103">
        <v>52621</v>
      </c>
      <c r="AX12" s="103">
        <v>264231</v>
      </c>
      <c r="AY12" s="103">
        <v>715041</v>
      </c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</row>
    <row r="13" spans="1:83" x14ac:dyDescent="0.25">
      <c r="A13">
        <v>6</v>
      </c>
      <c r="B13" s="103">
        <v>81871</v>
      </c>
      <c r="C13" s="103">
        <v>116004</v>
      </c>
      <c r="D13" s="103">
        <v>20156</v>
      </c>
      <c r="E13" s="103">
        <v>22101</v>
      </c>
      <c r="F13" s="103">
        <v>280337</v>
      </c>
      <c r="G13" s="103">
        <v>5027</v>
      </c>
      <c r="H13" s="103">
        <v>10686</v>
      </c>
      <c r="I13" s="103">
        <v>554381</v>
      </c>
      <c r="J13" s="103">
        <v>93279</v>
      </c>
      <c r="K13" s="103">
        <v>8101</v>
      </c>
      <c r="L13" s="103">
        <v>41076</v>
      </c>
      <c r="M13" s="103">
        <v>62524</v>
      </c>
      <c r="N13" s="103">
        <v>56802</v>
      </c>
      <c r="O13" s="103">
        <v>277087</v>
      </c>
      <c r="P13" s="103">
        <v>583258</v>
      </c>
      <c r="Q13" s="103">
        <v>5348</v>
      </c>
      <c r="R13" s="103">
        <v>27046</v>
      </c>
      <c r="S13" s="103">
        <v>25503</v>
      </c>
      <c r="T13" s="103">
        <v>380946</v>
      </c>
      <c r="U13" s="103">
        <v>549850</v>
      </c>
      <c r="V13" s="103">
        <v>60991</v>
      </c>
      <c r="W13" s="103">
        <v>8161</v>
      </c>
      <c r="X13" s="103">
        <v>22594</v>
      </c>
      <c r="Y13" s="103">
        <v>126658</v>
      </c>
      <c r="Z13" s="103">
        <v>1303</v>
      </c>
      <c r="AA13" s="103">
        <v>241527</v>
      </c>
      <c r="AB13" s="103">
        <v>11425</v>
      </c>
      <c r="AC13" s="103">
        <v>2813</v>
      </c>
      <c r="AD13" s="103">
        <v>25896</v>
      </c>
      <c r="AE13" s="103">
        <v>125780</v>
      </c>
      <c r="AF13" s="103">
        <v>319056</v>
      </c>
      <c r="AG13" s="103">
        <v>1551318</v>
      </c>
      <c r="AH13" s="103">
        <v>14233</v>
      </c>
      <c r="AI13" s="103">
        <v>510079</v>
      </c>
      <c r="AJ13" s="103">
        <v>935383</v>
      </c>
      <c r="AK13" s="103">
        <v>15007</v>
      </c>
      <c r="AL13" s="117">
        <v>51429</v>
      </c>
      <c r="AM13" s="103">
        <v>50782</v>
      </c>
      <c r="AN13" s="107">
        <v>870202</v>
      </c>
      <c r="AO13" s="107">
        <v>5710</v>
      </c>
      <c r="AP13" s="107">
        <v>0</v>
      </c>
      <c r="AQ13" s="103">
        <v>156473</v>
      </c>
      <c r="AR13" s="103">
        <v>312046</v>
      </c>
      <c r="AS13" s="103">
        <v>87858</v>
      </c>
      <c r="AT13" s="103">
        <v>888</v>
      </c>
      <c r="AU13" s="103">
        <v>167714</v>
      </c>
      <c r="AV13" s="103">
        <v>62828</v>
      </c>
      <c r="AW13" s="103">
        <v>52654</v>
      </c>
      <c r="AX13" s="103">
        <v>264442</v>
      </c>
      <c r="AY13" s="103">
        <v>715612</v>
      </c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</row>
    <row r="14" spans="1:83" x14ac:dyDescent="0.25">
      <c r="A14">
        <v>7</v>
      </c>
      <c r="B14" s="103">
        <v>81948</v>
      </c>
      <c r="C14" s="103">
        <v>116165</v>
      </c>
      <c r="D14" s="103">
        <v>20180</v>
      </c>
      <c r="E14" s="103">
        <v>22112</v>
      </c>
      <c r="F14" s="103">
        <v>280512</v>
      </c>
      <c r="G14" s="103">
        <v>5031</v>
      </c>
      <c r="H14" s="103">
        <v>10693</v>
      </c>
      <c r="I14" s="103">
        <v>554748</v>
      </c>
      <c r="J14" s="103">
        <v>93343</v>
      </c>
      <c r="K14" s="103">
        <v>8101</v>
      </c>
      <c r="L14" s="103">
        <v>41106</v>
      </c>
      <c r="M14" s="103">
        <v>62553</v>
      </c>
      <c r="N14" s="103">
        <v>56839</v>
      </c>
      <c r="O14" s="103">
        <v>277286</v>
      </c>
      <c r="P14" s="103">
        <v>583810</v>
      </c>
      <c r="Q14" s="103">
        <v>5355</v>
      </c>
      <c r="R14" s="103">
        <v>27057</v>
      </c>
      <c r="S14" s="103">
        <v>25503</v>
      </c>
      <c r="T14" s="103">
        <v>381187</v>
      </c>
      <c r="U14" s="103">
        <v>550224</v>
      </c>
      <c r="V14" s="103">
        <v>61032</v>
      </c>
      <c r="W14" s="103">
        <v>8163</v>
      </c>
      <c r="X14" s="103">
        <v>22616</v>
      </c>
      <c r="Y14" s="103">
        <v>126747</v>
      </c>
      <c r="Z14" s="103">
        <v>1303</v>
      </c>
      <c r="AA14" s="103">
        <v>241655</v>
      </c>
      <c r="AB14" s="103">
        <v>11427</v>
      </c>
      <c r="AC14" s="103">
        <v>2815</v>
      </c>
      <c r="AD14" s="103">
        <v>25909</v>
      </c>
      <c r="AE14" s="103">
        <v>125880</v>
      </c>
      <c r="AF14" s="103">
        <v>319337</v>
      </c>
      <c r="AG14" s="103">
        <v>1552371</v>
      </c>
      <c r="AH14" s="103">
        <v>14238</v>
      </c>
      <c r="AI14" s="103">
        <v>510367</v>
      </c>
      <c r="AJ14" s="103">
        <v>935998</v>
      </c>
      <c r="AK14" s="103">
        <v>15016</v>
      </c>
      <c r="AL14" s="117">
        <v>51480</v>
      </c>
      <c r="AM14" s="103">
        <v>50841</v>
      </c>
      <c r="AN14" s="107">
        <v>871032</v>
      </c>
      <c r="AO14" s="107">
        <v>5710</v>
      </c>
      <c r="AP14" s="107">
        <v>0</v>
      </c>
      <c r="AQ14" s="103">
        <v>156607</v>
      </c>
      <c r="AR14" s="103">
        <v>312293</v>
      </c>
      <c r="AS14" s="103">
        <v>87940</v>
      </c>
      <c r="AT14" s="103">
        <v>889</v>
      </c>
      <c r="AU14" s="103">
        <v>167844</v>
      </c>
      <c r="AV14" s="103">
        <v>62856</v>
      </c>
      <c r="AW14" s="103">
        <v>52681</v>
      </c>
      <c r="AX14" s="103">
        <v>264650</v>
      </c>
      <c r="AY14" s="103">
        <v>716174</v>
      </c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</row>
    <row r="15" spans="1:83" x14ac:dyDescent="0.25">
      <c r="A15">
        <v>8</v>
      </c>
      <c r="B15" s="103">
        <v>82025</v>
      </c>
      <c r="C15" s="103">
        <v>116331</v>
      </c>
      <c r="D15" s="103">
        <v>20199</v>
      </c>
      <c r="E15" s="103">
        <v>22125</v>
      </c>
      <c r="F15" s="103">
        <v>280690</v>
      </c>
      <c r="G15" s="103">
        <v>5036</v>
      </c>
      <c r="H15" s="103">
        <v>10704</v>
      </c>
      <c r="I15" s="103">
        <v>555120</v>
      </c>
      <c r="J15" s="103">
        <v>93402</v>
      </c>
      <c r="K15" s="103">
        <v>8102</v>
      </c>
      <c r="L15" s="103">
        <v>41131</v>
      </c>
      <c r="M15" s="103">
        <v>62579</v>
      </c>
      <c r="N15" s="103">
        <v>56875</v>
      </c>
      <c r="O15" s="103">
        <v>277503</v>
      </c>
      <c r="P15" s="103">
        <v>584368</v>
      </c>
      <c r="Q15" s="103">
        <v>5362</v>
      </c>
      <c r="R15" s="103">
        <v>27069</v>
      </c>
      <c r="S15" s="103">
        <v>25503</v>
      </c>
      <c r="T15" s="103">
        <v>381425</v>
      </c>
      <c r="U15" s="103">
        <v>550619</v>
      </c>
      <c r="V15" s="103">
        <v>61073</v>
      </c>
      <c r="W15" s="103">
        <v>8163</v>
      </c>
      <c r="X15" s="103">
        <v>22641</v>
      </c>
      <c r="Y15" s="103">
        <v>126836</v>
      </c>
      <c r="Z15" s="103">
        <v>1303</v>
      </c>
      <c r="AA15" s="103">
        <v>241780</v>
      </c>
      <c r="AB15" s="103">
        <v>11433</v>
      </c>
      <c r="AC15" s="103">
        <v>2816</v>
      </c>
      <c r="AD15" s="103">
        <v>25918</v>
      </c>
      <c r="AE15" s="103">
        <v>125978</v>
      </c>
      <c r="AF15" s="103">
        <v>319606</v>
      </c>
      <c r="AG15" s="103">
        <v>1553497</v>
      </c>
      <c r="AH15" s="103">
        <v>14240</v>
      </c>
      <c r="AI15" s="103">
        <v>510585</v>
      </c>
      <c r="AJ15" s="103">
        <v>936706</v>
      </c>
      <c r="AK15" s="103">
        <v>15030</v>
      </c>
      <c r="AL15" s="117">
        <v>51583</v>
      </c>
      <c r="AM15" s="103">
        <v>50861</v>
      </c>
      <c r="AN15" s="107">
        <v>871779</v>
      </c>
      <c r="AO15" s="107">
        <v>5710</v>
      </c>
      <c r="AP15" s="107">
        <v>0</v>
      </c>
      <c r="AQ15" s="103">
        <v>156744</v>
      </c>
      <c r="AR15" s="103">
        <v>312529</v>
      </c>
      <c r="AS15" s="103">
        <v>88020</v>
      </c>
      <c r="AT15" s="103">
        <v>889</v>
      </c>
      <c r="AU15" s="103">
        <v>167979</v>
      </c>
      <c r="AV15" s="103">
        <v>62882</v>
      </c>
      <c r="AW15" s="103">
        <v>52706</v>
      </c>
      <c r="AX15" s="103">
        <v>264860</v>
      </c>
      <c r="AY15" s="103">
        <v>716743</v>
      </c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</row>
    <row r="16" spans="1:83" x14ac:dyDescent="0.25">
      <c r="A16">
        <v>9</v>
      </c>
      <c r="B16" s="103">
        <v>82097</v>
      </c>
      <c r="C16" s="103">
        <v>116484</v>
      </c>
      <c r="D16" s="103">
        <v>20215</v>
      </c>
      <c r="E16" s="103">
        <v>22161</v>
      </c>
      <c r="F16" s="103">
        <v>280883</v>
      </c>
      <c r="G16" s="103">
        <v>5041</v>
      </c>
      <c r="H16" s="103">
        <v>10714</v>
      </c>
      <c r="I16" s="103">
        <v>555488</v>
      </c>
      <c r="J16" s="103">
        <v>93457</v>
      </c>
      <c r="K16" s="103">
        <v>8103</v>
      </c>
      <c r="L16" s="103">
        <v>41162</v>
      </c>
      <c r="M16" s="103">
        <v>62600</v>
      </c>
      <c r="N16" s="103">
        <v>56913</v>
      </c>
      <c r="O16" s="103">
        <v>277700</v>
      </c>
      <c r="P16" s="103">
        <v>584830</v>
      </c>
      <c r="Q16" s="103">
        <v>5372</v>
      </c>
      <c r="R16" s="103">
        <v>27080</v>
      </c>
      <c r="S16" s="103">
        <v>25503</v>
      </c>
      <c r="T16" s="103">
        <v>381644</v>
      </c>
      <c r="U16" s="103">
        <v>550996</v>
      </c>
      <c r="V16" s="103">
        <v>61117</v>
      </c>
      <c r="W16" s="103">
        <v>8165</v>
      </c>
      <c r="X16" s="103">
        <v>22663</v>
      </c>
      <c r="Y16" s="103">
        <v>126928</v>
      </c>
      <c r="Z16" s="103">
        <v>1303</v>
      </c>
      <c r="AA16" s="103">
        <v>241908</v>
      </c>
      <c r="AB16" s="103">
        <v>11436</v>
      </c>
      <c r="AC16" s="103">
        <v>2817</v>
      </c>
      <c r="AD16" s="103">
        <v>25933</v>
      </c>
      <c r="AE16" s="103">
        <v>126076</v>
      </c>
      <c r="AF16" s="103">
        <v>319880</v>
      </c>
      <c r="AG16" s="103">
        <v>1554615</v>
      </c>
      <c r="AH16" s="103">
        <v>14245</v>
      </c>
      <c r="AI16" s="103">
        <v>510604</v>
      </c>
      <c r="AJ16" s="103">
        <v>937334</v>
      </c>
      <c r="AK16" s="103">
        <v>15044</v>
      </c>
      <c r="AL16" s="117">
        <v>51685</v>
      </c>
      <c r="AM16" s="103">
        <v>50878</v>
      </c>
      <c r="AN16" s="107">
        <v>872655</v>
      </c>
      <c r="AO16" s="107">
        <v>5710</v>
      </c>
      <c r="AP16" s="107">
        <v>0</v>
      </c>
      <c r="AQ16" s="103">
        <v>156891</v>
      </c>
      <c r="AR16" s="103">
        <v>312759</v>
      </c>
      <c r="AS16" s="103">
        <v>88100</v>
      </c>
      <c r="AT16" s="103">
        <v>890</v>
      </c>
      <c r="AU16" s="103">
        <v>168107</v>
      </c>
      <c r="AV16" s="103">
        <v>62908</v>
      </c>
      <c r="AW16" s="103">
        <v>52732</v>
      </c>
      <c r="AX16" s="103">
        <v>265064</v>
      </c>
      <c r="AY16" s="103">
        <v>717211</v>
      </c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</row>
    <row r="17" spans="1:83" x14ac:dyDescent="0.25">
      <c r="A17">
        <v>10</v>
      </c>
      <c r="B17" s="103">
        <v>82186</v>
      </c>
      <c r="C17" s="103">
        <v>116639</v>
      </c>
      <c r="D17" s="103">
        <v>20233</v>
      </c>
      <c r="E17" s="103">
        <v>22174</v>
      </c>
      <c r="F17" s="103">
        <v>281064</v>
      </c>
      <c r="G17" s="103">
        <v>5046</v>
      </c>
      <c r="H17" s="103">
        <v>10723</v>
      </c>
      <c r="I17" s="103">
        <v>555861</v>
      </c>
      <c r="J17" s="103">
        <v>93511</v>
      </c>
      <c r="K17" s="103">
        <v>8103</v>
      </c>
      <c r="L17" s="103">
        <v>41188</v>
      </c>
      <c r="M17" s="103">
        <v>62622</v>
      </c>
      <c r="N17" s="103">
        <v>56954</v>
      </c>
      <c r="O17" s="103">
        <v>277905</v>
      </c>
      <c r="P17" s="103">
        <v>585333</v>
      </c>
      <c r="Q17" s="103">
        <v>5380</v>
      </c>
      <c r="R17" s="103">
        <v>27093</v>
      </c>
      <c r="S17" s="103">
        <v>25503</v>
      </c>
      <c r="T17" s="103">
        <v>381899</v>
      </c>
      <c r="U17" s="103">
        <v>551396</v>
      </c>
      <c r="V17" s="103">
        <v>61167</v>
      </c>
      <c r="W17" s="103">
        <v>8165</v>
      </c>
      <c r="X17" s="103">
        <v>22688</v>
      </c>
      <c r="Y17" s="103">
        <v>127019</v>
      </c>
      <c r="Z17" s="103">
        <v>1303</v>
      </c>
      <c r="AA17" s="103">
        <v>242029</v>
      </c>
      <c r="AB17" s="103">
        <v>11443</v>
      </c>
      <c r="AC17" s="103">
        <v>2819</v>
      </c>
      <c r="AD17" s="103">
        <v>25949</v>
      </c>
      <c r="AE17" s="103">
        <v>126163</v>
      </c>
      <c r="AF17" s="103">
        <v>320157</v>
      </c>
      <c r="AG17" s="103">
        <v>1555563</v>
      </c>
      <c r="AH17" s="103">
        <v>14246</v>
      </c>
      <c r="AI17" s="103">
        <v>510622</v>
      </c>
      <c r="AJ17" s="103">
        <v>938015</v>
      </c>
      <c r="AK17" s="103">
        <v>15059</v>
      </c>
      <c r="AL17" s="117">
        <v>51794</v>
      </c>
      <c r="AM17" s="103">
        <v>50895</v>
      </c>
      <c r="AN17" s="107">
        <v>873401</v>
      </c>
      <c r="AO17" s="107">
        <v>5710</v>
      </c>
      <c r="AP17" s="107">
        <v>0</v>
      </c>
      <c r="AQ17" s="103">
        <v>157036</v>
      </c>
      <c r="AR17" s="103">
        <v>312999</v>
      </c>
      <c r="AS17" s="103">
        <v>88180</v>
      </c>
      <c r="AT17" s="103">
        <v>891</v>
      </c>
      <c r="AU17" s="103">
        <v>168237</v>
      </c>
      <c r="AV17" s="103">
        <v>62938</v>
      </c>
      <c r="AW17" s="103">
        <v>52760</v>
      </c>
      <c r="AX17" s="103">
        <v>265267</v>
      </c>
      <c r="AY17" s="103">
        <v>717836</v>
      </c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</row>
    <row r="18" spans="1:83" x14ac:dyDescent="0.25">
      <c r="A18">
        <v>11</v>
      </c>
      <c r="B18" s="103">
        <v>82265</v>
      </c>
      <c r="C18" s="103">
        <v>116788</v>
      </c>
      <c r="D18" s="103">
        <v>20240</v>
      </c>
      <c r="E18" s="103">
        <v>22187</v>
      </c>
      <c r="F18" s="103">
        <v>281237</v>
      </c>
      <c r="G18" s="103">
        <v>5051</v>
      </c>
      <c r="H18" s="103">
        <v>10737</v>
      </c>
      <c r="I18" s="103">
        <v>556247</v>
      </c>
      <c r="J18" s="123">
        <v>93564</v>
      </c>
      <c r="K18" s="103">
        <v>8104</v>
      </c>
      <c r="L18" s="103">
        <v>41217</v>
      </c>
      <c r="M18" s="103">
        <v>62644</v>
      </c>
      <c r="N18" s="103">
        <v>56993</v>
      </c>
      <c r="O18" s="103">
        <v>278107</v>
      </c>
      <c r="P18" s="103">
        <v>585848</v>
      </c>
      <c r="Q18" s="103">
        <v>5389</v>
      </c>
      <c r="R18" s="103">
        <v>27107</v>
      </c>
      <c r="S18" s="103">
        <v>25503</v>
      </c>
      <c r="T18" s="103">
        <v>382133</v>
      </c>
      <c r="U18" s="103">
        <v>551769</v>
      </c>
      <c r="V18" s="103">
        <v>61210</v>
      </c>
      <c r="W18" s="123">
        <v>8165</v>
      </c>
      <c r="X18" s="103">
        <v>22705</v>
      </c>
      <c r="Y18" s="103">
        <v>127096</v>
      </c>
      <c r="Z18" s="103">
        <v>1303</v>
      </c>
      <c r="AA18" s="103">
        <v>242149</v>
      </c>
      <c r="AB18" s="103">
        <v>11451</v>
      </c>
      <c r="AC18" s="103">
        <v>2820</v>
      </c>
      <c r="AD18" s="103">
        <v>25967</v>
      </c>
      <c r="AE18" s="103">
        <v>126254</v>
      </c>
      <c r="AF18" s="103">
        <v>320423</v>
      </c>
      <c r="AG18" s="103">
        <v>1556386</v>
      </c>
      <c r="AH18" s="103">
        <v>14250</v>
      </c>
      <c r="AI18" s="103">
        <v>510640</v>
      </c>
      <c r="AJ18" s="103">
        <v>938704</v>
      </c>
      <c r="AK18" s="103">
        <v>15073</v>
      </c>
      <c r="AL18" s="117">
        <v>51894</v>
      </c>
      <c r="AM18" s="103">
        <v>50911</v>
      </c>
      <c r="AN18" s="107">
        <v>873950</v>
      </c>
      <c r="AO18" s="107">
        <v>5710</v>
      </c>
      <c r="AP18" s="107">
        <v>0</v>
      </c>
      <c r="AQ18" s="103">
        <v>157170</v>
      </c>
      <c r="AR18" s="103">
        <v>313233</v>
      </c>
      <c r="AS18" s="103">
        <v>88251</v>
      </c>
      <c r="AT18" s="103">
        <v>891</v>
      </c>
      <c r="AU18" s="103">
        <v>168372</v>
      </c>
      <c r="AV18" s="103">
        <v>62968</v>
      </c>
      <c r="AW18" s="103">
        <v>52789</v>
      </c>
      <c r="AX18" s="103">
        <v>265463</v>
      </c>
      <c r="AY18" s="103">
        <v>718364</v>
      </c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</row>
    <row r="19" spans="1:83" x14ac:dyDescent="0.25">
      <c r="A19">
        <v>12</v>
      </c>
      <c r="B19" s="103">
        <v>82334</v>
      </c>
      <c r="C19" s="103">
        <v>116927</v>
      </c>
      <c r="D19" s="103">
        <v>20246</v>
      </c>
      <c r="E19" s="103">
        <v>22208</v>
      </c>
      <c r="F19" s="103">
        <v>281414</v>
      </c>
      <c r="G19" s="103">
        <v>5055</v>
      </c>
      <c r="H19" s="103">
        <v>10754</v>
      </c>
      <c r="I19" s="103">
        <v>556640</v>
      </c>
      <c r="J19" s="103">
        <v>93625</v>
      </c>
      <c r="K19" s="103">
        <v>8104</v>
      </c>
      <c r="L19" s="103">
        <v>41250</v>
      </c>
      <c r="M19" s="103">
        <v>62662</v>
      </c>
      <c r="N19" s="103">
        <v>57027</v>
      </c>
      <c r="O19" s="103">
        <v>278309</v>
      </c>
      <c r="P19" s="103">
        <v>586353</v>
      </c>
      <c r="Q19" s="103">
        <v>5398</v>
      </c>
      <c r="R19" s="103">
        <v>27121</v>
      </c>
      <c r="S19" s="103">
        <v>25503</v>
      </c>
      <c r="T19" s="103">
        <v>382382</v>
      </c>
      <c r="U19" s="103">
        <v>552155</v>
      </c>
      <c r="V19" s="103">
        <v>61255</v>
      </c>
      <c r="W19" s="103">
        <v>8165</v>
      </c>
      <c r="X19" s="103">
        <v>22727</v>
      </c>
      <c r="Y19" s="103">
        <v>127175</v>
      </c>
      <c r="Z19" s="103">
        <v>1303</v>
      </c>
      <c r="AA19" s="103">
        <v>242278</v>
      </c>
      <c r="AB19" s="103">
        <v>11458</v>
      </c>
      <c r="AC19" s="103">
        <v>2822</v>
      </c>
      <c r="AD19" s="103">
        <v>25989</v>
      </c>
      <c r="AE19" s="103">
        <v>126348</v>
      </c>
      <c r="AF19" s="103">
        <v>320708</v>
      </c>
      <c r="AG19" s="103">
        <v>1557168</v>
      </c>
      <c r="AH19" s="103">
        <v>14255</v>
      </c>
      <c r="AI19" s="103">
        <v>510658</v>
      </c>
      <c r="AJ19" s="103">
        <v>939421</v>
      </c>
      <c r="AK19" s="103">
        <v>15086</v>
      </c>
      <c r="AL19" s="117">
        <v>51994</v>
      </c>
      <c r="AM19" s="103">
        <v>50926</v>
      </c>
      <c r="AN19" s="107">
        <v>874652</v>
      </c>
      <c r="AO19" s="107">
        <v>5710</v>
      </c>
      <c r="AP19" s="107">
        <v>0</v>
      </c>
      <c r="AQ19" s="103">
        <v>157305</v>
      </c>
      <c r="AR19" s="103">
        <v>313470</v>
      </c>
      <c r="AS19" s="103">
        <v>88331</v>
      </c>
      <c r="AT19" s="103">
        <v>892</v>
      </c>
      <c r="AU19" s="103">
        <v>168509</v>
      </c>
      <c r="AV19" s="103">
        <v>62999</v>
      </c>
      <c r="AW19" s="103">
        <v>52816</v>
      </c>
      <c r="AX19" s="103">
        <v>265674</v>
      </c>
      <c r="AY19" s="103">
        <v>718922</v>
      </c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</row>
    <row r="20" spans="1:83" x14ac:dyDescent="0.25">
      <c r="A20">
        <v>13</v>
      </c>
      <c r="B20" s="103">
        <v>82413</v>
      </c>
      <c r="C20" s="103">
        <v>117075</v>
      </c>
      <c r="D20" s="103">
        <v>20257</v>
      </c>
      <c r="E20" s="103">
        <v>22225</v>
      </c>
      <c r="F20" s="103">
        <v>281592</v>
      </c>
      <c r="G20" s="103">
        <v>5060</v>
      </c>
      <c r="H20" s="103">
        <v>10770</v>
      </c>
      <c r="I20" s="103">
        <v>557015</v>
      </c>
      <c r="J20" s="103">
        <v>93683</v>
      </c>
      <c r="K20" s="103">
        <v>8104</v>
      </c>
      <c r="L20" s="103">
        <v>41277</v>
      </c>
      <c r="M20" s="103">
        <v>62703</v>
      </c>
      <c r="N20" s="103">
        <v>57060</v>
      </c>
      <c r="O20" s="103">
        <v>278510</v>
      </c>
      <c r="P20" s="103">
        <v>586874</v>
      </c>
      <c r="Q20" s="103">
        <v>5407</v>
      </c>
      <c r="R20" s="103">
        <v>27132</v>
      </c>
      <c r="S20" s="103">
        <v>25503</v>
      </c>
      <c r="T20" s="103">
        <v>382628</v>
      </c>
      <c r="U20" s="103">
        <v>552514</v>
      </c>
      <c r="V20" s="103">
        <v>61297</v>
      </c>
      <c r="W20" s="103">
        <v>8165</v>
      </c>
      <c r="X20" s="103">
        <v>22750</v>
      </c>
      <c r="Y20" s="103">
        <v>127266</v>
      </c>
      <c r="Z20" s="103">
        <v>1303</v>
      </c>
      <c r="AA20" s="103">
        <v>242399</v>
      </c>
      <c r="AB20" s="103">
        <v>11460</v>
      </c>
      <c r="AC20" s="103">
        <v>2824</v>
      </c>
      <c r="AD20" s="103">
        <v>26006</v>
      </c>
      <c r="AE20" s="103">
        <v>126441</v>
      </c>
      <c r="AF20" s="103">
        <v>320973</v>
      </c>
      <c r="AG20" s="103">
        <v>1557897</v>
      </c>
      <c r="AH20" s="103">
        <v>14259</v>
      </c>
      <c r="AI20" s="103">
        <v>510676</v>
      </c>
      <c r="AJ20" s="107">
        <v>940062</v>
      </c>
      <c r="AK20" s="107">
        <v>15100</v>
      </c>
      <c r="AL20" s="117">
        <v>52088</v>
      </c>
      <c r="AM20" s="107">
        <v>50945</v>
      </c>
      <c r="AN20" s="107">
        <v>875302</v>
      </c>
      <c r="AO20" s="107">
        <v>5710</v>
      </c>
      <c r="AP20" s="107">
        <v>0</v>
      </c>
      <c r="AQ20" s="107">
        <v>157441</v>
      </c>
      <c r="AR20" s="107">
        <v>313709</v>
      </c>
      <c r="AS20" s="107">
        <v>88411</v>
      </c>
      <c r="AT20" s="107">
        <v>892</v>
      </c>
      <c r="AU20" s="107">
        <v>168630</v>
      </c>
      <c r="AV20" s="107">
        <v>63026</v>
      </c>
      <c r="AW20" s="107">
        <v>52845</v>
      </c>
      <c r="AX20" s="107">
        <v>265875</v>
      </c>
      <c r="AY20" s="107">
        <v>719442</v>
      </c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</row>
    <row r="21" spans="1:83" x14ac:dyDescent="0.25">
      <c r="A21">
        <v>14</v>
      </c>
      <c r="B21" s="103">
        <v>82489</v>
      </c>
      <c r="C21" s="103">
        <v>117218</v>
      </c>
      <c r="D21" s="103">
        <v>20282</v>
      </c>
      <c r="E21" s="103">
        <v>22252</v>
      </c>
      <c r="F21" s="103">
        <v>281763</v>
      </c>
      <c r="G21" s="103">
        <v>5064</v>
      </c>
      <c r="H21" s="103">
        <v>10784</v>
      </c>
      <c r="I21" s="103">
        <v>557393</v>
      </c>
      <c r="J21" s="103">
        <v>93745</v>
      </c>
      <c r="K21" s="103">
        <v>8105</v>
      </c>
      <c r="L21" s="103">
        <v>41306</v>
      </c>
      <c r="M21" s="103">
        <v>62728</v>
      </c>
      <c r="N21" s="103">
        <v>57096</v>
      </c>
      <c r="O21" s="103">
        <v>278705</v>
      </c>
      <c r="P21" s="103">
        <v>587513</v>
      </c>
      <c r="Q21" s="103">
        <v>5417</v>
      </c>
      <c r="R21" s="103">
        <v>27147</v>
      </c>
      <c r="S21" s="103">
        <v>25503</v>
      </c>
      <c r="T21" s="103">
        <v>382888</v>
      </c>
      <c r="U21" s="103">
        <v>552873</v>
      </c>
      <c r="V21" s="103">
        <v>61339</v>
      </c>
      <c r="W21" s="103">
        <v>8165</v>
      </c>
      <c r="X21" s="103">
        <v>22774</v>
      </c>
      <c r="Y21" s="103">
        <v>127359</v>
      </c>
      <c r="Z21" s="103">
        <v>1303</v>
      </c>
      <c r="AA21" s="103">
        <v>242529</v>
      </c>
      <c r="AB21" s="103">
        <v>11460</v>
      </c>
      <c r="AC21" s="103">
        <v>2826</v>
      </c>
      <c r="AD21" s="103">
        <v>26026</v>
      </c>
      <c r="AE21" s="103">
        <v>126534</v>
      </c>
      <c r="AF21" s="103">
        <v>321245</v>
      </c>
      <c r="AG21" s="103">
        <v>1558684</v>
      </c>
      <c r="AH21" s="103">
        <v>14264</v>
      </c>
      <c r="AI21" s="103">
        <v>510694</v>
      </c>
      <c r="AJ21" s="107">
        <v>940599</v>
      </c>
      <c r="AK21" s="107">
        <v>15112</v>
      </c>
      <c r="AL21" s="117">
        <v>52187</v>
      </c>
      <c r="AM21" s="107">
        <v>50962</v>
      </c>
      <c r="AN21" s="107">
        <v>875969</v>
      </c>
      <c r="AO21" s="107">
        <v>5710</v>
      </c>
      <c r="AP21" s="107">
        <v>0</v>
      </c>
      <c r="AQ21" s="107">
        <v>157568</v>
      </c>
      <c r="AR21" s="107">
        <v>313947</v>
      </c>
      <c r="AS21" s="107">
        <v>88492</v>
      </c>
      <c r="AT21" s="107">
        <v>893</v>
      </c>
      <c r="AU21" s="107">
        <v>168761</v>
      </c>
      <c r="AV21" s="107">
        <v>63054</v>
      </c>
      <c r="AW21" s="107">
        <v>52874</v>
      </c>
      <c r="AX21" s="107">
        <v>266084</v>
      </c>
      <c r="AY21" s="107">
        <v>719998</v>
      </c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</row>
    <row r="22" spans="1:83" x14ac:dyDescent="0.25">
      <c r="A22">
        <v>15</v>
      </c>
      <c r="B22" s="103">
        <v>82568</v>
      </c>
      <c r="C22" s="103">
        <v>117350</v>
      </c>
      <c r="D22" s="103">
        <v>20299</v>
      </c>
      <c r="E22" s="103">
        <v>22268</v>
      </c>
      <c r="F22" s="103">
        <v>281920</v>
      </c>
      <c r="G22" s="103">
        <v>5069</v>
      </c>
      <c r="H22" s="103">
        <v>10802</v>
      </c>
      <c r="I22" s="103">
        <v>557774</v>
      </c>
      <c r="J22" s="103">
        <v>93796</v>
      </c>
      <c r="K22" s="103">
        <v>8106</v>
      </c>
      <c r="L22" s="103">
        <v>41333</v>
      </c>
      <c r="M22" s="103">
        <v>62761</v>
      </c>
      <c r="N22" s="103">
        <v>57135</v>
      </c>
      <c r="O22" s="103">
        <v>278918</v>
      </c>
      <c r="P22" s="103">
        <v>588143</v>
      </c>
      <c r="Q22" s="103">
        <v>5426</v>
      </c>
      <c r="R22" s="103">
        <v>27159</v>
      </c>
      <c r="S22" s="103">
        <v>25503</v>
      </c>
      <c r="T22" s="103">
        <v>383156</v>
      </c>
      <c r="U22" s="103">
        <v>553251</v>
      </c>
      <c r="V22" s="103">
        <v>61380</v>
      </c>
      <c r="W22" s="103">
        <v>8165</v>
      </c>
      <c r="X22" s="103">
        <v>22798</v>
      </c>
      <c r="Y22" s="103">
        <v>127453</v>
      </c>
      <c r="Z22" s="103">
        <v>1303</v>
      </c>
      <c r="AA22" s="103">
        <v>242656</v>
      </c>
      <c r="AB22" s="103">
        <v>11460</v>
      </c>
      <c r="AC22" s="103">
        <v>2827</v>
      </c>
      <c r="AD22" s="103">
        <v>26045</v>
      </c>
      <c r="AE22" s="103">
        <v>126632</v>
      </c>
      <c r="AF22" s="103">
        <v>321459</v>
      </c>
      <c r="AG22" s="103">
        <v>1559577</v>
      </c>
      <c r="AH22" s="103">
        <v>14274</v>
      </c>
      <c r="AI22" s="103">
        <v>510712</v>
      </c>
      <c r="AJ22" s="107">
        <v>941300</v>
      </c>
      <c r="AK22" s="107">
        <v>15124</v>
      </c>
      <c r="AL22" s="117">
        <v>52298</v>
      </c>
      <c r="AM22" s="107">
        <v>50979</v>
      </c>
      <c r="AN22" s="107">
        <v>876710</v>
      </c>
      <c r="AO22" s="107">
        <v>5710</v>
      </c>
      <c r="AP22" s="107">
        <v>0</v>
      </c>
      <c r="AQ22" s="107">
        <v>157697</v>
      </c>
      <c r="AR22" s="107">
        <v>314218</v>
      </c>
      <c r="AS22" s="107">
        <v>88569</v>
      </c>
      <c r="AT22" s="107">
        <v>894</v>
      </c>
      <c r="AU22" s="107">
        <v>168894</v>
      </c>
      <c r="AV22" s="107">
        <v>63082</v>
      </c>
      <c r="AW22" s="107">
        <v>52897</v>
      </c>
      <c r="AX22" s="107">
        <v>266292</v>
      </c>
      <c r="AY22" s="107">
        <v>720542</v>
      </c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</row>
    <row r="23" spans="1:83" x14ac:dyDescent="0.25">
      <c r="A23">
        <v>16</v>
      </c>
      <c r="B23" s="103">
        <v>82650</v>
      </c>
      <c r="C23" s="103">
        <v>117496</v>
      </c>
      <c r="D23" s="103">
        <v>20312</v>
      </c>
      <c r="E23" s="103">
        <v>22287</v>
      </c>
      <c r="F23" s="103">
        <v>282103</v>
      </c>
      <c r="G23" s="103">
        <v>5074</v>
      </c>
      <c r="H23" s="103">
        <v>10820</v>
      </c>
      <c r="I23" s="103">
        <v>558142</v>
      </c>
      <c r="J23" s="103">
        <v>93847</v>
      </c>
      <c r="K23" s="103">
        <v>8107</v>
      </c>
      <c r="L23" s="103">
        <v>41364</v>
      </c>
      <c r="M23" s="103">
        <v>62773</v>
      </c>
      <c r="N23" s="103">
        <v>57173</v>
      </c>
      <c r="O23" s="103">
        <v>279114</v>
      </c>
      <c r="P23" s="103">
        <v>588682</v>
      </c>
      <c r="Q23" s="103">
        <v>5435</v>
      </c>
      <c r="R23" s="103">
        <v>27170</v>
      </c>
      <c r="S23" s="103">
        <v>25503</v>
      </c>
      <c r="T23" s="103">
        <v>383414</v>
      </c>
      <c r="U23" s="103">
        <v>553605</v>
      </c>
      <c r="V23" s="103">
        <v>61420</v>
      </c>
      <c r="W23" s="103">
        <v>8165</v>
      </c>
      <c r="X23" s="103">
        <v>22823</v>
      </c>
      <c r="Y23" s="103">
        <v>127543</v>
      </c>
      <c r="Z23" s="103">
        <v>1303</v>
      </c>
      <c r="AA23" s="103">
        <v>242783</v>
      </c>
      <c r="AB23" s="103">
        <v>11464</v>
      </c>
      <c r="AC23" s="103">
        <v>2829</v>
      </c>
      <c r="AD23" s="103">
        <v>26067</v>
      </c>
      <c r="AE23" s="103">
        <v>126741</v>
      </c>
      <c r="AF23" s="103">
        <v>321685</v>
      </c>
      <c r="AG23" s="103">
        <v>1560721</v>
      </c>
      <c r="AH23" s="103">
        <v>14282</v>
      </c>
      <c r="AI23" s="103">
        <v>510730</v>
      </c>
      <c r="AJ23" s="103">
        <v>941950</v>
      </c>
      <c r="AK23" s="103">
        <v>15137</v>
      </c>
      <c r="AL23" s="117">
        <v>52411</v>
      </c>
      <c r="AM23" s="103">
        <v>50996</v>
      </c>
      <c r="AN23" s="107">
        <v>877568</v>
      </c>
      <c r="AO23" s="107">
        <v>5710</v>
      </c>
      <c r="AP23" s="107">
        <v>0</v>
      </c>
      <c r="AQ23" s="103">
        <v>157831</v>
      </c>
      <c r="AR23" s="103">
        <v>314463</v>
      </c>
      <c r="AS23" s="103">
        <v>88648</v>
      </c>
      <c r="AT23" s="103">
        <v>894</v>
      </c>
      <c r="AU23" s="103">
        <v>169020</v>
      </c>
      <c r="AV23" s="103">
        <v>63109</v>
      </c>
      <c r="AW23" s="103">
        <v>52925</v>
      </c>
      <c r="AX23" s="103">
        <v>266492</v>
      </c>
      <c r="AY23" s="103">
        <v>721133</v>
      </c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</row>
    <row r="24" spans="1:83" x14ac:dyDescent="0.25">
      <c r="A24">
        <v>17</v>
      </c>
      <c r="B24" s="103">
        <v>82738</v>
      </c>
      <c r="C24" s="103">
        <v>117676</v>
      </c>
      <c r="D24" s="103">
        <v>20331</v>
      </c>
      <c r="E24" s="103">
        <v>22309</v>
      </c>
      <c r="F24" s="103">
        <v>282296</v>
      </c>
      <c r="G24" s="103">
        <v>5079</v>
      </c>
      <c r="H24" s="103">
        <v>10839</v>
      </c>
      <c r="I24" s="103">
        <v>558531</v>
      </c>
      <c r="J24" s="103">
        <v>93902</v>
      </c>
      <c r="K24" s="103">
        <v>8107</v>
      </c>
      <c r="L24" s="103">
        <v>41395</v>
      </c>
      <c r="M24" s="103">
        <v>62796</v>
      </c>
      <c r="N24" s="103">
        <v>57212</v>
      </c>
      <c r="O24" s="123">
        <v>279321</v>
      </c>
      <c r="P24" s="103">
        <v>589259</v>
      </c>
      <c r="Q24" s="103">
        <v>5444</v>
      </c>
      <c r="R24" s="103">
        <v>27180</v>
      </c>
      <c r="S24" s="103">
        <v>25503</v>
      </c>
      <c r="T24" s="103">
        <v>383686</v>
      </c>
      <c r="U24" s="103">
        <v>553980</v>
      </c>
      <c r="V24" s="103">
        <v>61463</v>
      </c>
      <c r="W24" s="103">
        <v>8165</v>
      </c>
      <c r="X24" s="103">
        <v>22847</v>
      </c>
      <c r="Y24" s="103">
        <v>127636</v>
      </c>
      <c r="Z24" s="103">
        <v>1303</v>
      </c>
      <c r="AA24" s="103">
        <v>242917</v>
      </c>
      <c r="AB24" s="103">
        <v>11471</v>
      </c>
      <c r="AC24" s="103">
        <v>2830</v>
      </c>
      <c r="AD24" s="103">
        <v>26090</v>
      </c>
      <c r="AE24" s="123">
        <v>126846</v>
      </c>
      <c r="AF24" s="103">
        <v>321964</v>
      </c>
      <c r="AG24" s="103">
        <v>1561869</v>
      </c>
      <c r="AH24" s="103">
        <v>14288</v>
      </c>
      <c r="AI24" s="103">
        <v>510749</v>
      </c>
      <c r="AJ24" s="103">
        <v>942620</v>
      </c>
      <c r="AK24" s="103">
        <v>15150</v>
      </c>
      <c r="AL24" s="103">
        <v>52522</v>
      </c>
      <c r="AM24" s="117">
        <v>51013</v>
      </c>
      <c r="AN24" s="103">
        <v>878462</v>
      </c>
      <c r="AO24" s="107">
        <v>5710</v>
      </c>
      <c r="AP24" s="107">
        <v>0</v>
      </c>
      <c r="AQ24" s="103">
        <v>157976</v>
      </c>
      <c r="AR24" s="103">
        <v>314731</v>
      </c>
      <c r="AS24" s="103">
        <v>88728</v>
      </c>
      <c r="AT24" s="103">
        <v>895</v>
      </c>
      <c r="AU24" s="103">
        <v>169151</v>
      </c>
      <c r="AV24" s="103">
        <v>63136</v>
      </c>
      <c r="AW24" s="103">
        <v>52954</v>
      </c>
      <c r="AX24" s="103">
        <v>266701</v>
      </c>
      <c r="AY24" s="103">
        <v>721709</v>
      </c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</row>
    <row r="25" spans="1:83" x14ac:dyDescent="0.25">
      <c r="A25">
        <v>18</v>
      </c>
      <c r="B25" s="103">
        <v>82827</v>
      </c>
      <c r="C25" s="103">
        <v>117829</v>
      </c>
      <c r="D25" s="103">
        <v>20343</v>
      </c>
      <c r="E25" s="103">
        <v>22318</v>
      </c>
      <c r="F25" s="103">
        <v>282472</v>
      </c>
      <c r="G25" s="103">
        <v>5084</v>
      </c>
      <c r="H25" s="103">
        <v>10863</v>
      </c>
      <c r="I25" s="103">
        <v>558906</v>
      </c>
      <c r="J25" s="103">
        <v>93946</v>
      </c>
      <c r="K25" s="103">
        <v>8108</v>
      </c>
      <c r="L25" s="103">
        <v>41418</v>
      </c>
      <c r="M25" s="103">
        <v>62840</v>
      </c>
      <c r="N25" s="103">
        <v>57250</v>
      </c>
      <c r="O25" s="103">
        <v>279522</v>
      </c>
      <c r="P25" s="103">
        <v>589747</v>
      </c>
      <c r="Q25" s="103">
        <v>5454</v>
      </c>
      <c r="R25" s="103">
        <v>27194</v>
      </c>
      <c r="S25" s="103">
        <v>25503</v>
      </c>
      <c r="T25" s="103">
        <v>383941</v>
      </c>
      <c r="U25" s="103">
        <v>554364</v>
      </c>
      <c r="V25" s="103">
        <v>61507</v>
      </c>
      <c r="W25" s="103">
        <v>8165</v>
      </c>
      <c r="X25" s="103">
        <v>22867</v>
      </c>
      <c r="Y25" s="103">
        <v>127714</v>
      </c>
      <c r="Z25" s="103">
        <v>1303</v>
      </c>
      <c r="AA25" s="103">
        <v>243046</v>
      </c>
      <c r="AB25" s="103">
        <v>11482</v>
      </c>
      <c r="AC25" s="103">
        <v>2832</v>
      </c>
      <c r="AD25" s="103">
        <v>26111</v>
      </c>
      <c r="AE25" s="103">
        <v>126937</v>
      </c>
      <c r="AF25" s="103">
        <v>322232</v>
      </c>
      <c r="AG25" s="103">
        <v>1562909</v>
      </c>
      <c r="AH25" s="103">
        <v>14289</v>
      </c>
      <c r="AI25" s="103">
        <v>510767</v>
      </c>
      <c r="AJ25" s="103">
        <v>943315</v>
      </c>
      <c r="AK25" s="103">
        <v>15162</v>
      </c>
      <c r="AL25" s="117">
        <v>52627</v>
      </c>
      <c r="AM25" s="103">
        <v>51030</v>
      </c>
      <c r="AN25" s="107">
        <v>879303</v>
      </c>
      <c r="AO25" s="107">
        <v>5710</v>
      </c>
      <c r="AP25" s="107">
        <v>0</v>
      </c>
      <c r="AQ25" s="103">
        <v>158119</v>
      </c>
      <c r="AR25" s="103">
        <v>314978</v>
      </c>
      <c r="AS25" s="103">
        <v>88797</v>
      </c>
      <c r="AT25" s="103">
        <v>896</v>
      </c>
      <c r="AU25" s="103">
        <v>169283</v>
      </c>
      <c r="AV25" s="103">
        <v>63165</v>
      </c>
      <c r="AW25" s="103">
        <v>52982</v>
      </c>
      <c r="AX25" s="103">
        <v>266895</v>
      </c>
      <c r="AY25" s="103">
        <v>722280</v>
      </c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</row>
    <row r="26" spans="1:83" x14ac:dyDescent="0.25">
      <c r="A26">
        <v>19</v>
      </c>
      <c r="B26" s="103">
        <v>82920</v>
      </c>
      <c r="C26" s="103">
        <v>117958</v>
      </c>
      <c r="D26" s="103">
        <v>20351</v>
      </c>
      <c r="E26" s="103">
        <v>22352</v>
      </c>
      <c r="F26" s="103">
        <v>282650</v>
      </c>
      <c r="G26" s="103">
        <v>5089</v>
      </c>
      <c r="H26" s="103">
        <v>10879</v>
      </c>
      <c r="I26" s="103">
        <v>559283</v>
      </c>
      <c r="J26" s="103">
        <v>93991</v>
      </c>
      <c r="K26" s="103">
        <v>8108</v>
      </c>
      <c r="L26" s="103">
        <v>41448</v>
      </c>
      <c r="M26" s="103">
        <v>62895</v>
      </c>
      <c r="N26" s="103">
        <v>57287</v>
      </c>
      <c r="O26" s="103">
        <v>279794</v>
      </c>
      <c r="P26" s="103">
        <v>590283</v>
      </c>
      <c r="Q26" s="103">
        <v>5456</v>
      </c>
      <c r="R26" s="103">
        <v>27208</v>
      </c>
      <c r="S26" s="103">
        <v>25503</v>
      </c>
      <c r="T26" s="103">
        <v>384185</v>
      </c>
      <c r="U26" s="103">
        <v>554733</v>
      </c>
      <c r="V26" s="103">
        <v>61550</v>
      </c>
      <c r="W26" s="103">
        <v>8165</v>
      </c>
      <c r="X26" s="103">
        <v>22887</v>
      </c>
      <c r="Y26" s="103">
        <v>127790</v>
      </c>
      <c r="Z26" s="103">
        <v>1303</v>
      </c>
      <c r="AA26" s="103">
        <v>243184</v>
      </c>
      <c r="AB26" s="103">
        <v>11482</v>
      </c>
      <c r="AC26" s="103">
        <v>2836</v>
      </c>
      <c r="AD26" s="103">
        <v>26136</v>
      </c>
      <c r="AE26" s="103">
        <v>127036</v>
      </c>
      <c r="AF26" s="103">
        <v>322465</v>
      </c>
      <c r="AG26" s="103">
        <v>1564056</v>
      </c>
      <c r="AH26" s="103">
        <v>14297</v>
      </c>
      <c r="AI26" s="103">
        <v>510786</v>
      </c>
      <c r="AJ26" s="103">
        <v>943987</v>
      </c>
      <c r="AK26" s="103">
        <v>15173</v>
      </c>
      <c r="AL26" s="117">
        <v>52733</v>
      </c>
      <c r="AM26" s="103">
        <v>51047</v>
      </c>
      <c r="AN26" s="107">
        <v>880060</v>
      </c>
      <c r="AO26" s="107">
        <v>5710</v>
      </c>
      <c r="AP26" s="107">
        <v>0</v>
      </c>
      <c r="AQ26" s="103">
        <v>158266</v>
      </c>
      <c r="AR26" s="103">
        <v>315214</v>
      </c>
      <c r="AS26" s="103">
        <v>88873</v>
      </c>
      <c r="AT26" s="103">
        <v>896</v>
      </c>
      <c r="AU26" s="103">
        <v>169419</v>
      </c>
      <c r="AV26" s="103">
        <v>63197</v>
      </c>
      <c r="AW26" s="103">
        <v>53012</v>
      </c>
      <c r="AX26" s="103">
        <v>267093</v>
      </c>
      <c r="AY26" s="103">
        <v>722647</v>
      </c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</row>
    <row r="27" spans="1:83" x14ac:dyDescent="0.25">
      <c r="A27">
        <v>20</v>
      </c>
      <c r="B27" s="103">
        <v>83000</v>
      </c>
      <c r="C27" s="103">
        <v>118097</v>
      </c>
      <c r="D27" s="103">
        <v>20367</v>
      </c>
      <c r="E27" s="103">
        <v>22373</v>
      </c>
      <c r="F27" s="103">
        <v>282823</v>
      </c>
      <c r="G27" s="103">
        <v>5093</v>
      </c>
      <c r="H27" s="103">
        <v>10893</v>
      </c>
      <c r="I27" s="103">
        <v>559650</v>
      </c>
      <c r="J27" s="103">
        <v>94035</v>
      </c>
      <c r="K27" s="103">
        <v>8109</v>
      </c>
      <c r="L27" s="103">
        <v>41479</v>
      </c>
      <c r="M27" s="103">
        <v>62921</v>
      </c>
      <c r="N27" s="103">
        <v>57319</v>
      </c>
      <c r="O27" s="103">
        <v>279926</v>
      </c>
      <c r="P27" s="103">
        <v>590826</v>
      </c>
      <c r="Q27" s="103">
        <v>5474</v>
      </c>
      <c r="R27" s="103">
        <v>27219</v>
      </c>
      <c r="S27" s="103">
        <v>25503</v>
      </c>
      <c r="T27" s="103">
        <v>384413</v>
      </c>
      <c r="U27" s="103">
        <v>555115</v>
      </c>
      <c r="V27" s="103">
        <v>61593</v>
      </c>
      <c r="W27" s="103">
        <v>8165</v>
      </c>
      <c r="X27" s="103">
        <v>22906</v>
      </c>
      <c r="Y27" s="103">
        <v>127878</v>
      </c>
      <c r="Z27" s="103">
        <v>1303</v>
      </c>
      <c r="AA27" s="103">
        <v>243306</v>
      </c>
      <c r="AB27" s="103">
        <v>11487</v>
      </c>
      <c r="AC27" s="103">
        <v>2838</v>
      </c>
      <c r="AD27" s="103">
        <v>26151</v>
      </c>
      <c r="AE27" s="103">
        <v>127135</v>
      </c>
      <c r="AF27" s="103">
        <v>322668</v>
      </c>
      <c r="AG27" s="103">
        <v>1565149</v>
      </c>
      <c r="AH27" s="103">
        <v>14300</v>
      </c>
      <c r="AI27" s="103">
        <v>510804</v>
      </c>
      <c r="AJ27" s="103">
        <v>944550</v>
      </c>
      <c r="AK27" s="103">
        <v>15185</v>
      </c>
      <c r="AL27" s="117">
        <v>52814</v>
      </c>
      <c r="AM27" s="103">
        <v>51064</v>
      </c>
      <c r="AN27" s="107">
        <v>880797</v>
      </c>
      <c r="AO27" s="107">
        <v>5710</v>
      </c>
      <c r="AP27" s="107">
        <v>0</v>
      </c>
      <c r="AQ27" s="103">
        <v>158403</v>
      </c>
      <c r="AR27" s="103">
        <v>315446</v>
      </c>
      <c r="AS27" s="103">
        <v>88946</v>
      </c>
      <c r="AT27" s="103">
        <v>897</v>
      </c>
      <c r="AU27" s="103">
        <v>169533</v>
      </c>
      <c r="AV27" s="103">
        <v>63225</v>
      </c>
      <c r="AW27" s="103">
        <v>53043</v>
      </c>
      <c r="AX27" s="103">
        <v>267292</v>
      </c>
      <c r="AY27" s="103">
        <v>723412</v>
      </c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</row>
    <row r="28" spans="1:83" x14ac:dyDescent="0.25">
      <c r="A28">
        <v>21</v>
      </c>
      <c r="B28" s="103">
        <v>83097</v>
      </c>
      <c r="C28" s="103">
        <v>118235</v>
      </c>
      <c r="D28" s="103">
        <v>20387</v>
      </c>
      <c r="E28" s="103">
        <v>22408</v>
      </c>
      <c r="F28" s="103">
        <v>282996</v>
      </c>
      <c r="G28" s="103">
        <v>5097</v>
      </c>
      <c r="H28" s="103">
        <v>10901</v>
      </c>
      <c r="I28" s="103">
        <v>560028</v>
      </c>
      <c r="J28" s="103">
        <v>94081</v>
      </c>
      <c r="K28" s="103">
        <v>8110</v>
      </c>
      <c r="L28" s="103">
        <v>41508</v>
      </c>
      <c r="M28" s="103">
        <v>62951</v>
      </c>
      <c r="N28" s="103">
        <v>57358</v>
      </c>
      <c r="O28" s="103">
        <v>280117</v>
      </c>
      <c r="P28" s="103">
        <v>591467</v>
      </c>
      <c r="Q28" s="103">
        <v>5482</v>
      </c>
      <c r="R28" s="103">
        <v>27231</v>
      </c>
      <c r="S28" s="103">
        <v>25503</v>
      </c>
      <c r="T28" s="103">
        <v>384671</v>
      </c>
      <c r="U28" s="103">
        <v>555517</v>
      </c>
      <c r="V28" s="103">
        <v>61637</v>
      </c>
      <c r="W28" s="103">
        <v>8160</v>
      </c>
      <c r="X28" s="103">
        <v>22927</v>
      </c>
      <c r="Y28" s="103">
        <v>127970</v>
      </c>
      <c r="Z28" s="103">
        <v>1303</v>
      </c>
      <c r="AA28" s="103">
        <v>243438</v>
      </c>
      <c r="AB28" s="103">
        <v>11500</v>
      </c>
      <c r="AC28" s="103">
        <v>2839</v>
      </c>
      <c r="AD28" s="103">
        <v>26162</v>
      </c>
      <c r="AE28" s="103">
        <v>127233</v>
      </c>
      <c r="AF28" s="103">
        <v>322885</v>
      </c>
      <c r="AG28" s="103">
        <v>1566435</v>
      </c>
      <c r="AH28" s="103">
        <v>14305</v>
      </c>
      <c r="AI28" s="103">
        <v>510822</v>
      </c>
      <c r="AJ28" s="103">
        <v>945222</v>
      </c>
      <c r="AK28" s="103">
        <v>15211</v>
      </c>
      <c r="AL28" s="117">
        <v>52911</v>
      </c>
      <c r="AM28" s="123">
        <v>51081</v>
      </c>
      <c r="AN28" s="103">
        <v>881502</v>
      </c>
      <c r="AO28" s="107">
        <v>5710</v>
      </c>
      <c r="AP28" s="107">
        <v>0</v>
      </c>
      <c r="AQ28" s="103">
        <v>158549</v>
      </c>
      <c r="AR28" s="103">
        <v>315695</v>
      </c>
      <c r="AS28" s="103">
        <v>89018</v>
      </c>
      <c r="AT28" s="103">
        <v>898</v>
      </c>
      <c r="AU28" s="103">
        <v>169678</v>
      </c>
      <c r="AV28" s="103">
        <v>63255</v>
      </c>
      <c r="AW28" s="103">
        <v>53074</v>
      </c>
      <c r="AX28" s="103">
        <v>267500</v>
      </c>
      <c r="AY28" s="103">
        <v>724002</v>
      </c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</row>
    <row r="29" spans="1:83" x14ac:dyDescent="0.25">
      <c r="A29">
        <v>22</v>
      </c>
      <c r="B29" s="103">
        <v>83199</v>
      </c>
      <c r="C29" s="103">
        <v>118381</v>
      </c>
      <c r="D29" s="103">
        <v>20404</v>
      </c>
      <c r="E29" s="103">
        <v>22424</v>
      </c>
      <c r="F29" s="103">
        <v>283173</v>
      </c>
      <c r="G29" s="103">
        <v>5102</v>
      </c>
      <c r="H29" s="103">
        <v>10918</v>
      </c>
      <c r="I29" s="103">
        <v>560411</v>
      </c>
      <c r="J29" s="103">
        <v>94131</v>
      </c>
      <c r="K29" s="103">
        <v>8111</v>
      </c>
      <c r="L29" s="103">
        <v>41536</v>
      </c>
      <c r="M29" s="103">
        <v>62983</v>
      </c>
      <c r="N29" s="103">
        <v>57398</v>
      </c>
      <c r="O29" s="103">
        <v>280327</v>
      </c>
      <c r="P29" s="103">
        <v>592072</v>
      </c>
      <c r="Q29" s="103">
        <v>5491</v>
      </c>
      <c r="R29" s="103">
        <v>27244</v>
      </c>
      <c r="S29" s="103">
        <v>25503</v>
      </c>
      <c r="T29" s="103">
        <v>384957</v>
      </c>
      <c r="U29" s="103">
        <v>555920</v>
      </c>
      <c r="V29" s="103">
        <v>61682</v>
      </c>
      <c r="W29" s="103">
        <v>8166</v>
      </c>
      <c r="X29" s="103">
        <v>22944</v>
      </c>
      <c r="Y29" s="103">
        <v>128062</v>
      </c>
      <c r="Z29" s="103">
        <v>1303</v>
      </c>
      <c r="AA29" s="103">
        <v>243571</v>
      </c>
      <c r="AB29" s="103">
        <v>11510</v>
      </c>
      <c r="AC29" s="103">
        <v>2842</v>
      </c>
      <c r="AD29" s="103">
        <v>26186</v>
      </c>
      <c r="AE29" s="103">
        <v>127326</v>
      </c>
      <c r="AF29" s="103">
        <v>323128</v>
      </c>
      <c r="AG29" s="103">
        <v>1567656</v>
      </c>
      <c r="AH29" s="103">
        <v>14305</v>
      </c>
      <c r="AI29" s="103">
        <v>510841</v>
      </c>
      <c r="AJ29" s="103">
        <v>945871</v>
      </c>
      <c r="AK29" s="103">
        <v>15222</v>
      </c>
      <c r="AL29" s="117">
        <v>53034</v>
      </c>
      <c r="AM29" s="103">
        <v>51098</v>
      </c>
      <c r="AN29" s="107">
        <v>882353</v>
      </c>
      <c r="AO29" s="107">
        <v>5710</v>
      </c>
      <c r="AP29" s="107">
        <v>0</v>
      </c>
      <c r="AQ29" s="103">
        <v>158695</v>
      </c>
      <c r="AR29" s="103">
        <v>315937</v>
      </c>
      <c r="AS29" s="103">
        <v>89090</v>
      </c>
      <c r="AT29" s="103">
        <v>898</v>
      </c>
      <c r="AU29" s="103">
        <v>169817</v>
      </c>
      <c r="AV29" s="103">
        <v>63284</v>
      </c>
      <c r="AW29" s="103">
        <v>53103</v>
      </c>
      <c r="AX29" s="103">
        <v>267709</v>
      </c>
      <c r="AY29" s="103">
        <v>724571</v>
      </c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</row>
    <row r="30" spans="1:83" x14ac:dyDescent="0.25">
      <c r="A30">
        <v>23</v>
      </c>
      <c r="B30" s="103">
        <v>83300</v>
      </c>
      <c r="C30" s="103">
        <v>118505</v>
      </c>
      <c r="D30" s="103">
        <v>20418</v>
      </c>
      <c r="E30" s="103">
        <v>22448</v>
      </c>
      <c r="F30" s="103">
        <v>283360</v>
      </c>
      <c r="G30" s="103">
        <v>5107</v>
      </c>
      <c r="H30" s="103">
        <v>10936</v>
      </c>
      <c r="I30" s="103">
        <v>560788</v>
      </c>
      <c r="J30" s="103">
        <v>94182</v>
      </c>
      <c r="K30" s="103">
        <v>8111</v>
      </c>
      <c r="L30" s="103">
        <v>41569</v>
      </c>
      <c r="M30" s="103">
        <v>63013</v>
      </c>
      <c r="N30" s="103">
        <v>57436</v>
      </c>
      <c r="O30" s="103">
        <v>280524</v>
      </c>
      <c r="P30" s="103">
        <v>592660</v>
      </c>
      <c r="Q30" s="103">
        <v>5500</v>
      </c>
      <c r="R30" s="103">
        <v>27255</v>
      </c>
      <c r="S30" s="103">
        <v>25503</v>
      </c>
      <c r="T30" s="103">
        <v>385218</v>
      </c>
      <c r="U30" s="103">
        <v>556314</v>
      </c>
      <c r="V30" s="103">
        <v>61727</v>
      </c>
      <c r="W30" s="103">
        <v>8166</v>
      </c>
      <c r="X30" s="103">
        <v>22965</v>
      </c>
      <c r="Y30" s="103">
        <v>128155</v>
      </c>
      <c r="Z30" s="103">
        <v>1303</v>
      </c>
      <c r="AA30" s="103">
        <v>243707</v>
      </c>
      <c r="AB30" s="103">
        <v>11521</v>
      </c>
      <c r="AC30" s="103">
        <v>2844</v>
      </c>
      <c r="AD30" s="103">
        <v>26205</v>
      </c>
      <c r="AE30" s="103">
        <v>127420</v>
      </c>
      <c r="AF30" s="103">
        <v>323361</v>
      </c>
      <c r="AG30" s="103">
        <v>1568569</v>
      </c>
      <c r="AH30" s="103">
        <v>14311</v>
      </c>
      <c r="AI30" s="103">
        <v>510859</v>
      </c>
      <c r="AJ30" s="103">
        <v>946454</v>
      </c>
      <c r="AK30" s="103">
        <v>15237</v>
      </c>
      <c r="AL30" s="117">
        <v>53146</v>
      </c>
      <c r="AM30" s="103">
        <v>51115</v>
      </c>
      <c r="AN30" s="107">
        <v>883199</v>
      </c>
      <c r="AO30" s="107">
        <v>5710</v>
      </c>
      <c r="AP30" s="107">
        <v>0</v>
      </c>
      <c r="AQ30" s="103">
        <v>158844</v>
      </c>
      <c r="AR30" s="107">
        <v>316179</v>
      </c>
      <c r="AS30" s="103">
        <v>89159</v>
      </c>
      <c r="AT30" s="103">
        <v>899</v>
      </c>
      <c r="AU30" s="103">
        <v>169961</v>
      </c>
      <c r="AV30" s="103">
        <v>63325</v>
      </c>
      <c r="AW30" s="103">
        <v>53126</v>
      </c>
      <c r="AX30" s="103">
        <v>267915</v>
      </c>
      <c r="AY30" s="103">
        <v>725104</v>
      </c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</row>
    <row r="31" spans="1:83" x14ac:dyDescent="0.25">
      <c r="A31">
        <v>24</v>
      </c>
      <c r="B31" s="103">
        <v>83401</v>
      </c>
      <c r="C31" s="103">
        <v>118619</v>
      </c>
      <c r="D31" s="103">
        <v>20438</v>
      </c>
      <c r="E31" s="103">
        <v>22475</v>
      </c>
      <c r="F31" s="103">
        <v>283547</v>
      </c>
      <c r="G31" s="103">
        <v>5122</v>
      </c>
      <c r="H31" s="103">
        <v>10951</v>
      </c>
      <c r="I31" s="103">
        <v>561167</v>
      </c>
      <c r="J31" s="103">
        <v>94231</v>
      </c>
      <c r="K31" s="103">
        <v>8112</v>
      </c>
      <c r="L31" s="103">
        <v>41596</v>
      </c>
      <c r="M31" s="103">
        <v>63036</v>
      </c>
      <c r="N31" s="103">
        <v>57475</v>
      </c>
      <c r="O31" s="103">
        <v>280729</v>
      </c>
      <c r="P31" s="103">
        <v>593192</v>
      </c>
      <c r="Q31" s="103">
        <v>5509</v>
      </c>
      <c r="R31" s="103">
        <v>27266</v>
      </c>
      <c r="S31" s="103">
        <v>25503</v>
      </c>
      <c r="T31" s="103">
        <v>385496</v>
      </c>
      <c r="U31" s="103">
        <v>556695</v>
      </c>
      <c r="V31" s="103">
        <v>61772</v>
      </c>
      <c r="W31" s="103">
        <v>8166</v>
      </c>
      <c r="X31" s="103">
        <v>22987</v>
      </c>
      <c r="Y31" s="103">
        <v>128246</v>
      </c>
      <c r="Z31" s="103">
        <v>1303</v>
      </c>
      <c r="AA31" s="103">
        <v>243853</v>
      </c>
      <c r="AB31" s="103">
        <v>11524</v>
      </c>
      <c r="AC31" s="103">
        <v>2846</v>
      </c>
      <c r="AD31" s="103">
        <v>26222</v>
      </c>
      <c r="AE31" s="103">
        <v>127515</v>
      </c>
      <c r="AF31" s="103">
        <v>323603</v>
      </c>
      <c r="AG31" s="103">
        <v>1569715</v>
      </c>
      <c r="AH31" s="103">
        <v>14222</v>
      </c>
      <c r="AI31" s="103">
        <v>510878</v>
      </c>
      <c r="AJ31" s="103">
        <v>947084</v>
      </c>
      <c r="AK31" s="103">
        <v>15253</v>
      </c>
      <c r="AL31" s="117">
        <v>53269</v>
      </c>
      <c r="AM31" s="103">
        <v>51132</v>
      </c>
      <c r="AN31" s="107">
        <v>884071</v>
      </c>
      <c r="AO31" s="107">
        <v>5710</v>
      </c>
      <c r="AP31" s="107">
        <v>0</v>
      </c>
      <c r="AQ31" s="103">
        <v>158991</v>
      </c>
      <c r="AR31" s="103">
        <v>316432</v>
      </c>
      <c r="AS31" s="103">
        <v>89233</v>
      </c>
      <c r="AT31" s="103">
        <v>899</v>
      </c>
      <c r="AU31" s="103">
        <v>170108</v>
      </c>
      <c r="AV31" s="103">
        <v>63355</v>
      </c>
      <c r="AW31" s="103">
        <v>53158</v>
      </c>
      <c r="AX31" s="103">
        <v>268127</v>
      </c>
      <c r="AY31" s="103">
        <v>725664</v>
      </c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</row>
    <row r="32" spans="1:83" x14ac:dyDescent="0.25">
      <c r="A32">
        <v>25</v>
      </c>
      <c r="B32" s="103">
        <v>83500</v>
      </c>
      <c r="C32" s="103">
        <v>118733</v>
      </c>
      <c r="D32" s="103">
        <v>20446</v>
      </c>
      <c r="E32" s="103">
        <v>22506</v>
      </c>
      <c r="F32" s="103">
        <v>283721</v>
      </c>
      <c r="G32" s="103">
        <v>5117</v>
      </c>
      <c r="H32" s="103">
        <v>10972</v>
      </c>
      <c r="I32" s="103">
        <v>561547</v>
      </c>
      <c r="J32" s="103">
        <v>94285</v>
      </c>
      <c r="K32" s="103">
        <v>8114</v>
      </c>
      <c r="L32" s="103">
        <v>41628</v>
      </c>
      <c r="M32" s="103">
        <v>63056</v>
      </c>
      <c r="N32" s="103">
        <v>57515</v>
      </c>
      <c r="O32" s="103">
        <v>280934</v>
      </c>
      <c r="P32" s="103">
        <v>593749</v>
      </c>
      <c r="Q32" s="103">
        <v>5521</v>
      </c>
      <c r="R32" s="103">
        <v>27281</v>
      </c>
      <c r="S32" s="103">
        <v>25503</v>
      </c>
      <c r="T32" s="103">
        <v>385753</v>
      </c>
      <c r="U32" s="103">
        <v>557073</v>
      </c>
      <c r="V32" s="103">
        <v>61816</v>
      </c>
      <c r="W32" s="103">
        <v>8166</v>
      </c>
      <c r="X32" s="103">
        <v>23009</v>
      </c>
      <c r="Y32" s="103">
        <v>128328</v>
      </c>
      <c r="Z32" s="103">
        <v>1303</v>
      </c>
      <c r="AA32" s="103">
        <v>243996</v>
      </c>
      <c r="AB32" s="103">
        <v>11532</v>
      </c>
      <c r="AC32" s="103">
        <v>2848</v>
      </c>
      <c r="AD32" s="103">
        <v>26248</v>
      </c>
      <c r="AE32" s="103">
        <v>127611</v>
      </c>
      <c r="AF32" s="103">
        <v>323843</v>
      </c>
      <c r="AG32" s="103">
        <v>1571179</v>
      </c>
      <c r="AH32" s="103">
        <v>14341</v>
      </c>
      <c r="AI32" s="103">
        <v>510896</v>
      </c>
      <c r="AJ32" s="103">
        <v>947803</v>
      </c>
      <c r="AK32" s="103">
        <v>15275</v>
      </c>
      <c r="AL32" s="117">
        <v>53385</v>
      </c>
      <c r="AM32" s="103">
        <v>51149</v>
      </c>
      <c r="AN32" s="107">
        <v>884935</v>
      </c>
      <c r="AO32" s="107">
        <v>5710</v>
      </c>
      <c r="AP32" s="107">
        <v>0</v>
      </c>
      <c r="AQ32" s="103">
        <v>159133</v>
      </c>
      <c r="AR32" s="103">
        <v>316677</v>
      </c>
      <c r="AS32" s="103">
        <v>89299</v>
      </c>
      <c r="AT32" s="103">
        <v>900</v>
      </c>
      <c r="AU32" s="103">
        <v>170257</v>
      </c>
      <c r="AV32" s="103">
        <v>63386</v>
      </c>
      <c r="AW32" s="103">
        <v>53190</v>
      </c>
      <c r="AX32" s="103">
        <v>268335</v>
      </c>
      <c r="AY32" s="103">
        <v>726229</v>
      </c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</row>
    <row r="33" spans="1:83" x14ac:dyDescent="0.25">
      <c r="A33">
        <v>26</v>
      </c>
      <c r="B33" s="103">
        <v>83587</v>
      </c>
      <c r="C33" s="103">
        <v>118854</v>
      </c>
      <c r="D33" s="103">
        <v>20451</v>
      </c>
      <c r="E33" s="103">
        <v>22553</v>
      </c>
      <c r="F33" s="103">
        <v>283891</v>
      </c>
      <c r="G33" s="103">
        <v>5122</v>
      </c>
      <c r="H33" s="103">
        <v>10990</v>
      </c>
      <c r="I33" s="103">
        <v>561914</v>
      </c>
      <c r="J33" s="103">
        <v>94337</v>
      </c>
      <c r="K33" s="103">
        <v>8115</v>
      </c>
      <c r="L33" s="103">
        <v>41657</v>
      </c>
      <c r="M33" s="103">
        <v>63071</v>
      </c>
      <c r="N33" s="103">
        <v>57550</v>
      </c>
      <c r="O33" s="103">
        <v>281125</v>
      </c>
      <c r="P33" s="103">
        <v>594304</v>
      </c>
      <c r="Q33" s="103">
        <v>5532</v>
      </c>
      <c r="R33" s="103">
        <v>27296</v>
      </c>
      <c r="S33" s="103">
        <v>25503</v>
      </c>
      <c r="T33" s="103">
        <v>385990</v>
      </c>
      <c r="U33" s="103">
        <v>557460</v>
      </c>
      <c r="V33" s="103">
        <v>61861</v>
      </c>
      <c r="W33" s="103">
        <v>8166</v>
      </c>
      <c r="X33" s="103">
        <v>23032</v>
      </c>
      <c r="Y33" s="103">
        <v>128405</v>
      </c>
      <c r="Z33" s="103">
        <v>1303</v>
      </c>
      <c r="AA33" s="103">
        <v>244137</v>
      </c>
      <c r="AB33" s="103">
        <v>11534</v>
      </c>
      <c r="AC33" s="103">
        <v>2849</v>
      </c>
      <c r="AD33" s="123">
        <v>26275</v>
      </c>
      <c r="AE33" s="103">
        <v>127705</v>
      </c>
      <c r="AF33" s="103">
        <v>324053</v>
      </c>
      <c r="AG33" s="103">
        <v>1572553</v>
      </c>
      <c r="AH33" s="103">
        <v>14357</v>
      </c>
      <c r="AI33" s="103">
        <v>510914</v>
      </c>
      <c r="AJ33" s="103">
        <v>948505</v>
      </c>
      <c r="AK33" s="103">
        <v>15286</v>
      </c>
      <c r="AL33" s="117">
        <v>53499</v>
      </c>
      <c r="AM33" s="103">
        <v>51166</v>
      </c>
      <c r="AN33" s="107">
        <v>885778</v>
      </c>
      <c r="AO33" s="107">
        <v>5710</v>
      </c>
      <c r="AP33" s="107">
        <v>0</v>
      </c>
      <c r="AQ33" s="103">
        <v>159270</v>
      </c>
      <c r="AR33" s="103">
        <v>316918</v>
      </c>
      <c r="AS33" s="103">
        <v>89368</v>
      </c>
      <c r="AT33" s="103">
        <v>901</v>
      </c>
      <c r="AU33" s="103">
        <v>170405</v>
      </c>
      <c r="AV33" s="103">
        <v>63415</v>
      </c>
      <c r="AW33" s="103">
        <v>53220</v>
      </c>
      <c r="AX33" s="103">
        <v>268543</v>
      </c>
      <c r="AY33" s="103">
        <v>726751</v>
      </c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</row>
    <row r="34" spans="1:83" x14ac:dyDescent="0.25">
      <c r="A34">
        <v>27</v>
      </c>
      <c r="B34" s="103">
        <v>83679</v>
      </c>
      <c r="C34" s="103">
        <v>118947</v>
      </c>
      <c r="D34" s="103">
        <v>20461</v>
      </c>
      <c r="E34" s="103">
        <v>22592</v>
      </c>
      <c r="F34" s="103">
        <v>284066</v>
      </c>
      <c r="G34" s="103">
        <v>5128</v>
      </c>
      <c r="H34" s="103">
        <v>11005</v>
      </c>
      <c r="I34" s="103">
        <v>562290</v>
      </c>
      <c r="J34" s="103">
        <v>94415</v>
      </c>
      <c r="K34" s="103">
        <v>8116</v>
      </c>
      <c r="L34" s="103">
        <v>41687</v>
      </c>
      <c r="M34" s="103">
        <v>63080</v>
      </c>
      <c r="N34" s="103">
        <v>57588</v>
      </c>
      <c r="O34" s="103">
        <v>281330</v>
      </c>
      <c r="P34" s="103">
        <v>594844</v>
      </c>
      <c r="Q34" s="103">
        <v>5542</v>
      </c>
      <c r="R34" s="103">
        <v>27308</v>
      </c>
      <c r="S34" s="103">
        <v>25503</v>
      </c>
      <c r="T34" s="103">
        <v>386225</v>
      </c>
      <c r="U34" s="103">
        <v>557850</v>
      </c>
      <c r="V34" s="103">
        <v>61905</v>
      </c>
      <c r="W34" s="103">
        <v>8166</v>
      </c>
      <c r="X34" s="103">
        <v>23052</v>
      </c>
      <c r="Y34" s="103">
        <v>128499</v>
      </c>
      <c r="Z34" s="103">
        <v>1303</v>
      </c>
      <c r="AA34" s="103">
        <v>244291</v>
      </c>
      <c r="AB34" s="103">
        <v>11536</v>
      </c>
      <c r="AC34" s="103">
        <v>2851</v>
      </c>
      <c r="AD34" s="109">
        <v>26295</v>
      </c>
      <c r="AE34" s="103">
        <v>127803</v>
      </c>
      <c r="AF34" s="103">
        <v>324284</v>
      </c>
      <c r="AG34" s="103">
        <v>1573690</v>
      </c>
      <c r="AH34" s="103">
        <v>14369</v>
      </c>
      <c r="AI34" s="103">
        <v>510933</v>
      </c>
      <c r="AJ34" s="103">
        <v>949194</v>
      </c>
      <c r="AK34" s="103">
        <v>15299</v>
      </c>
      <c r="AL34" s="103">
        <v>53609</v>
      </c>
      <c r="AM34" s="117">
        <v>51180</v>
      </c>
      <c r="AN34" s="103">
        <v>886600</v>
      </c>
      <c r="AO34" s="107">
        <v>5710</v>
      </c>
      <c r="AP34" s="107">
        <v>0</v>
      </c>
      <c r="AQ34" s="103">
        <v>159403</v>
      </c>
      <c r="AR34" s="103">
        <v>317152</v>
      </c>
      <c r="AS34" s="103">
        <v>89445</v>
      </c>
      <c r="AT34" s="103">
        <v>901</v>
      </c>
      <c r="AU34" s="103">
        <v>170518</v>
      </c>
      <c r="AV34" s="103">
        <v>63444</v>
      </c>
      <c r="AW34" s="103">
        <v>53250</v>
      </c>
      <c r="AX34" s="103">
        <v>268706</v>
      </c>
      <c r="AY34" s="103">
        <v>727292</v>
      </c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</row>
    <row r="35" spans="1:83" x14ac:dyDescent="0.25">
      <c r="A35">
        <v>28</v>
      </c>
      <c r="B35" s="103">
        <v>83771</v>
      </c>
      <c r="C35" s="103">
        <v>119029</v>
      </c>
      <c r="D35" s="103">
        <v>20470</v>
      </c>
      <c r="E35" s="103">
        <v>22622</v>
      </c>
      <c r="F35" s="103">
        <v>284239</v>
      </c>
      <c r="G35" s="103">
        <v>5132</v>
      </c>
      <c r="H35" s="103">
        <v>11025</v>
      </c>
      <c r="I35" s="103">
        <v>562661</v>
      </c>
      <c r="J35" s="103">
        <v>94484</v>
      </c>
      <c r="K35" s="103">
        <v>8117</v>
      </c>
      <c r="L35" s="103">
        <v>41715</v>
      </c>
      <c r="M35" s="103">
        <v>63088</v>
      </c>
      <c r="N35" s="103">
        <v>57626</v>
      </c>
      <c r="O35" s="103">
        <v>281531</v>
      </c>
      <c r="P35" s="103">
        <v>595448</v>
      </c>
      <c r="Q35" s="103">
        <v>5551</v>
      </c>
      <c r="R35" s="103">
        <v>27319</v>
      </c>
      <c r="S35" s="103">
        <v>25503</v>
      </c>
      <c r="T35" s="103">
        <v>386449</v>
      </c>
      <c r="U35" s="103">
        <v>558235</v>
      </c>
      <c r="V35" s="103">
        <v>61947</v>
      </c>
      <c r="W35" s="103">
        <v>8166</v>
      </c>
      <c r="X35" s="103">
        <v>23069</v>
      </c>
      <c r="Y35" s="103">
        <v>128592</v>
      </c>
      <c r="Z35" s="103">
        <v>1303</v>
      </c>
      <c r="AA35" s="103">
        <v>244436</v>
      </c>
      <c r="AB35" s="103">
        <v>11542</v>
      </c>
      <c r="AC35" s="103">
        <v>2852</v>
      </c>
      <c r="AD35" s="103">
        <v>26311</v>
      </c>
      <c r="AE35" s="103">
        <v>127894</v>
      </c>
      <c r="AF35" s="103">
        <v>324552</v>
      </c>
      <c r="AG35" s="103">
        <v>1574504</v>
      </c>
      <c r="AH35" s="103">
        <v>14373</v>
      </c>
      <c r="AI35" s="103">
        <v>510951</v>
      </c>
      <c r="AJ35" s="103">
        <v>949867</v>
      </c>
      <c r="AK35" s="103">
        <v>15315</v>
      </c>
      <c r="AL35" s="117">
        <v>53689</v>
      </c>
      <c r="AM35" s="103">
        <v>51200</v>
      </c>
      <c r="AN35" s="107">
        <v>887438</v>
      </c>
      <c r="AO35" s="107">
        <v>5710</v>
      </c>
      <c r="AP35" s="107">
        <v>0</v>
      </c>
      <c r="AQ35" s="103">
        <v>159523</v>
      </c>
      <c r="AR35" s="103">
        <v>317379</v>
      </c>
      <c r="AS35" s="103">
        <v>89516</v>
      </c>
      <c r="AT35" s="103">
        <v>902</v>
      </c>
      <c r="AU35" s="103">
        <v>170653</v>
      </c>
      <c r="AV35" s="103">
        <v>63475</v>
      </c>
      <c r="AW35" s="103">
        <v>53276</v>
      </c>
      <c r="AX35" s="103">
        <v>268881</v>
      </c>
      <c r="AY35" s="103">
        <v>727805</v>
      </c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</row>
    <row r="36" spans="1:83" x14ac:dyDescent="0.25">
      <c r="A36">
        <v>29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17"/>
      <c r="AM36" s="103"/>
      <c r="AN36" s="107"/>
      <c r="AO36" s="107"/>
      <c r="AP36" s="107"/>
      <c r="AQ36" s="103"/>
      <c r="AR36" s="103"/>
      <c r="AS36" s="103"/>
      <c r="AT36" s="103"/>
      <c r="AU36" s="103"/>
      <c r="AV36" s="103"/>
      <c r="AW36" s="103"/>
      <c r="AX36" s="103"/>
      <c r="AY36" s="103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</row>
    <row r="37" spans="1:83" ht="15.75" thickBot="1" x14ac:dyDescent="0.3">
      <c r="A37">
        <v>30</v>
      </c>
      <c r="B37" s="118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17"/>
      <c r="AM37" s="103"/>
      <c r="AN37" s="107"/>
      <c r="AO37" s="107"/>
      <c r="AP37" s="107"/>
      <c r="AQ37" s="103"/>
      <c r="AR37" s="103"/>
      <c r="AS37" s="103"/>
      <c r="AT37" s="103"/>
      <c r="AU37" s="103"/>
      <c r="AV37" s="103"/>
      <c r="AW37" s="103"/>
      <c r="AX37" s="103"/>
      <c r="AY37" s="119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</row>
    <row r="38" spans="1:83" ht="15.75" thickBot="1" x14ac:dyDescent="0.3">
      <c r="A38">
        <v>31</v>
      </c>
      <c r="B38" s="102"/>
      <c r="C38" s="103"/>
      <c r="D38" s="104"/>
      <c r="E38" s="104"/>
      <c r="F38" s="104"/>
      <c r="G38" s="104"/>
      <c r="H38" s="103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3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5"/>
      <c r="AM38" s="104"/>
      <c r="AN38" s="106"/>
      <c r="AO38" s="106"/>
      <c r="AP38" s="107"/>
      <c r="AQ38" s="104"/>
      <c r="AR38" s="104"/>
      <c r="AS38" s="104"/>
      <c r="AT38" s="104"/>
      <c r="AU38" s="104"/>
      <c r="AV38" s="104"/>
      <c r="AW38" s="104"/>
      <c r="AX38" s="104"/>
      <c r="AY38" s="108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</row>
    <row r="39" spans="1:83" x14ac:dyDescent="0.25">
      <c r="D39" s="121"/>
      <c r="E39" s="23"/>
    </row>
    <row r="40" spans="1:83" x14ac:dyDescent="0.25">
      <c r="D40" s="121"/>
      <c r="E40" s="23"/>
    </row>
    <row r="41" spans="1:83" x14ac:dyDescent="0.25">
      <c r="D41" s="121"/>
      <c r="E41" s="23"/>
    </row>
    <row r="42" spans="1:83" x14ac:dyDescent="0.25">
      <c r="D42" s="121"/>
      <c r="E42" s="23"/>
    </row>
    <row r="43" spans="1:83" x14ac:dyDescent="0.25">
      <c r="D43" s="121"/>
      <c r="E43" s="23"/>
    </row>
    <row r="44" spans="1:83" x14ac:dyDescent="0.25">
      <c r="D44" s="121"/>
      <c r="E44" s="23"/>
    </row>
    <row r="45" spans="1:83" x14ac:dyDescent="0.25">
      <c r="D45" s="121"/>
      <c r="E45" s="23"/>
    </row>
    <row r="46" spans="1:83" x14ac:dyDescent="0.25">
      <c r="D46" s="121"/>
      <c r="E46" s="23"/>
    </row>
    <row r="47" spans="1:83" x14ac:dyDescent="0.25">
      <c r="D47" s="121"/>
      <c r="E47" s="23"/>
    </row>
    <row r="48" spans="1:83" x14ac:dyDescent="0.25">
      <c r="D48" s="121"/>
      <c r="E48" s="23"/>
    </row>
    <row r="49" spans="4:5" x14ac:dyDescent="0.25">
      <c r="D49" s="121"/>
      <c r="E49" s="23"/>
    </row>
    <row r="50" spans="4:5" x14ac:dyDescent="0.25">
      <c r="D50" s="121"/>
      <c r="E50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2022-02-18T07:43:56Z</dcterms:modified>
</cp:coreProperties>
</file>