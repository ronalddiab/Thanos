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0" i="6" l="1"/>
  <c r="E20" i="6"/>
  <c r="C20" i="6"/>
  <c r="G19" i="6"/>
  <c r="E19" i="6"/>
  <c r="C19" i="6"/>
  <c r="M15" i="4"/>
  <c r="K15" i="4"/>
  <c r="J15" i="4"/>
  <c r="M14" i="4"/>
  <c r="J14" i="4"/>
  <c r="K14" i="4" s="1"/>
  <c r="G18" i="6" l="1"/>
  <c r="E18" i="6"/>
  <c r="C18" i="6"/>
  <c r="G13" i="4"/>
  <c r="E13" i="4"/>
  <c r="C13" i="4"/>
  <c r="G17" i="6" l="1"/>
  <c r="E17" i="6"/>
  <c r="C17" i="6"/>
  <c r="G12" i="4"/>
  <c r="E12" i="4"/>
  <c r="C12" i="4"/>
  <c r="G16" i="6" l="1"/>
  <c r="E16" i="6"/>
  <c r="C16" i="6"/>
  <c r="G11" i="4"/>
  <c r="E11" i="4"/>
  <c r="C11" i="4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E15" i="6"/>
  <c r="C15" i="6"/>
  <c r="G10" i="4"/>
  <c r="E10" i="4"/>
  <c r="C10" i="4"/>
  <c r="J41" i="1" l="1"/>
  <c r="D41" i="1"/>
  <c r="K41" i="1"/>
  <c r="M31" i="10"/>
  <c r="M32" i="10"/>
  <c r="K31" i="10"/>
  <c r="K32" i="10"/>
  <c r="I31" i="10"/>
  <c r="I32" i="10"/>
  <c r="G31" i="10"/>
  <c r="G32" i="10"/>
  <c r="Z43" i="4"/>
  <c r="W43" i="4"/>
  <c r="T43" i="4"/>
  <c r="Q43" i="4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E9" i="4"/>
  <c r="C9" i="4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L13" i="1" s="1"/>
  <c r="I16" i="6"/>
  <c r="L12" i="1" s="1"/>
  <c r="I15" i="6"/>
  <c r="L11" i="1" s="1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L16" i="1" s="1"/>
  <c r="I19" i="6"/>
  <c r="L15" i="1" s="1"/>
  <c r="I18" i="6"/>
  <c r="L14" i="1" s="1"/>
  <c r="L41" i="1" s="1"/>
  <c r="I48" i="6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14" i="4" l="1"/>
  <c r="G14" i="4"/>
  <c r="E14" i="4"/>
  <c r="L14" i="4"/>
  <c r="N14" i="4" s="1"/>
  <c r="O14" i="4" s="1"/>
  <c r="C14" i="4"/>
  <c r="C43" i="4" s="1"/>
  <c r="AC43" i="4"/>
  <c r="K48" i="4" s="1"/>
  <c r="L48" i="4" s="1"/>
  <c r="M48" i="4" s="1"/>
  <c r="I15" i="4"/>
  <c r="G15" i="4"/>
  <c r="L15" i="4"/>
  <c r="N15" i="4" s="1"/>
  <c r="O15" i="4" s="1"/>
  <c r="C15" i="4"/>
  <c r="E15" i="4"/>
  <c r="Y41" i="1"/>
  <c r="G34" i="4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G18" i="4"/>
  <c r="C18" i="4"/>
  <c r="E18" i="4"/>
  <c r="G16" i="4"/>
  <c r="C16" i="4"/>
  <c r="E16" i="4"/>
  <c r="I10" i="4"/>
  <c r="I13" i="4"/>
  <c r="G36" i="4"/>
  <c r="C36" i="4"/>
  <c r="E36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C17" i="4"/>
  <c r="E17" i="4"/>
  <c r="G17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P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F41" i="1" s="1"/>
  <c r="M11" i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4" i="4" l="1"/>
  <c r="U15" i="1"/>
  <c r="W15" i="1" s="1"/>
  <c r="P15" i="4"/>
  <c r="U16" i="1"/>
  <c r="W16" i="1" s="1"/>
  <c r="E43" i="4"/>
  <c r="G43" i="4"/>
  <c r="M41" i="1"/>
  <c r="P13" i="4"/>
  <c r="U14" i="1"/>
  <c r="W14" i="1" s="1"/>
  <c r="P10" i="4"/>
  <c r="U11" i="1"/>
  <c r="P11" i="4"/>
  <c r="U12" i="1"/>
  <c r="W12" i="1" s="1"/>
  <c r="Z41" i="1"/>
  <c r="O9" i="4"/>
  <c r="N43" i="4"/>
  <c r="I43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P12" i="4"/>
  <c r="U13" i="1"/>
  <c r="W13" i="1" s="1"/>
  <c r="P9" i="4"/>
  <c r="O43" i="4"/>
  <c r="P43" i="4" s="1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O24" i="10"/>
  <c r="U41" i="1" l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<sst xmlns="http://schemas.openxmlformats.org/spreadsheetml/2006/main" count="125" uniqueCount="82">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</sst>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7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490</c:v>
                </c:pt>
                <c:pt idx="1">
                  <c:v>510</c:v>
                </c:pt>
                <c:pt idx="2">
                  <c:v>540</c:v>
                </c:pt>
                <c:pt idx="3">
                  <c:v>480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41824"/>
        <c:axId val="192543360"/>
      </c:lineChart>
      <c:dateAx>
        <c:axId val="19254182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43360"/>
        <c:crosses val="autoZero"/>
        <c:auto val="1"/>
        <c:lblOffset val="100"/>
        <c:baseTimeUnit val="days"/>
      </c:dateAx>
      <c:valAx>
        <c:axId val="19254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41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5689</c:v>
                </c:pt>
                <c:pt idx="1">
                  <c:v>5296</c:v>
                </c:pt>
                <c:pt idx="2">
                  <c:v>4884</c:v>
                </c:pt>
                <c:pt idx="3">
                  <c:v>4950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9177</c:v>
                </c:pt>
                <c:pt idx="1">
                  <c:v>7819</c:v>
                </c:pt>
                <c:pt idx="2">
                  <c:v>8411</c:v>
                </c:pt>
                <c:pt idx="3">
                  <c:v>7456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3592</c:v>
                </c:pt>
                <c:pt idx="1">
                  <c:v>4553</c:v>
                </c:pt>
                <c:pt idx="2">
                  <c:v>4064</c:v>
                </c:pt>
                <c:pt idx="3">
                  <c:v>3966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07936"/>
        <c:axId val="191609472"/>
      </c:lineChart>
      <c:dateAx>
        <c:axId val="1916079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09472"/>
        <c:crosses val="autoZero"/>
        <c:auto val="1"/>
        <c:lblOffset val="100"/>
        <c:baseTimeUnit val="days"/>
      </c:dateAx>
      <c:valAx>
        <c:axId val="1916094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0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593.6</c:v>
                </c:pt>
                <c:pt idx="2">
                  <c:v>371</c:v>
                </c:pt>
                <c:pt idx="3">
                  <c:v>927.5</c:v>
                </c:pt>
                <c:pt idx="4">
                  <c:v>296.8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18048"/>
        <c:axId val="191636224"/>
      </c:lineChart>
      <c:dateAx>
        <c:axId val="1916180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36224"/>
        <c:crosses val="autoZero"/>
        <c:auto val="1"/>
        <c:lblOffset val="100"/>
        <c:baseTimeUnit val="days"/>
      </c:dateAx>
      <c:valAx>
        <c:axId val="191636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7" sqref="N17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18458</v>
      </c>
      <c r="F4" s="107">
        <v>1.002</v>
      </c>
      <c r="G4" s="107">
        <f>'Consommation du 01.03 au 31.03'!U12</f>
        <v>593.6</v>
      </c>
      <c r="H4" s="107">
        <v>8.39</v>
      </c>
      <c r="I4" s="107">
        <f>'Consommation du 01.03 au 31.03'!Y12*1000</f>
        <v>14930.000000000291</v>
      </c>
      <c r="J4" s="107">
        <v>0.53</v>
      </c>
      <c r="K4" s="107">
        <f>'Consommation du 01.03 au 31.03'!D12</f>
        <v>490</v>
      </c>
      <c r="L4" s="107">
        <v>12.67</v>
      </c>
      <c r="M4" s="121">
        <f>'Consommation du 01.03 au 31.03'!AC12</f>
        <v>87</v>
      </c>
      <c r="N4" s="121">
        <v>177</v>
      </c>
      <c r="O4" s="107">
        <f t="shared" si="0"/>
        <v>37596.420000000158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17668</v>
      </c>
      <c r="F5" s="107">
        <v>1.002</v>
      </c>
      <c r="G5" s="107">
        <f>'Consommation du 01.03 au 31.03'!U13</f>
        <v>371</v>
      </c>
      <c r="H5" s="107">
        <v>8.39</v>
      </c>
      <c r="I5" s="107">
        <f>'Consommation du 01.03 au 31.03'!Y13*1000</f>
        <v>13609.999999996944</v>
      </c>
      <c r="J5" s="107">
        <v>0.53</v>
      </c>
      <c r="K5" s="107">
        <f>'Consommation du 01.03 au 31.03'!D13</f>
        <v>510</v>
      </c>
      <c r="L5" s="107">
        <v>12.67</v>
      </c>
      <c r="M5" s="121">
        <f>'Consommation du 01.03 au 31.03'!AC13</f>
        <v>100</v>
      </c>
      <c r="N5" s="121">
        <v>199</v>
      </c>
      <c r="O5" s="107">
        <f t="shared" si="0"/>
        <v>34491.025999998375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17359</v>
      </c>
      <c r="F6" s="107">
        <v>1.002</v>
      </c>
      <c r="G6" s="107">
        <f>'Consommation du 01.03 au 31.03'!U14</f>
        <v>927.5</v>
      </c>
      <c r="H6" s="107">
        <v>8.39</v>
      </c>
      <c r="I6" s="107">
        <f>'Consommation du 01.03 au 31.03'!Y14*1000</f>
        <v>13490.000000001601</v>
      </c>
      <c r="J6" s="107">
        <v>0.53</v>
      </c>
      <c r="K6" s="107">
        <f>'Consommation du 01.03 au 31.03'!D14</f>
        <v>540</v>
      </c>
      <c r="L6" s="107">
        <v>12.67</v>
      </c>
      <c r="M6" s="121">
        <f>'Consommation du 01.03 au 31.03'!AC14</f>
        <v>108</v>
      </c>
      <c r="N6" s="121">
        <v>204</v>
      </c>
      <c r="O6" s="107">
        <f t="shared" si="0"/>
        <v>39166.943000000851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16372</v>
      </c>
      <c r="F7" s="107">
        <v>1.002</v>
      </c>
      <c r="G7" s="107">
        <f>'Consommation du 01.03 au 31.03'!U15</f>
        <v>296.8</v>
      </c>
      <c r="H7" s="107">
        <v>8.39</v>
      </c>
      <c r="I7" s="107">
        <f>'Consommation du 01.03 au 31.03'!Y15*1000</f>
        <v>16670.000000001892</v>
      </c>
      <c r="J7" s="107">
        <v>0.53</v>
      </c>
      <c r="K7" s="107">
        <f>'Consommation du 01.03 au 31.03'!D15</f>
        <v>480</v>
      </c>
      <c r="L7" s="107">
        <v>12.67</v>
      </c>
      <c r="M7" s="121">
        <f>'Consommation du 01.03 au 31.03'!AC15</f>
        <v>131</v>
      </c>
      <c r="N7" s="121">
        <v>241</v>
      </c>
      <c r="O7" s="107">
        <f t="shared" si="0"/>
        <v>33811.596000001002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0</v>
      </c>
      <c r="F8" s="107">
        <v>1.002</v>
      </c>
      <c r="G8" s="107">
        <f>'Consommation du 01.03 au 31.03'!U16</f>
        <v>0</v>
      </c>
      <c r="H8" s="107">
        <v>8.39</v>
      </c>
      <c r="I8" s="107">
        <f>'Consommation du 01.03 au 31.03'!Y16*1000</f>
        <v>0</v>
      </c>
      <c r="J8" s="107">
        <v>0.53</v>
      </c>
      <c r="K8" s="107">
        <f>'Consommation du 01.03 au 31.03'!D16</f>
        <v>0</v>
      </c>
      <c r="L8" s="107">
        <v>12.67</v>
      </c>
      <c r="M8" s="121">
        <f>'Consommation du 01.03 au 31.03'!AC16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0</v>
      </c>
      <c r="F9" s="107">
        <v>1.002</v>
      </c>
      <c r="G9" s="107">
        <f>'Consommation du 01.03 au 31.03'!U17</f>
        <v>0</v>
      </c>
      <c r="H9" s="107">
        <v>8.39</v>
      </c>
      <c r="I9" s="107">
        <f>'Consommation du 01.03 au 31.03'!Y17*1000</f>
        <v>0</v>
      </c>
      <c r="J9" s="107">
        <v>0.53</v>
      </c>
      <c r="K9" s="107">
        <f>'Consommation du 01.03 au 31.03'!D17</f>
        <v>0</v>
      </c>
      <c r="L9" s="107">
        <v>12.67</v>
      </c>
      <c r="M9" s="121">
        <f>'Consommation du 01.03 au 31.03'!AC17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0</v>
      </c>
      <c r="F10" s="107">
        <v>1.002</v>
      </c>
      <c r="G10" s="107">
        <f>'Consommation du 01.03 au 31.03'!U18</f>
        <v>0</v>
      </c>
      <c r="H10" s="107">
        <v>8.39</v>
      </c>
      <c r="I10" s="107">
        <f>'Consommation du 01.03 au 31.03'!Y18*1000</f>
        <v>0</v>
      </c>
      <c r="J10" s="107">
        <v>0.53</v>
      </c>
      <c r="K10" s="107">
        <f>'Consommation du 01.03 au 31.03'!D18</f>
        <v>0</v>
      </c>
      <c r="L10" s="107">
        <v>12.67</v>
      </c>
      <c r="M10" s="121">
        <f>'Consommation du 01.03 au 31.03'!AC18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8" sqref="X18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7"/>
      <c r="B2" s="228"/>
      <c r="C2" s="228"/>
      <c r="D2" s="228"/>
      <c r="E2" s="228"/>
      <c r="F2" s="229"/>
      <c r="G2" s="216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  <c r="AD2" s="192"/>
      <c r="AE2" s="192"/>
      <c r="AF2" s="192"/>
      <c r="AJ2" s="63"/>
    </row>
    <row r="3" spans="1:37" ht="1.5" customHeight="1" x14ac:dyDescent="0.2"/>
    <row r="4" spans="1:37" ht="39" hidden="1" customHeight="1" x14ac:dyDescent="0.2">
      <c r="A4" s="230"/>
      <c r="B4" s="230"/>
      <c r="C4" s="23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0"/>
      <c r="B5" s="230"/>
      <c r="C5" s="230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2" t="s">
        <v>1</v>
      </c>
      <c r="C8" s="4"/>
      <c r="D8" s="233" t="s">
        <v>4</v>
      </c>
      <c r="E8" s="5"/>
      <c r="F8" s="219" t="s">
        <v>12</v>
      </c>
      <c r="G8" s="220"/>
      <c r="H8" s="221"/>
      <c r="I8" s="5"/>
      <c r="J8" s="174" t="s">
        <v>3</v>
      </c>
      <c r="K8" s="175"/>
      <c r="L8" s="176"/>
      <c r="M8" s="174" t="s">
        <v>2</v>
      </c>
      <c r="N8" s="5"/>
      <c r="O8" s="225" t="s">
        <v>12</v>
      </c>
      <c r="P8" s="5"/>
      <c r="Q8" s="225" t="s">
        <v>5</v>
      </c>
      <c r="R8" s="5"/>
      <c r="S8" s="225" t="s">
        <v>6</v>
      </c>
      <c r="T8" s="5"/>
      <c r="U8" s="172" t="s">
        <v>39</v>
      </c>
      <c r="V8" s="5"/>
      <c r="W8" s="225" t="s">
        <v>12</v>
      </c>
      <c r="X8" s="70"/>
      <c r="Y8" s="70"/>
      <c r="Z8" s="70"/>
      <c r="AA8" s="237"/>
      <c r="AB8" s="235" t="s">
        <v>80</v>
      </c>
      <c r="AC8" s="225" t="s">
        <v>75</v>
      </c>
      <c r="AD8" s="242" t="s">
        <v>54</v>
      </c>
      <c r="AE8" s="240" t="s">
        <v>59</v>
      </c>
      <c r="AF8" s="240" t="s">
        <v>60</v>
      </c>
      <c r="AG8" s="238" t="s">
        <v>61</v>
      </c>
      <c r="AH8" s="238" t="s">
        <v>62</v>
      </c>
      <c r="AI8" s="74"/>
      <c r="AJ8" s="74"/>
      <c r="AK8" s="74"/>
    </row>
    <row r="9" spans="1:37" ht="116.25" customHeight="1" thickBot="1" x14ac:dyDescent="0.25">
      <c r="A9" s="170"/>
      <c r="B9" s="232"/>
      <c r="C9" s="4"/>
      <c r="D9" s="234"/>
      <c r="E9" s="5"/>
      <c r="F9" s="222"/>
      <c r="G9" s="223"/>
      <c r="H9" s="224"/>
      <c r="I9" s="5"/>
      <c r="J9" s="156" t="s">
        <v>7</v>
      </c>
      <c r="K9" s="155" t="s">
        <v>8</v>
      </c>
      <c r="L9" s="155" t="s">
        <v>9</v>
      </c>
      <c r="M9" s="174"/>
      <c r="N9" s="5"/>
      <c r="O9" s="226"/>
      <c r="P9" s="5"/>
      <c r="Q9" s="226"/>
      <c r="R9" s="5"/>
      <c r="S9" s="226"/>
      <c r="T9" s="5"/>
      <c r="U9" s="173"/>
      <c r="V9" s="5"/>
      <c r="W9" s="226"/>
      <c r="X9" s="130" t="s">
        <v>81</v>
      </c>
      <c r="Y9" s="100" t="s">
        <v>55</v>
      </c>
      <c r="Z9" s="101" t="s">
        <v>56</v>
      </c>
      <c r="AA9" s="237"/>
      <c r="AB9" s="236"/>
      <c r="AC9" s="231"/>
      <c r="AD9" s="243"/>
      <c r="AE9" s="241"/>
      <c r="AF9" s="241"/>
      <c r="AG9" s="239"/>
      <c r="AH9" s="239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164">
        <f>D10*12.67</f>
        <v>6335</v>
      </c>
      <c r="G10" s="164"/>
      <c r="H10" s="165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158">
        <v>103</v>
      </c>
      <c r="AD10" s="159">
        <v>0.7863</v>
      </c>
      <c r="AE10" s="160">
        <v>27.5</v>
      </c>
      <c r="AF10" s="161">
        <v>29</v>
      </c>
      <c r="AG10" s="162">
        <v>27</v>
      </c>
      <c r="AH10" s="163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164">
        <f t="shared" ref="F11:F40" si="0">D11*12.67</f>
        <v>6588.4</v>
      </c>
      <c r="G11" s="164"/>
      <c r="H11" s="165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490</v>
      </c>
      <c r="E12" s="88"/>
      <c r="F12" s="164">
        <f t="shared" si="0"/>
        <v>6208.3</v>
      </c>
      <c r="G12" s="164"/>
      <c r="H12" s="165"/>
      <c r="I12" s="91"/>
      <c r="J12" s="116">
        <f>'Suivi EAU-ELEC'!E16</f>
        <v>5689</v>
      </c>
      <c r="K12" s="117">
        <f>'Suivi EAU-ELEC'!G16</f>
        <v>9177</v>
      </c>
      <c r="L12" s="117">
        <f>'Suivi EAU-ELEC'!I16</f>
        <v>3592</v>
      </c>
      <c r="M12" s="118">
        <f t="shared" si="1"/>
        <v>18458</v>
      </c>
      <c r="N12" s="91"/>
      <c r="O12" s="94">
        <f t="shared" si="2"/>
        <v>18494.916000000001</v>
      </c>
      <c r="P12" s="90"/>
      <c r="Q12" s="89"/>
      <c r="R12" s="88"/>
      <c r="S12" s="89"/>
      <c r="T12" s="96"/>
      <c r="U12" s="95">
        <f>'Suvi Gaz'!O11</f>
        <v>593.6</v>
      </c>
      <c r="V12" s="92"/>
      <c r="W12" s="94">
        <f t="shared" si="3"/>
        <v>4980.3040000000001</v>
      </c>
      <c r="X12" s="135">
        <v>16829.38</v>
      </c>
      <c r="Y12" s="98">
        <f t="shared" si="4"/>
        <v>14.930000000000291</v>
      </c>
      <c r="Z12" s="99">
        <f t="shared" si="5"/>
        <v>7912.9000000001552</v>
      </c>
      <c r="AA12" s="91"/>
      <c r="AB12" s="114">
        <v>24</v>
      </c>
      <c r="AC12" s="127">
        <v>87</v>
      </c>
      <c r="AD12" s="124">
        <v>0.64439999999999997</v>
      </c>
      <c r="AE12" s="134">
        <v>27.5</v>
      </c>
      <c r="AF12" s="134">
        <v>28</v>
      </c>
      <c r="AG12" s="132">
        <v>27.5</v>
      </c>
      <c r="AH12" s="133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510</v>
      </c>
      <c r="E13" s="88"/>
      <c r="F13" s="164">
        <f t="shared" si="0"/>
        <v>6461.7</v>
      </c>
      <c r="G13" s="164"/>
      <c r="H13" s="165"/>
      <c r="I13" s="91"/>
      <c r="J13" s="116">
        <f>'Suivi EAU-ELEC'!E17</f>
        <v>5296</v>
      </c>
      <c r="K13" s="117">
        <f>'Suivi EAU-ELEC'!G17</f>
        <v>7819</v>
      </c>
      <c r="L13" s="117">
        <f>'Suivi EAU-ELEC'!I17</f>
        <v>4553</v>
      </c>
      <c r="M13" s="118">
        <f t="shared" si="1"/>
        <v>17668</v>
      </c>
      <c r="N13" s="91"/>
      <c r="O13" s="94">
        <f t="shared" si="2"/>
        <v>17703.335999999999</v>
      </c>
      <c r="P13" s="90"/>
      <c r="Q13" s="89"/>
      <c r="R13" s="88"/>
      <c r="S13" s="89"/>
      <c r="T13" s="96"/>
      <c r="U13" s="95">
        <f>'Suvi Gaz'!O12</f>
        <v>371</v>
      </c>
      <c r="V13" s="92"/>
      <c r="W13" s="94">
        <f t="shared" si="3"/>
        <v>3112.69</v>
      </c>
      <c r="X13" s="135">
        <v>16844.310000000001</v>
      </c>
      <c r="Y13" s="98">
        <f>IF(X14&lt;X13,0,X14-X13)</f>
        <v>13.609999999996944</v>
      </c>
      <c r="Z13" s="99">
        <f t="shared" si="5"/>
        <v>7213.2999999983813</v>
      </c>
      <c r="AA13" s="91"/>
      <c r="AB13" s="114">
        <v>27</v>
      </c>
      <c r="AC13" s="127">
        <v>100</v>
      </c>
      <c r="AD13" s="124">
        <v>0.72989999999999999</v>
      </c>
      <c r="AE13" s="134">
        <v>27.5</v>
      </c>
      <c r="AF13" s="134">
        <v>28</v>
      </c>
      <c r="AG13" s="132">
        <v>27.5</v>
      </c>
      <c r="AH13" s="133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540</v>
      </c>
      <c r="E14" s="111"/>
      <c r="F14" s="164">
        <f t="shared" si="0"/>
        <v>6841.8</v>
      </c>
      <c r="G14" s="164"/>
      <c r="H14" s="165"/>
      <c r="I14" s="92"/>
      <c r="J14" s="116">
        <f>'Suivi EAU-ELEC'!E18</f>
        <v>4884</v>
      </c>
      <c r="K14" s="117">
        <f>'Suivi EAU-ELEC'!G18</f>
        <v>8411</v>
      </c>
      <c r="L14" s="117">
        <f>'Suivi EAU-ELEC'!I18</f>
        <v>4064</v>
      </c>
      <c r="M14" s="118">
        <f t="shared" si="1"/>
        <v>17359</v>
      </c>
      <c r="N14" s="91"/>
      <c r="O14" s="94">
        <f t="shared" si="2"/>
        <v>17393.718000000001</v>
      </c>
      <c r="P14" s="90"/>
      <c r="Q14" s="89"/>
      <c r="R14" s="88"/>
      <c r="S14" s="89"/>
      <c r="T14" s="96"/>
      <c r="U14" s="95">
        <f>'Suvi Gaz'!O13</f>
        <v>927.5</v>
      </c>
      <c r="V14" s="92"/>
      <c r="W14" s="94">
        <f t="shared" si="3"/>
        <v>7781.7250000000004</v>
      </c>
      <c r="X14" s="135">
        <v>16857.919999999998</v>
      </c>
      <c r="Y14" s="98">
        <f>IF(X15&lt;X14,0,X15-X14)</f>
        <v>13.490000000001601</v>
      </c>
      <c r="Z14" s="99">
        <f t="shared" si="5"/>
        <v>7149.7000000008484</v>
      </c>
      <c r="AA14" s="91"/>
      <c r="AB14" s="114">
        <v>24</v>
      </c>
      <c r="AC14" s="127">
        <v>108</v>
      </c>
      <c r="AD14" s="124">
        <v>0.82440000000000002</v>
      </c>
      <c r="AE14" s="134">
        <v>28</v>
      </c>
      <c r="AF14" s="134">
        <v>28.5</v>
      </c>
      <c r="AG14" s="132">
        <v>28</v>
      </c>
      <c r="AH14" s="133">
        <v>28.5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480</v>
      </c>
      <c r="E15" s="88"/>
      <c r="F15" s="164">
        <f t="shared" si="0"/>
        <v>6081.6</v>
      </c>
      <c r="G15" s="164"/>
      <c r="H15" s="165"/>
      <c r="I15" s="91"/>
      <c r="J15" s="116">
        <f>'Suivi EAU-ELEC'!E19</f>
        <v>4950</v>
      </c>
      <c r="K15" s="117">
        <f>'Suivi EAU-ELEC'!G19</f>
        <v>7456</v>
      </c>
      <c r="L15" s="117">
        <f>'Suivi EAU-ELEC'!I19</f>
        <v>3966</v>
      </c>
      <c r="M15" s="118">
        <f t="shared" si="1"/>
        <v>16372</v>
      </c>
      <c r="N15" s="91"/>
      <c r="O15" s="94">
        <f t="shared" si="2"/>
        <v>16404.743999999999</v>
      </c>
      <c r="P15" s="90"/>
      <c r="Q15" s="89"/>
      <c r="R15" s="88"/>
      <c r="S15" s="89"/>
      <c r="T15" s="96"/>
      <c r="U15" s="95">
        <f>'Suvi Gaz'!O14</f>
        <v>296.8</v>
      </c>
      <c r="V15" s="92"/>
      <c r="W15" s="94">
        <f t="shared" si="3"/>
        <v>2490.152</v>
      </c>
      <c r="X15" s="135">
        <v>16871.41</v>
      </c>
      <c r="Y15" s="98">
        <f t="shared" si="4"/>
        <v>16.670000000001892</v>
      </c>
      <c r="Z15" s="99">
        <f t="shared" si="5"/>
        <v>8835.1000000010026</v>
      </c>
      <c r="AA15" s="91"/>
      <c r="AB15" s="114">
        <v>23</v>
      </c>
      <c r="AC15" s="127">
        <v>131</v>
      </c>
      <c r="AD15" s="124">
        <v>0.95620000000000005</v>
      </c>
      <c r="AE15" s="134">
        <v>28</v>
      </c>
      <c r="AF15" s="134">
        <v>29</v>
      </c>
      <c r="AG15" s="132">
        <v>27.5</v>
      </c>
      <c r="AH15" s="133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0</v>
      </c>
      <c r="E16" s="111"/>
      <c r="F16" s="164">
        <f t="shared" si="0"/>
        <v>0</v>
      </c>
      <c r="G16" s="164"/>
      <c r="H16" s="165"/>
      <c r="I16" s="92"/>
      <c r="J16" s="116">
        <f>'Suivi EAU-ELEC'!E20</f>
        <v>0</v>
      </c>
      <c r="K16" s="117">
        <f>'Suivi EAU-ELEC'!G20</f>
        <v>0</v>
      </c>
      <c r="L16" s="117">
        <f>'Suivi EAU-ELEC'!I20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Gaz'!O15</f>
        <v>0</v>
      </c>
      <c r="V16" s="92"/>
      <c r="W16" s="94">
        <f t="shared" si="3"/>
        <v>0</v>
      </c>
      <c r="X16" s="135">
        <v>16888.080000000002</v>
      </c>
      <c r="Y16" s="98">
        <f t="shared" si="4"/>
        <v>0</v>
      </c>
      <c r="Z16" s="99">
        <f t="shared" si="5"/>
        <v>0</v>
      </c>
      <c r="AA16" s="91"/>
      <c r="AB16" s="114"/>
      <c r="AC16" s="127"/>
      <c r="AD16" s="124"/>
      <c r="AE16" s="134"/>
      <c r="AF16" s="134"/>
      <c r="AG16" s="132"/>
      <c r="AH16" s="133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0</v>
      </c>
      <c r="E17" s="111"/>
      <c r="F17" s="164">
        <f t="shared" si="0"/>
        <v>0</v>
      </c>
      <c r="G17" s="164"/>
      <c r="H17" s="165"/>
      <c r="I17" s="92"/>
      <c r="J17" s="116">
        <f>'Suivi EAU-ELEC'!E21</f>
        <v>0</v>
      </c>
      <c r="K17" s="117">
        <f>'Suivi EAU-ELEC'!G21</f>
        <v>0</v>
      </c>
      <c r="L17" s="117">
        <f>'Suivi EAU-ELEC'!I21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Gaz'!O16</f>
        <v>0</v>
      </c>
      <c r="V17" s="92"/>
      <c r="W17" s="94">
        <f t="shared" si="3"/>
        <v>0</v>
      </c>
      <c r="X17" s="135"/>
      <c r="Y17" s="98">
        <f t="shared" si="4"/>
        <v>0</v>
      </c>
      <c r="Z17" s="99">
        <f t="shared" si="5"/>
        <v>0</v>
      </c>
      <c r="AA17" s="97"/>
      <c r="AB17" s="114"/>
      <c r="AC17" s="127"/>
      <c r="AD17" s="124"/>
      <c r="AE17" s="134"/>
      <c r="AF17" s="134"/>
      <c r="AG17" s="132"/>
      <c r="AH17" s="133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0</v>
      </c>
      <c r="E18" s="111"/>
      <c r="F18" s="164">
        <f t="shared" si="0"/>
        <v>0</v>
      </c>
      <c r="G18" s="164"/>
      <c r="H18" s="165"/>
      <c r="I18" s="92"/>
      <c r="J18" s="116">
        <f>'Suivi EAU-ELEC'!E22</f>
        <v>0</v>
      </c>
      <c r="K18" s="117">
        <f>'Suivi EAU-ELEC'!G22</f>
        <v>0</v>
      </c>
      <c r="L18" s="117">
        <f>'Suivi EAU-ELEC'!I22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Gaz'!O17</f>
        <v>0</v>
      </c>
      <c r="V18" s="92"/>
      <c r="W18" s="94">
        <f t="shared" si="3"/>
        <v>0</v>
      </c>
      <c r="X18" s="135"/>
      <c r="Y18" s="98">
        <f t="shared" si="4"/>
        <v>0</v>
      </c>
      <c r="Z18" s="99">
        <f t="shared" si="5"/>
        <v>0</v>
      </c>
      <c r="AA18" s="97"/>
      <c r="AB18" s="114"/>
      <c r="AC18" s="127"/>
      <c r="AD18" s="124"/>
      <c r="AE18" s="134"/>
      <c r="AF18" s="134"/>
      <c r="AG18" s="132"/>
      <c r="AH18" s="133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164">
        <f t="shared" si="0"/>
        <v>0</v>
      </c>
      <c r="G19" s="164"/>
      <c r="H19" s="165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/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164">
        <f t="shared" si="0"/>
        <v>0</v>
      </c>
      <c r="G20" s="164"/>
      <c r="H20" s="165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164">
        <f t="shared" si="0"/>
        <v>0</v>
      </c>
      <c r="G21" s="164"/>
      <c r="H21" s="165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164">
        <f t="shared" si="0"/>
        <v>0</v>
      </c>
      <c r="G22" s="164"/>
      <c r="H22" s="165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164">
        <f t="shared" si="0"/>
        <v>0</v>
      </c>
      <c r="G23" s="164"/>
      <c r="H23" s="165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164">
        <f t="shared" si="0"/>
        <v>0</v>
      </c>
      <c r="G24" s="164"/>
      <c r="H24" s="165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164">
        <f t="shared" si="0"/>
        <v>0</v>
      </c>
      <c r="G25" s="164"/>
      <c r="H25" s="165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164">
        <f t="shared" si="0"/>
        <v>0</v>
      </c>
      <c r="G26" s="164"/>
      <c r="H26" s="165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164">
        <f t="shared" si="0"/>
        <v>0</v>
      </c>
      <c r="G27" s="164"/>
      <c r="H27" s="165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164">
        <f t="shared" si="0"/>
        <v>0</v>
      </c>
      <c r="G28" s="164"/>
      <c r="H28" s="165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164">
        <f t="shared" si="0"/>
        <v>0</v>
      </c>
      <c r="G29" s="164"/>
      <c r="H29" s="165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164">
        <f t="shared" si="0"/>
        <v>0</v>
      </c>
      <c r="G30" s="164"/>
      <c r="H30" s="165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164">
        <f t="shared" si="0"/>
        <v>0</v>
      </c>
      <c r="G31" s="164"/>
      <c r="H31" s="165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164">
        <f t="shared" si="0"/>
        <v>0</v>
      </c>
      <c r="G32" s="164"/>
      <c r="H32" s="165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164">
        <f t="shared" si="0"/>
        <v>0</v>
      </c>
      <c r="G33" s="164"/>
      <c r="H33" s="165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164">
        <f t="shared" si="0"/>
        <v>0</v>
      </c>
      <c r="G34" s="164"/>
      <c r="H34" s="165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164">
        <f t="shared" si="0"/>
        <v>0</v>
      </c>
      <c r="G35" s="164"/>
      <c r="H35" s="165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164">
        <f t="shared" si="0"/>
        <v>0</v>
      </c>
      <c r="G36" s="164"/>
      <c r="H36" s="165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164">
        <f t="shared" si="0"/>
        <v>0</v>
      </c>
      <c r="G37" s="164"/>
      <c r="H37" s="165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164">
        <f t="shared" si="0"/>
        <v>0</v>
      </c>
      <c r="G38" s="164"/>
      <c r="H38" s="165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164">
        <f t="shared" si="0"/>
        <v>0</v>
      </c>
      <c r="G39" s="164"/>
      <c r="H39" s="165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164">
        <f t="shared" si="0"/>
        <v>0</v>
      </c>
      <c r="G40" s="164"/>
      <c r="H40" s="165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3040</v>
      </c>
      <c r="E41" s="1"/>
      <c r="F41" s="183">
        <f>SUM(F10:H40)</f>
        <v>38516.800000000003</v>
      </c>
      <c r="G41" s="184"/>
      <c r="H41" s="185"/>
      <c r="I41" s="1"/>
      <c r="J41" s="86">
        <f>SUM(J10:J40)</f>
        <v>31553</v>
      </c>
      <c r="K41" s="86">
        <f t="shared" ref="K41:M41" si="7">SUM(K10:K40)</f>
        <v>51257</v>
      </c>
      <c r="L41" s="86">
        <f t="shared" si="7"/>
        <v>24703</v>
      </c>
      <c r="M41" s="86">
        <f t="shared" si="7"/>
        <v>107513</v>
      </c>
      <c r="N41" s="28"/>
      <c r="O41" s="183">
        <f>SUM(O10:O40)</f>
        <v>107728.02600000001</v>
      </c>
      <c r="P41" s="184"/>
      <c r="Q41" s="185"/>
      <c r="R41" s="28"/>
      <c r="S41" s="87">
        <f>SUM(S10:S40)</f>
        <v>0</v>
      </c>
      <c r="T41" s="28"/>
      <c r="U41" s="86">
        <f>SUM(U10:U40)</f>
        <v>3932.6000000000004</v>
      </c>
      <c r="V41" s="28"/>
      <c r="W41" s="86">
        <f>SUM(W10:W40)</f>
        <v>32994.514000000003</v>
      </c>
      <c r="X41" s="126"/>
      <c r="Y41" s="86">
        <f>SUM(Y10:Y40)</f>
        <v>89.870000000002619</v>
      </c>
      <c r="Z41" s="86">
        <f>SUM(Z10:Z40)</f>
        <v>47631.100000001388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9"/>
      <c r="G42" s="179"/>
      <c r="H42" s="179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66">
        <f>J41</f>
        <v>31553</v>
      </c>
      <c r="H43" s="167"/>
      <c r="I43" s="168"/>
      <c r="J43" s="177">
        <f>G43*F43</f>
        <v>31616.106</v>
      </c>
      <c r="K43" s="178"/>
      <c r="L43" s="207">
        <f>J43+J44+J45</f>
        <v>107728.026</v>
      </c>
      <c r="M43" s="208"/>
      <c r="N43" s="208"/>
      <c r="O43" s="208"/>
      <c r="P43" s="208"/>
      <c r="Q43" s="208"/>
      <c r="R43" s="208"/>
      <c r="S43" s="208"/>
      <c r="T43" s="208"/>
      <c r="U43" s="209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66">
        <f>K41</f>
        <v>51257</v>
      </c>
      <c r="H44" s="167"/>
      <c r="I44" s="168"/>
      <c r="J44" s="177">
        <f>G44*F44</f>
        <v>51359.514000000003</v>
      </c>
      <c r="K44" s="178"/>
      <c r="L44" s="210"/>
      <c r="M44" s="211"/>
      <c r="N44" s="211"/>
      <c r="O44" s="211"/>
      <c r="P44" s="211"/>
      <c r="Q44" s="211"/>
      <c r="R44" s="211"/>
      <c r="S44" s="211"/>
      <c r="T44" s="211"/>
      <c r="U44" s="212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66">
        <f>L41</f>
        <v>24703</v>
      </c>
      <c r="H45" s="167"/>
      <c r="I45" s="168"/>
      <c r="J45" s="177">
        <f>G45*F45</f>
        <v>24752.405999999999</v>
      </c>
      <c r="K45" s="178"/>
      <c r="L45" s="213"/>
      <c r="M45" s="214"/>
      <c r="N45" s="214"/>
      <c r="O45" s="214"/>
      <c r="P45" s="214"/>
      <c r="Q45" s="214"/>
      <c r="R45" s="214"/>
      <c r="S45" s="214"/>
      <c r="T45" s="214"/>
      <c r="U45" s="215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3040</v>
      </c>
      <c r="H46" s="181"/>
      <c r="I46" s="182"/>
      <c r="J46" s="193">
        <f>G46*F46</f>
        <v>38516.800000000003</v>
      </c>
      <c r="K46" s="194"/>
      <c r="L46" s="201">
        <f>J46</f>
        <v>38516.800000000003</v>
      </c>
      <c r="M46" s="202"/>
      <c r="N46" s="202"/>
      <c r="O46" s="202"/>
      <c r="P46" s="202"/>
      <c r="Q46" s="202"/>
      <c r="R46" s="202"/>
      <c r="S46" s="202"/>
      <c r="T46" s="202"/>
      <c r="U46" s="20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8" t="s">
        <v>13</v>
      </c>
      <c r="B47" s="199"/>
      <c r="C47" s="199"/>
      <c r="D47" s="200"/>
      <c r="E47" s="53"/>
      <c r="F47" s="26">
        <v>8.39</v>
      </c>
      <c r="G47" s="195">
        <f>U41</f>
        <v>3932.6000000000004</v>
      </c>
      <c r="H47" s="196"/>
      <c r="I47" s="197"/>
      <c r="J47" s="195">
        <f>G47*F47</f>
        <v>32994.514000000003</v>
      </c>
      <c r="K47" s="197"/>
      <c r="L47" s="204">
        <f>J47</f>
        <v>32994.514000000003</v>
      </c>
      <c r="M47" s="205"/>
      <c r="N47" s="205"/>
      <c r="O47" s="205"/>
      <c r="P47" s="205"/>
      <c r="Q47" s="205"/>
      <c r="R47" s="205"/>
      <c r="S47" s="205"/>
      <c r="T47" s="205"/>
      <c r="U47" s="20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79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5" si="0">IF(AC4&gt;0,((B4-R4)+(S4-B5)),IF(B5=0, ,(B4-B5)))</f>
        <v>-22</v>
      </c>
      <c r="D4" s="136">
        <v>52</v>
      </c>
      <c r="E4" s="137">
        <f t="shared" ref="E4:E15" si="1">IF(AC4&gt;0,((D4-U4)+(V4-D5)),IF(D5=0, ,(D4-D5)))</f>
        <v>-22</v>
      </c>
      <c r="F4" s="136">
        <v>45</v>
      </c>
      <c r="G4" s="137">
        <f t="shared" ref="G4:G15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5</v>
      </c>
      <c r="D11" s="136">
        <v>68</v>
      </c>
      <c r="E11" s="137">
        <f t="shared" si="1"/>
        <v>6</v>
      </c>
      <c r="F11" s="136">
        <v>62</v>
      </c>
      <c r="G11" s="137">
        <f t="shared" si="2"/>
        <v>2</v>
      </c>
      <c r="H11" s="136">
        <v>63</v>
      </c>
      <c r="I11" s="137">
        <f t="shared" si="3"/>
        <v>3</v>
      </c>
      <c r="J11" s="137">
        <f t="shared" si="4"/>
        <v>258</v>
      </c>
      <c r="K11" s="137">
        <f t="shared" si="5"/>
        <v>64.5</v>
      </c>
      <c r="L11" s="137">
        <f t="shared" si="6"/>
        <v>4</v>
      </c>
      <c r="M11" s="137">
        <f t="shared" si="7"/>
        <v>28000</v>
      </c>
      <c r="N11" s="137">
        <f t="shared" si="8"/>
        <v>1120</v>
      </c>
      <c r="O11" s="137">
        <f t="shared" si="9"/>
        <v>593.6</v>
      </c>
      <c r="P11" s="38">
        <f>O11*8.39</f>
        <v>4980.3040000000001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>
        <v>60</v>
      </c>
      <c r="C12" s="137">
        <f t="shared" si="0"/>
        <v>1</v>
      </c>
      <c r="D12" s="136">
        <v>62</v>
      </c>
      <c r="E12" s="137">
        <f t="shared" si="1"/>
        <v>2</v>
      </c>
      <c r="F12" s="136">
        <v>60</v>
      </c>
      <c r="G12" s="137">
        <f t="shared" si="2"/>
        <v>5</v>
      </c>
      <c r="H12" s="136">
        <v>60</v>
      </c>
      <c r="I12" s="137">
        <f t="shared" si="3"/>
        <v>2</v>
      </c>
      <c r="J12" s="137">
        <f t="shared" si="4"/>
        <v>242</v>
      </c>
      <c r="K12" s="137">
        <f t="shared" si="5"/>
        <v>60.5</v>
      </c>
      <c r="L12" s="137">
        <f t="shared" si="6"/>
        <v>2.5</v>
      </c>
      <c r="M12" s="137">
        <f t="shared" si="7"/>
        <v>28000</v>
      </c>
      <c r="N12" s="137">
        <f t="shared" si="8"/>
        <v>700</v>
      </c>
      <c r="O12" s="137">
        <f t="shared" si="9"/>
        <v>371</v>
      </c>
      <c r="P12" s="38">
        <f t="shared" ref="P12:P43" si="18">O12*8.39</f>
        <v>3112.69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>
        <v>59</v>
      </c>
      <c r="C13" s="137">
        <f t="shared" si="0"/>
        <v>8</v>
      </c>
      <c r="D13" s="136">
        <v>60</v>
      </c>
      <c r="E13" s="137">
        <f t="shared" si="1"/>
        <v>4</v>
      </c>
      <c r="F13" s="136">
        <v>55</v>
      </c>
      <c r="G13" s="137">
        <f t="shared" si="2"/>
        <v>5</v>
      </c>
      <c r="H13" s="136">
        <v>58</v>
      </c>
      <c r="I13" s="137">
        <f t="shared" si="3"/>
        <v>8</v>
      </c>
      <c r="J13" s="137">
        <f t="shared" si="4"/>
        <v>232</v>
      </c>
      <c r="K13" s="137">
        <f t="shared" si="5"/>
        <v>58</v>
      </c>
      <c r="L13" s="137">
        <f t="shared" si="6"/>
        <v>6.25</v>
      </c>
      <c r="M13" s="137">
        <f t="shared" si="7"/>
        <v>28000</v>
      </c>
      <c r="N13" s="137">
        <f t="shared" si="8"/>
        <v>1750</v>
      </c>
      <c r="O13" s="137">
        <f t="shared" si="9"/>
        <v>927.5</v>
      </c>
      <c r="P13" s="38">
        <f t="shared" si="18"/>
        <v>7781.7250000000004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>
        <v>51</v>
      </c>
      <c r="C14" s="137">
        <f t="shared" si="0"/>
        <v>2</v>
      </c>
      <c r="D14" s="136">
        <v>56</v>
      </c>
      <c r="E14" s="137">
        <f t="shared" si="1"/>
        <v>3</v>
      </c>
      <c r="F14" s="136">
        <v>50</v>
      </c>
      <c r="G14" s="137">
        <f t="shared" si="2"/>
        <v>2</v>
      </c>
      <c r="H14" s="136">
        <v>50</v>
      </c>
      <c r="I14" s="137">
        <f t="shared" si="3"/>
        <v>1</v>
      </c>
      <c r="J14" s="137">
        <f t="shared" si="4"/>
        <v>207</v>
      </c>
      <c r="K14" s="137">
        <f t="shared" si="5"/>
        <v>51.75</v>
      </c>
      <c r="L14" s="137">
        <f t="shared" si="6"/>
        <v>2</v>
      </c>
      <c r="M14" s="137">
        <f t="shared" si="7"/>
        <v>28000</v>
      </c>
      <c r="N14" s="137">
        <f t="shared" si="8"/>
        <v>560</v>
      </c>
      <c r="O14" s="137">
        <f t="shared" si="9"/>
        <v>296.8</v>
      </c>
      <c r="P14" s="38">
        <f t="shared" si="18"/>
        <v>2490.152</v>
      </c>
      <c r="Q14" s="137">
        <v>2400</v>
      </c>
      <c r="R14" s="137">
        <v>51</v>
      </c>
      <c r="S14" s="137">
        <v>82</v>
      </c>
      <c r="T14" s="137">
        <v>2401</v>
      </c>
      <c r="U14" s="137">
        <v>55</v>
      </c>
      <c r="V14" s="137">
        <v>83</v>
      </c>
      <c r="W14" s="137">
        <v>2399</v>
      </c>
      <c r="X14" s="137">
        <v>50</v>
      </c>
      <c r="Y14" s="137">
        <v>80</v>
      </c>
      <c r="Z14" s="137">
        <v>2400</v>
      </c>
      <c r="AA14" s="137">
        <v>50</v>
      </c>
      <c r="AB14" s="137">
        <v>80</v>
      </c>
      <c r="AC14" s="35">
        <f t="shared" si="13"/>
        <v>9600</v>
      </c>
      <c r="AD14" s="80">
        <f t="shared" si="14"/>
        <v>51.5</v>
      </c>
      <c r="AE14" s="80">
        <f t="shared" si="15"/>
        <v>81.25</v>
      </c>
    </row>
    <row r="15" spans="1:31" ht="32.25" customHeight="1" x14ac:dyDescent="0.3">
      <c r="A15" s="36">
        <f t="shared" si="12"/>
        <v>43897</v>
      </c>
      <c r="B15" s="136">
        <v>80</v>
      </c>
      <c r="C15" s="137">
        <f t="shared" si="0"/>
        <v>0</v>
      </c>
      <c r="D15" s="136">
        <v>81</v>
      </c>
      <c r="E15" s="137">
        <f t="shared" si="1"/>
        <v>0</v>
      </c>
      <c r="F15" s="136">
        <v>78</v>
      </c>
      <c r="G15" s="137">
        <f t="shared" si="2"/>
        <v>0</v>
      </c>
      <c r="H15" s="136">
        <v>79</v>
      </c>
      <c r="I15" s="137">
        <f t="shared" si="3"/>
        <v>0</v>
      </c>
      <c r="J15" s="137">
        <f t="shared" si="4"/>
        <v>318</v>
      </c>
      <c r="K15" s="137">
        <f t="shared" si="5"/>
        <v>79.5</v>
      </c>
      <c r="L15" s="137">
        <f t="shared" si="6"/>
        <v>0</v>
      </c>
      <c r="M15" s="137">
        <f t="shared" si="7"/>
        <v>28000</v>
      </c>
      <c r="N15" s="137">
        <f t="shared" si="8"/>
        <v>0</v>
      </c>
      <c r="O15" s="137">
        <f t="shared" si="9"/>
        <v>0</v>
      </c>
      <c r="P15" s="38">
        <f t="shared" si="18"/>
        <v>0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/>
      <c r="C16" s="137">
        <f t="shared" ref="C14:C40" si="19">IF(AC16&gt;0,((B16-R16)+(S16-B17)),IF(B17=0, ,(B16-B17)))</f>
        <v>0</v>
      </c>
      <c r="D16" s="136"/>
      <c r="E16" s="137">
        <f t="shared" ref="E14:E40" si="20">IF(AC16&gt;0,((D16-U16)+(V16-D17)),IF(D17=0, ,(D16-D17)))</f>
        <v>0</v>
      </c>
      <c r="F16" s="136"/>
      <c r="G16" s="137">
        <f t="shared" ref="G14:G40" si="21">IF(AC16&gt;0,((F16-X16)+(Y16-F17)),IF(F17=0, ,(F16-F17)))</f>
        <v>0</v>
      </c>
      <c r="H16" s="136"/>
      <c r="I16" s="137">
        <f t="shared" si="3"/>
        <v>0</v>
      </c>
      <c r="J16" s="137">
        <f t="shared" si="4"/>
        <v>0</v>
      </c>
      <c r="K16" s="137">
        <f t="shared" si="5"/>
        <v>0</v>
      </c>
      <c r="L16" s="137">
        <f t="shared" si="6"/>
        <v>0</v>
      </c>
      <c r="M16" s="137">
        <f t="shared" si="7"/>
        <v>28000</v>
      </c>
      <c r="N16" s="137">
        <f t="shared" si="8"/>
        <v>0</v>
      </c>
      <c r="O16" s="137">
        <f t="shared" si="9"/>
        <v>0</v>
      </c>
      <c r="P16" s="38">
        <f t="shared" si="18"/>
        <v>0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/>
      <c r="C17" s="137">
        <f t="shared" si="19"/>
        <v>0</v>
      </c>
      <c r="D17" s="136"/>
      <c r="E17" s="137">
        <f t="shared" si="20"/>
        <v>0</v>
      </c>
      <c r="F17" s="136"/>
      <c r="G17" s="137">
        <f t="shared" si="21"/>
        <v>0</v>
      </c>
      <c r="H17" s="136"/>
      <c r="I17" s="137">
        <f t="shared" si="3"/>
        <v>0</v>
      </c>
      <c r="J17" s="137">
        <f t="shared" si="4"/>
        <v>0</v>
      </c>
      <c r="K17" s="137">
        <f t="shared" si="5"/>
        <v>0</v>
      </c>
      <c r="L17" s="137">
        <f t="shared" si="6"/>
        <v>0</v>
      </c>
      <c r="M17" s="137">
        <f t="shared" si="7"/>
        <v>28000</v>
      </c>
      <c r="N17" s="137">
        <f t="shared" si="8"/>
        <v>0</v>
      </c>
      <c r="O17" s="137">
        <f t="shared" si="9"/>
        <v>0</v>
      </c>
      <c r="P17" s="38">
        <f t="shared" si="18"/>
        <v>0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/>
      <c r="C18" s="137">
        <f t="shared" si="19"/>
        <v>0</v>
      </c>
      <c r="D18" s="136"/>
      <c r="E18" s="137">
        <f t="shared" si="20"/>
        <v>0</v>
      </c>
      <c r="F18" s="136"/>
      <c r="G18" s="137">
        <f t="shared" si="21"/>
        <v>0</v>
      </c>
      <c r="H18" s="136"/>
      <c r="I18" s="137">
        <f t="shared" si="3"/>
        <v>0</v>
      </c>
      <c r="J18" s="137">
        <f t="shared" si="4"/>
        <v>0</v>
      </c>
      <c r="K18" s="137">
        <f t="shared" si="5"/>
        <v>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18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si="19"/>
        <v>0</v>
      </c>
      <c r="D19" s="136"/>
      <c r="E19" s="137">
        <f t="shared" si="20"/>
        <v>0</v>
      </c>
      <c r="F19" s="136"/>
      <c r="G19" s="137">
        <f t="shared" si="21"/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18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9"/>
        <v>0</v>
      </c>
      <c r="D20" s="136"/>
      <c r="E20" s="137">
        <f t="shared" si="20"/>
        <v>0</v>
      </c>
      <c r="F20" s="136"/>
      <c r="G20" s="137">
        <f t="shared" si="21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18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9"/>
        <v>0</v>
      </c>
      <c r="D21" s="136"/>
      <c r="E21" s="137">
        <f t="shared" si="20"/>
        <v>0</v>
      </c>
      <c r="F21" s="136"/>
      <c r="G21" s="137">
        <f t="shared" si="21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18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9"/>
        <v>0</v>
      </c>
      <c r="D22" s="136"/>
      <c r="E22" s="137">
        <f t="shared" si="20"/>
        <v>0</v>
      </c>
      <c r="F22" s="136"/>
      <c r="G22" s="137">
        <f t="shared" si="21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18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9"/>
        <v>0</v>
      </c>
      <c r="D23" s="136"/>
      <c r="E23" s="137">
        <f t="shared" si="20"/>
        <v>0</v>
      </c>
      <c r="F23" s="136"/>
      <c r="G23" s="137">
        <f t="shared" si="21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18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9"/>
        <v>0</v>
      </c>
      <c r="D24" s="136"/>
      <c r="E24" s="137">
        <f t="shared" si="20"/>
        <v>0</v>
      </c>
      <c r="F24" s="136"/>
      <c r="G24" s="137">
        <f t="shared" si="21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18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9"/>
        <v>0</v>
      </c>
      <c r="D25" s="136"/>
      <c r="E25" s="137">
        <f t="shared" si="20"/>
        <v>0</v>
      </c>
      <c r="F25" s="136"/>
      <c r="G25" s="137">
        <f t="shared" si="21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18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9"/>
        <v>0</v>
      </c>
      <c r="D26" s="136"/>
      <c r="E26" s="137">
        <f t="shared" si="20"/>
        <v>0</v>
      </c>
      <c r="F26" s="136"/>
      <c r="G26" s="137">
        <f t="shared" si="21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18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9"/>
        <v>0</v>
      </c>
      <c r="D27" s="136"/>
      <c r="E27" s="137">
        <f t="shared" si="20"/>
        <v>0</v>
      </c>
      <c r="F27" s="136"/>
      <c r="G27" s="137">
        <f t="shared" si="21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18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9"/>
        <v>0</v>
      </c>
      <c r="D28" s="136"/>
      <c r="E28" s="137">
        <f t="shared" si="20"/>
        <v>0</v>
      </c>
      <c r="F28" s="136"/>
      <c r="G28" s="137">
        <f t="shared" si="21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18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9"/>
        <v>0</v>
      </c>
      <c r="D29" s="136"/>
      <c r="E29" s="137">
        <f t="shared" si="20"/>
        <v>0</v>
      </c>
      <c r="F29" s="136"/>
      <c r="G29" s="137">
        <f t="shared" si="21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18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9"/>
        <v>0</v>
      </c>
      <c r="D30" s="136"/>
      <c r="E30" s="137">
        <f t="shared" si="20"/>
        <v>0</v>
      </c>
      <c r="F30" s="136"/>
      <c r="G30" s="137">
        <f t="shared" si="21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18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9"/>
        <v>0</v>
      </c>
      <c r="D31" s="136"/>
      <c r="E31" s="137">
        <f t="shared" si="20"/>
        <v>0</v>
      </c>
      <c r="F31" s="136"/>
      <c r="G31" s="137">
        <f t="shared" si="21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18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9"/>
        <v>0</v>
      </c>
      <c r="D32" s="136"/>
      <c r="E32" s="137">
        <f t="shared" si="20"/>
        <v>0</v>
      </c>
      <c r="F32" s="136"/>
      <c r="G32" s="137">
        <f t="shared" si="21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18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9"/>
        <v>0</v>
      </c>
      <c r="D33" s="136"/>
      <c r="E33" s="137">
        <f t="shared" si="20"/>
        <v>0</v>
      </c>
      <c r="F33" s="136"/>
      <c r="G33" s="137">
        <f t="shared" si="21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18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9"/>
        <v>0</v>
      </c>
      <c r="D34" s="136"/>
      <c r="E34" s="137">
        <f t="shared" si="20"/>
        <v>0</v>
      </c>
      <c r="F34" s="136"/>
      <c r="G34" s="137">
        <f t="shared" si="21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18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9"/>
        <v>0</v>
      </c>
      <c r="D35" s="136"/>
      <c r="E35" s="137">
        <f t="shared" si="20"/>
        <v>0</v>
      </c>
      <c r="F35" s="136"/>
      <c r="G35" s="137">
        <f t="shared" si="21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18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9"/>
        <v>0</v>
      </c>
      <c r="D36" s="136"/>
      <c r="E36" s="137">
        <f t="shared" si="20"/>
        <v>0</v>
      </c>
      <c r="F36" s="136"/>
      <c r="G36" s="137">
        <f t="shared" si="21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18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9"/>
        <v>0</v>
      </c>
      <c r="D37" s="136"/>
      <c r="E37" s="137">
        <f t="shared" si="20"/>
        <v>0</v>
      </c>
      <c r="F37" s="136"/>
      <c r="G37" s="137">
        <f t="shared" si="21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18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9"/>
        <v>0</v>
      </c>
      <c r="D38" s="136"/>
      <c r="E38" s="137">
        <f t="shared" si="20"/>
        <v>0</v>
      </c>
      <c r="F38" s="136"/>
      <c r="G38" s="137">
        <f t="shared" si="21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18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9"/>
        <v>0</v>
      </c>
      <c r="D39" s="136"/>
      <c r="E39" s="137">
        <f t="shared" si="20"/>
        <v>0</v>
      </c>
      <c r="F39" s="136"/>
      <c r="G39" s="137">
        <f t="shared" si="21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18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9"/>
        <v>0</v>
      </c>
      <c r="D40" s="136"/>
      <c r="E40" s="137">
        <f t="shared" si="20"/>
        <v>0</v>
      </c>
      <c r="F40" s="136"/>
      <c r="G40" s="137">
        <f t="shared" si="21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18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18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18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28</v>
      </c>
      <c r="D43" s="37"/>
      <c r="E43" s="137">
        <f>SUM(E9:E39)</f>
        <v>26</v>
      </c>
      <c r="F43" s="37"/>
      <c r="G43" s="137">
        <f>SUM(G9:G39)</f>
        <v>26</v>
      </c>
      <c r="H43" s="37"/>
      <c r="I43" s="137">
        <f>SUM(I9:I39)</f>
        <v>26</v>
      </c>
      <c r="J43" s="33"/>
      <c r="K43" s="33"/>
      <c r="L43" s="33"/>
      <c r="M43" s="33"/>
      <c r="N43" s="137">
        <f>SUM(N9:N39)</f>
        <v>7420</v>
      </c>
      <c r="O43" s="137">
        <f>SUM(O9:O39)</f>
        <v>3932.6000000000004</v>
      </c>
      <c r="P43" s="38">
        <f t="shared" si="18"/>
        <v>32994.514000000003</v>
      </c>
      <c r="Q43" s="259">
        <f>SUM(Q9:Q39)</f>
        <v>2400</v>
      </c>
      <c r="R43" s="260"/>
      <c r="S43" s="261"/>
      <c r="T43" s="259">
        <f>SUM(T9:T39)</f>
        <v>2401</v>
      </c>
      <c r="U43" s="260"/>
      <c r="V43" s="261"/>
      <c r="W43" s="259">
        <f>SUM(W9:W39)</f>
        <v>2399</v>
      </c>
      <c r="X43" s="260"/>
      <c r="Y43" s="261"/>
      <c r="Z43" s="259">
        <f>SUM(Z9:Z39)</f>
        <v>2400</v>
      </c>
      <c r="AA43" s="260"/>
      <c r="AB43" s="261"/>
      <c r="AC43" s="35">
        <f>SUM(AC9:AC39)</f>
        <v>9600</v>
      </c>
      <c r="AD43" s="33"/>
      <c r="AE43" s="33"/>
    </row>
    <row r="44" spans="1:31" ht="35.25" customHeight="1" thickBot="1" x14ac:dyDescent="0.35">
      <c r="B44" s="262"/>
      <c r="C44" s="263"/>
      <c r="D44" s="263"/>
      <c r="E44" s="263"/>
      <c r="F44" s="263"/>
      <c r="G44" s="263"/>
      <c r="H44" s="263"/>
      <c r="I44" s="264"/>
      <c r="J44" s="33"/>
      <c r="K44" s="33"/>
      <c r="L44" s="33"/>
      <c r="M44" s="33"/>
      <c r="N44" s="33"/>
      <c r="O44" s="33"/>
      <c r="P44" s="33"/>
      <c r="Q44" s="265">
        <f>Q43+T43+W43+Z43</f>
        <v>9600</v>
      </c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7"/>
      <c r="AC44" s="35">
        <f>Q43+T43+W43+Z43</f>
        <v>9600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8" t="s">
        <v>37</v>
      </c>
      <c r="I47" s="269"/>
      <c r="J47" s="270"/>
      <c r="K47" s="45">
        <f>N43</f>
        <v>7420</v>
      </c>
      <c r="L47" s="46">
        <f>O43</f>
        <v>3932.6000000000004</v>
      </c>
      <c r="M47" s="46">
        <f>P43</f>
        <v>32994.514000000003</v>
      </c>
    </row>
    <row r="48" spans="1:31" ht="54.75" customHeight="1" thickBot="1" x14ac:dyDescent="0.35">
      <c r="H48" s="256" t="s">
        <v>38</v>
      </c>
      <c r="I48" s="257"/>
      <c r="J48" s="258"/>
      <c r="K48" s="43">
        <f>AC43</f>
        <v>9600</v>
      </c>
      <c r="L48" s="44">
        <f>K48*0.53</f>
        <v>5088</v>
      </c>
      <c r="M48" s="44">
        <f>L48*8.39</f>
        <v>42688.32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9" sqref="B19:H2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20" si="5">IF(B16&lt;B15,0,B16-B15)*10</f>
        <v>520</v>
      </c>
      <c r="D15" s="140">
        <v>18295641</v>
      </c>
      <c r="E15" s="139">
        <f t="shared" ref="E15:E20" si="6">IF(D16&lt;D15,0,D16-D15)</f>
        <v>5114</v>
      </c>
      <c r="F15" s="140">
        <v>32935359</v>
      </c>
      <c r="G15" s="139">
        <f t="shared" ref="G15:G20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490</v>
      </c>
      <c r="D16" s="140">
        <v>18300755</v>
      </c>
      <c r="E16" s="139">
        <f t="shared" si="6"/>
        <v>5689</v>
      </c>
      <c r="F16" s="140">
        <v>32944717</v>
      </c>
      <c r="G16" s="139">
        <f t="shared" si="7"/>
        <v>9177</v>
      </c>
      <c r="H16" s="140">
        <v>14582445</v>
      </c>
      <c r="I16" s="139">
        <f t="shared" si="3"/>
        <v>3592</v>
      </c>
    </row>
    <row r="17" spans="1:9" ht="21" thickTop="1" thickBot="1" x14ac:dyDescent="0.35">
      <c r="A17" s="59">
        <f t="shared" si="4"/>
        <v>43894</v>
      </c>
      <c r="B17" s="138">
        <v>121335</v>
      </c>
      <c r="C17" s="139">
        <f t="shared" si="5"/>
        <v>510</v>
      </c>
      <c r="D17" s="140">
        <v>18306444</v>
      </c>
      <c r="E17" s="139">
        <f t="shared" si="6"/>
        <v>5296</v>
      </c>
      <c r="F17" s="140">
        <v>32953894</v>
      </c>
      <c r="G17" s="139">
        <f t="shared" si="7"/>
        <v>7819</v>
      </c>
      <c r="H17" s="140">
        <v>14586037</v>
      </c>
      <c r="I17" s="139">
        <f>IF(H18&lt;H17,0,H18-H17)</f>
        <v>4553</v>
      </c>
    </row>
    <row r="18" spans="1:9" ht="21" thickTop="1" thickBot="1" x14ac:dyDescent="0.35">
      <c r="A18" s="59">
        <f t="shared" si="4"/>
        <v>43895</v>
      </c>
      <c r="B18" s="138">
        <v>121386</v>
      </c>
      <c r="C18" s="139">
        <f t="shared" si="5"/>
        <v>540</v>
      </c>
      <c r="D18" s="140">
        <v>18311740</v>
      </c>
      <c r="E18" s="139">
        <f t="shared" si="6"/>
        <v>4884</v>
      </c>
      <c r="F18" s="140">
        <v>32961713</v>
      </c>
      <c r="G18" s="139">
        <f t="shared" si="7"/>
        <v>8411</v>
      </c>
      <c r="H18" s="140">
        <v>14590590</v>
      </c>
      <c r="I18" s="139">
        <f>IF(H19&lt;H18,0,H19-H18)</f>
        <v>4064</v>
      </c>
    </row>
    <row r="19" spans="1:9" ht="21" thickTop="1" thickBot="1" x14ac:dyDescent="0.35">
      <c r="A19" s="59">
        <f t="shared" si="4"/>
        <v>43896</v>
      </c>
      <c r="B19" s="138">
        <v>121440</v>
      </c>
      <c r="C19" s="139">
        <f t="shared" si="5"/>
        <v>480</v>
      </c>
      <c r="D19" s="140">
        <v>18316624</v>
      </c>
      <c r="E19" s="139">
        <f t="shared" si="6"/>
        <v>4950</v>
      </c>
      <c r="F19" s="140">
        <v>32970124</v>
      </c>
      <c r="G19" s="139">
        <f t="shared" si="7"/>
        <v>7456</v>
      </c>
      <c r="H19" s="140">
        <v>14594654</v>
      </c>
      <c r="I19" s="139">
        <f>IF(H20&lt;H19,0,H20-H19)</f>
        <v>3966</v>
      </c>
    </row>
    <row r="20" spans="1:9" ht="21" thickTop="1" thickBot="1" x14ac:dyDescent="0.35">
      <c r="A20" s="59">
        <f t="shared" si="4"/>
        <v>43897</v>
      </c>
      <c r="B20" s="138">
        <v>121488</v>
      </c>
      <c r="C20" s="139">
        <f t="shared" si="5"/>
        <v>0</v>
      </c>
      <c r="D20" s="140">
        <v>18321574</v>
      </c>
      <c r="E20" s="139">
        <f t="shared" si="6"/>
        <v>0</v>
      </c>
      <c r="F20" s="140">
        <v>32977580</v>
      </c>
      <c r="G20" s="139">
        <f t="shared" si="7"/>
        <v>0</v>
      </c>
      <c r="H20" s="140">
        <v>14598620</v>
      </c>
      <c r="I20" s="139">
        <f t="shared" ref="I20:I46" si="8">IF(H21&lt;H20,0,H21-H20)</f>
        <v>0</v>
      </c>
    </row>
    <row r="21" spans="1:9" ht="21" thickTop="1" thickBot="1" x14ac:dyDescent="0.35">
      <c r="A21" s="59">
        <f t="shared" si="4"/>
        <v>43898</v>
      </c>
      <c r="B21" s="138"/>
      <c r="C21" s="139">
        <f t="shared" ref="C19:C45" si="9">IF(B22&lt;B21,0,B22-B21)*10</f>
        <v>0</v>
      </c>
      <c r="D21" s="140"/>
      <c r="E21" s="139">
        <f t="shared" ref="E19:E45" si="10">IF(D22&lt;D21,0,D22-D21)</f>
        <v>0</v>
      </c>
      <c r="F21" s="140"/>
      <c r="G21" s="139">
        <f t="shared" ref="G19:G45" si="11">IF(F22&lt;F21,0,F22-F21)</f>
        <v>0</v>
      </c>
      <c r="H21" s="140"/>
      <c r="I21" s="139">
        <f t="shared" si="8"/>
        <v>0</v>
      </c>
    </row>
    <row r="22" spans="1:9" ht="21" thickTop="1" thickBot="1" x14ac:dyDescent="0.35">
      <c r="A22" s="59">
        <f t="shared" si="4"/>
        <v>43899</v>
      </c>
      <c r="B22" s="138"/>
      <c r="C22" s="139">
        <f t="shared" si="9"/>
        <v>0</v>
      </c>
      <c r="D22" s="140"/>
      <c r="E22" s="139">
        <f t="shared" si="10"/>
        <v>0</v>
      </c>
      <c r="F22" s="140"/>
      <c r="G22" s="139">
        <f t="shared" si="11"/>
        <v>0</v>
      </c>
      <c r="H22" s="140"/>
      <c r="I22" s="139">
        <f t="shared" si="8"/>
        <v>0</v>
      </c>
    </row>
    <row r="23" spans="1:9" ht="21" thickTop="1" thickBot="1" x14ac:dyDescent="0.35">
      <c r="A23" s="59">
        <f t="shared" si="4"/>
        <v>43900</v>
      </c>
      <c r="B23" s="138"/>
      <c r="C23" s="139">
        <f t="shared" si="9"/>
        <v>0</v>
      </c>
      <c r="D23" s="140"/>
      <c r="E23" s="139">
        <f t="shared" si="10"/>
        <v>0</v>
      </c>
      <c r="F23" s="140"/>
      <c r="G23" s="139">
        <f t="shared" si="11"/>
        <v>0</v>
      </c>
      <c r="H23" s="140"/>
      <c r="I23" s="139">
        <f t="shared" si="8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si="9"/>
        <v>0</v>
      </c>
      <c r="D24" s="140"/>
      <c r="E24" s="139">
        <f t="shared" si="10"/>
        <v>0</v>
      </c>
      <c r="F24" s="140"/>
      <c r="G24" s="139">
        <f t="shared" si="11"/>
        <v>0</v>
      </c>
      <c r="H24" s="140"/>
      <c r="I24" s="139">
        <f t="shared" si="8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9"/>
        <v>0</v>
      </c>
      <c r="D25" s="140"/>
      <c r="E25" s="139">
        <f t="shared" si="10"/>
        <v>0</v>
      </c>
      <c r="F25" s="140"/>
      <c r="G25" s="139">
        <f t="shared" si="11"/>
        <v>0</v>
      </c>
      <c r="H25" s="140"/>
      <c r="I25" s="139">
        <f t="shared" si="8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9"/>
        <v>0</v>
      </c>
      <c r="D26" s="140"/>
      <c r="E26" s="139">
        <f t="shared" si="10"/>
        <v>0</v>
      </c>
      <c r="F26" s="140"/>
      <c r="G26" s="139">
        <f t="shared" si="11"/>
        <v>0</v>
      </c>
      <c r="H26" s="140"/>
      <c r="I26" s="139">
        <f t="shared" si="8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9"/>
        <v>0</v>
      </c>
      <c r="D27" s="140"/>
      <c r="E27" s="139">
        <f t="shared" si="10"/>
        <v>0</v>
      </c>
      <c r="F27" s="140"/>
      <c r="G27" s="139">
        <f t="shared" si="11"/>
        <v>0</v>
      </c>
      <c r="H27" s="140"/>
      <c r="I27" s="139">
        <f t="shared" si="8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9"/>
        <v>0</v>
      </c>
      <c r="D28" s="140"/>
      <c r="E28" s="139">
        <f t="shared" si="10"/>
        <v>0</v>
      </c>
      <c r="F28" s="140"/>
      <c r="G28" s="139">
        <f t="shared" si="11"/>
        <v>0</v>
      </c>
      <c r="H28" s="140"/>
      <c r="I28" s="139">
        <f t="shared" si="8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9"/>
        <v>0</v>
      </c>
      <c r="D29" s="140"/>
      <c r="E29" s="139">
        <f t="shared" si="10"/>
        <v>0</v>
      </c>
      <c r="F29" s="140"/>
      <c r="G29" s="139">
        <f t="shared" si="11"/>
        <v>0</v>
      </c>
      <c r="H29" s="140"/>
      <c r="I29" s="139">
        <f t="shared" si="8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9"/>
        <v>0</v>
      </c>
      <c r="D30" s="140"/>
      <c r="E30" s="139">
        <f t="shared" si="10"/>
        <v>0</v>
      </c>
      <c r="F30" s="140"/>
      <c r="G30" s="139">
        <f t="shared" si="11"/>
        <v>0</v>
      </c>
      <c r="H30" s="140"/>
      <c r="I30" s="139">
        <f t="shared" si="8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9"/>
        <v>0</v>
      </c>
      <c r="D31" s="140"/>
      <c r="E31" s="139">
        <f t="shared" si="10"/>
        <v>0</v>
      </c>
      <c r="F31" s="140"/>
      <c r="G31" s="139">
        <f t="shared" si="11"/>
        <v>0</v>
      </c>
      <c r="H31" s="140"/>
      <c r="I31" s="139">
        <f t="shared" si="8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9"/>
        <v>0</v>
      </c>
      <c r="D32" s="140"/>
      <c r="E32" s="139">
        <f t="shared" si="10"/>
        <v>0</v>
      </c>
      <c r="F32" s="140"/>
      <c r="G32" s="139">
        <f t="shared" si="11"/>
        <v>0</v>
      </c>
      <c r="H32" s="140"/>
      <c r="I32" s="139">
        <f t="shared" si="8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9"/>
        <v>0</v>
      </c>
      <c r="D33" s="140"/>
      <c r="E33" s="139">
        <f t="shared" si="10"/>
        <v>0</v>
      </c>
      <c r="F33" s="140"/>
      <c r="G33" s="139">
        <f t="shared" si="11"/>
        <v>0</v>
      </c>
      <c r="H33" s="140"/>
      <c r="I33" s="139">
        <f t="shared" si="8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9"/>
        <v>0</v>
      </c>
      <c r="D34" s="140"/>
      <c r="E34" s="139">
        <f t="shared" si="10"/>
        <v>0</v>
      </c>
      <c r="F34" s="140"/>
      <c r="G34" s="139">
        <f t="shared" si="11"/>
        <v>0</v>
      </c>
      <c r="H34" s="140"/>
      <c r="I34" s="139">
        <f t="shared" si="8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9"/>
        <v>0</v>
      </c>
      <c r="D35" s="140"/>
      <c r="E35" s="139">
        <f t="shared" si="10"/>
        <v>0</v>
      </c>
      <c r="F35" s="140"/>
      <c r="G35" s="139">
        <f t="shared" si="11"/>
        <v>0</v>
      </c>
      <c r="H35" s="140"/>
      <c r="I35" s="139">
        <f t="shared" si="8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9"/>
        <v>0</v>
      </c>
      <c r="D36" s="140"/>
      <c r="E36" s="139">
        <f t="shared" si="10"/>
        <v>0</v>
      </c>
      <c r="F36" s="140"/>
      <c r="G36" s="139">
        <f t="shared" si="11"/>
        <v>0</v>
      </c>
      <c r="H36" s="140"/>
      <c r="I36" s="139">
        <f t="shared" si="8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9"/>
        <v>0</v>
      </c>
      <c r="D37" s="140"/>
      <c r="E37" s="139">
        <f t="shared" si="10"/>
        <v>0</v>
      </c>
      <c r="F37" s="140"/>
      <c r="G37" s="139">
        <f t="shared" si="11"/>
        <v>0</v>
      </c>
      <c r="H37" s="140"/>
      <c r="I37" s="139">
        <f t="shared" si="8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9"/>
        <v>0</v>
      </c>
      <c r="D38" s="140"/>
      <c r="E38" s="139">
        <f t="shared" si="10"/>
        <v>0</v>
      </c>
      <c r="F38" s="140"/>
      <c r="G38" s="139">
        <f t="shared" si="11"/>
        <v>0</v>
      </c>
      <c r="H38" s="140"/>
      <c r="I38" s="139">
        <f t="shared" si="8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9"/>
        <v>0</v>
      </c>
      <c r="D39" s="140"/>
      <c r="E39" s="139">
        <f t="shared" si="10"/>
        <v>0</v>
      </c>
      <c r="F39" s="140"/>
      <c r="G39" s="139">
        <f t="shared" si="11"/>
        <v>0</v>
      </c>
      <c r="H39" s="140"/>
      <c r="I39" s="139">
        <f t="shared" si="8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9"/>
        <v>0</v>
      </c>
      <c r="D40" s="140"/>
      <c r="E40" s="139">
        <f t="shared" si="10"/>
        <v>0</v>
      </c>
      <c r="F40" s="140"/>
      <c r="G40" s="139">
        <f t="shared" si="11"/>
        <v>0</v>
      </c>
      <c r="H40" s="140"/>
      <c r="I40" s="139">
        <f t="shared" si="8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9"/>
        <v>0</v>
      </c>
      <c r="D41" s="140"/>
      <c r="E41" s="139">
        <f t="shared" si="10"/>
        <v>0</v>
      </c>
      <c r="F41" s="140"/>
      <c r="G41" s="139">
        <f t="shared" si="11"/>
        <v>0</v>
      </c>
      <c r="H41" s="140"/>
      <c r="I41" s="139">
        <f t="shared" si="8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9"/>
        <v>0</v>
      </c>
      <c r="D42" s="140"/>
      <c r="E42" s="139">
        <f t="shared" si="10"/>
        <v>0</v>
      </c>
      <c r="F42" s="140"/>
      <c r="G42" s="139">
        <f t="shared" si="11"/>
        <v>0</v>
      </c>
      <c r="H42" s="140"/>
      <c r="I42" s="139">
        <f t="shared" si="8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9"/>
        <v>0</v>
      </c>
      <c r="D43" s="140"/>
      <c r="E43" s="139">
        <f t="shared" si="10"/>
        <v>0</v>
      </c>
      <c r="F43" s="140"/>
      <c r="G43" s="139">
        <f t="shared" si="11"/>
        <v>0</v>
      </c>
      <c r="H43" s="140"/>
      <c r="I43" s="139">
        <f t="shared" si="8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9"/>
        <v>0</v>
      </c>
      <c r="D44" s="140"/>
      <c r="E44" s="139">
        <f t="shared" si="10"/>
        <v>0</v>
      </c>
      <c r="F44" s="140"/>
      <c r="G44" s="139">
        <f t="shared" si="11"/>
        <v>0</v>
      </c>
      <c r="H44" s="140"/>
      <c r="I44" s="139">
        <f t="shared" si="8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9"/>
        <v>0</v>
      </c>
      <c r="D45" s="140"/>
      <c r="E45" s="139">
        <f t="shared" si="10"/>
        <v>0</v>
      </c>
      <c r="F45" s="140"/>
      <c r="G45" s="139">
        <f t="shared" si="11"/>
        <v>0</v>
      </c>
      <c r="H45" s="140"/>
      <c r="I45" s="139">
        <f t="shared" si="8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8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3040</v>
      </c>
      <c r="E48" s="139">
        <f>SUM(E14:E44)</f>
        <v>31553</v>
      </c>
      <c r="F48" s="84"/>
      <c r="G48" s="139">
        <f>SUM(G14:G44)</f>
        <v>51257</v>
      </c>
      <c r="H48" s="84"/>
      <c r="I48" s="139">
        <f>SUM(I14:I44)</f>
        <v>24703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72" priority="3126" stopIfTrue="1" operator="lessThanOrEqual">
      <formula>0</formula>
    </cfRule>
  </conditionalFormatting>
  <conditionalFormatting sqref="C48">
    <cfRule type="cellIs" dxfId="71" priority="236" stopIfTrue="1" operator="lessThanOrEqual">
      <formula>0</formula>
    </cfRule>
  </conditionalFormatting>
  <conditionalFormatting sqref="C48">
    <cfRule type="cellIs" dxfId="70" priority="235" stopIfTrue="1" operator="lessThanOrEqual">
      <formula>0</formula>
    </cfRule>
  </conditionalFormatting>
  <conditionalFormatting sqref="C48">
    <cfRule type="cellIs" dxfId="69" priority="234" stopIfTrue="1" operator="lessThanOrEqual">
      <formula>0</formula>
    </cfRule>
  </conditionalFormatting>
  <conditionalFormatting sqref="C48">
    <cfRule type="cellIs" dxfId="68" priority="233" stopIfTrue="1" operator="lessThanOrEqual">
      <formula>0</formula>
    </cfRule>
  </conditionalFormatting>
  <conditionalFormatting sqref="C46">
    <cfRule type="cellIs" dxfId="67" priority="224" stopIfTrue="1" operator="lessThanOrEqual">
      <formula>0</formula>
    </cfRule>
  </conditionalFormatting>
  <conditionalFormatting sqref="C46">
    <cfRule type="cellIs" dxfId="66" priority="223" stopIfTrue="1" operator="lessThanOrEqual">
      <formula>0</formula>
    </cfRule>
  </conditionalFormatting>
  <conditionalFormatting sqref="C46">
    <cfRule type="cellIs" dxfId="65" priority="222" stopIfTrue="1" operator="lessThanOrEqual">
      <formula>0</formula>
    </cfRule>
  </conditionalFormatting>
  <conditionalFormatting sqref="C46">
    <cfRule type="cellIs" dxfId="64" priority="221" stopIfTrue="1" operator="lessThanOrEqual">
      <formula>0</formula>
    </cfRule>
  </conditionalFormatting>
  <conditionalFormatting sqref="C47">
    <cfRule type="cellIs" dxfId="63" priority="156" stopIfTrue="1" operator="lessThanOrEqual">
      <formula>0</formula>
    </cfRule>
  </conditionalFormatting>
  <conditionalFormatting sqref="C47">
    <cfRule type="cellIs" dxfId="62" priority="155" stopIfTrue="1" operator="lessThanOrEqual">
      <formula>0</formula>
    </cfRule>
  </conditionalFormatting>
  <conditionalFormatting sqref="C47">
    <cfRule type="cellIs" dxfId="61" priority="154" stopIfTrue="1" operator="lessThanOrEqual">
      <formula>0</formula>
    </cfRule>
  </conditionalFormatting>
  <conditionalFormatting sqref="C47">
    <cfRule type="cellIs" dxfId="60" priority="153" stopIfTrue="1" operator="lessThanOrEqual">
      <formula>0</formula>
    </cfRule>
  </conditionalFormatting>
  <conditionalFormatting sqref="E48">
    <cfRule type="cellIs" dxfId="59" priority="144" stopIfTrue="1" operator="lessThanOrEqual">
      <formula>0</formula>
    </cfRule>
  </conditionalFormatting>
  <conditionalFormatting sqref="E48">
    <cfRule type="cellIs" dxfId="58" priority="143" stopIfTrue="1" operator="lessThanOrEqual">
      <formula>0</formula>
    </cfRule>
  </conditionalFormatting>
  <conditionalFormatting sqref="E48">
    <cfRule type="cellIs" dxfId="57" priority="142" stopIfTrue="1" operator="lessThanOrEqual">
      <formula>0</formula>
    </cfRule>
  </conditionalFormatting>
  <conditionalFormatting sqref="E48">
    <cfRule type="cellIs" dxfId="56" priority="141" stopIfTrue="1" operator="lessThanOrEqual">
      <formula>0</formula>
    </cfRule>
  </conditionalFormatting>
  <conditionalFormatting sqref="G48">
    <cfRule type="cellIs" dxfId="55" priority="140" stopIfTrue="1" operator="lessThanOrEqual">
      <formula>0</formula>
    </cfRule>
  </conditionalFormatting>
  <conditionalFormatting sqref="G48">
    <cfRule type="cellIs" dxfId="54" priority="139" stopIfTrue="1" operator="lessThanOrEqual">
      <formula>0</formula>
    </cfRule>
  </conditionalFormatting>
  <conditionalFormatting sqref="G48">
    <cfRule type="cellIs" dxfId="53" priority="138" stopIfTrue="1" operator="lessThanOrEqual">
      <formula>0</formula>
    </cfRule>
  </conditionalFormatting>
  <conditionalFormatting sqref="G48">
    <cfRule type="cellIs" dxfId="52" priority="137" stopIfTrue="1" operator="lessThanOrEqual">
      <formula>0</formula>
    </cfRule>
  </conditionalFormatting>
  <conditionalFormatting sqref="I48">
    <cfRule type="cellIs" dxfId="51" priority="136" stopIfTrue="1" operator="lessThanOrEqual">
      <formula>0</formula>
    </cfRule>
  </conditionalFormatting>
  <conditionalFormatting sqref="I48">
    <cfRule type="cellIs" dxfId="50" priority="135" stopIfTrue="1" operator="lessThanOrEqual">
      <formula>0</formula>
    </cfRule>
  </conditionalFormatting>
  <conditionalFormatting sqref="I48">
    <cfRule type="cellIs" dxfId="49" priority="134" stopIfTrue="1" operator="lessThanOrEqual">
      <formula>0</formula>
    </cfRule>
  </conditionalFormatting>
  <conditionalFormatting sqref="I48">
    <cfRule type="cellIs" dxfId="48" priority="133" stopIfTrue="1" operator="lessThanOrEqual">
      <formula>0</formula>
    </cfRule>
  </conditionalFormatting>
  <conditionalFormatting sqref="C21:C45">
    <cfRule type="cellIs" dxfId="47" priority="44" stopIfTrue="1" operator="lessThanOrEqual">
      <formula>0</formula>
    </cfRule>
  </conditionalFormatting>
  <conditionalFormatting sqref="C21:C45">
    <cfRule type="cellIs" dxfId="46" priority="43" stopIfTrue="1" operator="lessThanOrEqual">
      <formula>0</formula>
    </cfRule>
  </conditionalFormatting>
  <conditionalFormatting sqref="C21:C45">
    <cfRule type="cellIs" dxfId="45" priority="42" stopIfTrue="1" operator="lessThanOrEqual">
      <formula>0</formula>
    </cfRule>
  </conditionalFormatting>
  <conditionalFormatting sqref="C21:C45">
    <cfRule type="cellIs" dxfId="44" priority="41" stopIfTrue="1" operator="lessThanOrEqual">
      <formula>0</formula>
    </cfRule>
  </conditionalFormatting>
  <conditionalFormatting sqref="C9">
    <cfRule type="cellIs" dxfId="43" priority="40" stopIfTrue="1" operator="lessThanOrEqual">
      <formula>0</formula>
    </cfRule>
  </conditionalFormatting>
  <conditionalFormatting sqref="C9">
    <cfRule type="cellIs" dxfId="42" priority="39" stopIfTrue="1" operator="lessThanOrEqual">
      <formula>0</formula>
    </cfRule>
  </conditionalFormatting>
  <conditionalFormatting sqref="C9">
    <cfRule type="cellIs" dxfId="41" priority="38" stopIfTrue="1" operator="lessThanOrEqual">
      <formula>0</formula>
    </cfRule>
  </conditionalFormatting>
  <conditionalFormatting sqref="C9">
    <cfRule type="cellIs" dxfId="40" priority="37" stopIfTrue="1" operator="lessThanOrEqual">
      <formula>0</formula>
    </cfRule>
  </conditionalFormatting>
  <conditionalFormatting sqref="C10">
    <cfRule type="cellIs" dxfId="39" priority="36" stopIfTrue="1" operator="lessThanOrEqual">
      <formula>0</formula>
    </cfRule>
  </conditionalFormatting>
  <conditionalFormatting sqref="C10">
    <cfRule type="cellIs" dxfId="38" priority="35" stopIfTrue="1" operator="lessThanOrEqual">
      <formula>0</formula>
    </cfRule>
  </conditionalFormatting>
  <conditionalFormatting sqref="C10">
    <cfRule type="cellIs" dxfId="37" priority="34" stopIfTrue="1" operator="lessThanOrEqual">
      <formula>0</formula>
    </cfRule>
  </conditionalFormatting>
  <conditionalFormatting sqref="C10">
    <cfRule type="cellIs" dxfId="36" priority="33" stopIfTrue="1" operator="lessThanOrEqual">
      <formula>0</formula>
    </cfRule>
  </conditionalFormatting>
  <conditionalFormatting sqref="C11">
    <cfRule type="cellIs" dxfId="35" priority="32" stopIfTrue="1" operator="lessThanOrEqual">
      <formula>0</formula>
    </cfRule>
  </conditionalFormatting>
  <conditionalFormatting sqref="C11">
    <cfRule type="cellIs" dxfId="34" priority="31" stopIfTrue="1" operator="lessThanOrEqual">
      <formula>0</formula>
    </cfRule>
  </conditionalFormatting>
  <conditionalFormatting sqref="C11">
    <cfRule type="cellIs" dxfId="33" priority="30" stopIfTrue="1" operator="lessThanOrEqual">
      <formula>0</formula>
    </cfRule>
  </conditionalFormatting>
  <conditionalFormatting sqref="C11">
    <cfRule type="cellIs" dxfId="32" priority="29" stopIfTrue="1" operator="lessThanOrEqual">
      <formula>0</formula>
    </cfRule>
  </conditionalFormatting>
  <conditionalFormatting sqref="C12">
    <cfRule type="cellIs" dxfId="31" priority="28" stopIfTrue="1" operator="lessThanOrEqual">
      <formula>0</formula>
    </cfRule>
  </conditionalFormatting>
  <conditionalFormatting sqref="C12">
    <cfRule type="cellIs" dxfId="30" priority="27" stopIfTrue="1" operator="lessThanOrEqual">
      <formula>0</formula>
    </cfRule>
  </conditionalFormatting>
  <conditionalFormatting sqref="C12">
    <cfRule type="cellIs" dxfId="29" priority="26" stopIfTrue="1" operator="lessThanOrEqual">
      <formula>0</formula>
    </cfRule>
  </conditionalFormatting>
  <conditionalFormatting sqref="C12">
    <cfRule type="cellIs" dxfId="28" priority="25" stopIfTrue="1" operator="lessThanOrEqual">
      <formula>0</formula>
    </cfRule>
  </conditionalFormatting>
  <conditionalFormatting sqref="C13:C14">
    <cfRule type="cellIs" dxfId="27" priority="24" stopIfTrue="1" operator="lessThanOrEqual">
      <formula>0</formula>
    </cfRule>
  </conditionalFormatting>
  <conditionalFormatting sqref="C13:C14">
    <cfRule type="cellIs" dxfId="26" priority="23" stopIfTrue="1" operator="lessThanOrEqual">
      <formula>0</formula>
    </cfRule>
  </conditionalFormatting>
  <conditionalFormatting sqref="C13:C14">
    <cfRule type="cellIs" dxfId="25" priority="22" stopIfTrue="1" operator="lessThanOrEqual">
      <formula>0</formula>
    </cfRule>
  </conditionalFormatting>
  <conditionalFormatting sqref="C13:C14">
    <cfRule type="cellIs" dxfId="24" priority="21" stopIfTrue="1" operator="lessThanOrEqual">
      <formula>0</formula>
    </cfRule>
  </conditionalFormatting>
  <conditionalFormatting sqref="C15">
    <cfRule type="cellIs" dxfId="23" priority="20" stopIfTrue="1" operator="lessThanOrEqual">
      <formula>0</formula>
    </cfRule>
  </conditionalFormatting>
  <conditionalFormatting sqref="C15">
    <cfRule type="cellIs" dxfId="22" priority="19" stopIfTrue="1" operator="lessThanOrEqual">
      <formula>0</formula>
    </cfRule>
  </conditionalFormatting>
  <conditionalFormatting sqref="C15">
    <cfRule type="cellIs" dxfId="21" priority="18" stopIfTrue="1" operator="lessThanOrEqual">
      <formula>0</formula>
    </cfRule>
  </conditionalFormatting>
  <conditionalFormatting sqref="C15">
    <cfRule type="cellIs" dxfId="20" priority="17" stopIfTrue="1" operator="lessThanOrEqual">
      <formula>0</formula>
    </cfRule>
  </conditionalFormatting>
  <conditionalFormatting sqref="C16">
    <cfRule type="cellIs" dxfId="19" priority="16" stopIfTrue="1" operator="lessThanOrEqual">
      <formula>0</formula>
    </cfRule>
  </conditionalFormatting>
  <conditionalFormatting sqref="C16">
    <cfRule type="cellIs" dxfId="18" priority="15" stopIfTrue="1" operator="lessThanOrEqual">
      <formula>0</formula>
    </cfRule>
  </conditionalFormatting>
  <conditionalFormatting sqref="C16">
    <cfRule type="cellIs" dxfId="17" priority="14" stopIfTrue="1" operator="lessThanOrEqual">
      <formula>0</formula>
    </cfRule>
  </conditionalFormatting>
  <conditionalFormatting sqref="C16">
    <cfRule type="cellIs" dxfId="16" priority="13" stopIfTrue="1" operator="lessThanOrEqual">
      <formula>0</formula>
    </cfRule>
  </conditionalFormatting>
  <conditionalFormatting sqref="C17">
    <cfRule type="cellIs" dxfId="15" priority="12" stopIfTrue="1" operator="lessThanOrEqual">
      <formula>0</formula>
    </cfRule>
  </conditionalFormatting>
  <conditionalFormatting sqref="C17">
    <cfRule type="cellIs" dxfId="14" priority="11" stopIfTrue="1" operator="lessThanOrEqual">
      <formula>0</formula>
    </cfRule>
  </conditionalFormatting>
  <conditionalFormatting sqref="C17">
    <cfRule type="cellIs" dxfId="13" priority="10" stopIfTrue="1" operator="lessThanOrEqual">
      <formula>0</formula>
    </cfRule>
  </conditionalFormatting>
  <conditionalFormatting sqref="C17">
    <cfRule type="cellIs" dxfId="12" priority="9" stopIfTrue="1" operator="lessThanOrEqual">
      <formula>0</formula>
    </cfRule>
  </conditionalFormatting>
  <conditionalFormatting sqref="C18">
    <cfRule type="cellIs" dxfId="11" priority="8" stopIfTrue="1" operator="lessThanOrEqual">
      <formula>0</formula>
    </cfRule>
  </conditionalFormatting>
  <conditionalFormatting sqref="C18">
    <cfRule type="cellIs" dxfId="10" priority="7" stopIfTrue="1" operator="lessThanOrEqual">
      <formula>0</formula>
    </cfRule>
  </conditionalFormatting>
  <conditionalFormatting sqref="C18">
    <cfRule type="cellIs" dxfId="9" priority="6" stopIfTrue="1" operator="lessThanOrEqual">
      <formula>0</formula>
    </cfRule>
  </conditionalFormatting>
  <conditionalFormatting sqref="C18">
    <cfRule type="cellIs" dxfId="8" priority="5" stopIfTrue="1" operator="lessThanOrEqual">
      <formula>0</formula>
    </cfRule>
  </conditionalFormatting>
  <conditionalFormatting sqref="C19:C20">
    <cfRule type="cellIs" dxfId="7" priority="4" stopIfTrue="1" operator="lessThanOrEqual">
      <formula>0</formula>
    </cfRule>
  </conditionalFormatting>
  <conditionalFormatting sqref="C19:C20">
    <cfRule type="cellIs" dxfId="5" priority="3" stopIfTrue="1" operator="lessThanOrEqual">
      <formula>0</formula>
    </cfRule>
  </conditionalFormatting>
  <conditionalFormatting sqref="C19:C20">
    <cfRule type="cellIs" dxfId="3" priority="2" stopIfTrue="1" operator="lessThanOrEqual">
      <formula>0</formula>
    </cfRule>
  </conditionalFormatting>
  <conditionalFormatting sqref="C19:C2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2020-03-07T11:22:28Z</dcterms:modified>
</cp:coreProperties>
</file>