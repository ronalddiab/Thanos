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14910" windowHeight="420"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38" i="3" l="1"/>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K8" i="3"/>
  <c r="AL8" i="3"/>
  <c r="AL39" i="3" l="1"/>
  <c r="AK39" i="3"/>
  <c r="AK41" i="3" l="1"/>
  <c r="AL41" i="3"/>
  <c r="AI38" i="3" l="1"/>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C41" i="9" l="1"/>
  <c r="AJ14" i="5" l="1"/>
  <c r="BC33" i="5"/>
  <c r="BC34" i="5" s="1"/>
  <c r="BC35" i="5" s="1"/>
  <c r="BC36" i="5" s="1"/>
  <c r="BC15" i="5"/>
  <c r="BA33" i="5"/>
  <c r="BA34" i="5" s="1"/>
  <c r="BA35" i="5" s="1"/>
  <c r="BA36" i="5" s="1"/>
  <c r="BA16" i="5"/>
  <c r="AY33" i="5"/>
  <c r="AY34" i="5" s="1"/>
  <c r="AY35" i="5" s="1"/>
  <c r="AY36" i="5" s="1"/>
  <c r="AY16" i="5"/>
  <c r="AO34" i="5"/>
  <c r="AO35" i="5" s="1"/>
  <c r="AO33" i="5"/>
  <c r="AO27" i="5"/>
  <c r="AO16" i="5"/>
  <c r="AM33" i="5"/>
  <c r="AM34" i="5" s="1"/>
  <c r="AM35" i="5" s="1"/>
  <c r="AM36" i="5" s="1"/>
  <c r="AM16" i="5"/>
  <c r="AK33" i="5"/>
  <c r="AK34" i="5" s="1"/>
  <c r="AK35" i="5" s="1"/>
  <c r="AK36" i="5" s="1"/>
  <c r="AK37" i="5" s="1"/>
  <c r="AK38" i="5" s="1"/>
  <c r="AK24" i="5"/>
  <c r="AK25" i="5" s="1"/>
  <c r="AI33" i="5"/>
  <c r="AI34" i="5" s="1"/>
  <c r="AI35" i="5" s="1"/>
  <c r="AI36" i="5" s="1"/>
  <c r="AI37" i="5" s="1"/>
  <c r="AI38" i="5" s="1"/>
  <c r="AI24" i="5"/>
  <c r="AI25" i="5" s="1"/>
  <c r="AI26" i="5" s="1"/>
  <c r="AI27" i="5" s="1"/>
  <c r="AI28" i="5" s="1"/>
  <c r="AI29" i="5" s="1"/>
  <c r="AG33" i="5"/>
  <c r="AG34" i="5" s="1"/>
  <c r="AG35" i="5" s="1"/>
  <c r="AG36" i="5" s="1"/>
  <c r="AG37" i="5" s="1"/>
  <c r="AG38" i="5" s="1"/>
  <c r="AG24" i="5"/>
  <c r="AG25" i="5" s="1"/>
  <c r="AG26" i="5" s="1"/>
  <c r="AG27" i="5" s="1"/>
  <c r="AG28" i="5" s="1"/>
  <c r="AG29" i="5" s="1"/>
  <c r="AE33" i="5"/>
  <c r="AE34" i="5" s="1"/>
  <c r="AE35" i="5" s="1"/>
  <c r="AE36" i="5" s="1"/>
  <c r="AE37" i="5" s="1"/>
  <c r="AE38" i="5" s="1"/>
  <c r="AE24" i="5"/>
  <c r="AE25" i="5" s="1"/>
  <c r="AE26" i="5" s="1"/>
  <c r="AE27" i="5" s="1"/>
  <c r="AE28" i="5" s="1"/>
  <c r="AE29" i="5" s="1"/>
  <c r="AC33" i="5"/>
  <c r="AC34" i="5" s="1"/>
  <c r="AC35" i="5" s="1"/>
  <c r="AC36" i="5" s="1"/>
  <c r="AC37" i="5" s="1"/>
  <c r="AC38" i="5" s="1"/>
  <c r="AC24" i="5"/>
  <c r="AC25" i="5" s="1"/>
  <c r="AC26" i="5" s="1"/>
  <c r="AC27" i="5" s="1"/>
  <c r="AC28" i="5" s="1"/>
  <c r="AC29" i="5" s="1"/>
  <c r="Y33" i="5"/>
  <c r="Y34" i="5" s="1"/>
  <c r="Y35" i="5" s="1"/>
  <c r="Y36" i="5" s="1"/>
  <c r="Y37" i="5" s="1"/>
  <c r="Y38" i="5" s="1"/>
  <c r="W33" i="5"/>
  <c r="W34" i="5" s="1"/>
  <c r="W35" i="5" s="1"/>
  <c r="W36" i="5" s="1"/>
  <c r="W37" i="5" s="1"/>
  <c r="W38" i="5" s="1"/>
  <c r="W24" i="5"/>
  <c r="W25" i="5" s="1"/>
  <c r="W26" i="5" s="1"/>
  <c r="W27" i="5" s="1"/>
  <c r="W28" i="5" s="1"/>
  <c r="W29" i="5" s="1"/>
  <c r="U33" i="5"/>
  <c r="U34" i="5" s="1"/>
  <c r="U35" i="5" s="1"/>
  <c r="U36" i="5" s="1"/>
  <c r="U37" i="5" s="1"/>
  <c r="U38" i="5" s="1"/>
  <c r="U24" i="5"/>
  <c r="U25" i="5" s="1"/>
  <c r="U26" i="5" s="1"/>
  <c r="U27" i="5" s="1"/>
  <c r="U28" i="5" s="1"/>
  <c r="U29" i="5" s="1"/>
  <c r="S33" i="5"/>
  <c r="S34" i="5" s="1"/>
  <c r="S35" i="5" s="1"/>
  <c r="S36" i="5" s="1"/>
  <c r="S37" i="5" s="1"/>
  <c r="S38" i="5" s="1"/>
  <c r="S24" i="5"/>
  <c r="S25" i="5" s="1"/>
  <c r="S26" i="5" s="1"/>
  <c r="S27" i="5" s="1"/>
  <c r="S28" i="5" s="1"/>
  <c r="S29" i="5" s="1"/>
  <c r="Q33" i="5"/>
  <c r="Q34" i="5" s="1"/>
  <c r="Q35" i="5" s="1"/>
  <c r="Q36" i="5" s="1"/>
  <c r="Q37" i="5" s="1"/>
  <c r="Q38" i="5" s="1"/>
  <c r="Q24" i="5"/>
  <c r="Q25" i="5" s="1"/>
  <c r="Q26" i="5" s="1"/>
  <c r="Q27" i="5" s="1"/>
  <c r="Q28" i="5" s="1"/>
  <c r="Q29" i="5" s="1"/>
  <c r="O33" i="5"/>
  <c r="O34" i="5" s="1"/>
  <c r="O35" i="5" s="1"/>
  <c r="O36" i="5" s="1"/>
  <c r="O37" i="5" s="1"/>
  <c r="O38" i="5" s="1"/>
  <c r="O24" i="5"/>
  <c r="O25" i="5" s="1"/>
  <c r="O26" i="5" s="1"/>
  <c r="O27" i="5" s="1"/>
  <c r="O28" i="5" s="1"/>
  <c r="O29" i="5" s="1"/>
  <c r="K33" i="5"/>
  <c r="K34" i="5" s="1"/>
  <c r="K35" i="5" s="1"/>
  <c r="K36" i="5" s="1"/>
  <c r="K37" i="5" s="1"/>
  <c r="K38" i="5" s="1"/>
  <c r="K24" i="5"/>
  <c r="K25" i="5" s="1"/>
  <c r="K26" i="5" s="1"/>
  <c r="K27" i="5" s="1"/>
  <c r="K28" i="5" s="1"/>
  <c r="K29" i="5" s="1"/>
  <c r="I33" i="5"/>
  <c r="I34" i="5" s="1"/>
  <c r="I35" i="5" s="1"/>
  <c r="I36" i="5" s="1"/>
  <c r="I37" i="5" s="1"/>
  <c r="I38" i="5" s="1"/>
  <c r="I24" i="5"/>
  <c r="I25" i="5" s="1"/>
  <c r="I26" i="5" s="1"/>
  <c r="I27" i="5" s="1"/>
  <c r="I28" i="5" s="1"/>
  <c r="I29" i="5" s="1"/>
  <c r="G33" i="5"/>
  <c r="G34" i="5" s="1"/>
  <c r="G35" i="5" s="1"/>
  <c r="G36" i="5" s="1"/>
  <c r="G37" i="5" s="1"/>
  <c r="G38" i="5" s="1"/>
  <c r="G24" i="5"/>
  <c r="G25" i="5" s="1"/>
  <c r="G26" i="5" s="1"/>
  <c r="G27" i="5" s="1"/>
  <c r="G28" i="5" s="1"/>
  <c r="G29" i="5" s="1"/>
  <c r="C33" i="5"/>
  <c r="C34" i="5" s="1"/>
  <c r="C35" i="5" s="1"/>
  <c r="C36" i="5" s="1"/>
  <c r="C37" i="5" s="1"/>
  <c r="C38" i="5" s="1"/>
  <c r="C24" i="5"/>
  <c r="C25" i="5" s="1"/>
  <c r="C26" i="5" s="1"/>
  <c r="C27" i="5" s="1"/>
  <c r="C28" i="5" s="1"/>
  <c r="C29" i="5" s="1"/>
  <c r="O35" i="4"/>
  <c r="K35" i="4"/>
  <c r="I25" i="4"/>
  <c r="E35" i="4"/>
  <c r="C35" i="4"/>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F38" i="5"/>
  <c r="D38" i="5"/>
  <c r="E38" i="5" s="1"/>
  <c r="D37" i="5"/>
  <c r="F37" i="5" s="1"/>
  <c r="Y38" i="3"/>
  <c r="Y37" i="3"/>
  <c r="Y36" i="3"/>
  <c r="U38" i="3"/>
  <c r="V38" i="3" s="1"/>
  <c r="U37" i="3"/>
  <c r="V37" i="3" s="1"/>
  <c r="U36" i="3"/>
  <c r="V36" i="3" s="1"/>
  <c r="R38" i="3"/>
  <c r="S38" i="3" s="1"/>
  <c r="R37" i="3"/>
  <c r="S37" i="3" s="1"/>
  <c r="R36" i="3"/>
  <c r="S36" i="3" s="1"/>
  <c r="O38" i="3"/>
  <c r="P38" i="3" s="1"/>
  <c r="O37" i="3"/>
  <c r="P37" i="3" s="1"/>
  <c r="O36" i="3"/>
  <c r="P36" i="3" s="1"/>
  <c r="M38" i="3"/>
  <c r="M37" i="3"/>
  <c r="M36" i="3"/>
  <c r="K38" i="3"/>
  <c r="K37" i="3"/>
  <c r="K36" i="3"/>
  <c r="H38" i="3"/>
  <c r="I38" i="3" s="1"/>
  <c r="H37" i="3"/>
  <c r="I37" i="3" s="1"/>
  <c r="H36" i="3"/>
  <c r="I36" i="3" s="1"/>
  <c r="F38" i="3"/>
  <c r="F37" i="3"/>
  <c r="F36" i="3"/>
  <c r="D38" i="3"/>
  <c r="D37" i="3"/>
  <c r="D36" i="3"/>
  <c r="P37" i="4"/>
  <c r="P36" i="4"/>
  <c r="P35" i="4"/>
  <c r="S35" i="4" s="1"/>
  <c r="I31" i="8" s="1"/>
  <c r="L37" i="4"/>
  <c r="M37" i="4" s="1"/>
  <c r="L36" i="4"/>
  <c r="N36" i="4" s="1"/>
  <c r="S36" i="4" s="1"/>
  <c r="I32" i="8" s="1"/>
  <c r="L35" i="4"/>
  <c r="N35" i="4" s="1"/>
  <c r="J37" i="4"/>
  <c r="J36" i="4"/>
  <c r="J35" i="4"/>
  <c r="H37" i="4"/>
  <c r="H36" i="4"/>
  <c r="H35" i="4"/>
  <c r="F37" i="4"/>
  <c r="F36" i="4"/>
  <c r="F35" i="4"/>
  <c r="D37" i="4"/>
  <c r="R37" i="4" s="1"/>
  <c r="D36" i="4"/>
  <c r="D35" i="4"/>
  <c r="M35" i="4" l="1"/>
  <c r="N37" i="4"/>
  <c r="BI37" i="5"/>
  <c r="L31" i="8" s="1"/>
  <c r="BI38" i="5"/>
  <c r="L32" i="8" s="1"/>
  <c r="BI39" i="5"/>
  <c r="L33" i="8" s="1"/>
  <c r="BH38" i="5"/>
  <c r="E37" i="5"/>
  <c r="BH37" i="5" s="1"/>
  <c r="S37" i="4"/>
  <c r="I33" i="8" s="1"/>
  <c r="M36" i="4"/>
  <c r="R35" i="4"/>
  <c r="R36" i="4"/>
  <c r="F33" i="8"/>
  <c r="F31" i="8"/>
  <c r="F32" i="8"/>
  <c r="AK36" i="3"/>
  <c r="AK37" i="3"/>
  <c r="AK38" i="3"/>
  <c r="E39" i="5"/>
  <c r="BH39" i="5" s="1"/>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D8" i="3" l="1"/>
  <c r="F8" i="3"/>
  <c r="H8" i="3"/>
  <c r="I8" i="3" s="1"/>
  <c r="K8" i="3"/>
  <c r="M8" i="3"/>
  <c r="O8" i="3"/>
  <c r="P8" i="3" s="1"/>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Y35" i="3"/>
  <c r="Y34" i="3"/>
  <c r="Y33" i="3"/>
  <c r="Y32" i="3"/>
  <c r="Y31" i="3"/>
  <c r="Y30" i="3"/>
  <c r="Y29" i="3"/>
  <c r="Y28" i="3"/>
  <c r="Y27" i="3"/>
  <c r="Y26" i="3"/>
  <c r="Y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G40" i="3"/>
  <c r="AG42" i="3" s="1"/>
  <c r="Y24" i="3"/>
  <c r="Y23" i="3"/>
  <c r="Y22" i="3"/>
  <c r="Y21" i="3"/>
  <c r="Y20" i="3"/>
  <c r="Y19" i="3"/>
  <c r="Y18" i="3"/>
  <c r="Y17" i="3"/>
  <c r="Y16" i="3"/>
  <c r="Y15" i="3"/>
  <c r="Y14" i="3"/>
  <c r="Y13" i="3"/>
  <c r="Y12" i="3"/>
  <c r="Y11" i="3"/>
  <c r="Y10" i="3"/>
  <c r="Y9" i="3"/>
  <c r="Y40" i="3" l="1"/>
  <c r="Y42" i="3" s="1"/>
  <c r="AA40" i="3"/>
  <c r="AA42" i="3" s="1"/>
  <c r="AI40" i="3"/>
  <c r="AI42" i="3" s="1"/>
  <c r="AC40" i="3"/>
  <c r="AC42" i="3" s="1"/>
  <c r="D40" i="3"/>
  <c r="F40" i="3"/>
  <c r="F42" i="3" s="1"/>
  <c r="I40" i="3"/>
  <c r="I42" i="3" s="1"/>
  <c r="K40" i="3"/>
  <c r="K42" i="3" s="1"/>
  <c r="M40" i="3"/>
  <c r="M42" i="3" s="1"/>
  <c r="P40" i="3"/>
  <c r="S40" i="3"/>
  <c r="S42" i="3" s="1"/>
  <c r="V40" i="3"/>
  <c r="V42" i="3" s="1"/>
  <c r="AE40" i="3"/>
  <c r="AE42" i="3" s="1"/>
  <c r="N22" i="4"/>
  <c r="R24" i="4"/>
  <c r="R28" i="4"/>
  <c r="M16" i="4"/>
  <c r="J18" i="1"/>
  <c r="M7" i="4"/>
  <c r="E32" i="1"/>
  <c r="E14" i="5"/>
  <c r="BH14" i="5" s="1"/>
  <c r="F14" i="5"/>
  <c r="BI14" i="5" s="1"/>
  <c r="L8" i="8" s="1"/>
  <c r="F22" i="5"/>
  <c r="BI22" i="5" s="1"/>
  <c r="L16" i="8" s="1"/>
  <c r="E22" i="5"/>
  <c r="BH22" i="5" s="1"/>
  <c r="F30" i="5"/>
  <c r="BI30" i="5" s="1"/>
  <c r="L24" i="8" s="1"/>
  <c r="E30" i="5"/>
  <c r="BH30" i="5" s="1"/>
  <c r="M21" i="4"/>
  <c r="F11" i="5"/>
  <c r="E11" i="5"/>
  <c r="BH11" i="5" s="1"/>
  <c r="F15" i="5"/>
  <c r="BI15" i="5" s="1"/>
  <c r="L9" i="8" s="1"/>
  <c r="E15" i="5"/>
  <c r="BH15" i="5" s="1"/>
  <c r="F19" i="5"/>
  <c r="E19" i="5"/>
  <c r="BH19" i="5" s="1"/>
  <c r="F23" i="5"/>
  <c r="BI23" i="5" s="1"/>
  <c r="L17" i="8" s="1"/>
  <c r="E23" i="5"/>
  <c r="F27" i="5"/>
  <c r="BI27" i="5" s="1"/>
  <c r="L21" i="8" s="1"/>
  <c r="E27" i="5"/>
  <c r="BH27" i="5" s="1"/>
  <c r="F31" i="5"/>
  <c r="BI31" i="5" s="1"/>
  <c r="L25" i="8" s="1"/>
  <c r="E31" i="5"/>
  <c r="BH31" i="5" s="1"/>
  <c r="F35" i="5"/>
  <c r="E35" i="5"/>
  <c r="BH35" i="5" s="1"/>
  <c r="F10" i="5"/>
  <c r="BI10" i="5" s="1"/>
  <c r="L4" i="8" s="1"/>
  <c r="E10" i="5"/>
  <c r="F18" i="5"/>
  <c r="BI18" i="5" s="1"/>
  <c r="L12" i="8" s="1"/>
  <c r="E18" i="5"/>
  <c r="BH18" i="5" s="1"/>
  <c r="F26" i="5"/>
  <c r="BI26" i="5" s="1"/>
  <c r="L20" i="8" s="1"/>
  <c r="E26" i="5"/>
  <c r="BH26" i="5" s="1"/>
  <c r="F34" i="5"/>
  <c r="E34" i="5"/>
  <c r="M15" i="4"/>
  <c r="N17" i="4"/>
  <c r="S17" i="4" s="1"/>
  <c r="I13" i="8" s="1"/>
  <c r="E12" i="5"/>
  <c r="BH12" i="5" s="1"/>
  <c r="F12" i="5"/>
  <c r="BI12" i="5" s="1"/>
  <c r="L6" i="8" s="1"/>
  <c r="E16" i="5"/>
  <c r="BH16" i="5" s="1"/>
  <c r="F16" i="5"/>
  <c r="BI16" i="5" s="1"/>
  <c r="L10" i="8" s="1"/>
  <c r="E20" i="5"/>
  <c r="BH20" i="5" s="1"/>
  <c r="F20" i="5"/>
  <c r="BI20" i="5" s="1"/>
  <c r="L14" i="8" s="1"/>
  <c r="E24" i="5"/>
  <c r="BH24" i="5" s="1"/>
  <c r="F24" i="5"/>
  <c r="BI24" i="5" s="1"/>
  <c r="L18" i="8" s="1"/>
  <c r="E28" i="5"/>
  <c r="BH28" i="5" s="1"/>
  <c r="F28" i="5"/>
  <c r="BI28" i="5" s="1"/>
  <c r="L22" i="8" s="1"/>
  <c r="E32" i="5"/>
  <c r="BH32" i="5" s="1"/>
  <c r="F32" i="5"/>
  <c r="BI32" i="5" s="1"/>
  <c r="L26" i="8" s="1"/>
  <c r="E36" i="5"/>
  <c r="BH36" i="5" s="1"/>
  <c r="F36" i="5"/>
  <c r="R15" i="4"/>
  <c r="H11" i="8" s="1"/>
  <c r="E13" i="5"/>
  <c r="BH13" i="5" s="1"/>
  <c r="F13" i="5"/>
  <c r="BI13" i="5" s="1"/>
  <c r="L7" i="8" s="1"/>
  <c r="E17" i="5"/>
  <c r="BH17" i="5" s="1"/>
  <c r="F17" i="5"/>
  <c r="BI17" i="5" s="1"/>
  <c r="L11" i="8" s="1"/>
  <c r="E21" i="5"/>
  <c r="BH21" i="5" s="1"/>
  <c r="F21" i="5"/>
  <c r="BI21" i="5" s="1"/>
  <c r="L15" i="8" s="1"/>
  <c r="E25" i="5"/>
  <c r="BH25" i="5" s="1"/>
  <c r="F25" i="5"/>
  <c r="BI25" i="5" s="1"/>
  <c r="L19" i="8" s="1"/>
  <c r="E29" i="5"/>
  <c r="BH29" i="5" s="1"/>
  <c r="F29" i="5"/>
  <c r="BI29" i="5" s="1"/>
  <c r="L23" i="8" s="1"/>
  <c r="E33" i="5"/>
  <c r="BH33" i="5" s="1"/>
  <c r="F33" i="5"/>
  <c r="J30" i="1"/>
  <c r="M8" i="4"/>
  <c r="N32" i="4"/>
  <c r="S32" i="4" s="1"/>
  <c r="I28" i="8" s="1"/>
  <c r="R34" i="4"/>
  <c r="H30" i="8" s="1"/>
  <c r="R20" i="4"/>
  <c r="H16" i="8" s="1"/>
  <c r="S8" i="4"/>
  <c r="I4" i="8" s="1"/>
  <c r="M23" i="4"/>
  <c r="M28" i="4"/>
  <c r="N31" i="4"/>
  <c r="S31" i="4" s="1"/>
  <c r="I27" i="8" s="1"/>
  <c r="N24" i="4"/>
  <c r="S24" i="4" s="1"/>
  <c r="I20" i="8" s="1"/>
  <c r="M27" i="4"/>
  <c r="R12" i="4"/>
  <c r="H8" i="8" s="1"/>
  <c r="BH10" i="5"/>
  <c r="BI11" i="5"/>
  <c r="L5" i="8" s="1"/>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L13" i="8" s="1"/>
  <c r="S27" i="4"/>
  <c r="I23" i="8" s="1"/>
  <c r="N26" i="4"/>
  <c r="S26" i="4" s="1"/>
  <c r="I22" i="8" s="1"/>
  <c r="R25" i="4"/>
  <c r="H21" i="8" s="1"/>
  <c r="R26" i="4"/>
  <c r="H22" i="8" s="1"/>
  <c r="S11" i="4"/>
  <c r="I7" i="8" s="1"/>
  <c r="G31" i="1"/>
  <c r="H31" i="1" s="1"/>
  <c r="G30" i="1"/>
  <c r="H30" i="1" s="1"/>
  <c r="G31" i="6"/>
  <c r="BH23" i="5"/>
  <c r="BH9" i="5"/>
  <c r="F9" i="5"/>
  <c r="BI9" i="5" s="1"/>
  <c r="L3" i="8"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F25" i="8"/>
  <c r="F30" i="8"/>
  <c r="F23" i="8"/>
  <c r="F29" i="8"/>
  <c r="F28" i="8"/>
  <c r="F27" i="8"/>
  <c r="AK29" i="3"/>
  <c r="AK33" i="3"/>
  <c r="E31" i="1"/>
  <c r="F21" i="8"/>
  <c r="F24" i="8"/>
  <c r="E31" i="6"/>
  <c r="F26" i="8"/>
  <c r="E30" i="6"/>
  <c r="F22" i="8"/>
  <c r="F4" i="8"/>
  <c r="F11" i="8"/>
  <c r="F19" i="8"/>
  <c r="F20" i="8"/>
  <c r="F6" i="8"/>
  <c r="F14" i="8"/>
  <c r="F9" i="8"/>
  <c r="F7" i="8"/>
  <c r="F10" i="8"/>
  <c r="F15" i="8"/>
  <c r="F18" i="8"/>
  <c r="F12" i="8"/>
  <c r="F17" i="8"/>
  <c r="F5" i="8"/>
  <c r="F8" i="8"/>
  <c r="F13" i="8"/>
  <c r="F16" i="8"/>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D42" i="3" l="1"/>
  <c r="AK40" i="3"/>
  <c r="AK42" i="3" s="1"/>
  <c r="P42" i="3"/>
  <c r="AL40" i="3"/>
  <c r="AL42" i="3" s="1"/>
  <c r="F3" i="8"/>
  <c r="J23" i="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L27" i="8" s="1"/>
  <c r="AN34" i="5"/>
  <c r="BI34" i="5" s="1"/>
  <c r="L28" i="8" s="1"/>
  <c r="G17" i="8" l="1"/>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L30" i="8" s="1"/>
  <c r="G30" i="6"/>
  <c r="AN35" i="5"/>
  <c r="BI35" i="5" s="1"/>
  <c r="L29" i="8" s="1"/>
  <c r="E34" i="10" l="1"/>
  <c r="G29" i="6"/>
  <c r="M30" i="8"/>
  <c r="G29" i="10" s="1"/>
  <c r="G28" i="6"/>
  <c r="M29" i="8"/>
  <c r="G28" i="10" s="1"/>
</calcChain>
</file>

<file path=xl/sharedStrings.xml><?xml version="1.0" encoding="utf-8"?>
<sst xmlns="http://schemas.openxmlformats.org/spreadsheetml/2006/main" count="1423" uniqueCount="406">
  <si>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</si>
  <si>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</si>
  <si>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</si>
  <si>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</si>
  <si>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</si>
  <si>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</si>
  <si>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</si>
  <si>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</si>
  <si>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</si>
  <si>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</si>
  <si>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</si>
  <si>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</si>
  <si>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</si>
  <si>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</si>
  <si>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</si>
  <si>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</si>
  <si>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</si>
  <si>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</si>
  <si>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</si>
  <si>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</si>
  <si>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</si>
  <si>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</si>
  <si>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</si>
  <si>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</si>
  <si>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</si>
  <si>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</si>
  <si>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</si>
  <si>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</si>
  <si>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</si>
  <si>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</si>
  <si>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</si>
  <si>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</si>
  <si>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</si>
  <si>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</si>
  <si>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</si>
  <si>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</si>
  <si>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</si>
  <si>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</si>
  <si>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</si>
  <si>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</si>
  <si>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</si>
  <si>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</si>
  <si>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</si>
  <si>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</si>
  <si>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</si>
  <si>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</si>
  <si>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</si>
  <si>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</si>
  <si>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</si>
  <si>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</si>
  <si>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</si>
  <si>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</si>
  <si>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</si>
  <si>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</si>
  <si>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</si>
  <si>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</si>
  <si>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</si>
  <si>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</si>
  <si>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</si>
  <si>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</si>
  <si>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</si>
  <si>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</si>
  <si>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</si>
  <si>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</si>
  <si>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</si>
  <si>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</si>
  <si>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</si>
  <si>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</si>
  <si>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</si>
  <si>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</si>
  <si>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</si>
  <si>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</si>
  <si>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</si>
  <si>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</si>
  <si>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</si>
  <si>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</si>
  <si>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</si>
  <si>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</si>
  <si>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</si>
  <si>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</si>
  <si>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</si>
  <si>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</si>
  <si>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</si>
  <si>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</si>
  <si>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</si>
  <si>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</si>
  <si>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</si>
  <si>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</si>
  <si>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</si>
  <si>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</si>
  <si>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</si>
  <si>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</si>
  <si>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</si>
  <si>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</si>
  <si>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</si>
  <si>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</si>
  <si>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</si>
  <si>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</si>
  <si>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</si>
  <si>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</si>
  <si>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</si>
  <si>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</si>
  <si>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</si>
  <si>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</si>
  <si>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</si>
  <si>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</si>
  <si>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</si>
  <si>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</si>
  <si>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</si>
  <si>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</si>
  <si>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</si>
  <si>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</si>
  <si>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</si>
  <si>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</si>
  <si>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</si>
  <si>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</si>
  <si>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</si>
  <si>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</si>
  <si>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</si>
  <si>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</si>
  <si>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</si>
  <si>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</si>
  <si>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</si>
  <si>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</si>
  <si>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</si>
  <si>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</si>
  <si>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</si>
  <si>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</si>
  <si>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</si>
  <si>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</si>
  <si>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</si>
  <si>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</si>
  <si>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</si>
  <si>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</si>
  <si>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</si>
  <si>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</si>
  <si>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</si>
  <si>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</si>
  <si>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</si>
  <si>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</si>
  <si>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</si>
  <si>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</si>
  <si>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</si>
  <si>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</si>
  <si>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</si>
  <si>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</si>
  <si>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</si>
  <si>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</si>
  <si>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</si>
  <si>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</si>
  <si>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</si>
  <si>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</si>
  <si>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</si>
  <si>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</si>
  <si>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</si>
  <si>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</si>
  <si>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</si>
  <si>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</si>
  <si>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</si>
  <si>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</si>
  <si>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</si>
  <si>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</si>
  <si>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</si>
  <si>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</si>
  <si>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</si>
  <si>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</si>
  <si>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</si>
  <si>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</si>
  <si>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</si>
  <si>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</si>
  <si>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</si>
  <si>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</si>
  <si>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</si>
  <si>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</si>
  <si>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</si>
  <si>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</si>
  <si>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</si>
  <si>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</si>
  <si>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</si>
  <si>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</si>
  <si>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</si>
  <si>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</si>
  <si>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</si>
  <si>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</si>
  <si>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</si>
  <si>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</si>
  <si>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</si>
  <si>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</si>
  <si>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</si>
  <si>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</si>
  <si>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</si>
  <si>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</si>
  <si>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</si>
  <si>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</si>
  <si>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</si>
  <si>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</si>
  <si>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</si>
  <si>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</si>
  <si>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</si>
  <si>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</si>
  <si>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</si>
  <si>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</si>
  <si>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</si>
  <si>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</si>
  <si>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</si>
  <si>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</si>
  <si>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</si>
  <si>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</si>
  <si>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</si>
  <si>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</si>
  <si>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</si>
  <si>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</si>
  <si>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</si>
  <si>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</si>
  <si>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</si>
  <si>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</si>
  <si>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</si>
  <si>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</si>
  <si>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</si>
  <si>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</si>
  <si>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</si>
  <si>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</si>
  <si>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</si>
  <si>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</si>
  <si>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</si>
  <si>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</si>
  <si>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</si>
  <si>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</si>
  <si>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</si>
  <si>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</si>
  <si>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</si>
  <si>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</si>
  <si>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</si>
  <si>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</si>
  <si>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</si>
  <si>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</si>
  <si>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</si>
  <si>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</si>
  <si>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</si>
  <si>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</si>
  <si>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</si>
  <si>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</si>
  <si>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</si>
  <si>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</si>
  <si>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</si>
  <si>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</si>
  <si>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</si>
  <si>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</si>
  <si>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</si>
  <si>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</si>
  <si>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</si>
  <si>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</si>
  <si>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</si>
  <si>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</si>
  <si>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</si>
  <si>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</si>
  <si>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</si>
  <si>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</si>
  <si>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</si>
  <si>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</si>
  <si>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</si>
  <si>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</si>
  <si>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</si>
  <si>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</si>
  <si>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</si>
  <si>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</si>
  <si>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</si>
  <si>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</si>
  <si>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</si>
  <si>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</si>
  <si>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</si>
  <si>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</si>
  <si>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</si>
  <si>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</si>
  <si>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</si>
  <si>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</si>
  <si>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</si>
  <si>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</si>
  <si>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</si>
  <si>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</si>
  <si>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</si>
  <si>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</si>
  <si>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</si>
  <si>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</si>
  <si>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</si>
  <si>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</si>
  <si>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</si>
  <si>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</si>
  <si>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</si>
  <si>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</si>
  <si>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</si>
  <si>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</si>
  <si>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</si>
  <si>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</si>
  <si>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</si>
  <si>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</si>
  <si>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</si>
  <si>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</si>
  <si>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</si>
  <si>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</si>
  <si>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</si>
  <si>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</si>
  <si>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</si>
  <si>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</si>
  <si>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</si>
  <si>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</si>
  <si>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</si>
  <si>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</si>
  <si>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</si>
  <si>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</si>
  <si>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</si>
  <si>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</si>
  <si>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</si>
  <si>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</si>
  <si>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</si>
  <si>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</si>
  <si>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</si>
  <si>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</si>
  <si>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</si>
  <si>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</si>
  <si>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</si>
  <si>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</si>
  <si>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</si>
  <si>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</si>
  <si>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</si>
  <si>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</si>
  <si>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</si>
  <si>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</si>
  <si>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</si>
  <si>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</si>
  <si>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</si>
  <si>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</si>
  <si>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</si>
  <si>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</si>
  <si>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</si>
  <si>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</si>
  <si>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</si>
  <si>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</si>
  <si>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</si>
  <si>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</si>
  <si>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</si>
  <si>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</si>
  <si>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</si>
  <si>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</si>
  <si>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</si>
  <si>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</si>
  <si>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</si>
  <si>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</si>
  <si>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</si>
  <si>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</si>
  <si>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</si>
  <si>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</si>
  <si>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</si>
  <si>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</si>
  <si>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</si>
  <si>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</si>
  <si>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</si>
  <si>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</si>
  <si>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</si>
  <si>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</si>
  <si>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</si>
  <si>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</si>
  <si>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</si>
  <si>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</si>
  <si>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</si>
  <si>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</si>
  <si>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</si>
  <si>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</si>
  <si>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</si>
  <si>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</si>
  <si>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</si>
  <si>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</si>
  <si>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</si>
  <si>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</si>
  <si>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</si>
  <si>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</si>
  <si>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</si>
  <si>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</si>
  <si>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</si>
  <si>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</si>
  <si>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</si>
  <si>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</si>
  <si>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</si>
  <si>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</si>
  <si>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</si>
  <si>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</si>
  <si>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</si>
  <si>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</si>
  <si>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</si>
  <si>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</si>
  <si>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</si>
  <si>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</si>
  <si>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</si>
  <si>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</si>
  <si>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</si>
  <si>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</si>
  <si>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</si>
  <si>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</si>
  <si>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</si>
  <si>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</si>
  <si>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</si>
  <si>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</si>
  <si>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</si>
  <si>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Jan 2021</t>
  </si>
  <si>
    <t>monthly reading record</t>
  </si>
  <si>
    <t>Var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</si>
</sst>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 numFmtId="170" formatCode="0.0%"/>
  </numFmts>
  <fonts count="54">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26"/>
      <color theme="1"/>
      <name val="Calibri"/>
      <family val="2"/>
      <scheme val="minor"/>
    </font>
    <font>
      <b/>
      <sz val="26"/>
      <color theme="1"/>
      <name val="Calibri"/>
      <family val="2"/>
      <scheme val="minor"/>
    </font>
    <font>
      <b/>
      <sz val="24"/>
      <color rgb="FFFF0000"/>
      <name val="Calibri"/>
      <family val="2"/>
      <scheme val="minor"/>
    </font>
    <font>
      <b/>
      <sz val="24"/>
      <color rgb="FF00B050"/>
      <name val="Calibri"/>
      <family val="2"/>
      <scheme val="minor"/>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3" applyNumberFormat="0" applyFill="0" applyAlignment="0" applyProtection="0"/>
    <xf numFmtId="0" fontId="33" fillId="0" borderId="34" applyNumberFormat="0" applyFill="0" applyAlignment="0" applyProtection="0"/>
    <xf numFmtId="0" fontId="34" fillId="0" borderId="35"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6" applyNumberFormat="0" applyAlignment="0" applyProtection="0"/>
    <xf numFmtId="0" fontId="39" fillId="24" borderId="37" applyNumberFormat="0" applyAlignment="0" applyProtection="0"/>
    <xf numFmtId="0" fontId="40" fillId="24" borderId="36" applyNumberFormat="0" applyAlignment="0" applyProtection="0"/>
    <xf numFmtId="0" fontId="41" fillId="0" borderId="38" applyNumberFormat="0" applyFill="0" applyAlignment="0" applyProtection="0"/>
    <xf numFmtId="0" fontId="42" fillId="25" borderId="39" applyNumberFormat="0" applyAlignment="0" applyProtection="0"/>
    <xf numFmtId="0" fontId="43" fillId="0" borderId="0" applyNumberFormat="0" applyFill="0" applyBorder="0" applyAlignment="0" applyProtection="0"/>
    <xf numFmtId="0" fontId="25" fillId="26" borderId="40" applyNumberFormat="0" applyFont="0" applyAlignment="0" applyProtection="0"/>
    <xf numFmtId="0" fontId="44" fillId="0" borderId="0" applyNumberFormat="0" applyFill="0" applyBorder="0" applyAlignment="0" applyProtection="0"/>
    <xf numFmtId="0" fontId="45" fillId="0" borderId="41"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9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2"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2" xfId="0" applyNumberFormat="1" applyBorder="1" applyAlignment="1">
      <alignment horizontal="center"/>
    </xf>
    <xf numFmtId="1" fontId="0" fillId="0" borderId="43"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50" xfId="0" applyBorder="1" applyAlignment="1" applyProtection="1">
      <alignment horizontal="center"/>
      <protection locked="0"/>
    </xf>
    <xf numFmtId="1" fontId="0" fillId="0" borderId="49" xfId="0" applyNumberFormat="1" applyBorder="1" applyAlignment="1">
      <alignment horizontal="center"/>
    </xf>
    <xf numFmtId="0" fontId="0" fillId="0" borderId="48"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8" xfId="0" applyBorder="1" applyAlignment="1" applyProtection="1">
      <alignment horizontal="center" vertical="center"/>
      <protection locked="0"/>
    </xf>
    <xf numFmtId="168" fontId="0" fillId="0" borderId="47"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25" fillId="4" borderId="29" xfId="2" applyNumberFormat="1" applyFont="1"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0" fillId="6" borderId="42" xfId="0" applyNumberFormat="1" applyFill="1" applyBorder="1" applyAlignment="1">
      <alignment horizontal="center"/>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164" fontId="3"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0" fontId="0" fillId="6" borderId="29" xfId="0" applyFill="1" applyBorder="1" applyAlignment="1" applyProtection="1">
      <alignment horizontal="center"/>
      <protection locked="0"/>
    </xf>
    <xf numFmtId="0" fontId="16" fillId="0" borderId="0" xfId="0" applyFont="1" applyFill="1" applyBorder="1" applyAlignment="1" applyProtection="1">
      <alignment horizontal="center" vertical="center"/>
      <protection locked="0"/>
    </xf>
    <xf numFmtId="1" fontId="0" fillId="6" borderId="0" xfId="0" applyNumberFormat="1" applyFill="1"/>
    <xf numFmtId="0" fontId="51" fillId="0" borderId="0" xfId="0" applyFont="1" applyAlignment="1">
      <alignment horizontal="center"/>
    </xf>
    <xf numFmtId="164" fontId="51" fillId="0" borderId="0" xfId="0" applyNumberFormat="1" applyFont="1" applyAlignment="1">
      <alignment horizontal="center" vertical="center"/>
    </xf>
    <xf numFmtId="0" fontId="51" fillId="0" borderId="0" xfId="0" applyFont="1" applyAlignment="1">
      <alignment horizontal="center" vertical="center"/>
    </xf>
    <xf numFmtId="0" fontId="5" fillId="0" borderId="0" xfId="0" applyFont="1" applyAlignment="1">
      <alignment horizontal="center" vertical="center" wrapText="1"/>
    </xf>
    <xf numFmtId="0" fontId="51" fillId="6" borderId="0" xfId="0" applyFont="1" applyFill="1" applyAlignment="1">
      <alignment horizontal="center"/>
    </xf>
    <xf numFmtId="0" fontId="50" fillId="0" borderId="0" xfId="0" applyFont="1" applyAlignment="1">
      <alignment horizontal="center" vertical="center"/>
    </xf>
    <xf numFmtId="170" fontId="52" fillId="0" borderId="0" xfId="2" applyNumberFormat="1" applyFont="1" applyAlignment="1">
      <alignment horizontal="center"/>
    </xf>
    <xf numFmtId="170" fontId="53" fillId="0" borderId="0" xfId="2" applyNumberFormat="1" applyFont="1" applyAlignment="1">
      <alignment horizontal="center"/>
    </xf>
    <xf numFmtId="1" fontId="8" fillId="0" borderId="0" xfId="0" applyNumberFormat="1" applyFont="1" applyAlignment="1">
      <alignment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5" xfId="0" applyFont="1" applyBorder="1" applyAlignment="1">
      <alignment horizontal="center" vertical="center"/>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4"/>
  <sheetViews>
    <sheetView topLeftCell="A28" workbookViewId="0">
      <selection activeCell="I35" sqref="I3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4" t="s">
        <v>3</v>
      </c>
      <c r="B1" s="184" t="s">
        <v>4</v>
      </c>
      <c r="C1" s="185" t="s">
        <v>5</v>
      </c>
      <c r="D1" s="184" t="s">
        <v>64</v>
      </c>
      <c r="E1" s="186" t="s">
        <v>395</v>
      </c>
      <c r="F1" s="187" t="s">
        <v>396</v>
      </c>
      <c r="G1" s="186" t="s">
        <v>402</v>
      </c>
      <c r="H1" s="187" t="s">
        <v>397</v>
      </c>
      <c r="I1" s="186" t="s">
        <v>398</v>
      </c>
      <c r="J1" s="188" t="s">
        <v>399</v>
      </c>
      <c r="K1" s="186" t="s">
        <v>400</v>
      </c>
      <c r="L1" s="186" t="s">
        <v>63</v>
      </c>
    </row>
    <row r="2" spans="1:12">
      <c r="A2" s="189" t="s">
        <v>401</v>
      </c>
      <c r="B2" s="190">
        <v>1</v>
      </c>
      <c r="C2" s="191">
        <v>1</v>
      </c>
      <c r="D2" s="190">
        <v>2021</v>
      </c>
      <c r="E2" s="123">
        <f>Combine!G3</f>
        <v>57510</v>
      </c>
      <c r="F2" s="192">
        <v>1.28</v>
      </c>
      <c r="G2" s="123">
        <f>Combine!M3</f>
        <v>5916.3972027972122</v>
      </c>
      <c r="H2" s="193">
        <v>8.7759999999999998</v>
      </c>
      <c r="I2" s="123">
        <f>Combine!J3</f>
        <v>757.0028999999995</v>
      </c>
      <c r="J2" s="192">
        <v>8.1300000000000008</v>
      </c>
      <c r="K2" s="123">
        <f>Combine!N3</f>
        <v>428</v>
      </c>
      <c r="L2" s="123">
        <f>Combine!O3</f>
        <v>1005</v>
      </c>
    </row>
    <row r="3" spans="1:12">
      <c r="A3" s="189" t="s">
        <v>401</v>
      </c>
      <c r="B3" s="190">
        <v>2</v>
      </c>
      <c r="C3" s="191">
        <v>1</v>
      </c>
      <c r="D3" s="190">
        <v>2021</v>
      </c>
      <c r="E3" s="123">
        <f>Combine!G4</f>
        <v>59160</v>
      </c>
      <c r="F3" s="192">
        <v>1.28</v>
      </c>
      <c r="G3" s="123">
        <f>Combine!M4</f>
        <v>6069.0797202797103</v>
      </c>
      <c r="H3" s="193">
        <v>8.7759999999999998</v>
      </c>
      <c r="I3" s="123">
        <f>Combine!J4</f>
        <v>531.19740000000002</v>
      </c>
      <c r="J3" s="192">
        <v>8.1300000000000008</v>
      </c>
      <c r="K3" s="123">
        <f>Combine!N4</f>
        <v>387</v>
      </c>
      <c r="L3" s="123">
        <f>Combine!O4</f>
        <v>910</v>
      </c>
    </row>
    <row r="4" spans="1:12">
      <c r="A4" s="189" t="s">
        <v>401</v>
      </c>
      <c r="B4" s="190">
        <v>3</v>
      </c>
      <c r="C4" s="191">
        <v>1</v>
      </c>
      <c r="D4" s="190">
        <v>2021</v>
      </c>
      <c r="E4" s="123">
        <f>Combine!G5</f>
        <v>54710</v>
      </c>
      <c r="F4" s="192">
        <v>1.28</v>
      </c>
      <c r="G4" s="123">
        <f>Combine!M5</f>
        <v>5753.3849261849273</v>
      </c>
      <c r="H4" s="193">
        <v>8.7759999999999998</v>
      </c>
      <c r="I4" s="123">
        <f>Combine!J5</f>
        <v>594.14470000000051</v>
      </c>
      <c r="J4" s="192">
        <v>8.1300000000000008</v>
      </c>
      <c r="K4" s="123">
        <f>Combine!N5</f>
        <v>337</v>
      </c>
      <c r="L4" s="123">
        <f>Combine!O5</f>
        <v>800</v>
      </c>
    </row>
    <row r="5" spans="1:12">
      <c r="A5" s="189" t="s">
        <v>401</v>
      </c>
      <c r="B5" s="190">
        <v>4</v>
      </c>
      <c r="C5" s="191">
        <v>1</v>
      </c>
      <c r="D5" s="190">
        <v>2021</v>
      </c>
      <c r="E5" s="123">
        <f>Combine!G6</f>
        <v>51710</v>
      </c>
      <c r="F5" s="192">
        <v>1.28</v>
      </c>
      <c r="G5" s="123">
        <f>Combine!M6</f>
        <v>5209.5428127428213</v>
      </c>
      <c r="H5" s="193">
        <v>8.7759999999999998</v>
      </c>
      <c r="I5" s="123">
        <f>Combine!J6</f>
        <v>436.92229999999984</v>
      </c>
      <c r="J5" s="192">
        <v>8.1300000000000008</v>
      </c>
      <c r="K5" s="123">
        <f>Combine!N6</f>
        <v>329</v>
      </c>
      <c r="L5" s="123">
        <f>Combine!O6</f>
        <v>781</v>
      </c>
    </row>
    <row r="6" spans="1:12">
      <c r="A6" s="189" t="s">
        <v>401</v>
      </c>
      <c r="B6" s="190">
        <v>5</v>
      </c>
      <c r="C6" s="191">
        <v>1</v>
      </c>
      <c r="D6" s="190">
        <v>2021</v>
      </c>
      <c r="E6" s="123">
        <f>Combine!G7</f>
        <v>49480</v>
      </c>
      <c r="F6" s="192">
        <v>1.28</v>
      </c>
      <c r="G6" s="123">
        <f>Combine!M7</f>
        <v>4778.7710955710945</v>
      </c>
      <c r="H6" s="193">
        <v>8.7759999999999998</v>
      </c>
      <c r="I6" s="123">
        <f>Combine!J7</f>
        <v>401.46999999999952</v>
      </c>
      <c r="J6" s="192">
        <v>8.1300000000000008</v>
      </c>
      <c r="K6" s="123">
        <f>Combine!N7</f>
        <v>320</v>
      </c>
      <c r="L6" s="123">
        <f>Combine!O7</f>
        <v>765</v>
      </c>
    </row>
    <row r="7" spans="1:12">
      <c r="A7" s="189" t="s">
        <v>401</v>
      </c>
      <c r="B7" s="190">
        <v>6</v>
      </c>
      <c r="C7" s="191">
        <v>1</v>
      </c>
      <c r="D7" s="190">
        <v>2021</v>
      </c>
      <c r="E7" s="123">
        <f>Combine!G8</f>
        <v>49560</v>
      </c>
      <c r="F7" s="192">
        <v>1.28</v>
      </c>
      <c r="G7" s="123">
        <f>Combine!M8</f>
        <v>4735.3535353535353</v>
      </c>
      <c r="H7" s="193">
        <v>8.7759999999999998</v>
      </c>
      <c r="I7" s="123">
        <f>Combine!J8</f>
        <v>392.7645000000004</v>
      </c>
      <c r="J7" s="192">
        <v>8.1300000000000008</v>
      </c>
      <c r="K7" s="123">
        <f>Combine!N8</f>
        <v>324</v>
      </c>
      <c r="L7" s="123">
        <f>Combine!O8</f>
        <v>772</v>
      </c>
    </row>
    <row r="8" spans="1:12">
      <c r="A8" s="189" t="s">
        <v>401</v>
      </c>
      <c r="B8" s="190">
        <v>7</v>
      </c>
      <c r="C8" s="191">
        <v>1</v>
      </c>
      <c r="D8" s="190">
        <v>2021</v>
      </c>
      <c r="E8" s="123">
        <f>Combine!G9</f>
        <v>49720</v>
      </c>
      <c r="F8" s="192">
        <v>1.28</v>
      </c>
      <c r="G8" s="123">
        <f>Combine!M9</f>
        <v>4835.4312354312351</v>
      </c>
      <c r="H8" s="193">
        <v>8.7759999999999998</v>
      </c>
      <c r="I8" s="123">
        <f>Combine!J9</f>
        <v>379.47319999999962</v>
      </c>
      <c r="J8" s="192">
        <v>8.1300000000000008</v>
      </c>
      <c r="K8" s="123">
        <f>Combine!N9</f>
        <v>346</v>
      </c>
      <c r="L8" s="123">
        <f>Combine!O9</f>
        <v>817</v>
      </c>
    </row>
    <row r="9" spans="1:12">
      <c r="A9" s="189" t="s">
        <v>401</v>
      </c>
      <c r="B9" s="190">
        <v>8</v>
      </c>
      <c r="C9" s="191">
        <v>1</v>
      </c>
      <c r="D9" s="190">
        <v>2021</v>
      </c>
      <c r="E9" s="123">
        <f>Combine!G10</f>
        <v>55160</v>
      </c>
      <c r="F9" s="192">
        <v>1.28</v>
      </c>
      <c r="G9" s="123">
        <f>Combine!M10</f>
        <v>4685.0038850038854</v>
      </c>
      <c r="H9" s="193">
        <v>8.7759999999999998</v>
      </c>
      <c r="I9" s="123">
        <f>Combine!J10</f>
        <v>403.25030000000078</v>
      </c>
      <c r="J9" s="192">
        <v>8.1300000000000008</v>
      </c>
      <c r="K9" s="123">
        <f>Combine!N10</f>
        <v>351</v>
      </c>
      <c r="L9" s="123">
        <f>Combine!O10</f>
        <v>830</v>
      </c>
    </row>
    <row r="10" spans="1:12">
      <c r="A10" s="189" t="s">
        <v>401</v>
      </c>
      <c r="B10" s="190">
        <v>9</v>
      </c>
      <c r="C10" s="191">
        <v>1</v>
      </c>
      <c r="D10" s="190">
        <v>2021</v>
      </c>
      <c r="E10" s="123">
        <f>Combine!G11</f>
        <v>58200</v>
      </c>
      <c r="F10" s="192">
        <v>1.28</v>
      </c>
      <c r="G10" s="123">
        <f>Combine!M11</f>
        <v>4635.0893550893625</v>
      </c>
      <c r="H10" s="193">
        <v>8.7759999999999998</v>
      </c>
      <c r="I10" s="123">
        <f>Combine!J11</f>
        <v>525.51169999999979</v>
      </c>
      <c r="J10" s="192">
        <v>8.1300000000000008</v>
      </c>
      <c r="K10" s="123">
        <f>Combine!N11</f>
        <v>384</v>
      </c>
      <c r="L10" s="123">
        <f>Combine!O11</f>
        <v>909</v>
      </c>
    </row>
    <row r="11" spans="1:12">
      <c r="A11" s="189" t="s">
        <v>401</v>
      </c>
      <c r="B11" s="190">
        <v>10</v>
      </c>
      <c r="C11" s="191">
        <v>1</v>
      </c>
      <c r="D11" s="190">
        <v>2021</v>
      </c>
      <c r="E11" s="123">
        <f>Combine!G12</f>
        <v>52640</v>
      </c>
      <c r="F11" s="192">
        <v>1.28</v>
      </c>
      <c r="G11" s="123">
        <f>Combine!M12</f>
        <v>5934.3266511266502</v>
      </c>
      <c r="H11" s="193">
        <v>8.7759999999999998</v>
      </c>
      <c r="I11" s="123">
        <f>Combine!J12</f>
        <v>525.66799999999932</v>
      </c>
      <c r="J11" s="192">
        <v>8.1300000000000008</v>
      </c>
      <c r="K11" s="123">
        <f>Combine!N12</f>
        <v>347</v>
      </c>
      <c r="L11" s="123">
        <f>Combine!O12</f>
        <v>816</v>
      </c>
    </row>
    <row r="12" spans="1:12">
      <c r="A12" s="189" t="s">
        <v>401</v>
      </c>
      <c r="B12" s="190">
        <v>11</v>
      </c>
      <c r="C12" s="191">
        <v>1</v>
      </c>
      <c r="D12" s="190">
        <v>2021</v>
      </c>
      <c r="E12" s="123">
        <f>Combine!G13</f>
        <v>52820</v>
      </c>
      <c r="F12" s="192">
        <v>1.28</v>
      </c>
      <c r="G12" s="123">
        <f>Combine!M13</f>
        <v>5926.8574980574949</v>
      </c>
      <c r="H12" s="193">
        <v>8.7759999999999998</v>
      </c>
      <c r="I12" s="123">
        <f>Combine!J13</f>
        <v>479.91920000000084</v>
      </c>
      <c r="J12" s="192">
        <v>8.1300000000000008</v>
      </c>
      <c r="K12" s="123">
        <f>Combine!N13</f>
        <v>323</v>
      </c>
      <c r="L12" s="123">
        <f>Combine!O13</f>
        <v>769</v>
      </c>
    </row>
    <row r="13" spans="1:12">
      <c r="A13" s="189" t="s">
        <v>401</v>
      </c>
      <c r="B13" s="190">
        <v>12</v>
      </c>
      <c r="C13" s="191">
        <v>1</v>
      </c>
      <c r="D13" s="190">
        <v>2021</v>
      </c>
      <c r="E13" s="123">
        <f>Combine!G14</f>
        <v>57010</v>
      </c>
      <c r="F13" s="192">
        <v>1.28</v>
      </c>
      <c r="G13" s="123">
        <f>Combine!M14</f>
        <v>6142.656099456095</v>
      </c>
      <c r="H13" s="193">
        <v>8.7759999999999998</v>
      </c>
      <c r="I13" s="123">
        <f>Combine!J14</f>
        <v>502.09879999999919</v>
      </c>
      <c r="J13" s="192">
        <v>8.1300000000000008</v>
      </c>
      <c r="K13" s="123">
        <f>Combine!N14</f>
        <v>359</v>
      </c>
      <c r="L13" s="123">
        <f>Combine!O14</f>
        <v>784</v>
      </c>
    </row>
    <row r="14" spans="1:12">
      <c r="A14" s="189" t="s">
        <v>401</v>
      </c>
      <c r="B14" s="190">
        <v>13</v>
      </c>
      <c r="C14" s="191">
        <v>1</v>
      </c>
      <c r="D14" s="190">
        <v>2021</v>
      </c>
      <c r="E14" s="123">
        <f>Combine!G15</f>
        <v>58510</v>
      </c>
      <c r="F14" s="192">
        <v>1.28</v>
      </c>
      <c r="G14" s="123">
        <f>Combine!M15</f>
        <v>6229.4477078477148</v>
      </c>
      <c r="H14" s="193">
        <v>8.7759999999999998</v>
      </c>
      <c r="I14" s="123">
        <f>Combine!J15</f>
        <v>538.18630000000007</v>
      </c>
      <c r="J14" s="192">
        <v>8.1300000000000008</v>
      </c>
      <c r="K14" s="123">
        <f>Combine!N15</f>
        <v>333</v>
      </c>
      <c r="L14" s="123">
        <f>Combine!O15</f>
        <v>796</v>
      </c>
    </row>
    <row r="15" spans="1:12">
      <c r="A15" s="189" t="s">
        <v>401</v>
      </c>
      <c r="B15" s="190">
        <v>14</v>
      </c>
      <c r="C15" s="191">
        <v>1</v>
      </c>
      <c r="D15" s="190">
        <v>2021</v>
      </c>
      <c r="E15" s="123">
        <f>Combine!G16</f>
        <v>59930</v>
      </c>
      <c r="F15" s="192">
        <v>1.28</v>
      </c>
      <c r="G15" s="123">
        <f>Combine!M16</f>
        <v>5951.0477078477034</v>
      </c>
      <c r="H15" s="193">
        <v>8.7759999999999998</v>
      </c>
      <c r="I15" s="123">
        <f>Combine!J16</f>
        <v>483.59130000000062</v>
      </c>
      <c r="J15" s="192">
        <v>8.1300000000000008</v>
      </c>
      <c r="K15" s="123">
        <f>Combine!N16</f>
        <v>342</v>
      </c>
      <c r="L15" s="123">
        <f>Combine!O16</f>
        <v>816</v>
      </c>
    </row>
    <row r="16" spans="1:12">
      <c r="A16" s="189" t="s">
        <v>401</v>
      </c>
      <c r="B16" s="190">
        <v>15</v>
      </c>
      <c r="C16" s="191">
        <v>1</v>
      </c>
      <c r="D16" s="190">
        <v>2021</v>
      </c>
      <c r="E16" s="123">
        <f>Combine!G17</f>
        <v>58320</v>
      </c>
      <c r="F16" s="192">
        <v>1.28</v>
      </c>
      <c r="G16" s="123">
        <f>Combine!M17</f>
        <v>1837.3768453768482</v>
      </c>
      <c r="H16" s="193">
        <v>8.7759999999999998</v>
      </c>
      <c r="I16" s="123">
        <f>Combine!J17</f>
        <v>493.32829999999979</v>
      </c>
      <c r="J16" s="192">
        <v>8.1300000000000008</v>
      </c>
      <c r="K16" s="123">
        <f>Combine!N17</f>
        <v>362</v>
      </c>
      <c r="L16" s="123">
        <f>Combine!O17</f>
        <v>861</v>
      </c>
    </row>
    <row r="17" spans="1:12">
      <c r="A17" s="189" t="s">
        <v>401</v>
      </c>
      <c r="B17" s="190">
        <v>16</v>
      </c>
      <c r="C17" s="191">
        <v>1</v>
      </c>
      <c r="D17" s="190">
        <v>2021</v>
      </c>
      <c r="E17" s="123">
        <f>Combine!G18</f>
        <v>62430</v>
      </c>
      <c r="F17" s="192">
        <v>1.28</v>
      </c>
      <c r="G17" s="123">
        <f>Combine!M18</f>
        <v>5515.2545232550847</v>
      </c>
      <c r="H17" s="193">
        <v>8.7759999999999998</v>
      </c>
      <c r="I17" s="123">
        <f>Combine!J18</f>
        <v>464.78539999999992</v>
      </c>
      <c r="J17" s="192">
        <v>8.1300000000000008</v>
      </c>
      <c r="K17" s="123">
        <f>Combine!N18</f>
        <v>437</v>
      </c>
      <c r="L17" s="123">
        <f>Combine!O18</f>
        <v>1021</v>
      </c>
    </row>
    <row r="18" spans="1:12">
      <c r="A18" s="189" t="s">
        <v>401</v>
      </c>
      <c r="B18" s="190">
        <v>17</v>
      </c>
      <c r="C18" s="191">
        <v>1</v>
      </c>
      <c r="D18" s="190">
        <v>2021</v>
      </c>
      <c r="E18" s="123">
        <f>Combine!G19</f>
        <v>61430</v>
      </c>
      <c r="F18" s="192">
        <v>1.28</v>
      </c>
      <c r="G18" s="123">
        <f>Combine!M19</f>
        <v>5645.7906537912149</v>
      </c>
      <c r="H18" s="193">
        <v>8.7759999999999998</v>
      </c>
      <c r="I18" s="123">
        <f>Combine!J19</f>
        <v>582.96500000000037</v>
      </c>
      <c r="J18" s="192">
        <v>8.1300000000000008</v>
      </c>
      <c r="K18" s="123">
        <f>Combine!N19</f>
        <v>352</v>
      </c>
      <c r="L18" s="123">
        <f>Combine!O19</f>
        <v>837</v>
      </c>
    </row>
    <row r="19" spans="1:12">
      <c r="A19" s="189" t="s">
        <v>401</v>
      </c>
      <c r="B19" s="190">
        <v>18</v>
      </c>
      <c r="C19" s="191">
        <v>1</v>
      </c>
      <c r="D19" s="190">
        <v>2021</v>
      </c>
      <c r="E19" s="123">
        <f>Combine!G20</f>
        <v>61600</v>
      </c>
      <c r="F19" s="192">
        <v>1.28</v>
      </c>
      <c r="G19" s="123">
        <f>Combine!M20</f>
        <v>5268.1965653389561</v>
      </c>
      <c r="H19" s="193">
        <v>8.7759999999999998</v>
      </c>
      <c r="I19" s="123">
        <f>Combine!J20</f>
        <v>413.48369999999994</v>
      </c>
      <c r="J19" s="192">
        <v>8.1300000000000008</v>
      </c>
      <c r="K19" s="123">
        <f>Combine!N20</f>
        <v>349</v>
      </c>
      <c r="L19" s="123">
        <f>Combine!O20</f>
        <v>823</v>
      </c>
    </row>
    <row r="20" spans="1:12">
      <c r="A20" s="189" t="s">
        <v>401</v>
      </c>
      <c r="B20" s="190">
        <v>19</v>
      </c>
      <c r="C20" s="191">
        <v>1</v>
      </c>
      <c r="D20" s="190">
        <v>2021</v>
      </c>
      <c r="E20" s="123">
        <f>Combine!G21</f>
        <v>59640</v>
      </c>
      <c r="F20" s="192">
        <v>1.28</v>
      </c>
      <c r="G20" s="123">
        <f>Combine!M21</f>
        <v>5601.0354090359706</v>
      </c>
      <c r="H20" s="193">
        <v>8.7759999999999998</v>
      </c>
      <c r="I20" s="123">
        <f>Combine!J21</f>
        <v>1032.819</v>
      </c>
      <c r="J20" s="192">
        <v>8.1300000000000008</v>
      </c>
      <c r="K20" s="123">
        <f>Combine!N21</f>
        <v>359</v>
      </c>
      <c r="L20" s="123">
        <f>Combine!O21</f>
        <v>842</v>
      </c>
    </row>
    <row r="21" spans="1:12">
      <c r="A21" s="189" t="s">
        <v>401</v>
      </c>
      <c r="B21" s="190">
        <v>20</v>
      </c>
      <c r="C21" s="191">
        <v>1</v>
      </c>
      <c r="D21" s="190">
        <v>2021</v>
      </c>
      <c r="E21" s="123">
        <f>Combine!G22</f>
        <v>54250</v>
      </c>
      <c r="F21" s="192">
        <v>1.28</v>
      </c>
      <c r="G21" s="123">
        <f>Combine!M22</f>
        <v>5624.6562326567937</v>
      </c>
      <c r="H21" s="193">
        <v>8.7759999999999998</v>
      </c>
      <c r="I21" s="123">
        <f>Combine!J22</f>
        <v>524.96</v>
      </c>
      <c r="J21" s="192">
        <v>8.1300000000000008</v>
      </c>
      <c r="K21" s="123">
        <f>Combine!N22</f>
        <v>334</v>
      </c>
      <c r="L21" s="123">
        <f>Combine!O22</f>
        <v>784</v>
      </c>
    </row>
    <row r="22" spans="1:12">
      <c r="A22" s="189" t="s">
        <v>401</v>
      </c>
      <c r="B22" s="190">
        <v>21</v>
      </c>
      <c r="C22" s="191">
        <v>1</v>
      </c>
      <c r="D22" s="190">
        <v>2021</v>
      </c>
      <c r="E22" s="123">
        <f>Combine!G23</f>
        <v>51540</v>
      </c>
      <c r="F22" s="192">
        <v>1.28</v>
      </c>
      <c r="G22" s="123">
        <f>Combine!M23</f>
        <v>5712.9235209240824</v>
      </c>
      <c r="H22" s="193">
        <v>8.7759999999999998</v>
      </c>
      <c r="I22" s="123">
        <f>Combine!J23</f>
        <v>455.51859999999959</v>
      </c>
      <c r="J22" s="192">
        <v>8.1300000000000008</v>
      </c>
      <c r="K22" s="123">
        <f>Combine!N23</f>
        <v>338</v>
      </c>
      <c r="L22" s="123">
        <f>Combine!O23</f>
        <v>790</v>
      </c>
    </row>
    <row r="23" spans="1:12">
      <c r="A23" s="189" t="s">
        <v>401</v>
      </c>
      <c r="B23" s="190">
        <v>22</v>
      </c>
      <c r="C23" s="191">
        <v>1</v>
      </c>
      <c r="D23" s="190">
        <v>2021</v>
      </c>
      <c r="E23" s="123">
        <f>Combine!G24</f>
        <v>53940</v>
      </c>
      <c r="F23" s="192">
        <v>1.28</v>
      </c>
      <c r="G23" s="123">
        <f>Combine!M24</f>
        <v>6137.7592566140629</v>
      </c>
      <c r="H23" s="193">
        <v>8.7759999999999998</v>
      </c>
      <c r="I23" s="123">
        <f>Combine!J24</f>
        <v>432.97259999999989</v>
      </c>
      <c r="J23" s="192">
        <v>8.1300000000000008</v>
      </c>
      <c r="K23" s="123">
        <f>Combine!N24</f>
        <v>375</v>
      </c>
      <c r="L23" s="123">
        <f>Combine!O24</f>
        <v>867</v>
      </c>
    </row>
    <row r="24" spans="1:12">
      <c r="A24" s="189" t="s">
        <v>401</v>
      </c>
      <c r="B24" s="190">
        <v>23</v>
      </c>
      <c r="C24" s="191">
        <v>1</v>
      </c>
      <c r="D24" s="190">
        <v>2021</v>
      </c>
      <c r="E24" s="123">
        <f>Combine!G25</f>
        <v>54680</v>
      </c>
      <c r="F24" s="192">
        <v>1.28</v>
      </c>
      <c r="G24" s="123">
        <f>Combine!M25</f>
        <v>4661.8256410256408</v>
      </c>
      <c r="H24" s="193">
        <v>8.7759999999999998</v>
      </c>
      <c r="I24" s="123">
        <f>Combine!J25</f>
        <v>511.47280000000029</v>
      </c>
      <c r="J24" s="192">
        <v>8.1300000000000008</v>
      </c>
      <c r="K24" s="123">
        <f>Combine!N25</f>
        <v>464</v>
      </c>
      <c r="L24" s="123">
        <f>Combine!O25</f>
        <v>1086</v>
      </c>
    </row>
    <row r="25" spans="1:12">
      <c r="A25" s="189" t="s">
        <v>401</v>
      </c>
      <c r="B25" s="190">
        <v>24</v>
      </c>
      <c r="C25" s="191">
        <v>1</v>
      </c>
      <c r="D25" s="190">
        <v>2021</v>
      </c>
      <c r="E25" s="123">
        <f>Combine!G26</f>
        <v>54350</v>
      </c>
      <c r="F25" s="192">
        <v>1.28</v>
      </c>
      <c r="G25" s="123">
        <f>Combine!M26</f>
        <v>4708.8969696969662</v>
      </c>
      <c r="H25" s="193">
        <v>8.7759999999999998</v>
      </c>
      <c r="I25" s="123">
        <f>Combine!J26</f>
        <v>511.95949999999993</v>
      </c>
      <c r="J25" s="192">
        <v>8.1300000000000008</v>
      </c>
      <c r="K25" s="123">
        <f>Combine!N26</f>
        <v>392</v>
      </c>
      <c r="L25" s="123">
        <f>Combine!O26</f>
        <v>903</v>
      </c>
    </row>
    <row r="26" spans="1:12">
      <c r="A26" s="189" t="s">
        <v>401</v>
      </c>
      <c r="B26" s="190">
        <v>25</v>
      </c>
      <c r="C26" s="191">
        <v>1</v>
      </c>
      <c r="D26" s="190">
        <v>2021</v>
      </c>
      <c r="E26" s="123">
        <f>Combine!G27</f>
        <v>53600</v>
      </c>
      <c r="F26" s="192">
        <v>1.28</v>
      </c>
      <c r="G26" s="123">
        <f>Combine!M27</f>
        <v>5409.6617456616832</v>
      </c>
      <c r="H26" s="193">
        <v>8.7759999999999998</v>
      </c>
      <c r="I26" s="123">
        <f>Combine!J27</f>
        <v>529.83010000000047</v>
      </c>
      <c r="J26" s="192">
        <v>8.1300000000000008</v>
      </c>
      <c r="K26" s="123">
        <f>Combine!N27</f>
        <v>347</v>
      </c>
      <c r="L26" s="123">
        <f>Combine!O27</f>
        <v>817</v>
      </c>
    </row>
    <row r="27" spans="1:12">
      <c r="A27" s="189" t="s">
        <v>401</v>
      </c>
      <c r="B27" s="190">
        <v>26</v>
      </c>
      <c r="C27" s="191">
        <v>1</v>
      </c>
      <c r="D27" s="190">
        <v>2021</v>
      </c>
      <c r="E27" s="123">
        <f>Combine!G28</f>
        <v>52530</v>
      </c>
      <c r="F27" s="192">
        <v>1.28</v>
      </c>
      <c r="G27" s="123">
        <f>Combine!M28</f>
        <v>5409.6617456616832</v>
      </c>
      <c r="H27" s="193">
        <v>8.7759999999999998</v>
      </c>
      <c r="I27" s="123">
        <f>Combine!J28</f>
        <v>544.72937999999976</v>
      </c>
      <c r="J27" s="192">
        <v>8.1300000000000008</v>
      </c>
      <c r="K27" s="123">
        <f>Combine!N28</f>
        <v>354</v>
      </c>
      <c r="L27" s="123">
        <f>Combine!O28</f>
        <v>830</v>
      </c>
    </row>
    <row r="28" spans="1:12">
      <c r="A28" s="189" t="s">
        <v>401</v>
      </c>
      <c r="B28" s="190">
        <v>27</v>
      </c>
      <c r="C28" s="191">
        <v>1</v>
      </c>
      <c r="D28" s="190">
        <v>2021</v>
      </c>
      <c r="E28" s="123">
        <f>Combine!G29</f>
        <v>52900</v>
      </c>
      <c r="F28" s="192">
        <v>1.28</v>
      </c>
      <c r="G28" s="123">
        <f>Combine!M29</f>
        <v>5443.7254597253905</v>
      </c>
      <c r="H28" s="193">
        <v>8.7759999999999998</v>
      </c>
      <c r="I28" s="123">
        <f>Combine!J29</f>
        <v>365.16481999999996</v>
      </c>
      <c r="J28" s="192">
        <v>8.1300000000000008</v>
      </c>
      <c r="K28" s="123">
        <f>Combine!N29</f>
        <v>350</v>
      </c>
      <c r="L28" s="123">
        <f>Combine!O29</f>
        <v>824</v>
      </c>
    </row>
    <row r="29" spans="1:12">
      <c r="A29" s="189" t="s">
        <v>401</v>
      </c>
      <c r="B29" s="190">
        <v>28</v>
      </c>
      <c r="C29" s="191">
        <v>1</v>
      </c>
      <c r="D29" s="190">
        <v>2021</v>
      </c>
      <c r="E29" s="123">
        <f>Combine!G30</f>
        <v>53360</v>
      </c>
      <c r="F29" s="192">
        <v>1.28</v>
      </c>
      <c r="G29" s="123">
        <f>Combine!M30</f>
        <v>5415.010273676894</v>
      </c>
      <c r="H29" s="193">
        <v>8.7759999999999998</v>
      </c>
      <c r="I29" s="123">
        <f>Combine!J30</f>
        <v>430.45</v>
      </c>
      <c r="J29" s="192">
        <v>8.1300000000000008</v>
      </c>
      <c r="K29" s="123">
        <f>Combine!N30</f>
        <v>359</v>
      </c>
      <c r="L29" s="123">
        <f>Combine!O30</f>
        <v>843</v>
      </c>
    </row>
    <row r="30" spans="1:12">
      <c r="A30" s="189" t="s">
        <v>401</v>
      </c>
      <c r="B30" s="190">
        <v>29</v>
      </c>
      <c r="C30" s="191">
        <v>1</v>
      </c>
      <c r="D30" s="190">
        <v>2021</v>
      </c>
      <c r="E30" s="123">
        <f>Combine!G31</f>
        <v>52360</v>
      </c>
      <c r="F30" s="192">
        <v>1.28</v>
      </c>
      <c r="G30" s="123">
        <f>Combine!M31</f>
        <v>5245.8257791592823</v>
      </c>
      <c r="H30" s="193">
        <v>8.7759999999999998</v>
      </c>
      <c r="I30" s="123">
        <f>Combine!J31</f>
        <v>499.27220000000034</v>
      </c>
      <c r="J30" s="192">
        <v>8.1300000000000008</v>
      </c>
      <c r="K30" s="123">
        <f>Combine!N31</f>
        <v>385</v>
      </c>
      <c r="L30" s="123">
        <f>Combine!O31</f>
        <v>897</v>
      </c>
    </row>
    <row r="31" spans="1:12">
      <c r="A31" s="189" t="s">
        <v>401</v>
      </c>
      <c r="B31" s="190">
        <v>30</v>
      </c>
      <c r="C31" s="191">
        <v>1</v>
      </c>
      <c r="D31" s="190">
        <v>2021</v>
      </c>
      <c r="E31" s="123">
        <f>Combine!G32</f>
        <v>52800</v>
      </c>
      <c r="F31" s="192">
        <v>1.28</v>
      </c>
      <c r="G31" s="123">
        <f>Combine!M32</f>
        <v>5226.3931623931485</v>
      </c>
      <c r="H31" s="193">
        <v>8.7759999999999998</v>
      </c>
      <c r="I31" s="123">
        <f>Combine!J32</f>
        <v>500.43269999999939</v>
      </c>
      <c r="J31" s="192">
        <v>8.1300000000000008</v>
      </c>
      <c r="K31" s="123">
        <f>Combine!N32</f>
        <v>471</v>
      </c>
      <c r="L31" s="123">
        <f>Combine!O32</f>
        <v>1091</v>
      </c>
    </row>
    <row r="32" spans="1:12">
      <c r="A32" s="189" t="s">
        <v>401</v>
      </c>
      <c r="B32" s="190">
        <v>31</v>
      </c>
      <c r="C32" s="191">
        <v>1</v>
      </c>
      <c r="D32" s="190">
        <v>2021</v>
      </c>
      <c r="E32" s="123">
        <f>Combine!G33</f>
        <v>54040</v>
      </c>
      <c r="F32" s="192">
        <v>1.28</v>
      </c>
      <c r="G32" s="123">
        <f>Combine!M33</f>
        <v>5191.5835275836134</v>
      </c>
      <c r="H32" s="193">
        <v>8.7759999999999998</v>
      </c>
      <c r="I32" s="123">
        <f>Combine!J33</f>
        <v>587.07769999999982</v>
      </c>
      <c r="J32" s="192">
        <v>8.1300000000000008</v>
      </c>
      <c r="K32" s="123">
        <f>Combine!N33</f>
        <v>357</v>
      </c>
      <c r="L32" s="123">
        <f>Combine!O33</f>
        <v>839</v>
      </c>
    </row>
    <row r="34" spans="5:5">
      <c r="E34" s="199">
        <f>SUM(E2:E33)</f>
        <v>1709890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H21" sqref="H2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0" t="s">
        <v>2</v>
      </c>
      <c r="H1" s="124" t="s">
        <v>0</v>
      </c>
      <c r="I1" s="125" t="s">
        <v>1</v>
      </c>
      <c r="J1" s="127" t="s">
        <v>2</v>
      </c>
      <c r="K1" s="124" t="s">
        <v>0</v>
      </c>
      <c r="L1" s="125" t="s">
        <v>1</v>
      </c>
      <c r="M1" s="130" t="s">
        <v>2</v>
      </c>
      <c r="N1" s="209" t="s">
        <v>66</v>
      </c>
      <c r="O1" s="210"/>
      <c r="P1" s="211"/>
    </row>
    <row r="2" spans="1:17" s="2" customFormat="1" ht="60" customHeight="1">
      <c r="A2" s="4" t="s">
        <v>3</v>
      </c>
      <c r="B2" s="5" t="s">
        <v>4</v>
      </c>
      <c r="C2" s="5" t="s">
        <v>5</v>
      </c>
      <c r="D2" s="121"/>
      <c r="E2" s="126" t="s">
        <v>6</v>
      </c>
      <c r="F2" s="146" t="s">
        <v>6</v>
      </c>
      <c r="G2" s="154" t="s">
        <v>6</v>
      </c>
      <c r="H2" s="155" t="s">
        <v>9</v>
      </c>
      <c r="I2" s="147" t="s">
        <v>9</v>
      </c>
      <c r="J2" s="154" t="s">
        <v>9</v>
      </c>
      <c r="K2" s="126" t="s">
        <v>7</v>
      </c>
      <c r="L2" s="126" t="s">
        <v>7</v>
      </c>
      <c r="M2" s="131" t="s">
        <v>8</v>
      </c>
      <c r="N2" s="161" t="s">
        <v>10</v>
      </c>
      <c r="O2" s="5" t="s">
        <v>11</v>
      </c>
      <c r="P2" s="160" t="s">
        <v>12</v>
      </c>
      <c r="Q2" s="151" t="s">
        <v>394</v>
      </c>
    </row>
    <row r="3" spans="1:17" ht="15.75">
      <c r="A3" s="7" t="s">
        <v>14</v>
      </c>
      <c r="B3" s="7">
        <v>1</v>
      </c>
      <c r="C3" s="7">
        <v>1</v>
      </c>
      <c r="D3" s="122">
        <v>2021</v>
      </c>
      <c r="E3" s="152">
        <f>'Athens Daily - EL'!AK8</f>
        <v>32800</v>
      </c>
      <c r="F3" s="152">
        <f>'Athens Daily - EL'!AL8</f>
        <v>24710</v>
      </c>
      <c r="G3" s="132">
        <f>SUM(E3,F3)</f>
        <v>57510</v>
      </c>
      <c r="H3" s="152">
        <f>'Athens Daily - Water'!R7</f>
        <v>563.2528999999995</v>
      </c>
      <c r="I3" s="152">
        <f>'Athens Daily - Water'!S7</f>
        <v>193.75</v>
      </c>
      <c r="J3" s="128">
        <f t="shared" ref="J3:J33" si="0">SUM(H3,I3)</f>
        <v>757.0028999999995</v>
      </c>
      <c r="K3" s="152">
        <f>'Athens Daily - Gas'!BH9</f>
        <v>146323.29600000038</v>
      </c>
      <c r="L3" s="152">
        <f>'Athens Daily - Gas'!BI9</f>
        <v>82108.800000000003</v>
      </c>
      <c r="M3" s="132">
        <f>SUM(K3,L3)/38.61</f>
        <v>5916.3972027972122</v>
      </c>
      <c r="N3" s="159">
        <f>Occ!G10</f>
        <v>428</v>
      </c>
      <c r="O3" s="105">
        <f>Occ!H10</f>
        <v>1005</v>
      </c>
      <c r="P3" s="158">
        <v>918</v>
      </c>
      <c r="Q3" s="167"/>
    </row>
    <row r="4" spans="1:17" ht="15.75">
      <c r="A4" s="7" t="s">
        <v>14</v>
      </c>
      <c r="B4" s="7">
        <v>2</v>
      </c>
      <c r="C4" s="7">
        <v>1</v>
      </c>
      <c r="D4" s="122">
        <v>2021</v>
      </c>
      <c r="E4" s="152">
        <f>'Athens Daily - EL'!AK9</f>
        <v>32495</v>
      </c>
      <c r="F4" s="152">
        <f>'Athens Daily - EL'!AL9</f>
        <v>26665</v>
      </c>
      <c r="G4" s="132">
        <f t="shared" ref="G4:G33" si="1">SUM(E4,F4)</f>
        <v>59160</v>
      </c>
      <c r="H4" s="152">
        <f>'Athens Daily - Water'!R8</f>
        <v>403.69740000000002</v>
      </c>
      <c r="I4" s="152">
        <f>'Athens Daily - Water'!S8</f>
        <v>127.5</v>
      </c>
      <c r="J4" s="128">
        <f t="shared" si="0"/>
        <v>531.19740000000002</v>
      </c>
      <c r="K4" s="152">
        <f>'Athens Daily - Gas'!BH10</f>
        <v>151373.56799999959</v>
      </c>
      <c r="L4" s="152">
        <f>'Athens Daily - Gas'!BI10</f>
        <v>82953.600000000006</v>
      </c>
      <c r="M4" s="132">
        <f t="shared" ref="M4:M33" si="2">SUM(K4,L4)/38.61</f>
        <v>6069.0797202797103</v>
      </c>
      <c r="N4" s="159">
        <f>Occ!G11</f>
        <v>387</v>
      </c>
      <c r="O4" s="105">
        <f>Occ!H11</f>
        <v>910</v>
      </c>
      <c r="P4" s="158">
        <v>918</v>
      </c>
      <c r="Q4" s="167"/>
    </row>
    <row r="5" spans="1:17" ht="15.75">
      <c r="A5" s="7" t="s">
        <v>14</v>
      </c>
      <c r="B5" s="7">
        <v>3</v>
      </c>
      <c r="C5" s="7">
        <v>1</v>
      </c>
      <c r="D5" s="122">
        <v>2021</v>
      </c>
      <c r="E5" s="152">
        <f>'Athens Daily - EL'!AK10</f>
        <v>30540</v>
      </c>
      <c r="F5" s="152">
        <f>'Athens Daily - EL'!AL10</f>
        <v>24170</v>
      </c>
      <c r="G5" s="132">
        <f t="shared" si="1"/>
        <v>54710</v>
      </c>
      <c r="H5" s="152">
        <f>'Athens Daily - Water'!R9</f>
        <v>430.09470000000056</v>
      </c>
      <c r="I5" s="152">
        <f>'Athens Daily - Water'!S9</f>
        <v>164.05</v>
      </c>
      <c r="J5" s="128">
        <f t="shared" si="0"/>
        <v>594.14470000000051</v>
      </c>
      <c r="K5" s="152">
        <f>'Athens Daily - Gas'!BH11</f>
        <v>140778.19200000004</v>
      </c>
      <c r="L5" s="152">
        <f>'Athens Daily - Gas'!BI11</f>
        <v>81360</v>
      </c>
      <c r="M5" s="132">
        <f t="shared" si="2"/>
        <v>5753.3849261849273</v>
      </c>
      <c r="N5" s="159">
        <f>Occ!G12</f>
        <v>337</v>
      </c>
      <c r="O5" s="105">
        <f>Occ!H12</f>
        <v>800</v>
      </c>
      <c r="P5" s="158">
        <v>918</v>
      </c>
      <c r="Q5" s="167"/>
    </row>
    <row r="6" spans="1:17" ht="15.75">
      <c r="A6" s="7" t="s">
        <v>14</v>
      </c>
      <c r="B6" s="7">
        <v>4</v>
      </c>
      <c r="C6" s="7">
        <v>1</v>
      </c>
      <c r="D6" s="122">
        <v>2021</v>
      </c>
      <c r="E6" s="152">
        <f>'Athens Daily - EL'!AK11</f>
        <v>28495</v>
      </c>
      <c r="F6" s="152">
        <f>'Athens Daily - EL'!AL11</f>
        <v>23215</v>
      </c>
      <c r="G6" s="132">
        <f t="shared" si="1"/>
        <v>51710</v>
      </c>
      <c r="H6" s="152">
        <f>'Athens Daily - Water'!R10</f>
        <v>322.32229999999981</v>
      </c>
      <c r="I6" s="152">
        <f>'Athens Daily - Water'!S10</f>
        <v>114.6</v>
      </c>
      <c r="J6" s="128">
        <f t="shared" si="0"/>
        <v>436.92229999999984</v>
      </c>
      <c r="K6" s="152">
        <f>'Athens Daily - Gas'!BH12</f>
        <v>128468.44800000032</v>
      </c>
      <c r="L6" s="152">
        <f>'Athens Daily - Gas'!BI12</f>
        <v>72672</v>
      </c>
      <c r="M6" s="132">
        <f t="shared" si="2"/>
        <v>5209.5428127428213</v>
      </c>
      <c r="N6" s="159">
        <f>Occ!G13</f>
        <v>329</v>
      </c>
      <c r="O6" s="105">
        <f>Occ!H13</f>
        <v>781</v>
      </c>
      <c r="P6" s="158">
        <v>918</v>
      </c>
      <c r="Q6" s="167"/>
    </row>
    <row r="7" spans="1:17" ht="15.75">
      <c r="A7" s="7" t="s">
        <v>14</v>
      </c>
      <c r="B7" s="7">
        <v>5</v>
      </c>
      <c r="C7" s="7">
        <v>1</v>
      </c>
      <c r="D7" s="122">
        <v>2021</v>
      </c>
      <c r="E7" s="152">
        <f>'Athens Daily - EL'!AK12</f>
        <v>27450</v>
      </c>
      <c r="F7" s="152">
        <f>'Athens Daily - EL'!AL12</f>
        <v>22030</v>
      </c>
      <c r="G7" s="132">
        <f t="shared" si="1"/>
        <v>49480</v>
      </c>
      <c r="H7" s="152">
        <f>'Athens Daily - Water'!R11</f>
        <v>263.76999999999953</v>
      </c>
      <c r="I7" s="152">
        <f>'Athens Daily - Water'!S11</f>
        <v>137.69999999999999</v>
      </c>
      <c r="J7" s="128">
        <f t="shared" si="0"/>
        <v>401.46999999999952</v>
      </c>
      <c r="K7" s="152">
        <f>'Athens Daily - Gas'!BH13</f>
        <v>116962.75199999995</v>
      </c>
      <c r="L7" s="152">
        <f>'Athens Daily - Gas'!BI13</f>
        <v>67545.600000000006</v>
      </c>
      <c r="M7" s="132">
        <f t="shared" si="2"/>
        <v>4778.7710955710945</v>
      </c>
      <c r="N7" s="159">
        <f>Occ!G14</f>
        <v>320</v>
      </c>
      <c r="O7" s="105">
        <f>Occ!H14</f>
        <v>765</v>
      </c>
      <c r="P7" s="158">
        <v>918</v>
      </c>
      <c r="Q7" s="167"/>
    </row>
    <row r="8" spans="1:17" ht="15.75">
      <c r="A8" s="7" t="s">
        <v>14</v>
      </c>
      <c r="B8" s="7">
        <v>6</v>
      </c>
      <c r="C8" s="7">
        <v>1</v>
      </c>
      <c r="D8" s="122">
        <v>2021</v>
      </c>
      <c r="E8" s="152">
        <f>'Athens Daily - EL'!AK13</f>
        <v>27440</v>
      </c>
      <c r="F8" s="152">
        <f>'Athens Daily - EL'!AL13</f>
        <v>22120</v>
      </c>
      <c r="G8" s="132">
        <f t="shared" si="1"/>
        <v>49560</v>
      </c>
      <c r="H8" s="152">
        <f>'Athens Daily - Water'!R12</f>
        <v>257.56450000000041</v>
      </c>
      <c r="I8" s="152">
        <f>'Athens Daily - Water'!S12</f>
        <v>135.19999999999999</v>
      </c>
      <c r="J8" s="128">
        <f t="shared" si="0"/>
        <v>392.7645000000004</v>
      </c>
      <c r="K8" s="152">
        <f>'Athens Daily - Gas'!BH14</f>
        <v>115392</v>
      </c>
      <c r="L8" s="152">
        <f>'Athens Daily - Gas'!BI14</f>
        <v>67440</v>
      </c>
      <c r="M8" s="132">
        <f t="shared" si="2"/>
        <v>4735.3535353535353</v>
      </c>
      <c r="N8" s="159">
        <f>Occ!G15</f>
        <v>324</v>
      </c>
      <c r="O8" s="105">
        <f>Occ!H15</f>
        <v>772</v>
      </c>
      <c r="P8" s="158">
        <v>918</v>
      </c>
      <c r="Q8" s="167"/>
    </row>
    <row r="9" spans="1:17" ht="15.75">
      <c r="A9" s="7" t="s">
        <v>14</v>
      </c>
      <c r="B9" s="7">
        <v>7</v>
      </c>
      <c r="C9" s="7">
        <v>1</v>
      </c>
      <c r="D9" s="122">
        <v>2021</v>
      </c>
      <c r="E9" s="152">
        <f>'Athens Daily - EL'!AK14</f>
        <v>27810</v>
      </c>
      <c r="F9" s="152">
        <f>'Athens Daily - EL'!AL14</f>
        <v>21910</v>
      </c>
      <c r="G9" s="132">
        <f t="shared" si="1"/>
        <v>49720</v>
      </c>
      <c r="H9" s="152">
        <f>'Athens Daily - Water'!R13</f>
        <v>255.02319999999963</v>
      </c>
      <c r="I9" s="152">
        <f>'Athens Daily - Water'!S13</f>
        <v>124.45</v>
      </c>
      <c r="J9" s="128">
        <f t="shared" si="0"/>
        <v>379.47319999999962</v>
      </c>
      <c r="K9" s="152">
        <f>'Athens Daily - Gas'!BH15</f>
        <v>116860.8</v>
      </c>
      <c r="L9" s="152">
        <f>'Athens Daily - Gas'!BI15</f>
        <v>69835.200000000012</v>
      </c>
      <c r="M9" s="132">
        <f t="shared" si="2"/>
        <v>4835.4312354312351</v>
      </c>
      <c r="N9" s="159">
        <f>Occ!G16</f>
        <v>346</v>
      </c>
      <c r="O9" s="105">
        <f>Occ!H16</f>
        <v>817</v>
      </c>
      <c r="P9" s="158">
        <v>918</v>
      </c>
      <c r="Q9" s="167"/>
    </row>
    <row r="10" spans="1:17">
      <c r="A10" s="7" t="s">
        <v>14</v>
      </c>
      <c r="B10" s="7">
        <v>8</v>
      </c>
      <c r="C10" s="7">
        <v>1</v>
      </c>
      <c r="D10" s="122">
        <v>2021</v>
      </c>
      <c r="E10" s="152">
        <f>'Athens Daily - EL'!AK15</f>
        <v>30860</v>
      </c>
      <c r="F10" s="152">
        <f>'Athens Daily - EL'!AL15</f>
        <v>24300</v>
      </c>
      <c r="G10" s="132">
        <f t="shared" si="1"/>
        <v>55160</v>
      </c>
      <c r="H10" s="152">
        <f>'Athens Daily - Water'!R14</f>
        <v>283.80030000000079</v>
      </c>
      <c r="I10" s="152">
        <f>'Athens Daily - Water'!S14</f>
        <v>119.45</v>
      </c>
      <c r="J10" s="128">
        <f t="shared" si="0"/>
        <v>403.25030000000078</v>
      </c>
      <c r="K10" s="152">
        <f>'Athens Daily - Gas'!BH16</f>
        <v>117206.39999999999</v>
      </c>
      <c r="L10" s="152">
        <f>'Athens Daily - Gas'!BI16</f>
        <v>63681.600000000006</v>
      </c>
      <c r="M10" s="132">
        <f t="shared" si="2"/>
        <v>4685.0038850038854</v>
      </c>
      <c r="N10" s="159">
        <f>Occ!G17</f>
        <v>351</v>
      </c>
      <c r="O10" s="105">
        <f>Occ!H17</f>
        <v>830</v>
      </c>
      <c r="P10" s="158">
        <v>918</v>
      </c>
      <c r="Q10" s="102"/>
    </row>
    <row r="11" spans="1:17">
      <c r="A11" s="7" t="s">
        <v>14</v>
      </c>
      <c r="B11" s="7">
        <v>9</v>
      </c>
      <c r="C11" s="7">
        <v>1</v>
      </c>
      <c r="D11" s="122">
        <v>2021</v>
      </c>
      <c r="E11" s="152">
        <f>'Athens Daily - EL'!AK16</f>
        <v>29200</v>
      </c>
      <c r="F11" s="152">
        <f>'Athens Daily - EL'!AL16</f>
        <v>29000</v>
      </c>
      <c r="G11" s="132">
        <f t="shared" si="1"/>
        <v>58200</v>
      </c>
      <c r="H11" s="152">
        <f>'Athens Daily - Water'!R15</f>
        <v>381.46169999999984</v>
      </c>
      <c r="I11" s="152">
        <f>'Athens Daily - Water'!S15</f>
        <v>144.05000000000001</v>
      </c>
      <c r="J11" s="128">
        <f t="shared" si="0"/>
        <v>525.51169999999979</v>
      </c>
      <c r="K11" s="152">
        <f>'Athens Daily - Gas'!BH17</f>
        <v>117223.20000000027</v>
      </c>
      <c r="L11" s="152">
        <f>'Athens Daily - Gas'!BI17</f>
        <v>61737.600000000006</v>
      </c>
      <c r="M11" s="132">
        <f t="shared" si="2"/>
        <v>4635.0893550893625</v>
      </c>
      <c r="N11" s="159">
        <f>Occ!G18</f>
        <v>384</v>
      </c>
      <c r="O11" s="105">
        <f>Occ!H18</f>
        <v>909</v>
      </c>
      <c r="P11" s="158">
        <v>918</v>
      </c>
      <c r="Q11" s="102"/>
    </row>
    <row r="12" spans="1:17" ht="15.75">
      <c r="A12" s="7" t="s">
        <v>14</v>
      </c>
      <c r="B12" s="7">
        <v>10</v>
      </c>
      <c r="C12" s="7">
        <v>1</v>
      </c>
      <c r="D12" s="122">
        <v>2021</v>
      </c>
      <c r="E12" s="152">
        <f>'Athens Daily - EL'!AK17</f>
        <v>33090</v>
      </c>
      <c r="F12" s="152">
        <f>'Athens Daily - EL'!AL17</f>
        <v>19550</v>
      </c>
      <c r="G12" s="132">
        <f t="shared" si="1"/>
        <v>52640</v>
      </c>
      <c r="H12" s="152">
        <f>'Athens Daily - Water'!R16</f>
        <v>377.5679999999993</v>
      </c>
      <c r="I12" s="152">
        <f>'Athens Daily - Water'!S16</f>
        <v>148.1</v>
      </c>
      <c r="J12" s="128">
        <f t="shared" si="0"/>
        <v>525.66799999999932</v>
      </c>
      <c r="K12" s="152">
        <f>'Athens Daily - Gas'!BH18</f>
        <v>147745.15199999994</v>
      </c>
      <c r="L12" s="152">
        <f>'Athens Daily - Gas'!BI18</f>
        <v>81379.199999999997</v>
      </c>
      <c r="M12" s="132">
        <f t="shared" si="2"/>
        <v>5934.3266511266502</v>
      </c>
      <c r="N12" s="159">
        <f>Occ!G19</f>
        <v>347</v>
      </c>
      <c r="O12" s="105">
        <f>Occ!H19</f>
        <v>816</v>
      </c>
      <c r="P12" s="158">
        <v>918</v>
      </c>
      <c r="Q12" s="167"/>
    </row>
    <row r="13" spans="1:17" ht="15.75">
      <c r="A13" s="7" t="s">
        <v>14</v>
      </c>
      <c r="B13" s="7">
        <v>11</v>
      </c>
      <c r="C13" s="7">
        <v>1</v>
      </c>
      <c r="D13" s="122">
        <v>2021</v>
      </c>
      <c r="E13" s="152">
        <f>'Athens Daily - EL'!AK18</f>
        <v>30185</v>
      </c>
      <c r="F13" s="152">
        <f>'Athens Daily - EL'!AL18</f>
        <v>22635</v>
      </c>
      <c r="G13" s="132">
        <f t="shared" si="1"/>
        <v>52820</v>
      </c>
      <c r="H13" s="152">
        <f>'Athens Daily - Water'!R17</f>
        <v>331.81920000000082</v>
      </c>
      <c r="I13" s="152">
        <f>'Athens Daily - Water'!S17</f>
        <v>148.1</v>
      </c>
      <c r="J13" s="128">
        <f t="shared" si="0"/>
        <v>479.91920000000084</v>
      </c>
      <c r="K13" s="152">
        <f>'Athens Daily - Gas'!BH19</f>
        <v>149635.96799999988</v>
      </c>
      <c r="L13" s="152">
        <f>'Athens Daily - Gas'!BI19</f>
        <v>79200</v>
      </c>
      <c r="M13" s="132">
        <f t="shared" si="2"/>
        <v>5926.8574980574949</v>
      </c>
      <c r="N13" s="159">
        <f>Occ!G20</f>
        <v>323</v>
      </c>
      <c r="O13" s="105">
        <f>Occ!H20</f>
        <v>769</v>
      </c>
      <c r="P13" s="158">
        <v>918</v>
      </c>
      <c r="Q13" s="167"/>
    </row>
    <row r="14" spans="1:17" ht="15.75">
      <c r="A14" s="7" t="s">
        <v>14</v>
      </c>
      <c r="B14" s="7">
        <v>12</v>
      </c>
      <c r="C14" s="7">
        <v>1</v>
      </c>
      <c r="D14" s="122">
        <v>2021</v>
      </c>
      <c r="E14" s="152">
        <f>'Athens Daily - EL'!AK19</f>
        <v>32370</v>
      </c>
      <c r="F14" s="152">
        <f>'Athens Daily - EL'!AL19</f>
        <v>24640</v>
      </c>
      <c r="G14" s="132">
        <f t="shared" si="1"/>
        <v>57010</v>
      </c>
      <c r="H14" s="152">
        <f>'Athens Daily - Water'!R18</f>
        <v>376.44879999999921</v>
      </c>
      <c r="I14" s="152">
        <f>'Athens Daily - Water'!S18</f>
        <v>125.65</v>
      </c>
      <c r="J14" s="128">
        <f t="shared" si="0"/>
        <v>502.09879999999919</v>
      </c>
      <c r="K14" s="152">
        <f>'Athens Daily - Gas'!BH20</f>
        <v>153676.7519999998</v>
      </c>
      <c r="L14" s="152">
        <f>'Athens Daily - Gas'!BI20</f>
        <v>83491.200000000012</v>
      </c>
      <c r="M14" s="132">
        <f t="shared" si="2"/>
        <v>6142.656099456095</v>
      </c>
      <c r="N14" s="159">
        <f>Occ!G21</f>
        <v>359</v>
      </c>
      <c r="O14" s="105">
        <f>Occ!H21</f>
        <v>784</v>
      </c>
      <c r="P14" s="158">
        <v>918</v>
      </c>
      <c r="Q14" s="167"/>
    </row>
    <row r="15" spans="1:17">
      <c r="A15" s="7" t="s">
        <v>14</v>
      </c>
      <c r="B15" s="7">
        <v>13</v>
      </c>
      <c r="C15" s="7">
        <v>1</v>
      </c>
      <c r="D15" s="122">
        <v>2021</v>
      </c>
      <c r="E15" s="152">
        <f>'Athens Daily - EL'!AK20</f>
        <v>33090</v>
      </c>
      <c r="F15" s="152">
        <f>'Athens Daily - EL'!AL20</f>
        <v>25420</v>
      </c>
      <c r="G15" s="132">
        <f t="shared" si="1"/>
        <v>58510</v>
      </c>
      <c r="H15" s="152">
        <f>'Athens Daily - Water'!R19</f>
        <v>338.63630000000012</v>
      </c>
      <c r="I15" s="152">
        <f>'Athens Daily - Water'!S19</f>
        <v>199.55</v>
      </c>
      <c r="J15" s="128">
        <f t="shared" si="0"/>
        <v>538.18630000000007</v>
      </c>
      <c r="K15" s="152">
        <f>'Athens Daily - Gas'!BH21</f>
        <v>155568.57600000023</v>
      </c>
      <c r="L15" s="152">
        <f>'Athens Daily - Gas'!BI21</f>
        <v>84950.400000000009</v>
      </c>
      <c r="M15" s="132">
        <f t="shared" si="2"/>
        <v>6229.4477078477148</v>
      </c>
      <c r="N15" s="159">
        <f>Occ!G22</f>
        <v>333</v>
      </c>
      <c r="O15" s="105">
        <f>Occ!H22</f>
        <v>796</v>
      </c>
      <c r="P15" s="158">
        <v>918</v>
      </c>
      <c r="Q15" s="164"/>
    </row>
    <row r="16" spans="1:17">
      <c r="A16" s="7" t="s">
        <v>14</v>
      </c>
      <c r="B16" s="7">
        <v>14</v>
      </c>
      <c r="C16" s="7">
        <v>1</v>
      </c>
      <c r="D16" s="122">
        <v>2021</v>
      </c>
      <c r="E16" s="152">
        <f>'Athens Daily - EL'!AK21</f>
        <v>33120</v>
      </c>
      <c r="F16" s="152">
        <f>'Athens Daily - EL'!AL21</f>
        <v>26810</v>
      </c>
      <c r="G16" s="132">
        <f t="shared" si="1"/>
        <v>59930</v>
      </c>
      <c r="H16" s="152">
        <f>'Athens Daily - Water'!R20</f>
        <v>386.24130000000059</v>
      </c>
      <c r="I16" s="152">
        <f>'Athens Daily - Water'!S20</f>
        <v>97.350000000000009</v>
      </c>
      <c r="J16" s="128">
        <f t="shared" si="0"/>
        <v>483.59130000000062</v>
      </c>
      <c r="K16" s="152">
        <f>'Athens Daily - Gas'!BH22</f>
        <v>147017.95199999982</v>
      </c>
      <c r="L16" s="152">
        <f>'Athens Daily - Gas'!BI22</f>
        <v>82752</v>
      </c>
      <c r="M16" s="132">
        <f t="shared" si="2"/>
        <v>5951.0477078477034</v>
      </c>
      <c r="N16" s="159">
        <f>Occ!G23</f>
        <v>342</v>
      </c>
      <c r="O16" s="105">
        <f>Occ!H23</f>
        <v>816</v>
      </c>
      <c r="P16" s="158">
        <v>918</v>
      </c>
      <c r="Q16" s="164"/>
    </row>
    <row r="17" spans="1:17">
      <c r="A17" s="7" t="s">
        <v>14</v>
      </c>
      <c r="B17" s="7">
        <v>15</v>
      </c>
      <c r="C17" s="7">
        <v>1</v>
      </c>
      <c r="D17" s="122">
        <v>2021</v>
      </c>
      <c r="E17" s="152">
        <f>'Athens Daily - EL'!AK22</f>
        <v>32625</v>
      </c>
      <c r="F17" s="152">
        <f>'Athens Daily - EL'!AL22</f>
        <v>25695</v>
      </c>
      <c r="G17" s="132">
        <f t="shared" si="1"/>
        <v>58320</v>
      </c>
      <c r="H17" s="152">
        <f>'Athens Daily - Water'!R21</f>
        <v>356.47829999999976</v>
      </c>
      <c r="I17" s="152">
        <f>'Athens Daily - Water'!S21</f>
        <v>136.85</v>
      </c>
      <c r="J17" s="128">
        <f t="shared" si="0"/>
        <v>493.32829999999979</v>
      </c>
      <c r="K17" s="152">
        <f>'Athens Daily - Gas'!BH23</f>
        <v>53094.72000000011</v>
      </c>
      <c r="L17" s="152">
        <f>'Athens Daily - Gas'!BI23</f>
        <v>17846.400000000001</v>
      </c>
      <c r="M17" s="132">
        <f t="shared" si="2"/>
        <v>1837.3768453768482</v>
      </c>
      <c r="N17" s="159">
        <f>Occ!G24</f>
        <v>362</v>
      </c>
      <c r="O17" s="105">
        <f>Occ!H24</f>
        <v>861</v>
      </c>
      <c r="P17" s="158">
        <v>918</v>
      </c>
      <c r="Q17" s="164"/>
    </row>
    <row r="18" spans="1:17">
      <c r="A18" s="7" t="s">
        <v>14</v>
      </c>
      <c r="B18" s="7">
        <v>16</v>
      </c>
      <c r="C18" s="7">
        <v>1</v>
      </c>
      <c r="D18" s="122">
        <v>2021</v>
      </c>
      <c r="E18" s="152">
        <f>'Athens Daily - EL'!AK23</f>
        <v>35430</v>
      </c>
      <c r="F18" s="152">
        <f>'Athens Daily - EL'!AL23</f>
        <v>27000</v>
      </c>
      <c r="G18" s="132">
        <f t="shared" si="1"/>
        <v>62430</v>
      </c>
      <c r="H18" s="152">
        <f>'Athens Daily - Water'!R22</f>
        <v>334.33539999999994</v>
      </c>
      <c r="I18" s="152">
        <f>'Athens Daily - Water'!S22</f>
        <v>130.44999999999999</v>
      </c>
      <c r="J18" s="128">
        <f t="shared" si="0"/>
        <v>464.78539999999992</v>
      </c>
      <c r="K18" s="152">
        <f>'Athens Daily - Gas'!BH24</f>
        <v>140616.20571429969</v>
      </c>
      <c r="L18" s="152">
        <f>'Athens Daily - Gas'!BI24</f>
        <v>72327.771428579101</v>
      </c>
      <c r="M18" s="132">
        <f t="shared" si="2"/>
        <v>5515.2545232550847</v>
      </c>
      <c r="N18" s="159">
        <f>Occ!G25</f>
        <v>437</v>
      </c>
      <c r="O18" s="105">
        <f>Occ!H25</f>
        <v>1021</v>
      </c>
      <c r="P18" s="158">
        <v>918</v>
      </c>
      <c r="Q18" s="163"/>
    </row>
    <row r="19" spans="1:17">
      <c r="A19" s="7" t="s">
        <v>14</v>
      </c>
      <c r="B19" s="7">
        <v>17</v>
      </c>
      <c r="C19" s="7">
        <v>1</v>
      </c>
      <c r="D19" s="122">
        <v>2021</v>
      </c>
      <c r="E19" s="152">
        <f>'Athens Daily - EL'!AK24</f>
        <v>34625</v>
      </c>
      <c r="F19" s="152">
        <f>'Athens Daily - EL'!AL24</f>
        <v>26805</v>
      </c>
      <c r="G19" s="132">
        <f t="shared" si="1"/>
        <v>61430</v>
      </c>
      <c r="H19" s="152">
        <f>'Athens Daily - Water'!R23</f>
        <v>426.01500000000033</v>
      </c>
      <c r="I19" s="152">
        <f>'Athens Daily - Water'!S23</f>
        <v>156.94999999999999</v>
      </c>
      <c r="J19" s="128">
        <f t="shared" si="0"/>
        <v>582.96500000000037</v>
      </c>
      <c r="K19" s="152">
        <f>'Athens Daily - Gas'!BH25</f>
        <v>140616.20571429969</v>
      </c>
      <c r="L19" s="152">
        <f>'Athens Daily - Gas'!BI25</f>
        <v>77367.771428579101</v>
      </c>
      <c r="M19" s="132">
        <f t="shared" si="2"/>
        <v>5645.7906537912149</v>
      </c>
      <c r="N19" s="159">
        <f>Occ!G26</f>
        <v>352</v>
      </c>
      <c r="O19" s="105">
        <f>Occ!H26</f>
        <v>837</v>
      </c>
      <c r="P19" s="158">
        <v>918</v>
      </c>
      <c r="Q19" s="163"/>
    </row>
    <row r="20" spans="1:17">
      <c r="A20" s="7" t="s">
        <v>14</v>
      </c>
      <c r="B20" s="7">
        <v>18</v>
      </c>
      <c r="C20" s="7">
        <v>1</v>
      </c>
      <c r="D20" s="122">
        <v>2021</v>
      </c>
      <c r="E20" s="152">
        <f>'Athens Daily - EL'!AK25</f>
        <v>34660</v>
      </c>
      <c r="F20" s="152">
        <f>'Athens Daily - EL'!AL25</f>
        <v>26940</v>
      </c>
      <c r="G20" s="132">
        <f t="shared" si="1"/>
        <v>61600</v>
      </c>
      <c r="H20" s="152">
        <f>'Athens Daily - Water'!R24</f>
        <v>252.78369999999995</v>
      </c>
      <c r="I20" s="152">
        <f>'Athens Daily - Water'!S24</f>
        <v>160.69999999999999</v>
      </c>
      <c r="J20" s="128">
        <f t="shared" si="0"/>
        <v>413.48369999999994</v>
      </c>
      <c r="K20" s="152">
        <f>'Athens Daily - Gas'!BH26</f>
        <v>133385.80408162193</v>
      </c>
      <c r="L20" s="152">
        <f>'Athens Daily - Gas'!BI26</f>
        <v>70019.26530611515</v>
      </c>
      <c r="M20" s="132">
        <f t="shared" si="2"/>
        <v>5268.1965653389561</v>
      </c>
      <c r="N20" s="159">
        <f>Occ!G27</f>
        <v>349</v>
      </c>
      <c r="O20" s="105">
        <f>Occ!H27</f>
        <v>823</v>
      </c>
      <c r="P20" s="158">
        <v>918</v>
      </c>
      <c r="Q20" s="163"/>
    </row>
    <row r="21" spans="1:17">
      <c r="A21" s="7" t="s">
        <v>14</v>
      </c>
      <c r="B21" s="7">
        <v>19</v>
      </c>
      <c r="C21" s="7">
        <v>1</v>
      </c>
      <c r="D21" s="122">
        <v>2021</v>
      </c>
      <c r="E21" s="152">
        <f>'Athens Daily - EL'!AK26</f>
        <v>33085</v>
      </c>
      <c r="F21" s="152">
        <f>'Athens Daily - EL'!AL26</f>
        <v>26555</v>
      </c>
      <c r="G21" s="132">
        <f t="shared" si="1"/>
        <v>59640</v>
      </c>
      <c r="H21" s="152">
        <f>'Athens Daily - Water'!R25</f>
        <v>269.91899999999987</v>
      </c>
      <c r="I21" s="152">
        <f>'Athens Daily - Water'!S25</f>
        <v>762.9</v>
      </c>
      <c r="J21" s="128">
        <f t="shared" si="0"/>
        <v>1032.819</v>
      </c>
      <c r="K21" s="152">
        <f>'Athens Daily - Gas'!BH27</f>
        <v>140616.20571429969</v>
      </c>
      <c r="L21" s="152">
        <f>'Athens Daily - Gas'!BI27</f>
        <v>75639.771428579101</v>
      </c>
      <c r="M21" s="132">
        <f t="shared" si="2"/>
        <v>5601.0354090359706</v>
      </c>
      <c r="N21" s="159">
        <f>Occ!G28</f>
        <v>359</v>
      </c>
      <c r="O21" s="105">
        <f>Occ!H28</f>
        <v>842</v>
      </c>
      <c r="P21" s="158">
        <v>918</v>
      </c>
      <c r="Q21" s="163"/>
    </row>
    <row r="22" spans="1:17">
      <c r="A22" s="7" t="s">
        <v>14</v>
      </c>
      <c r="B22" s="7">
        <v>20</v>
      </c>
      <c r="C22" s="7">
        <v>1</v>
      </c>
      <c r="D22" s="122">
        <v>2021</v>
      </c>
      <c r="E22" s="152">
        <f>'Athens Daily - EL'!AK27</f>
        <v>30005</v>
      </c>
      <c r="F22" s="152">
        <f>'Athens Daily - EL'!AL27</f>
        <v>24245</v>
      </c>
      <c r="G22" s="132">
        <f t="shared" si="1"/>
        <v>54250</v>
      </c>
      <c r="H22" s="152">
        <f>'Athens Daily - Water'!R26</f>
        <v>265.46000000000004</v>
      </c>
      <c r="I22" s="152">
        <f>'Athens Daily - Water'!S26</f>
        <v>259.5</v>
      </c>
      <c r="J22" s="128">
        <f t="shared" si="0"/>
        <v>524.96</v>
      </c>
      <c r="K22" s="152">
        <f>'Athens Daily - Gas'!BH28</f>
        <v>140616.20571429969</v>
      </c>
      <c r="L22" s="152">
        <f>'Athens Daily - Gas'!BI28</f>
        <v>76551.771428579101</v>
      </c>
      <c r="M22" s="132">
        <f t="shared" si="2"/>
        <v>5624.6562326567937</v>
      </c>
      <c r="N22" s="159">
        <f>Occ!G29</f>
        <v>334</v>
      </c>
      <c r="O22" s="105">
        <f>Occ!H29</f>
        <v>784</v>
      </c>
      <c r="P22" s="158">
        <v>918</v>
      </c>
      <c r="Q22" s="164"/>
    </row>
    <row r="23" spans="1:17">
      <c r="A23" s="7" t="s">
        <v>14</v>
      </c>
      <c r="B23" s="7">
        <v>21</v>
      </c>
      <c r="C23" s="7">
        <v>1</v>
      </c>
      <c r="D23" s="122">
        <v>2021</v>
      </c>
      <c r="E23" s="152">
        <f>'Athens Daily - EL'!AK28</f>
        <v>28795</v>
      </c>
      <c r="F23" s="152">
        <f>'Athens Daily - EL'!AL28</f>
        <v>22745</v>
      </c>
      <c r="G23" s="132">
        <f t="shared" si="1"/>
        <v>51540</v>
      </c>
      <c r="H23" s="182">
        <f>'Athens Daily - Water'!R27</f>
        <v>318.06859999999961</v>
      </c>
      <c r="I23" s="152">
        <f>'Athens Daily - Water'!S27</f>
        <v>137.44999999999999</v>
      </c>
      <c r="J23" s="128">
        <f t="shared" si="0"/>
        <v>455.51859999999959</v>
      </c>
      <c r="K23" s="152">
        <f>'Athens Daily - Gas'!BH29</f>
        <v>140616.20571429969</v>
      </c>
      <c r="L23" s="152">
        <f>'Athens Daily - Gas'!BI29</f>
        <v>79959.771428579101</v>
      </c>
      <c r="M23" s="132">
        <f t="shared" si="2"/>
        <v>5712.9235209240824</v>
      </c>
      <c r="N23" s="159">
        <f>Occ!G30</f>
        <v>338</v>
      </c>
      <c r="O23" s="105">
        <f>Occ!H30</f>
        <v>790</v>
      </c>
      <c r="P23" s="158">
        <v>918</v>
      </c>
      <c r="Q23" s="164"/>
    </row>
    <row r="24" spans="1:17">
      <c r="A24" s="7" t="s">
        <v>14</v>
      </c>
      <c r="B24" s="7">
        <v>22</v>
      </c>
      <c r="C24" s="7">
        <v>1</v>
      </c>
      <c r="D24" s="122">
        <v>2021</v>
      </c>
      <c r="E24" s="152">
        <f>'Athens Daily - EL'!AK29</f>
        <v>30075</v>
      </c>
      <c r="F24" s="152">
        <f>'Athens Daily - EL'!AL29</f>
        <v>23865</v>
      </c>
      <c r="G24" s="132">
        <f t="shared" si="1"/>
        <v>53940</v>
      </c>
      <c r="H24" s="182">
        <f>'Athens Daily - Water'!R28</f>
        <v>302.67259999999987</v>
      </c>
      <c r="I24" s="152">
        <f>'Athens Daily - Water'!S28</f>
        <v>130.30000000000001</v>
      </c>
      <c r="J24" s="128">
        <f t="shared" si="0"/>
        <v>432.97259999999989</v>
      </c>
      <c r="K24" s="152">
        <f>'Athens Daily - Gas'!BH30</f>
        <v>147846.60734687955</v>
      </c>
      <c r="L24" s="152">
        <f>'Athens Daily - Gas'!BI30</f>
        <v>89132.277550989398</v>
      </c>
      <c r="M24" s="132">
        <f t="shared" si="2"/>
        <v>6137.7592566140629</v>
      </c>
      <c r="N24" s="159">
        <f>Occ!G31</f>
        <v>375</v>
      </c>
      <c r="O24" s="105">
        <f>Occ!H31</f>
        <v>867</v>
      </c>
      <c r="P24" s="158">
        <v>918</v>
      </c>
      <c r="Q24" s="164"/>
    </row>
    <row r="25" spans="1:17">
      <c r="A25" s="7" t="s">
        <v>14</v>
      </c>
      <c r="B25" s="7">
        <v>23</v>
      </c>
      <c r="C25" s="7">
        <v>1</v>
      </c>
      <c r="D25" s="122">
        <v>2021</v>
      </c>
      <c r="E25" s="152">
        <f>'Athens Daily - EL'!AK30</f>
        <v>31510</v>
      </c>
      <c r="F25" s="152">
        <f>'Athens Daily - EL'!AL30</f>
        <v>23170</v>
      </c>
      <c r="G25" s="132">
        <f t="shared" si="1"/>
        <v>54680</v>
      </c>
      <c r="H25" s="182">
        <f>'Athens Daily - Water'!R29</f>
        <v>356.17280000000028</v>
      </c>
      <c r="I25" s="152">
        <f>'Athens Daily - Water'!S29</f>
        <v>155.30000000000001</v>
      </c>
      <c r="J25" s="128">
        <f t="shared" si="0"/>
        <v>511.47280000000029</v>
      </c>
      <c r="K25" s="170">
        <f>'Athens Daily - Gas'!BH31</f>
        <v>112677.88799999999</v>
      </c>
      <c r="L25" s="152">
        <f>'Athens Daily - Gas'!BI31</f>
        <v>67315.200000000012</v>
      </c>
      <c r="M25" s="132">
        <f t="shared" si="2"/>
        <v>4661.8256410256408</v>
      </c>
      <c r="N25" s="159">
        <f>Occ!G32</f>
        <v>464</v>
      </c>
      <c r="O25" s="105">
        <f>Occ!H32</f>
        <v>1086</v>
      </c>
      <c r="P25" s="158">
        <v>918</v>
      </c>
      <c r="Q25" s="164"/>
    </row>
    <row r="26" spans="1:17">
      <c r="A26" s="7" t="s">
        <v>14</v>
      </c>
      <c r="B26" s="7">
        <v>24</v>
      </c>
      <c r="C26" s="7">
        <v>1</v>
      </c>
      <c r="D26" s="122">
        <v>2021</v>
      </c>
      <c r="E26" s="152">
        <f>'Athens Daily - EL'!AK31</f>
        <v>31755</v>
      </c>
      <c r="F26" s="152">
        <f>'Athens Daily - EL'!AL31</f>
        <v>22595</v>
      </c>
      <c r="G26" s="132">
        <f t="shared" si="1"/>
        <v>54350</v>
      </c>
      <c r="H26" s="182">
        <f>'Athens Daily - Water'!R30</f>
        <v>402.95949999999993</v>
      </c>
      <c r="I26" s="152">
        <f>'Athens Daily - Water'!S30</f>
        <v>109</v>
      </c>
      <c r="J26" s="128">
        <f t="shared" si="0"/>
        <v>511.95949999999993</v>
      </c>
      <c r="K26" s="152">
        <f>'Athens Daily - Gas'!BH32</f>
        <v>118373.71199999987</v>
      </c>
      <c r="L26" s="152">
        <f>'Athens Daily - Gas'!BI32</f>
        <v>63436.800000000003</v>
      </c>
      <c r="M26" s="132">
        <f t="shared" si="2"/>
        <v>4708.8969696969662</v>
      </c>
      <c r="N26" s="159">
        <f>Occ!G33</f>
        <v>392</v>
      </c>
      <c r="O26" s="105">
        <f>Occ!H33</f>
        <v>903</v>
      </c>
      <c r="P26" s="158">
        <v>918</v>
      </c>
      <c r="Q26" s="164"/>
    </row>
    <row r="27" spans="1:17">
      <c r="A27" s="7" t="s">
        <v>14</v>
      </c>
      <c r="B27" s="7">
        <v>25</v>
      </c>
      <c r="C27" s="7">
        <v>1</v>
      </c>
      <c r="D27" s="122">
        <v>2021</v>
      </c>
      <c r="E27" s="152">
        <f>'Athens Daily - EL'!AK32</f>
        <v>30480</v>
      </c>
      <c r="F27" s="152">
        <f>'Athens Daily - EL'!AL32</f>
        <v>23120</v>
      </c>
      <c r="G27" s="132">
        <f t="shared" si="1"/>
        <v>53600</v>
      </c>
      <c r="H27" s="152">
        <f>'Athens Daily - Water'!R31</f>
        <v>378.18010000000049</v>
      </c>
      <c r="I27" s="152">
        <f>'Athens Daily - Water'!S31</f>
        <v>151.65</v>
      </c>
      <c r="J27" s="128">
        <f t="shared" si="0"/>
        <v>529.83010000000047</v>
      </c>
      <c r="K27" s="152">
        <f>'Athens Daily - Gas'!BH33</f>
        <v>132843.83999999944</v>
      </c>
      <c r="L27" s="152">
        <f>'Athens Daily - Gas'!BI33</f>
        <v>76023.199999998149</v>
      </c>
      <c r="M27" s="132">
        <f t="shared" si="2"/>
        <v>5409.6617456616832</v>
      </c>
      <c r="N27" s="159">
        <f>Occ!G34</f>
        <v>347</v>
      </c>
      <c r="O27" s="105">
        <f>Occ!H34</f>
        <v>817</v>
      </c>
      <c r="P27" s="158">
        <v>918</v>
      </c>
      <c r="Q27" s="162"/>
    </row>
    <row r="28" spans="1:17">
      <c r="A28" s="7" t="s">
        <v>14</v>
      </c>
      <c r="B28" s="7">
        <v>26</v>
      </c>
      <c r="C28" s="7">
        <v>1</v>
      </c>
      <c r="D28" s="122">
        <v>2021</v>
      </c>
      <c r="E28" s="152">
        <f>'Athens Daily - EL'!AK33</f>
        <v>29620</v>
      </c>
      <c r="F28" s="152">
        <f>'Athens Daily - EL'!AL33</f>
        <v>22910</v>
      </c>
      <c r="G28" s="132">
        <f t="shared" si="1"/>
        <v>52530</v>
      </c>
      <c r="H28" s="152">
        <f>'Athens Daily - Water'!R32</f>
        <v>378.22937999999976</v>
      </c>
      <c r="I28" s="152">
        <f>'Athens Daily - Water'!S32</f>
        <v>166.5</v>
      </c>
      <c r="J28" s="128">
        <f t="shared" si="0"/>
        <v>544.72937999999976</v>
      </c>
      <c r="K28" s="152">
        <f>'Athens Daily - Gas'!BH34</f>
        <v>132843.83999999944</v>
      </c>
      <c r="L28" s="152">
        <f>'Athens Daily - Gas'!BI34</f>
        <v>76023.199999998149</v>
      </c>
      <c r="M28" s="132">
        <f t="shared" si="2"/>
        <v>5409.6617456616832</v>
      </c>
      <c r="N28" s="159">
        <f>Occ!G35</f>
        <v>354</v>
      </c>
      <c r="O28" s="105">
        <f>Occ!H35</f>
        <v>830</v>
      </c>
      <c r="P28" s="158">
        <v>918</v>
      </c>
      <c r="Q28" s="162"/>
    </row>
    <row r="29" spans="1:17">
      <c r="A29" s="7" t="s">
        <v>14</v>
      </c>
      <c r="B29" s="7">
        <v>27</v>
      </c>
      <c r="C29" s="7">
        <v>1</v>
      </c>
      <c r="D29" s="122">
        <v>2021</v>
      </c>
      <c r="E29" s="152">
        <f>'Athens Daily - EL'!AK34</f>
        <v>29535</v>
      </c>
      <c r="F29" s="152">
        <f>'Athens Daily - EL'!AL34</f>
        <v>23365</v>
      </c>
      <c r="G29" s="132">
        <f t="shared" si="1"/>
        <v>52900</v>
      </c>
      <c r="H29" s="152">
        <f>'Athens Daily - Water'!R33</f>
        <v>263.41481999999996</v>
      </c>
      <c r="I29" s="152">
        <f>'Athens Daily - Water'!S33</f>
        <v>101.75</v>
      </c>
      <c r="J29" s="128">
        <f t="shared" si="0"/>
        <v>365.16481999999996</v>
      </c>
      <c r="K29" s="152">
        <f>'Athens Daily - Gas'!BH35</f>
        <v>132843.83999999944</v>
      </c>
      <c r="L29" s="152">
        <f>'Athens Daily - Gas'!BI35</f>
        <v>77338.39999999787</v>
      </c>
      <c r="M29" s="132">
        <f t="shared" si="2"/>
        <v>5443.7254597253905</v>
      </c>
      <c r="N29" s="159">
        <f>Occ!G36</f>
        <v>350</v>
      </c>
      <c r="O29" s="105">
        <f>Occ!H36</f>
        <v>824</v>
      </c>
      <c r="P29" s="158">
        <v>918</v>
      </c>
      <c r="Q29" s="162"/>
    </row>
    <row r="30" spans="1:17">
      <c r="A30" s="7" t="s">
        <v>14</v>
      </c>
      <c r="B30" s="7">
        <v>28</v>
      </c>
      <c r="C30" s="7">
        <v>1</v>
      </c>
      <c r="D30" s="122">
        <v>2021</v>
      </c>
      <c r="E30" s="152">
        <f>'Athens Daily - EL'!AK35</f>
        <v>30020</v>
      </c>
      <c r="F30" s="152">
        <f>'Athens Daily - EL'!AL35</f>
        <v>23340</v>
      </c>
      <c r="G30" s="132">
        <f t="shared" si="1"/>
        <v>53360</v>
      </c>
      <c r="H30" s="152">
        <f>'Athens Daily - Water'!R34</f>
        <v>302</v>
      </c>
      <c r="I30" s="152">
        <f>'Athens Daily - Water'!S34</f>
        <v>128.44999999999999</v>
      </c>
      <c r="J30" s="128">
        <f t="shared" si="0"/>
        <v>430.45</v>
      </c>
      <c r="K30" s="152">
        <f>'Athens Daily - Gas'!BH36</f>
        <v>132843.83999999944</v>
      </c>
      <c r="L30" s="152">
        <f>'Athens Daily - Gas'!BI36</f>
        <v>76229.706666665443</v>
      </c>
      <c r="M30" s="132">
        <f t="shared" si="2"/>
        <v>5415.010273676894</v>
      </c>
      <c r="N30" s="159">
        <f>Occ!G37</f>
        <v>359</v>
      </c>
      <c r="O30" s="105">
        <f>Occ!H37</f>
        <v>843</v>
      </c>
      <c r="P30" s="158">
        <v>918</v>
      </c>
      <c r="Q30" s="162"/>
    </row>
    <row r="31" spans="1:17">
      <c r="A31" s="7" t="s">
        <v>14</v>
      </c>
      <c r="B31" s="7">
        <v>29</v>
      </c>
      <c r="C31" s="7">
        <v>1</v>
      </c>
      <c r="D31" s="122">
        <v>2021</v>
      </c>
      <c r="E31" s="152">
        <f>'Athens Daily - EL'!AK36</f>
        <v>29440</v>
      </c>
      <c r="F31" s="152">
        <f>'Athens Daily - EL'!AL36</f>
        <v>22920</v>
      </c>
      <c r="G31" s="132">
        <f t="shared" si="1"/>
        <v>52360</v>
      </c>
      <c r="H31" s="152">
        <f>'Athens Daily - Water'!R35</f>
        <v>357.02220000000034</v>
      </c>
      <c r="I31" s="152">
        <f>'Athens Daily - Water'!S35</f>
        <v>142.25</v>
      </c>
      <c r="J31" s="128">
        <f t="shared" si="0"/>
        <v>499.27220000000034</v>
      </c>
      <c r="K31" s="152">
        <f>'Athens Daily - Gas'!BH37</f>
        <v>132843.83999999944</v>
      </c>
      <c r="L31" s="152">
        <f>'Athens Daily - Gas'!BI37</f>
        <v>69697.493333340448</v>
      </c>
      <c r="M31" s="132">
        <f t="shared" si="2"/>
        <v>5245.8257791592823</v>
      </c>
      <c r="N31" s="159">
        <f>Occ!G38</f>
        <v>385</v>
      </c>
      <c r="O31" s="105">
        <f>Occ!H38</f>
        <v>897</v>
      </c>
      <c r="P31" s="158">
        <v>918</v>
      </c>
      <c r="Q31" s="162"/>
    </row>
    <row r="32" spans="1:17">
      <c r="A32" s="7" t="s">
        <v>14</v>
      </c>
      <c r="B32" s="7">
        <v>30</v>
      </c>
      <c r="C32" s="7">
        <v>1</v>
      </c>
      <c r="D32" s="122">
        <v>2021</v>
      </c>
      <c r="E32" s="152">
        <f>'Athens Daily - EL'!AK37</f>
        <v>30225</v>
      </c>
      <c r="F32" s="152">
        <f>'Athens Daily - EL'!AL37</f>
        <v>22575</v>
      </c>
      <c r="G32" s="132">
        <f t="shared" si="1"/>
        <v>52800</v>
      </c>
      <c r="H32" s="152">
        <f>'Athens Daily - Water'!R36</f>
        <v>358.18269999999939</v>
      </c>
      <c r="I32" s="152">
        <f>'Athens Daily - Water'!S36</f>
        <v>142.25</v>
      </c>
      <c r="J32" s="128">
        <f t="shared" si="0"/>
        <v>500.43269999999939</v>
      </c>
      <c r="K32" s="152">
        <f>'Athens Daily - Gas'!BH38</f>
        <v>132843.83999999944</v>
      </c>
      <c r="L32" s="152">
        <f>'Athens Daily - Gas'!BI38</f>
        <v>68947.200000000012</v>
      </c>
      <c r="M32" s="132">
        <f t="shared" si="2"/>
        <v>5226.3931623931485</v>
      </c>
      <c r="N32" s="159">
        <f>Occ!G39</f>
        <v>471</v>
      </c>
      <c r="O32" s="105">
        <f>Occ!H39</f>
        <v>1091</v>
      </c>
      <c r="P32" s="158">
        <v>918</v>
      </c>
      <c r="Q32" s="162"/>
    </row>
    <row r="33" spans="1:17" ht="15.75" thickBot="1">
      <c r="A33" s="7" t="s">
        <v>14</v>
      </c>
      <c r="B33" s="7">
        <v>31</v>
      </c>
      <c r="C33" s="7">
        <v>1</v>
      </c>
      <c r="D33" s="122">
        <v>2021</v>
      </c>
      <c r="E33" s="153">
        <f>'Athens Daily - EL'!AK38</f>
        <v>30935</v>
      </c>
      <c r="F33" s="152">
        <f>'Athens Daily - EL'!AL38</f>
        <v>23105</v>
      </c>
      <c r="G33" s="133">
        <f t="shared" si="1"/>
        <v>54040</v>
      </c>
      <c r="H33" s="153">
        <f>'Athens Daily - Water'!R37</f>
        <v>455.32769999999982</v>
      </c>
      <c r="I33" s="152">
        <f>'Athens Daily - Water'!S37</f>
        <v>131.75</v>
      </c>
      <c r="J33" s="129">
        <f t="shared" si="0"/>
        <v>587.07769999999982</v>
      </c>
      <c r="K33" s="153">
        <f>'Athens Daily - Gas'!BH39</f>
        <v>132843.84000000329</v>
      </c>
      <c r="L33" s="152">
        <f>'Athens Daily - Gas'!BI39</f>
        <v>67603.200000000012</v>
      </c>
      <c r="M33" s="133">
        <f t="shared" si="2"/>
        <v>5191.5835275836134</v>
      </c>
      <c r="N33" s="166">
        <f>Occ!G40</f>
        <v>357</v>
      </c>
      <c r="O33" s="157">
        <f>Occ!H40</f>
        <v>839</v>
      </c>
      <c r="P33" s="156">
        <v>918</v>
      </c>
      <c r="Q33" s="162"/>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J23" sqref="J23"/>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12" t="s">
        <v>22</v>
      </c>
      <c r="H8" s="213"/>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142</v>
      </c>
      <c r="D10" s="145">
        <v>307</v>
      </c>
      <c r="E10" s="144">
        <v>286</v>
      </c>
      <c r="F10" s="145">
        <v>698</v>
      </c>
      <c r="G10" s="165">
        <f>SUM(C10+E10)</f>
        <v>428</v>
      </c>
      <c r="H10" s="145">
        <f>D10+F10</f>
        <v>1005</v>
      </c>
      <c r="I10" s="142">
        <v>918</v>
      </c>
      <c r="J10" s="134"/>
      <c r="K10" s="134"/>
      <c r="L10" s="134"/>
      <c r="M10" s="134"/>
      <c r="N10" s="134"/>
    </row>
    <row r="11" spans="1:14">
      <c r="A11" s="134"/>
      <c r="B11" s="143" t="s">
        <v>29</v>
      </c>
      <c r="C11" s="197">
        <v>102</v>
      </c>
      <c r="D11" s="145">
        <v>216</v>
      </c>
      <c r="E11" s="144">
        <v>285</v>
      </c>
      <c r="F11" s="145">
        <v>694</v>
      </c>
      <c r="G11" s="165">
        <f t="shared" ref="G11:G40" si="0">SUM(C11+E11)</f>
        <v>387</v>
      </c>
      <c r="H11" s="145">
        <f t="shared" ref="H11:H14" si="1">D11+F11</f>
        <v>910</v>
      </c>
      <c r="I11" s="142">
        <v>918</v>
      </c>
      <c r="J11" s="134"/>
      <c r="K11" s="134"/>
      <c r="L11" s="134"/>
      <c r="M11" s="134"/>
      <c r="N11" s="134"/>
    </row>
    <row r="12" spans="1:14">
      <c r="A12" s="134"/>
      <c r="B12" s="143" t="s">
        <v>30</v>
      </c>
      <c r="C12" s="144">
        <v>55</v>
      </c>
      <c r="D12" s="145">
        <v>113</v>
      </c>
      <c r="E12" s="144">
        <v>282</v>
      </c>
      <c r="F12" s="145">
        <v>687</v>
      </c>
      <c r="G12" s="165">
        <f t="shared" si="0"/>
        <v>337</v>
      </c>
      <c r="H12" s="145">
        <f t="shared" si="1"/>
        <v>800</v>
      </c>
      <c r="I12" s="142">
        <v>918</v>
      </c>
      <c r="J12" s="134"/>
      <c r="K12" s="134"/>
      <c r="L12" s="134"/>
      <c r="M12" s="134"/>
      <c r="N12" s="134"/>
    </row>
    <row r="13" spans="1:14">
      <c r="A13" s="134"/>
      <c r="B13" s="143" t="s">
        <v>31</v>
      </c>
      <c r="C13" s="144">
        <v>45</v>
      </c>
      <c r="D13" s="145">
        <v>89</v>
      </c>
      <c r="E13" s="144">
        <v>284</v>
      </c>
      <c r="F13" s="145">
        <v>692</v>
      </c>
      <c r="G13" s="165">
        <f t="shared" si="0"/>
        <v>329</v>
      </c>
      <c r="H13" s="145">
        <f t="shared" si="1"/>
        <v>781</v>
      </c>
      <c r="I13" s="142">
        <v>918</v>
      </c>
      <c r="J13" s="134"/>
      <c r="K13" s="134"/>
      <c r="L13" s="134"/>
      <c r="M13" s="134"/>
      <c r="N13" s="134"/>
    </row>
    <row r="14" spans="1:14">
      <c r="A14" s="134"/>
      <c r="B14" s="143" t="s">
        <v>32</v>
      </c>
      <c r="C14" s="144">
        <v>34</v>
      </c>
      <c r="D14" s="145">
        <v>70</v>
      </c>
      <c r="E14" s="144">
        <v>286</v>
      </c>
      <c r="F14" s="145">
        <v>695</v>
      </c>
      <c r="G14" s="165">
        <f t="shared" si="0"/>
        <v>320</v>
      </c>
      <c r="H14" s="145">
        <f t="shared" si="1"/>
        <v>765</v>
      </c>
      <c r="I14" s="142">
        <v>918</v>
      </c>
      <c r="J14" s="134"/>
      <c r="K14" s="134"/>
      <c r="L14" s="134"/>
      <c r="M14" s="134"/>
      <c r="N14" s="134"/>
    </row>
    <row r="15" spans="1:14">
      <c r="A15" s="134"/>
      <c r="B15" s="143" t="s">
        <v>33</v>
      </c>
      <c r="C15" s="144">
        <v>36</v>
      </c>
      <c r="D15" s="145">
        <v>75</v>
      </c>
      <c r="E15" s="144">
        <v>288</v>
      </c>
      <c r="F15" s="145">
        <v>697</v>
      </c>
      <c r="G15" s="165">
        <f t="shared" si="0"/>
        <v>324</v>
      </c>
      <c r="H15" s="145">
        <f t="shared" ref="H15:H40" si="2">D15+F15</f>
        <v>772</v>
      </c>
      <c r="I15" s="142">
        <v>918</v>
      </c>
      <c r="J15" s="134"/>
      <c r="K15" s="134"/>
      <c r="L15" s="134"/>
      <c r="M15" s="134"/>
      <c r="N15" s="134"/>
    </row>
    <row r="16" spans="1:14">
      <c r="A16" s="134"/>
      <c r="B16" s="143" t="s">
        <v>34</v>
      </c>
      <c r="C16" s="144">
        <v>60</v>
      </c>
      <c r="D16" s="145">
        <v>122</v>
      </c>
      <c r="E16" s="144">
        <v>286</v>
      </c>
      <c r="F16" s="145">
        <v>695</v>
      </c>
      <c r="G16" s="165">
        <f t="shared" si="0"/>
        <v>346</v>
      </c>
      <c r="H16" s="145">
        <f t="shared" si="2"/>
        <v>817</v>
      </c>
      <c r="I16" s="142">
        <v>918</v>
      </c>
      <c r="J16" s="134"/>
      <c r="K16" s="134"/>
      <c r="L16" s="134"/>
      <c r="M16" s="134"/>
      <c r="N16" s="134"/>
    </row>
    <row r="17" spans="1:14">
      <c r="A17" s="134"/>
      <c r="B17" s="143" t="s">
        <v>35</v>
      </c>
      <c r="C17" s="144">
        <v>64</v>
      </c>
      <c r="D17" s="145">
        <v>134</v>
      </c>
      <c r="E17" s="144">
        <v>287</v>
      </c>
      <c r="F17" s="145">
        <v>696</v>
      </c>
      <c r="G17" s="165">
        <f t="shared" si="0"/>
        <v>351</v>
      </c>
      <c r="H17" s="145">
        <f t="shared" si="2"/>
        <v>830</v>
      </c>
      <c r="I17" s="142">
        <v>918</v>
      </c>
      <c r="J17" s="134"/>
      <c r="K17" s="134"/>
      <c r="L17" s="134"/>
      <c r="M17" s="134"/>
      <c r="N17" s="134"/>
    </row>
    <row r="18" spans="1:14">
      <c r="A18" s="134"/>
      <c r="B18" s="143" t="s">
        <v>36</v>
      </c>
      <c r="C18" s="144">
        <v>100</v>
      </c>
      <c r="D18" s="145">
        <v>217</v>
      </c>
      <c r="E18" s="144">
        <v>284</v>
      </c>
      <c r="F18" s="145">
        <v>692</v>
      </c>
      <c r="G18" s="165">
        <f t="shared" si="0"/>
        <v>384</v>
      </c>
      <c r="H18" s="145">
        <f t="shared" si="2"/>
        <v>909</v>
      </c>
      <c r="I18" s="142">
        <v>918</v>
      </c>
      <c r="J18" s="134"/>
      <c r="K18" s="134"/>
      <c r="L18" s="134"/>
      <c r="M18" s="134"/>
      <c r="N18" s="134"/>
    </row>
    <row r="19" spans="1:14">
      <c r="A19" s="134"/>
      <c r="B19" s="143" t="s">
        <v>37</v>
      </c>
      <c r="C19" s="144">
        <v>63</v>
      </c>
      <c r="D19" s="145">
        <v>124</v>
      </c>
      <c r="E19" s="144">
        <v>284</v>
      </c>
      <c r="F19" s="145">
        <v>692</v>
      </c>
      <c r="G19" s="165">
        <f t="shared" si="0"/>
        <v>347</v>
      </c>
      <c r="H19" s="145">
        <f t="shared" si="2"/>
        <v>816</v>
      </c>
      <c r="I19" s="142">
        <v>918</v>
      </c>
      <c r="J19" s="134"/>
      <c r="K19" s="134"/>
      <c r="L19" s="134"/>
      <c r="M19" s="134"/>
      <c r="N19" s="134"/>
    </row>
    <row r="20" spans="1:14">
      <c r="A20" s="134"/>
      <c r="B20" s="143" t="s">
        <v>38</v>
      </c>
      <c r="C20" s="144">
        <v>39</v>
      </c>
      <c r="D20" s="145">
        <v>73</v>
      </c>
      <c r="E20" s="144">
        <v>284</v>
      </c>
      <c r="F20" s="145">
        <v>696</v>
      </c>
      <c r="G20" s="165">
        <f t="shared" si="0"/>
        <v>323</v>
      </c>
      <c r="H20" s="145">
        <f t="shared" si="2"/>
        <v>769</v>
      </c>
      <c r="I20" s="142">
        <v>918</v>
      </c>
      <c r="J20" s="134"/>
      <c r="K20" s="134"/>
      <c r="L20" s="134"/>
      <c r="M20" s="134"/>
      <c r="N20" s="134"/>
    </row>
    <row r="21" spans="1:14">
      <c r="A21" s="134"/>
      <c r="B21" s="143" t="s">
        <v>39</v>
      </c>
      <c r="C21" s="144">
        <v>73</v>
      </c>
      <c r="D21" s="145">
        <v>84</v>
      </c>
      <c r="E21" s="165">
        <v>286</v>
      </c>
      <c r="F21" s="145">
        <v>700</v>
      </c>
      <c r="G21" s="165">
        <f t="shared" ref="G21:G34" si="3">SUM(C21+E21)</f>
        <v>359</v>
      </c>
      <c r="H21" s="145">
        <f t="shared" ref="H21:H34" si="4">D21+F21</f>
        <v>784</v>
      </c>
      <c r="I21" s="142">
        <v>918</v>
      </c>
      <c r="J21" s="134"/>
      <c r="K21" s="134"/>
      <c r="L21" s="134"/>
      <c r="M21" s="134"/>
      <c r="N21" s="134"/>
    </row>
    <row r="22" spans="1:14">
      <c r="A22" s="134"/>
      <c r="B22" s="143" t="s">
        <v>40</v>
      </c>
      <c r="C22" s="144">
        <v>46</v>
      </c>
      <c r="D22" s="145">
        <v>94</v>
      </c>
      <c r="E22" s="165">
        <v>287</v>
      </c>
      <c r="F22" s="145">
        <v>702</v>
      </c>
      <c r="G22" s="165">
        <f t="shared" si="3"/>
        <v>333</v>
      </c>
      <c r="H22" s="145">
        <f t="shared" si="4"/>
        <v>796</v>
      </c>
      <c r="I22" s="142">
        <v>918</v>
      </c>
      <c r="J22" s="134"/>
      <c r="K22" s="134"/>
      <c r="L22" s="134"/>
      <c r="M22" s="134"/>
      <c r="N22" s="134"/>
    </row>
    <row r="23" spans="1:14">
      <c r="A23" s="134"/>
      <c r="B23" s="143" t="s">
        <v>41</v>
      </c>
      <c r="C23" s="144">
        <v>55</v>
      </c>
      <c r="D23" s="145">
        <v>114</v>
      </c>
      <c r="E23" s="165">
        <v>287</v>
      </c>
      <c r="F23" s="145">
        <v>702</v>
      </c>
      <c r="G23" s="165">
        <f t="shared" si="3"/>
        <v>342</v>
      </c>
      <c r="H23" s="145">
        <f t="shared" si="4"/>
        <v>816</v>
      </c>
      <c r="I23" s="142">
        <v>918</v>
      </c>
      <c r="J23" s="134"/>
      <c r="K23" s="134"/>
      <c r="L23" s="134"/>
      <c r="M23" s="134"/>
      <c r="N23" s="134"/>
    </row>
    <row r="24" spans="1:14">
      <c r="A24" s="134"/>
      <c r="B24" s="143" t="s">
        <v>42</v>
      </c>
      <c r="C24" s="144">
        <v>74</v>
      </c>
      <c r="D24" s="145">
        <v>158</v>
      </c>
      <c r="E24" s="165">
        <v>288</v>
      </c>
      <c r="F24" s="145">
        <v>703</v>
      </c>
      <c r="G24" s="165">
        <f t="shared" si="3"/>
        <v>362</v>
      </c>
      <c r="H24" s="145">
        <f t="shared" si="4"/>
        <v>861</v>
      </c>
      <c r="I24" s="142">
        <v>918</v>
      </c>
      <c r="J24" s="134"/>
      <c r="K24" s="134"/>
      <c r="L24" s="134"/>
      <c r="M24" s="134"/>
      <c r="N24" s="134"/>
    </row>
    <row r="25" spans="1:14">
      <c r="A25" s="134"/>
      <c r="B25" s="143" t="s">
        <v>43</v>
      </c>
      <c r="C25" s="144">
        <v>149</v>
      </c>
      <c r="D25" s="145">
        <v>318</v>
      </c>
      <c r="E25" s="165">
        <v>288</v>
      </c>
      <c r="F25" s="145">
        <v>703</v>
      </c>
      <c r="G25" s="165">
        <f t="shared" si="3"/>
        <v>437</v>
      </c>
      <c r="H25" s="145">
        <f t="shared" si="4"/>
        <v>1021</v>
      </c>
      <c r="I25" s="142">
        <v>918</v>
      </c>
      <c r="J25" s="134"/>
      <c r="K25" s="134"/>
      <c r="L25" s="134"/>
      <c r="M25" s="134"/>
      <c r="N25" s="134"/>
    </row>
    <row r="26" spans="1:14">
      <c r="A26" s="134"/>
      <c r="B26" s="143" t="s">
        <v>44</v>
      </c>
      <c r="C26" s="144">
        <v>64</v>
      </c>
      <c r="D26" s="145">
        <v>133</v>
      </c>
      <c r="E26" s="165">
        <v>288</v>
      </c>
      <c r="F26" s="145">
        <v>704</v>
      </c>
      <c r="G26" s="165">
        <f t="shared" si="3"/>
        <v>352</v>
      </c>
      <c r="H26" s="145">
        <f t="shared" si="4"/>
        <v>837</v>
      </c>
      <c r="I26" s="142">
        <v>918</v>
      </c>
      <c r="J26" s="134"/>
      <c r="K26" s="134"/>
      <c r="L26" s="134"/>
      <c r="M26" s="134"/>
      <c r="N26" s="134"/>
    </row>
    <row r="27" spans="1:14">
      <c r="A27" s="134"/>
      <c r="B27" s="143" t="s">
        <v>45</v>
      </c>
      <c r="C27" s="144">
        <v>58</v>
      </c>
      <c r="D27" s="145">
        <v>114</v>
      </c>
      <c r="E27" s="165">
        <v>291</v>
      </c>
      <c r="F27" s="145">
        <v>709</v>
      </c>
      <c r="G27" s="165">
        <f t="shared" si="3"/>
        <v>349</v>
      </c>
      <c r="H27" s="145">
        <f t="shared" si="4"/>
        <v>823</v>
      </c>
      <c r="I27" s="142">
        <v>918</v>
      </c>
      <c r="J27" s="134"/>
      <c r="K27" s="134"/>
      <c r="L27" s="134"/>
      <c r="M27" s="134"/>
      <c r="N27" s="134"/>
    </row>
    <row r="28" spans="1:14">
      <c r="A28" s="134"/>
      <c r="B28" s="143" t="s">
        <v>46</v>
      </c>
      <c r="C28" s="144">
        <v>69</v>
      </c>
      <c r="D28" s="145">
        <v>140</v>
      </c>
      <c r="E28" s="165">
        <v>290</v>
      </c>
      <c r="F28" s="145">
        <v>702</v>
      </c>
      <c r="G28" s="165">
        <f t="shared" si="3"/>
        <v>359</v>
      </c>
      <c r="H28" s="145">
        <f t="shared" si="4"/>
        <v>842</v>
      </c>
      <c r="I28" s="142">
        <v>918</v>
      </c>
      <c r="J28" s="134"/>
      <c r="K28" s="134"/>
      <c r="L28" s="134"/>
      <c r="M28" s="134"/>
      <c r="N28" s="134"/>
    </row>
    <row r="29" spans="1:14">
      <c r="A29" s="134"/>
      <c r="B29" s="143" t="s">
        <v>47</v>
      </c>
      <c r="C29" s="144">
        <v>42</v>
      </c>
      <c r="D29" s="145">
        <v>80</v>
      </c>
      <c r="E29" s="165">
        <v>292</v>
      </c>
      <c r="F29" s="145">
        <v>704</v>
      </c>
      <c r="G29" s="165">
        <f t="shared" si="3"/>
        <v>334</v>
      </c>
      <c r="H29" s="145">
        <f t="shared" si="4"/>
        <v>784</v>
      </c>
      <c r="I29" s="142">
        <v>918</v>
      </c>
      <c r="J29" s="134"/>
      <c r="K29" s="134"/>
      <c r="L29" s="134"/>
      <c r="M29" s="134"/>
      <c r="N29" s="134"/>
    </row>
    <row r="30" spans="1:14">
      <c r="A30" s="134"/>
      <c r="B30" s="143" t="s">
        <v>48</v>
      </c>
      <c r="C30" s="144">
        <v>45</v>
      </c>
      <c r="D30" s="145">
        <v>87</v>
      </c>
      <c r="E30" s="165">
        <v>293</v>
      </c>
      <c r="F30" s="145">
        <v>703</v>
      </c>
      <c r="G30" s="165">
        <f t="shared" si="3"/>
        <v>338</v>
      </c>
      <c r="H30" s="145">
        <f t="shared" si="4"/>
        <v>790</v>
      </c>
      <c r="I30" s="142">
        <v>918</v>
      </c>
      <c r="J30" s="134"/>
      <c r="K30" s="134"/>
      <c r="L30" s="134"/>
      <c r="M30" s="134"/>
      <c r="N30" s="134"/>
    </row>
    <row r="31" spans="1:14">
      <c r="A31" s="134"/>
      <c r="B31" s="143" t="s">
        <v>49</v>
      </c>
      <c r="C31" s="144">
        <v>82</v>
      </c>
      <c r="D31" s="145">
        <v>164</v>
      </c>
      <c r="E31" s="165">
        <v>293</v>
      </c>
      <c r="F31" s="145">
        <v>703</v>
      </c>
      <c r="G31" s="165">
        <f t="shared" si="3"/>
        <v>375</v>
      </c>
      <c r="H31" s="145">
        <f t="shared" si="4"/>
        <v>867</v>
      </c>
      <c r="I31" s="142">
        <v>918</v>
      </c>
      <c r="J31" s="134"/>
      <c r="K31" s="134"/>
      <c r="L31" s="134"/>
      <c r="M31" s="134"/>
      <c r="N31" s="134"/>
    </row>
    <row r="32" spans="1:14">
      <c r="A32" s="134"/>
      <c r="B32" s="143" t="s">
        <v>50</v>
      </c>
      <c r="C32" s="144">
        <v>170</v>
      </c>
      <c r="D32" s="145">
        <v>380</v>
      </c>
      <c r="E32" s="165">
        <v>294</v>
      </c>
      <c r="F32" s="145">
        <v>706</v>
      </c>
      <c r="G32" s="165">
        <f t="shared" si="3"/>
        <v>464</v>
      </c>
      <c r="H32" s="145">
        <f t="shared" si="4"/>
        <v>1086</v>
      </c>
      <c r="I32" s="142">
        <v>918</v>
      </c>
      <c r="J32" s="134"/>
      <c r="K32" s="134"/>
      <c r="L32" s="134"/>
      <c r="M32" s="134"/>
      <c r="N32" s="134"/>
    </row>
    <row r="33" spans="1:14">
      <c r="A33" s="134"/>
      <c r="B33" s="143" t="s">
        <v>51</v>
      </c>
      <c r="C33" s="144">
        <v>98</v>
      </c>
      <c r="D33" s="145">
        <v>198</v>
      </c>
      <c r="E33" s="165">
        <v>294</v>
      </c>
      <c r="F33" s="145">
        <v>705</v>
      </c>
      <c r="G33" s="165">
        <f t="shared" si="3"/>
        <v>392</v>
      </c>
      <c r="H33" s="145">
        <f t="shared" si="4"/>
        <v>903</v>
      </c>
      <c r="I33" s="142">
        <v>918</v>
      </c>
      <c r="J33" s="134"/>
      <c r="K33" s="134"/>
      <c r="L33" s="134"/>
      <c r="M33" s="134"/>
      <c r="N33" s="134"/>
    </row>
    <row r="34" spans="1:14">
      <c r="A34" s="134"/>
      <c r="B34" s="143" t="s">
        <v>52</v>
      </c>
      <c r="C34" s="144">
        <v>56</v>
      </c>
      <c r="D34" s="145">
        <v>115</v>
      </c>
      <c r="E34" s="165">
        <v>291</v>
      </c>
      <c r="F34" s="145">
        <v>702</v>
      </c>
      <c r="G34" s="165">
        <f t="shared" si="3"/>
        <v>347</v>
      </c>
      <c r="H34" s="145">
        <f t="shared" si="4"/>
        <v>817</v>
      </c>
      <c r="I34" s="142">
        <v>918</v>
      </c>
      <c r="J34" s="134"/>
      <c r="K34" s="134"/>
      <c r="L34" s="134"/>
      <c r="M34" s="134"/>
      <c r="N34" s="134"/>
    </row>
    <row r="35" spans="1:14">
      <c r="A35" s="134"/>
      <c r="B35" s="143" t="s">
        <v>53</v>
      </c>
      <c r="C35" s="144">
        <v>63</v>
      </c>
      <c r="D35" s="145">
        <v>128</v>
      </c>
      <c r="E35" s="144">
        <v>291</v>
      </c>
      <c r="F35" s="145">
        <v>702</v>
      </c>
      <c r="G35" s="165">
        <f t="shared" si="0"/>
        <v>354</v>
      </c>
      <c r="H35" s="145">
        <f t="shared" si="2"/>
        <v>830</v>
      </c>
      <c r="I35" s="142">
        <v>918</v>
      </c>
      <c r="J35" s="134"/>
      <c r="K35" s="134"/>
      <c r="L35" s="134"/>
      <c r="M35" s="134"/>
      <c r="N35" s="134"/>
    </row>
    <row r="36" spans="1:14">
      <c r="A36" s="134"/>
      <c r="B36" s="143" t="s">
        <v>54</v>
      </c>
      <c r="C36" s="144">
        <v>62</v>
      </c>
      <c r="D36" s="145">
        <v>126</v>
      </c>
      <c r="E36" s="144">
        <v>288</v>
      </c>
      <c r="F36" s="145">
        <v>698</v>
      </c>
      <c r="G36" s="165">
        <f t="shared" si="0"/>
        <v>350</v>
      </c>
      <c r="H36" s="145">
        <f t="shared" si="2"/>
        <v>824</v>
      </c>
      <c r="I36" s="142">
        <v>918</v>
      </c>
      <c r="J36" s="134"/>
      <c r="K36" s="134"/>
      <c r="L36" s="134"/>
      <c r="M36" s="134"/>
      <c r="N36" s="134"/>
    </row>
    <row r="37" spans="1:14">
      <c r="A37" s="134"/>
      <c r="B37" s="143" t="s">
        <v>55</v>
      </c>
      <c r="C37" s="144">
        <v>69</v>
      </c>
      <c r="D37" s="145">
        <v>143</v>
      </c>
      <c r="E37" s="144">
        <v>290</v>
      </c>
      <c r="F37" s="145">
        <v>700</v>
      </c>
      <c r="G37" s="165">
        <f t="shared" si="0"/>
        <v>359</v>
      </c>
      <c r="H37" s="145">
        <f t="shared" si="2"/>
        <v>843</v>
      </c>
      <c r="I37" s="142">
        <v>918</v>
      </c>
      <c r="J37" s="134"/>
      <c r="K37" s="134"/>
      <c r="L37" s="134"/>
      <c r="M37" s="134"/>
      <c r="N37" s="134"/>
    </row>
    <row r="38" spans="1:14" s="177" customFormat="1">
      <c r="A38" s="171"/>
      <c r="B38" s="172" t="s">
        <v>56</v>
      </c>
      <c r="C38" s="173">
        <v>94</v>
      </c>
      <c r="D38" s="174">
        <v>196</v>
      </c>
      <c r="E38" s="173">
        <v>291</v>
      </c>
      <c r="F38" s="174">
        <v>701</v>
      </c>
      <c r="G38" s="175">
        <f t="shared" si="0"/>
        <v>385</v>
      </c>
      <c r="H38" s="174">
        <f t="shared" si="2"/>
        <v>897</v>
      </c>
      <c r="I38" s="176">
        <v>918</v>
      </c>
      <c r="J38" s="171"/>
      <c r="K38" s="171"/>
      <c r="L38" s="171"/>
      <c r="M38" s="171"/>
      <c r="N38" s="171"/>
    </row>
    <row r="39" spans="1:14" s="177" customFormat="1">
      <c r="A39" s="171"/>
      <c r="B39" s="172" t="s">
        <v>57</v>
      </c>
      <c r="C39" s="173">
        <v>181</v>
      </c>
      <c r="D39" s="174">
        <v>394</v>
      </c>
      <c r="E39" s="173">
        <v>290</v>
      </c>
      <c r="F39" s="174">
        <v>697</v>
      </c>
      <c r="G39" s="175">
        <f t="shared" si="0"/>
        <v>471</v>
      </c>
      <c r="H39" s="174">
        <f t="shared" si="2"/>
        <v>1091</v>
      </c>
      <c r="I39" s="176">
        <v>918</v>
      </c>
      <c r="J39" s="171"/>
      <c r="K39" s="171"/>
      <c r="L39" s="171"/>
      <c r="M39" s="171"/>
      <c r="N39" s="171"/>
    </row>
    <row r="40" spans="1:14" s="177" customFormat="1" ht="15.75" thickBot="1">
      <c r="A40" s="171"/>
      <c r="B40" s="172" t="s">
        <v>58</v>
      </c>
      <c r="C40" s="178">
        <v>80</v>
      </c>
      <c r="D40" s="179">
        <v>166</v>
      </c>
      <c r="E40" s="178">
        <v>277</v>
      </c>
      <c r="F40" s="179">
        <v>673</v>
      </c>
      <c r="G40" s="180">
        <f t="shared" si="0"/>
        <v>357</v>
      </c>
      <c r="H40" s="179">
        <f t="shared" si="2"/>
        <v>839</v>
      </c>
      <c r="I40" s="176">
        <v>918</v>
      </c>
      <c r="J40" s="171"/>
      <c r="K40" s="171"/>
      <c r="L40" s="171"/>
      <c r="M40" s="171"/>
      <c r="N40" s="171"/>
    </row>
    <row r="41" spans="1:14">
      <c r="C41" s="3">
        <f>SUM(C10:C40)</f>
        <v>2370</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32800</v>
      </c>
      <c r="F2" s="105"/>
      <c r="G2" s="105">
        <f>'Athens Daily - Gas'!BH9</f>
        <v>146323.29600000038</v>
      </c>
      <c r="H2" s="105">
        <f>G2/38.3</f>
        <v>3820.4515926893055</v>
      </c>
      <c r="I2" s="105"/>
      <c r="J2" s="105">
        <f>'Athens Daily - Water'!R7</f>
        <v>563.2528999999995</v>
      </c>
      <c r="K2" s="105"/>
      <c r="L2" s="106">
        <v>142</v>
      </c>
      <c r="M2" s="105">
        <f>L2*2</f>
        <v>284</v>
      </c>
      <c r="N2" s="102">
        <v>10</v>
      </c>
    </row>
    <row r="3" spans="1:14">
      <c r="A3" s="7" t="s">
        <v>14</v>
      </c>
      <c r="B3" s="7">
        <v>2</v>
      </c>
      <c r="C3" s="7">
        <v>1</v>
      </c>
      <c r="D3" s="7">
        <v>2021</v>
      </c>
      <c r="E3" s="105">
        <f>'Athens Daily - EL'!AK9</f>
        <v>32495</v>
      </c>
      <c r="F3" s="105"/>
      <c r="G3" s="105">
        <f>'Athens Daily - Gas'!BH10</f>
        <v>151373.56799999959</v>
      </c>
      <c r="H3" s="105">
        <f t="shared" ref="H3:H32" si="0">G3/38.3</f>
        <v>3952.3124804177442</v>
      </c>
      <c r="I3" s="105"/>
      <c r="J3" s="105">
        <f>'Athens Daily - Water'!R8</f>
        <v>403.69740000000002</v>
      </c>
      <c r="K3" s="105"/>
      <c r="L3" s="106">
        <v>102</v>
      </c>
      <c r="M3" s="105">
        <f t="shared" ref="M3:M32" si="1">L3*2</f>
        <v>204</v>
      </c>
      <c r="N3" s="102">
        <v>12</v>
      </c>
    </row>
    <row r="4" spans="1:14">
      <c r="A4" s="7" t="s">
        <v>14</v>
      </c>
      <c r="B4" s="7">
        <v>3</v>
      </c>
      <c r="C4" s="7">
        <v>1</v>
      </c>
      <c r="D4" s="7">
        <v>2021</v>
      </c>
      <c r="E4" s="105">
        <f>'Athens Daily - EL'!AK10</f>
        <v>30540</v>
      </c>
      <c r="F4" s="105"/>
      <c r="G4" s="105">
        <f>'Athens Daily - Gas'!BH11</f>
        <v>140778.19200000004</v>
      </c>
      <c r="H4" s="105">
        <f t="shared" si="0"/>
        <v>3675.6708093994789</v>
      </c>
      <c r="I4" s="105"/>
      <c r="J4" s="105">
        <f>'Athens Daily - Water'!R9</f>
        <v>430.09470000000056</v>
      </c>
      <c r="K4" s="105"/>
      <c r="L4" s="106">
        <v>55</v>
      </c>
      <c r="M4" s="105">
        <f t="shared" si="1"/>
        <v>110</v>
      </c>
      <c r="N4" s="102">
        <v>15</v>
      </c>
    </row>
    <row r="5" spans="1:14">
      <c r="A5" s="7" t="s">
        <v>14</v>
      </c>
      <c r="B5" s="7">
        <v>4</v>
      </c>
      <c r="C5" s="7">
        <v>1</v>
      </c>
      <c r="D5" s="7">
        <v>2021</v>
      </c>
      <c r="E5" s="105">
        <f>'Athens Daily - EL'!AK11</f>
        <v>28495</v>
      </c>
      <c r="F5" s="105"/>
      <c r="G5" s="105">
        <f>'Athens Daily - Gas'!BH12</f>
        <v>128468.44800000032</v>
      </c>
      <c r="H5" s="105">
        <f t="shared" si="0"/>
        <v>3354.2675718015753</v>
      </c>
      <c r="I5" s="105"/>
      <c r="J5" s="105">
        <f>'Athens Daily - Water'!R10</f>
        <v>322.32229999999981</v>
      </c>
      <c r="K5" s="105"/>
      <c r="L5" s="106">
        <v>45</v>
      </c>
      <c r="M5" s="105">
        <f t="shared" si="1"/>
        <v>90</v>
      </c>
      <c r="N5" s="102">
        <v>17</v>
      </c>
    </row>
    <row r="6" spans="1:14">
      <c r="A6" s="7" t="s">
        <v>14</v>
      </c>
      <c r="B6" s="7">
        <v>5</v>
      </c>
      <c r="C6" s="7">
        <v>1</v>
      </c>
      <c r="D6" s="7">
        <v>2021</v>
      </c>
      <c r="E6" s="105">
        <f>'Athens Daily - EL'!AK12</f>
        <v>27450</v>
      </c>
      <c r="F6" s="105"/>
      <c r="G6" s="105">
        <f>'Athens Daily - Gas'!BH13</f>
        <v>116962.75199999995</v>
      </c>
      <c r="H6" s="105">
        <f t="shared" si="0"/>
        <v>3053.8577545691896</v>
      </c>
      <c r="I6" s="105"/>
      <c r="J6" s="105">
        <f>'Athens Daily - Water'!R11</f>
        <v>263.76999999999953</v>
      </c>
      <c r="K6" s="105"/>
      <c r="L6" s="106">
        <v>34</v>
      </c>
      <c r="M6" s="105">
        <f t="shared" si="1"/>
        <v>68</v>
      </c>
      <c r="N6" s="102">
        <v>15</v>
      </c>
    </row>
    <row r="7" spans="1:14">
      <c r="A7" s="7" t="s">
        <v>14</v>
      </c>
      <c r="B7" s="7">
        <v>6</v>
      </c>
      <c r="C7" s="7">
        <v>1</v>
      </c>
      <c r="D7" s="7">
        <v>2021</v>
      </c>
      <c r="E7" s="105">
        <f>'Athens Daily - EL'!AK13</f>
        <v>27440</v>
      </c>
      <c r="F7" s="105"/>
      <c r="G7" s="105">
        <f>'Athens Daily - Gas'!BH14</f>
        <v>115392</v>
      </c>
      <c r="H7" s="105">
        <f t="shared" si="0"/>
        <v>3012.8459530026112</v>
      </c>
      <c r="I7" s="105"/>
      <c r="J7" s="105">
        <f>'Athens Daily - Water'!R12</f>
        <v>257.56450000000041</v>
      </c>
      <c r="K7" s="105"/>
      <c r="L7" s="106">
        <v>36</v>
      </c>
      <c r="M7" s="105">
        <f t="shared" si="1"/>
        <v>72</v>
      </c>
      <c r="N7" s="102"/>
    </row>
    <row r="8" spans="1:14">
      <c r="A8" s="7" t="s">
        <v>14</v>
      </c>
      <c r="B8" s="7">
        <v>7</v>
      </c>
      <c r="C8" s="7">
        <v>1</v>
      </c>
      <c r="D8" s="7">
        <v>2021</v>
      </c>
      <c r="E8" s="105">
        <f>'Athens Daily - EL'!AK14</f>
        <v>27810</v>
      </c>
      <c r="F8" s="105"/>
      <c r="G8" s="105">
        <f>'Athens Daily - Gas'!BH15</f>
        <v>116860.8</v>
      </c>
      <c r="H8" s="105">
        <f t="shared" si="0"/>
        <v>3051.1958224543082</v>
      </c>
      <c r="I8" s="105"/>
      <c r="J8" s="105">
        <f>'Athens Daily - Water'!R13</f>
        <v>255.02319999999963</v>
      </c>
      <c r="K8" s="105"/>
      <c r="L8" s="106">
        <v>60</v>
      </c>
      <c r="M8" s="105">
        <f t="shared" si="1"/>
        <v>120</v>
      </c>
      <c r="N8" s="102"/>
    </row>
    <row r="9" spans="1:14">
      <c r="A9" s="7" t="s">
        <v>14</v>
      </c>
      <c r="B9" s="7">
        <v>8</v>
      </c>
      <c r="C9" s="7">
        <v>1</v>
      </c>
      <c r="D9" s="7">
        <v>2021</v>
      </c>
      <c r="E9" s="105">
        <f>'Athens Daily - EL'!AK15</f>
        <v>30860</v>
      </c>
      <c r="F9" s="105"/>
      <c r="G9" s="105">
        <f>'Athens Daily - Gas'!BH16</f>
        <v>117206.39999999999</v>
      </c>
      <c r="H9" s="105">
        <f t="shared" si="0"/>
        <v>3060.2193211488252</v>
      </c>
      <c r="I9" s="105"/>
      <c r="J9" s="105">
        <f>'Athens Daily - Water'!R14</f>
        <v>283.80030000000079</v>
      </c>
      <c r="K9" s="105"/>
      <c r="L9" s="106">
        <v>64</v>
      </c>
      <c r="M9" s="105">
        <f t="shared" si="1"/>
        <v>128</v>
      </c>
      <c r="N9" s="102"/>
    </row>
    <row r="10" spans="1:14">
      <c r="A10" s="7" t="s">
        <v>14</v>
      </c>
      <c r="B10" s="7">
        <v>9</v>
      </c>
      <c r="C10" s="7">
        <v>1</v>
      </c>
      <c r="D10" s="7">
        <v>2021</v>
      </c>
      <c r="E10" s="105">
        <f>'Athens Daily - EL'!AK16</f>
        <v>29200</v>
      </c>
      <c r="F10" s="105"/>
      <c r="G10" s="105">
        <f>'Athens Daily - Gas'!BH17</f>
        <v>117223.20000000027</v>
      </c>
      <c r="H10" s="105">
        <f t="shared" si="0"/>
        <v>3060.6579634464824</v>
      </c>
      <c r="I10" s="105"/>
      <c r="J10" s="105">
        <f>'Athens Daily - Water'!R15</f>
        <v>381.46169999999984</v>
      </c>
      <c r="K10" s="105"/>
      <c r="L10" s="106">
        <v>100</v>
      </c>
      <c r="M10" s="105">
        <f t="shared" si="1"/>
        <v>200</v>
      </c>
      <c r="N10" s="102">
        <v>9</v>
      </c>
    </row>
    <row r="11" spans="1:14">
      <c r="A11" s="7" t="s">
        <v>14</v>
      </c>
      <c r="B11" s="7">
        <v>10</v>
      </c>
      <c r="C11" s="7">
        <v>1</v>
      </c>
      <c r="D11" s="7">
        <v>2021</v>
      </c>
      <c r="E11" s="105">
        <f>'Athens Daily - EL'!AK17</f>
        <v>33090</v>
      </c>
      <c r="F11" s="105"/>
      <c r="G11" s="105">
        <f>'Athens Daily - Gas'!BH18</f>
        <v>147745.15199999994</v>
      </c>
      <c r="H11" s="105">
        <f t="shared" si="0"/>
        <v>3857.5757702349856</v>
      </c>
      <c r="I11" s="105"/>
      <c r="J11" s="105">
        <f>'Athens Daily - Water'!R16</f>
        <v>377.5679999999993</v>
      </c>
      <c r="K11" s="105"/>
      <c r="L11" s="106">
        <v>63</v>
      </c>
      <c r="M11" s="105">
        <f t="shared" si="1"/>
        <v>126</v>
      </c>
      <c r="N11" s="102">
        <v>12</v>
      </c>
    </row>
    <row r="12" spans="1:14">
      <c r="A12" s="7" t="s">
        <v>14</v>
      </c>
      <c r="B12" s="7">
        <v>11</v>
      </c>
      <c r="C12" s="7">
        <v>1</v>
      </c>
      <c r="D12" s="7">
        <v>2021</v>
      </c>
      <c r="E12" s="105">
        <f>'Athens Daily - EL'!AK18</f>
        <v>30185</v>
      </c>
      <c r="F12" s="105"/>
      <c r="G12" s="105">
        <f>'Athens Daily - Gas'!BH19</f>
        <v>149635.96799999988</v>
      </c>
      <c r="H12" s="105">
        <f t="shared" si="0"/>
        <v>3906.9443342036525</v>
      </c>
      <c r="I12" s="105"/>
      <c r="J12" s="105">
        <f>'Athens Daily - Water'!R17</f>
        <v>331.81920000000082</v>
      </c>
      <c r="K12" s="105"/>
      <c r="L12" s="106">
        <v>39</v>
      </c>
      <c r="M12" s="105">
        <f t="shared" si="1"/>
        <v>78</v>
      </c>
      <c r="N12" s="102">
        <v>12</v>
      </c>
    </row>
    <row r="13" spans="1:14">
      <c r="A13" s="7" t="s">
        <v>14</v>
      </c>
      <c r="B13" s="7">
        <v>12</v>
      </c>
      <c r="C13" s="7">
        <v>1</v>
      </c>
      <c r="D13" s="7">
        <v>2021</v>
      </c>
      <c r="E13" s="105">
        <f>'Athens Daily - EL'!AK19</f>
        <v>32370</v>
      </c>
      <c r="F13" s="105"/>
      <c r="G13" s="105">
        <f>'Athens Daily - Gas'!BH20</f>
        <v>153676.7519999998</v>
      </c>
      <c r="H13" s="105">
        <f t="shared" si="0"/>
        <v>4012.4478328981677</v>
      </c>
      <c r="I13" s="105"/>
      <c r="J13" s="105">
        <f>'Athens Daily - Water'!R18</f>
        <v>376.44879999999921</v>
      </c>
      <c r="K13" s="105"/>
      <c r="L13" s="106">
        <v>43</v>
      </c>
      <c r="M13" s="105">
        <f t="shared" si="1"/>
        <v>86</v>
      </c>
      <c r="N13" s="102">
        <v>10</v>
      </c>
    </row>
    <row r="14" spans="1:14">
      <c r="A14" s="7" t="s">
        <v>14</v>
      </c>
      <c r="B14" s="7">
        <v>13</v>
      </c>
      <c r="C14" s="7">
        <v>1</v>
      </c>
      <c r="D14" s="7">
        <v>2021</v>
      </c>
      <c r="E14" s="105">
        <f>'Athens Daily - EL'!AK20</f>
        <v>33090</v>
      </c>
      <c r="F14" s="105"/>
      <c r="G14" s="105">
        <f>'Athens Daily - Gas'!BH21</f>
        <v>155568.57600000023</v>
      </c>
      <c r="H14" s="105">
        <f t="shared" si="0"/>
        <v>4061.8427154047063</v>
      </c>
      <c r="I14" s="105"/>
      <c r="J14" s="105">
        <f>'Athens Daily - Water'!R19</f>
        <v>338.63630000000012</v>
      </c>
      <c r="K14" s="105"/>
      <c r="L14" s="106">
        <v>46</v>
      </c>
      <c r="M14" s="105">
        <f t="shared" si="1"/>
        <v>92</v>
      </c>
      <c r="N14" s="102">
        <v>12</v>
      </c>
    </row>
    <row r="15" spans="1:14">
      <c r="A15" s="7" t="s">
        <v>14</v>
      </c>
      <c r="B15" s="7">
        <v>14</v>
      </c>
      <c r="C15" s="7">
        <v>1</v>
      </c>
      <c r="D15" s="7">
        <v>2021</v>
      </c>
      <c r="E15" s="105">
        <f>'Athens Daily - EL'!AK21</f>
        <v>33120</v>
      </c>
      <c r="F15" s="105"/>
      <c r="G15" s="105">
        <f>'Athens Daily - Gas'!BH22</f>
        <v>147017.95199999982</v>
      </c>
      <c r="H15" s="105">
        <f t="shared" si="0"/>
        <v>3838.5888250652697</v>
      </c>
      <c r="I15" s="105"/>
      <c r="J15" s="105">
        <f>'Athens Daily - Water'!R20</f>
        <v>386.24130000000059</v>
      </c>
      <c r="K15" s="105"/>
      <c r="L15" s="106">
        <v>55</v>
      </c>
      <c r="M15" s="105">
        <f t="shared" si="1"/>
        <v>110</v>
      </c>
      <c r="N15" s="102">
        <v>13</v>
      </c>
    </row>
    <row r="16" spans="1:14">
      <c r="A16" s="7" t="s">
        <v>14</v>
      </c>
      <c r="B16" s="7">
        <v>15</v>
      </c>
      <c r="C16" s="7">
        <v>1</v>
      </c>
      <c r="D16" s="7">
        <v>2021</v>
      </c>
      <c r="E16" s="105">
        <f>'Athens Daily - EL'!AK22</f>
        <v>32625</v>
      </c>
      <c r="F16" s="105"/>
      <c r="G16" s="105">
        <f>'Athens Daily - Gas'!BH23</f>
        <v>53094.72000000011</v>
      </c>
      <c r="H16" s="105">
        <f t="shared" si="0"/>
        <v>1386.2851174934756</v>
      </c>
      <c r="I16" s="105"/>
      <c r="J16" s="105">
        <f>'Athens Daily - Water'!R21</f>
        <v>356.47829999999976</v>
      </c>
      <c r="K16" s="105"/>
      <c r="L16" s="106">
        <v>74</v>
      </c>
      <c r="M16" s="105">
        <f t="shared" si="1"/>
        <v>148</v>
      </c>
      <c r="N16" s="102">
        <v>13</v>
      </c>
    </row>
    <row r="17" spans="1:14">
      <c r="A17" s="7" t="s">
        <v>14</v>
      </c>
      <c r="B17" s="7">
        <v>16</v>
      </c>
      <c r="C17" s="7">
        <v>1</v>
      </c>
      <c r="D17" s="7">
        <v>2021</v>
      </c>
      <c r="E17" s="105">
        <f>'Athens Daily - EL'!AK23</f>
        <v>35430</v>
      </c>
      <c r="F17" s="105"/>
      <c r="G17" s="105">
        <f>'Athens Daily - Gas'!BH24</f>
        <v>140616.20571429969</v>
      </c>
      <c r="H17" s="105">
        <f t="shared" si="0"/>
        <v>3671.4414024621333</v>
      </c>
      <c r="I17" s="105"/>
      <c r="J17" s="105">
        <f>'Athens Daily - Water'!R22</f>
        <v>334.33539999999994</v>
      </c>
      <c r="K17" s="105"/>
      <c r="L17" s="106">
        <v>149</v>
      </c>
      <c r="M17" s="105">
        <f t="shared" si="1"/>
        <v>298</v>
      </c>
      <c r="N17" s="107"/>
    </row>
    <row r="18" spans="1:14">
      <c r="A18" s="7" t="s">
        <v>14</v>
      </c>
      <c r="B18" s="7">
        <v>17</v>
      </c>
      <c r="C18" s="7">
        <v>1</v>
      </c>
      <c r="D18" s="7">
        <v>2021</v>
      </c>
      <c r="E18" s="105">
        <f>'Athens Daily - EL'!AK24</f>
        <v>34625</v>
      </c>
      <c r="F18" s="105"/>
      <c r="G18" s="105">
        <f>'Athens Daily - Gas'!BH25</f>
        <v>140616.20571429969</v>
      </c>
      <c r="H18" s="105">
        <f t="shared" si="0"/>
        <v>3671.4414024621333</v>
      </c>
      <c r="I18" s="105"/>
      <c r="J18" s="105">
        <f>'Athens Daily - Water'!R23</f>
        <v>426.01500000000033</v>
      </c>
      <c r="K18" s="105"/>
      <c r="L18" s="106">
        <v>64</v>
      </c>
      <c r="M18" s="105">
        <f t="shared" si="1"/>
        <v>128</v>
      </c>
      <c r="N18" s="107"/>
    </row>
    <row r="19" spans="1:14">
      <c r="A19" s="7" t="s">
        <v>14</v>
      </c>
      <c r="B19" s="7">
        <v>18</v>
      </c>
      <c r="C19" s="7">
        <v>1</v>
      </c>
      <c r="D19" s="7">
        <v>2021</v>
      </c>
      <c r="E19" s="105">
        <f>'Athens Daily - EL'!AK25</f>
        <v>34660</v>
      </c>
      <c r="F19" s="105"/>
      <c r="G19" s="105">
        <f>'Athens Daily - Gas'!BH26</f>
        <v>133385.80408162193</v>
      </c>
      <c r="H19" s="105">
        <f t="shared" si="0"/>
        <v>3482.6580700162385</v>
      </c>
      <c r="I19" s="105"/>
      <c r="J19" s="105">
        <f>'Athens Daily - Water'!R24</f>
        <v>252.78369999999995</v>
      </c>
      <c r="K19" s="105"/>
      <c r="L19" s="106">
        <v>58</v>
      </c>
      <c r="M19" s="105">
        <f t="shared" si="1"/>
        <v>116</v>
      </c>
      <c r="N19" s="107"/>
    </row>
    <row r="20" spans="1:14">
      <c r="A20" s="7" t="s">
        <v>14</v>
      </c>
      <c r="B20" s="7">
        <v>19</v>
      </c>
      <c r="C20" s="7">
        <v>1</v>
      </c>
      <c r="D20" s="7">
        <v>2021</v>
      </c>
      <c r="E20" s="105">
        <f>'Athens Daily - EL'!AK26</f>
        <v>33085</v>
      </c>
      <c r="F20" s="105"/>
      <c r="G20" s="105">
        <f>'Athens Daily - Gas'!BH27</f>
        <v>140616.20571429969</v>
      </c>
      <c r="H20" s="105">
        <f t="shared" si="0"/>
        <v>3671.4414024621333</v>
      </c>
      <c r="I20" s="105"/>
      <c r="J20" s="105">
        <f>'Athens Daily - Water'!R25</f>
        <v>269.91899999999987</v>
      </c>
      <c r="K20" s="105"/>
      <c r="L20" s="106">
        <v>69</v>
      </c>
      <c r="M20" s="105">
        <f t="shared" si="1"/>
        <v>138</v>
      </c>
      <c r="N20" s="107"/>
    </row>
    <row r="21" spans="1:14">
      <c r="A21" s="7" t="s">
        <v>14</v>
      </c>
      <c r="B21" s="7">
        <v>20</v>
      </c>
      <c r="C21" s="7">
        <v>1</v>
      </c>
      <c r="D21" s="7">
        <v>2021</v>
      </c>
      <c r="E21" s="105">
        <f>'Athens Daily - EL'!AK27</f>
        <v>30005</v>
      </c>
      <c r="F21" s="105"/>
      <c r="G21" s="105">
        <f>'Athens Daily - Gas'!BH28</f>
        <v>140616.20571429969</v>
      </c>
      <c r="H21" s="105">
        <f t="shared" si="0"/>
        <v>3671.4414024621333</v>
      </c>
      <c r="I21" s="105"/>
      <c r="J21" s="105">
        <f>'Athens Daily - Water'!R26</f>
        <v>265.46000000000004</v>
      </c>
      <c r="K21" s="105"/>
      <c r="L21" s="106">
        <v>42</v>
      </c>
      <c r="M21" s="105">
        <f t="shared" si="1"/>
        <v>84</v>
      </c>
      <c r="N21" s="102"/>
    </row>
    <row r="22" spans="1:14">
      <c r="A22" s="7" t="s">
        <v>14</v>
      </c>
      <c r="B22" s="7">
        <v>21</v>
      </c>
      <c r="C22" s="7">
        <v>1</v>
      </c>
      <c r="D22" s="7">
        <v>2021</v>
      </c>
      <c r="E22" s="105">
        <f>'Athens Daily - EL'!AK28</f>
        <v>28795</v>
      </c>
      <c r="F22" s="105"/>
      <c r="G22" s="105">
        <f>'Athens Daily - Gas'!BH29</f>
        <v>140616.20571429969</v>
      </c>
      <c r="H22" s="105">
        <f t="shared" si="0"/>
        <v>3671.4414024621333</v>
      </c>
      <c r="I22" s="105"/>
      <c r="J22" s="105">
        <f>'Athens Daily - Water'!R27</f>
        <v>318.06859999999961</v>
      </c>
      <c r="K22" s="105"/>
      <c r="L22" s="106">
        <v>45</v>
      </c>
      <c r="M22" s="105">
        <f t="shared" si="1"/>
        <v>90</v>
      </c>
      <c r="N22" s="102"/>
    </row>
    <row r="23" spans="1:14">
      <c r="A23" s="7" t="s">
        <v>14</v>
      </c>
      <c r="B23" s="7">
        <v>22</v>
      </c>
      <c r="C23" s="7">
        <v>1</v>
      </c>
      <c r="D23" s="7">
        <v>2021</v>
      </c>
      <c r="E23" s="105">
        <f>'Athens Daily - EL'!AK29</f>
        <v>30075</v>
      </c>
      <c r="F23" s="105"/>
      <c r="G23" s="105">
        <f>'Athens Daily - Gas'!BH30</f>
        <v>147846.60734687955</v>
      </c>
      <c r="H23" s="105">
        <f t="shared" si="0"/>
        <v>3860.2247349054715</v>
      </c>
      <c r="I23" s="105"/>
      <c r="J23" s="105">
        <f>'Athens Daily - Water'!R28</f>
        <v>302.67259999999987</v>
      </c>
      <c r="K23" s="105"/>
      <c r="L23" s="106">
        <v>82</v>
      </c>
      <c r="M23" s="105">
        <f t="shared" si="1"/>
        <v>164</v>
      </c>
      <c r="N23" s="102">
        <v>19</v>
      </c>
    </row>
    <row r="24" spans="1:14">
      <c r="A24" s="7" t="s">
        <v>14</v>
      </c>
      <c r="B24" s="7">
        <v>23</v>
      </c>
      <c r="C24" s="7">
        <v>1</v>
      </c>
      <c r="D24" s="7">
        <v>2021</v>
      </c>
      <c r="E24" s="105">
        <f>'Athens Daily - EL'!AK30</f>
        <v>31510</v>
      </c>
      <c r="F24" s="105"/>
      <c r="G24" s="105">
        <f>'Athens Daily - Gas'!BH31</f>
        <v>112677.88799999999</v>
      </c>
      <c r="H24" s="105">
        <f t="shared" si="0"/>
        <v>2941.981409921671</v>
      </c>
      <c r="I24" s="105"/>
      <c r="J24" s="105">
        <f>'Athens Daily - Water'!R29</f>
        <v>356.17280000000028</v>
      </c>
      <c r="K24" s="105"/>
      <c r="L24" s="106">
        <v>170</v>
      </c>
      <c r="M24" s="105">
        <f t="shared" si="1"/>
        <v>340</v>
      </c>
      <c r="N24" s="102">
        <v>20</v>
      </c>
    </row>
    <row r="25" spans="1:14">
      <c r="A25" s="7" t="s">
        <v>14</v>
      </c>
      <c r="B25" s="7">
        <v>24</v>
      </c>
      <c r="C25" s="7">
        <v>1</v>
      </c>
      <c r="D25" s="7">
        <v>2021</v>
      </c>
      <c r="E25" s="105">
        <f>'Athens Daily - EL'!AK31</f>
        <v>31755</v>
      </c>
      <c r="F25" s="105"/>
      <c r="G25" s="105">
        <f>'Athens Daily - Gas'!BH32</f>
        <v>118373.71199999987</v>
      </c>
      <c r="H25" s="105">
        <f t="shared" si="0"/>
        <v>3090.6974412532604</v>
      </c>
      <c r="I25" s="105"/>
      <c r="J25" s="105">
        <f>'Athens Daily - Water'!R30</f>
        <v>402.95949999999993</v>
      </c>
      <c r="K25" s="105"/>
      <c r="L25" s="106">
        <v>91</v>
      </c>
      <c r="M25" s="105">
        <f t="shared" si="1"/>
        <v>182</v>
      </c>
      <c r="N25" s="102">
        <v>19</v>
      </c>
    </row>
    <row r="26" spans="1:14">
      <c r="A26" s="7" t="s">
        <v>14</v>
      </c>
      <c r="B26" s="7">
        <v>25</v>
      </c>
      <c r="C26" s="7">
        <v>1</v>
      </c>
      <c r="D26" s="7">
        <v>2021</v>
      </c>
      <c r="E26" s="105">
        <f>'Athens Daily - EL'!AK32</f>
        <v>30480</v>
      </c>
      <c r="F26" s="105"/>
      <c r="G26" s="105">
        <f>'Athens Daily - Gas'!BH33</f>
        <v>132843.83999999944</v>
      </c>
      <c r="H26" s="105">
        <f t="shared" si="0"/>
        <v>3468.5075718015523</v>
      </c>
      <c r="I26" s="105"/>
      <c r="J26" s="105">
        <f>'Athens Daily - Water'!R31</f>
        <v>378.18010000000049</v>
      </c>
      <c r="K26" s="105"/>
      <c r="L26" s="106">
        <v>56</v>
      </c>
      <c r="M26" s="105">
        <f t="shared" si="1"/>
        <v>112</v>
      </c>
      <c r="N26" s="103"/>
    </row>
    <row r="27" spans="1:14">
      <c r="A27" s="7" t="s">
        <v>14</v>
      </c>
      <c r="B27" s="7">
        <v>26</v>
      </c>
      <c r="C27" s="7">
        <v>1</v>
      </c>
      <c r="D27" s="7">
        <v>2021</v>
      </c>
      <c r="E27" s="105">
        <f>'Athens Daily - EL'!AK33</f>
        <v>29620</v>
      </c>
      <c r="F27" s="105"/>
      <c r="G27" s="105">
        <f>'Athens Daily - Gas'!BH34</f>
        <v>132843.83999999944</v>
      </c>
      <c r="H27" s="105">
        <f t="shared" si="0"/>
        <v>3468.5075718015523</v>
      </c>
      <c r="I27" s="105"/>
      <c r="J27" s="105">
        <f>'Athens Daily - Water'!R32</f>
        <v>378.22937999999976</v>
      </c>
      <c r="K27" s="105"/>
      <c r="L27" s="105"/>
      <c r="M27" s="105">
        <f t="shared" si="1"/>
        <v>0</v>
      </c>
      <c r="N27" s="103"/>
    </row>
    <row r="28" spans="1:14">
      <c r="A28" s="7" t="s">
        <v>14</v>
      </c>
      <c r="B28" s="7">
        <v>27</v>
      </c>
      <c r="C28" s="7">
        <v>1</v>
      </c>
      <c r="D28" s="7">
        <v>2021</v>
      </c>
      <c r="E28" s="105">
        <f>'Athens Daily - EL'!AK34</f>
        <v>29535</v>
      </c>
      <c r="F28" s="105"/>
      <c r="G28" s="105">
        <f>'Athens Daily - Gas'!BH35</f>
        <v>132843.83999999944</v>
      </c>
      <c r="H28" s="105">
        <f t="shared" si="0"/>
        <v>3468.5075718015523</v>
      </c>
      <c r="I28" s="105"/>
      <c r="J28" s="105">
        <f>'Athens Daily - Water'!R33</f>
        <v>263.41481999999996</v>
      </c>
      <c r="K28" s="105"/>
      <c r="L28" s="105"/>
      <c r="M28" s="105">
        <f t="shared" si="1"/>
        <v>0</v>
      </c>
      <c r="N28" s="103"/>
    </row>
    <row r="29" spans="1:14">
      <c r="A29" s="7" t="s">
        <v>14</v>
      </c>
      <c r="B29" s="7">
        <v>28</v>
      </c>
      <c r="C29" s="7">
        <v>1</v>
      </c>
      <c r="D29" s="7">
        <v>2021</v>
      </c>
      <c r="E29" s="105">
        <f>'Athens Daily - EL'!AK35</f>
        <v>30020</v>
      </c>
      <c r="F29" s="105"/>
      <c r="G29" s="105">
        <f>'Athens Daily - Gas'!BH36</f>
        <v>132843.83999999944</v>
      </c>
      <c r="H29" s="105">
        <f t="shared" si="0"/>
        <v>3468.5075718015523</v>
      </c>
      <c r="I29" s="105"/>
      <c r="J29" s="105">
        <f>'Athens Daily - Water'!R34</f>
        <v>302</v>
      </c>
      <c r="K29" s="105"/>
      <c r="L29" s="105"/>
      <c r="M29" s="105">
        <f t="shared" si="1"/>
        <v>0</v>
      </c>
      <c r="N29" s="103"/>
    </row>
    <row r="30" spans="1:14">
      <c r="A30" s="7" t="s">
        <v>14</v>
      </c>
      <c r="B30" s="7">
        <v>29</v>
      </c>
      <c r="C30" s="7">
        <v>1</v>
      </c>
      <c r="D30" s="7">
        <v>2021</v>
      </c>
      <c r="E30" s="105">
        <f>'Athens Daily - EL'!AK36</f>
        <v>29440</v>
      </c>
      <c r="F30" s="105"/>
      <c r="G30" s="105">
        <f>'Athens Daily - Gas'!BH37</f>
        <v>132843.83999999944</v>
      </c>
      <c r="H30" s="105">
        <f t="shared" si="0"/>
        <v>3468.5075718015523</v>
      </c>
      <c r="I30" s="105"/>
      <c r="J30" s="105">
        <f>'Athens Daily - Water'!R35</f>
        <v>357.02220000000034</v>
      </c>
      <c r="K30" s="105"/>
      <c r="L30" s="105"/>
      <c r="M30" s="105">
        <f t="shared" si="1"/>
        <v>0</v>
      </c>
      <c r="N30" s="103"/>
    </row>
    <row r="31" spans="1:14">
      <c r="A31" s="7" t="s">
        <v>14</v>
      </c>
      <c r="B31" s="7">
        <v>30</v>
      </c>
      <c r="C31" s="7">
        <v>1</v>
      </c>
      <c r="D31" s="7">
        <v>2021</v>
      </c>
      <c r="E31" s="105">
        <f>'Athens Daily - EL'!AK37</f>
        <v>30225</v>
      </c>
      <c r="F31" s="105"/>
      <c r="G31" s="105">
        <f>'Athens Daily - Gas'!BH38</f>
        <v>132843.83999999944</v>
      </c>
      <c r="H31" s="105">
        <f t="shared" si="0"/>
        <v>3468.5075718015523</v>
      </c>
      <c r="I31" s="105"/>
      <c r="J31" s="105">
        <f>'Athens Daily - Water'!R37</f>
        <v>455.32769999999982</v>
      </c>
      <c r="K31" s="105"/>
      <c r="L31" s="105"/>
      <c r="M31" s="105">
        <f t="shared" si="1"/>
        <v>0</v>
      </c>
      <c r="N31" s="103"/>
    </row>
    <row r="32" spans="1:14">
      <c r="A32" s="7" t="s">
        <v>14</v>
      </c>
      <c r="B32" s="7">
        <v>31</v>
      </c>
      <c r="C32" s="7">
        <v>1</v>
      </c>
      <c r="D32" s="7">
        <v>2021</v>
      </c>
      <c r="E32" s="105">
        <f>'Athens Daily - EL'!AK38</f>
        <v>30935</v>
      </c>
      <c r="F32" s="105"/>
      <c r="G32" s="105">
        <f>'Athens Daily - Gas'!BH39</f>
        <v>132843.84000000329</v>
      </c>
      <c r="H32" s="105">
        <f t="shared" si="0"/>
        <v>3468.5075718016528</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24710</v>
      </c>
      <c r="F2" s="7"/>
      <c r="G2" s="39">
        <f>'Athens Daily - Gas'!BI9</f>
        <v>82108.800000000003</v>
      </c>
      <c r="H2" s="7"/>
      <c r="I2" s="40">
        <f>'Athens Daily - Water'!S7</f>
        <v>193.75</v>
      </c>
      <c r="J2" s="7"/>
      <c r="K2" s="7">
        <v>286</v>
      </c>
      <c r="L2" s="7">
        <v>2</v>
      </c>
    </row>
    <row r="3" spans="1:12">
      <c r="A3" s="7" t="s">
        <v>14</v>
      </c>
      <c r="B3" s="7">
        <v>2</v>
      </c>
      <c r="C3" s="7">
        <v>1</v>
      </c>
      <c r="D3" s="7">
        <v>2021</v>
      </c>
      <c r="E3" s="7">
        <f>'Athens Daily - EL'!AL9</f>
        <v>26665</v>
      </c>
      <c r="F3" s="7"/>
      <c r="G3" s="39">
        <f>'Athens Daily - Gas'!BI10</f>
        <v>82953.600000000006</v>
      </c>
      <c r="H3" s="7"/>
      <c r="I3" s="40">
        <f>'Athens Daily - Water'!S8</f>
        <v>127.5</v>
      </c>
      <c r="J3" s="7"/>
      <c r="K3" s="7">
        <v>285</v>
      </c>
      <c r="L3" s="7">
        <v>2</v>
      </c>
    </row>
    <row r="4" spans="1:12">
      <c r="A4" s="7" t="s">
        <v>14</v>
      </c>
      <c r="B4" s="7">
        <v>3</v>
      </c>
      <c r="C4" s="7">
        <v>1</v>
      </c>
      <c r="D4" s="7">
        <v>2021</v>
      </c>
      <c r="E4" s="7">
        <f>'Athens Daily - EL'!AL10</f>
        <v>24170</v>
      </c>
      <c r="F4" s="7"/>
      <c r="G4" s="39">
        <f>'Athens Daily - Gas'!BI11</f>
        <v>81360</v>
      </c>
      <c r="H4" s="7"/>
      <c r="I4" s="40">
        <f>'Athens Daily - Water'!S9</f>
        <v>164.05</v>
      </c>
      <c r="J4" s="7"/>
      <c r="K4" s="7">
        <v>282</v>
      </c>
      <c r="L4" s="7">
        <v>2</v>
      </c>
    </row>
    <row r="5" spans="1:12">
      <c r="A5" s="7" t="s">
        <v>14</v>
      </c>
      <c r="B5" s="7">
        <v>4</v>
      </c>
      <c r="C5" s="7">
        <v>1</v>
      </c>
      <c r="D5" s="7">
        <v>2021</v>
      </c>
      <c r="E5" s="7">
        <f>'Athens Daily - EL'!AL11</f>
        <v>23215</v>
      </c>
      <c r="F5" s="7"/>
      <c r="G5" s="39">
        <f>'Athens Daily - Gas'!BI12</f>
        <v>72672</v>
      </c>
      <c r="H5" s="7"/>
      <c r="I5" s="40">
        <f>'Athens Daily - Water'!S10</f>
        <v>114.6</v>
      </c>
      <c r="J5" s="7"/>
      <c r="K5" s="7">
        <v>284</v>
      </c>
      <c r="L5" s="7">
        <v>2</v>
      </c>
    </row>
    <row r="6" spans="1:12">
      <c r="A6" s="7" t="s">
        <v>14</v>
      </c>
      <c r="B6" s="7">
        <v>5</v>
      </c>
      <c r="C6" s="7">
        <v>1</v>
      </c>
      <c r="D6" s="7">
        <v>2021</v>
      </c>
      <c r="E6" s="7">
        <f>'Athens Daily - EL'!AL12</f>
        <v>22030</v>
      </c>
      <c r="F6" s="7"/>
      <c r="G6" s="39">
        <f>'Athens Daily - Gas'!BI13</f>
        <v>67545.600000000006</v>
      </c>
      <c r="H6" s="7"/>
      <c r="I6" s="40">
        <f>'Athens Daily - Water'!S11</f>
        <v>137.69999999999999</v>
      </c>
      <c r="J6" s="7"/>
      <c r="K6" s="7">
        <v>286</v>
      </c>
      <c r="L6" s="7">
        <v>2</v>
      </c>
    </row>
    <row r="7" spans="1:12">
      <c r="A7" s="7" t="s">
        <v>14</v>
      </c>
      <c r="B7" s="7">
        <v>6</v>
      </c>
      <c r="C7" s="7">
        <v>1</v>
      </c>
      <c r="D7" s="7">
        <v>2021</v>
      </c>
      <c r="E7" s="7">
        <f>'Athens Daily - EL'!AL13</f>
        <v>22120</v>
      </c>
      <c r="F7" s="7"/>
      <c r="G7" s="39">
        <f>'Athens Daily - Gas'!BI14</f>
        <v>67440</v>
      </c>
      <c r="H7" s="7"/>
      <c r="I7" s="40">
        <f>'Athens Daily - Water'!S12</f>
        <v>135.19999999999999</v>
      </c>
      <c r="J7" s="7"/>
      <c r="K7" s="7">
        <v>288</v>
      </c>
      <c r="L7" s="7">
        <v>2</v>
      </c>
    </row>
    <row r="8" spans="1:12">
      <c r="A8" s="7" t="s">
        <v>14</v>
      </c>
      <c r="B8" s="7">
        <v>7</v>
      </c>
      <c r="C8" s="7">
        <v>1</v>
      </c>
      <c r="D8" s="7">
        <v>2021</v>
      </c>
      <c r="E8" s="7">
        <f>'Athens Daily - EL'!AL14</f>
        <v>21910</v>
      </c>
      <c r="F8" s="7"/>
      <c r="G8" s="39">
        <f>'Athens Daily - Gas'!BI15</f>
        <v>69835.200000000012</v>
      </c>
      <c r="H8" s="7"/>
      <c r="I8" s="40">
        <f>'Athens Daily - Water'!S13</f>
        <v>124.45</v>
      </c>
      <c r="J8" s="7"/>
      <c r="K8" s="7">
        <v>286</v>
      </c>
      <c r="L8" s="7">
        <v>2</v>
      </c>
    </row>
    <row r="9" spans="1:12">
      <c r="A9" s="7" t="s">
        <v>14</v>
      </c>
      <c r="B9" s="7">
        <v>8</v>
      </c>
      <c r="C9" s="7">
        <v>1</v>
      </c>
      <c r="D9" s="7">
        <v>2021</v>
      </c>
      <c r="E9" s="7">
        <f>'Athens Daily - EL'!AL15</f>
        <v>24300</v>
      </c>
      <c r="F9" s="7"/>
      <c r="G9" s="39">
        <f>'Athens Daily - Gas'!BI16</f>
        <v>63681.600000000006</v>
      </c>
      <c r="H9" s="7"/>
      <c r="I9" s="40">
        <f>'Athens Daily - Water'!S14</f>
        <v>119.45</v>
      </c>
      <c r="J9" s="7"/>
      <c r="K9" s="7">
        <v>287</v>
      </c>
      <c r="L9" s="7">
        <v>2</v>
      </c>
    </row>
    <row r="10" spans="1:12">
      <c r="A10" s="7" t="s">
        <v>14</v>
      </c>
      <c r="B10" s="7">
        <v>9</v>
      </c>
      <c r="C10" s="7">
        <v>1</v>
      </c>
      <c r="D10" s="7">
        <v>2021</v>
      </c>
      <c r="E10" s="7">
        <f>'Athens Daily - EL'!AL16</f>
        <v>29000</v>
      </c>
      <c r="F10" s="7"/>
      <c r="G10" s="39">
        <f>'Athens Daily - Gas'!BI17</f>
        <v>61737.600000000006</v>
      </c>
      <c r="H10" s="7"/>
      <c r="I10" s="40">
        <f>'Athens Daily - Water'!S15</f>
        <v>144.05000000000001</v>
      </c>
      <c r="J10" s="7"/>
      <c r="K10" s="7">
        <v>284</v>
      </c>
      <c r="L10" s="7">
        <v>2</v>
      </c>
    </row>
    <row r="11" spans="1:12">
      <c r="A11" s="7" t="s">
        <v>14</v>
      </c>
      <c r="B11" s="7">
        <v>10</v>
      </c>
      <c r="C11" s="7">
        <v>1</v>
      </c>
      <c r="D11" s="7">
        <v>2021</v>
      </c>
      <c r="E11" s="7">
        <f>'Athens Daily - EL'!AL17</f>
        <v>19550</v>
      </c>
      <c r="F11" s="7"/>
      <c r="G11" s="39">
        <f>'Athens Daily - Gas'!BI18</f>
        <v>81379.199999999997</v>
      </c>
      <c r="H11" s="7"/>
      <c r="I11" s="40">
        <f>'Athens Daily - Water'!S16</f>
        <v>148.1</v>
      </c>
      <c r="J11" s="7"/>
      <c r="K11" s="7">
        <v>284</v>
      </c>
      <c r="L11" s="7">
        <v>2</v>
      </c>
    </row>
    <row r="12" spans="1:12">
      <c r="A12" s="7" t="s">
        <v>14</v>
      </c>
      <c r="B12" s="7">
        <v>11</v>
      </c>
      <c r="C12" s="7">
        <v>1</v>
      </c>
      <c r="D12" s="7">
        <v>2021</v>
      </c>
      <c r="E12" s="7">
        <f>'Athens Daily - EL'!AL18</f>
        <v>22635</v>
      </c>
      <c r="F12" s="7"/>
      <c r="G12" s="39">
        <f>'Athens Daily - Gas'!BI19</f>
        <v>79200</v>
      </c>
      <c r="H12" s="7"/>
      <c r="I12" s="40">
        <f>'Athens Daily - Water'!S17</f>
        <v>148.1</v>
      </c>
      <c r="J12" s="7"/>
      <c r="K12" s="7">
        <v>284</v>
      </c>
      <c r="L12" s="7">
        <v>2</v>
      </c>
    </row>
    <row r="13" spans="1:12">
      <c r="A13" s="7" t="s">
        <v>14</v>
      </c>
      <c r="B13" s="7">
        <v>12</v>
      </c>
      <c r="C13" s="7">
        <v>1</v>
      </c>
      <c r="D13" s="7">
        <v>2021</v>
      </c>
      <c r="E13" s="7">
        <f>'Athens Daily - EL'!AL19</f>
        <v>24640</v>
      </c>
      <c r="F13" s="7"/>
      <c r="G13" s="39">
        <f>'Athens Daily - Gas'!BI20</f>
        <v>83491.200000000012</v>
      </c>
      <c r="H13" s="7"/>
      <c r="I13" s="40">
        <f>'Athens Daily - Water'!S18</f>
        <v>125.65</v>
      </c>
      <c r="J13" s="7"/>
      <c r="K13" s="7">
        <v>286</v>
      </c>
      <c r="L13" s="7">
        <v>2</v>
      </c>
    </row>
    <row r="14" spans="1:12">
      <c r="A14" s="7" t="s">
        <v>14</v>
      </c>
      <c r="B14" s="7">
        <v>13</v>
      </c>
      <c r="C14" s="7">
        <v>1</v>
      </c>
      <c r="D14" s="7">
        <v>2021</v>
      </c>
      <c r="E14" s="7">
        <f>'Athens Daily - EL'!AL20</f>
        <v>25420</v>
      </c>
      <c r="F14" s="7"/>
      <c r="G14" s="39">
        <f>'Athens Daily - Gas'!BI21</f>
        <v>84950.400000000009</v>
      </c>
      <c r="H14" s="7"/>
      <c r="I14" s="40">
        <f>'Athens Daily - Water'!S19</f>
        <v>199.55</v>
      </c>
      <c r="J14" s="7"/>
      <c r="K14" s="7">
        <v>287</v>
      </c>
      <c r="L14" s="7">
        <v>2</v>
      </c>
    </row>
    <row r="15" spans="1:12">
      <c r="A15" s="7" t="s">
        <v>14</v>
      </c>
      <c r="B15" s="7">
        <v>14</v>
      </c>
      <c r="C15" s="7">
        <v>1</v>
      </c>
      <c r="D15" s="7">
        <v>2021</v>
      </c>
      <c r="E15" s="7">
        <f>'Athens Daily - EL'!AL21</f>
        <v>26810</v>
      </c>
      <c r="F15" s="7"/>
      <c r="G15" s="39">
        <f>'Athens Daily - Gas'!BI22</f>
        <v>82752</v>
      </c>
      <c r="H15" s="7"/>
      <c r="I15" s="40">
        <f>'Athens Daily - Water'!S20</f>
        <v>97.350000000000009</v>
      </c>
      <c r="J15" s="7"/>
      <c r="K15" s="7">
        <v>287</v>
      </c>
      <c r="L15" s="7">
        <v>2</v>
      </c>
    </row>
    <row r="16" spans="1:12">
      <c r="A16" s="7" t="s">
        <v>14</v>
      </c>
      <c r="B16" s="7">
        <v>15</v>
      </c>
      <c r="C16" s="7">
        <v>1</v>
      </c>
      <c r="D16" s="7">
        <v>2021</v>
      </c>
      <c r="E16" s="7">
        <f>'Athens Daily - EL'!AL22</f>
        <v>25695</v>
      </c>
      <c r="F16" s="7"/>
      <c r="G16" s="39">
        <f>'Athens Daily - Gas'!BI23</f>
        <v>17846.400000000001</v>
      </c>
      <c r="H16" s="7"/>
      <c r="I16" s="40">
        <f>'Athens Daily - Water'!S21</f>
        <v>136.85</v>
      </c>
      <c r="J16" s="7"/>
      <c r="K16" s="7">
        <v>288</v>
      </c>
      <c r="L16" s="7">
        <v>2</v>
      </c>
    </row>
    <row r="17" spans="1:12">
      <c r="A17" s="7" t="s">
        <v>14</v>
      </c>
      <c r="B17" s="7">
        <v>16</v>
      </c>
      <c r="C17" s="7">
        <v>1</v>
      </c>
      <c r="D17" s="7">
        <v>2021</v>
      </c>
      <c r="E17" s="7">
        <f>'Athens Daily - EL'!AL23</f>
        <v>27000</v>
      </c>
      <c r="F17" s="7"/>
      <c r="G17" s="39">
        <f>'Athens Daily - Gas'!BI24</f>
        <v>72327.771428579101</v>
      </c>
      <c r="H17" s="7"/>
      <c r="I17" s="40">
        <f>'Athens Daily - Water'!S22</f>
        <v>130.44999999999999</v>
      </c>
      <c r="J17" s="7"/>
      <c r="K17" s="7">
        <v>288</v>
      </c>
      <c r="L17" s="7">
        <v>2</v>
      </c>
    </row>
    <row r="18" spans="1:12">
      <c r="A18" s="7" t="s">
        <v>14</v>
      </c>
      <c r="B18" s="7">
        <v>17</v>
      </c>
      <c r="C18" s="7">
        <v>1</v>
      </c>
      <c r="D18" s="7">
        <v>2021</v>
      </c>
      <c r="E18" s="7">
        <f>'Athens Daily - EL'!AL24</f>
        <v>26805</v>
      </c>
      <c r="F18" s="7"/>
      <c r="G18" s="39">
        <f>'Athens Daily - Gas'!BI25</f>
        <v>77367.771428579101</v>
      </c>
      <c r="H18" s="7"/>
      <c r="I18" s="40">
        <f>'Athens Daily - Water'!S23</f>
        <v>156.94999999999999</v>
      </c>
      <c r="J18" s="7"/>
      <c r="K18" s="7">
        <v>288</v>
      </c>
      <c r="L18" s="7">
        <v>2</v>
      </c>
    </row>
    <row r="19" spans="1:12">
      <c r="A19" s="7" t="s">
        <v>14</v>
      </c>
      <c r="B19" s="7">
        <v>18</v>
      </c>
      <c r="C19" s="7">
        <v>1</v>
      </c>
      <c r="D19" s="7">
        <v>2021</v>
      </c>
      <c r="E19" s="7">
        <f>'Athens Daily - EL'!AL25</f>
        <v>26940</v>
      </c>
      <c r="F19" s="7"/>
      <c r="G19" s="39">
        <f>'Athens Daily - Gas'!BI26</f>
        <v>70019.26530611515</v>
      </c>
      <c r="H19" s="7"/>
      <c r="I19" s="40">
        <f>'Athens Daily - Water'!S24</f>
        <v>160.69999999999999</v>
      </c>
      <c r="J19" s="7"/>
      <c r="K19" s="7">
        <v>291</v>
      </c>
      <c r="L19" s="7">
        <v>2</v>
      </c>
    </row>
    <row r="20" spans="1:12">
      <c r="A20" s="7" t="s">
        <v>14</v>
      </c>
      <c r="B20" s="7">
        <v>19</v>
      </c>
      <c r="C20" s="7">
        <v>1</v>
      </c>
      <c r="D20" s="7">
        <v>2021</v>
      </c>
      <c r="E20" s="7">
        <f>'Athens Daily - EL'!AL26</f>
        <v>26555</v>
      </c>
      <c r="F20" s="7"/>
      <c r="G20" s="39">
        <f>'Athens Daily - Gas'!BI27</f>
        <v>75639.771428579101</v>
      </c>
      <c r="H20" s="7"/>
      <c r="I20" s="40">
        <f>'Athens Daily - Water'!S25</f>
        <v>762.9</v>
      </c>
      <c r="J20" s="7"/>
      <c r="K20" s="7">
        <v>290</v>
      </c>
      <c r="L20" s="7">
        <v>2</v>
      </c>
    </row>
    <row r="21" spans="1:12">
      <c r="A21" s="7" t="s">
        <v>14</v>
      </c>
      <c r="B21" s="7">
        <v>20</v>
      </c>
      <c r="C21" s="7">
        <v>1</v>
      </c>
      <c r="D21" s="7">
        <v>2021</v>
      </c>
      <c r="E21" s="7">
        <f>'Athens Daily - EL'!AL27</f>
        <v>24245</v>
      </c>
      <c r="F21" s="7"/>
      <c r="G21" s="39">
        <f>'Athens Daily - Gas'!BI28</f>
        <v>76551.771428579101</v>
      </c>
      <c r="H21" s="7"/>
      <c r="I21" s="40">
        <f>'Athens Daily - Water'!S26</f>
        <v>259.5</v>
      </c>
      <c r="J21" s="7"/>
      <c r="K21" s="7">
        <v>292</v>
      </c>
      <c r="L21" s="7">
        <v>2</v>
      </c>
    </row>
    <row r="22" spans="1:12">
      <c r="A22" s="7" t="s">
        <v>14</v>
      </c>
      <c r="B22" s="7">
        <v>21</v>
      </c>
      <c r="C22" s="7">
        <v>1</v>
      </c>
      <c r="D22" s="7">
        <v>2021</v>
      </c>
      <c r="E22" s="7">
        <f>'Athens Daily - EL'!AL28</f>
        <v>22745</v>
      </c>
      <c r="F22" s="7"/>
      <c r="G22" s="39">
        <f>'Athens Daily - Gas'!BI29</f>
        <v>79959.771428579101</v>
      </c>
      <c r="H22" s="7"/>
      <c r="I22" s="40">
        <f>'Athens Daily - Water'!S27</f>
        <v>137.44999999999999</v>
      </c>
      <c r="J22" s="7"/>
      <c r="K22" s="7">
        <v>293</v>
      </c>
      <c r="L22" s="7">
        <v>2</v>
      </c>
    </row>
    <row r="23" spans="1:12">
      <c r="A23" s="7" t="s">
        <v>14</v>
      </c>
      <c r="B23" s="7">
        <v>22</v>
      </c>
      <c r="C23" s="7">
        <v>1</v>
      </c>
      <c r="D23" s="7">
        <v>2021</v>
      </c>
      <c r="E23" s="7">
        <f>'Athens Daily - EL'!AL29</f>
        <v>23865</v>
      </c>
      <c r="F23" s="7"/>
      <c r="G23" s="39">
        <f>'Athens Daily - Gas'!BI30</f>
        <v>89132.277550989398</v>
      </c>
      <c r="H23" s="7"/>
      <c r="I23" s="40">
        <f>'Athens Daily - Water'!S28</f>
        <v>130.30000000000001</v>
      </c>
      <c r="J23" s="7"/>
      <c r="K23" s="7">
        <v>293</v>
      </c>
      <c r="L23" s="7">
        <v>2</v>
      </c>
    </row>
    <row r="24" spans="1:12">
      <c r="A24" s="7" t="s">
        <v>14</v>
      </c>
      <c r="B24" s="7">
        <v>23</v>
      </c>
      <c r="C24" s="7">
        <v>1</v>
      </c>
      <c r="D24" s="7">
        <v>2021</v>
      </c>
      <c r="E24" s="7">
        <f>'Athens Daily - EL'!AL30</f>
        <v>23170</v>
      </c>
      <c r="F24" s="7"/>
      <c r="G24" s="39">
        <f>'Athens Daily - Gas'!BI31</f>
        <v>67315.200000000012</v>
      </c>
      <c r="H24" s="7"/>
      <c r="I24" s="40">
        <f>'Athens Daily - Water'!S29</f>
        <v>155.30000000000001</v>
      </c>
      <c r="J24" s="7"/>
      <c r="K24" s="7">
        <v>294</v>
      </c>
      <c r="L24" s="7">
        <v>2</v>
      </c>
    </row>
    <row r="25" spans="1:12">
      <c r="A25" s="7" t="s">
        <v>14</v>
      </c>
      <c r="B25" s="7">
        <v>24</v>
      </c>
      <c r="C25" s="7">
        <v>1</v>
      </c>
      <c r="D25" s="7">
        <v>2021</v>
      </c>
      <c r="E25" s="7">
        <f>'Athens Daily - EL'!AL31</f>
        <v>22595</v>
      </c>
      <c r="F25" s="7"/>
      <c r="G25" s="39">
        <f>'Athens Daily - Gas'!BI32</f>
        <v>63436.800000000003</v>
      </c>
      <c r="H25" s="7"/>
      <c r="I25" s="40">
        <f>'Athens Daily - Water'!S30</f>
        <v>109</v>
      </c>
      <c r="J25" s="7"/>
      <c r="K25" s="7">
        <v>294</v>
      </c>
      <c r="L25" s="7">
        <v>2</v>
      </c>
    </row>
    <row r="26" spans="1:12">
      <c r="A26" s="7" t="s">
        <v>14</v>
      </c>
      <c r="B26" s="7">
        <v>25</v>
      </c>
      <c r="C26" s="7">
        <v>1</v>
      </c>
      <c r="D26" s="7">
        <v>2021</v>
      </c>
      <c r="E26" s="7">
        <f>'Athens Daily - EL'!AL32</f>
        <v>23120</v>
      </c>
      <c r="F26" s="7"/>
      <c r="G26" s="39">
        <f>'Athens Daily - Gas'!BI33</f>
        <v>76023.199999998149</v>
      </c>
      <c r="H26" s="7"/>
      <c r="I26" s="40">
        <f>'Athens Daily - Water'!S31</f>
        <v>151.65</v>
      </c>
      <c r="J26" s="7"/>
      <c r="K26" s="7">
        <v>291</v>
      </c>
      <c r="L26" s="7">
        <v>2</v>
      </c>
    </row>
    <row r="27" spans="1:12">
      <c r="A27" s="7" t="s">
        <v>14</v>
      </c>
      <c r="B27" s="7">
        <v>26</v>
      </c>
      <c r="C27" s="7">
        <v>1</v>
      </c>
      <c r="D27" s="7">
        <v>2021</v>
      </c>
      <c r="E27" s="7">
        <f>'Athens Daily - EL'!AL33</f>
        <v>22910</v>
      </c>
      <c r="F27" s="7"/>
      <c r="G27" s="39">
        <f>'Athens Daily - Gas'!BI34</f>
        <v>76023.199999998149</v>
      </c>
      <c r="H27" s="7"/>
      <c r="I27" s="40">
        <f>'Athens Daily - Water'!S32</f>
        <v>166.5</v>
      </c>
      <c r="J27" s="7"/>
      <c r="K27" s="7">
        <v>291</v>
      </c>
      <c r="L27" s="7">
        <v>2</v>
      </c>
    </row>
    <row r="28" spans="1:12">
      <c r="A28" s="7" t="s">
        <v>14</v>
      </c>
      <c r="B28" s="7">
        <v>27</v>
      </c>
      <c r="C28" s="7">
        <v>1</v>
      </c>
      <c r="D28" s="7">
        <v>2021</v>
      </c>
      <c r="E28" s="7">
        <f>'Athens Daily - EL'!AL34</f>
        <v>23365</v>
      </c>
      <c r="F28" s="7"/>
      <c r="G28" s="39">
        <f>'Athens Daily - Gas'!BI35</f>
        <v>77338.39999999787</v>
      </c>
      <c r="H28" s="7"/>
      <c r="I28" s="40">
        <f>'Athens Daily - Water'!S33</f>
        <v>101.75</v>
      </c>
      <c r="J28" s="7"/>
      <c r="K28" s="7">
        <v>288</v>
      </c>
      <c r="L28" s="7">
        <v>2</v>
      </c>
    </row>
    <row r="29" spans="1:12">
      <c r="A29" s="7" t="s">
        <v>14</v>
      </c>
      <c r="B29" s="7">
        <v>28</v>
      </c>
      <c r="C29" s="7">
        <v>1</v>
      </c>
      <c r="D29" s="7">
        <v>2021</v>
      </c>
      <c r="E29" s="7">
        <f>'Athens Daily - EL'!AL35</f>
        <v>23340</v>
      </c>
      <c r="F29" s="7"/>
      <c r="G29" s="39">
        <f>'Athens Daily - Gas'!BI36</f>
        <v>76229.706666665443</v>
      </c>
      <c r="H29" s="7"/>
      <c r="I29" s="40">
        <f>'Athens Daily - Water'!S34</f>
        <v>128.44999999999999</v>
      </c>
      <c r="J29" s="7"/>
      <c r="K29" s="7">
        <v>290</v>
      </c>
      <c r="L29" s="7">
        <v>2</v>
      </c>
    </row>
    <row r="30" spans="1:12">
      <c r="A30" s="7" t="s">
        <v>14</v>
      </c>
      <c r="B30" s="7">
        <v>29</v>
      </c>
      <c r="C30" s="7">
        <v>1</v>
      </c>
      <c r="D30" s="7">
        <v>2021</v>
      </c>
      <c r="E30" s="7">
        <f>'Athens Daily - EL'!AL36</f>
        <v>22920</v>
      </c>
      <c r="F30" s="7"/>
      <c r="G30" s="39">
        <f>'Athens Daily - Gas'!BI37</f>
        <v>69697.493333340448</v>
      </c>
      <c r="H30" s="7"/>
      <c r="I30" s="40">
        <f>'Athens Daily - Water'!S35</f>
        <v>142.25</v>
      </c>
      <c r="J30" s="7"/>
      <c r="K30" s="7">
        <v>291</v>
      </c>
      <c r="L30" s="7">
        <v>2</v>
      </c>
    </row>
    <row r="31" spans="1:12">
      <c r="A31" s="7" t="s">
        <v>14</v>
      </c>
      <c r="B31" s="7">
        <v>30</v>
      </c>
      <c r="C31" s="7">
        <v>1</v>
      </c>
      <c r="D31" s="7">
        <v>2021</v>
      </c>
      <c r="E31" s="7">
        <f>'Athens Daily - EL'!AL37</f>
        <v>22575</v>
      </c>
      <c r="F31" s="7"/>
      <c r="G31" s="39">
        <f>'Athens Daily - Gas'!BI38</f>
        <v>68947.200000000012</v>
      </c>
      <c r="H31" s="7"/>
      <c r="I31" s="40">
        <f>'Athens Daily - Water'!S37</f>
        <v>131.75</v>
      </c>
      <c r="J31" s="7"/>
      <c r="K31" s="7">
        <v>290</v>
      </c>
      <c r="L31" s="7">
        <v>2</v>
      </c>
    </row>
    <row r="32" spans="1:12">
      <c r="A32" s="7" t="s">
        <v>14</v>
      </c>
      <c r="B32" s="7">
        <v>31</v>
      </c>
      <c r="C32" s="7">
        <v>1</v>
      </c>
      <c r="D32" s="7">
        <v>2021</v>
      </c>
      <c r="E32" s="7">
        <f>'Athens Daily - EL'!AL38</f>
        <v>23105</v>
      </c>
      <c r="F32" s="7"/>
      <c r="G32" s="39">
        <f>'Athens Daily - Gas'!BI39</f>
        <v>67603.200000000012</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abSelected="1" topLeftCell="A2" zoomScale="70" zoomScaleNormal="70" workbookViewId="0">
      <pane xSplit="2" ySplit="5" topLeftCell="AA27" activePane="bottomRight" state="frozen"/>
      <selection pane="topRight" activeCell="C2" sqref="C2"/>
      <selection pane="bottomLeft" activeCell="A7" sqref="A7"/>
      <selection pane="bottomRight" activeCell="AL35" sqref="AL35"/>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32" t="s">
        <v>65</v>
      </c>
      <c r="D1" s="232"/>
      <c r="E1" s="232" t="s">
        <v>65</v>
      </c>
      <c r="F1" s="232"/>
      <c r="G1" s="232" t="s">
        <v>65</v>
      </c>
      <c r="H1" s="232"/>
      <c r="I1" s="113"/>
      <c r="J1" s="232" t="s">
        <v>65</v>
      </c>
      <c r="K1" s="232"/>
      <c r="L1" s="232" t="s">
        <v>65</v>
      </c>
      <c r="M1" s="232"/>
      <c r="N1" s="216" t="s">
        <v>66</v>
      </c>
      <c r="O1" s="217"/>
      <c r="P1" s="218"/>
      <c r="Q1" s="216" t="s">
        <v>66</v>
      </c>
      <c r="R1" s="217"/>
      <c r="S1" s="218"/>
      <c r="T1" s="216" t="s">
        <v>66</v>
      </c>
      <c r="U1" s="217"/>
      <c r="V1" s="218"/>
      <c r="W1" s="216" t="s">
        <v>66</v>
      </c>
      <c r="X1" s="217"/>
      <c r="Y1" s="218"/>
      <c r="Z1" s="232" t="s">
        <v>67</v>
      </c>
      <c r="AA1" s="232"/>
      <c r="AB1" s="232" t="s">
        <v>67</v>
      </c>
      <c r="AC1" s="232"/>
      <c r="AD1" s="232" t="s">
        <v>67</v>
      </c>
      <c r="AE1" s="232"/>
      <c r="AF1" s="232" t="s">
        <v>67</v>
      </c>
      <c r="AG1" s="232"/>
      <c r="AH1" s="232" t="s">
        <v>67</v>
      </c>
      <c r="AI1" s="232"/>
    </row>
    <row r="2" spans="1:38" s="3" customFormat="1" ht="113.25" customHeight="1">
      <c r="A2" s="13"/>
      <c r="B2" s="14"/>
      <c r="C2" s="231" t="s">
        <v>68</v>
      </c>
      <c r="D2" s="231"/>
      <c r="E2" s="231" t="s">
        <v>69</v>
      </c>
      <c r="F2" s="231"/>
      <c r="G2" s="219" t="s">
        <v>70</v>
      </c>
      <c r="H2" s="220"/>
      <c r="I2" s="221"/>
      <c r="J2" s="231" t="s">
        <v>71</v>
      </c>
      <c r="K2" s="231"/>
      <c r="L2" s="231" t="s">
        <v>72</v>
      </c>
      <c r="M2" s="231"/>
      <c r="N2" s="219" t="s">
        <v>73</v>
      </c>
      <c r="O2" s="220"/>
      <c r="P2" s="221"/>
      <c r="Q2" s="219" t="s">
        <v>74</v>
      </c>
      <c r="R2" s="220"/>
      <c r="S2" s="221"/>
      <c r="T2" s="219" t="s">
        <v>75</v>
      </c>
      <c r="U2" s="220"/>
      <c r="V2" s="221"/>
      <c r="W2" s="219" t="s">
        <v>76</v>
      </c>
      <c r="X2" s="220"/>
      <c r="Y2" s="221"/>
      <c r="Z2" s="231" t="s">
        <v>77</v>
      </c>
      <c r="AA2" s="231"/>
      <c r="AB2" s="231" t="s">
        <v>78</v>
      </c>
      <c r="AC2" s="231"/>
      <c r="AD2" s="231" t="s">
        <v>79</v>
      </c>
      <c r="AE2" s="231"/>
      <c r="AF2" s="231" t="s">
        <v>78</v>
      </c>
      <c r="AG2" s="231"/>
      <c r="AH2" s="231" t="s">
        <v>80</v>
      </c>
      <c r="AI2" s="231"/>
      <c r="AJ2" s="120"/>
      <c r="AK2" s="120"/>
      <c r="AL2" s="120"/>
    </row>
    <row r="3" spans="1:38" s="25" customFormat="1" ht="30" customHeight="1">
      <c r="A3" s="112"/>
      <c r="B3" s="50"/>
      <c r="C3" s="222">
        <v>5065546</v>
      </c>
      <c r="D3" s="224"/>
      <c r="E3" s="222">
        <v>5065547</v>
      </c>
      <c r="F3" s="224"/>
      <c r="G3" s="222">
        <v>5008272</v>
      </c>
      <c r="H3" s="223"/>
      <c r="I3" s="224"/>
      <c r="J3" s="222">
        <v>5065548</v>
      </c>
      <c r="K3" s="224"/>
      <c r="L3" s="222">
        <v>5465545</v>
      </c>
      <c r="M3" s="224"/>
      <c r="N3" s="222">
        <v>5008273</v>
      </c>
      <c r="O3" s="223"/>
      <c r="P3" s="224"/>
      <c r="Q3" s="222">
        <v>5018351</v>
      </c>
      <c r="R3" s="223"/>
      <c r="S3" s="224"/>
      <c r="T3" s="222">
        <v>5018354</v>
      </c>
      <c r="U3" s="223"/>
      <c r="V3" s="224"/>
      <c r="W3" s="222">
        <v>5018350</v>
      </c>
      <c r="X3" s="223"/>
      <c r="Y3" s="224"/>
      <c r="Z3" s="229">
        <v>5065543</v>
      </c>
      <c r="AA3" s="230"/>
      <c r="AB3" s="229">
        <v>5065544</v>
      </c>
      <c r="AC3" s="230"/>
      <c r="AD3" s="229">
        <v>5065541</v>
      </c>
      <c r="AE3" s="230"/>
      <c r="AF3" s="229">
        <v>5065542</v>
      </c>
      <c r="AG3" s="230"/>
      <c r="AH3" s="229">
        <v>5065540</v>
      </c>
      <c r="AI3" s="230"/>
      <c r="AK3" s="233" t="s">
        <v>81</v>
      </c>
      <c r="AL3" s="233"/>
    </row>
    <row r="4" spans="1:38" s="24" customFormat="1" ht="30" customHeight="1">
      <c r="A4" s="112"/>
      <c r="B4" s="117"/>
      <c r="C4" s="225" t="s">
        <v>82</v>
      </c>
      <c r="D4" s="227"/>
      <c r="E4" s="225" t="s">
        <v>83</v>
      </c>
      <c r="F4" s="227"/>
      <c r="G4" s="225" t="s">
        <v>84</v>
      </c>
      <c r="H4" s="226"/>
      <c r="I4" s="227"/>
      <c r="J4" s="225" t="s">
        <v>85</v>
      </c>
      <c r="K4" s="227"/>
      <c r="L4" s="225" t="s">
        <v>86</v>
      </c>
      <c r="M4" s="227"/>
      <c r="N4" s="225" t="s">
        <v>87</v>
      </c>
      <c r="O4" s="226"/>
      <c r="P4" s="227"/>
      <c r="Q4" s="225" t="s">
        <v>88</v>
      </c>
      <c r="R4" s="226"/>
      <c r="S4" s="227"/>
      <c r="T4" s="225" t="s">
        <v>89</v>
      </c>
      <c r="U4" s="226"/>
      <c r="V4" s="227"/>
      <c r="W4" s="225" t="s">
        <v>90</v>
      </c>
      <c r="X4" s="226"/>
      <c r="Y4" s="227"/>
      <c r="Z4" s="225" t="s">
        <v>91</v>
      </c>
      <c r="AA4" s="227"/>
      <c r="AB4" s="225" t="s">
        <v>92</v>
      </c>
      <c r="AC4" s="227"/>
      <c r="AD4" s="225" t="s">
        <v>93</v>
      </c>
      <c r="AE4" s="227"/>
      <c r="AF4" s="225" t="s">
        <v>94</v>
      </c>
      <c r="AG4" s="227"/>
      <c r="AH4" s="225" t="s">
        <v>95</v>
      </c>
      <c r="AI4" s="227"/>
      <c r="AK4" s="233"/>
      <c r="AL4" s="233"/>
    </row>
    <row r="5" spans="1:38" s="8" customFormat="1" ht="30" customHeight="1">
      <c r="A5" s="112" t="s">
        <v>96</v>
      </c>
      <c r="B5" s="51"/>
      <c r="C5" s="214" t="s">
        <v>97</v>
      </c>
      <c r="D5" s="215"/>
      <c r="E5" s="214" t="s">
        <v>97</v>
      </c>
      <c r="F5" s="215"/>
      <c r="G5" s="214" t="s">
        <v>97</v>
      </c>
      <c r="H5" s="228"/>
      <c r="I5" s="215"/>
      <c r="J5" s="51" t="s">
        <v>97</v>
      </c>
      <c r="K5" s="51"/>
      <c r="L5" s="214" t="s">
        <v>97</v>
      </c>
      <c r="M5" s="215"/>
      <c r="N5" s="214" t="s">
        <v>97</v>
      </c>
      <c r="O5" s="228"/>
      <c r="P5" s="215"/>
      <c r="Q5" s="214" t="s">
        <v>98</v>
      </c>
      <c r="R5" s="228"/>
      <c r="S5" s="215"/>
      <c r="T5" s="214" t="s">
        <v>98</v>
      </c>
      <c r="U5" s="228"/>
      <c r="V5" s="215"/>
      <c r="W5" s="214" t="s">
        <v>98</v>
      </c>
      <c r="X5" s="228"/>
      <c r="Y5" s="215"/>
      <c r="Z5" s="214" t="s">
        <v>97</v>
      </c>
      <c r="AA5" s="215"/>
      <c r="AB5" s="214" t="s">
        <v>97</v>
      </c>
      <c r="AC5" s="215"/>
      <c r="AD5" s="214" t="s">
        <v>97</v>
      </c>
      <c r="AE5" s="215"/>
      <c r="AF5" s="214" t="s">
        <v>97</v>
      </c>
      <c r="AG5" s="215"/>
      <c r="AH5" s="214" t="s">
        <v>97</v>
      </c>
      <c r="AI5" s="215"/>
    </row>
    <row r="6" spans="1:38" s="10" customFormat="1" ht="50.1" customHeight="1">
      <c r="A6" s="112" t="s">
        <v>99</v>
      </c>
      <c r="B6" s="112"/>
      <c r="C6" s="112" t="s">
        <v>100</v>
      </c>
      <c r="D6" s="112" t="s">
        <v>101</v>
      </c>
      <c r="E6" s="112" t="s">
        <v>100</v>
      </c>
      <c r="F6" s="112" t="s">
        <v>101</v>
      </c>
      <c r="G6" s="112" t="s">
        <v>100</v>
      </c>
      <c r="H6" s="112" t="s">
        <v>101</v>
      </c>
      <c r="I6" s="112" t="s">
        <v>102</v>
      </c>
      <c r="J6" s="112" t="s">
        <v>100</v>
      </c>
      <c r="K6" s="112" t="s">
        <v>101</v>
      </c>
      <c r="L6" s="112" t="s">
        <v>100</v>
      </c>
      <c r="M6" s="112" t="s">
        <v>101</v>
      </c>
      <c r="N6" s="112" t="s">
        <v>100</v>
      </c>
      <c r="O6" s="112" t="s">
        <v>101</v>
      </c>
      <c r="P6" s="112" t="s">
        <v>102</v>
      </c>
      <c r="Q6" s="112" t="s">
        <v>100</v>
      </c>
      <c r="R6" s="112" t="s">
        <v>101</v>
      </c>
      <c r="S6" s="112" t="s">
        <v>102</v>
      </c>
      <c r="T6" s="112" t="s">
        <v>100</v>
      </c>
      <c r="U6" s="112" t="s">
        <v>101</v>
      </c>
      <c r="V6" s="112" t="s">
        <v>102</v>
      </c>
      <c r="W6" s="112" t="s">
        <v>100</v>
      </c>
      <c r="X6" s="112" t="s">
        <v>101</v>
      </c>
      <c r="Y6" s="112" t="s">
        <v>102</v>
      </c>
      <c r="Z6" s="112" t="s">
        <v>100</v>
      </c>
      <c r="AA6" s="112" t="s">
        <v>101</v>
      </c>
      <c r="AB6" s="112" t="s">
        <v>100</v>
      </c>
      <c r="AC6" s="112" t="s">
        <v>101</v>
      </c>
      <c r="AD6" s="112" t="s">
        <v>100</v>
      </c>
      <c r="AE6" s="112" t="s">
        <v>101</v>
      </c>
      <c r="AF6" s="112" t="s">
        <v>100</v>
      </c>
      <c r="AG6" s="112" t="s">
        <v>101</v>
      </c>
      <c r="AH6" s="112" t="s">
        <v>100</v>
      </c>
      <c r="AI6" s="112" t="s">
        <v>101</v>
      </c>
      <c r="AK6" s="112" t="s">
        <v>65</v>
      </c>
      <c r="AL6" s="112" t="s">
        <v>67</v>
      </c>
    </row>
    <row r="7" spans="1:38" ht="39.950000000000003" customHeight="1">
      <c r="A7" s="194">
        <v>44196</v>
      </c>
      <c r="B7" s="16"/>
      <c r="C7" s="74">
        <v>55158</v>
      </c>
      <c r="D7" s="17"/>
      <c r="E7" s="74">
        <v>82665</v>
      </c>
      <c r="F7" s="17"/>
      <c r="G7" s="74">
        <v>833316</v>
      </c>
      <c r="H7" s="17"/>
      <c r="I7" s="17"/>
      <c r="J7" s="74">
        <v>76861</v>
      </c>
      <c r="K7" s="17"/>
      <c r="L7" s="74">
        <v>119381</v>
      </c>
      <c r="M7" s="17"/>
      <c r="N7" s="74">
        <v>805176</v>
      </c>
      <c r="O7" s="17"/>
      <c r="P7" s="17"/>
      <c r="Q7" s="74">
        <v>130062</v>
      </c>
      <c r="R7" s="17"/>
      <c r="S7" s="17"/>
      <c r="T7" s="74">
        <v>70573</v>
      </c>
      <c r="U7" s="17"/>
      <c r="V7" s="17"/>
      <c r="W7" s="74">
        <v>144532</v>
      </c>
      <c r="X7" s="17"/>
      <c r="Y7" s="17"/>
      <c r="Z7" s="74">
        <v>17538</v>
      </c>
      <c r="AA7" s="17"/>
      <c r="AB7" s="74">
        <v>35147</v>
      </c>
      <c r="AC7" s="17"/>
      <c r="AD7" s="74">
        <v>63531</v>
      </c>
      <c r="AE7" s="17"/>
      <c r="AF7" s="74">
        <v>34863</v>
      </c>
      <c r="AG7" s="17"/>
      <c r="AH7" s="74">
        <v>170031</v>
      </c>
      <c r="AI7" s="17"/>
      <c r="AK7" s="100"/>
      <c r="AL7" s="101"/>
    </row>
    <row r="8" spans="1:38" s="2" customFormat="1" ht="39.950000000000003" customHeight="1">
      <c r="A8" s="194">
        <v>44197</v>
      </c>
      <c r="B8" s="15"/>
      <c r="C8" s="49">
        <v>55896</v>
      </c>
      <c r="D8" s="17">
        <f>(C8-C7)*10</f>
        <v>7380</v>
      </c>
      <c r="E8" s="49">
        <v>83313</v>
      </c>
      <c r="F8" s="17">
        <f>(E8-E7)*10</f>
        <v>6480</v>
      </c>
      <c r="G8" s="49">
        <v>833970</v>
      </c>
      <c r="H8" s="17">
        <f>(G8-G7)*10</f>
        <v>6540</v>
      </c>
      <c r="I8" s="17">
        <f>H8*50%</f>
        <v>3270</v>
      </c>
      <c r="J8" s="49">
        <v>77439</v>
      </c>
      <c r="K8" s="17">
        <f>(J8-J7)*10</f>
        <v>5780</v>
      </c>
      <c r="L8" s="49">
        <v>120224</v>
      </c>
      <c r="M8" s="17">
        <f>(L8-L7)*10</f>
        <v>8430</v>
      </c>
      <c r="N8" s="49">
        <v>805455</v>
      </c>
      <c r="O8" s="17">
        <f t="shared" ref="O8:O24" si="0">(N8-N7)*10</f>
        <v>2790</v>
      </c>
      <c r="P8" s="17">
        <f>O8*50%</f>
        <v>1395</v>
      </c>
      <c r="Q8" s="49">
        <v>130064</v>
      </c>
      <c r="R8" s="17">
        <f t="shared" ref="R8:R24" si="1">(Q8-Q7)*10</f>
        <v>20</v>
      </c>
      <c r="S8" s="17">
        <f>R8*50%</f>
        <v>10</v>
      </c>
      <c r="T8" s="49">
        <v>70576</v>
      </c>
      <c r="U8" s="17">
        <f>(T8-T7)*10</f>
        <v>30</v>
      </c>
      <c r="V8" s="17">
        <f>U8*50%</f>
        <v>15</v>
      </c>
      <c r="W8" s="49">
        <v>144540</v>
      </c>
      <c r="X8" s="17">
        <f>(W8-W7)*10</f>
        <v>80</v>
      </c>
      <c r="Y8" s="17">
        <f>X8*50%</f>
        <v>40</v>
      </c>
      <c r="Z8" s="49">
        <v>17638</v>
      </c>
      <c r="AA8" s="17">
        <f>(Z8-Z7)*10</f>
        <v>1000</v>
      </c>
      <c r="AB8" s="49">
        <v>35327</v>
      </c>
      <c r="AC8" s="17">
        <f t="shared" ref="AC8:AC38" si="2">(AB8-AB7)*10</f>
        <v>1800</v>
      </c>
      <c r="AD8" s="49">
        <v>63839</v>
      </c>
      <c r="AE8" s="17">
        <f t="shared" ref="AE8:AE38" si="3">(AD8-AD7)*10</f>
        <v>3080</v>
      </c>
      <c r="AF8" s="49">
        <v>35037</v>
      </c>
      <c r="AG8" s="17">
        <f t="shared" ref="AG8:AG38" si="4">(AF8-AF7)*10</f>
        <v>1740</v>
      </c>
      <c r="AH8" s="49">
        <v>171267</v>
      </c>
      <c r="AI8" s="17">
        <f t="shared" ref="AI8:AI38" si="5">(AH8-AH7)*10</f>
        <v>12360</v>
      </c>
      <c r="AK8" s="100">
        <f>SUM(D8,F8,I8,K8,M8,P8,S8,V8,Y8)</f>
        <v>32800</v>
      </c>
      <c r="AL8" s="101">
        <f>SUM(P8,S8,V8,Y8,AA8,AC8,AE8,AG8,AI8,I8)</f>
        <v>24710</v>
      </c>
    </row>
    <row r="9" spans="1:38" ht="39.950000000000003" customHeight="1">
      <c r="A9" s="194">
        <v>44198</v>
      </c>
      <c r="B9" s="16"/>
      <c r="C9" s="49">
        <v>56621</v>
      </c>
      <c r="D9" s="17">
        <f t="shared" ref="D9:F25" si="6">(C9-C8)*10</f>
        <v>7250</v>
      </c>
      <c r="E9" s="49">
        <v>83953</v>
      </c>
      <c r="F9" s="17">
        <f t="shared" si="6"/>
        <v>6400</v>
      </c>
      <c r="G9" s="49">
        <v>834697</v>
      </c>
      <c r="H9" s="17">
        <f t="shared" ref="H9" si="7">(G9-G8)*10</f>
        <v>7270</v>
      </c>
      <c r="I9" s="17">
        <f t="shared" ref="I9:I24" si="8">H9*50%</f>
        <v>3635</v>
      </c>
      <c r="J9" s="49">
        <v>78013</v>
      </c>
      <c r="K9" s="17">
        <f t="shared" ref="K9" si="9">(J9-J8)*10</f>
        <v>5740</v>
      </c>
      <c r="L9" s="49">
        <v>121028</v>
      </c>
      <c r="M9" s="17">
        <f t="shared" ref="M9" si="10">(L9-L8)*10</f>
        <v>8040</v>
      </c>
      <c r="N9" s="49">
        <v>805730</v>
      </c>
      <c r="O9" s="17">
        <f t="shared" si="0"/>
        <v>2750</v>
      </c>
      <c r="P9" s="17">
        <f t="shared" ref="P9:P24" si="11">O9*50%</f>
        <v>1375</v>
      </c>
      <c r="Q9" s="49">
        <v>130066</v>
      </c>
      <c r="R9" s="17">
        <f t="shared" si="1"/>
        <v>20</v>
      </c>
      <c r="S9" s="17">
        <f t="shared" ref="S9:S24" si="12">R9*50%</f>
        <v>10</v>
      </c>
      <c r="T9" s="49">
        <v>70578</v>
      </c>
      <c r="U9" s="17">
        <f t="shared" ref="U9" si="13">(T9-T8)*10</f>
        <v>20</v>
      </c>
      <c r="V9" s="17">
        <f t="shared" ref="V9:V24" si="14">U9*50%</f>
        <v>10</v>
      </c>
      <c r="W9" s="49">
        <v>144547</v>
      </c>
      <c r="X9" s="17">
        <f t="shared" ref="X9:X38" si="15">(W9-W8)*10</f>
        <v>70</v>
      </c>
      <c r="Y9" s="17">
        <f t="shared" ref="Y9:Y24" si="16">X9*50%</f>
        <v>35</v>
      </c>
      <c r="Z9" s="49">
        <v>17744</v>
      </c>
      <c r="AA9" s="17">
        <f t="shared" ref="AA9:AA38" si="17">(Z9-Z8)*10</f>
        <v>1060</v>
      </c>
      <c r="AB9" s="49">
        <v>35516</v>
      </c>
      <c r="AC9" s="17">
        <f t="shared" si="2"/>
        <v>1890</v>
      </c>
      <c r="AD9" s="49">
        <v>64177</v>
      </c>
      <c r="AE9" s="17">
        <f t="shared" si="3"/>
        <v>3380</v>
      </c>
      <c r="AF9" s="49">
        <v>35228</v>
      </c>
      <c r="AG9" s="17">
        <f t="shared" si="4"/>
        <v>1910</v>
      </c>
      <c r="AH9" s="49">
        <v>172603</v>
      </c>
      <c r="AI9" s="17">
        <f t="shared" si="5"/>
        <v>13360</v>
      </c>
      <c r="AK9" s="100">
        <f t="shared" ref="AK9:AK24" si="18">SUM(D9,F9,I9,K9,M9,P9,S9,V9,Y9)</f>
        <v>32495</v>
      </c>
      <c r="AL9" s="101">
        <f t="shared" ref="AL9:AL38" si="19">SUM(P9,S9,V9,Y9,AA9,AC9,AE9,AG9,AI9,I9)</f>
        <v>26665</v>
      </c>
    </row>
    <row r="10" spans="1:38" ht="39.950000000000003" customHeight="1">
      <c r="A10" s="194">
        <v>44199</v>
      </c>
      <c r="B10" s="16"/>
      <c r="C10" s="49">
        <v>57244</v>
      </c>
      <c r="D10" s="17">
        <f t="shared" si="6"/>
        <v>6230</v>
      </c>
      <c r="E10" s="49">
        <v>84576</v>
      </c>
      <c r="F10" s="17">
        <f t="shared" si="6"/>
        <v>6230</v>
      </c>
      <c r="G10" s="49">
        <v>835484</v>
      </c>
      <c r="H10" s="17">
        <f t="shared" ref="H10" si="20">(G10-G9)*10</f>
        <v>7870</v>
      </c>
      <c r="I10" s="17">
        <f t="shared" si="8"/>
        <v>3935</v>
      </c>
      <c r="J10" s="49">
        <v>78536</v>
      </c>
      <c r="K10" s="17">
        <f t="shared" ref="K10" si="21">(J10-J9)*10</f>
        <v>5230</v>
      </c>
      <c r="L10" s="49">
        <v>121775</v>
      </c>
      <c r="M10" s="17">
        <f t="shared" ref="M10" si="22">(L10-L9)*10</f>
        <v>7470</v>
      </c>
      <c r="N10" s="49">
        <v>806007</v>
      </c>
      <c r="O10" s="17">
        <f t="shared" si="0"/>
        <v>2770</v>
      </c>
      <c r="P10" s="17">
        <f t="shared" si="11"/>
        <v>1385</v>
      </c>
      <c r="Q10" s="49">
        <v>130068</v>
      </c>
      <c r="R10" s="17">
        <f t="shared" si="1"/>
        <v>20</v>
      </c>
      <c r="S10" s="17">
        <f t="shared" si="12"/>
        <v>10</v>
      </c>
      <c r="T10" s="49">
        <v>70580</v>
      </c>
      <c r="U10" s="17">
        <f t="shared" ref="U10" si="23">(T10-T9)*10</f>
        <v>20</v>
      </c>
      <c r="V10" s="17">
        <f t="shared" si="14"/>
        <v>10</v>
      </c>
      <c r="W10" s="49">
        <v>144555</v>
      </c>
      <c r="X10" s="17">
        <f t="shared" si="15"/>
        <v>80</v>
      </c>
      <c r="Y10" s="17">
        <f t="shared" si="16"/>
        <v>40</v>
      </c>
      <c r="Z10" s="49">
        <v>17836</v>
      </c>
      <c r="AA10" s="17">
        <f t="shared" si="17"/>
        <v>920</v>
      </c>
      <c r="AB10" s="49">
        <v>35688</v>
      </c>
      <c r="AC10" s="17">
        <f t="shared" si="2"/>
        <v>1720</v>
      </c>
      <c r="AD10" s="49">
        <v>64482</v>
      </c>
      <c r="AE10" s="17">
        <f t="shared" si="3"/>
        <v>3050</v>
      </c>
      <c r="AF10" s="49">
        <v>35404</v>
      </c>
      <c r="AG10" s="17">
        <f t="shared" si="4"/>
        <v>1760</v>
      </c>
      <c r="AH10" s="49">
        <v>173737</v>
      </c>
      <c r="AI10" s="17">
        <f t="shared" si="5"/>
        <v>11340</v>
      </c>
      <c r="AK10" s="100">
        <f t="shared" si="18"/>
        <v>30540</v>
      </c>
      <c r="AL10" s="101">
        <f t="shared" si="19"/>
        <v>24170</v>
      </c>
    </row>
    <row r="11" spans="1:38" ht="39.950000000000003" customHeight="1">
      <c r="A11" s="194">
        <v>44200</v>
      </c>
      <c r="B11" s="16"/>
      <c r="C11" s="49">
        <v>57674</v>
      </c>
      <c r="D11" s="17">
        <f t="shared" si="6"/>
        <v>4300</v>
      </c>
      <c r="E11" s="49">
        <v>85154</v>
      </c>
      <c r="F11" s="17">
        <f t="shared" si="6"/>
        <v>5780</v>
      </c>
      <c r="G11" s="49">
        <v>836263</v>
      </c>
      <c r="H11" s="17">
        <f t="shared" ref="H11" si="24">(G11-G10)*10</f>
        <v>7790</v>
      </c>
      <c r="I11" s="17">
        <f t="shared" si="8"/>
        <v>3895</v>
      </c>
      <c r="J11" s="49">
        <v>79075</v>
      </c>
      <c r="K11" s="17">
        <f t="shared" ref="K11" si="25">(J11-J10)*10</f>
        <v>5390</v>
      </c>
      <c r="L11" s="49">
        <v>122537</v>
      </c>
      <c r="M11" s="17">
        <f t="shared" ref="M11" si="26">(L11-L10)*10</f>
        <v>7620</v>
      </c>
      <c r="N11" s="49">
        <v>806298</v>
      </c>
      <c r="O11" s="17">
        <f t="shared" si="0"/>
        <v>2910</v>
      </c>
      <c r="P11" s="17">
        <f t="shared" si="11"/>
        <v>1455</v>
      </c>
      <c r="Q11" s="49">
        <v>130070</v>
      </c>
      <c r="R11" s="17">
        <f t="shared" si="1"/>
        <v>20</v>
      </c>
      <c r="S11" s="17">
        <f t="shared" si="12"/>
        <v>10</v>
      </c>
      <c r="T11" s="49">
        <v>70582</v>
      </c>
      <c r="U11" s="17">
        <f t="shared" ref="U11" si="27">(T11-T10)*10</f>
        <v>20</v>
      </c>
      <c r="V11" s="17">
        <f t="shared" si="14"/>
        <v>10</v>
      </c>
      <c r="W11" s="49">
        <v>144562</v>
      </c>
      <c r="X11" s="17">
        <f t="shared" si="15"/>
        <v>70</v>
      </c>
      <c r="Y11" s="17">
        <f t="shared" si="16"/>
        <v>35</v>
      </c>
      <c r="Z11" s="49">
        <v>17936</v>
      </c>
      <c r="AA11" s="17">
        <f t="shared" si="17"/>
        <v>1000</v>
      </c>
      <c r="AB11" s="49">
        <v>35877</v>
      </c>
      <c r="AC11" s="17">
        <f t="shared" si="2"/>
        <v>1890</v>
      </c>
      <c r="AD11" s="49">
        <v>64824</v>
      </c>
      <c r="AE11" s="17">
        <f t="shared" si="3"/>
        <v>3420</v>
      </c>
      <c r="AF11" s="49">
        <v>35589</v>
      </c>
      <c r="AG11" s="17">
        <f t="shared" si="4"/>
        <v>1850</v>
      </c>
      <c r="AH11" s="49">
        <v>174702</v>
      </c>
      <c r="AI11" s="17">
        <f t="shared" si="5"/>
        <v>9650</v>
      </c>
      <c r="AK11" s="100">
        <f t="shared" si="18"/>
        <v>28495</v>
      </c>
      <c r="AL11" s="101">
        <f t="shared" si="19"/>
        <v>23215</v>
      </c>
    </row>
    <row r="12" spans="1:38" ht="39.950000000000003" customHeight="1">
      <c r="A12" s="194">
        <v>44201</v>
      </c>
      <c r="B12" s="16"/>
      <c r="C12" s="49">
        <v>58080</v>
      </c>
      <c r="D12" s="17">
        <f t="shared" si="6"/>
        <v>4060</v>
      </c>
      <c r="E12" s="49">
        <v>85704</v>
      </c>
      <c r="F12" s="17">
        <f t="shared" si="6"/>
        <v>5500</v>
      </c>
      <c r="G12" s="49">
        <v>836767</v>
      </c>
      <c r="H12" s="17">
        <f t="shared" ref="H12" si="28">(G12-G11)*10</f>
        <v>5040</v>
      </c>
      <c r="I12" s="17">
        <f t="shared" si="8"/>
        <v>2520</v>
      </c>
      <c r="J12" s="49">
        <v>79597</v>
      </c>
      <c r="K12" s="17">
        <f t="shared" ref="K12" si="29">(J12-J11)*10</f>
        <v>5220</v>
      </c>
      <c r="L12" s="49">
        <v>123280</v>
      </c>
      <c r="M12" s="17">
        <f t="shared" ref="M12" si="30">(L12-L11)*10</f>
        <v>7430</v>
      </c>
      <c r="N12" s="49">
        <v>806777</v>
      </c>
      <c r="O12" s="17">
        <f t="shared" si="0"/>
        <v>4790</v>
      </c>
      <c r="P12" s="17">
        <f t="shared" si="11"/>
        <v>2395</v>
      </c>
      <c r="Q12" s="49">
        <v>130124</v>
      </c>
      <c r="R12" s="17">
        <f t="shared" si="1"/>
        <v>540</v>
      </c>
      <c r="S12" s="17">
        <f t="shared" si="12"/>
        <v>270</v>
      </c>
      <c r="T12" s="49">
        <v>70585</v>
      </c>
      <c r="U12" s="17">
        <f t="shared" ref="U12" si="31">(T12-T11)*10</f>
        <v>30</v>
      </c>
      <c r="V12" s="17">
        <f t="shared" si="14"/>
        <v>15</v>
      </c>
      <c r="W12" s="49">
        <v>144570</v>
      </c>
      <c r="X12" s="17">
        <f t="shared" si="15"/>
        <v>80</v>
      </c>
      <c r="Y12" s="17">
        <f t="shared" si="16"/>
        <v>40</v>
      </c>
      <c r="Z12" s="49">
        <v>18031</v>
      </c>
      <c r="AA12" s="17">
        <f t="shared" si="17"/>
        <v>950</v>
      </c>
      <c r="AB12" s="49">
        <v>36064</v>
      </c>
      <c r="AC12" s="17">
        <f t="shared" si="2"/>
        <v>1870</v>
      </c>
      <c r="AD12" s="49">
        <v>65159</v>
      </c>
      <c r="AE12" s="17">
        <f t="shared" si="3"/>
        <v>3350</v>
      </c>
      <c r="AF12" s="49">
        <v>35767</v>
      </c>
      <c r="AG12" s="17">
        <f t="shared" si="4"/>
        <v>1780</v>
      </c>
      <c r="AH12" s="49">
        <v>175586</v>
      </c>
      <c r="AI12" s="17">
        <f t="shared" si="5"/>
        <v>8840</v>
      </c>
      <c r="AK12" s="100">
        <f t="shared" si="18"/>
        <v>27450</v>
      </c>
      <c r="AL12" s="101">
        <f t="shared" si="19"/>
        <v>22030</v>
      </c>
    </row>
    <row r="13" spans="1:38" ht="39.950000000000003" customHeight="1">
      <c r="A13" s="194">
        <v>44202</v>
      </c>
      <c r="B13" s="16"/>
      <c r="C13" s="49">
        <v>58496</v>
      </c>
      <c r="D13" s="17">
        <f t="shared" si="6"/>
        <v>4160</v>
      </c>
      <c r="E13" s="49">
        <v>86224</v>
      </c>
      <c r="F13" s="17">
        <f t="shared" si="6"/>
        <v>5200</v>
      </c>
      <c r="G13" s="49">
        <v>837054</v>
      </c>
      <c r="H13" s="17">
        <f t="shared" ref="H13" si="32">(G13-G12)*10</f>
        <v>2870</v>
      </c>
      <c r="I13" s="17">
        <f t="shared" si="8"/>
        <v>1435</v>
      </c>
      <c r="J13" s="49">
        <v>80127</v>
      </c>
      <c r="K13" s="17">
        <f t="shared" ref="K13" si="33">(J13-J12)*10</f>
        <v>5300</v>
      </c>
      <c r="L13" s="49">
        <v>124035</v>
      </c>
      <c r="M13" s="17">
        <f t="shared" ref="M13" si="34">(L13-L12)*10</f>
        <v>7550</v>
      </c>
      <c r="N13" s="49">
        <v>807525</v>
      </c>
      <c r="O13" s="17">
        <f t="shared" si="0"/>
        <v>7480</v>
      </c>
      <c r="P13" s="17">
        <f t="shared" si="11"/>
        <v>3740</v>
      </c>
      <c r="Q13" s="49">
        <v>130126</v>
      </c>
      <c r="R13" s="17">
        <f t="shared" si="1"/>
        <v>20</v>
      </c>
      <c r="S13" s="17">
        <f t="shared" si="12"/>
        <v>10</v>
      </c>
      <c r="T13" s="49">
        <v>70587</v>
      </c>
      <c r="U13" s="17">
        <f t="shared" ref="U13" si="35">(T13-T12)*10</f>
        <v>20</v>
      </c>
      <c r="V13" s="17">
        <f t="shared" si="14"/>
        <v>10</v>
      </c>
      <c r="W13" s="49">
        <v>144577</v>
      </c>
      <c r="X13" s="17">
        <f t="shared" si="15"/>
        <v>70</v>
      </c>
      <c r="Y13" s="17">
        <f t="shared" si="16"/>
        <v>35</v>
      </c>
      <c r="Z13" s="49">
        <v>18127</v>
      </c>
      <c r="AA13" s="17">
        <f t="shared" si="17"/>
        <v>960</v>
      </c>
      <c r="AB13" s="49">
        <v>36259</v>
      </c>
      <c r="AC13" s="17">
        <f t="shared" si="2"/>
        <v>1950</v>
      </c>
      <c r="AD13" s="49">
        <v>65494</v>
      </c>
      <c r="AE13" s="17">
        <f t="shared" si="3"/>
        <v>3350</v>
      </c>
      <c r="AF13" s="49">
        <v>35951</v>
      </c>
      <c r="AG13" s="17">
        <f t="shared" si="4"/>
        <v>1840</v>
      </c>
      <c r="AH13" s="49">
        <v>176465</v>
      </c>
      <c r="AI13" s="17">
        <f t="shared" si="5"/>
        <v>8790</v>
      </c>
      <c r="AK13" s="100">
        <f t="shared" si="18"/>
        <v>27440</v>
      </c>
      <c r="AL13" s="101">
        <f t="shared" si="19"/>
        <v>22120</v>
      </c>
    </row>
    <row r="14" spans="1:38" ht="39.950000000000003" customHeight="1">
      <c r="A14" s="194">
        <v>44203</v>
      </c>
      <c r="B14" s="16"/>
      <c r="C14" s="49">
        <v>58923</v>
      </c>
      <c r="D14" s="17">
        <f t="shared" si="6"/>
        <v>4270</v>
      </c>
      <c r="E14" s="49">
        <v>86761</v>
      </c>
      <c r="F14" s="17">
        <f t="shared" si="6"/>
        <v>5370</v>
      </c>
      <c r="G14" s="49">
        <v>837323</v>
      </c>
      <c r="H14" s="17">
        <f t="shared" ref="H14" si="36">(G14-G13)*10</f>
        <v>2690</v>
      </c>
      <c r="I14" s="17">
        <f t="shared" si="8"/>
        <v>1345</v>
      </c>
      <c r="J14" s="49">
        <v>80668</v>
      </c>
      <c r="K14" s="17">
        <f t="shared" ref="K14" si="37">(J14-J13)*10</f>
        <v>5410</v>
      </c>
      <c r="L14" s="49">
        <v>124797</v>
      </c>
      <c r="M14" s="17">
        <f t="shared" ref="M14" si="38">(L14-L13)*10</f>
        <v>7620</v>
      </c>
      <c r="N14" s="49">
        <v>808272</v>
      </c>
      <c r="O14" s="17">
        <f t="shared" si="0"/>
        <v>7470</v>
      </c>
      <c r="P14" s="17">
        <f t="shared" si="11"/>
        <v>3735</v>
      </c>
      <c r="Q14" s="49">
        <v>130128</v>
      </c>
      <c r="R14" s="17">
        <f t="shared" si="1"/>
        <v>20</v>
      </c>
      <c r="S14" s="17">
        <f t="shared" si="12"/>
        <v>10</v>
      </c>
      <c r="T14" s="49">
        <v>70589</v>
      </c>
      <c r="U14" s="17">
        <f t="shared" ref="U14" si="39">(T14-T13)*10</f>
        <v>20</v>
      </c>
      <c r="V14" s="17">
        <f t="shared" si="14"/>
        <v>10</v>
      </c>
      <c r="W14" s="49">
        <v>144585</v>
      </c>
      <c r="X14" s="17">
        <f t="shared" si="15"/>
        <v>80</v>
      </c>
      <c r="Y14" s="17">
        <f t="shared" si="16"/>
        <v>40</v>
      </c>
      <c r="Z14" s="49">
        <v>18221</v>
      </c>
      <c r="AA14" s="17">
        <f t="shared" si="17"/>
        <v>940</v>
      </c>
      <c r="AB14" s="49">
        <v>36449</v>
      </c>
      <c r="AC14" s="17">
        <f t="shared" si="2"/>
        <v>1900</v>
      </c>
      <c r="AD14" s="49">
        <v>65824</v>
      </c>
      <c r="AE14" s="17">
        <f t="shared" si="3"/>
        <v>3300</v>
      </c>
      <c r="AF14" s="49">
        <v>36131</v>
      </c>
      <c r="AG14" s="17">
        <f t="shared" si="4"/>
        <v>1800</v>
      </c>
      <c r="AH14" s="49">
        <v>177348</v>
      </c>
      <c r="AI14" s="17">
        <f t="shared" si="5"/>
        <v>8830</v>
      </c>
      <c r="AK14" s="100">
        <f t="shared" si="18"/>
        <v>27810</v>
      </c>
      <c r="AL14" s="101">
        <f t="shared" si="19"/>
        <v>21910</v>
      </c>
    </row>
    <row r="15" spans="1:38" ht="39.950000000000003" customHeight="1">
      <c r="A15" s="194">
        <v>44204</v>
      </c>
      <c r="B15" s="16"/>
      <c r="C15" s="49">
        <v>59651</v>
      </c>
      <c r="D15" s="17">
        <f t="shared" si="6"/>
        <v>7280</v>
      </c>
      <c r="E15" s="49">
        <v>87350</v>
      </c>
      <c r="F15" s="17">
        <f t="shared" si="6"/>
        <v>5890</v>
      </c>
      <c r="G15" s="49">
        <v>837805</v>
      </c>
      <c r="H15" s="17">
        <f t="shared" ref="H15" si="40">(G15-G14)*10</f>
        <v>4820</v>
      </c>
      <c r="I15" s="17">
        <f t="shared" si="8"/>
        <v>2410</v>
      </c>
      <c r="J15" s="49">
        <v>81195</v>
      </c>
      <c r="K15" s="17">
        <f t="shared" ref="K15" si="41">(J15-J14)*10</f>
        <v>5270</v>
      </c>
      <c r="L15" s="49">
        <v>125559</v>
      </c>
      <c r="M15" s="17">
        <f t="shared" ref="M15" si="42">(L15-L14)*10</f>
        <v>7620</v>
      </c>
      <c r="N15" s="49">
        <v>808737</v>
      </c>
      <c r="O15" s="17">
        <f t="shared" si="0"/>
        <v>4650</v>
      </c>
      <c r="P15" s="17">
        <f t="shared" si="11"/>
        <v>2325</v>
      </c>
      <c r="Q15" s="49">
        <v>130130</v>
      </c>
      <c r="R15" s="17">
        <f t="shared" si="1"/>
        <v>20</v>
      </c>
      <c r="S15" s="17">
        <f t="shared" si="12"/>
        <v>10</v>
      </c>
      <c r="T15" s="49">
        <v>70592</v>
      </c>
      <c r="U15" s="17">
        <f t="shared" ref="U15" si="43">(T15-T14)*10</f>
        <v>30</v>
      </c>
      <c r="V15" s="17">
        <f t="shared" si="14"/>
        <v>15</v>
      </c>
      <c r="W15" s="49">
        <v>144593</v>
      </c>
      <c r="X15" s="17">
        <f t="shared" si="15"/>
        <v>80</v>
      </c>
      <c r="Y15" s="17">
        <f t="shared" si="16"/>
        <v>40</v>
      </c>
      <c r="Z15" s="49">
        <v>18316</v>
      </c>
      <c r="AA15" s="17">
        <f t="shared" si="17"/>
        <v>950</v>
      </c>
      <c r="AB15" s="49">
        <v>36638</v>
      </c>
      <c r="AC15" s="17">
        <f t="shared" si="2"/>
        <v>1890</v>
      </c>
      <c r="AD15" s="49">
        <v>66162</v>
      </c>
      <c r="AE15" s="17">
        <f t="shared" si="3"/>
        <v>3380</v>
      </c>
      <c r="AF15" s="49">
        <v>36310</v>
      </c>
      <c r="AG15" s="17">
        <f t="shared" si="4"/>
        <v>1790</v>
      </c>
      <c r="AH15" s="49">
        <v>178497</v>
      </c>
      <c r="AI15" s="17">
        <f t="shared" si="5"/>
        <v>11490</v>
      </c>
      <c r="AK15" s="100">
        <f t="shared" si="18"/>
        <v>30860</v>
      </c>
      <c r="AL15" s="101">
        <f t="shared" si="19"/>
        <v>24300</v>
      </c>
    </row>
    <row r="16" spans="1:38" ht="39.950000000000003" customHeight="1">
      <c r="A16" s="194">
        <v>44205</v>
      </c>
      <c r="B16" s="16"/>
      <c r="C16" s="49">
        <v>60120</v>
      </c>
      <c r="D16" s="17">
        <f t="shared" si="6"/>
        <v>4690</v>
      </c>
      <c r="E16" s="49">
        <v>87900</v>
      </c>
      <c r="F16" s="17">
        <f t="shared" si="6"/>
        <v>5500</v>
      </c>
      <c r="G16" s="104">
        <v>838297</v>
      </c>
      <c r="H16" s="17">
        <f t="shared" ref="H16" si="44">(G16-G15)*10</f>
        <v>4920</v>
      </c>
      <c r="I16" s="17">
        <f t="shared" si="8"/>
        <v>2460</v>
      </c>
      <c r="J16" s="49">
        <v>81890</v>
      </c>
      <c r="K16" s="17">
        <f t="shared" ref="K16" si="45">(J16-J15)*10</f>
        <v>6950</v>
      </c>
      <c r="L16" s="49">
        <v>126132</v>
      </c>
      <c r="M16" s="17">
        <f t="shared" ref="M16" si="46">(L16-L15)*10</f>
        <v>5730</v>
      </c>
      <c r="N16" s="49">
        <v>809500</v>
      </c>
      <c r="O16" s="17">
        <f t="shared" si="0"/>
        <v>7630</v>
      </c>
      <c r="P16" s="17">
        <f t="shared" si="11"/>
        <v>3815</v>
      </c>
      <c r="Q16" s="49">
        <v>130132</v>
      </c>
      <c r="R16" s="17">
        <f t="shared" si="1"/>
        <v>20</v>
      </c>
      <c r="S16" s="17">
        <f t="shared" si="12"/>
        <v>10</v>
      </c>
      <c r="T16" s="49">
        <v>70594</v>
      </c>
      <c r="U16" s="17">
        <f t="shared" ref="U16" si="47">(T16-T15)*10</f>
        <v>20</v>
      </c>
      <c r="V16" s="17">
        <f t="shared" si="14"/>
        <v>10</v>
      </c>
      <c r="W16" s="49">
        <v>144600</v>
      </c>
      <c r="X16" s="17">
        <f t="shared" si="15"/>
        <v>70</v>
      </c>
      <c r="Y16" s="17">
        <f t="shared" si="16"/>
        <v>35</v>
      </c>
      <c r="Z16" s="49">
        <v>18410</v>
      </c>
      <c r="AA16" s="17">
        <f t="shared" si="17"/>
        <v>940</v>
      </c>
      <c r="AB16" s="49">
        <v>36800</v>
      </c>
      <c r="AC16" s="17">
        <f t="shared" si="2"/>
        <v>1620</v>
      </c>
      <c r="AD16" s="49">
        <v>66500</v>
      </c>
      <c r="AE16" s="17">
        <f t="shared" si="3"/>
        <v>3380</v>
      </c>
      <c r="AF16" s="49">
        <v>36480</v>
      </c>
      <c r="AG16" s="17">
        <f t="shared" si="4"/>
        <v>1700</v>
      </c>
      <c r="AH16" s="49">
        <v>180000</v>
      </c>
      <c r="AI16" s="17">
        <f t="shared" si="5"/>
        <v>15030</v>
      </c>
      <c r="AK16" s="100">
        <f t="shared" si="18"/>
        <v>29200</v>
      </c>
      <c r="AL16" s="101">
        <f t="shared" si="19"/>
        <v>29000</v>
      </c>
    </row>
    <row r="17" spans="1:38" ht="39.950000000000003" customHeight="1">
      <c r="A17" s="194">
        <v>44206</v>
      </c>
      <c r="B17" s="16"/>
      <c r="C17" s="49">
        <v>61043</v>
      </c>
      <c r="D17" s="17">
        <f t="shared" si="6"/>
        <v>9230</v>
      </c>
      <c r="E17" s="49">
        <v>88596</v>
      </c>
      <c r="F17" s="17">
        <f t="shared" si="6"/>
        <v>6960</v>
      </c>
      <c r="G17" s="104">
        <v>838424</v>
      </c>
      <c r="H17" s="17">
        <f t="shared" ref="H17" si="48">(G17-G16)*10</f>
        <v>1270</v>
      </c>
      <c r="I17" s="17">
        <f t="shared" si="8"/>
        <v>635</v>
      </c>
      <c r="J17" s="49">
        <v>82303</v>
      </c>
      <c r="K17" s="17">
        <f t="shared" ref="K17" si="49">(J17-J16)*10</f>
        <v>4130</v>
      </c>
      <c r="L17" s="49">
        <v>127076</v>
      </c>
      <c r="M17" s="17">
        <f t="shared" ref="M17" si="50">(L17-L16)*10</f>
        <v>9440</v>
      </c>
      <c r="N17" s="49">
        <v>810027</v>
      </c>
      <c r="O17" s="17">
        <f t="shared" si="0"/>
        <v>5270</v>
      </c>
      <c r="P17" s="17">
        <f t="shared" si="11"/>
        <v>2635</v>
      </c>
      <c r="Q17" s="49">
        <v>130134</v>
      </c>
      <c r="R17" s="17">
        <f t="shared" si="1"/>
        <v>20</v>
      </c>
      <c r="S17" s="17">
        <f t="shared" si="12"/>
        <v>10</v>
      </c>
      <c r="T17" s="49">
        <v>70596</v>
      </c>
      <c r="U17" s="17">
        <f t="shared" ref="U17" si="51">(T17-T16)*10</f>
        <v>20</v>
      </c>
      <c r="V17" s="17">
        <f t="shared" si="14"/>
        <v>10</v>
      </c>
      <c r="W17" s="49">
        <v>144608</v>
      </c>
      <c r="X17" s="17">
        <f t="shared" si="15"/>
        <v>80</v>
      </c>
      <c r="Y17" s="17">
        <f t="shared" si="16"/>
        <v>40</v>
      </c>
      <c r="Z17" s="49">
        <v>18516</v>
      </c>
      <c r="AA17" s="17">
        <f t="shared" si="17"/>
        <v>1060</v>
      </c>
      <c r="AB17" s="49">
        <v>36998</v>
      </c>
      <c r="AC17" s="17">
        <f t="shared" si="2"/>
        <v>1980</v>
      </c>
      <c r="AD17" s="49">
        <v>66818</v>
      </c>
      <c r="AE17" s="17">
        <f t="shared" si="3"/>
        <v>3180</v>
      </c>
      <c r="AF17" s="49">
        <v>36679</v>
      </c>
      <c r="AG17" s="17">
        <f t="shared" si="4"/>
        <v>1990</v>
      </c>
      <c r="AH17" s="49">
        <v>180801</v>
      </c>
      <c r="AI17" s="17">
        <f t="shared" si="5"/>
        <v>8010</v>
      </c>
      <c r="AK17" s="100">
        <f t="shared" si="18"/>
        <v>33090</v>
      </c>
      <c r="AL17" s="101">
        <f t="shared" si="19"/>
        <v>19550</v>
      </c>
    </row>
    <row r="18" spans="1:38" ht="39.950000000000003" customHeight="1">
      <c r="A18" s="194">
        <v>44207</v>
      </c>
      <c r="B18" s="16"/>
      <c r="C18" s="49">
        <v>61728</v>
      </c>
      <c r="D18" s="17">
        <f t="shared" si="6"/>
        <v>6850</v>
      </c>
      <c r="E18" s="49">
        <v>89231</v>
      </c>
      <c r="F18" s="17">
        <f t="shared" si="6"/>
        <v>6350</v>
      </c>
      <c r="G18" s="104">
        <v>838584</v>
      </c>
      <c r="H18" s="17">
        <f t="shared" ref="H18" si="52">(G18-G17)*10</f>
        <v>1600</v>
      </c>
      <c r="I18" s="17">
        <f t="shared" si="8"/>
        <v>800</v>
      </c>
      <c r="J18" s="49">
        <v>82888</v>
      </c>
      <c r="K18" s="17">
        <f t="shared" ref="K18" si="53">(J18-J17)*10</f>
        <v>5850</v>
      </c>
      <c r="L18" s="49">
        <v>127812</v>
      </c>
      <c r="M18" s="17">
        <f t="shared" ref="M18" si="54">(L18-L17)*10</f>
        <v>7360</v>
      </c>
      <c r="N18" s="49">
        <v>810610</v>
      </c>
      <c r="O18" s="17">
        <f t="shared" si="0"/>
        <v>5830</v>
      </c>
      <c r="P18" s="17">
        <f t="shared" si="11"/>
        <v>2915</v>
      </c>
      <c r="Q18" s="49">
        <v>130136</v>
      </c>
      <c r="R18" s="17">
        <f t="shared" si="1"/>
        <v>20</v>
      </c>
      <c r="S18" s="17">
        <f t="shared" si="12"/>
        <v>10</v>
      </c>
      <c r="T18" s="49">
        <v>70598</v>
      </c>
      <c r="U18" s="17">
        <f t="shared" ref="U18" si="55">(T18-T17)*10</f>
        <v>20</v>
      </c>
      <c r="V18" s="17">
        <f t="shared" si="14"/>
        <v>10</v>
      </c>
      <c r="W18" s="49">
        <v>144616</v>
      </c>
      <c r="X18" s="17">
        <f t="shared" si="15"/>
        <v>80</v>
      </c>
      <c r="Y18" s="17">
        <f t="shared" si="16"/>
        <v>40</v>
      </c>
      <c r="Z18" s="49">
        <v>18615</v>
      </c>
      <c r="AA18" s="17">
        <f t="shared" si="17"/>
        <v>990</v>
      </c>
      <c r="AB18" s="49">
        <v>37187</v>
      </c>
      <c r="AC18" s="17">
        <f t="shared" si="2"/>
        <v>1890</v>
      </c>
      <c r="AD18" s="49">
        <v>67146</v>
      </c>
      <c r="AE18" s="17">
        <f t="shared" si="3"/>
        <v>3280</v>
      </c>
      <c r="AF18" s="49">
        <v>36861</v>
      </c>
      <c r="AG18" s="17">
        <f t="shared" si="4"/>
        <v>1820</v>
      </c>
      <c r="AH18" s="49">
        <v>181889</v>
      </c>
      <c r="AI18" s="17">
        <f t="shared" si="5"/>
        <v>10880</v>
      </c>
      <c r="AK18" s="100">
        <f t="shared" si="18"/>
        <v>30185</v>
      </c>
      <c r="AL18" s="101">
        <f t="shared" si="19"/>
        <v>22635</v>
      </c>
    </row>
    <row r="19" spans="1:38" ht="39.950000000000003" customHeight="1">
      <c r="A19" s="194">
        <v>44208</v>
      </c>
      <c r="B19" s="16"/>
      <c r="C19" s="49">
        <v>62512</v>
      </c>
      <c r="D19" s="17">
        <f t="shared" si="6"/>
        <v>7840</v>
      </c>
      <c r="E19" s="49">
        <v>89839</v>
      </c>
      <c r="F19" s="17">
        <f t="shared" si="6"/>
        <v>6080</v>
      </c>
      <c r="G19" s="104">
        <v>838762</v>
      </c>
      <c r="H19" s="17">
        <f t="shared" ref="H19" si="56">(G19-G18)*10</f>
        <v>1780</v>
      </c>
      <c r="I19" s="17">
        <f t="shared" si="8"/>
        <v>890</v>
      </c>
      <c r="J19" s="49">
        <v>83473</v>
      </c>
      <c r="K19" s="17">
        <f t="shared" ref="K19" si="57">(J19-J18)*10</f>
        <v>5850</v>
      </c>
      <c r="L19" s="49">
        <v>128705</v>
      </c>
      <c r="M19" s="17">
        <f t="shared" ref="M19" si="58">(L19-L18)*10</f>
        <v>8930</v>
      </c>
      <c r="N19" s="49">
        <v>811153</v>
      </c>
      <c r="O19" s="17">
        <f t="shared" si="0"/>
        <v>5430</v>
      </c>
      <c r="P19" s="17">
        <f t="shared" si="11"/>
        <v>2715</v>
      </c>
      <c r="Q19" s="49">
        <v>130139</v>
      </c>
      <c r="R19" s="17">
        <f t="shared" si="1"/>
        <v>30</v>
      </c>
      <c r="S19" s="17">
        <f t="shared" si="12"/>
        <v>15</v>
      </c>
      <c r="T19" s="49">
        <v>70601</v>
      </c>
      <c r="U19" s="17">
        <f t="shared" ref="U19" si="59">(T19-T18)*10</f>
        <v>30</v>
      </c>
      <c r="V19" s="17">
        <f t="shared" si="14"/>
        <v>15</v>
      </c>
      <c r="W19" s="49">
        <v>144623</v>
      </c>
      <c r="X19" s="17">
        <f t="shared" si="15"/>
        <v>70</v>
      </c>
      <c r="Y19" s="17">
        <f t="shared" si="16"/>
        <v>35</v>
      </c>
      <c r="Z19" s="49">
        <v>18718</v>
      </c>
      <c r="AA19" s="17">
        <f t="shared" si="17"/>
        <v>1030</v>
      </c>
      <c r="AB19" s="49">
        <v>37381</v>
      </c>
      <c r="AC19" s="17">
        <f t="shared" si="2"/>
        <v>1940</v>
      </c>
      <c r="AD19" s="49">
        <v>67490</v>
      </c>
      <c r="AE19" s="17">
        <f t="shared" si="3"/>
        <v>3440</v>
      </c>
      <c r="AF19" s="49">
        <v>37055</v>
      </c>
      <c r="AG19" s="17">
        <f t="shared" si="4"/>
        <v>1940</v>
      </c>
      <c r="AH19" s="49">
        <v>183151</v>
      </c>
      <c r="AI19" s="17">
        <f t="shared" si="5"/>
        <v>12620</v>
      </c>
      <c r="AK19" s="100">
        <f t="shared" si="18"/>
        <v>32370</v>
      </c>
      <c r="AL19" s="101">
        <f t="shared" si="19"/>
        <v>24640</v>
      </c>
    </row>
    <row r="20" spans="1:38" ht="39.950000000000003" customHeight="1">
      <c r="A20" s="194">
        <v>44209</v>
      </c>
      <c r="B20" s="16"/>
      <c r="C20" s="49">
        <v>63336</v>
      </c>
      <c r="D20" s="17">
        <f t="shared" si="6"/>
        <v>8240</v>
      </c>
      <c r="E20" s="49">
        <v>90418</v>
      </c>
      <c r="F20" s="17">
        <f t="shared" si="6"/>
        <v>5790</v>
      </c>
      <c r="G20" s="49">
        <v>839101</v>
      </c>
      <c r="H20" s="17">
        <f t="shared" ref="H20" si="60">(G20-G19)*10</f>
        <v>3390</v>
      </c>
      <c r="I20" s="17">
        <f t="shared" si="8"/>
        <v>1695</v>
      </c>
      <c r="J20" s="49">
        <v>84116</v>
      </c>
      <c r="K20" s="17">
        <f t="shared" ref="K20" si="61">(J20-J19)*10</f>
        <v>6430</v>
      </c>
      <c r="L20" s="49">
        <v>129492</v>
      </c>
      <c r="M20" s="17">
        <f t="shared" ref="M20" si="62">(L20-L19)*10</f>
        <v>7870</v>
      </c>
      <c r="N20" s="49">
        <v>811754</v>
      </c>
      <c r="O20" s="17">
        <f t="shared" si="0"/>
        <v>6010</v>
      </c>
      <c r="P20" s="17">
        <f t="shared" si="11"/>
        <v>3005</v>
      </c>
      <c r="Q20" s="49">
        <v>130141</v>
      </c>
      <c r="R20" s="17">
        <f t="shared" si="1"/>
        <v>20</v>
      </c>
      <c r="S20" s="17">
        <f t="shared" si="12"/>
        <v>10</v>
      </c>
      <c r="T20" s="49">
        <v>70603</v>
      </c>
      <c r="U20" s="17">
        <f t="shared" ref="U20" si="63">(T20-T19)*10</f>
        <v>20</v>
      </c>
      <c r="V20" s="17">
        <f t="shared" si="14"/>
        <v>10</v>
      </c>
      <c r="W20" s="49">
        <v>144631</v>
      </c>
      <c r="X20" s="17">
        <f t="shared" si="15"/>
        <v>80</v>
      </c>
      <c r="Y20" s="17">
        <f t="shared" si="16"/>
        <v>40</v>
      </c>
      <c r="Z20" s="49">
        <v>18821</v>
      </c>
      <c r="AA20" s="17">
        <f t="shared" si="17"/>
        <v>1030</v>
      </c>
      <c r="AB20" s="49">
        <v>37563</v>
      </c>
      <c r="AC20" s="17">
        <f t="shared" si="2"/>
        <v>1820</v>
      </c>
      <c r="AD20" s="49">
        <v>67814</v>
      </c>
      <c r="AE20" s="17">
        <f t="shared" si="3"/>
        <v>3240</v>
      </c>
      <c r="AF20" s="49">
        <v>37239</v>
      </c>
      <c r="AG20" s="17">
        <f t="shared" si="4"/>
        <v>1840</v>
      </c>
      <c r="AH20" s="49">
        <v>184424</v>
      </c>
      <c r="AI20" s="17">
        <f t="shared" si="5"/>
        <v>12730</v>
      </c>
      <c r="AK20" s="100">
        <f t="shared" si="18"/>
        <v>33090</v>
      </c>
      <c r="AL20" s="101">
        <f t="shared" si="19"/>
        <v>25420</v>
      </c>
    </row>
    <row r="21" spans="1:38" ht="39.950000000000003" customHeight="1">
      <c r="A21" s="194">
        <v>44210</v>
      </c>
      <c r="B21" s="16"/>
      <c r="C21" s="49">
        <v>64129</v>
      </c>
      <c r="D21" s="17">
        <f t="shared" si="6"/>
        <v>7930</v>
      </c>
      <c r="E21" s="49">
        <v>91009</v>
      </c>
      <c r="F21" s="17">
        <f t="shared" si="6"/>
        <v>5910</v>
      </c>
      <c r="G21" s="49">
        <v>839373</v>
      </c>
      <c r="H21" s="17">
        <f t="shared" ref="H21" si="64">(G21-G20)*10</f>
        <v>2720</v>
      </c>
      <c r="I21" s="17">
        <f t="shared" si="8"/>
        <v>1360</v>
      </c>
      <c r="J21" s="49">
        <v>84759</v>
      </c>
      <c r="K21" s="17">
        <f t="shared" ref="K21" si="65">(J21-J20)*10</f>
        <v>6430</v>
      </c>
      <c r="L21" s="49">
        <v>130283</v>
      </c>
      <c r="M21" s="17">
        <f t="shared" ref="M21" si="66">(L21-L20)*10</f>
        <v>7910</v>
      </c>
      <c r="N21" s="49">
        <v>812458</v>
      </c>
      <c r="O21" s="17">
        <f t="shared" si="0"/>
        <v>7040</v>
      </c>
      <c r="P21" s="17">
        <f t="shared" si="11"/>
        <v>3520</v>
      </c>
      <c r="Q21" s="49">
        <v>130143</v>
      </c>
      <c r="R21" s="17">
        <f t="shared" si="1"/>
        <v>20</v>
      </c>
      <c r="S21" s="17">
        <f t="shared" si="12"/>
        <v>10</v>
      </c>
      <c r="T21" s="49">
        <v>70605</v>
      </c>
      <c r="U21" s="17">
        <f t="shared" ref="U21" si="67">(T21-T20)*10</f>
        <v>20</v>
      </c>
      <c r="V21" s="17">
        <f t="shared" si="14"/>
        <v>10</v>
      </c>
      <c r="W21" s="49">
        <v>144639</v>
      </c>
      <c r="X21" s="17">
        <f t="shared" si="15"/>
        <v>80</v>
      </c>
      <c r="Y21" s="17">
        <f t="shared" si="16"/>
        <v>40</v>
      </c>
      <c r="Z21" s="49">
        <v>18924</v>
      </c>
      <c r="AA21" s="17">
        <f t="shared" si="17"/>
        <v>1030</v>
      </c>
      <c r="AB21" s="49">
        <v>37759</v>
      </c>
      <c r="AC21" s="17">
        <f t="shared" si="2"/>
        <v>1960</v>
      </c>
      <c r="AD21" s="49">
        <v>68160</v>
      </c>
      <c r="AE21" s="17">
        <f t="shared" si="3"/>
        <v>3460</v>
      </c>
      <c r="AF21" s="49">
        <v>37435</v>
      </c>
      <c r="AG21" s="17">
        <f t="shared" si="4"/>
        <v>1960</v>
      </c>
      <c r="AH21" s="49">
        <v>185770</v>
      </c>
      <c r="AI21" s="17">
        <f t="shared" si="5"/>
        <v>13460</v>
      </c>
      <c r="AK21" s="100">
        <f t="shared" si="18"/>
        <v>33120</v>
      </c>
      <c r="AL21" s="101">
        <f t="shared" si="19"/>
        <v>26810</v>
      </c>
    </row>
    <row r="22" spans="1:38" ht="39.950000000000003" customHeight="1">
      <c r="A22" s="194">
        <v>44211</v>
      </c>
      <c r="B22" s="16"/>
      <c r="C22" s="49">
        <v>64901</v>
      </c>
      <c r="D22" s="17">
        <f t="shared" si="6"/>
        <v>7720</v>
      </c>
      <c r="E22" s="49">
        <v>91591</v>
      </c>
      <c r="F22" s="17">
        <f t="shared" si="6"/>
        <v>5820</v>
      </c>
      <c r="G22" s="49">
        <v>839926</v>
      </c>
      <c r="H22" s="17">
        <f t="shared" ref="H22" si="68">(G22-G21)*10</f>
        <v>5530</v>
      </c>
      <c r="I22" s="17">
        <f t="shared" si="8"/>
        <v>2765</v>
      </c>
      <c r="J22" s="49">
        <v>85369</v>
      </c>
      <c r="K22" s="17">
        <f t="shared" ref="K22" si="69">(J22-J21)*10</f>
        <v>6100</v>
      </c>
      <c r="L22" s="49">
        <v>131032</v>
      </c>
      <c r="M22" s="17">
        <f t="shared" ref="M22" si="70">(L22-L21)*10</f>
        <v>7490</v>
      </c>
      <c r="N22" s="49">
        <v>812989</v>
      </c>
      <c r="O22" s="17">
        <f t="shared" si="0"/>
        <v>5310</v>
      </c>
      <c r="P22" s="17">
        <f t="shared" si="11"/>
        <v>2655</v>
      </c>
      <c r="Q22" s="49">
        <v>130148</v>
      </c>
      <c r="R22" s="17">
        <f t="shared" si="1"/>
        <v>50</v>
      </c>
      <c r="S22" s="17">
        <f t="shared" si="12"/>
        <v>25</v>
      </c>
      <c r="T22" s="49">
        <v>70608</v>
      </c>
      <c r="U22" s="17">
        <f t="shared" ref="U22" si="71">(T22-T21)*10</f>
        <v>30</v>
      </c>
      <c r="V22" s="17">
        <f t="shared" si="14"/>
        <v>15</v>
      </c>
      <c r="W22" s="49">
        <v>144646</v>
      </c>
      <c r="X22" s="17">
        <f t="shared" si="15"/>
        <v>70</v>
      </c>
      <c r="Y22" s="17">
        <f t="shared" si="16"/>
        <v>35</v>
      </c>
      <c r="Z22" s="49">
        <v>19015</v>
      </c>
      <c r="AA22" s="17">
        <f t="shared" si="17"/>
        <v>910</v>
      </c>
      <c r="AB22" s="49">
        <v>37934</v>
      </c>
      <c r="AC22" s="17">
        <f t="shared" si="2"/>
        <v>1750</v>
      </c>
      <c r="AD22" s="49">
        <v>68481</v>
      </c>
      <c r="AE22" s="17">
        <f t="shared" si="3"/>
        <v>3210</v>
      </c>
      <c r="AF22" s="49">
        <v>37609</v>
      </c>
      <c r="AG22" s="17">
        <f t="shared" si="4"/>
        <v>1740</v>
      </c>
      <c r="AH22" s="49">
        <v>187029</v>
      </c>
      <c r="AI22" s="17">
        <f t="shared" si="5"/>
        <v>12590</v>
      </c>
      <c r="AK22" s="100">
        <f t="shared" si="18"/>
        <v>32625</v>
      </c>
      <c r="AL22" s="101">
        <f t="shared" si="19"/>
        <v>25695</v>
      </c>
    </row>
    <row r="23" spans="1:38" ht="39.950000000000003" customHeight="1">
      <c r="A23" s="194">
        <v>44212</v>
      </c>
      <c r="B23" s="16"/>
      <c r="C23" s="49">
        <v>65718</v>
      </c>
      <c r="D23" s="17">
        <f t="shared" si="6"/>
        <v>8170</v>
      </c>
      <c r="E23" s="49">
        <v>92237</v>
      </c>
      <c r="F23" s="17">
        <f t="shared" si="6"/>
        <v>6460</v>
      </c>
      <c r="G23" s="49">
        <v>840502</v>
      </c>
      <c r="H23" s="17">
        <f t="shared" ref="H23" si="72">(G23-G22)*10</f>
        <v>5760</v>
      </c>
      <c r="I23" s="17">
        <f t="shared" si="8"/>
        <v>2880</v>
      </c>
      <c r="J23" s="49">
        <v>86027</v>
      </c>
      <c r="K23" s="17">
        <f t="shared" ref="K23" si="73">(J23-J22)*10</f>
        <v>6580</v>
      </c>
      <c r="L23" s="49">
        <v>131871</v>
      </c>
      <c r="M23" s="17">
        <f t="shared" ref="M23" si="74">(L23-L22)*10</f>
        <v>8390</v>
      </c>
      <c r="N23" s="49">
        <v>813568</v>
      </c>
      <c r="O23" s="17">
        <f t="shared" si="0"/>
        <v>5790</v>
      </c>
      <c r="P23" s="17">
        <f t="shared" si="11"/>
        <v>2895</v>
      </c>
      <c r="Q23" s="49">
        <v>130150</v>
      </c>
      <c r="R23" s="17">
        <f t="shared" si="1"/>
        <v>20</v>
      </c>
      <c r="S23" s="17">
        <f t="shared" si="12"/>
        <v>10</v>
      </c>
      <c r="T23" s="49">
        <v>70610</v>
      </c>
      <c r="U23" s="17">
        <f t="shared" ref="U23" si="75">(T23-T22)*10</f>
        <v>20</v>
      </c>
      <c r="V23" s="17">
        <f t="shared" si="14"/>
        <v>10</v>
      </c>
      <c r="W23" s="49">
        <v>144653</v>
      </c>
      <c r="X23" s="17">
        <f t="shared" si="15"/>
        <v>70</v>
      </c>
      <c r="Y23" s="17">
        <f t="shared" si="16"/>
        <v>35</v>
      </c>
      <c r="Z23" s="49">
        <v>19106</v>
      </c>
      <c r="AA23" s="17">
        <f t="shared" si="17"/>
        <v>910</v>
      </c>
      <c r="AB23" s="49">
        <v>38107</v>
      </c>
      <c r="AC23" s="17">
        <f t="shared" si="2"/>
        <v>1730</v>
      </c>
      <c r="AD23" s="49">
        <v>68806</v>
      </c>
      <c r="AE23" s="17">
        <f t="shared" si="3"/>
        <v>3250</v>
      </c>
      <c r="AF23" s="49">
        <v>37786</v>
      </c>
      <c r="AG23" s="17">
        <f t="shared" si="4"/>
        <v>1770</v>
      </c>
      <c r="AH23" s="49">
        <v>188380</v>
      </c>
      <c r="AI23" s="17">
        <f t="shared" si="5"/>
        <v>13510</v>
      </c>
      <c r="AK23" s="100">
        <f t="shared" si="18"/>
        <v>35430</v>
      </c>
      <c r="AL23" s="101">
        <f t="shared" si="19"/>
        <v>27000</v>
      </c>
    </row>
    <row r="24" spans="1:38" ht="39.950000000000003" customHeight="1">
      <c r="A24" s="194">
        <v>44213</v>
      </c>
      <c r="B24" s="16"/>
      <c r="C24" s="49">
        <v>66513</v>
      </c>
      <c r="D24" s="17">
        <f t="shared" si="6"/>
        <v>7950</v>
      </c>
      <c r="E24" s="49">
        <v>92883</v>
      </c>
      <c r="F24" s="17">
        <f t="shared" si="6"/>
        <v>6460</v>
      </c>
      <c r="G24" s="49">
        <v>841271</v>
      </c>
      <c r="H24" s="17">
        <f t="shared" ref="H24" si="76">(G24-G23)*10</f>
        <v>7690</v>
      </c>
      <c r="I24" s="17">
        <f t="shared" si="8"/>
        <v>3845</v>
      </c>
      <c r="J24" s="49">
        <v>86667</v>
      </c>
      <c r="K24" s="17">
        <f t="shared" ref="K24:K38" si="77">(J24-J23)*10</f>
        <v>6400</v>
      </c>
      <c r="L24" s="49">
        <v>132681</v>
      </c>
      <c r="M24" s="17">
        <f t="shared" ref="M24:M38" si="78">(L24-L23)*10</f>
        <v>8100</v>
      </c>
      <c r="N24" s="49">
        <v>813930</v>
      </c>
      <c r="O24" s="17">
        <f t="shared" si="0"/>
        <v>3620</v>
      </c>
      <c r="P24" s="17">
        <f t="shared" si="11"/>
        <v>1810</v>
      </c>
      <c r="Q24" s="49">
        <v>130152</v>
      </c>
      <c r="R24" s="17">
        <f t="shared" si="1"/>
        <v>20</v>
      </c>
      <c r="S24" s="17">
        <f t="shared" si="12"/>
        <v>10</v>
      </c>
      <c r="T24" s="49">
        <v>70612</v>
      </c>
      <c r="U24" s="17">
        <f t="shared" ref="U24" si="79">(T24-T23)*10</f>
        <v>20</v>
      </c>
      <c r="V24" s="17">
        <f t="shared" si="14"/>
        <v>10</v>
      </c>
      <c r="W24" s="49">
        <v>144661</v>
      </c>
      <c r="X24" s="17">
        <f t="shared" si="15"/>
        <v>80</v>
      </c>
      <c r="Y24" s="17">
        <f t="shared" si="16"/>
        <v>40</v>
      </c>
      <c r="Z24" s="49">
        <v>19192</v>
      </c>
      <c r="AA24" s="17">
        <f t="shared" si="17"/>
        <v>860</v>
      </c>
      <c r="AB24" s="49">
        <v>38277</v>
      </c>
      <c r="AC24" s="17">
        <f t="shared" si="2"/>
        <v>1700</v>
      </c>
      <c r="AD24" s="49">
        <v>69122</v>
      </c>
      <c r="AE24" s="17">
        <f t="shared" si="3"/>
        <v>3160</v>
      </c>
      <c r="AF24" s="49">
        <v>37963</v>
      </c>
      <c r="AG24" s="17">
        <f t="shared" si="4"/>
        <v>1770</v>
      </c>
      <c r="AH24" s="49">
        <v>189740</v>
      </c>
      <c r="AI24" s="17">
        <f t="shared" si="5"/>
        <v>13600</v>
      </c>
      <c r="AK24" s="100">
        <f t="shared" si="18"/>
        <v>34625</v>
      </c>
      <c r="AL24" s="101">
        <f t="shared" si="19"/>
        <v>26805</v>
      </c>
    </row>
    <row r="25" spans="1:38" ht="39.950000000000003" customHeight="1">
      <c r="A25" s="194">
        <v>44214</v>
      </c>
      <c r="B25" s="16"/>
      <c r="C25" s="49">
        <v>67304</v>
      </c>
      <c r="D25" s="17">
        <f t="shared" si="6"/>
        <v>7910</v>
      </c>
      <c r="E25" s="49">
        <v>93560</v>
      </c>
      <c r="F25" s="17">
        <f t="shared" si="6"/>
        <v>6770</v>
      </c>
      <c r="G25" s="49">
        <v>841960</v>
      </c>
      <c r="H25" s="17">
        <f t="shared" ref="H25:H35" si="80">(G25-G24)*10</f>
        <v>6890</v>
      </c>
      <c r="I25" s="17">
        <f t="shared" ref="I25:I35" si="81">H25*50%</f>
        <v>3445</v>
      </c>
      <c r="J25" s="49">
        <v>87318</v>
      </c>
      <c r="K25" s="17">
        <f t="shared" si="77"/>
        <v>6510</v>
      </c>
      <c r="L25" s="49">
        <v>133508</v>
      </c>
      <c r="M25" s="17">
        <f t="shared" si="78"/>
        <v>8270</v>
      </c>
      <c r="N25" s="49">
        <v>814269</v>
      </c>
      <c r="O25" s="17">
        <f t="shared" ref="O25:O35" si="82">(N25-N24)*10</f>
        <v>3390</v>
      </c>
      <c r="P25" s="17">
        <f t="shared" ref="P25:P35" si="83">O25*50%</f>
        <v>1695</v>
      </c>
      <c r="Q25" s="49">
        <v>130154</v>
      </c>
      <c r="R25" s="17">
        <f t="shared" ref="R25:R35" si="84">(Q25-Q24)*10</f>
        <v>20</v>
      </c>
      <c r="S25" s="17">
        <f t="shared" ref="S25:S35" si="85">R25*50%</f>
        <v>10</v>
      </c>
      <c r="T25" s="49">
        <v>70614</v>
      </c>
      <c r="U25" s="17">
        <f t="shared" ref="U25:U35" si="86">(T25-T24)*10</f>
        <v>20</v>
      </c>
      <c r="V25" s="17">
        <f t="shared" ref="V25:V35" si="87">U25*50%</f>
        <v>10</v>
      </c>
      <c r="W25" s="49">
        <v>144669</v>
      </c>
      <c r="X25" s="17">
        <f t="shared" si="15"/>
        <v>80</v>
      </c>
      <c r="Y25" s="17">
        <f t="shared" ref="Y25:Y35" si="88">X25*50%</f>
        <v>40</v>
      </c>
      <c r="Z25" s="49">
        <v>19288</v>
      </c>
      <c r="AA25" s="17">
        <f t="shared" si="17"/>
        <v>960</v>
      </c>
      <c r="AB25" s="49">
        <v>38458</v>
      </c>
      <c r="AC25" s="17">
        <f t="shared" si="2"/>
        <v>1810</v>
      </c>
      <c r="AD25" s="49">
        <v>69456</v>
      </c>
      <c r="AE25" s="17">
        <f t="shared" si="3"/>
        <v>3340</v>
      </c>
      <c r="AF25" s="49">
        <v>38146</v>
      </c>
      <c r="AG25" s="17">
        <f t="shared" si="4"/>
        <v>1830</v>
      </c>
      <c r="AH25" s="49">
        <v>191120</v>
      </c>
      <c r="AI25" s="17">
        <f t="shared" si="5"/>
        <v>13800</v>
      </c>
      <c r="AK25" s="100">
        <f t="shared" ref="AK25:AK35" si="89">SUM(D25,F25,I25,K25,M25,P25,S25,V25,Y25)</f>
        <v>34660</v>
      </c>
      <c r="AL25" s="101">
        <f t="shared" si="19"/>
        <v>26940</v>
      </c>
    </row>
    <row r="26" spans="1:38" ht="39.950000000000003" customHeight="1">
      <c r="A26" s="194">
        <v>44215</v>
      </c>
      <c r="B26" s="16"/>
      <c r="C26" s="49">
        <v>68075</v>
      </c>
      <c r="D26" s="17">
        <f t="shared" ref="D26:D38" si="90">(C26-C25)*10</f>
        <v>7710</v>
      </c>
      <c r="E26" s="49">
        <v>94194</v>
      </c>
      <c r="F26" s="17">
        <f t="shared" ref="F26:F38" si="91">(E26-E25)*10</f>
        <v>6340</v>
      </c>
      <c r="G26" s="49">
        <v>842593</v>
      </c>
      <c r="H26" s="17">
        <f t="shared" si="80"/>
        <v>6330</v>
      </c>
      <c r="I26" s="17">
        <f t="shared" si="81"/>
        <v>3165</v>
      </c>
      <c r="J26" s="49">
        <v>87921</v>
      </c>
      <c r="K26" s="17">
        <f t="shared" si="77"/>
        <v>6030</v>
      </c>
      <c r="L26" s="49">
        <v>134308</v>
      </c>
      <c r="M26" s="17">
        <f t="shared" si="78"/>
        <v>8000</v>
      </c>
      <c r="N26" s="49">
        <v>814625</v>
      </c>
      <c r="O26" s="17">
        <f t="shared" si="82"/>
        <v>3560</v>
      </c>
      <c r="P26" s="17">
        <f t="shared" si="83"/>
        <v>1780</v>
      </c>
      <c r="Q26" s="49">
        <v>130156</v>
      </c>
      <c r="R26" s="17">
        <f t="shared" si="84"/>
        <v>20</v>
      </c>
      <c r="S26" s="17">
        <f t="shared" si="85"/>
        <v>10</v>
      </c>
      <c r="T26" s="49">
        <v>70617</v>
      </c>
      <c r="U26" s="17">
        <f t="shared" si="86"/>
        <v>30</v>
      </c>
      <c r="V26" s="17">
        <f t="shared" si="87"/>
        <v>15</v>
      </c>
      <c r="W26" s="49">
        <v>144676</v>
      </c>
      <c r="X26" s="17">
        <f t="shared" si="15"/>
        <v>70</v>
      </c>
      <c r="Y26" s="17">
        <f t="shared" si="88"/>
        <v>35</v>
      </c>
      <c r="Z26" s="49">
        <v>19382</v>
      </c>
      <c r="AA26" s="17">
        <f t="shared" si="17"/>
        <v>940</v>
      </c>
      <c r="AB26" s="49">
        <v>38641</v>
      </c>
      <c r="AC26" s="17">
        <f t="shared" si="2"/>
        <v>1830</v>
      </c>
      <c r="AD26" s="49">
        <v>69794</v>
      </c>
      <c r="AE26" s="17">
        <f t="shared" si="3"/>
        <v>3380</v>
      </c>
      <c r="AF26" s="49">
        <v>38328</v>
      </c>
      <c r="AG26" s="17">
        <f t="shared" si="4"/>
        <v>1820</v>
      </c>
      <c r="AH26" s="49">
        <v>192478</v>
      </c>
      <c r="AI26" s="17">
        <f t="shared" si="5"/>
        <v>13580</v>
      </c>
      <c r="AK26" s="100">
        <f t="shared" si="89"/>
        <v>33085</v>
      </c>
      <c r="AL26" s="101">
        <f t="shared" si="19"/>
        <v>26555</v>
      </c>
    </row>
    <row r="27" spans="1:38" ht="39.950000000000003" customHeight="1">
      <c r="A27" s="194">
        <v>44216</v>
      </c>
      <c r="B27" s="16"/>
      <c r="C27" s="49">
        <v>68565</v>
      </c>
      <c r="D27" s="17">
        <f t="shared" si="90"/>
        <v>4900</v>
      </c>
      <c r="E27" s="49">
        <v>94797</v>
      </c>
      <c r="F27" s="17">
        <f t="shared" si="91"/>
        <v>6030</v>
      </c>
      <c r="G27" s="49">
        <v>843360</v>
      </c>
      <c r="H27" s="17">
        <f t="shared" si="80"/>
        <v>7670</v>
      </c>
      <c r="I27" s="17">
        <f t="shared" si="81"/>
        <v>3835</v>
      </c>
      <c r="J27" s="49">
        <v>88441</v>
      </c>
      <c r="K27" s="17">
        <f t="shared" si="77"/>
        <v>5200</v>
      </c>
      <c r="L27" s="49">
        <v>135120</v>
      </c>
      <c r="M27" s="17">
        <f t="shared" si="78"/>
        <v>8120</v>
      </c>
      <c r="N27" s="49">
        <v>814997</v>
      </c>
      <c r="O27" s="17">
        <f t="shared" si="82"/>
        <v>3720</v>
      </c>
      <c r="P27" s="17">
        <f t="shared" si="83"/>
        <v>1860</v>
      </c>
      <c r="Q27" s="49">
        <v>130158</v>
      </c>
      <c r="R27" s="17">
        <f t="shared" si="84"/>
        <v>20</v>
      </c>
      <c r="S27" s="17">
        <f t="shared" si="85"/>
        <v>10</v>
      </c>
      <c r="T27" s="49">
        <v>70619</v>
      </c>
      <c r="U27" s="17">
        <f t="shared" si="86"/>
        <v>20</v>
      </c>
      <c r="V27" s="17">
        <f t="shared" si="87"/>
        <v>10</v>
      </c>
      <c r="W27" s="49">
        <v>144684</v>
      </c>
      <c r="X27" s="17">
        <f t="shared" si="15"/>
        <v>80</v>
      </c>
      <c r="Y27" s="17">
        <f t="shared" si="88"/>
        <v>40</v>
      </c>
      <c r="Z27" s="49">
        <v>19478</v>
      </c>
      <c r="AA27" s="17">
        <f t="shared" si="17"/>
        <v>960</v>
      </c>
      <c r="AB27" s="49">
        <v>38828</v>
      </c>
      <c r="AC27" s="17">
        <f t="shared" si="2"/>
        <v>1870</v>
      </c>
      <c r="AD27" s="49">
        <v>70130</v>
      </c>
      <c r="AE27" s="17">
        <f t="shared" si="3"/>
        <v>3360</v>
      </c>
      <c r="AF27" s="49">
        <v>38511</v>
      </c>
      <c r="AG27" s="17">
        <f t="shared" si="4"/>
        <v>1830</v>
      </c>
      <c r="AH27" s="49">
        <v>193525</v>
      </c>
      <c r="AI27" s="17">
        <f t="shared" si="5"/>
        <v>10470</v>
      </c>
      <c r="AK27" s="100">
        <f t="shared" si="89"/>
        <v>30005</v>
      </c>
      <c r="AL27" s="101">
        <f t="shared" si="19"/>
        <v>24245</v>
      </c>
    </row>
    <row r="28" spans="1:38" ht="39.950000000000003" customHeight="1">
      <c r="A28" s="194">
        <v>44217</v>
      </c>
      <c r="B28" s="16"/>
      <c r="C28" s="49">
        <v>68893</v>
      </c>
      <c r="D28" s="17">
        <f t="shared" si="90"/>
        <v>3280</v>
      </c>
      <c r="E28" s="49">
        <v>95364</v>
      </c>
      <c r="F28" s="17">
        <f t="shared" si="91"/>
        <v>5670</v>
      </c>
      <c r="G28" s="49">
        <v>844167</v>
      </c>
      <c r="H28" s="17">
        <f t="shared" si="80"/>
        <v>8070</v>
      </c>
      <c r="I28" s="17">
        <f t="shared" si="81"/>
        <v>4035</v>
      </c>
      <c r="J28" s="49">
        <v>88980</v>
      </c>
      <c r="K28" s="17">
        <f t="shared" si="77"/>
        <v>5390</v>
      </c>
      <c r="L28" s="49">
        <v>135958</v>
      </c>
      <c r="M28" s="17">
        <f t="shared" si="78"/>
        <v>8380</v>
      </c>
      <c r="N28" s="49">
        <v>815392</v>
      </c>
      <c r="O28" s="17">
        <f t="shared" si="82"/>
        <v>3950</v>
      </c>
      <c r="P28" s="17">
        <f t="shared" si="83"/>
        <v>1975</v>
      </c>
      <c r="Q28" s="49">
        <v>130161</v>
      </c>
      <c r="R28" s="17">
        <f t="shared" si="84"/>
        <v>30</v>
      </c>
      <c r="S28" s="17">
        <f t="shared" si="85"/>
        <v>15</v>
      </c>
      <c r="T28" s="49">
        <v>70621</v>
      </c>
      <c r="U28" s="17">
        <f t="shared" si="86"/>
        <v>20</v>
      </c>
      <c r="V28" s="17">
        <f t="shared" si="87"/>
        <v>10</v>
      </c>
      <c r="W28" s="49">
        <v>144692</v>
      </c>
      <c r="X28" s="17">
        <f t="shared" si="15"/>
        <v>80</v>
      </c>
      <c r="Y28" s="17">
        <f t="shared" si="88"/>
        <v>40</v>
      </c>
      <c r="Z28" s="49">
        <v>19583</v>
      </c>
      <c r="AA28" s="17">
        <f t="shared" si="17"/>
        <v>1050</v>
      </c>
      <c r="AB28" s="49">
        <v>39013</v>
      </c>
      <c r="AC28" s="17">
        <f t="shared" si="2"/>
        <v>1850</v>
      </c>
      <c r="AD28" s="49">
        <v>70469</v>
      </c>
      <c r="AE28" s="17">
        <f t="shared" si="3"/>
        <v>3390</v>
      </c>
      <c r="AF28" s="49">
        <v>38691</v>
      </c>
      <c r="AG28" s="17">
        <f t="shared" si="4"/>
        <v>1800</v>
      </c>
      <c r="AH28" s="49">
        <v>194383</v>
      </c>
      <c r="AI28" s="17">
        <f t="shared" si="5"/>
        <v>8580</v>
      </c>
      <c r="AK28" s="100">
        <f t="shared" si="89"/>
        <v>28795</v>
      </c>
      <c r="AL28" s="101">
        <f t="shared" si="19"/>
        <v>22745</v>
      </c>
    </row>
    <row r="29" spans="1:38" ht="39.950000000000003" customHeight="1">
      <c r="A29" s="194">
        <v>44218</v>
      </c>
      <c r="B29" s="16"/>
      <c r="C29" s="49">
        <v>69245</v>
      </c>
      <c r="D29" s="17">
        <f t="shared" si="90"/>
        <v>3520</v>
      </c>
      <c r="E29" s="49">
        <v>95990</v>
      </c>
      <c r="F29" s="17">
        <f t="shared" si="91"/>
        <v>6260</v>
      </c>
      <c r="G29" s="49">
        <v>845210</v>
      </c>
      <c r="H29" s="17">
        <f t="shared" si="80"/>
        <v>10430</v>
      </c>
      <c r="I29" s="17">
        <f t="shared" si="81"/>
        <v>5215</v>
      </c>
      <c r="J29" s="49">
        <v>89488</v>
      </c>
      <c r="K29" s="17">
        <f t="shared" si="77"/>
        <v>5080</v>
      </c>
      <c r="L29" s="49">
        <v>136753</v>
      </c>
      <c r="M29" s="17">
        <f t="shared" si="78"/>
        <v>7950</v>
      </c>
      <c r="N29" s="49">
        <v>815791</v>
      </c>
      <c r="O29" s="17">
        <f t="shared" si="82"/>
        <v>3990</v>
      </c>
      <c r="P29" s="17">
        <f t="shared" si="83"/>
        <v>1995</v>
      </c>
      <c r="Q29" s="49">
        <v>130163</v>
      </c>
      <c r="R29" s="17">
        <f t="shared" si="84"/>
        <v>20</v>
      </c>
      <c r="S29" s="17">
        <f t="shared" si="85"/>
        <v>10</v>
      </c>
      <c r="T29" s="49">
        <v>70623</v>
      </c>
      <c r="U29" s="17">
        <f t="shared" si="86"/>
        <v>20</v>
      </c>
      <c r="V29" s="17">
        <f t="shared" si="87"/>
        <v>10</v>
      </c>
      <c r="W29" s="49">
        <v>144699</v>
      </c>
      <c r="X29" s="17">
        <f t="shared" si="15"/>
        <v>70</v>
      </c>
      <c r="Y29" s="17">
        <f t="shared" si="88"/>
        <v>35</v>
      </c>
      <c r="Z29" s="49">
        <v>19668</v>
      </c>
      <c r="AA29" s="17">
        <f t="shared" si="17"/>
        <v>850</v>
      </c>
      <c r="AB29" s="49">
        <v>39190</v>
      </c>
      <c r="AC29" s="17">
        <f t="shared" si="2"/>
        <v>1770</v>
      </c>
      <c r="AD29" s="49">
        <v>70813</v>
      </c>
      <c r="AE29" s="17">
        <f t="shared" si="3"/>
        <v>3440</v>
      </c>
      <c r="AF29" s="49">
        <v>38869</v>
      </c>
      <c r="AG29" s="17">
        <f t="shared" si="4"/>
        <v>1780</v>
      </c>
      <c r="AH29" s="49">
        <v>195259</v>
      </c>
      <c r="AI29" s="17">
        <f t="shared" si="5"/>
        <v>8760</v>
      </c>
      <c r="AK29" s="100">
        <f t="shared" si="89"/>
        <v>30075</v>
      </c>
      <c r="AL29" s="101">
        <f t="shared" si="19"/>
        <v>23865</v>
      </c>
    </row>
    <row r="30" spans="1:38" ht="39.950000000000003" customHeight="1">
      <c r="A30" s="194">
        <v>44219</v>
      </c>
      <c r="B30" s="16"/>
      <c r="C30" s="49">
        <v>69612</v>
      </c>
      <c r="D30" s="17">
        <f t="shared" si="90"/>
        <v>3670</v>
      </c>
      <c r="E30" s="49">
        <v>96661</v>
      </c>
      <c r="F30" s="17">
        <f t="shared" si="91"/>
        <v>6710</v>
      </c>
      <c r="G30" s="49">
        <v>846245</v>
      </c>
      <c r="H30" s="17">
        <f t="shared" si="80"/>
        <v>10350</v>
      </c>
      <c r="I30" s="17">
        <f t="shared" si="81"/>
        <v>5175</v>
      </c>
      <c r="J30" s="49">
        <v>90045</v>
      </c>
      <c r="K30" s="17">
        <f t="shared" si="77"/>
        <v>5570</v>
      </c>
      <c r="L30" s="49">
        <v>137610</v>
      </c>
      <c r="M30" s="17">
        <f t="shared" si="78"/>
        <v>8570</v>
      </c>
      <c r="N30" s="49">
        <v>816142</v>
      </c>
      <c r="O30" s="17">
        <f t="shared" si="82"/>
        <v>3510</v>
      </c>
      <c r="P30" s="17">
        <f t="shared" si="83"/>
        <v>1755</v>
      </c>
      <c r="Q30" s="49">
        <v>130165</v>
      </c>
      <c r="R30" s="17">
        <f t="shared" si="84"/>
        <v>20</v>
      </c>
      <c r="S30" s="17">
        <f t="shared" si="85"/>
        <v>10</v>
      </c>
      <c r="T30" s="49">
        <v>70626</v>
      </c>
      <c r="U30" s="17">
        <f t="shared" si="86"/>
        <v>30</v>
      </c>
      <c r="V30" s="17">
        <f t="shared" si="87"/>
        <v>15</v>
      </c>
      <c r="W30" s="49">
        <v>144706</v>
      </c>
      <c r="X30" s="17">
        <f t="shared" si="15"/>
        <v>70</v>
      </c>
      <c r="Y30" s="17">
        <f t="shared" si="88"/>
        <v>35</v>
      </c>
      <c r="Z30" s="49">
        <v>19764</v>
      </c>
      <c r="AA30" s="17">
        <f t="shared" si="17"/>
        <v>960</v>
      </c>
      <c r="AB30" s="49">
        <v>39356</v>
      </c>
      <c r="AC30" s="17">
        <f t="shared" si="2"/>
        <v>1660</v>
      </c>
      <c r="AD30" s="49">
        <v>71146</v>
      </c>
      <c r="AE30" s="17">
        <f t="shared" si="3"/>
        <v>3330</v>
      </c>
      <c r="AF30" s="49">
        <v>39041</v>
      </c>
      <c r="AG30" s="17">
        <f t="shared" si="4"/>
        <v>1720</v>
      </c>
      <c r="AH30" s="49">
        <v>196110</v>
      </c>
      <c r="AI30" s="17">
        <f t="shared" si="5"/>
        <v>8510</v>
      </c>
      <c r="AK30" s="100">
        <f t="shared" si="89"/>
        <v>31510</v>
      </c>
      <c r="AL30" s="101">
        <f t="shared" si="19"/>
        <v>23170</v>
      </c>
    </row>
    <row r="31" spans="1:38" ht="39.950000000000003" customHeight="1">
      <c r="A31" s="194">
        <v>44220</v>
      </c>
      <c r="B31" s="16"/>
      <c r="C31" s="49">
        <v>69985</v>
      </c>
      <c r="D31" s="17">
        <f t="shared" si="90"/>
        <v>3730</v>
      </c>
      <c r="E31" s="49">
        <v>97374</v>
      </c>
      <c r="F31" s="17">
        <f t="shared" si="91"/>
        <v>7130</v>
      </c>
      <c r="G31" s="49">
        <v>847160</v>
      </c>
      <c r="H31" s="17">
        <f t="shared" si="80"/>
        <v>9150</v>
      </c>
      <c r="I31" s="17">
        <f t="shared" si="81"/>
        <v>4575</v>
      </c>
      <c r="J31" s="49">
        <v>90606</v>
      </c>
      <c r="K31" s="17">
        <f t="shared" si="77"/>
        <v>5610</v>
      </c>
      <c r="L31" s="49">
        <v>138487</v>
      </c>
      <c r="M31" s="17">
        <f t="shared" si="78"/>
        <v>8770</v>
      </c>
      <c r="N31" s="49">
        <v>816518</v>
      </c>
      <c r="O31" s="17">
        <f t="shared" si="82"/>
        <v>3760</v>
      </c>
      <c r="P31" s="17">
        <f t="shared" si="83"/>
        <v>1880</v>
      </c>
      <c r="Q31" s="49">
        <v>130167</v>
      </c>
      <c r="R31" s="17">
        <f t="shared" si="84"/>
        <v>20</v>
      </c>
      <c r="S31" s="17">
        <f t="shared" si="85"/>
        <v>10</v>
      </c>
      <c r="T31" s="49">
        <v>70628</v>
      </c>
      <c r="U31" s="17">
        <f t="shared" si="86"/>
        <v>20</v>
      </c>
      <c r="V31" s="17">
        <f t="shared" si="87"/>
        <v>10</v>
      </c>
      <c r="W31" s="49">
        <v>144714</v>
      </c>
      <c r="X31" s="17">
        <f t="shared" si="15"/>
        <v>80</v>
      </c>
      <c r="Y31" s="17">
        <f t="shared" si="88"/>
        <v>40</v>
      </c>
      <c r="Z31" s="49">
        <v>19862</v>
      </c>
      <c r="AA31" s="17">
        <f t="shared" si="17"/>
        <v>980</v>
      </c>
      <c r="AB31" s="49">
        <v>39526</v>
      </c>
      <c r="AC31" s="17">
        <f t="shared" si="2"/>
        <v>1700</v>
      </c>
      <c r="AD31" s="49">
        <v>71461</v>
      </c>
      <c r="AE31" s="17">
        <f t="shared" si="3"/>
        <v>3150</v>
      </c>
      <c r="AF31" s="49">
        <v>39221</v>
      </c>
      <c r="AG31" s="17">
        <f t="shared" si="4"/>
        <v>1800</v>
      </c>
      <c r="AH31" s="49">
        <v>196955</v>
      </c>
      <c r="AI31" s="17">
        <f t="shared" si="5"/>
        <v>8450</v>
      </c>
      <c r="AK31" s="100">
        <f t="shared" si="89"/>
        <v>31755</v>
      </c>
      <c r="AL31" s="101">
        <f t="shared" si="19"/>
        <v>22595</v>
      </c>
    </row>
    <row r="32" spans="1:38" ht="39.950000000000003" customHeight="1">
      <c r="A32" s="194">
        <v>44221</v>
      </c>
      <c r="B32" s="16"/>
      <c r="C32" s="74">
        <v>70328</v>
      </c>
      <c r="D32" s="17">
        <f t="shared" si="90"/>
        <v>3430</v>
      </c>
      <c r="E32" s="74">
        <v>98029</v>
      </c>
      <c r="F32" s="17">
        <f t="shared" si="91"/>
        <v>6550</v>
      </c>
      <c r="G32" s="74">
        <v>848087</v>
      </c>
      <c r="H32" s="17">
        <f t="shared" si="80"/>
        <v>9270</v>
      </c>
      <c r="I32" s="17">
        <f t="shared" si="81"/>
        <v>4635</v>
      </c>
      <c r="J32" s="74">
        <v>91152</v>
      </c>
      <c r="K32" s="17">
        <f t="shared" si="77"/>
        <v>5460</v>
      </c>
      <c r="L32" s="74">
        <v>139333</v>
      </c>
      <c r="M32" s="17">
        <f t="shared" si="78"/>
        <v>8460</v>
      </c>
      <c r="N32" s="74">
        <v>816896</v>
      </c>
      <c r="O32" s="17">
        <f t="shared" si="82"/>
        <v>3780</v>
      </c>
      <c r="P32" s="17">
        <f t="shared" si="83"/>
        <v>1890</v>
      </c>
      <c r="Q32" s="74">
        <v>130169</v>
      </c>
      <c r="R32" s="17">
        <f t="shared" si="84"/>
        <v>20</v>
      </c>
      <c r="S32" s="17">
        <f t="shared" si="85"/>
        <v>10</v>
      </c>
      <c r="T32" s="74">
        <v>70630</v>
      </c>
      <c r="U32" s="17">
        <f t="shared" si="86"/>
        <v>20</v>
      </c>
      <c r="V32" s="17">
        <f t="shared" si="87"/>
        <v>10</v>
      </c>
      <c r="W32" s="74">
        <v>144721</v>
      </c>
      <c r="X32" s="17">
        <f t="shared" si="15"/>
        <v>70</v>
      </c>
      <c r="Y32" s="17">
        <f t="shared" si="88"/>
        <v>35</v>
      </c>
      <c r="Z32" s="74">
        <v>19954</v>
      </c>
      <c r="AA32" s="17">
        <f t="shared" si="17"/>
        <v>920</v>
      </c>
      <c r="AB32" s="74">
        <v>39707</v>
      </c>
      <c r="AC32" s="17">
        <f t="shared" si="2"/>
        <v>1810</v>
      </c>
      <c r="AD32" s="74">
        <v>71796</v>
      </c>
      <c r="AE32" s="17">
        <f t="shared" si="3"/>
        <v>3350</v>
      </c>
      <c r="AF32" s="74">
        <v>39405</v>
      </c>
      <c r="AG32" s="17">
        <f t="shared" si="4"/>
        <v>1840</v>
      </c>
      <c r="AH32" s="74">
        <v>197817</v>
      </c>
      <c r="AI32" s="17">
        <f t="shared" si="5"/>
        <v>8620</v>
      </c>
      <c r="AK32" s="100">
        <f t="shared" si="89"/>
        <v>30480</v>
      </c>
      <c r="AL32" s="101">
        <f t="shared" si="19"/>
        <v>23120</v>
      </c>
    </row>
    <row r="33" spans="1:38" ht="39.950000000000003" customHeight="1">
      <c r="A33" s="194">
        <v>44222</v>
      </c>
      <c r="B33" s="16"/>
      <c r="C33" s="74">
        <v>70667</v>
      </c>
      <c r="D33" s="17">
        <f t="shared" si="90"/>
        <v>3390</v>
      </c>
      <c r="E33" s="74">
        <v>98625</v>
      </c>
      <c r="F33" s="17">
        <f t="shared" si="91"/>
        <v>5960</v>
      </c>
      <c r="G33" s="74">
        <v>849019</v>
      </c>
      <c r="H33" s="17">
        <f t="shared" si="80"/>
        <v>9320</v>
      </c>
      <c r="I33" s="17">
        <f t="shared" si="81"/>
        <v>4660</v>
      </c>
      <c r="J33" s="74">
        <v>91691</v>
      </c>
      <c r="K33" s="17">
        <f t="shared" si="77"/>
        <v>5390</v>
      </c>
      <c r="L33" s="74">
        <v>140158</v>
      </c>
      <c r="M33" s="17">
        <f t="shared" si="78"/>
        <v>8250</v>
      </c>
      <c r="N33" s="74">
        <v>817277</v>
      </c>
      <c r="O33" s="17">
        <f t="shared" si="82"/>
        <v>3810</v>
      </c>
      <c r="P33" s="17">
        <f t="shared" si="83"/>
        <v>1905</v>
      </c>
      <c r="Q33" s="74">
        <v>130171</v>
      </c>
      <c r="R33" s="17">
        <f t="shared" si="84"/>
        <v>20</v>
      </c>
      <c r="S33" s="17">
        <f t="shared" si="85"/>
        <v>10</v>
      </c>
      <c r="T33" s="74">
        <v>70633</v>
      </c>
      <c r="U33" s="17">
        <f t="shared" si="86"/>
        <v>30</v>
      </c>
      <c r="V33" s="17">
        <f t="shared" si="87"/>
        <v>15</v>
      </c>
      <c r="W33" s="74">
        <v>144729</v>
      </c>
      <c r="X33" s="17">
        <f t="shared" si="15"/>
        <v>80</v>
      </c>
      <c r="Y33" s="17">
        <f t="shared" si="88"/>
        <v>40</v>
      </c>
      <c r="Z33" s="74">
        <v>20047</v>
      </c>
      <c r="AA33" s="17">
        <f t="shared" si="17"/>
        <v>930</v>
      </c>
      <c r="AB33" s="74">
        <v>39883</v>
      </c>
      <c r="AC33" s="17">
        <f t="shared" si="2"/>
        <v>1760</v>
      </c>
      <c r="AD33" s="74">
        <v>72122</v>
      </c>
      <c r="AE33" s="17">
        <f t="shared" si="3"/>
        <v>3260</v>
      </c>
      <c r="AF33" s="74">
        <v>39585</v>
      </c>
      <c r="AG33" s="17">
        <f t="shared" si="4"/>
        <v>1800</v>
      </c>
      <c r="AH33" s="74">
        <v>198670</v>
      </c>
      <c r="AI33" s="17">
        <f t="shared" si="5"/>
        <v>8530</v>
      </c>
      <c r="AK33" s="100">
        <f t="shared" si="89"/>
        <v>29620</v>
      </c>
      <c r="AL33" s="101">
        <f t="shared" si="19"/>
        <v>22910</v>
      </c>
    </row>
    <row r="34" spans="1:38" ht="39.950000000000003" customHeight="1">
      <c r="A34" s="194">
        <v>44223</v>
      </c>
      <c r="B34" s="16"/>
      <c r="C34" s="74">
        <v>71007</v>
      </c>
      <c r="D34" s="17">
        <f t="shared" si="90"/>
        <v>3400</v>
      </c>
      <c r="E34" s="74">
        <v>99230</v>
      </c>
      <c r="F34" s="17">
        <f t="shared" si="91"/>
        <v>6050</v>
      </c>
      <c r="G34" s="74">
        <v>849932</v>
      </c>
      <c r="H34" s="17">
        <f t="shared" si="80"/>
        <v>9130</v>
      </c>
      <c r="I34" s="17">
        <f t="shared" si="81"/>
        <v>4565</v>
      </c>
      <c r="J34" s="74">
        <v>92233</v>
      </c>
      <c r="K34" s="17">
        <f t="shared" si="77"/>
        <v>5420</v>
      </c>
      <c r="L34" s="74">
        <v>140975</v>
      </c>
      <c r="M34" s="17">
        <f t="shared" si="78"/>
        <v>8170</v>
      </c>
      <c r="N34" s="74">
        <v>817652</v>
      </c>
      <c r="O34" s="17">
        <f t="shared" si="82"/>
        <v>3750</v>
      </c>
      <c r="P34" s="17">
        <f t="shared" si="83"/>
        <v>1875</v>
      </c>
      <c r="Q34" s="74">
        <v>130173</v>
      </c>
      <c r="R34" s="17">
        <f t="shared" si="84"/>
        <v>20</v>
      </c>
      <c r="S34" s="17">
        <f t="shared" si="85"/>
        <v>10</v>
      </c>
      <c r="T34" s="74">
        <v>70635</v>
      </c>
      <c r="U34" s="17">
        <f t="shared" si="86"/>
        <v>20</v>
      </c>
      <c r="V34" s="17">
        <f t="shared" si="87"/>
        <v>10</v>
      </c>
      <c r="W34" s="74">
        <v>144736</v>
      </c>
      <c r="X34" s="17">
        <f t="shared" si="15"/>
        <v>70</v>
      </c>
      <c r="Y34" s="17">
        <f t="shared" si="88"/>
        <v>35</v>
      </c>
      <c r="Z34" s="74">
        <v>20146</v>
      </c>
      <c r="AA34" s="17">
        <f t="shared" si="17"/>
        <v>990</v>
      </c>
      <c r="AB34" s="74">
        <v>40063</v>
      </c>
      <c r="AC34" s="17">
        <f t="shared" si="2"/>
        <v>1800</v>
      </c>
      <c r="AD34" s="74">
        <v>72468</v>
      </c>
      <c r="AE34" s="17">
        <f t="shared" si="3"/>
        <v>3460</v>
      </c>
      <c r="AF34" s="74">
        <v>39773</v>
      </c>
      <c r="AG34" s="17">
        <f t="shared" si="4"/>
        <v>1880</v>
      </c>
      <c r="AH34" s="74">
        <v>199544</v>
      </c>
      <c r="AI34" s="17">
        <f t="shared" si="5"/>
        <v>8740</v>
      </c>
      <c r="AK34" s="100">
        <f t="shared" si="89"/>
        <v>29535</v>
      </c>
      <c r="AL34" s="101">
        <f t="shared" si="19"/>
        <v>23365</v>
      </c>
    </row>
    <row r="35" spans="1:38" ht="39.950000000000003" customHeight="1">
      <c r="A35" s="194">
        <v>44224</v>
      </c>
      <c r="B35" s="16"/>
      <c r="C35" s="74">
        <v>71347</v>
      </c>
      <c r="D35" s="17">
        <f t="shared" si="90"/>
        <v>3400</v>
      </c>
      <c r="E35" s="74">
        <v>99837</v>
      </c>
      <c r="F35" s="17">
        <f t="shared" si="91"/>
        <v>6070</v>
      </c>
      <c r="G35" s="74">
        <v>850851</v>
      </c>
      <c r="H35" s="17">
        <f t="shared" si="80"/>
        <v>9190</v>
      </c>
      <c r="I35" s="17">
        <f t="shared" si="81"/>
        <v>4595</v>
      </c>
      <c r="J35" s="74">
        <v>92770</v>
      </c>
      <c r="K35" s="17">
        <f t="shared" si="77"/>
        <v>5370</v>
      </c>
      <c r="L35" s="74">
        <v>141826</v>
      </c>
      <c r="M35" s="17">
        <f t="shared" si="78"/>
        <v>8510</v>
      </c>
      <c r="N35" s="74">
        <v>818054</v>
      </c>
      <c r="O35" s="17">
        <f t="shared" si="82"/>
        <v>4020</v>
      </c>
      <c r="P35" s="17">
        <f t="shared" si="83"/>
        <v>2010</v>
      </c>
      <c r="Q35" s="74">
        <v>130176</v>
      </c>
      <c r="R35" s="17">
        <f t="shared" si="84"/>
        <v>30</v>
      </c>
      <c r="S35" s="17">
        <f t="shared" si="85"/>
        <v>15</v>
      </c>
      <c r="T35" s="74">
        <v>70637</v>
      </c>
      <c r="U35" s="17">
        <f t="shared" si="86"/>
        <v>20</v>
      </c>
      <c r="V35" s="17">
        <f t="shared" si="87"/>
        <v>10</v>
      </c>
      <c r="W35" s="74">
        <v>144744</v>
      </c>
      <c r="X35" s="17">
        <f t="shared" si="15"/>
        <v>80</v>
      </c>
      <c r="Y35" s="17">
        <f t="shared" si="88"/>
        <v>40</v>
      </c>
      <c r="Z35" s="74">
        <v>20239</v>
      </c>
      <c r="AA35" s="17">
        <f t="shared" si="17"/>
        <v>930</v>
      </c>
      <c r="AB35" s="74">
        <v>40243</v>
      </c>
      <c r="AC35" s="17">
        <f t="shared" si="2"/>
        <v>1800</v>
      </c>
      <c r="AD35" s="74">
        <v>72804</v>
      </c>
      <c r="AE35" s="17">
        <f t="shared" si="3"/>
        <v>3360</v>
      </c>
      <c r="AF35" s="74">
        <v>39962</v>
      </c>
      <c r="AG35" s="17">
        <f t="shared" si="4"/>
        <v>1890</v>
      </c>
      <c r="AH35" s="74">
        <v>200413</v>
      </c>
      <c r="AI35" s="17">
        <f t="shared" si="5"/>
        <v>8690</v>
      </c>
      <c r="AK35" s="100">
        <f t="shared" si="89"/>
        <v>30020</v>
      </c>
      <c r="AL35" s="101">
        <f t="shared" si="19"/>
        <v>23340</v>
      </c>
    </row>
    <row r="36" spans="1:38" ht="39.950000000000003" customHeight="1">
      <c r="A36" s="194">
        <v>44225</v>
      </c>
      <c r="B36" s="16"/>
      <c r="C36" s="74">
        <v>71707</v>
      </c>
      <c r="D36" s="17">
        <f t="shared" si="90"/>
        <v>3600</v>
      </c>
      <c r="E36" s="74">
        <v>100446</v>
      </c>
      <c r="F36" s="17">
        <f t="shared" si="91"/>
        <v>6090</v>
      </c>
      <c r="G36" s="74">
        <v>851302</v>
      </c>
      <c r="H36" s="17">
        <f t="shared" ref="H36:H38" si="92">(G36-G35)*10</f>
        <v>4510</v>
      </c>
      <c r="I36" s="17">
        <f t="shared" ref="I36:I38" si="93">H36*50%</f>
        <v>2255</v>
      </c>
      <c r="J36" s="74">
        <v>93320</v>
      </c>
      <c r="K36" s="17">
        <f t="shared" si="77"/>
        <v>5500</v>
      </c>
      <c r="L36" s="74">
        <v>142681</v>
      </c>
      <c r="M36" s="17">
        <f t="shared" si="78"/>
        <v>8550</v>
      </c>
      <c r="N36" s="74">
        <v>818428</v>
      </c>
      <c r="O36" s="17">
        <f t="shared" ref="O36:O38" si="94">(N36-N35)*10</f>
        <v>3740</v>
      </c>
      <c r="P36" s="17">
        <f t="shared" ref="P36:P38" si="95">O36*50%</f>
        <v>1870</v>
      </c>
      <c r="Q36" s="74">
        <v>130480</v>
      </c>
      <c r="R36" s="17">
        <f t="shared" ref="R36:R38" si="96">(Q36-Q35)*10</f>
        <v>3040</v>
      </c>
      <c r="S36" s="17">
        <f t="shared" ref="S36:S38" si="97">R36*50%</f>
        <v>1520</v>
      </c>
      <c r="T36" s="74">
        <v>70640</v>
      </c>
      <c r="U36" s="17">
        <f t="shared" ref="U36:U38" si="98">(T36-T35)*10</f>
        <v>30</v>
      </c>
      <c r="V36" s="17">
        <f t="shared" ref="V36:V38" si="99">U36*50%</f>
        <v>15</v>
      </c>
      <c r="W36" s="74">
        <v>144752</v>
      </c>
      <c r="X36" s="17">
        <f t="shared" si="15"/>
        <v>80</v>
      </c>
      <c r="Y36" s="17">
        <f t="shared" ref="Y36:Y38" si="100">X36*50%</f>
        <v>40</v>
      </c>
      <c r="Z36" s="74">
        <v>20333</v>
      </c>
      <c r="AA36" s="17">
        <f t="shared" si="17"/>
        <v>940</v>
      </c>
      <c r="AB36" s="74">
        <v>40423</v>
      </c>
      <c r="AC36" s="17">
        <f t="shared" si="2"/>
        <v>1800</v>
      </c>
      <c r="AD36" s="74">
        <v>73149</v>
      </c>
      <c r="AE36" s="17">
        <f t="shared" si="3"/>
        <v>3450</v>
      </c>
      <c r="AF36" s="74">
        <v>40150</v>
      </c>
      <c r="AG36" s="17">
        <f t="shared" si="4"/>
        <v>1880</v>
      </c>
      <c r="AH36" s="74">
        <v>201328</v>
      </c>
      <c r="AI36" s="17">
        <f t="shared" si="5"/>
        <v>9150</v>
      </c>
      <c r="AK36" s="100">
        <f t="shared" ref="AK36:AK41" si="101">SUM(D36,F36,I36,K36,M36,P36,S36,V36,Y36)</f>
        <v>29440</v>
      </c>
      <c r="AL36" s="101">
        <f t="shared" si="19"/>
        <v>22920</v>
      </c>
    </row>
    <row r="37" spans="1:38" ht="39.950000000000003" customHeight="1">
      <c r="A37" s="194">
        <v>44226</v>
      </c>
      <c r="B37" s="16"/>
      <c r="C37" s="74">
        <v>72088</v>
      </c>
      <c r="D37" s="17">
        <f t="shared" si="90"/>
        <v>3810</v>
      </c>
      <c r="E37" s="74">
        <v>101118</v>
      </c>
      <c r="F37" s="17">
        <f t="shared" si="91"/>
        <v>6720</v>
      </c>
      <c r="G37" s="74">
        <v>851581</v>
      </c>
      <c r="H37" s="17">
        <f t="shared" si="92"/>
        <v>2790</v>
      </c>
      <c r="I37" s="17">
        <f t="shared" si="93"/>
        <v>1395</v>
      </c>
      <c r="J37" s="74">
        <v>93865</v>
      </c>
      <c r="K37" s="17">
        <f t="shared" si="77"/>
        <v>5450</v>
      </c>
      <c r="L37" s="74">
        <v>143530</v>
      </c>
      <c r="M37" s="17">
        <f t="shared" si="78"/>
        <v>8490</v>
      </c>
      <c r="N37" s="74">
        <v>818825</v>
      </c>
      <c r="O37" s="17">
        <f t="shared" si="94"/>
        <v>3970</v>
      </c>
      <c r="P37" s="17">
        <f t="shared" si="95"/>
        <v>1985</v>
      </c>
      <c r="Q37" s="74">
        <v>130945</v>
      </c>
      <c r="R37" s="17">
        <f t="shared" si="96"/>
        <v>4650</v>
      </c>
      <c r="S37" s="17">
        <f t="shared" si="97"/>
        <v>2325</v>
      </c>
      <c r="T37" s="74">
        <v>70642</v>
      </c>
      <c r="U37" s="17">
        <f t="shared" si="98"/>
        <v>20</v>
      </c>
      <c r="V37" s="17">
        <f t="shared" si="99"/>
        <v>10</v>
      </c>
      <c r="W37" s="74">
        <v>144760</v>
      </c>
      <c r="X37" s="17">
        <f t="shared" si="15"/>
        <v>80</v>
      </c>
      <c r="Y37" s="17">
        <f t="shared" si="100"/>
        <v>40</v>
      </c>
      <c r="Z37" s="74">
        <v>20430</v>
      </c>
      <c r="AA37" s="17">
        <f t="shared" si="17"/>
        <v>970</v>
      </c>
      <c r="AB37" s="74">
        <v>40593</v>
      </c>
      <c r="AC37" s="17">
        <f t="shared" si="2"/>
        <v>1700</v>
      </c>
      <c r="AD37" s="74">
        <v>73478</v>
      </c>
      <c r="AE37" s="17">
        <f t="shared" si="3"/>
        <v>3290</v>
      </c>
      <c r="AF37" s="74">
        <v>40333</v>
      </c>
      <c r="AG37" s="17">
        <f t="shared" si="4"/>
        <v>1830</v>
      </c>
      <c r="AH37" s="74">
        <v>202231</v>
      </c>
      <c r="AI37" s="17">
        <f t="shared" si="5"/>
        <v>9030</v>
      </c>
      <c r="AK37" s="100">
        <f t="shared" si="101"/>
        <v>30225</v>
      </c>
      <c r="AL37" s="101">
        <f t="shared" si="19"/>
        <v>22575</v>
      </c>
    </row>
    <row r="38" spans="1:38" s="150" customFormat="1" ht="39.950000000000003" customHeight="1">
      <c r="A38" s="148">
        <v>44227</v>
      </c>
      <c r="B38" s="149"/>
      <c r="C38" s="104">
        <v>72453</v>
      </c>
      <c r="D38" s="17">
        <f t="shared" si="90"/>
        <v>3650</v>
      </c>
      <c r="E38" s="104">
        <v>101789</v>
      </c>
      <c r="F38" s="17">
        <f t="shared" si="91"/>
        <v>6710</v>
      </c>
      <c r="G38" s="104">
        <v>852120</v>
      </c>
      <c r="H38" s="17">
        <f t="shared" si="92"/>
        <v>5390</v>
      </c>
      <c r="I38" s="17">
        <f t="shared" si="93"/>
        <v>2695</v>
      </c>
      <c r="J38" s="104">
        <v>94400</v>
      </c>
      <c r="K38" s="17">
        <f t="shared" si="77"/>
        <v>5350</v>
      </c>
      <c r="L38" s="104">
        <v>144399</v>
      </c>
      <c r="M38" s="17">
        <f t="shared" si="78"/>
        <v>8690</v>
      </c>
      <c r="N38" s="104">
        <v>819203</v>
      </c>
      <c r="O38" s="17">
        <f t="shared" si="94"/>
        <v>3780</v>
      </c>
      <c r="P38" s="17">
        <f t="shared" si="95"/>
        <v>1890</v>
      </c>
      <c r="Q38" s="104">
        <v>131325</v>
      </c>
      <c r="R38" s="17">
        <f t="shared" si="96"/>
        <v>3800</v>
      </c>
      <c r="S38" s="17">
        <f t="shared" si="97"/>
        <v>1900</v>
      </c>
      <c r="T38" s="104">
        <v>70644</v>
      </c>
      <c r="U38" s="17">
        <f t="shared" si="98"/>
        <v>20</v>
      </c>
      <c r="V38" s="17">
        <f t="shared" si="99"/>
        <v>10</v>
      </c>
      <c r="W38" s="104">
        <v>144768</v>
      </c>
      <c r="X38" s="17">
        <f t="shared" si="15"/>
        <v>80</v>
      </c>
      <c r="Y38" s="17">
        <f t="shared" si="100"/>
        <v>40</v>
      </c>
      <c r="Z38" s="104">
        <v>20522</v>
      </c>
      <c r="AA38" s="17">
        <f t="shared" si="17"/>
        <v>920</v>
      </c>
      <c r="AB38" s="104">
        <v>40764</v>
      </c>
      <c r="AC38" s="17">
        <f t="shared" si="2"/>
        <v>1710</v>
      </c>
      <c r="AD38" s="104">
        <v>73805</v>
      </c>
      <c r="AE38" s="17">
        <f t="shared" si="3"/>
        <v>3270</v>
      </c>
      <c r="AF38" s="104">
        <v>40522</v>
      </c>
      <c r="AG38" s="17">
        <f t="shared" si="4"/>
        <v>1890</v>
      </c>
      <c r="AH38" s="104">
        <v>203109</v>
      </c>
      <c r="AI38" s="17">
        <f t="shared" si="5"/>
        <v>8780</v>
      </c>
      <c r="AK38" s="100">
        <f t="shared" si="101"/>
        <v>30935</v>
      </c>
      <c r="AL38" s="101">
        <f t="shared" si="19"/>
        <v>23105</v>
      </c>
    </row>
    <row r="39" spans="1:38" s="22" customFormat="1" ht="39.950000000000003" customHeight="1">
      <c r="A39" s="21"/>
      <c r="C39" s="198"/>
      <c r="D39" s="23"/>
      <c r="F39" s="23"/>
      <c r="H39" s="23"/>
      <c r="I39" s="23"/>
      <c r="K39" s="23"/>
      <c r="M39" s="23"/>
      <c r="O39" s="23"/>
      <c r="P39" s="23"/>
      <c r="R39" s="23"/>
      <c r="S39" s="23"/>
      <c r="U39" s="23"/>
      <c r="V39" s="23"/>
      <c r="X39" s="23"/>
      <c r="Y39" s="23"/>
      <c r="AA39" s="23"/>
      <c r="AC39" s="23"/>
      <c r="AE39" s="23"/>
      <c r="AG39" s="23"/>
      <c r="AI39" s="23"/>
      <c r="AK39" s="208">
        <f>SUM(AK8:AK38)</f>
        <v>961765</v>
      </c>
      <c r="AL39" s="208">
        <f>SUM(AL8:AL38)</f>
        <v>748125</v>
      </c>
    </row>
    <row r="40" spans="1:38" s="19" customFormat="1" ht="39.950000000000003" customHeight="1">
      <c r="A40" s="18"/>
      <c r="D40" s="200">
        <f>SUM(D8:D39)</f>
        <v>172950</v>
      </c>
      <c r="F40" s="200">
        <f>SUM(F8:F39)</f>
        <v>191240</v>
      </c>
      <c r="I40" s="200">
        <f>SUM(I8:I39)</f>
        <v>94020</v>
      </c>
      <c r="K40" s="200">
        <f>SUM(K8:K39)</f>
        <v>175390</v>
      </c>
      <c r="M40" s="200">
        <f>SUM(M8:M39)</f>
        <v>250180</v>
      </c>
      <c r="P40" s="200">
        <f>SUM(P8:P39)</f>
        <v>70135</v>
      </c>
      <c r="S40" s="200">
        <f>SUM(S8:S39)</f>
        <v>6315</v>
      </c>
      <c r="V40" s="200">
        <f>SUM(V8:V39)</f>
        <v>355</v>
      </c>
      <c r="Y40" s="204">
        <f>SUM(Y8:Y39)</f>
        <v>1180</v>
      </c>
      <c r="AA40" s="204">
        <f>SUM(AA8:AA39)</f>
        <v>29840</v>
      </c>
      <c r="AC40" s="204">
        <f>SUM(AC8:AC39)</f>
        <v>56170</v>
      </c>
      <c r="AE40" s="204">
        <f>SUM(AE8:AE39)</f>
        <v>102740</v>
      </c>
      <c r="AG40" s="204">
        <f>SUM(AG8:AG39)</f>
        <v>56590</v>
      </c>
      <c r="AI40" s="204">
        <f>SUM(AI8:AI39)</f>
        <v>330780</v>
      </c>
      <c r="AK40" s="200">
        <f t="shared" si="101"/>
        <v>961765</v>
      </c>
      <c r="AL40" s="200">
        <f t="shared" ref="AL36:AL41" si="102">SUM(P40,S40,V40,Y40,AA40,AC40,AE40,AG40,AI40)</f>
        <v>654105</v>
      </c>
    </row>
    <row r="41" spans="1:38" s="202" customFormat="1" ht="39.950000000000003" customHeight="1">
      <c r="A41" s="201"/>
      <c r="C41" s="203" t="s">
        <v>404</v>
      </c>
      <c r="D41" s="202">
        <v>176700</v>
      </c>
      <c r="F41" s="202">
        <v>190810</v>
      </c>
      <c r="H41" s="202">
        <v>141474</v>
      </c>
      <c r="I41" s="202">
        <v>70737</v>
      </c>
      <c r="K41" s="202">
        <v>175880</v>
      </c>
      <c r="M41" s="202">
        <v>249670</v>
      </c>
      <c r="O41" s="202">
        <v>139600</v>
      </c>
      <c r="P41" s="202">
        <v>69800</v>
      </c>
      <c r="R41" s="202">
        <v>8860</v>
      </c>
      <c r="S41" s="202">
        <v>4430</v>
      </c>
      <c r="U41" s="202">
        <v>710</v>
      </c>
      <c r="V41" s="202">
        <v>355</v>
      </c>
      <c r="X41" s="202">
        <v>2350</v>
      </c>
      <c r="Y41" s="202">
        <v>1175</v>
      </c>
      <c r="AA41" s="202">
        <v>29940</v>
      </c>
      <c r="AC41" s="202">
        <v>56490</v>
      </c>
      <c r="AE41" s="202">
        <v>102910</v>
      </c>
      <c r="AG41" s="202">
        <v>56480</v>
      </c>
      <c r="AI41" s="202">
        <v>334420</v>
      </c>
      <c r="AK41" s="202">
        <f t="shared" si="101"/>
        <v>939557</v>
      </c>
      <c r="AL41" s="202">
        <f t="shared" si="102"/>
        <v>656000</v>
      </c>
    </row>
    <row r="42" spans="1:38" ht="39.950000000000003" customHeight="1">
      <c r="A42" s="11"/>
      <c r="C42" s="205" t="s">
        <v>405</v>
      </c>
      <c r="D42" s="200">
        <f>D40-D41</f>
        <v>-3750</v>
      </c>
      <c r="F42" s="200">
        <f>F40-F41</f>
        <v>430</v>
      </c>
      <c r="I42" s="200">
        <f>I40-I41</f>
        <v>23283</v>
      </c>
      <c r="K42" s="200">
        <f>K40-K41</f>
        <v>-490</v>
      </c>
      <c r="M42" s="200">
        <f>M40-M41</f>
        <v>510</v>
      </c>
      <c r="P42" s="200">
        <f>P40-P41</f>
        <v>335</v>
      </c>
      <c r="S42" s="200">
        <f>S40-S41</f>
        <v>1885</v>
      </c>
      <c r="V42" s="200">
        <f>V40-V41</f>
        <v>0</v>
      </c>
      <c r="Y42" s="200">
        <f>Y40-Y41</f>
        <v>5</v>
      </c>
      <c r="AA42" s="200">
        <f>AA40-AA41</f>
        <v>-100</v>
      </c>
      <c r="AC42" s="200">
        <f>AC40-AC41</f>
        <v>-320</v>
      </c>
      <c r="AE42" s="200">
        <f>AE40-AE41</f>
        <v>-170</v>
      </c>
      <c r="AG42" s="200">
        <f>AG40-AG41</f>
        <v>110</v>
      </c>
      <c r="AI42" s="200">
        <f>AI40-AI41</f>
        <v>-3640</v>
      </c>
      <c r="AK42" s="206">
        <f>(AK40-AK41)/AK40</f>
        <v>2.3090879788721777E-2</v>
      </c>
      <c r="AL42" s="207">
        <f>(AL40-AL41)/AL40</f>
        <v>-2.8970883879499468E-3</v>
      </c>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5" activePane="bottomRight" state="frozen"/>
      <selection pane="topRight" activeCell="C1" sqref="C1"/>
      <selection pane="bottomLeft" activeCell="A5" sqref="A5"/>
      <selection pane="bottomRight" activeCell="S40" sqref="S40"/>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32" t="s">
        <v>65</v>
      </c>
      <c r="D1" s="232"/>
      <c r="E1" s="232" t="s">
        <v>65</v>
      </c>
      <c r="F1" s="232"/>
      <c r="G1" s="232" t="s">
        <v>65</v>
      </c>
      <c r="H1" s="232"/>
      <c r="I1" s="232" t="s">
        <v>65</v>
      </c>
      <c r="J1" s="232"/>
      <c r="K1" s="216" t="s">
        <v>66</v>
      </c>
      <c r="L1" s="217"/>
      <c r="M1" s="217"/>
      <c r="N1" s="218"/>
      <c r="O1" s="232" t="s">
        <v>67</v>
      </c>
      <c r="P1" s="232"/>
    </row>
    <row r="2" spans="1:19" s="27" customFormat="1" ht="113.25" customHeight="1">
      <c r="A2" s="26"/>
      <c r="B2" s="26"/>
      <c r="C2" s="234" t="s">
        <v>103</v>
      </c>
      <c r="D2" s="235"/>
      <c r="E2" s="234" t="s">
        <v>104</v>
      </c>
      <c r="F2" s="235"/>
      <c r="G2" s="234" t="s">
        <v>105</v>
      </c>
      <c r="H2" s="235"/>
      <c r="I2" s="234" t="s">
        <v>106</v>
      </c>
      <c r="J2" s="235"/>
      <c r="K2" s="236" t="s">
        <v>107</v>
      </c>
      <c r="L2" s="237"/>
      <c r="M2" s="237"/>
      <c r="N2" s="238"/>
      <c r="O2" s="234" t="s">
        <v>108</v>
      </c>
      <c r="P2" s="235"/>
    </row>
    <row r="3" spans="1:19" s="32" customFormat="1" ht="50.1" customHeight="1">
      <c r="A3" s="41"/>
      <c r="B3" s="41"/>
      <c r="C3" s="239" t="s">
        <v>109</v>
      </c>
      <c r="D3" s="240"/>
      <c r="E3" s="241" t="s">
        <v>110</v>
      </c>
      <c r="F3" s="242"/>
      <c r="G3" s="241" t="s">
        <v>111</v>
      </c>
      <c r="H3" s="242"/>
      <c r="I3" s="241" t="s">
        <v>112</v>
      </c>
      <c r="J3" s="242"/>
      <c r="K3" s="243" t="s">
        <v>113</v>
      </c>
      <c r="L3" s="244"/>
      <c r="M3" s="244"/>
      <c r="N3" s="245"/>
      <c r="O3" s="239" t="s">
        <v>114</v>
      </c>
      <c r="P3" s="240"/>
      <c r="R3" s="233" t="s">
        <v>81</v>
      </c>
      <c r="S3" s="233"/>
    </row>
    <row r="4" spans="1:19" s="8" customFormat="1" ht="30" customHeight="1">
      <c r="A4" s="112" t="s">
        <v>96</v>
      </c>
      <c r="B4" s="51"/>
      <c r="C4" s="214"/>
      <c r="D4" s="215"/>
      <c r="E4" s="214"/>
      <c r="F4" s="215"/>
      <c r="G4" s="214"/>
      <c r="H4" s="215"/>
      <c r="I4" s="214"/>
      <c r="J4" s="215"/>
      <c r="K4" s="214"/>
      <c r="L4" s="228"/>
      <c r="M4" s="228"/>
      <c r="N4" s="215"/>
      <c r="O4" s="51"/>
      <c r="P4" s="51"/>
      <c r="R4" s="233"/>
      <c r="S4" s="233"/>
    </row>
    <row r="5" spans="1:19" s="10" customFormat="1" ht="50.1" customHeight="1">
      <c r="A5" s="112" t="s">
        <v>99</v>
      </c>
      <c r="B5" s="112"/>
      <c r="C5" s="112" t="s">
        <v>115</v>
      </c>
      <c r="D5" s="112" t="s">
        <v>116</v>
      </c>
      <c r="E5" s="112" t="s">
        <v>115</v>
      </c>
      <c r="F5" s="112" t="s">
        <v>116</v>
      </c>
      <c r="G5" s="112" t="s">
        <v>115</v>
      </c>
      <c r="H5" s="112" t="s">
        <v>116</v>
      </c>
      <c r="I5" s="112" t="s">
        <v>115</v>
      </c>
      <c r="J5" s="112" t="s">
        <v>116</v>
      </c>
      <c r="K5" s="112" t="s">
        <v>115</v>
      </c>
      <c r="L5" s="112" t="s">
        <v>116</v>
      </c>
      <c r="M5" s="112" t="s">
        <v>65</v>
      </c>
      <c r="N5" s="112" t="s">
        <v>67</v>
      </c>
      <c r="O5" s="112" t="s">
        <v>115</v>
      </c>
      <c r="P5" s="112" t="s">
        <v>116</v>
      </c>
      <c r="R5" s="112"/>
      <c r="S5" s="112"/>
    </row>
    <row r="6" spans="1:19" ht="39.950000000000003" customHeight="1">
      <c r="A6" s="195">
        <v>44196</v>
      </c>
      <c r="B6" s="85"/>
      <c r="C6" s="75">
        <v>189629</v>
      </c>
      <c r="D6" s="78"/>
      <c r="E6" s="75">
        <v>179407</v>
      </c>
      <c r="F6" s="78"/>
      <c r="G6" s="181">
        <v>5925.8670000000002</v>
      </c>
      <c r="H6" s="79"/>
      <c r="I6" s="75">
        <v>11832</v>
      </c>
      <c r="J6" s="78"/>
      <c r="K6" s="75">
        <v>130646</v>
      </c>
      <c r="L6" s="78"/>
      <c r="M6" s="79"/>
      <c r="N6" s="79"/>
      <c r="O6" s="75">
        <v>95521</v>
      </c>
      <c r="P6" s="78"/>
      <c r="R6" s="111"/>
      <c r="S6" s="101"/>
    </row>
    <row r="7" spans="1:19" s="2" customFormat="1" ht="39.950000000000003" customHeight="1">
      <c r="A7" s="195">
        <v>44197</v>
      </c>
      <c r="B7" s="15"/>
      <c r="C7" s="75">
        <v>189848</v>
      </c>
      <c r="D7" s="78">
        <f>(C7-C6)</f>
        <v>219</v>
      </c>
      <c r="E7" s="75">
        <v>179749</v>
      </c>
      <c r="F7" s="78">
        <f>(E7-E6)</f>
        <v>342</v>
      </c>
      <c r="G7" s="181">
        <v>5928.1198999999997</v>
      </c>
      <c r="H7" s="79">
        <f>(G7-G6)</f>
        <v>2.2528999999994994</v>
      </c>
      <c r="I7" s="75">
        <v>11846</v>
      </c>
      <c r="J7" s="78">
        <f>(I7-I6)</f>
        <v>14</v>
      </c>
      <c r="K7" s="75">
        <v>130841</v>
      </c>
      <c r="L7" s="78">
        <f>(K7-K6)</f>
        <v>195</v>
      </c>
      <c r="M7" s="79">
        <f>L7*55%</f>
        <v>107.25000000000001</v>
      </c>
      <c r="N7" s="79">
        <f>L7*45%</f>
        <v>87.75</v>
      </c>
      <c r="O7" s="75">
        <v>95627</v>
      </c>
      <c r="P7" s="78">
        <f>(O7-O6)</f>
        <v>106</v>
      </c>
      <c r="R7" s="111">
        <f t="shared" ref="R7:R34" si="0">SUM(D7,F7,M71,H7)</f>
        <v>563.2528999999995</v>
      </c>
      <c r="S7" s="101">
        <f>SUM(N7,P7)</f>
        <v>193.75</v>
      </c>
    </row>
    <row r="8" spans="1:19" ht="39.950000000000003" customHeight="1">
      <c r="A8" s="195">
        <v>44198</v>
      </c>
      <c r="B8" s="16"/>
      <c r="C8" s="75">
        <v>190016</v>
      </c>
      <c r="D8" s="78">
        <f t="shared" ref="D8:F35" si="1">(C8-C7)</f>
        <v>168</v>
      </c>
      <c r="E8" s="75">
        <v>179982</v>
      </c>
      <c r="F8" s="78">
        <f t="shared" si="1"/>
        <v>233</v>
      </c>
      <c r="G8" s="181">
        <v>5930.8172999999997</v>
      </c>
      <c r="H8" s="79">
        <f t="shared" ref="H8" si="2">(G8-G7)</f>
        <v>2.697400000000016</v>
      </c>
      <c r="I8" s="75">
        <v>11855</v>
      </c>
      <c r="J8" s="78">
        <f t="shared" ref="J8" si="3">(I8-I7)</f>
        <v>9</v>
      </c>
      <c r="K8" s="75">
        <v>130971</v>
      </c>
      <c r="L8" s="78">
        <f t="shared" ref="L8" si="4">(K8-K7)</f>
        <v>130</v>
      </c>
      <c r="M8" s="79">
        <f t="shared" ref="M8:M34" si="5">L8*55%</f>
        <v>71.5</v>
      </c>
      <c r="N8" s="79">
        <f t="shared" ref="N8:N34" si="6">L8*45%</f>
        <v>58.5</v>
      </c>
      <c r="O8" s="75">
        <v>95696</v>
      </c>
      <c r="P8" s="78">
        <f t="shared" ref="P8" si="7">(O8-O7)</f>
        <v>69</v>
      </c>
      <c r="R8" s="111">
        <f t="shared" si="0"/>
        <v>403.69740000000002</v>
      </c>
      <c r="S8" s="101">
        <f t="shared" ref="S8:S34" si="8">SUM(N8,P8)</f>
        <v>127.5</v>
      </c>
    </row>
    <row r="9" spans="1:19" ht="39.950000000000003" customHeight="1">
      <c r="A9" s="195">
        <v>44199</v>
      </c>
      <c r="B9" s="16"/>
      <c r="C9" s="75">
        <v>190194</v>
      </c>
      <c r="D9" s="78">
        <f t="shared" si="1"/>
        <v>178</v>
      </c>
      <c r="E9" s="75">
        <v>180231</v>
      </c>
      <c r="F9" s="78">
        <f t="shared" si="1"/>
        <v>249</v>
      </c>
      <c r="G9" s="181">
        <v>5933.9120000000003</v>
      </c>
      <c r="H9" s="79">
        <f t="shared" ref="H9" si="9">(G9-G8)</f>
        <v>3.0947000000005573</v>
      </c>
      <c r="I9" s="75">
        <v>11870</v>
      </c>
      <c r="J9" s="78">
        <f t="shared" ref="J9" si="10">(I9-I8)</f>
        <v>15</v>
      </c>
      <c r="K9" s="75">
        <v>131120</v>
      </c>
      <c r="L9" s="78">
        <f t="shared" ref="L9" si="11">(K9-K8)</f>
        <v>149</v>
      </c>
      <c r="M9" s="79">
        <f t="shared" si="5"/>
        <v>81.95</v>
      </c>
      <c r="N9" s="79">
        <f t="shared" si="6"/>
        <v>67.05</v>
      </c>
      <c r="O9" s="75">
        <v>95793</v>
      </c>
      <c r="P9" s="78">
        <f t="shared" ref="P9" si="12">(O9-O8)</f>
        <v>97</v>
      </c>
      <c r="R9" s="111">
        <f t="shared" si="0"/>
        <v>430.09470000000056</v>
      </c>
      <c r="S9" s="101">
        <f t="shared" si="8"/>
        <v>164.05</v>
      </c>
    </row>
    <row r="10" spans="1:19" ht="39.950000000000003" customHeight="1">
      <c r="A10" s="195">
        <v>44200</v>
      </c>
      <c r="B10" s="16"/>
      <c r="C10" s="75">
        <v>190313</v>
      </c>
      <c r="D10" s="78">
        <f t="shared" si="1"/>
        <v>119</v>
      </c>
      <c r="E10" s="75">
        <v>180431</v>
      </c>
      <c r="F10" s="78">
        <f t="shared" si="1"/>
        <v>200</v>
      </c>
      <c r="G10" s="181">
        <v>5937.2343000000001</v>
      </c>
      <c r="H10" s="79">
        <f t="shared" ref="H10" si="13">(G10-G9)</f>
        <v>3.3222999999998137</v>
      </c>
      <c r="I10" s="75">
        <v>11879</v>
      </c>
      <c r="J10" s="78">
        <f t="shared" ref="J10" si="14">(I10-I9)</f>
        <v>9</v>
      </c>
      <c r="K10" s="75">
        <v>131228</v>
      </c>
      <c r="L10" s="78">
        <f t="shared" ref="L10" si="15">(K10-K9)</f>
        <v>108</v>
      </c>
      <c r="M10" s="79">
        <f t="shared" si="5"/>
        <v>59.400000000000006</v>
      </c>
      <c r="N10" s="79">
        <f t="shared" si="6"/>
        <v>48.6</v>
      </c>
      <c r="O10" s="75">
        <v>95859</v>
      </c>
      <c r="P10" s="78">
        <f t="shared" ref="P10" si="16">(O10-O9)</f>
        <v>66</v>
      </c>
      <c r="R10" s="111">
        <f t="shared" si="0"/>
        <v>322.32229999999981</v>
      </c>
      <c r="S10" s="101">
        <f t="shared" si="8"/>
        <v>114.6</v>
      </c>
    </row>
    <row r="11" spans="1:19" ht="39.950000000000003" customHeight="1">
      <c r="A11" s="195">
        <v>44201</v>
      </c>
      <c r="B11" s="16"/>
      <c r="C11" s="75">
        <v>190396</v>
      </c>
      <c r="D11" s="78">
        <f t="shared" si="1"/>
        <v>83</v>
      </c>
      <c r="E11" s="75">
        <v>180608</v>
      </c>
      <c r="F11" s="78">
        <f t="shared" si="1"/>
        <v>177</v>
      </c>
      <c r="G11" s="181">
        <v>5941.0042999999996</v>
      </c>
      <c r="H11" s="79">
        <f t="shared" ref="H11" si="17">(G11-G10)</f>
        <v>3.7699999999995271</v>
      </c>
      <c r="I11" s="75">
        <v>11918</v>
      </c>
      <c r="J11" s="78">
        <f t="shared" ref="J11" si="18">(I11-I10)</f>
        <v>39</v>
      </c>
      <c r="K11" s="75">
        <v>131354</v>
      </c>
      <c r="L11" s="78">
        <f t="shared" ref="L11" si="19">(K11-K10)</f>
        <v>126</v>
      </c>
      <c r="M11" s="79">
        <f t="shared" si="5"/>
        <v>69.300000000000011</v>
      </c>
      <c r="N11" s="79">
        <f t="shared" si="6"/>
        <v>56.7</v>
      </c>
      <c r="O11" s="75">
        <v>95940</v>
      </c>
      <c r="P11" s="78">
        <f t="shared" ref="P11" si="20">(O11-O10)</f>
        <v>81</v>
      </c>
      <c r="R11" s="111">
        <f t="shared" si="0"/>
        <v>263.76999999999953</v>
      </c>
      <c r="S11" s="101">
        <f t="shared" si="8"/>
        <v>137.69999999999999</v>
      </c>
    </row>
    <row r="12" spans="1:19" ht="39.950000000000003" customHeight="1">
      <c r="A12" s="195">
        <v>44202</v>
      </c>
      <c r="B12" s="16"/>
      <c r="C12" s="75">
        <v>190463</v>
      </c>
      <c r="D12" s="78">
        <f t="shared" si="1"/>
        <v>67</v>
      </c>
      <c r="E12" s="75">
        <v>180796</v>
      </c>
      <c r="F12" s="78">
        <f t="shared" si="1"/>
        <v>188</v>
      </c>
      <c r="G12" s="181">
        <v>5943.5688</v>
      </c>
      <c r="H12" s="79">
        <f t="shared" ref="H12" si="21">(G12-G11)</f>
        <v>2.5645000000004075</v>
      </c>
      <c r="I12" s="75">
        <v>11941</v>
      </c>
      <c r="J12" s="78">
        <f t="shared" ref="J12" si="22">(I12-I11)</f>
        <v>23</v>
      </c>
      <c r="K12" s="75">
        <v>131450</v>
      </c>
      <c r="L12" s="78">
        <f t="shared" ref="L12" si="23">(K12-K11)</f>
        <v>96</v>
      </c>
      <c r="M12" s="79">
        <f t="shared" si="5"/>
        <v>52.800000000000004</v>
      </c>
      <c r="N12" s="79">
        <f t="shared" si="6"/>
        <v>43.2</v>
      </c>
      <c r="O12" s="76">
        <v>96032</v>
      </c>
      <c r="P12" s="78">
        <f t="shared" ref="P12" si="24">(O12-O11)</f>
        <v>92</v>
      </c>
      <c r="R12" s="111">
        <f t="shared" si="0"/>
        <v>257.56450000000041</v>
      </c>
      <c r="S12" s="101">
        <f t="shared" si="8"/>
        <v>135.19999999999999</v>
      </c>
    </row>
    <row r="13" spans="1:19" ht="39.950000000000003" customHeight="1">
      <c r="A13" s="195">
        <v>44203</v>
      </c>
      <c r="B13" s="16"/>
      <c r="C13" s="75">
        <v>190535</v>
      </c>
      <c r="D13" s="78">
        <f t="shared" si="1"/>
        <v>72</v>
      </c>
      <c r="E13" s="75">
        <v>180974</v>
      </c>
      <c r="F13" s="78">
        <f t="shared" si="1"/>
        <v>178</v>
      </c>
      <c r="G13" s="181">
        <v>5948.5919999999996</v>
      </c>
      <c r="H13" s="79">
        <f t="shared" ref="H13" si="25">(G13-G12)</f>
        <v>5.0231999999996333</v>
      </c>
      <c r="I13" s="75">
        <v>11949</v>
      </c>
      <c r="J13" s="78">
        <f t="shared" ref="J13" si="26">(I13-I12)</f>
        <v>8</v>
      </c>
      <c r="K13" s="75">
        <v>131551</v>
      </c>
      <c r="L13" s="78">
        <f t="shared" ref="L13" si="27">(K13-K12)</f>
        <v>101</v>
      </c>
      <c r="M13" s="79">
        <f t="shared" si="5"/>
        <v>55.550000000000004</v>
      </c>
      <c r="N13" s="79">
        <f t="shared" si="6"/>
        <v>45.45</v>
      </c>
      <c r="O13" s="76">
        <v>96111</v>
      </c>
      <c r="P13" s="78">
        <f t="shared" ref="P13" si="28">(O13-O12)</f>
        <v>79</v>
      </c>
      <c r="R13" s="111">
        <f t="shared" si="0"/>
        <v>255.02319999999963</v>
      </c>
      <c r="S13" s="101">
        <f t="shared" si="8"/>
        <v>124.45</v>
      </c>
    </row>
    <row r="14" spans="1:19" ht="39.950000000000003" customHeight="1">
      <c r="A14" s="195">
        <v>44204</v>
      </c>
      <c r="B14" s="16"/>
      <c r="C14" s="75">
        <v>190628</v>
      </c>
      <c r="D14" s="78">
        <f t="shared" si="1"/>
        <v>93</v>
      </c>
      <c r="E14" s="75">
        <v>181161</v>
      </c>
      <c r="F14" s="78">
        <f t="shared" si="1"/>
        <v>187</v>
      </c>
      <c r="G14" s="181">
        <v>5952.3923000000004</v>
      </c>
      <c r="H14" s="79">
        <f t="shared" ref="H14" si="29">(G14-G13)</f>
        <v>3.8003000000007887</v>
      </c>
      <c r="I14" s="75">
        <v>11962</v>
      </c>
      <c r="J14" s="78">
        <f t="shared" ref="J14" si="30">(I14-I13)</f>
        <v>13</v>
      </c>
      <c r="K14" s="75">
        <v>131652</v>
      </c>
      <c r="L14" s="78">
        <f t="shared" ref="L14" si="31">(K14-K13)</f>
        <v>101</v>
      </c>
      <c r="M14" s="79">
        <f t="shared" si="5"/>
        <v>55.550000000000004</v>
      </c>
      <c r="N14" s="79">
        <f t="shared" si="6"/>
        <v>45.45</v>
      </c>
      <c r="O14" s="76">
        <v>96185</v>
      </c>
      <c r="P14" s="78">
        <f t="shared" ref="P14" si="32">(O14-O13)</f>
        <v>74</v>
      </c>
      <c r="R14" s="111">
        <f t="shared" si="0"/>
        <v>283.80030000000079</v>
      </c>
      <c r="S14" s="101">
        <f t="shared" si="8"/>
        <v>119.45</v>
      </c>
    </row>
    <row r="15" spans="1:19" ht="39.950000000000003" customHeight="1">
      <c r="A15" s="195">
        <v>44205</v>
      </c>
      <c r="B15" s="16"/>
      <c r="C15" s="75">
        <v>190776</v>
      </c>
      <c r="D15" s="78">
        <f t="shared" si="1"/>
        <v>148</v>
      </c>
      <c r="E15" s="75">
        <v>181385</v>
      </c>
      <c r="F15" s="78">
        <f t="shared" si="1"/>
        <v>224</v>
      </c>
      <c r="G15" s="181">
        <v>5961.8540000000003</v>
      </c>
      <c r="H15" s="79">
        <f t="shared" ref="H15" si="33">(G15-G14)</f>
        <v>9.461699999999837</v>
      </c>
      <c r="I15" s="75">
        <v>11971</v>
      </c>
      <c r="J15" s="78">
        <f t="shared" ref="J15" si="34">(I15-I14)</f>
        <v>9</v>
      </c>
      <c r="K15" s="75">
        <v>131781</v>
      </c>
      <c r="L15" s="78">
        <f t="shared" ref="L15" si="35">(K15-K14)</f>
        <v>129</v>
      </c>
      <c r="M15" s="79">
        <f t="shared" si="5"/>
        <v>70.95</v>
      </c>
      <c r="N15" s="79">
        <f t="shared" si="6"/>
        <v>58.050000000000004</v>
      </c>
      <c r="O15" s="76">
        <v>96271</v>
      </c>
      <c r="P15" s="78">
        <f t="shared" ref="P15" si="36">(O15-O14)</f>
        <v>86</v>
      </c>
      <c r="R15" s="111">
        <f t="shared" si="0"/>
        <v>381.46169999999984</v>
      </c>
      <c r="S15" s="101">
        <f t="shared" si="8"/>
        <v>144.05000000000001</v>
      </c>
    </row>
    <row r="16" spans="1:19" ht="39.950000000000003" customHeight="1">
      <c r="A16" s="195">
        <v>44206</v>
      </c>
      <c r="B16" s="16"/>
      <c r="C16" s="75">
        <v>190928</v>
      </c>
      <c r="D16" s="78">
        <f t="shared" si="1"/>
        <v>152</v>
      </c>
      <c r="E16" s="75">
        <v>181607</v>
      </c>
      <c r="F16" s="78">
        <f t="shared" si="1"/>
        <v>222</v>
      </c>
      <c r="G16" s="181">
        <v>5965.4219999999996</v>
      </c>
      <c r="H16" s="79">
        <f t="shared" ref="H16" si="37">(G16-G15)</f>
        <v>3.5679999999993015</v>
      </c>
      <c r="I16" s="75">
        <v>11983</v>
      </c>
      <c r="J16" s="78">
        <f t="shared" ref="J16" si="38">(I16-I15)</f>
        <v>12</v>
      </c>
      <c r="K16" s="75">
        <v>131899</v>
      </c>
      <c r="L16" s="78">
        <f t="shared" ref="L16" si="39">(K16-K15)</f>
        <v>118</v>
      </c>
      <c r="M16" s="79">
        <f t="shared" si="5"/>
        <v>64.900000000000006</v>
      </c>
      <c r="N16" s="79">
        <f t="shared" si="6"/>
        <v>53.1</v>
      </c>
      <c r="O16" s="76">
        <v>96366</v>
      </c>
      <c r="P16" s="78">
        <f t="shared" ref="P16" si="40">(O16-O15)</f>
        <v>95</v>
      </c>
      <c r="R16" s="111">
        <f t="shared" si="0"/>
        <v>377.5679999999993</v>
      </c>
      <c r="S16" s="101">
        <f t="shared" si="8"/>
        <v>148.1</v>
      </c>
    </row>
    <row r="17" spans="1:19" ht="39.950000000000003" customHeight="1">
      <c r="A17" s="195">
        <v>44207</v>
      </c>
      <c r="B17" s="16"/>
      <c r="C17" s="75">
        <v>191057</v>
      </c>
      <c r="D17" s="78">
        <f t="shared" si="1"/>
        <v>129</v>
      </c>
      <c r="E17" s="75">
        <v>181804</v>
      </c>
      <c r="F17" s="78">
        <f t="shared" si="1"/>
        <v>197</v>
      </c>
      <c r="G17" s="181">
        <v>5971.2412000000004</v>
      </c>
      <c r="H17" s="79">
        <f t="shared" ref="H17" si="41">(G17-G16)</f>
        <v>5.8192000000008193</v>
      </c>
      <c r="I17" s="75">
        <v>11994</v>
      </c>
      <c r="J17" s="78">
        <f t="shared" ref="J17" si="42">(I17-I16)</f>
        <v>11</v>
      </c>
      <c r="K17" s="75">
        <v>132017</v>
      </c>
      <c r="L17" s="78">
        <f t="shared" ref="L17" si="43">(K17-K16)</f>
        <v>118</v>
      </c>
      <c r="M17" s="79">
        <f t="shared" si="5"/>
        <v>64.900000000000006</v>
      </c>
      <c r="N17" s="79">
        <f t="shared" si="6"/>
        <v>53.1</v>
      </c>
      <c r="O17" s="76">
        <v>96461</v>
      </c>
      <c r="P17" s="183">
        <f t="shared" ref="P17" si="44">(O17-O16)</f>
        <v>95</v>
      </c>
      <c r="R17" s="111">
        <f t="shared" si="0"/>
        <v>331.81920000000082</v>
      </c>
      <c r="S17" s="101">
        <f t="shared" si="8"/>
        <v>148.1</v>
      </c>
    </row>
    <row r="18" spans="1:19" ht="39.950000000000003" customHeight="1">
      <c r="A18" s="195">
        <v>44208</v>
      </c>
      <c r="B18" s="16"/>
      <c r="C18" s="75">
        <v>191197</v>
      </c>
      <c r="D18" s="78">
        <f t="shared" si="1"/>
        <v>140</v>
      </c>
      <c r="E18" s="75">
        <v>182017</v>
      </c>
      <c r="F18" s="78">
        <f t="shared" si="1"/>
        <v>213</v>
      </c>
      <c r="G18" s="181">
        <v>5994.69</v>
      </c>
      <c r="H18" s="79">
        <f t="shared" ref="H18" si="45">(G18-G17)</f>
        <v>23.44879999999921</v>
      </c>
      <c r="I18" s="75">
        <v>12004</v>
      </c>
      <c r="J18" s="78">
        <f t="shared" ref="J18" si="46">(I18-I17)</f>
        <v>10</v>
      </c>
      <c r="K18" s="75">
        <v>132154</v>
      </c>
      <c r="L18" s="78">
        <f t="shared" ref="L18" si="47">(K18-K17)</f>
        <v>137</v>
      </c>
      <c r="M18" s="79">
        <f t="shared" si="5"/>
        <v>75.350000000000009</v>
      </c>
      <c r="N18" s="79">
        <f t="shared" si="6"/>
        <v>61.65</v>
      </c>
      <c r="O18" s="76">
        <v>96525</v>
      </c>
      <c r="P18" s="183">
        <f t="shared" ref="P18" si="48">(O18-O17)</f>
        <v>64</v>
      </c>
      <c r="R18" s="111">
        <f t="shared" si="0"/>
        <v>376.44879999999921</v>
      </c>
      <c r="S18" s="101">
        <f t="shared" si="8"/>
        <v>125.65</v>
      </c>
    </row>
    <row r="19" spans="1:19" s="82" customFormat="1" ht="39.950000000000003" customHeight="1">
      <c r="A19" s="195">
        <v>44209</v>
      </c>
      <c r="B19" s="85"/>
      <c r="C19" s="75">
        <v>191316</v>
      </c>
      <c r="D19" s="78">
        <f t="shared" si="1"/>
        <v>119</v>
      </c>
      <c r="E19" s="75">
        <v>182230</v>
      </c>
      <c r="F19" s="78">
        <f t="shared" si="1"/>
        <v>213</v>
      </c>
      <c r="G19" s="181">
        <v>6001.3262999999997</v>
      </c>
      <c r="H19" s="79">
        <f t="shared" ref="H19" si="49">(G19-G18)</f>
        <v>6.6363000000001193</v>
      </c>
      <c r="I19" s="75">
        <v>12051</v>
      </c>
      <c r="J19" s="78">
        <f t="shared" ref="J19" si="50">(I19-I18)</f>
        <v>47</v>
      </c>
      <c r="K19" s="75">
        <v>132293</v>
      </c>
      <c r="L19" s="78">
        <f t="shared" ref="L19" si="51">(K19-K18)</f>
        <v>139</v>
      </c>
      <c r="M19" s="79">
        <f t="shared" si="5"/>
        <v>76.45</v>
      </c>
      <c r="N19" s="79">
        <f t="shared" si="6"/>
        <v>62.550000000000004</v>
      </c>
      <c r="O19" s="76">
        <v>96662</v>
      </c>
      <c r="P19" s="183">
        <f t="shared" ref="P19" si="52">(O19-O18)</f>
        <v>137</v>
      </c>
      <c r="R19" s="168">
        <f t="shared" si="0"/>
        <v>338.63630000000012</v>
      </c>
      <c r="S19" s="110">
        <f t="shared" si="8"/>
        <v>199.55</v>
      </c>
    </row>
    <row r="20" spans="1:19" s="82" customFormat="1" ht="39.950000000000003" customHeight="1">
      <c r="A20" s="195">
        <v>44210</v>
      </c>
      <c r="B20" s="85"/>
      <c r="C20" s="75">
        <v>191456</v>
      </c>
      <c r="D20" s="78">
        <f t="shared" si="1"/>
        <v>140</v>
      </c>
      <c r="E20" s="75">
        <v>182469</v>
      </c>
      <c r="F20" s="78">
        <f t="shared" si="1"/>
        <v>239</v>
      </c>
      <c r="G20" s="181">
        <v>6008.5676000000003</v>
      </c>
      <c r="H20" s="79">
        <f t="shared" ref="H20" si="53">(G20-G19)</f>
        <v>7.2413000000005923</v>
      </c>
      <c r="I20" s="75">
        <v>12059</v>
      </c>
      <c r="J20" s="78">
        <f t="shared" ref="J20" si="54">(I20-I19)</f>
        <v>8</v>
      </c>
      <c r="K20" s="75">
        <v>132436</v>
      </c>
      <c r="L20" s="78">
        <f t="shared" ref="L20" si="55">(K20-K19)</f>
        <v>143</v>
      </c>
      <c r="M20" s="79">
        <f t="shared" si="5"/>
        <v>78.650000000000006</v>
      </c>
      <c r="N20" s="79">
        <f t="shared" si="6"/>
        <v>64.350000000000009</v>
      </c>
      <c r="O20" s="76">
        <v>96695</v>
      </c>
      <c r="P20" s="183">
        <f t="shared" ref="P20" si="56">(O20-O19)</f>
        <v>33</v>
      </c>
      <c r="R20" s="168">
        <f t="shared" si="0"/>
        <v>386.24130000000059</v>
      </c>
      <c r="S20" s="110">
        <f t="shared" si="8"/>
        <v>97.350000000000009</v>
      </c>
    </row>
    <row r="21" spans="1:19" s="82" customFormat="1" ht="39.950000000000003" customHeight="1">
      <c r="A21" s="195">
        <v>44211</v>
      </c>
      <c r="B21" s="85"/>
      <c r="C21" s="76">
        <v>191609</v>
      </c>
      <c r="D21" s="78">
        <f t="shared" si="1"/>
        <v>153</v>
      </c>
      <c r="E21" s="76">
        <v>182670</v>
      </c>
      <c r="F21" s="183">
        <f>(E21-E20)</f>
        <v>201</v>
      </c>
      <c r="G21" s="77">
        <v>6011.0459000000001</v>
      </c>
      <c r="H21" s="79">
        <f t="shared" ref="H21" si="57">(G21-G20)</f>
        <v>2.4782999999997628</v>
      </c>
      <c r="I21" s="76">
        <v>12066</v>
      </c>
      <c r="J21" s="78">
        <f t="shared" ref="J21" si="58">(I21-I20)</f>
        <v>7</v>
      </c>
      <c r="K21" s="76">
        <v>132569</v>
      </c>
      <c r="L21" s="78">
        <f t="shared" ref="L21" si="59">(K21-K20)</f>
        <v>133</v>
      </c>
      <c r="M21" s="79">
        <f t="shared" si="5"/>
        <v>73.150000000000006</v>
      </c>
      <c r="N21" s="79">
        <f t="shared" si="6"/>
        <v>59.85</v>
      </c>
      <c r="O21" s="76">
        <v>96772</v>
      </c>
      <c r="P21" s="78">
        <f t="shared" ref="P21" si="60">(O21-O20)</f>
        <v>77</v>
      </c>
      <c r="R21" s="168">
        <f t="shared" si="0"/>
        <v>356.47829999999976</v>
      </c>
      <c r="S21" s="110">
        <f t="shared" si="8"/>
        <v>136.85</v>
      </c>
    </row>
    <row r="22" spans="1:19" s="82" customFormat="1" ht="39.950000000000003" customHeight="1">
      <c r="A22" s="195">
        <v>44212</v>
      </c>
      <c r="B22" s="85"/>
      <c r="C22" s="76">
        <v>191742</v>
      </c>
      <c r="D22" s="78">
        <f t="shared" si="1"/>
        <v>133</v>
      </c>
      <c r="E22" s="76">
        <v>182867</v>
      </c>
      <c r="F22" s="78">
        <f>(E22-E21)</f>
        <v>197</v>
      </c>
      <c r="G22" s="77">
        <v>6015.3813</v>
      </c>
      <c r="H22" s="79">
        <f t="shared" ref="H22" si="61">(G22-G21)</f>
        <v>4.335399999999936</v>
      </c>
      <c r="I22" s="76">
        <v>12108</v>
      </c>
      <c r="J22" s="78">
        <f t="shared" ref="J22" si="62">(I22-I21)</f>
        <v>42</v>
      </c>
      <c r="K22" s="76">
        <v>132690</v>
      </c>
      <c r="L22" s="78">
        <f t="shared" ref="L22" si="63">(K22-K21)</f>
        <v>121</v>
      </c>
      <c r="M22" s="79">
        <f t="shared" si="5"/>
        <v>66.550000000000011</v>
      </c>
      <c r="N22" s="79">
        <f t="shared" si="6"/>
        <v>54.45</v>
      </c>
      <c r="O22" s="76">
        <v>96848</v>
      </c>
      <c r="P22" s="78">
        <f t="shared" ref="P22" si="64">(O22-O21)</f>
        <v>76</v>
      </c>
      <c r="R22" s="168">
        <f t="shared" si="0"/>
        <v>334.33539999999994</v>
      </c>
      <c r="S22" s="110">
        <f t="shared" si="8"/>
        <v>130.44999999999999</v>
      </c>
    </row>
    <row r="23" spans="1:19" s="82" customFormat="1" ht="39.950000000000003" customHeight="1">
      <c r="A23" s="195">
        <v>44213</v>
      </c>
      <c r="B23" s="85"/>
      <c r="C23" s="76">
        <v>191934</v>
      </c>
      <c r="D23" s="78">
        <f t="shared" si="1"/>
        <v>192</v>
      </c>
      <c r="E23" s="76">
        <v>183092</v>
      </c>
      <c r="F23" s="78">
        <f>(E23-E22)</f>
        <v>225</v>
      </c>
      <c r="G23" s="77">
        <v>6024.3963000000003</v>
      </c>
      <c r="H23" s="79">
        <f t="shared" ref="H23" si="65">(G23-G22)</f>
        <v>9.0150000000003274</v>
      </c>
      <c r="I23" s="76">
        <v>12162</v>
      </c>
      <c r="J23" s="78">
        <f t="shared" ref="J23" si="66">(I23-I22)</f>
        <v>54</v>
      </c>
      <c r="K23" s="76">
        <v>132801</v>
      </c>
      <c r="L23" s="78">
        <f t="shared" ref="L23" si="67">(K23-K22)</f>
        <v>111</v>
      </c>
      <c r="M23" s="79">
        <f t="shared" si="5"/>
        <v>61.050000000000004</v>
      </c>
      <c r="N23" s="79">
        <f t="shared" si="6"/>
        <v>49.95</v>
      </c>
      <c r="O23" s="76">
        <v>96955</v>
      </c>
      <c r="P23" s="78">
        <f t="shared" ref="P23" si="68">(O23-O22)</f>
        <v>107</v>
      </c>
      <c r="R23" s="168">
        <f t="shared" si="0"/>
        <v>426.01500000000033</v>
      </c>
      <c r="S23" s="110">
        <f t="shared" si="8"/>
        <v>156.94999999999999</v>
      </c>
    </row>
    <row r="24" spans="1:19" s="82" customFormat="1" ht="39.950000000000003" customHeight="1">
      <c r="A24" s="195">
        <v>44214</v>
      </c>
      <c r="B24" s="85"/>
      <c r="C24" s="76">
        <v>192089</v>
      </c>
      <c r="D24" s="78">
        <f t="shared" si="1"/>
        <v>155</v>
      </c>
      <c r="E24" s="76">
        <v>183187</v>
      </c>
      <c r="F24" s="78">
        <f t="shared" si="1"/>
        <v>95</v>
      </c>
      <c r="G24" s="77">
        <v>6027.18</v>
      </c>
      <c r="H24" s="79">
        <f t="shared" ref="H24" si="69">(G24-G23)</f>
        <v>2.7836999999999534</v>
      </c>
      <c r="I24" s="76">
        <v>12182</v>
      </c>
      <c r="J24" s="78">
        <f t="shared" ref="J24" si="70">(I24-I23)</f>
        <v>20</v>
      </c>
      <c r="K24" s="76">
        <v>132947</v>
      </c>
      <c r="L24" s="78">
        <f t="shared" ref="L24" si="71">(K24-K23)</f>
        <v>146</v>
      </c>
      <c r="M24" s="79">
        <f t="shared" si="5"/>
        <v>80.300000000000011</v>
      </c>
      <c r="N24" s="79">
        <f t="shared" si="6"/>
        <v>65.7</v>
      </c>
      <c r="O24" s="76">
        <v>97050</v>
      </c>
      <c r="P24" s="78">
        <f t="shared" ref="P24" si="72">(O24-O23)</f>
        <v>95</v>
      </c>
      <c r="R24" s="168">
        <f t="shared" si="0"/>
        <v>252.78369999999995</v>
      </c>
      <c r="S24" s="110">
        <f t="shared" si="8"/>
        <v>160.69999999999999</v>
      </c>
    </row>
    <row r="25" spans="1:19" s="82" customFormat="1" ht="39.950000000000003" customHeight="1">
      <c r="A25" s="195">
        <v>44215</v>
      </c>
      <c r="B25" s="85"/>
      <c r="C25" s="76">
        <v>192245</v>
      </c>
      <c r="D25" s="78">
        <f t="shared" si="1"/>
        <v>156</v>
      </c>
      <c r="E25" s="76">
        <v>183298</v>
      </c>
      <c r="F25" s="78">
        <f t="shared" si="1"/>
        <v>111</v>
      </c>
      <c r="G25" s="77">
        <v>6030.0990000000002</v>
      </c>
      <c r="H25" s="79">
        <f t="shared" ref="H25" si="73">(G25-G24)</f>
        <v>2.918999999999869</v>
      </c>
      <c r="I25" s="86">
        <f>(I24+I26)/2</f>
        <v>12206.5</v>
      </c>
      <c r="J25" s="78">
        <f t="shared" ref="J25" si="74">(I25-I24)</f>
        <v>24.5</v>
      </c>
      <c r="K25" s="76">
        <v>133069</v>
      </c>
      <c r="L25" s="78">
        <f t="shared" ref="L25" si="75">(K25-K24)</f>
        <v>122</v>
      </c>
      <c r="M25" s="79">
        <f t="shared" si="5"/>
        <v>67.100000000000009</v>
      </c>
      <c r="N25" s="79">
        <f t="shared" si="6"/>
        <v>54.9</v>
      </c>
      <c r="O25" s="76">
        <v>97758</v>
      </c>
      <c r="P25" s="78">
        <f t="shared" ref="P25" si="76">(O25-O24)</f>
        <v>708</v>
      </c>
      <c r="R25" s="168">
        <f t="shared" si="0"/>
        <v>269.91899999999987</v>
      </c>
      <c r="S25" s="110">
        <f t="shared" si="8"/>
        <v>762.9</v>
      </c>
    </row>
    <row r="26" spans="1:19" ht="39.950000000000003" customHeight="1">
      <c r="A26" s="195">
        <v>44216</v>
      </c>
      <c r="B26" s="85"/>
      <c r="C26" s="76">
        <v>192376</v>
      </c>
      <c r="D26" s="78">
        <f t="shared" si="1"/>
        <v>131</v>
      </c>
      <c r="E26" s="76">
        <v>183428</v>
      </c>
      <c r="F26" s="78">
        <f t="shared" si="1"/>
        <v>130</v>
      </c>
      <c r="G26" s="77">
        <v>6034.5590000000002</v>
      </c>
      <c r="H26" s="79">
        <f t="shared" ref="H26" si="77">(G26-G25)</f>
        <v>4.4600000000000364</v>
      </c>
      <c r="I26" s="76">
        <v>12231</v>
      </c>
      <c r="J26" s="78">
        <f t="shared" ref="J26" si="78">(I26-I25)</f>
        <v>24.5</v>
      </c>
      <c r="K26" s="76">
        <v>133179</v>
      </c>
      <c r="L26" s="78">
        <f t="shared" ref="L26" si="79">(K26-K25)</f>
        <v>110</v>
      </c>
      <c r="M26" s="79">
        <f t="shared" si="5"/>
        <v>60.500000000000007</v>
      </c>
      <c r="N26" s="79">
        <f t="shared" si="6"/>
        <v>49.5</v>
      </c>
      <c r="O26" s="76">
        <v>97968</v>
      </c>
      <c r="P26" s="78">
        <f t="shared" ref="P26" si="80">(O26-O25)</f>
        <v>210</v>
      </c>
      <c r="R26" s="111">
        <f t="shared" si="0"/>
        <v>265.46000000000004</v>
      </c>
      <c r="S26" s="101">
        <f t="shared" si="8"/>
        <v>259.5</v>
      </c>
    </row>
    <row r="27" spans="1:19" ht="39.950000000000003" customHeight="1">
      <c r="A27" s="195">
        <v>44217</v>
      </c>
      <c r="B27" s="85"/>
      <c r="C27" s="76">
        <v>192484</v>
      </c>
      <c r="D27" s="78">
        <f t="shared" si="1"/>
        <v>108</v>
      </c>
      <c r="E27" s="76">
        <v>183626</v>
      </c>
      <c r="F27" s="78">
        <f t="shared" si="1"/>
        <v>198</v>
      </c>
      <c r="G27" s="77">
        <v>6046.6275999999998</v>
      </c>
      <c r="H27" s="79">
        <f t="shared" ref="H27" si="81">(G27-G26)</f>
        <v>12.068599999999606</v>
      </c>
      <c r="I27" s="76">
        <v>12240</v>
      </c>
      <c r="J27" s="78">
        <f t="shared" ref="J27" si="82">(I27-I26)</f>
        <v>9</v>
      </c>
      <c r="K27" s="76">
        <v>133300</v>
      </c>
      <c r="L27" s="78">
        <f t="shared" ref="L27" si="83">(K27-K26)</f>
        <v>121</v>
      </c>
      <c r="M27" s="79">
        <f t="shared" si="5"/>
        <v>66.550000000000011</v>
      </c>
      <c r="N27" s="79">
        <f t="shared" si="6"/>
        <v>54.45</v>
      </c>
      <c r="O27" s="76">
        <v>98051</v>
      </c>
      <c r="P27" s="78">
        <f t="shared" ref="P27" si="84">(O27-O26)</f>
        <v>83</v>
      </c>
      <c r="R27" s="111">
        <f t="shared" si="0"/>
        <v>318.06859999999961</v>
      </c>
      <c r="S27" s="101">
        <f t="shared" si="8"/>
        <v>137.44999999999999</v>
      </c>
    </row>
    <row r="28" spans="1:19" ht="39.950000000000003" customHeight="1">
      <c r="A28" s="195">
        <v>44218</v>
      </c>
      <c r="B28" s="85"/>
      <c r="C28" s="76">
        <v>192602</v>
      </c>
      <c r="D28" s="78">
        <f t="shared" si="1"/>
        <v>118</v>
      </c>
      <c r="E28" s="76">
        <v>183808</v>
      </c>
      <c r="F28" s="78">
        <f t="shared" si="1"/>
        <v>182</v>
      </c>
      <c r="G28" s="77">
        <v>6049.3001999999997</v>
      </c>
      <c r="H28" s="79">
        <f t="shared" ref="H28" si="85">(G28-G27)</f>
        <v>2.6725999999998749</v>
      </c>
      <c r="I28" s="76">
        <v>12243</v>
      </c>
      <c r="J28" s="78">
        <f t="shared" ref="J28" si="86">(I28-I27)</f>
        <v>3</v>
      </c>
      <c r="K28" s="76">
        <v>133414</v>
      </c>
      <c r="L28" s="78">
        <f t="shared" ref="L28" si="87">(K28-K27)</f>
        <v>114</v>
      </c>
      <c r="M28" s="79">
        <f t="shared" si="5"/>
        <v>62.7</v>
      </c>
      <c r="N28" s="79">
        <f t="shared" si="6"/>
        <v>51.300000000000004</v>
      </c>
      <c r="O28" s="76">
        <v>98130</v>
      </c>
      <c r="P28" s="78">
        <f t="shared" ref="P28" si="88">(O28-O27)</f>
        <v>79</v>
      </c>
      <c r="R28" s="111">
        <f t="shared" si="0"/>
        <v>302.67259999999987</v>
      </c>
      <c r="S28" s="101">
        <f t="shared" si="8"/>
        <v>130.30000000000001</v>
      </c>
    </row>
    <row r="29" spans="1:19" ht="39.950000000000003" customHeight="1">
      <c r="A29" s="195">
        <v>44219</v>
      </c>
      <c r="B29" s="85"/>
      <c r="C29" s="76">
        <v>192758</v>
      </c>
      <c r="D29" s="78">
        <f t="shared" si="1"/>
        <v>156</v>
      </c>
      <c r="E29" s="76">
        <v>184004</v>
      </c>
      <c r="F29" s="78">
        <f t="shared" si="1"/>
        <v>196</v>
      </c>
      <c r="G29" s="77">
        <v>6053.473</v>
      </c>
      <c r="H29" s="79">
        <f t="shared" ref="H29" si="89">(G29-G28)</f>
        <v>4.1728000000002794</v>
      </c>
      <c r="I29" s="76">
        <v>12253</v>
      </c>
      <c r="J29" s="78">
        <f t="shared" ref="J29" si="90">(I29-I28)</f>
        <v>10</v>
      </c>
      <c r="K29" s="76">
        <v>133548</v>
      </c>
      <c r="L29" s="78">
        <f t="shared" ref="L29" si="91">(K29-K28)</f>
        <v>134</v>
      </c>
      <c r="M29" s="79">
        <f t="shared" si="5"/>
        <v>73.7</v>
      </c>
      <c r="N29" s="79">
        <f t="shared" si="6"/>
        <v>60.300000000000004</v>
      </c>
      <c r="O29" s="76">
        <v>98225</v>
      </c>
      <c r="P29" s="78">
        <f t="shared" ref="P29" si="92">(O29-O28)</f>
        <v>95</v>
      </c>
      <c r="R29" s="111">
        <f t="shared" si="0"/>
        <v>356.17280000000028</v>
      </c>
      <c r="S29" s="101">
        <f t="shared" si="8"/>
        <v>155.30000000000001</v>
      </c>
    </row>
    <row r="30" spans="1:19" ht="39.950000000000003" customHeight="1">
      <c r="A30" s="195">
        <v>44220</v>
      </c>
      <c r="B30" s="85"/>
      <c r="C30" s="76">
        <v>192953</v>
      </c>
      <c r="D30" s="78">
        <f t="shared" si="1"/>
        <v>195</v>
      </c>
      <c r="E30" s="76">
        <v>184209</v>
      </c>
      <c r="F30" s="78">
        <f t="shared" si="1"/>
        <v>205</v>
      </c>
      <c r="G30" s="77">
        <v>6056.4324999999999</v>
      </c>
      <c r="H30" s="79">
        <f t="shared" ref="H30" si="93">(G30-G29)</f>
        <v>2.9594999999999345</v>
      </c>
      <c r="I30" s="76">
        <v>12255</v>
      </c>
      <c r="J30" s="78">
        <f t="shared" ref="J30" si="94">(I30-I29)</f>
        <v>2</v>
      </c>
      <c r="K30" s="76">
        <v>133648</v>
      </c>
      <c r="L30" s="78">
        <f t="shared" ref="L30" si="95">(K30-K29)</f>
        <v>100</v>
      </c>
      <c r="M30" s="79">
        <f t="shared" si="5"/>
        <v>55.000000000000007</v>
      </c>
      <c r="N30" s="79">
        <f t="shared" si="6"/>
        <v>45</v>
      </c>
      <c r="O30" s="76">
        <v>98289</v>
      </c>
      <c r="P30" s="78">
        <f t="shared" ref="P30" si="96">(O30-O29)</f>
        <v>64</v>
      </c>
      <c r="R30" s="111">
        <f t="shared" si="0"/>
        <v>402.95949999999993</v>
      </c>
      <c r="S30" s="101">
        <f t="shared" si="8"/>
        <v>109</v>
      </c>
    </row>
    <row r="31" spans="1:19" ht="39.950000000000003" customHeight="1">
      <c r="A31" s="195">
        <v>44221</v>
      </c>
      <c r="B31" s="85"/>
      <c r="C31" s="76">
        <v>193120</v>
      </c>
      <c r="D31" s="78">
        <f t="shared" si="1"/>
        <v>167</v>
      </c>
      <c r="E31" s="76">
        <v>184415</v>
      </c>
      <c r="F31" s="78">
        <f t="shared" si="1"/>
        <v>206</v>
      </c>
      <c r="G31" s="77">
        <v>6061.6126000000004</v>
      </c>
      <c r="H31" s="79">
        <f t="shared" ref="H31" si="97">(G31-G30)</f>
        <v>5.1801000000004933</v>
      </c>
      <c r="I31" s="76">
        <v>12266</v>
      </c>
      <c r="J31" s="78">
        <f t="shared" ref="J31" si="98">(I31-I30)</f>
        <v>11</v>
      </c>
      <c r="K31" s="76">
        <v>133785</v>
      </c>
      <c r="L31" s="78">
        <f t="shared" ref="L31" si="99">(K31-K30)</f>
        <v>137</v>
      </c>
      <c r="M31" s="79">
        <f t="shared" si="5"/>
        <v>75.350000000000009</v>
      </c>
      <c r="N31" s="79">
        <f t="shared" si="6"/>
        <v>61.65</v>
      </c>
      <c r="O31" s="76">
        <v>98379</v>
      </c>
      <c r="P31" s="78">
        <f t="shared" ref="P31" si="100">(O31-O30)</f>
        <v>90</v>
      </c>
      <c r="R31" s="111">
        <f t="shared" si="0"/>
        <v>378.18010000000049</v>
      </c>
      <c r="S31" s="101">
        <f t="shared" si="8"/>
        <v>151.65</v>
      </c>
    </row>
    <row r="32" spans="1:19" ht="39.950000000000003" customHeight="1">
      <c r="A32" s="195">
        <v>44222</v>
      </c>
      <c r="B32" s="85"/>
      <c r="C32" s="76">
        <v>193257</v>
      </c>
      <c r="D32" s="78">
        <f t="shared" si="1"/>
        <v>137</v>
      </c>
      <c r="E32" s="76">
        <v>184650</v>
      </c>
      <c r="F32" s="78">
        <f t="shared" si="1"/>
        <v>235</v>
      </c>
      <c r="G32" s="77">
        <v>6067.8419800000001</v>
      </c>
      <c r="H32" s="79">
        <f t="shared" ref="H32" si="101">(G32-G31)</f>
        <v>6.2293799999997646</v>
      </c>
      <c r="I32" s="76">
        <v>12275</v>
      </c>
      <c r="J32" s="78">
        <f t="shared" ref="J32" si="102">(I32-I31)</f>
        <v>9</v>
      </c>
      <c r="K32" s="76">
        <v>133935</v>
      </c>
      <c r="L32" s="78">
        <f t="shared" ref="L32" si="103">(K32-K31)</f>
        <v>150</v>
      </c>
      <c r="M32" s="79">
        <f t="shared" si="5"/>
        <v>82.5</v>
      </c>
      <c r="N32" s="79">
        <f t="shared" si="6"/>
        <v>67.5</v>
      </c>
      <c r="O32" s="76">
        <v>98478</v>
      </c>
      <c r="P32" s="78">
        <f t="shared" ref="P32" si="104">(O32-O31)</f>
        <v>99</v>
      </c>
      <c r="R32" s="111">
        <f t="shared" si="0"/>
        <v>378.22937999999976</v>
      </c>
      <c r="S32" s="101">
        <f t="shared" si="8"/>
        <v>166.5</v>
      </c>
    </row>
    <row r="33" spans="1:19" ht="39.950000000000003" customHeight="1">
      <c r="A33" s="195">
        <v>44223</v>
      </c>
      <c r="B33" s="85"/>
      <c r="C33" s="76">
        <v>193367</v>
      </c>
      <c r="D33" s="78">
        <f t="shared" si="1"/>
        <v>110</v>
      </c>
      <c r="E33" s="76">
        <v>184802</v>
      </c>
      <c r="F33" s="78">
        <f t="shared" si="1"/>
        <v>152</v>
      </c>
      <c r="G33" s="77">
        <v>6069.2568000000001</v>
      </c>
      <c r="H33" s="79">
        <f t="shared" ref="H33" si="105">(G33-G32)</f>
        <v>1.4148199999999633</v>
      </c>
      <c r="I33" s="76">
        <v>12282</v>
      </c>
      <c r="J33" s="78">
        <f t="shared" ref="J33" si="106">(I33-I32)</f>
        <v>7</v>
      </c>
      <c r="K33" s="76">
        <v>134010</v>
      </c>
      <c r="L33" s="78">
        <f t="shared" ref="L33" si="107">(K33-K32)</f>
        <v>75</v>
      </c>
      <c r="M33" s="79">
        <f t="shared" si="5"/>
        <v>41.25</v>
      </c>
      <c r="N33" s="79">
        <f t="shared" si="6"/>
        <v>33.75</v>
      </c>
      <c r="O33" s="76">
        <v>98546</v>
      </c>
      <c r="P33" s="78">
        <f t="shared" ref="P33" si="108">(O33-O32)</f>
        <v>68</v>
      </c>
      <c r="R33" s="111">
        <f t="shared" si="0"/>
        <v>263.41481999999996</v>
      </c>
      <c r="S33" s="101">
        <f t="shared" si="8"/>
        <v>101.75</v>
      </c>
    </row>
    <row r="34" spans="1:19" ht="39.950000000000003" customHeight="1">
      <c r="A34" s="195">
        <v>44224</v>
      </c>
      <c r="B34" s="85"/>
      <c r="C34" s="76">
        <v>193484</v>
      </c>
      <c r="D34" s="183">
        <f t="shared" si="1"/>
        <v>117</v>
      </c>
      <c r="E34" s="76">
        <v>184987</v>
      </c>
      <c r="F34" s="78">
        <f t="shared" si="1"/>
        <v>185</v>
      </c>
      <c r="G34" s="77">
        <v>6069.2568000000001</v>
      </c>
      <c r="H34" s="79">
        <f t="shared" ref="H34:H37" si="109">(G34-G33)</f>
        <v>0</v>
      </c>
      <c r="I34" s="76">
        <v>12284</v>
      </c>
      <c r="J34" s="78">
        <f t="shared" ref="J34:J37" si="110">(I34-I33)</f>
        <v>2</v>
      </c>
      <c r="K34" s="76">
        <v>134151</v>
      </c>
      <c r="L34" s="78">
        <f t="shared" ref="L34" si="111">(K34-K33)</f>
        <v>141</v>
      </c>
      <c r="M34" s="79">
        <f t="shared" si="5"/>
        <v>77.550000000000011</v>
      </c>
      <c r="N34" s="79">
        <f t="shared" si="6"/>
        <v>63.45</v>
      </c>
      <c r="O34" s="76">
        <v>98611</v>
      </c>
      <c r="P34" s="183">
        <f t="shared" ref="P34:P37" si="112">(O34-O33)</f>
        <v>65</v>
      </c>
      <c r="R34" s="111">
        <f t="shared" si="0"/>
        <v>302</v>
      </c>
      <c r="S34" s="101">
        <f t="shared" si="8"/>
        <v>128.44999999999999</v>
      </c>
    </row>
    <row r="35" spans="1:19" ht="39.950000000000003" customHeight="1">
      <c r="A35" s="195">
        <v>44225</v>
      </c>
      <c r="B35" s="85"/>
      <c r="C35" s="86">
        <f>(C34+C36)/2</f>
        <v>193625</v>
      </c>
      <c r="D35" s="183">
        <f t="shared" si="1"/>
        <v>141</v>
      </c>
      <c r="E35" s="86">
        <f>(E34+E36)/2</f>
        <v>185197.5</v>
      </c>
      <c r="F35" s="78">
        <f t="shared" si="1"/>
        <v>210.5</v>
      </c>
      <c r="G35" s="77">
        <v>6074.7790000000005</v>
      </c>
      <c r="H35" s="79">
        <f t="shared" si="109"/>
        <v>5.5222000000003391</v>
      </c>
      <c r="I35" s="86">
        <v>12293</v>
      </c>
      <c r="J35" s="78">
        <f t="shared" si="110"/>
        <v>9</v>
      </c>
      <c r="K35" s="86">
        <f>(K34+K36)/2</f>
        <v>134276</v>
      </c>
      <c r="L35" s="78">
        <f t="shared" ref="L35:L37" si="113">(K35-K34)</f>
        <v>125</v>
      </c>
      <c r="M35" s="79">
        <f t="shared" ref="M35:M37" si="114">L35*55%</f>
        <v>68.75</v>
      </c>
      <c r="N35" s="79">
        <f t="shared" ref="N35:N37" si="115">L35*45%</f>
        <v>56.25</v>
      </c>
      <c r="O35" s="86">
        <f>(O34+O36)/2</f>
        <v>98697</v>
      </c>
      <c r="P35" s="183">
        <f t="shared" si="112"/>
        <v>86</v>
      </c>
      <c r="R35" s="111">
        <f t="shared" ref="R35:R36" si="116">SUM(D35,F35,M99,H35)</f>
        <v>357.02220000000034</v>
      </c>
      <c r="S35" s="101">
        <f t="shared" ref="S35:S37" si="117">SUM(N35,P35)</f>
        <v>142.25</v>
      </c>
    </row>
    <row r="36" spans="1:19" ht="39.950000000000003" customHeight="1">
      <c r="A36" s="195">
        <v>44226</v>
      </c>
      <c r="B36" s="85"/>
      <c r="C36" s="76">
        <v>193766</v>
      </c>
      <c r="D36" s="78">
        <f t="shared" ref="D36:D37" si="118">(C36-C35)</f>
        <v>141</v>
      </c>
      <c r="E36" s="76">
        <v>185408</v>
      </c>
      <c r="F36" s="78">
        <f t="shared" ref="F36:F37" si="119">(E36-E35)</f>
        <v>210.5</v>
      </c>
      <c r="G36" s="77">
        <v>6081.4616999999998</v>
      </c>
      <c r="H36" s="79">
        <f t="shared" si="109"/>
        <v>6.6826999999993859</v>
      </c>
      <c r="I36" s="76">
        <v>12316</v>
      </c>
      <c r="J36" s="78">
        <f t="shared" si="110"/>
        <v>23</v>
      </c>
      <c r="K36" s="76">
        <v>134401</v>
      </c>
      <c r="L36" s="78">
        <f t="shared" si="113"/>
        <v>125</v>
      </c>
      <c r="M36" s="79">
        <f t="shared" si="114"/>
        <v>68.75</v>
      </c>
      <c r="N36" s="79">
        <f t="shared" si="115"/>
        <v>56.25</v>
      </c>
      <c r="O36" s="76">
        <v>98783</v>
      </c>
      <c r="P36" s="78">
        <f t="shared" si="112"/>
        <v>86</v>
      </c>
      <c r="R36" s="111">
        <f t="shared" si="116"/>
        <v>358.18269999999939</v>
      </c>
      <c r="S36" s="101">
        <f t="shared" si="117"/>
        <v>142.25</v>
      </c>
    </row>
    <row r="37" spans="1:19" ht="39.950000000000003" customHeight="1">
      <c r="A37" s="195">
        <v>44227</v>
      </c>
      <c r="B37" s="16"/>
      <c r="C37" s="75">
        <v>193988</v>
      </c>
      <c r="D37" s="78">
        <f t="shared" si="118"/>
        <v>222</v>
      </c>
      <c r="E37" s="75">
        <v>185638</v>
      </c>
      <c r="F37" s="78">
        <f t="shared" si="119"/>
        <v>230</v>
      </c>
      <c r="G37" s="181">
        <v>6084.7893999999997</v>
      </c>
      <c r="H37" s="79">
        <f t="shared" si="109"/>
        <v>3.3276999999998225</v>
      </c>
      <c r="I37" s="75">
        <v>12328</v>
      </c>
      <c r="J37" s="78">
        <f t="shared" si="110"/>
        <v>12</v>
      </c>
      <c r="K37" s="75">
        <v>134516</v>
      </c>
      <c r="L37" s="78">
        <f t="shared" si="113"/>
        <v>115</v>
      </c>
      <c r="M37" s="79">
        <f t="shared" si="114"/>
        <v>63.250000000000007</v>
      </c>
      <c r="N37" s="79">
        <f t="shared" si="115"/>
        <v>51.75</v>
      </c>
      <c r="O37" s="75">
        <v>98863</v>
      </c>
      <c r="P37" s="78">
        <f t="shared" si="112"/>
        <v>80</v>
      </c>
      <c r="R37" s="100">
        <f>SUM(D37,F37,M101,H37)</f>
        <v>455.32769999999982</v>
      </c>
      <c r="S37" s="101">
        <f t="shared" si="117"/>
        <v>131.75</v>
      </c>
    </row>
    <row r="38" spans="1:19" s="22" customFormat="1" ht="39.950000000000003" customHeight="1">
      <c r="A38" s="21"/>
      <c r="D38" s="23">
        <f>SUM(D7:D37)</f>
        <v>4359</v>
      </c>
      <c r="F38" s="23">
        <f>SUM(F7:F37)</f>
        <v>6231</v>
      </c>
      <c r="H38" s="23">
        <f>SUM(H7:H37)</f>
        <v>158.92239999999947</v>
      </c>
      <c r="J38" s="23">
        <f>SUM(J7:J37)</f>
        <v>496</v>
      </c>
      <c r="L38" s="23">
        <f>SUM(L7:L37)</f>
        <v>3870</v>
      </c>
      <c r="M38" s="23"/>
      <c r="N38" s="23"/>
      <c r="P38" s="23">
        <f>SUM(P7:P37)</f>
        <v>3342</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8" activePane="bottomRight" state="frozen"/>
      <selection pane="topRight" activeCell="C1" sqref="C1"/>
      <selection pane="bottomLeft" activeCell="A8" sqref="A8"/>
      <selection pane="bottomRight" activeCell="A42" sqref="A42"/>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32" t="s">
        <v>66</v>
      </c>
      <c r="D1" s="232"/>
      <c r="E1" s="232"/>
      <c r="F1" s="232"/>
      <c r="G1" s="232" t="s">
        <v>65</v>
      </c>
      <c r="H1" s="232"/>
      <c r="I1" s="232" t="s">
        <v>65</v>
      </c>
      <c r="J1" s="232"/>
      <c r="K1" s="232" t="s">
        <v>65</v>
      </c>
      <c r="L1" s="232"/>
      <c r="M1" s="232" t="s">
        <v>65</v>
      </c>
      <c r="N1" s="232"/>
      <c r="O1" s="232" t="s">
        <v>65</v>
      </c>
      <c r="P1" s="232"/>
      <c r="Q1" s="216" t="s">
        <v>65</v>
      </c>
      <c r="R1" s="217"/>
      <c r="S1" s="216" t="s">
        <v>65</v>
      </c>
      <c r="T1" s="217"/>
      <c r="U1" s="216" t="s">
        <v>65</v>
      </c>
      <c r="V1" s="217"/>
      <c r="W1" s="216" t="s">
        <v>65</v>
      </c>
      <c r="X1" s="218"/>
      <c r="Y1" s="232" t="s">
        <v>65</v>
      </c>
      <c r="Z1" s="232"/>
      <c r="AA1" s="216" t="s">
        <v>65</v>
      </c>
      <c r="AB1" s="217"/>
      <c r="AC1" s="232" t="s">
        <v>65</v>
      </c>
      <c r="AD1" s="232"/>
      <c r="AE1" s="232" t="s">
        <v>65</v>
      </c>
      <c r="AF1" s="232"/>
      <c r="AG1" s="232" t="s">
        <v>65</v>
      </c>
      <c r="AH1" s="232"/>
      <c r="AI1" s="232" t="s">
        <v>65</v>
      </c>
      <c r="AJ1" s="232"/>
      <c r="AK1" s="232" t="s">
        <v>65</v>
      </c>
      <c r="AL1" s="232"/>
      <c r="AM1" s="232" t="s">
        <v>67</v>
      </c>
      <c r="AN1" s="232"/>
      <c r="AO1" s="232" t="s">
        <v>67</v>
      </c>
      <c r="AP1" s="232"/>
      <c r="AQ1" s="232" t="s">
        <v>67</v>
      </c>
      <c r="AR1" s="232"/>
      <c r="AS1" s="232" t="s">
        <v>67</v>
      </c>
      <c r="AT1" s="232"/>
      <c r="AU1" s="232" t="s">
        <v>67</v>
      </c>
      <c r="AV1" s="232"/>
      <c r="AW1" s="232" t="s">
        <v>67</v>
      </c>
      <c r="AX1" s="232"/>
      <c r="AY1" s="232" t="s">
        <v>67</v>
      </c>
      <c r="AZ1" s="232"/>
      <c r="BA1" s="232" t="s">
        <v>67</v>
      </c>
      <c r="BB1" s="232"/>
      <c r="BC1" s="232" t="s">
        <v>67</v>
      </c>
      <c r="BD1" s="232"/>
      <c r="BE1" s="232" t="s">
        <v>67</v>
      </c>
      <c r="BF1" s="232"/>
      <c r="BH1" s="33"/>
      <c r="BI1" s="33"/>
    </row>
    <row r="2" spans="1:61" s="25" customFormat="1" ht="75.75" customHeight="1">
      <c r="A2" s="50"/>
      <c r="B2" s="50"/>
      <c r="C2" s="248" t="s">
        <v>117</v>
      </c>
      <c r="D2" s="248"/>
      <c r="E2" s="248"/>
      <c r="F2" s="248"/>
      <c r="G2" s="248" t="s">
        <v>118</v>
      </c>
      <c r="H2" s="248"/>
      <c r="I2" s="248" t="s">
        <v>119</v>
      </c>
      <c r="J2" s="248"/>
      <c r="K2" s="248" t="s">
        <v>120</v>
      </c>
      <c r="L2" s="248"/>
      <c r="M2" s="248" t="s">
        <v>121</v>
      </c>
      <c r="N2" s="248"/>
      <c r="O2" s="246" t="s">
        <v>122</v>
      </c>
      <c r="P2" s="247"/>
      <c r="Q2" s="246" t="s">
        <v>123</v>
      </c>
      <c r="R2" s="247"/>
      <c r="S2" s="246" t="s">
        <v>124</v>
      </c>
      <c r="T2" s="247"/>
      <c r="U2" s="246" t="s">
        <v>125</v>
      </c>
      <c r="V2" s="247"/>
      <c r="W2" s="246" t="s">
        <v>126</v>
      </c>
      <c r="X2" s="250"/>
      <c r="Y2" s="248" t="s">
        <v>127</v>
      </c>
      <c r="Z2" s="248"/>
      <c r="AA2" s="246" t="s">
        <v>128</v>
      </c>
      <c r="AB2" s="247"/>
      <c r="AC2" s="248" t="s">
        <v>129</v>
      </c>
      <c r="AD2" s="248"/>
      <c r="AE2" s="248" t="s">
        <v>130</v>
      </c>
      <c r="AF2" s="248"/>
      <c r="AG2" s="248" t="s">
        <v>130</v>
      </c>
      <c r="AH2" s="248"/>
      <c r="AI2" s="248" t="s">
        <v>130</v>
      </c>
      <c r="AJ2" s="248"/>
      <c r="AK2" s="248" t="s">
        <v>130</v>
      </c>
      <c r="AL2" s="248"/>
      <c r="AM2" s="248" t="s">
        <v>131</v>
      </c>
      <c r="AN2" s="248"/>
      <c r="AO2" s="248" t="s">
        <v>132</v>
      </c>
      <c r="AP2" s="248"/>
      <c r="AQ2" s="248" t="s">
        <v>133</v>
      </c>
      <c r="AR2" s="248"/>
      <c r="AS2" s="248" t="s">
        <v>133</v>
      </c>
      <c r="AT2" s="248"/>
      <c r="AU2" s="248" t="s">
        <v>134</v>
      </c>
      <c r="AV2" s="248"/>
      <c r="AW2" s="248" t="s">
        <v>135</v>
      </c>
      <c r="AX2" s="248"/>
      <c r="AY2" s="248" t="s">
        <v>136</v>
      </c>
      <c r="AZ2" s="248"/>
      <c r="BA2" s="248" t="s">
        <v>136</v>
      </c>
      <c r="BB2" s="248"/>
      <c r="BC2" s="248" t="s">
        <v>137</v>
      </c>
      <c r="BD2" s="248"/>
      <c r="BE2" s="248" t="s">
        <v>137</v>
      </c>
      <c r="BF2" s="248"/>
      <c r="BH2" s="33"/>
      <c r="BI2" s="33"/>
    </row>
    <row r="3" spans="1:61" s="10" customFormat="1" ht="87.75" customHeight="1">
      <c r="A3" s="112"/>
      <c r="B3" s="112"/>
      <c r="C3" s="254" t="s">
        <v>138</v>
      </c>
      <c r="D3" s="255"/>
      <c r="E3" s="112" t="s">
        <v>65</v>
      </c>
      <c r="F3" s="113" t="s">
        <v>67</v>
      </c>
      <c r="G3" s="253" t="s">
        <v>139</v>
      </c>
      <c r="H3" s="252"/>
      <c r="I3" s="253" t="s">
        <v>139</v>
      </c>
      <c r="J3" s="252"/>
      <c r="K3" s="253" t="s">
        <v>139</v>
      </c>
      <c r="L3" s="252"/>
      <c r="M3" s="256" t="s">
        <v>140</v>
      </c>
      <c r="N3" s="257"/>
      <c r="O3" s="253" t="s">
        <v>139</v>
      </c>
      <c r="P3" s="252"/>
      <c r="Q3" s="253" t="s">
        <v>139</v>
      </c>
      <c r="R3" s="252"/>
      <c r="S3" s="260" t="s">
        <v>139</v>
      </c>
      <c r="T3" s="261"/>
      <c r="U3" s="253" t="s">
        <v>139</v>
      </c>
      <c r="V3" s="252"/>
      <c r="W3" s="253" t="s">
        <v>139</v>
      </c>
      <c r="X3" s="252"/>
      <c r="Y3" s="251" t="s">
        <v>141</v>
      </c>
      <c r="Z3" s="252"/>
      <c r="AA3" s="253" t="s">
        <v>142</v>
      </c>
      <c r="AB3" s="252"/>
      <c r="AC3" s="253" t="s">
        <v>143</v>
      </c>
      <c r="AD3" s="252"/>
      <c r="AE3" s="253" t="s">
        <v>143</v>
      </c>
      <c r="AF3" s="252"/>
      <c r="AG3" s="251" t="s">
        <v>144</v>
      </c>
      <c r="AH3" s="252"/>
      <c r="AI3" s="253" t="s">
        <v>145</v>
      </c>
      <c r="AJ3" s="252"/>
      <c r="AK3" s="251" t="s">
        <v>146</v>
      </c>
      <c r="AL3" s="252"/>
      <c r="AM3" s="253" t="s">
        <v>147</v>
      </c>
      <c r="AN3" s="252"/>
      <c r="AO3" s="253" t="s">
        <v>147</v>
      </c>
      <c r="AP3" s="252"/>
      <c r="AQ3" s="251" t="s">
        <v>148</v>
      </c>
      <c r="AR3" s="252"/>
      <c r="AS3" s="253" t="s">
        <v>149</v>
      </c>
      <c r="AT3" s="252"/>
      <c r="AU3" s="251" t="s">
        <v>150</v>
      </c>
      <c r="AV3" s="252"/>
      <c r="AW3" s="251" t="s">
        <v>150</v>
      </c>
      <c r="AX3" s="252"/>
      <c r="AY3" s="253" t="s">
        <v>145</v>
      </c>
      <c r="AZ3" s="252"/>
      <c r="BA3" s="251" t="s">
        <v>146</v>
      </c>
      <c r="BB3" s="252"/>
      <c r="BC3" s="253" t="s">
        <v>145</v>
      </c>
      <c r="BD3" s="252"/>
      <c r="BE3" s="251" t="s">
        <v>146</v>
      </c>
      <c r="BF3" s="252"/>
      <c r="BH3" s="33"/>
      <c r="BI3" s="33"/>
    </row>
    <row r="4" spans="1:61" s="25" customFormat="1" ht="50.1" customHeight="1">
      <c r="A4" s="112"/>
      <c r="B4" s="50"/>
      <c r="C4" s="229" t="s">
        <v>151</v>
      </c>
      <c r="D4" s="230"/>
      <c r="E4" s="258" t="s">
        <v>152</v>
      </c>
      <c r="F4" s="259"/>
      <c r="G4" s="229" t="s">
        <v>153</v>
      </c>
      <c r="H4" s="230"/>
      <c r="I4" s="229" t="s">
        <v>154</v>
      </c>
      <c r="J4" s="230"/>
      <c r="K4" s="229" t="s">
        <v>155</v>
      </c>
      <c r="L4" s="230"/>
      <c r="M4" s="229">
        <v>7092801222</v>
      </c>
      <c r="N4" s="230"/>
      <c r="O4" s="229" t="s">
        <v>156</v>
      </c>
      <c r="P4" s="249"/>
      <c r="Q4" s="229" t="s">
        <v>157</v>
      </c>
      <c r="R4" s="249"/>
      <c r="S4" s="229" t="s">
        <v>158</v>
      </c>
      <c r="T4" s="249"/>
      <c r="U4" s="229" t="s">
        <v>159</v>
      </c>
      <c r="V4" s="249"/>
      <c r="W4" s="229" t="s">
        <v>160</v>
      </c>
      <c r="X4" s="230"/>
      <c r="Y4" s="229" t="s">
        <v>161</v>
      </c>
      <c r="Z4" s="230"/>
      <c r="AA4" s="229" t="s">
        <v>162</v>
      </c>
      <c r="AB4" s="249"/>
      <c r="AC4" s="229" t="s">
        <v>163</v>
      </c>
      <c r="AD4" s="230"/>
      <c r="AE4" s="229" t="s">
        <v>164</v>
      </c>
      <c r="AF4" s="230"/>
      <c r="AG4" s="229" t="s">
        <v>165</v>
      </c>
      <c r="AH4" s="230"/>
      <c r="AI4" s="229">
        <v>7105826734</v>
      </c>
      <c r="AJ4" s="230"/>
      <c r="AK4" s="229">
        <v>7105825932</v>
      </c>
      <c r="AL4" s="230"/>
      <c r="AM4" s="229" t="s">
        <v>166</v>
      </c>
      <c r="AN4" s="230"/>
      <c r="AO4" s="229" t="s">
        <v>167</v>
      </c>
      <c r="AP4" s="230"/>
      <c r="AQ4" s="229" t="s">
        <v>168</v>
      </c>
      <c r="AR4" s="230"/>
      <c r="AS4" s="229" t="s">
        <v>169</v>
      </c>
      <c r="AT4" s="230"/>
      <c r="AU4" s="229" t="s">
        <v>170</v>
      </c>
      <c r="AV4" s="230"/>
      <c r="AW4" s="229" t="s">
        <v>171</v>
      </c>
      <c r="AX4" s="230"/>
      <c r="AY4" s="229">
        <v>7111912486</v>
      </c>
      <c r="AZ4" s="230"/>
      <c r="BA4" s="229">
        <v>7111911842</v>
      </c>
      <c r="BB4" s="230"/>
      <c r="BC4" s="229">
        <v>7111913281</v>
      </c>
      <c r="BD4" s="230"/>
      <c r="BE4" s="229">
        <v>7111912723</v>
      </c>
      <c r="BF4" s="230"/>
      <c r="BH4" s="233" t="s">
        <v>81</v>
      </c>
      <c r="BI4" s="233"/>
    </row>
    <row r="5" spans="1:61" s="25" customFormat="1" ht="50.1" customHeight="1">
      <c r="A5" s="50" t="s">
        <v>172</v>
      </c>
      <c r="B5" s="50"/>
      <c r="C5" s="229" t="s">
        <v>173</v>
      </c>
      <c r="D5" s="230"/>
      <c r="E5" s="83">
        <v>0.6</v>
      </c>
      <c r="F5" s="31">
        <v>0.4</v>
      </c>
      <c r="G5" s="229" t="s">
        <v>174</v>
      </c>
      <c r="H5" s="230"/>
      <c r="I5" s="229" t="s">
        <v>175</v>
      </c>
      <c r="J5" s="230"/>
      <c r="K5" s="229" t="s">
        <v>176</v>
      </c>
      <c r="L5" s="230"/>
      <c r="M5" s="229" t="s">
        <v>177</v>
      </c>
      <c r="N5" s="230"/>
      <c r="O5" s="229" t="s">
        <v>178</v>
      </c>
      <c r="P5" s="249"/>
      <c r="Q5" s="229" t="s">
        <v>179</v>
      </c>
      <c r="R5" s="249"/>
      <c r="S5" s="229" t="s">
        <v>180</v>
      </c>
      <c r="T5" s="249"/>
      <c r="U5" s="229" t="s">
        <v>181</v>
      </c>
      <c r="V5" s="249"/>
      <c r="W5" s="229" t="s">
        <v>182</v>
      </c>
      <c r="X5" s="230"/>
      <c r="Y5" s="229" t="s">
        <v>183</v>
      </c>
      <c r="Z5" s="230"/>
      <c r="AA5" s="229" t="s">
        <v>184</v>
      </c>
      <c r="AB5" s="249"/>
      <c r="AC5" s="229" t="s">
        <v>185</v>
      </c>
      <c r="AD5" s="230"/>
      <c r="AE5" s="229" t="s">
        <v>186</v>
      </c>
      <c r="AF5" s="230"/>
      <c r="AG5" s="229" t="s">
        <v>187</v>
      </c>
      <c r="AH5" s="230"/>
      <c r="AI5" s="229" t="s">
        <v>188</v>
      </c>
      <c r="AJ5" s="230"/>
      <c r="AK5" s="229" t="s">
        <v>189</v>
      </c>
      <c r="AL5" s="230"/>
      <c r="AM5" s="229" t="s">
        <v>190</v>
      </c>
      <c r="AN5" s="230"/>
      <c r="AO5" s="229" t="s">
        <v>191</v>
      </c>
      <c r="AP5" s="230"/>
      <c r="AQ5" s="229" t="s">
        <v>192</v>
      </c>
      <c r="AR5" s="230"/>
      <c r="AS5" s="229" t="s">
        <v>193</v>
      </c>
      <c r="AT5" s="230"/>
      <c r="AU5" s="229" t="s">
        <v>194</v>
      </c>
      <c r="AV5" s="230"/>
      <c r="AW5" s="229" t="s">
        <v>195</v>
      </c>
      <c r="AX5" s="230"/>
      <c r="AY5" s="229">
        <v>744483</v>
      </c>
      <c r="AZ5" s="230"/>
      <c r="BA5" s="229">
        <v>119314</v>
      </c>
      <c r="BB5" s="230"/>
      <c r="BC5" s="229">
        <v>1053229</v>
      </c>
      <c r="BD5" s="230"/>
      <c r="BE5" s="229">
        <v>1053215</v>
      </c>
      <c r="BF5" s="230"/>
      <c r="BH5" s="233"/>
      <c r="BI5" s="233"/>
    </row>
    <row r="6" spans="1:61" s="8" customFormat="1" ht="30" customHeight="1">
      <c r="A6" s="112" t="s">
        <v>96</v>
      </c>
      <c r="B6" s="51"/>
      <c r="C6" s="214"/>
      <c r="D6" s="215"/>
      <c r="E6" s="84"/>
      <c r="F6" s="116"/>
      <c r="G6" s="112"/>
      <c r="H6" s="51"/>
      <c r="I6" s="214"/>
      <c r="J6" s="215"/>
      <c r="K6" s="214"/>
      <c r="L6" s="215"/>
      <c r="M6" s="214"/>
      <c r="N6" s="215"/>
      <c r="O6" s="214"/>
      <c r="P6" s="228"/>
      <c r="Q6" s="214"/>
      <c r="R6" s="228"/>
      <c r="S6" s="214"/>
      <c r="T6" s="228"/>
      <c r="U6" s="214"/>
      <c r="V6" s="228"/>
      <c r="W6" s="214"/>
      <c r="X6" s="215"/>
      <c r="Y6" s="214"/>
      <c r="Z6" s="215"/>
      <c r="AA6" s="214"/>
      <c r="AB6" s="228"/>
      <c r="AC6" s="214"/>
      <c r="AD6" s="215"/>
      <c r="AE6" s="214"/>
      <c r="AF6" s="215"/>
      <c r="AG6" s="214"/>
      <c r="AH6" s="215"/>
      <c r="AI6" s="214"/>
      <c r="AJ6" s="215"/>
      <c r="AK6" s="214"/>
      <c r="AL6" s="215"/>
      <c r="AM6" s="214"/>
      <c r="AN6" s="215"/>
      <c r="AO6" s="214"/>
      <c r="AP6" s="215"/>
      <c r="AQ6" s="214"/>
      <c r="AR6" s="215"/>
      <c r="AS6" s="214"/>
      <c r="AT6" s="215"/>
      <c r="AU6" s="214"/>
      <c r="AV6" s="215"/>
      <c r="AW6" s="214"/>
      <c r="AX6" s="215"/>
      <c r="AY6" s="214"/>
      <c r="AZ6" s="215"/>
      <c r="BA6" s="214"/>
      <c r="BB6" s="215"/>
      <c r="BC6" s="214"/>
      <c r="BD6" s="215"/>
      <c r="BE6" s="214"/>
      <c r="BF6" s="215"/>
      <c r="BH6" s="33"/>
      <c r="BI6" s="33"/>
    </row>
    <row r="7" spans="1:61" s="10" customFormat="1" ht="50.1" customHeight="1">
      <c r="A7" s="112" t="s">
        <v>99</v>
      </c>
      <c r="B7" s="112"/>
      <c r="C7" s="112" t="s">
        <v>115</v>
      </c>
      <c r="D7" s="112" t="s">
        <v>196</v>
      </c>
      <c r="E7" s="112" t="s">
        <v>196</v>
      </c>
      <c r="F7" s="112" t="s">
        <v>196</v>
      </c>
      <c r="G7" s="112" t="s">
        <v>115</v>
      </c>
      <c r="H7" s="112" t="s">
        <v>196</v>
      </c>
      <c r="I7" s="112" t="s">
        <v>115</v>
      </c>
      <c r="J7" s="112" t="s">
        <v>196</v>
      </c>
      <c r="K7" s="112" t="s">
        <v>115</v>
      </c>
      <c r="L7" s="112" t="s">
        <v>196</v>
      </c>
      <c r="M7" s="112" t="s">
        <v>115</v>
      </c>
      <c r="N7" s="112" t="s">
        <v>196</v>
      </c>
      <c r="O7" s="112" t="s">
        <v>115</v>
      </c>
      <c r="P7" s="112" t="s">
        <v>196</v>
      </c>
      <c r="Q7" s="112" t="s">
        <v>115</v>
      </c>
      <c r="R7" s="112" t="s">
        <v>196</v>
      </c>
      <c r="S7" s="112" t="s">
        <v>115</v>
      </c>
      <c r="T7" s="112" t="s">
        <v>196</v>
      </c>
      <c r="U7" s="112" t="s">
        <v>115</v>
      </c>
      <c r="V7" s="112" t="s">
        <v>196</v>
      </c>
      <c r="W7" s="112" t="s">
        <v>115</v>
      </c>
      <c r="X7" s="112" t="s">
        <v>196</v>
      </c>
      <c r="Y7" s="112" t="s">
        <v>115</v>
      </c>
      <c r="Z7" s="112" t="s">
        <v>196</v>
      </c>
      <c r="AA7" s="112" t="s">
        <v>115</v>
      </c>
      <c r="AB7" s="112" t="s">
        <v>196</v>
      </c>
      <c r="AC7" s="112" t="s">
        <v>115</v>
      </c>
      <c r="AD7" s="112" t="s">
        <v>196</v>
      </c>
      <c r="AE7" s="13" t="s">
        <v>115</v>
      </c>
      <c r="AF7" s="112" t="s">
        <v>196</v>
      </c>
      <c r="AG7" s="13" t="s">
        <v>115</v>
      </c>
      <c r="AH7" s="112" t="s">
        <v>196</v>
      </c>
      <c r="AI7" s="13" t="s">
        <v>115</v>
      </c>
      <c r="AJ7" s="112" t="s">
        <v>196</v>
      </c>
      <c r="AK7" s="13" t="s">
        <v>115</v>
      </c>
      <c r="AL7" s="112" t="s">
        <v>196</v>
      </c>
      <c r="AM7" s="13" t="s">
        <v>115</v>
      </c>
      <c r="AN7" s="112" t="s">
        <v>196</v>
      </c>
      <c r="AO7" s="13" t="s">
        <v>115</v>
      </c>
      <c r="AP7" s="112" t="s">
        <v>196</v>
      </c>
      <c r="AQ7" s="13" t="s">
        <v>115</v>
      </c>
      <c r="AR7" s="112" t="s">
        <v>196</v>
      </c>
      <c r="AS7" s="13" t="s">
        <v>115</v>
      </c>
      <c r="AT7" s="112" t="s">
        <v>196</v>
      </c>
      <c r="AU7" s="13" t="s">
        <v>115</v>
      </c>
      <c r="AV7" s="112" t="s">
        <v>196</v>
      </c>
      <c r="AW7" s="13" t="s">
        <v>115</v>
      </c>
      <c r="AX7" s="112" t="s">
        <v>196</v>
      </c>
      <c r="AY7" s="13" t="s">
        <v>115</v>
      </c>
      <c r="AZ7" s="112" t="s">
        <v>196</v>
      </c>
      <c r="BA7" s="13" t="s">
        <v>115</v>
      </c>
      <c r="BB7" s="112" t="s">
        <v>196</v>
      </c>
      <c r="BC7" s="13" t="s">
        <v>115</v>
      </c>
      <c r="BD7" s="112" t="s">
        <v>196</v>
      </c>
      <c r="BE7" s="13" t="s">
        <v>115</v>
      </c>
      <c r="BF7" s="112" t="s">
        <v>196</v>
      </c>
      <c r="BH7" s="112" t="s">
        <v>65</v>
      </c>
      <c r="BI7" s="112" t="s">
        <v>67</v>
      </c>
    </row>
    <row r="8" spans="1:61" s="36" customFormat="1" ht="39.950000000000003" customHeight="1">
      <c r="A8" s="196">
        <v>44196</v>
      </c>
      <c r="B8" s="35"/>
      <c r="C8" s="80">
        <v>5711751</v>
      </c>
      <c r="D8" s="108"/>
      <c r="E8" s="109"/>
      <c r="F8" s="108"/>
      <c r="G8" s="80">
        <v>277755</v>
      </c>
      <c r="H8" s="108"/>
      <c r="I8" s="80">
        <v>100933</v>
      </c>
      <c r="J8" s="38"/>
      <c r="K8" s="80">
        <v>256293</v>
      </c>
      <c r="L8" s="108"/>
      <c r="M8" s="81">
        <v>24470</v>
      </c>
      <c r="N8" s="38"/>
      <c r="O8" s="80">
        <v>237026</v>
      </c>
      <c r="P8" s="38"/>
      <c r="Q8" s="80">
        <v>439605</v>
      </c>
      <c r="R8" s="108"/>
      <c r="S8" s="80">
        <v>706367</v>
      </c>
      <c r="T8" s="108"/>
      <c r="U8" s="87">
        <v>96638.952999999994</v>
      </c>
      <c r="V8" s="108"/>
      <c r="W8" s="80">
        <v>78978</v>
      </c>
      <c r="X8" s="108"/>
      <c r="Y8" s="80">
        <v>1494191</v>
      </c>
      <c r="Z8" s="108"/>
      <c r="AA8" s="81">
        <v>13232</v>
      </c>
      <c r="AB8" s="108"/>
      <c r="AC8" s="80">
        <v>440188</v>
      </c>
      <c r="AD8" s="108"/>
      <c r="AE8" s="80">
        <v>516359</v>
      </c>
      <c r="AF8" s="108"/>
      <c r="AG8" s="80">
        <v>49144</v>
      </c>
      <c r="AH8" s="108"/>
      <c r="AI8" s="80">
        <v>400669</v>
      </c>
      <c r="AJ8" s="108"/>
      <c r="AK8" s="81">
        <v>102371</v>
      </c>
      <c r="AL8" s="108"/>
      <c r="AM8" s="80">
        <v>562523</v>
      </c>
      <c r="AN8" s="108"/>
      <c r="AO8" s="80">
        <v>905599</v>
      </c>
      <c r="AP8" s="108"/>
      <c r="AQ8" s="81">
        <v>74221</v>
      </c>
      <c r="AR8" s="108"/>
      <c r="AS8" s="81">
        <v>2253</v>
      </c>
      <c r="AT8" s="108"/>
      <c r="AU8" s="81">
        <v>918</v>
      </c>
      <c r="AV8" s="108"/>
      <c r="AW8" s="81">
        <v>3108</v>
      </c>
      <c r="AX8" s="108"/>
      <c r="AY8" s="80">
        <v>306155</v>
      </c>
      <c r="AZ8" s="108"/>
      <c r="BA8" s="80">
        <v>160271</v>
      </c>
      <c r="BB8" s="108"/>
      <c r="BC8" s="80">
        <v>209762</v>
      </c>
      <c r="BD8" s="108"/>
      <c r="BE8" s="81">
        <v>5347</v>
      </c>
      <c r="BF8" s="108"/>
      <c r="BH8" s="110"/>
      <c r="BI8" s="110"/>
    </row>
    <row r="9" spans="1:61" s="29" customFormat="1" ht="39.950000000000003" customHeight="1">
      <c r="A9" s="196">
        <v>44197</v>
      </c>
      <c r="B9" s="28"/>
      <c r="C9" s="81">
        <v>5715555</v>
      </c>
      <c r="D9" s="38">
        <f>(+C9-+C8)*48</f>
        <v>182592</v>
      </c>
      <c r="E9" s="109">
        <f>D9*0.6</f>
        <v>109555.2</v>
      </c>
      <c r="F9" s="38">
        <f>D9*0.4</f>
        <v>73036.800000000003</v>
      </c>
      <c r="G9" s="81">
        <v>277773</v>
      </c>
      <c r="H9" s="38">
        <f>(+G9-+G8)*48</f>
        <v>864</v>
      </c>
      <c r="I9" s="81">
        <v>101109</v>
      </c>
      <c r="J9" s="38">
        <f>(+I9-+I8)*48</f>
        <v>8448</v>
      </c>
      <c r="K9" s="81">
        <v>256336</v>
      </c>
      <c r="L9" s="38">
        <f t="shared" ref="L9:L39" si="0">(+K9-+K8)*48</f>
        <v>2064</v>
      </c>
      <c r="M9" s="81">
        <v>24470</v>
      </c>
      <c r="N9" s="38">
        <f>(+M9-+M8)*48</f>
        <v>0</v>
      </c>
      <c r="O9" s="81">
        <v>237182</v>
      </c>
      <c r="P9" s="38">
        <f>(+O9-+O8)*48</f>
        <v>7488</v>
      </c>
      <c r="Q9" s="81">
        <v>439711</v>
      </c>
      <c r="R9" s="38">
        <f>(+Q9-+Q8)*48</f>
        <v>5088</v>
      </c>
      <c r="S9" s="81">
        <v>706481</v>
      </c>
      <c r="T9" s="38">
        <f>(+S9-+S8)*48</f>
        <v>5472</v>
      </c>
      <c r="U9" s="86">
        <v>96660.955000000002</v>
      </c>
      <c r="V9" s="108">
        <f>(+U9-+U8)*48</f>
        <v>1056.0960000003688</v>
      </c>
      <c r="W9" s="81">
        <v>78981</v>
      </c>
      <c r="X9" s="38">
        <f>(+W9-+W8)*48</f>
        <v>144</v>
      </c>
      <c r="Y9" s="80">
        <v>1494191</v>
      </c>
      <c r="Z9" s="38">
        <f>(+Y9-+Y8)*48</f>
        <v>0</v>
      </c>
      <c r="AA9" s="81">
        <v>13232</v>
      </c>
      <c r="AB9" s="38">
        <f>(+AA9-+AA8)*48</f>
        <v>0</v>
      </c>
      <c r="AC9" s="81">
        <v>440188</v>
      </c>
      <c r="AD9" s="38">
        <f>(+AC9-+AC8)*48</f>
        <v>0</v>
      </c>
      <c r="AE9" s="81">
        <v>516359</v>
      </c>
      <c r="AF9" s="38">
        <f>(+AE9-+AE8)*48</f>
        <v>0</v>
      </c>
      <c r="AG9" s="81">
        <v>49150</v>
      </c>
      <c r="AH9" s="38">
        <f>(+AG9-+AG8)*48</f>
        <v>288</v>
      </c>
      <c r="AI9" s="81">
        <v>400788</v>
      </c>
      <c r="AJ9" s="38">
        <f>(+AI9-+AI8)*48</f>
        <v>5712</v>
      </c>
      <c r="AK9" s="81">
        <v>102374</v>
      </c>
      <c r="AL9" s="38">
        <f>(+AK9-+AK8)*48</f>
        <v>144</v>
      </c>
      <c r="AM9" s="81">
        <v>562523</v>
      </c>
      <c r="AN9" s="38">
        <f>(+AM9-+AM8)*48</f>
        <v>0</v>
      </c>
      <c r="AO9" s="81">
        <v>905599</v>
      </c>
      <c r="AP9" s="38">
        <f>(+AO9-+AO8)*48</f>
        <v>0</v>
      </c>
      <c r="AQ9" s="81">
        <v>74221</v>
      </c>
      <c r="AR9" s="38">
        <f>(+AQ9-+AQ8)*48</f>
        <v>0</v>
      </c>
      <c r="AS9" s="80">
        <v>2253</v>
      </c>
      <c r="AT9" s="38">
        <f>(+AS9-+AS8)*48</f>
        <v>0</v>
      </c>
      <c r="AU9" s="81">
        <v>939</v>
      </c>
      <c r="AV9" s="38">
        <f>(+AU9-+AU8)*48</f>
        <v>1008</v>
      </c>
      <c r="AW9" s="81">
        <v>3109</v>
      </c>
      <c r="AX9" s="38">
        <f>(+AW9-+AW8)*48</f>
        <v>48</v>
      </c>
      <c r="AY9" s="81">
        <v>306221</v>
      </c>
      <c r="AZ9" s="38">
        <f>(+AY9-+AY8)*48</f>
        <v>3168</v>
      </c>
      <c r="BA9" s="81">
        <v>160306</v>
      </c>
      <c r="BB9" s="38">
        <f>(+BA9-+BA8)*48</f>
        <v>1680</v>
      </c>
      <c r="BC9" s="81">
        <v>209828</v>
      </c>
      <c r="BD9" s="38">
        <f>(+BC9-+BC8)*48</f>
        <v>3168</v>
      </c>
      <c r="BE9" s="81">
        <v>5347</v>
      </c>
      <c r="BF9" s="38">
        <f>(+BE9-+BE8)*48</f>
        <v>0</v>
      </c>
      <c r="BH9" s="110">
        <f t="shared" ref="BH9:BH36" si="1">SUM(E9,J9,P9,H9,L9,R9,T9,V9,X9,N9,AB9,Z9,AD9,AF9,AH9,AL9,AJ9)</f>
        <v>146323.29600000038</v>
      </c>
      <c r="BI9" s="110">
        <f t="shared" ref="BI9:BI36" si="2">SUM(F9,AN9,AP9,AT9,AV9,AX9,AR9,AZ9,BB9,BD9,BF9)</f>
        <v>82108.800000000003</v>
      </c>
    </row>
    <row r="10" spans="1:61" s="36" customFormat="1" ht="39.950000000000003" customHeight="1">
      <c r="A10" s="196">
        <v>44198</v>
      </c>
      <c r="B10" s="35"/>
      <c r="C10" s="80">
        <v>5719468</v>
      </c>
      <c r="D10" s="38">
        <f t="shared" ref="D10" si="3">(+C10-+C9)*48</f>
        <v>187824</v>
      </c>
      <c r="E10" s="109">
        <f t="shared" ref="E10:E36" si="4">D10*0.6</f>
        <v>112694.39999999999</v>
      </c>
      <c r="F10" s="108">
        <f t="shared" ref="F10:F36" si="5">D10*0.4</f>
        <v>75129.600000000006</v>
      </c>
      <c r="G10" s="80">
        <v>277802</v>
      </c>
      <c r="H10" s="38">
        <f t="shared" ref="H10" si="6">(+G10-+G9)*48</f>
        <v>1392</v>
      </c>
      <c r="I10" s="80">
        <v>101289</v>
      </c>
      <c r="J10" s="38">
        <f t="shared" ref="J10" si="7">(+I10-+I9)*48</f>
        <v>8640</v>
      </c>
      <c r="K10" s="80">
        <v>256367</v>
      </c>
      <c r="L10" s="38">
        <f t="shared" si="0"/>
        <v>1488</v>
      </c>
      <c r="M10" s="81">
        <v>24470</v>
      </c>
      <c r="N10" s="38">
        <f t="shared" ref="N10" si="8">(+M10-+M9)*48</f>
        <v>0</v>
      </c>
      <c r="O10" s="80">
        <v>237334</v>
      </c>
      <c r="P10" s="38">
        <f t="shared" ref="P10" si="9">(+O10-+O9)*48</f>
        <v>7296</v>
      </c>
      <c r="Q10" s="80">
        <v>439823</v>
      </c>
      <c r="R10" s="38">
        <f t="shared" ref="R10" si="10">(+Q10-+Q9)*48</f>
        <v>5376</v>
      </c>
      <c r="S10" s="80">
        <v>706589</v>
      </c>
      <c r="T10" s="38">
        <f t="shared" ref="T10" si="11">(+S10-+S9)*48</f>
        <v>5184</v>
      </c>
      <c r="U10" s="87">
        <v>96683.770999999993</v>
      </c>
      <c r="V10" s="108">
        <f t="shared" ref="V10" si="12">(+U10-+U9)*48</f>
        <v>1095.1679999995977</v>
      </c>
      <c r="W10" s="80">
        <v>78984</v>
      </c>
      <c r="X10" s="38">
        <f t="shared" ref="X10" si="13">(+W10-+W9)*48</f>
        <v>144</v>
      </c>
      <c r="Y10" s="80">
        <v>1494191</v>
      </c>
      <c r="Z10" s="38">
        <f t="shared" ref="Z10" si="14">(+Y10-+Y9)*48</f>
        <v>0</v>
      </c>
      <c r="AA10" s="81">
        <v>13232</v>
      </c>
      <c r="AB10" s="38">
        <f t="shared" ref="AB10" si="15">(+AA10-+AA9)*48</f>
        <v>0</v>
      </c>
      <c r="AC10" s="80">
        <v>440188</v>
      </c>
      <c r="AD10" s="38">
        <f t="shared" ref="AD10:AF37" si="16">(+AC10-+AC9)*48</f>
        <v>0</v>
      </c>
      <c r="AE10" s="80">
        <v>516359</v>
      </c>
      <c r="AF10" s="38">
        <f t="shared" si="16"/>
        <v>0</v>
      </c>
      <c r="AG10" s="80">
        <v>49157</v>
      </c>
      <c r="AH10" s="38">
        <f t="shared" ref="AH10" si="17">(+AG10-+AG9)*48</f>
        <v>336</v>
      </c>
      <c r="AI10" s="80">
        <v>400944</v>
      </c>
      <c r="AJ10" s="38">
        <f t="shared" ref="AJ10" si="18">(+AI10-+AI9)*48</f>
        <v>7488</v>
      </c>
      <c r="AK10" s="80">
        <v>102379</v>
      </c>
      <c r="AL10" s="38">
        <f t="shared" ref="AL10" si="19">(+AK10-+AK9)*48</f>
        <v>240</v>
      </c>
      <c r="AM10" s="80">
        <v>562523</v>
      </c>
      <c r="AN10" s="38">
        <f t="shared" ref="AN10" si="20">(+AM10-+AM9)*48</f>
        <v>0</v>
      </c>
      <c r="AO10" s="80">
        <v>905599</v>
      </c>
      <c r="AP10" s="38">
        <f t="shared" ref="AP10" si="21">(+AO10-+AO9)*48</f>
        <v>0</v>
      </c>
      <c r="AQ10" s="81">
        <v>74221</v>
      </c>
      <c r="AR10" s="38">
        <f t="shared" ref="AR10" si="22">(+AQ10-+AQ9)*48</f>
        <v>0</v>
      </c>
      <c r="AS10" s="80">
        <v>2253</v>
      </c>
      <c r="AT10" s="38">
        <f t="shared" ref="AT10" si="23">(+AS10-+AS9)*48</f>
        <v>0</v>
      </c>
      <c r="AU10" s="80">
        <v>939</v>
      </c>
      <c r="AV10" s="38">
        <f t="shared" ref="AV10" si="24">(+AU10-+AU9)*48</f>
        <v>0</v>
      </c>
      <c r="AW10" s="80">
        <v>3109</v>
      </c>
      <c r="AX10" s="38">
        <f t="shared" ref="AX10" si="25">(+AW10-+AW9)*48</f>
        <v>0</v>
      </c>
      <c r="AY10" s="80">
        <v>306295</v>
      </c>
      <c r="AZ10" s="38">
        <f t="shared" ref="AZ10" si="26">(+AY10-+AY9)*48</f>
        <v>3552</v>
      </c>
      <c r="BA10" s="80">
        <v>160337</v>
      </c>
      <c r="BB10" s="38">
        <f t="shared" ref="BB10" si="27">(+BA10-+BA9)*48</f>
        <v>1488</v>
      </c>
      <c r="BC10" s="80">
        <v>209886</v>
      </c>
      <c r="BD10" s="38">
        <f t="shared" ref="BD10" si="28">(+BC10-+BC9)*48</f>
        <v>2784</v>
      </c>
      <c r="BE10" s="81">
        <v>5347</v>
      </c>
      <c r="BF10" s="38">
        <f t="shared" ref="BF10" si="29">(+BE10-+BE9)*48</f>
        <v>0</v>
      </c>
      <c r="BH10" s="110">
        <f t="shared" si="1"/>
        <v>151373.56799999959</v>
      </c>
      <c r="BI10" s="110">
        <f t="shared" si="2"/>
        <v>82953.600000000006</v>
      </c>
    </row>
    <row r="11" spans="1:61" s="36" customFormat="1" ht="39.950000000000003" customHeight="1">
      <c r="A11" s="196">
        <v>44199</v>
      </c>
      <c r="B11" s="35"/>
      <c r="C11" s="80">
        <v>5723063</v>
      </c>
      <c r="D11" s="38">
        <f t="shared" ref="D11" si="30">(+C11-+C10)*48</f>
        <v>172560</v>
      </c>
      <c r="E11" s="109">
        <f t="shared" si="4"/>
        <v>103536</v>
      </c>
      <c r="F11" s="108">
        <f t="shared" si="5"/>
        <v>69024</v>
      </c>
      <c r="G11" s="80">
        <v>277821</v>
      </c>
      <c r="H11" s="38">
        <f t="shared" ref="H11" si="31">(+G11-+G10)*48</f>
        <v>912</v>
      </c>
      <c r="I11" s="80">
        <v>101455</v>
      </c>
      <c r="J11" s="38">
        <f t="shared" ref="J11" si="32">(+I11-+I10)*48</f>
        <v>7968</v>
      </c>
      <c r="K11" s="80">
        <v>256391</v>
      </c>
      <c r="L11" s="38">
        <f t="shared" si="0"/>
        <v>1152</v>
      </c>
      <c r="M11" s="81">
        <v>24470</v>
      </c>
      <c r="N11" s="38">
        <f t="shared" ref="N11" si="33">(+M11-+M10)*48</f>
        <v>0</v>
      </c>
      <c r="O11" s="80">
        <v>237471</v>
      </c>
      <c r="P11" s="38">
        <f t="shared" ref="P11" si="34">(+O11-+O10)*48</f>
        <v>6576</v>
      </c>
      <c r="Q11" s="80">
        <v>439935</v>
      </c>
      <c r="R11" s="38">
        <f t="shared" ref="R11" si="35">(+Q11-+Q10)*48</f>
        <v>5376</v>
      </c>
      <c r="S11" s="80">
        <v>706702</v>
      </c>
      <c r="T11" s="38">
        <f t="shared" ref="T11" si="36">(+S11-+S10)*48</f>
        <v>5424</v>
      </c>
      <c r="U11" s="87">
        <v>96706.65</v>
      </c>
      <c r="V11" s="108">
        <f t="shared" ref="V11" si="37">(+U11-+U10)*48</f>
        <v>1098.1920000000391</v>
      </c>
      <c r="W11" s="80">
        <v>78987</v>
      </c>
      <c r="X11" s="38">
        <f t="shared" ref="X11" si="38">(+W11-+W10)*48</f>
        <v>144</v>
      </c>
      <c r="Y11" s="80">
        <v>1494191</v>
      </c>
      <c r="Z11" s="38">
        <f t="shared" ref="Z11" si="39">(+Y11-+Y10)*48</f>
        <v>0</v>
      </c>
      <c r="AA11" s="81">
        <v>13232</v>
      </c>
      <c r="AB11" s="38">
        <f t="shared" ref="AB11" si="40">(+AA11-+AA10)*48</f>
        <v>0</v>
      </c>
      <c r="AC11" s="80">
        <v>440205</v>
      </c>
      <c r="AD11" s="38">
        <f t="shared" si="16"/>
        <v>816</v>
      </c>
      <c r="AE11" s="80">
        <v>516369</v>
      </c>
      <c r="AF11" s="38">
        <f t="shared" si="16"/>
        <v>480</v>
      </c>
      <c r="AG11" s="80">
        <v>49163</v>
      </c>
      <c r="AH11" s="38">
        <f t="shared" ref="AH11" si="41">(+AG11-+AG10)*48</f>
        <v>288</v>
      </c>
      <c r="AI11" s="80">
        <v>401083</v>
      </c>
      <c r="AJ11" s="38">
        <f t="shared" ref="AJ11" si="42">(+AI11-+AI10)*48</f>
        <v>6672</v>
      </c>
      <c r="AK11" s="80">
        <v>102386</v>
      </c>
      <c r="AL11" s="38">
        <f t="shared" ref="AL11" si="43">(+AK11-+AK10)*48</f>
        <v>336</v>
      </c>
      <c r="AM11" s="80">
        <v>562528</v>
      </c>
      <c r="AN11" s="38">
        <f t="shared" ref="AN11" si="44">(+AM11-+AM10)*48</f>
        <v>240</v>
      </c>
      <c r="AO11" s="80">
        <v>905617</v>
      </c>
      <c r="AP11" s="38">
        <f t="shared" ref="AP11" si="45">(+AO11-+AO10)*48</f>
        <v>864</v>
      </c>
      <c r="AQ11" s="81">
        <v>74221</v>
      </c>
      <c r="AR11" s="38">
        <f t="shared" ref="AR11" si="46">(+AQ11-+AQ10)*48</f>
        <v>0</v>
      </c>
      <c r="AS11" s="80">
        <v>2253</v>
      </c>
      <c r="AT11" s="38">
        <f t="shared" ref="AT11" si="47">(+AS11-+AS10)*48</f>
        <v>0</v>
      </c>
      <c r="AU11" s="80">
        <v>939</v>
      </c>
      <c r="AV11" s="38">
        <f t="shared" ref="AV11" si="48">(+AU11-+AU10)*48</f>
        <v>0</v>
      </c>
      <c r="AW11" s="80">
        <v>3109</v>
      </c>
      <c r="AX11" s="38">
        <f t="shared" ref="AX11" si="49">(+AW11-+AW10)*48</f>
        <v>0</v>
      </c>
      <c r="AY11" s="80">
        <v>306370</v>
      </c>
      <c r="AZ11" s="38">
        <f t="shared" ref="AZ11" si="50">(+AY11-+AY10)*48</f>
        <v>3600</v>
      </c>
      <c r="BA11" s="80">
        <v>160373</v>
      </c>
      <c r="BB11" s="38">
        <f t="shared" ref="BB11" si="51">(+BA11-+BA10)*48</f>
        <v>1728</v>
      </c>
      <c r="BC11" s="80">
        <v>210009</v>
      </c>
      <c r="BD11" s="38">
        <f t="shared" ref="BD11" si="52">(+BC11-+BC10)*48</f>
        <v>5904</v>
      </c>
      <c r="BE11" s="81">
        <v>5347</v>
      </c>
      <c r="BF11" s="38">
        <f t="shared" ref="BF11" si="53">(+BE11-+BE10)*48</f>
        <v>0</v>
      </c>
      <c r="BH11" s="110">
        <f t="shared" si="1"/>
        <v>140778.19200000004</v>
      </c>
      <c r="BI11" s="110">
        <f t="shared" si="2"/>
        <v>81360</v>
      </c>
    </row>
    <row r="12" spans="1:61" s="36" customFormat="1" ht="39.950000000000003" customHeight="1">
      <c r="A12" s="196">
        <v>44200</v>
      </c>
      <c r="B12" s="35"/>
      <c r="C12" s="80">
        <v>5726273</v>
      </c>
      <c r="D12" s="38">
        <f t="shared" ref="D12" si="54">(+C12-+C11)*48</f>
        <v>154080</v>
      </c>
      <c r="E12" s="109">
        <f t="shared" si="4"/>
        <v>92448</v>
      </c>
      <c r="F12" s="108">
        <f t="shared" si="5"/>
        <v>61632</v>
      </c>
      <c r="G12" s="80">
        <v>277840</v>
      </c>
      <c r="H12" s="38">
        <f t="shared" ref="H12" si="55">(+G12-+G11)*48</f>
        <v>912</v>
      </c>
      <c r="I12" s="80">
        <v>101618</v>
      </c>
      <c r="J12" s="38">
        <f t="shared" ref="J12" si="56">(+I12-+I11)*48</f>
        <v>7824</v>
      </c>
      <c r="K12" s="80">
        <v>256395</v>
      </c>
      <c r="L12" s="38">
        <f t="shared" si="0"/>
        <v>192</v>
      </c>
      <c r="M12" s="81">
        <v>24470</v>
      </c>
      <c r="N12" s="38">
        <f t="shared" ref="N12" si="57">(+M12-+M11)*48</f>
        <v>0</v>
      </c>
      <c r="O12" s="80">
        <v>237645</v>
      </c>
      <c r="P12" s="38">
        <f t="shared" ref="P12" si="58">(+O12-+O11)*48</f>
        <v>8352</v>
      </c>
      <c r="Q12" s="80">
        <v>439988</v>
      </c>
      <c r="R12" s="38">
        <f t="shared" ref="R12" si="59">(+Q12-+Q11)*48</f>
        <v>2544</v>
      </c>
      <c r="S12" s="80">
        <v>706813</v>
      </c>
      <c r="T12" s="38">
        <f t="shared" ref="T12" si="60">(+S12-+S11)*48</f>
        <v>5328</v>
      </c>
      <c r="U12" s="87">
        <v>96731.076000000001</v>
      </c>
      <c r="V12" s="108">
        <f t="shared" ref="V12" si="61">(+U12-+U11)*48</f>
        <v>1172.4480000003241</v>
      </c>
      <c r="W12" s="80">
        <v>78989</v>
      </c>
      <c r="X12" s="38">
        <f t="shared" ref="X12" si="62">(+W12-+W11)*48</f>
        <v>96</v>
      </c>
      <c r="Y12" s="80">
        <v>1494191</v>
      </c>
      <c r="Z12" s="38">
        <f t="shared" ref="Z12" si="63">(+Y12-+Y11)*48</f>
        <v>0</v>
      </c>
      <c r="AA12" s="81">
        <v>13232</v>
      </c>
      <c r="AB12" s="38">
        <f t="shared" ref="AB12" si="64">(+AA12-+AA11)*48</f>
        <v>0</v>
      </c>
      <c r="AC12" s="80">
        <v>440254</v>
      </c>
      <c r="AD12" s="38">
        <f t="shared" si="16"/>
        <v>2352</v>
      </c>
      <c r="AE12" s="80">
        <v>516398</v>
      </c>
      <c r="AF12" s="38">
        <f t="shared" si="16"/>
        <v>1392</v>
      </c>
      <c r="AG12" s="80">
        <v>49168</v>
      </c>
      <c r="AH12" s="38">
        <f t="shared" ref="AH12" si="65">(+AG12-+AG11)*48</f>
        <v>240</v>
      </c>
      <c r="AI12" s="80">
        <v>401199</v>
      </c>
      <c r="AJ12" s="38">
        <f t="shared" ref="AJ12" si="66">(+AI12-+AI11)*48</f>
        <v>5568</v>
      </c>
      <c r="AK12" s="80">
        <v>102387</v>
      </c>
      <c r="AL12" s="38">
        <f t="shared" ref="AL12" si="67">(+AK12-+AK11)*48</f>
        <v>48</v>
      </c>
      <c r="AM12" s="80">
        <v>562545</v>
      </c>
      <c r="AN12" s="38">
        <f t="shared" ref="AN12" si="68">(+AM12-+AM11)*48</f>
        <v>816</v>
      </c>
      <c r="AO12" s="80">
        <v>905673</v>
      </c>
      <c r="AP12" s="38">
        <f t="shared" ref="AP12" si="69">(+AO12-+AO11)*48</f>
        <v>2688</v>
      </c>
      <c r="AQ12" s="81">
        <v>74221</v>
      </c>
      <c r="AR12" s="38">
        <f t="shared" ref="AR12" si="70">(+AQ12-+AQ11)*48</f>
        <v>0</v>
      </c>
      <c r="AS12" s="80">
        <v>2253</v>
      </c>
      <c r="AT12" s="38">
        <f t="shared" ref="AT12" si="71">(+AS12-+AS11)*48</f>
        <v>0</v>
      </c>
      <c r="AU12" s="80">
        <v>939</v>
      </c>
      <c r="AV12" s="38">
        <f t="shared" ref="AV12" si="72">(+AU12-+AU11)*48</f>
        <v>0</v>
      </c>
      <c r="AW12" s="80">
        <v>3109</v>
      </c>
      <c r="AX12" s="38">
        <f t="shared" ref="AX12" si="73">(+AW12-+AW11)*48</f>
        <v>0</v>
      </c>
      <c r="AY12" s="80">
        <v>306444</v>
      </c>
      <c r="AZ12" s="38">
        <f t="shared" ref="AZ12" si="74">(+AY12-+AY11)*48</f>
        <v>3552</v>
      </c>
      <c r="BA12" s="80">
        <v>160396</v>
      </c>
      <c r="BB12" s="38">
        <f t="shared" ref="BB12" si="75">(+BA12-+BA11)*48</f>
        <v>1104</v>
      </c>
      <c r="BC12" s="80">
        <v>210069</v>
      </c>
      <c r="BD12" s="38">
        <f t="shared" ref="BD12" si="76">(+BC12-+BC11)*48</f>
        <v>2880</v>
      </c>
      <c r="BE12" s="81">
        <v>5347</v>
      </c>
      <c r="BF12" s="38">
        <f t="shared" ref="BF12" si="77">(+BE12-+BE11)*48</f>
        <v>0</v>
      </c>
      <c r="BH12" s="110">
        <f t="shared" si="1"/>
        <v>128468.44800000032</v>
      </c>
      <c r="BI12" s="110">
        <f t="shared" si="2"/>
        <v>72672</v>
      </c>
    </row>
    <row r="13" spans="1:61" s="36" customFormat="1" ht="39.950000000000003" customHeight="1">
      <c r="A13" s="196">
        <v>44201</v>
      </c>
      <c r="B13" s="35"/>
      <c r="C13" s="81">
        <v>5729136</v>
      </c>
      <c r="D13" s="38">
        <f t="shared" ref="D13" si="78">(+C13-+C12)*48</f>
        <v>137424</v>
      </c>
      <c r="E13" s="109">
        <f t="shared" si="4"/>
        <v>82454.399999999994</v>
      </c>
      <c r="F13" s="108">
        <f t="shared" si="5"/>
        <v>54969.600000000006</v>
      </c>
      <c r="G13" s="81">
        <v>277856</v>
      </c>
      <c r="H13" s="38">
        <f t="shared" ref="H13" si="79">(+G13-+G12)*48</f>
        <v>768</v>
      </c>
      <c r="I13" s="81">
        <v>101786</v>
      </c>
      <c r="J13" s="38">
        <f t="shared" ref="J13" si="80">(+I13-+I12)*48</f>
        <v>8064</v>
      </c>
      <c r="K13" s="81">
        <v>256402</v>
      </c>
      <c r="L13" s="38">
        <f t="shared" si="0"/>
        <v>336</v>
      </c>
      <c r="M13" s="81">
        <v>24470</v>
      </c>
      <c r="N13" s="38">
        <f t="shared" ref="N13" si="81">(+M13-+M12)*48</f>
        <v>0</v>
      </c>
      <c r="O13" s="81">
        <v>237780</v>
      </c>
      <c r="P13" s="38">
        <f t="shared" ref="P13" si="82">(+O13-+O12)*48</f>
        <v>6480</v>
      </c>
      <c r="Q13" s="81">
        <v>440015</v>
      </c>
      <c r="R13" s="38">
        <f t="shared" ref="R13" si="83">(+Q13-+Q12)*48</f>
        <v>1296</v>
      </c>
      <c r="S13" s="81">
        <v>706932</v>
      </c>
      <c r="T13" s="38">
        <f t="shared" ref="T13" si="84">(+S13-+S12)*48</f>
        <v>5712</v>
      </c>
      <c r="U13" s="86">
        <v>96753</v>
      </c>
      <c r="V13" s="108">
        <f t="shared" ref="V13" si="85">(+U13-+U12)*48</f>
        <v>1052.3519999999553</v>
      </c>
      <c r="W13" s="81">
        <v>78994</v>
      </c>
      <c r="X13" s="38">
        <f t="shared" ref="X13" si="86">(+W13-+W12)*48</f>
        <v>240</v>
      </c>
      <c r="Y13" s="80">
        <v>1494191</v>
      </c>
      <c r="Z13" s="38">
        <f t="shared" ref="Z13" si="87">(+Y13-+Y12)*48</f>
        <v>0</v>
      </c>
      <c r="AA13" s="81">
        <v>13232</v>
      </c>
      <c r="AB13" s="38">
        <f t="shared" ref="AB13" si="88">(+AA13-+AA12)*48</f>
        <v>0</v>
      </c>
      <c r="AC13" s="81">
        <v>440317</v>
      </c>
      <c r="AD13" s="38">
        <f t="shared" si="16"/>
        <v>3024</v>
      </c>
      <c r="AE13" s="81">
        <v>516433</v>
      </c>
      <c r="AF13" s="38">
        <f t="shared" si="16"/>
        <v>1680</v>
      </c>
      <c r="AG13" s="81">
        <v>49172</v>
      </c>
      <c r="AH13" s="38">
        <f t="shared" ref="AH13" si="89">(+AG13-+AG12)*48</f>
        <v>192</v>
      </c>
      <c r="AI13" s="81">
        <v>401316</v>
      </c>
      <c r="AJ13" s="38">
        <f t="shared" ref="AJ13:AJ14" si="90">(+AI13-+AI12)*48</f>
        <v>5616</v>
      </c>
      <c r="AK13" s="81">
        <v>102388</v>
      </c>
      <c r="AL13" s="38">
        <f t="shared" ref="AL13" si="91">(+AK13-+AK12)*48</f>
        <v>48</v>
      </c>
      <c r="AM13" s="81">
        <v>562569</v>
      </c>
      <c r="AN13" s="38">
        <f t="shared" ref="AN13" si="92">(+AM13-+AM12)*48</f>
        <v>1152</v>
      </c>
      <c r="AO13" s="81">
        <v>905742</v>
      </c>
      <c r="AP13" s="38">
        <f t="shared" ref="AP13" si="93">(+AO13-+AO12)*48</f>
        <v>3312</v>
      </c>
      <c r="AQ13" s="81">
        <v>74221</v>
      </c>
      <c r="AR13" s="38">
        <f t="shared" ref="AR13" si="94">(+AQ13-+AQ12)*48</f>
        <v>0</v>
      </c>
      <c r="AS13" s="80">
        <v>2253</v>
      </c>
      <c r="AT13" s="38">
        <f t="shared" ref="AT13" si="95">(+AS13-+AS12)*48</f>
        <v>0</v>
      </c>
      <c r="AU13" s="80">
        <v>939</v>
      </c>
      <c r="AV13" s="38">
        <f t="shared" ref="AV13" si="96">(+AU13-+AU12)*48</f>
        <v>0</v>
      </c>
      <c r="AW13" s="80">
        <v>3109</v>
      </c>
      <c r="AX13" s="38">
        <f t="shared" ref="AX13" si="97">(+AW13-+AW12)*48</f>
        <v>0</v>
      </c>
      <c r="AY13" s="81">
        <v>306520</v>
      </c>
      <c r="AZ13" s="38">
        <f t="shared" ref="AZ13" si="98">(+AY13-+AY12)*48</f>
        <v>3648</v>
      </c>
      <c r="BA13" s="81">
        <v>160427</v>
      </c>
      <c r="BB13" s="38">
        <f t="shared" ref="BB13" si="99">(+BA13-+BA12)*48</f>
        <v>1488</v>
      </c>
      <c r="BC13" s="81">
        <v>210131</v>
      </c>
      <c r="BD13" s="38">
        <f t="shared" ref="BD13" si="100">(+BC13-+BC12)*48</f>
        <v>2976</v>
      </c>
      <c r="BE13" s="81">
        <v>5347</v>
      </c>
      <c r="BF13" s="38">
        <f t="shared" ref="BF13" si="101">(+BE13-+BE12)*48</f>
        <v>0</v>
      </c>
      <c r="BH13" s="110">
        <f t="shared" si="1"/>
        <v>116962.75199999995</v>
      </c>
      <c r="BI13" s="110">
        <f t="shared" si="2"/>
        <v>67545.600000000006</v>
      </c>
    </row>
    <row r="14" spans="1:61" s="36" customFormat="1" ht="39.950000000000003" customHeight="1">
      <c r="A14" s="196">
        <v>44202</v>
      </c>
      <c r="B14" s="35"/>
      <c r="C14" s="81">
        <v>5731996</v>
      </c>
      <c r="D14" s="38">
        <f t="shared" ref="D14" si="102">(+C14-+C13)*48</f>
        <v>137280</v>
      </c>
      <c r="E14" s="109">
        <f t="shared" si="4"/>
        <v>82368</v>
      </c>
      <c r="F14" s="108">
        <f t="shared" si="5"/>
        <v>54912</v>
      </c>
      <c r="G14" s="81">
        <v>277874</v>
      </c>
      <c r="H14" s="38">
        <f t="shared" ref="H14" si="103">(+G14-+G13)*48</f>
        <v>864</v>
      </c>
      <c r="I14" s="81">
        <v>101951</v>
      </c>
      <c r="J14" s="38">
        <f t="shared" ref="J14" si="104">(+I14-+I13)*48</f>
        <v>7920</v>
      </c>
      <c r="K14" s="81">
        <v>256408</v>
      </c>
      <c r="L14" s="38">
        <f t="shared" si="0"/>
        <v>288</v>
      </c>
      <c r="M14" s="86">
        <f>(M13+M15)/2</f>
        <v>24470</v>
      </c>
      <c r="N14" s="38">
        <f t="shared" ref="N14" si="105">(+M14-+M13)*48</f>
        <v>0</v>
      </c>
      <c r="O14" s="81">
        <v>237920</v>
      </c>
      <c r="P14" s="38">
        <f t="shared" ref="P14" si="106">(+O14-+O13)*48</f>
        <v>6720</v>
      </c>
      <c r="Q14" s="81">
        <v>440041</v>
      </c>
      <c r="R14" s="38">
        <f t="shared" ref="R14" si="107">(+Q14-+Q13)*48</f>
        <v>1248</v>
      </c>
      <c r="S14" s="81">
        <v>707029</v>
      </c>
      <c r="T14" s="38">
        <f t="shared" ref="T14" si="108">(+S14-+S13)*48</f>
        <v>4656</v>
      </c>
      <c r="U14" s="86">
        <v>96766</v>
      </c>
      <c r="V14" s="108">
        <f>(+U14-+U13)*48</f>
        <v>624</v>
      </c>
      <c r="W14" s="81">
        <v>78998</v>
      </c>
      <c r="X14" s="38">
        <f t="shared" ref="X14" si="109">(+W14-+W13)*48</f>
        <v>192</v>
      </c>
      <c r="Y14" s="80">
        <v>1494191</v>
      </c>
      <c r="Z14" s="38">
        <f t="shared" ref="Z14" si="110">(+Y14-+Y13)*48</f>
        <v>0</v>
      </c>
      <c r="AA14" s="86">
        <f>(AA13+AA15)/2</f>
        <v>13232</v>
      </c>
      <c r="AB14" s="38">
        <f t="shared" ref="AB14" si="111">(+AA14-+AA13)*48</f>
        <v>0</v>
      </c>
      <c r="AC14" s="81">
        <v>440379</v>
      </c>
      <c r="AD14" s="38">
        <f t="shared" si="16"/>
        <v>2976</v>
      </c>
      <c r="AE14" s="81">
        <v>516466</v>
      </c>
      <c r="AF14" s="38">
        <f t="shared" si="16"/>
        <v>1584</v>
      </c>
      <c r="AG14" s="81">
        <v>49177</v>
      </c>
      <c r="AH14" s="38">
        <f t="shared" ref="AH14" si="112">(+AG14-+AG13)*48</f>
        <v>240</v>
      </c>
      <c r="AI14" s="81">
        <v>401434</v>
      </c>
      <c r="AJ14" s="38">
        <f t="shared" si="90"/>
        <v>5664</v>
      </c>
      <c r="AK14" s="81">
        <v>102389</v>
      </c>
      <c r="AL14" s="38">
        <f t="shared" ref="AL14" si="113">(+AK14-+AK13)*48</f>
        <v>48</v>
      </c>
      <c r="AM14" s="81">
        <v>562597</v>
      </c>
      <c r="AN14" s="38">
        <f t="shared" ref="AN14" si="114">(+AM14-+AM13)*48</f>
        <v>1344</v>
      </c>
      <c r="AO14" s="81">
        <v>905811</v>
      </c>
      <c r="AP14" s="38">
        <f t="shared" ref="AP14" si="115">(+AO14-+AO13)*48</f>
        <v>3312</v>
      </c>
      <c r="AQ14" s="81">
        <v>74221</v>
      </c>
      <c r="AR14" s="38">
        <f t="shared" ref="AR14" si="116">(+AQ14-+AQ13)*48</f>
        <v>0</v>
      </c>
      <c r="AS14" s="80">
        <v>2253</v>
      </c>
      <c r="AT14" s="38">
        <f t="shared" ref="AT14" si="117">(+AS14-+AS13)*48</f>
        <v>0</v>
      </c>
      <c r="AU14" s="80">
        <v>939</v>
      </c>
      <c r="AV14" s="38">
        <f t="shared" ref="AV14" si="118">(+AU14-+AU13)*48</f>
        <v>0</v>
      </c>
      <c r="AW14" s="80">
        <v>3109</v>
      </c>
      <c r="AX14" s="38">
        <f t="shared" ref="AX14" si="119">(+AW14-+AW13)*48</f>
        <v>0</v>
      </c>
      <c r="AY14" s="81">
        <v>306595</v>
      </c>
      <c r="AZ14" s="38">
        <f t="shared" ref="AZ14" si="120">(+AY14-+AY13)*48</f>
        <v>3600</v>
      </c>
      <c r="BA14" s="81">
        <v>160458</v>
      </c>
      <c r="BB14" s="38">
        <f t="shared" ref="BB14" si="121">(+BA14-+BA13)*48</f>
        <v>1488</v>
      </c>
      <c r="BC14" s="81">
        <v>210189</v>
      </c>
      <c r="BD14" s="38">
        <f t="shared" ref="BD14" si="122">(+BC14-+BC13)*48</f>
        <v>2784</v>
      </c>
      <c r="BE14" s="81">
        <v>5347</v>
      </c>
      <c r="BF14" s="38">
        <f t="shared" ref="BF14" si="123">(+BE14-+BE13)*48</f>
        <v>0</v>
      </c>
      <c r="BH14" s="110">
        <f t="shared" si="1"/>
        <v>115392</v>
      </c>
      <c r="BI14" s="110">
        <f t="shared" si="2"/>
        <v>67440</v>
      </c>
    </row>
    <row r="15" spans="1:61" s="36" customFormat="1" ht="39.950000000000003" customHeight="1">
      <c r="A15" s="196">
        <v>44203</v>
      </c>
      <c r="B15" s="35"/>
      <c r="C15" s="81">
        <v>5734862</v>
      </c>
      <c r="D15" s="38">
        <f t="shared" ref="D15" si="124">(+C15-+C14)*48</f>
        <v>137568</v>
      </c>
      <c r="E15" s="109">
        <f t="shared" si="4"/>
        <v>82540.800000000003</v>
      </c>
      <c r="F15" s="108">
        <f t="shared" si="5"/>
        <v>55027.200000000004</v>
      </c>
      <c r="G15" s="81">
        <v>277891</v>
      </c>
      <c r="H15" s="38">
        <f t="shared" ref="H15" si="125">(+G15-+G14)*48</f>
        <v>816</v>
      </c>
      <c r="I15" s="81">
        <v>102120</v>
      </c>
      <c r="J15" s="38">
        <f t="shared" ref="J15" si="126">(+I15-+I14)*48</f>
        <v>8112</v>
      </c>
      <c r="K15" s="81">
        <v>256415</v>
      </c>
      <c r="L15" s="38">
        <f t="shared" si="0"/>
        <v>336</v>
      </c>
      <c r="M15" s="81">
        <v>24470</v>
      </c>
      <c r="N15" s="38">
        <f t="shared" ref="N15" si="127">(+M15-+M14)*48</f>
        <v>0</v>
      </c>
      <c r="O15" s="81">
        <v>238058</v>
      </c>
      <c r="P15" s="38">
        <f t="shared" ref="P15" si="128">(+O15-+O14)*48</f>
        <v>6624</v>
      </c>
      <c r="Q15" s="81">
        <v>440069</v>
      </c>
      <c r="R15" s="38">
        <f t="shared" ref="R15" si="129">(+Q15-+Q14)*48</f>
        <v>1344</v>
      </c>
      <c r="S15" s="81">
        <v>707143</v>
      </c>
      <c r="T15" s="38">
        <f t="shared" ref="T15" si="130">(+S15-+S14)*48</f>
        <v>5472</v>
      </c>
      <c r="U15" s="86">
        <v>96785</v>
      </c>
      <c r="V15" s="108">
        <f t="shared" ref="V15" si="131">(+U15-+U14)*48</f>
        <v>912</v>
      </c>
      <c r="W15" s="81">
        <v>79002</v>
      </c>
      <c r="X15" s="38">
        <f t="shared" ref="X15" si="132">(+W15-+W14)*48</f>
        <v>192</v>
      </c>
      <c r="Y15" s="80">
        <v>1494191</v>
      </c>
      <c r="Z15" s="38">
        <f t="shared" ref="Z15" si="133">(+Y15-+Y14)*48</f>
        <v>0</v>
      </c>
      <c r="AA15" s="81">
        <v>13232</v>
      </c>
      <c r="AB15" s="38">
        <f t="shared" ref="AB15" si="134">(+AA15-+AA14)*48</f>
        <v>0</v>
      </c>
      <c r="AC15" s="81">
        <v>440440</v>
      </c>
      <c r="AD15" s="38">
        <f t="shared" si="16"/>
        <v>2928</v>
      </c>
      <c r="AE15" s="81">
        <v>516502</v>
      </c>
      <c r="AF15" s="38">
        <f t="shared" si="16"/>
        <v>1728</v>
      </c>
      <c r="AG15" s="81">
        <v>49181</v>
      </c>
      <c r="AH15" s="38">
        <f t="shared" ref="AH15" si="135">(+AG15-+AG14)*48</f>
        <v>192</v>
      </c>
      <c r="AI15" s="81">
        <v>401552</v>
      </c>
      <c r="AJ15" s="38">
        <f t="shared" ref="AJ15" si="136">(+AI15-+AI14)*48</f>
        <v>5664</v>
      </c>
      <c r="AK15" s="81">
        <v>102389</v>
      </c>
      <c r="AL15" s="38">
        <f t="shared" ref="AL15" si="137">(+AK15-+AK14)*48</f>
        <v>0</v>
      </c>
      <c r="AM15" s="81">
        <v>562636</v>
      </c>
      <c r="AN15" s="38">
        <f t="shared" ref="AN15" si="138">(+AM15-+AM14)*48</f>
        <v>1872</v>
      </c>
      <c r="AO15" s="81">
        <v>905929</v>
      </c>
      <c r="AP15" s="38">
        <f t="shared" ref="AP15" si="139">(+AO15-+AO14)*48</f>
        <v>5664</v>
      </c>
      <c r="AQ15" s="81">
        <v>74221</v>
      </c>
      <c r="AR15" s="38">
        <f t="shared" ref="AR15" si="140">(+AQ15-+AQ14)*48</f>
        <v>0</v>
      </c>
      <c r="AS15" s="80">
        <v>2253</v>
      </c>
      <c r="AT15" s="38">
        <f t="shared" ref="AT15" si="141">(+AS15-+AS14)*48</f>
        <v>0</v>
      </c>
      <c r="AU15" s="80">
        <v>939</v>
      </c>
      <c r="AV15" s="38">
        <f t="shared" ref="AV15" si="142">(+AU15-+AU14)*48</f>
        <v>0</v>
      </c>
      <c r="AW15" s="80">
        <v>3109</v>
      </c>
      <c r="AX15" s="38">
        <f t="shared" ref="AX15" si="143">(+AW15-+AW14)*48</f>
        <v>0</v>
      </c>
      <c r="AY15" s="81">
        <v>306671</v>
      </c>
      <c r="AZ15" s="38">
        <f t="shared" ref="AZ15" si="144">(+AY15-+AY14)*48</f>
        <v>3648</v>
      </c>
      <c r="BA15" s="81">
        <v>160493</v>
      </c>
      <c r="BB15" s="38">
        <f t="shared" ref="BB15" si="145">(+BA15-+BA14)*48</f>
        <v>1680</v>
      </c>
      <c r="BC15" s="81">
        <f t="shared" ref="BC15" si="146">(BC14+BC16)/2</f>
        <v>210229.5</v>
      </c>
      <c r="BD15" s="38">
        <f t="shared" ref="BD15" si="147">(+BC15-+BC14)*48</f>
        <v>1944</v>
      </c>
      <c r="BE15" s="81">
        <v>5347</v>
      </c>
      <c r="BF15" s="38">
        <f t="shared" ref="BF15" si="148">(+BE15-+BE14)*48</f>
        <v>0</v>
      </c>
      <c r="BH15" s="110">
        <f t="shared" si="1"/>
        <v>116860.8</v>
      </c>
      <c r="BI15" s="110">
        <f t="shared" si="2"/>
        <v>69835.200000000012</v>
      </c>
    </row>
    <row r="16" spans="1:61" s="36" customFormat="1" ht="39.950000000000003" customHeight="1">
      <c r="A16" s="196">
        <v>44204</v>
      </c>
      <c r="B16" s="35"/>
      <c r="C16" s="81">
        <v>5737725</v>
      </c>
      <c r="D16" s="38">
        <f t="shared" ref="D16" si="149">(+C16-+C15)*48</f>
        <v>137424</v>
      </c>
      <c r="E16" s="109">
        <f t="shared" si="4"/>
        <v>82454.399999999994</v>
      </c>
      <c r="F16" s="108">
        <f t="shared" si="5"/>
        <v>54969.600000000006</v>
      </c>
      <c r="G16" s="81">
        <v>277909</v>
      </c>
      <c r="H16" s="38">
        <f t="shared" ref="H16" si="150">(+G16-+G15)*48</f>
        <v>864</v>
      </c>
      <c r="I16" s="81">
        <v>102288</v>
      </c>
      <c r="J16" s="38">
        <f t="shared" ref="J16" si="151">(+I16-+I15)*48</f>
        <v>8064</v>
      </c>
      <c r="K16" s="81">
        <v>256422</v>
      </c>
      <c r="L16" s="38">
        <f t="shared" si="0"/>
        <v>336</v>
      </c>
      <c r="M16" s="81">
        <v>24470</v>
      </c>
      <c r="N16" s="38">
        <f t="shared" ref="N16" si="152">(+M16-+M15)*48</f>
        <v>0</v>
      </c>
      <c r="O16" s="81">
        <v>238199</v>
      </c>
      <c r="P16" s="38">
        <f t="shared" ref="P16" si="153">(+O16-+O15)*48</f>
        <v>6768</v>
      </c>
      <c r="Q16" s="81">
        <v>440097</v>
      </c>
      <c r="R16" s="38">
        <f t="shared" ref="R16" si="154">(+Q16-+Q15)*48</f>
        <v>1344</v>
      </c>
      <c r="S16" s="81">
        <v>707272</v>
      </c>
      <c r="T16" s="38">
        <f t="shared" ref="T16" si="155">(+S16-+S15)*48</f>
        <v>6192</v>
      </c>
      <c r="U16" s="86">
        <v>96802</v>
      </c>
      <c r="V16" s="108">
        <f t="shared" ref="V16" si="156">(+U16-+U15)*48</f>
        <v>816</v>
      </c>
      <c r="W16" s="81">
        <v>79007</v>
      </c>
      <c r="X16" s="38">
        <f t="shared" ref="X16" si="157">(+W16-+W15)*48</f>
        <v>240</v>
      </c>
      <c r="Y16" s="80">
        <v>1494191</v>
      </c>
      <c r="Z16" s="38">
        <f t="shared" ref="Z16" si="158">(+Y16-+Y15)*48</f>
        <v>0</v>
      </c>
      <c r="AA16" s="81">
        <v>13232</v>
      </c>
      <c r="AB16" s="38">
        <f t="shared" ref="AB16" si="159">(+AA16-+AA15)*48</f>
        <v>0</v>
      </c>
      <c r="AC16" s="81">
        <v>440505</v>
      </c>
      <c r="AD16" s="38">
        <f t="shared" si="16"/>
        <v>3120</v>
      </c>
      <c r="AE16" s="81">
        <v>516535</v>
      </c>
      <c r="AF16" s="38">
        <f t="shared" si="16"/>
        <v>1584</v>
      </c>
      <c r="AG16" s="81">
        <v>49187</v>
      </c>
      <c r="AH16" s="38">
        <f t="shared" ref="AH16" si="160">(+AG16-+AG15)*48</f>
        <v>288</v>
      </c>
      <c r="AI16" s="81">
        <v>401659</v>
      </c>
      <c r="AJ16" s="38">
        <f t="shared" ref="AJ16" si="161">(+AI16-+AI15)*48</f>
        <v>5136</v>
      </c>
      <c r="AK16" s="81">
        <v>102389</v>
      </c>
      <c r="AL16" s="38">
        <f t="shared" ref="AL16" si="162">(+AK16-+AK15)*48</f>
        <v>0</v>
      </c>
      <c r="AM16" s="81">
        <f>(AM15+AM17)/2</f>
        <v>562648</v>
      </c>
      <c r="AN16" s="38">
        <f t="shared" ref="AN16" si="163">(+AM16-+AM15)*48</f>
        <v>576</v>
      </c>
      <c r="AO16" s="81">
        <f>(AO15+AO17)/2</f>
        <v>905977</v>
      </c>
      <c r="AP16" s="38">
        <f t="shared" ref="AP16" si="164">(+AO16-+AO15)*48</f>
        <v>2304</v>
      </c>
      <c r="AQ16" s="81">
        <v>74221</v>
      </c>
      <c r="AR16" s="38">
        <f t="shared" ref="AR16" si="165">(+AQ16-+AQ15)*48</f>
        <v>0</v>
      </c>
      <c r="AS16" s="80">
        <v>2253</v>
      </c>
      <c r="AT16" s="38">
        <f t="shared" ref="AT16" si="166">(+AS16-+AS15)*48</f>
        <v>0</v>
      </c>
      <c r="AU16" s="80">
        <v>939</v>
      </c>
      <c r="AV16" s="38">
        <f t="shared" ref="AV16" si="167">(+AU16-+AU15)*48</f>
        <v>0</v>
      </c>
      <c r="AW16" s="80">
        <v>3109</v>
      </c>
      <c r="AX16" s="38">
        <f t="shared" ref="AX16" si="168">(+AW16-+AW15)*48</f>
        <v>0</v>
      </c>
      <c r="AY16" s="81">
        <f t="shared" ref="AY16" si="169">(AY15+AY17)/2</f>
        <v>306688.5</v>
      </c>
      <c r="AZ16" s="38">
        <f t="shared" ref="AZ16" si="170">(+AY16-+AY15)*48</f>
        <v>840</v>
      </c>
      <c r="BA16" s="81">
        <f t="shared" ref="BA16" si="171">(BA15+BA17)/2</f>
        <v>160556.5</v>
      </c>
      <c r="BB16" s="38">
        <f t="shared" ref="BB16" si="172">(+BA16-+BA15)*48</f>
        <v>3048</v>
      </c>
      <c r="BC16" s="81">
        <v>210270</v>
      </c>
      <c r="BD16" s="38">
        <f t="shared" ref="BD16" si="173">(+BC16-+BC15)*48</f>
        <v>1944</v>
      </c>
      <c r="BE16" s="81">
        <v>5347</v>
      </c>
      <c r="BF16" s="38">
        <f t="shared" ref="BF16" si="174">(+BE16-+BE15)*48</f>
        <v>0</v>
      </c>
      <c r="BH16" s="110">
        <f t="shared" si="1"/>
        <v>117206.39999999999</v>
      </c>
      <c r="BI16" s="110">
        <f t="shared" si="2"/>
        <v>63681.600000000006</v>
      </c>
    </row>
    <row r="17" spans="1:61" s="36" customFormat="1" ht="39.950000000000003" customHeight="1">
      <c r="A17" s="196">
        <v>44205</v>
      </c>
      <c r="B17" s="35"/>
      <c r="C17" s="81">
        <v>5740588</v>
      </c>
      <c r="D17" s="38">
        <f t="shared" ref="D17" si="175">(+C17-+C16)*48</f>
        <v>137424</v>
      </c>
      <c r="E17" s="109">
        <f t="shared" si="4"/>
        <v>82454.399999999994</v>
      </c>
      <c r="F17" s="108">
        <f t="shared" si="5"/>
        <v>54969.600000000006</v>
      </c>
      <c r="G17" s="81">
        <v>277925</v>
      </c>
      <c r="H17" s="38">
        <f t="shared" ref="H17" si="176">(+G17-+G16)*48</f>
        <v>768</v>
      </c>
      <c r="I17" s="81">
        <v>102456</v>
      </c>
      <c r="J17" s="38">
        <f t="shared" ref="J17" si="177">(+I17-+I16)*48</f>
        <v>8064</v>
      </c>
      <c r="K17" s="81">
        <v>256428</v>
      </c>
      <c r="L17" s="38">
        <f t="shared" si="0"/>
        <v>288</v>
      </c>
      <c r="M17" s="81">
        <v>24470</v>
      </c>
      <c r="N17" s="38">
        <f t="shared" ref="N17" si="178">(+M17-+M16)*48</f>
        <v>0</v>
      </c>
      <c r="O17" s="81">
        <v>238341</v>
      </c>
      <c r="P17" s="38">
        <f t="shared" ref="P17" si="179">(+O17-+O16)*48</f>
        <v>6816</v>
      </c>
      <c r="Q17" s="81">
        <v>440126</v>
      </c>
      <c r="R17" s="38">
        <f t="shared" ref="R17" si="180">(+Q17-+Q16)*48</f>
        <v>1392</v>
      </c>
      <c r="S17" s="81">
        <v>707409</v>
      </c>
      <c r="T17" s="38">
        <f t="shared" ref="T17" si="181">(+S17-+S16)*48</f>
        <v>6576</v>
      </c>
      <c r="U17" s="86">
        <v>96818.35</v>
      </c>
      <c r="V17" s="108">
        <f t="shared" ref="V17" si="182">(+U17-+U16)*48</f>
        <v>784.8000000002794</v>
      </c>
      <c r="W17" s="81">
        <v>79012</v>
      </c>
      <c r="X17" s="38">
        <f t="shared" ref="X17" si="183">(+W17-+W16)*48</f>
        <v>240</v>
      </c>
      <c r="Y17" s="81">
        <v>1494191</v>
      </c>
      <c r="Z17" s="38">
        <f t="shared" ref="Z17" si="184">(+Y17-+Y16)*48</f>
        <v>0</v>
      </c>
      <c r="AA17" s="81">
        <v>13232</v>
      </c>
      <c r="AB17" s="38">
        <f t="shared" ref="AB17" si="185">(+AA17-+AA16)*48</f>
        <v>0</v>
      </c>
      <c r="AC17" s="81">
        <v>440569</v>
      </c>
      <c r="AD17" s="38">
        <f t="shared" si="16"/>
        <v>3072</v>
      </c>
      <c r="AE17" s="81">
        <v>516573</v>
      </c>
      <c r="AF17" s="38">
        <f t="shared" si="16"/>
        <v>1824</v>
      </c>
      <c r="AG17" s="81">
        <v>49194</v>
      </c>
      <c r="AH17" s="38">
        <f t="shared" ref="AH17" si="186">(+AG17-+AG16)*48</f>
        <v>336</v>
      </c>
      <c r="AI17" s="81">
        <v>401754</v>
      </c>
      <c r="AJ17" s="38">
        <f t="shared" ref="AJ17" si="187">(+AI17-+AI16)*48</f>
        <v>4560</v>
      </c>
      <c r="AK17" s="81">
        <v>102390</v>
      </c>
      <c r="AL17" s="38">
        <f t="shared" ref="AL17" si="188">(+AK17-+AK16)*48</f>
        <v>48</v>
      </c>
      <c r="AM17" s="81">
        <v>562660</v>
      </c>
      <c r="AN17" s="38">
        <f t="shared" ref="AN17" si="189">(+AM17-+AM16)*48</f>
        <v>576</v>
      </c>
      <c r="AO17" s="81">
        <v>906025</v>
      </c>
      <c r="AP17" s="38">
        <f t="shared" ref="AP17" si="190">(+AO17-+AO16)*48</f>
        <v>2304</v>
      </c>
      <c r="AQ17" s="81">
        <v>74221</v>
      </c>
      <c r="AR17" s="38">
        <f t="shared" ref="AR17" si="191">(+AQ17-+AQ16)*48</f>
        <v>0</v>
      </c>
      <c r="AS17" s="80">
        <v>2253</v>
      </c>
      <c r="AT17" s="38">
        <f t="shared" ref="AT17" si="192">(+AS17-+AS16)*48</f>
        <v>0</v>
      </c>
      <c r="AU17" s="80">
        <v>939</v>
      </c>
      <c r="AV17" s="38">
        <f t="shared" ref="AV17" si="193">(+AU17-+AU16)*48</f>
        <v>0</v>
      </c>
      <c r="AW17" s="80">
        <v>3109</v>
      </c>
      <c r="AX17" s="38">
        <f t="shared" ref="AX17" si="194">(+AW17-+AW16)*48</f>
        <v>0</v>
      </c>
      <c r="AY17" s="81">
        <v>306706</v>
      </c>
      <c r="AZ17" s="38">
        <f t="shared" ref="AZ17" si="195">(+AY17-+AY16)*48</f>
        <v>840</v>
      </c>
      <c r="BA17" s="81">
        <v>160620</v>
      </c>
      <c r="BB17" s="38">
        <f t="shared" ref="BB17" si="196">(+BA17-+BA16)*48</f>
        <v>3048</v>
      </c>
      <c r="BC17" s="81">
        <v>210270</v>
      </c>
      <c r="BD17" s="38">
        <f t="shared" ref="BD17" si="197">(+BC17-+BC16)*48</f>
        <v>0</v>
      </c>
      <c r="BE17" s="81">
        <v>5347</v>
      </c>
      <c r="BF17" s="38">
        <f t="shared" ref="BF17" si="198">(+BE17-+BE16)*48</f>
        <v>0</v>
      </c>
      <c r="BH17" s="110">
        <f t="shared" si="1"/>
        <v>117223.20000000027</v>
      </c>
      <c r="BI17" s="110">
        <f t="shared" si="2"/>
        <v>61737.600000000006</v>
      </c>
    </row>
    <row r="18" spans="1:61" s="36" customFormat="1" ht="39.950000000000003" customHeight="1">
      <c r="A18" s="196">
        <v>44206</v>
      </c>
      <c r="B18" s="35"/>
      <c r="C18" s="81">
        <v>5744669</v>
      </c>
      <c r="D18" s="38">
        <f t="shared" ref="D18" si="199">(+C18-+C17)*48</f>
        <v>195888</v>
      </c>
      <c r="E18" s="109">
        <f t="shared" si="4"/>
        <v>117532.8</v>
      </c>
      <c r="F18" s="108">
        <f t="shared" si="5"/>
        <v>78355.199999999997</v>
      </c>
      <c r="G18" s="81">
        <v>277944</v>
      </c>
      <c r="H18" s="38">
        <f t="shared" ref="H18" si="200">(+G18-+G17)*48</f>
        <v>912</v>
      </c>
      <c r="I18" s="81">
        <v>102632</v>
      </c>
      <c r="J18" s="38">
        <f t="shared" ref="J18" si="201">(+I18-+I17)*48</f>
        <v>8448</v>
      </c>
      <c r="K18" s="81">
        <v>256441</v>
      </c>
      <c r="L18" s="38">
        <f t="shared" si="0"/>
        <v>624</v>
      </c>
      <c r="M18" s="81">
        <v>24470</v>
      </c>
      <c r="N18" s="38">
        <f t="shared" ref="N18" si="202">(+M18-+M17)*48</f>
        <v>0</v>
      </c>
      <c r="O18" s="81">
        <v>238482</v>
      </c>
      <c r="P18" s="38">
        <f t="shared" ref="P18" si="203">(+O18-+O17)*48</f>
        <v>6768</v>
      </c>
      <c r="Q18" s="81">
        <v>440199</v>
      </c>
      <c r="R18" s="38">
        <f t="shared" ref="R18" si="204">(+Q18-+Q17)*48</f>
        <v>3504</v>
      </c>
      <c r="S18" s="81">
        <v>707512</v>
      </c>
      <c r="T18" s="38">
        <f t="shared" ref="T18" si="205">(+S18-+S17)*48</f>
        <v>4944</v>
      </c>
      <c r="U18" s="86">
        <v>96838.774000000005</v>
      </c>
      <c r="V18" s="108">
        <f t="shared" ref="V18" si="206">(+U18-+U17)*48</f>
        <v>980.3519999999553</v>
      </c>
      <c r="W18" s="81">
        <v>79027</v>
      </c>
      <c r="X18" s="38">
        <f t="shared" ref="X18" si="207">(+W18-+W17)*48</f>
        <v>720</v>
      </c>
      <c r="Y18" s="81">
        <v>1494191</v>
      </c>
      <c r="Z18" s="38">
        <f t="shared" ref="Z18" si="208">(+Y18-+Y17)*48</f>
        <v>0</v>
      </c>
      <c r="AA18" s="81">
        <v>13232</v>
      </c>
      <c r="AB18" s="38">
        <f t="shared" ref="AB18" si="209">(+AA18-+AA17)*48</f>
        <v>0</v>
      </c>
      <c r="AC18" s="81">
        <v>440574</v>
      </c>
      <c r="AD18" s="38">
        <f t="shared" si="16"/>
        <v>240</v>
      </c>
      <c r="AE18" s="81">
        <v>516573</v>
      </c>
      <c r="AF18" s="38">
        <f t="shared" si="16"/>
        <v>0</v>
      </c>
      <c r="AG18" s="81">
        <v>49200</v>
      </c>
      <c r="AH18" s="38">
        <f t="shared" ref="AH18" si="210">(+AG18-+AG17)*48</f>
        <v>288</v>
      </c>
      <c r="AI18" s="81">
        <v>401812</v>
      </c>
      <c r="AJ18" s="38">
        <f t="shared" ref="AJ18" si="211">(+AI18-+AI17)*48</f>
        <v>2784</v>
      </c>
      <c r="AK18" s="81">
        <v>102390</v>
      </c>
      <c r="AL18" s="38">
        <f t="shared" ref="AL18" si="212">(+AK18-+AK17)*48</f>
        <v>0</v>
      </c>
      <c r="AM18" s="81">
        <v>562660</v>
      </c>
      <c r="AN18" s="38">
        <f t="shared" ref="AN18" si="213">(+AM18-+AM17)*48</f>
        <v>0</v>
      </c>
      <c r="AO18" s="81">
        <v>906025</v>
      </c>
      <c r="AP18" s="38">
        <f t="shared" ref="AP18" si="214">(+AO18-+AO17)*48</f>
        <v>0</v>
      </c>
      <c r="AQ18" s="81">
        <v>74221</v>
      </c>
      <c r="AR18" s="38">
        <f t="shared" ref="AR18" si="215">(+AQ18-+AQ17)*48</f>
        <v>0</v>
      </c>
      <c r="AS18" s="80">
        <v>2253</v>
      </c>
      <c r="AT18" s="38">
        <f t="shared" ref="AT18" si="216">(+AS18-+AS17)*48</f>
        <v>0</v>
      </c>
      <c r="AU18" s="80">
        <v>939</v>
      </c>
      <c r="AV18" s="38">
        <f t="shared" ref="AV18" si="217">(+AU18-+AU17)*48</f>
        <v>0</v>
      </c>
      <c r="AW18" s="80">
        <v>3109</v>
      </c>
      <c r="AX18" s="38">
        <f t="shared" ref="AX18" si="218">(+AW18-+AW17)*48</f>
        <v>0</v>
      </c>
      <c r="AY18" s="81">
        <v>306706</v>
      </c>
      <c r="AZ18" s="38">
        <f t="shared" ref="AZ18" si="219">(+AY18-+AY17)*48</f>
        <v>0</v>
      </c>
      <c r="BA18" s="81">
        <v>160683</v>
      </c>
      <c r="BB18" s="38">
        <f t="shared" ref="BB18" si="220">(+BA18-+BA17)*48</f>
        <v>3024</v>
      </c>
      <c r="BC18" s="81">
        <v>210270</v>
      </c>
      <c r="BD18" s="38">
        <f t="shared" ref="BD18" si="221">(+BC18-+BC17)*48</f>
        <v>0</v>
      </c>
      <c r="BE18" s="81">
        <v>5347</v>
      </c>
      <c r="BF18" s="38">
        <f t="shared" ref="BF18" si="222">(+BE18-+BE17)*48</f>
        <v>0</v>
      </c>
      <c r="BH18" s="110">
        <f t="shared" si="1"/>
        <v>147745.15199999994</v>
      </c>
      <c r="BI18" s="110">
        <f t="shared" si="2"/>
        <v>81379.199999999997</v>
      </c>
    </row>
    <row r="19" spans="1:61" s="36" customFormat="1" ht="39.950000000000003" customHeight="1">
      <c r="A19" s="196">
        <v>44207</v>
      </c>
      <c r="B19" s="35"/>
      <c r="C19" s="81">
        <v>5748649</v>
      </c>
      <c r="D19" s="38">
        <f t="shared" ref="D19" si="223">(+C19-+C18)*48</f>
        <v>191040</v>
      </c>
      <c r="E19" s="109">
        <f t="shared" si="4"/>
        <v>114624</v>
      </c>
      <c r="F19" s="108">
        <f t="shared" si="5"/>
        <v>76416</v>
      </c>
      <c r="G19" s="81">
        <v>277965</v>
      </c>
      <c r="H19" s="38">
        <f t="shared" ref="H19" si="224">(+G19-+G18)*48</f>
        <v>1008</v>
      </c>
      <c r="I19" s="81">
        <v>102788</v>
      </c>
      <c r="J19" s="38">
        <f t="shared" ref="J19" si="225">(+I19-+I18)*48</f>
        <v>7488</v>
      </c>
      <c r="K19" s="81">
        <v>256474</v>
      </c>
      <c r="L19" s="38">
        <f t="shared" si="0"/>
        <v>1584</v>
      </c>
      <c r="M19" s="86">
        <f>(M21-M18)/3+M18</f>
        <v>24470</v>
      </c>
      <c r="N19" s="38">
        <f t="shared" ref="N19" si="226">(+M19-+M18)*48</f>
        <v>0</v>
      </c>
      <c r="O19" s="81">
        <v>238639</v>
      </c>
      <c r="P19" s="38">
        <f t="shared" ref="P19" si="227">(+O19-+O18)*48</f>
        <v>7536</v>
      </c>
      <c r="Q19" s="81">
        <v>440283</v>
      </c>
      <c r="R19" s="38">
        <f t="shared" ref="R19" si="228">(+Q19-+Q18)*48</f>
        <v>4032</v>
      </c>
      <c r="S19" s="81">
        <v>707625</v>
      </c>
      <c r="T19" s="38">
        <f t="shared" ref="T19" si="229">(+S19-+S18)*48</f>
        <v>5424</v>
      </c>
      <c r="U19" s="86">
        <v>96859.19</v>
      </c>
      <c r="V19" s="108">
        <f t="shared" ref="V19" si="230">(+U19-+U18)*48</f>
        <v>979.96799999987707</v>
      </c>
      <c r="W19" s="81">
        <v>79039</v>
      </c>
      <c r="X19" s="38">
        <f t="shared" ref="X19" si="231">(+W19-+W18)*48</f>
        <v>576</v>
      </c>
      <c r="Y19" s="81">
        <v>1494191</v>
      </c>
      <c r="Z19" s="38">
        <f t="shared" ref="Z19" si="232">(+Y19-+Y18)*48</f>
        <v>0</v>
      </c>
      <c r="AA19" s="86">
        <f>(AA21-AA18)/3+AA18</f>
        <v>13232</v>
      </c>
      <c r="AB19" s="38">
        <f t="shared" ref="AB19" si="233">(+AA19-+AA18)*48</f>
        <v>0</v>
      </c>
      <c r="AC19" s="81">
        <v>440574</v>
      </c>
      <c r="AD19" s="38">
        <f t="shared" si="16"/>
        <v>0</v>
      </c>
      <c r="AE19" s="81">
        <v>516573</v>
      </c>
      <c r="AF19" s="38">
        <f t="shared" si="16"/>
        <v>0</v>
      </c>
      <c r="AG19" s="81">
        <v>49205</v>
      </c>
      <c r="AH19" s="38">
        <f t="shared" ref="AH19" si="234">(+AG19-+AG18)*48</f>
        <v>240</v>
      </c>
      <c r="AI19" s="81">
        <v>401940</v>
      </c>
      <c r="AJ19" s="38">
        <f t="shared" ref="AJ19" si="235">(+AI19-+AI18)*48</f>
        <v>6144</v>
      </c>
      <c r="AK19" s="81">
        <v>102390</v>
      </c>
      <c r="AL19" s="38">
        <f t="shared" ref="AL19" si="236">(+AK19-+AK18)*48</f>
        <v>0</v>
      </c>
      <c r="AM19" s="81">
        <v>562660</v>
      </c>
      <c r="AN19" s="38">
        <f t="shared" ref="AN19" si="237">(+AM19-+AM18)*48</f>
        <v>0</v>
      </c>
      <c r="AO19" s="81">
        <v>906025</v>
      </c>
      <c r="AP19" s="38">
        <f t="shared" ref="AP19" si="238">(+AO19-+AO18)*48</f>
        <v>0</v>
      </c>
      <c r="AQ19" s="81">
        <v>74221</v>
      </c>
      <c r="AR19" s="38">
        <f t="shared" ref="AR19" si="239">(+AQ19-+AQ18)*48</f>
        <v>0</v>
      </c>
      <c r="AS19" s="80">
        <v>2253</v>
      </c>
      <c r="AT19" s="38">
        <f t="shared" ref="AT19" si="240">(+AS19-+AS18)*48</f>
        <v>0</v>
      </c>
      <c r="AU19" s="80">
        <v>939</v>
      </c>
      <c r="AV19" s="38">
        <f t="shared" ref="AV19" si="241">(+AU19-+AU18)*48</f>
        <v>0</v>
      </c>
      <c r="AW19" s="80">
        <v>3109</v>
      </c>
      <c r="AX19" s="38">
        <f t="shared" ref="AX19" si="242">(+AW19-+AW18)*48</f>
        <v>0</v>
      </c>
      <c r="AY19" s="81">
        <v>306706</v>
      </c>
      <c r="AZ19" s="38">
        <f t="shared" ref="AZ19" si="243">(+AY19-+AY18)*48</f>
        <v>0</v>
      </c>
      <c r="BA19" s="81">
        <v>160741</v>
      </c>
      <c r="BB19" s="38">
        <f t="shared" ref="BB19" si="244">(+BA19-+BA18)*48</f>
        <v>2784</v>
      </c>
      <c r="BC19" s="81">
        <v>210270</v>
      </c>
      <c r="BD19" s="38">
        <f t="shared" ref="BD19" si="245">(+BC19-+BC18)*48</f>
        <v>0</v>
      </c>
      <c r="BE19" s="81">
        <v>5347</v>
      </c>
      <c r="BF19" s="38">
        <f t="shared" ref="BF19" si="246">(+BE19-+BE18)*48</f>
        <v>0</v>
      </c>
      <c r="BH19" s="169">
        <f t="shared" si="1"/>
        <v>149635.96799999988</v>
      </c>
      <c r="BI19" s="169">
        <f t="shared" si="2"/>
        <v>79200</v>
      </c>
    </row>
    <row r="20" spans="1:61" s="36" customFormat="1" ht="39.950000000000003" customHeight="1">
      <c r="A20" s="196">
        <v>44208</v>
      </c>
      <c r="B20" s="35"/>
      <c r="C20" s="81">
        <v>5752870</v>
      </c>
      <c r="D20" s="38">
        <f t="shared" ref="D20" si="247">(+C20-+C19)*48</f>
        <v>202608</v>
      </c>
      <c r="E20" s="109">
        <f t="shared" si="4"/>
        <v>121564.79999999999</v>
      </c>
      <c r="F20" s="108">
        <f t="shared" si="5"/>
        <v>81043.200000000012</v>
      </c>
      <c r="G20" s="81">
        <v>277986</v>
      </c>
      <c r="H20" s="38">
        <f t="shared" ref="H20" si="248">(+G20-+G19)*48</f>
        <v>1008</v>
      </c>
      <c r="I20" s="81">
        <v>102951</v>
      </c>
      <c r="J20" s="38">
        <f t="shared" ref="J20" si="249">(+I20-+I19)*48</f>
        <v>7824</v>
      </c>
      <c r="K20" s="81">
        <v>256492</v>
      </c>
      <c r="L20" s="38">
        <f t="shared" si="0"/>
        <v>864</v>
      </c>
      <c r="M20" s="86">
        <f>(M21-M18)/3+M19</f>
        <v>24470</v>
      </c>
      <c r="N20" s="38">
        <f t="shared" ref="N20" si="250">(+M20-+M19)*48</f>
        <v>0</v>
      </c>
      <c r="O20" s="81">
        <v>238772</v>
      </c>
      <c r="P20" s="38">
        <f t="shared" ref="P20" si="251">(+O20-+O19)*48</f>
        <v>6384</v>
      </c>
      <c r="Q20" s="81">
        <v>440338</v>
      </c>
      <c r="R20" s="38">
        <f t="shared" ref="R20" si="252">(+Q20-+Q19)*48</f>
        <v>2640</v>
      </c>
      <c r="S20" s="81">
        <v>707748</v>
      </c>
      <c r="T20" s="38">
        <f t="shared" ref="T20" si="253">(+S20-+S19)*48</f>
        <v>5904</v>
      </c>
      <c r="U20" s="86">
        <v>96875.188999999998</v>
      </c>
      <c r="V20" s="108">
        <f t="shared" ref="V20" si="254">(+U20-+U19)*48</f>
        <v>767.9519999998156</v>
      </c>
      <c r="W20" s="81">
        <v>79051</v>
      </c>
      <c r="X20" s="38">
        <f t="shared" ref="X20" si="255">(+W20-+W19)*48</f>
        <v>576</v>
      </c>
      <c r="Y20" s="81">
        <v>1494191</v>
      </c>
      <c r="Z20" s="38">
        <f t="shared" ref="Z20" si="256">(+Y20-+Y19)*48</f>
        <v>0</v>
      </c>
      <c r="AA20" s="86">
        <f>(AA21-AA18)/3+AA19</f>
        <v>13232</v>
      </c>
      <c r="AB20" s="38">
        <f t="shared" ref="AB20" si="257">(+AA20-+AA19)*48</f>
        <v>0</v>
      </c>
      <c r="AC20" s="81">
        <v>440574</v>
      </c>
      <c r="AD20" s="38">
        <f t="shared" si="16"/>
        <v>0</v>
      </c>
      <c r="AE20" s="81">
        <v>516573</v>
      </c>
      <c r="AF20" s="38">
        <f t="shared" si="16"/>
        <v>0</v>
      </c>
      <c r="AG20" s="81">
        <v>49211</v>
      </c>
      <c r="AH20" s="38">
        <f t="shared" ref="AH20" si="258">(+AG20-+AG19)*48</f>
        <v>288</v>
      </c>
      <c r="AI20" s="81">
        <v>402062</v>
      </c>
      <c r="AJ20" s="38">
        <f t="shared" ref="AJ20" si="259">(+AI20-+AI19)*48</f>
        <v>5856</v>
      </c>
      <c r="AK20" s="81">
        <v>102390</v>
      </c>
      <c r="AL20" s="38">
        <f t="shared" ref="AL20" si="260">(+AK20-+AK19)*48</f>
        <v>0</v>
      </c>
      <c r="AM20" s="81">
        <v>562660</v>
      </c>
      <c r="AN20" s="38">
        <f t="shared" ref="AN20" si="261">(+AM20-+AM19)*48</f>
        <v>0</v>
      </c>
      <c r="AO20" s="81">
        <v>906025</v>
      </c>
      <c r="AP20" s="38">
        <f t="shared" ref="AP20" si="262">(+AO20-+AO19)*48</f>
        <v>0</v>
      </c>
      <c r="AQ20" s="81">
        <v>74221</v>
      </c>
      <c r="AR20" s="38">
        <f t="shared" ref="AR20" si="263">(+AQ20-+AQ19)*48</f>
        <v>0</v>
      </c>
      <c r="AS20" s="80">
        <v>2253</v>
      </c>
      <c r="AT20" s="38">
        <f t="shared" ref="AT20" si="264">(+AS20-+AS19)*48</f>
        <v>0</v>
      </c>
      <c r="AU20" s="80">
        <v>939</v>
      </c>
      <c r="AV20" s="38">
        <f t="shared" ref="AV20" si="265">(+AU20-+AU19)*48</f>
        <v>0</v>
      </c>
      <c r="AW20" s="80">
        <v>3109</v>
      </c>
      <c r="AX20" s="38">
        <f t="shared" ref="AX20" si="266">(+AW20-+AW19)*48</f>
        <v>0</v>
      </c>
      <c r="AY20" s="81">
        <v>306706</v>
      </c>
      <c r="AZ20" s="38">
        <f t="shared" ref="AZ20" si="267">(+AY20-+AY19)*48</f>
        <v>0</v>
      </c>
      <c r="BA20" s="81">
        <v>160792</v>
      </c>
      <c r="BB20" s="38">
        <f t="shared" ref="BB20" si="268">(+BA20-+BA19)*48</f>
        <v>2448</v>
      </c>
      <c r="BC20" s="81">
        <v>210270</v>
      </c>
      <c r="BD20" s="38">
        <f t="shared" ref="BD20" si="269">(+BC20-+BC19)*48</f>
        <v>0</v>
      </c>
      <c r="BE20" s="81">
        <v>5347</v>
      </c>
      <c r="BF20" s="38">
        <f t="shared" ref="BF20" si="270">(+BE20-+BE19)*48</f>
        <v>0</v>
      </c>
      <c r="BH20" s="169">
        <f t="shared" si="1"/>
        <v>153676.7519999998</v>
      </c>
      <c r="BI20" s="169">
        <f t="shared" si="2"/>
        <v>83491.200000000012</v>
      </c>
    </row>
    <row r="21" spans="1:61" s="36" customFormat="1" ht="39.950000000000003" customHeight="1">
      <c r="A21" s="196">
        <v>44209</v>
      </c>
      <c r="B21" s="35"/>
      <c r="C21" s="81">
        <v>5757162</v>
      </c>
      <c r="D21" s="38">
        <f t="shared" ref="D21" si="271">(+C21-+C20)*48</f>
        <v>206016</v>
      </c>
      <c r="E21" s="109">
        <f t="shared" si="4"/>
        <v>123609.59999999999</v>
      </c>
      <c r="F21" s="108">
        <f t="shared" si="5"/>
        <v>82406.400000000009</v>
      </c>
      <c r="G21" s="81">
        <v>278005</v>
      </c>
      <c r="H21" s="38">
        <f t="shared" ref="H21" si="272">(+G21-+G20)*48</f>
        <v>912</v>
      </c>
      <c r="I21" s="81">
        <v>103115</v>
      </c>
      <c r="J21" s="38">
        <f t="shared" ref="J21" si="273">(+I21-+I20)*48</f>
        <v>7872</v>
      </c>
      <c r="K21" s="81">
        <v>256507</v>
      </c>
      <c r="L21" s="38">
        <f t="shared" si="0"/>
        <v>720</v>
      </c>
      <c r="M21" s="81">
        <v>24470</v>
      </c>
      <c r="N21" s="38">
        <f t="shared" ref="N21" si="274">(+M21-+M20)*48</f>
        <v>0</v>
      </c>
      <c r="O21" s="81">
        <v>238908</v>
      </c>
      <c r="P21" s="38">
        <f t="shared" ref="P21" si="275">(+O21-+O20)*48</f>
        <v>6528</v>
      </c>
      <c r="Q21" s="81">
        <v>440407</v>
      </c>
      <c r="R21" s="38">
        <f t="shared" ref="R21" si="276">(+Q21-+Q20)*48</f>
        <v>3312</v>
      </c>
      <c r="S21" s="81">
        <v>707863</v>
      </c>
      <c r="T21" s="38">
        <f t="shared" ref="T21" si="277">(+S21-+S20)*48</f>
        <v>5520</v>
      </c>
      <c r="U21" s="86">
        <v>96892.001000000004</v>
      </c>
      <c r="V21" s="108">
        <f t="shared" ref="V21" si="278">(+U21-+U20)*48</f>
        <v>806.97600000025705</v>
      </c>
      <c r="W21" s="81">
        <v>79062</v>
      </c>
      <c r="X21" s="38">
        <f t="shared" ref="X21" si="279">(+W21-+W20)*48</f>
        <v>528</v>
      </c>
      <c r="Y21" s="81">
        <v>1494191</v>
      </c>
      <c r="Z21" s="38">
        <f t="shared" ref="Z21" si="280">(+Y21-+Y20)*48</f>
        <v>0</v>
      </c>
      <c r="AA21" s="81">
        <v>13232</v>
      </c>
      <c r="AB21" s="38">
        <f t="shared" ref="AB21" si="281">(+AA21-+AA20)*48</f>
        <v>0</v>
      </c>
      <c r="AC21" s="81">
        <v>440574</v>
      </c>
      <c r="AD21" s="38">
        <f t="shared" si="16"/>
        <v>0</v>
      </c>
      <c r="AE21" s="81">
        <v>516573</v>
      </c>
      <c r="AF21" s="38">
        <f t="shared" si="16"/>
        <v>0</v>
      </c>
      <c r="AG21" s="81">
        <v>49217</v>
      </c>
      <c r="AH21" s="38">
        <f t="shared" ref="AH21" si="282">(+AG21-+AG20)*48</f>
        <v>288</v>
      </c>
      <c r="AI21" s="81">
        <v>402176</v>
      </c>
      <c r="AJ21" s="38">
        <f t="shared" ref="AJ21" si="283">(+AI21-+AI20)*48</f>
        <v>5472</v>
      </c>
      <c r="AK21" s="81">
        <v>102390</v>
      </c>
      <c r="AL21" s="38">
        <f t="shared" ref="AL21" si="284">(+AK21-+AK20)*48</f>
        <v>0</v>
      </c>
      <c r="AM21" s="81">
        <v>562660</v>
      </c>
      <c r="AN21" s="38">
        <f t="shared" ref="AN21" si="285">(+AM21-+AM20)*48</f>
        <v>0</v>
      </c>
      <c r="AO21" s="81">
        <v>906025</v>
      </c>
      <c r="AP21" s="38">
        <f t="shared" ref="AP21" si="286">(+AO21-+AO20)*48</f>
        <v>0</v>
      </c>
      <c r="AQ21" s="81">
        <v>74221</v>
      </c>
      <c r="AR21" s="38">
        <f t="shared" ref="AR21" si="287">(+AQ21-+AQ20)*48</f>
        <v>0</v>
      </c>
      <c r="AS21" s="80">
        <v>2253</v>
      </c>
      <c r="AT21" s="38">
        <f t="shared" ref="AT21" si="288">(+AS21-+AS20)*48</f>
        <v>0</v>
      </c>
      <c r="AU21" s="80">
        <v>939</v>
      </c>
      <c r="AV21" s="38">
        <f t="shared" ref="AV21" si="289">(+AU21-+AU20)*48</f>
        <v>0</v>
      </c>
      <c r="AW21" s="80">
        <v>3109</v>
      </c>
      <c r="AX21" s="38">
        <f t="shared" ref="AX21" si="290">(+AW21-+AW20)*48</f>
        <v>0</v>
      </c>
      <c r="AY21" s="81">
        <v>306706</v>
      </c>
      <c r="AZ21" s="38">
        <f t="shared" ref="AZ21" si="291">(+AY21-+AY20)*48</f>
        <v>0</v>
      </c>
      <c r="BA21" s="81">
        <v>160845</v>
      </c>
      <c r="BB21" s="38">
        <f t="shared" ref="BB21" si="292">(+BA21-+BA20)*48</f>
        <v>2544</v>
      </c>
      <c r="BC21" s="81">
        <v>210270</v>
      </c>
      <c r="BD21" s="38">
        <f t="shared" ref="BD21" si="293">(+BC21-+BC20)*48</f>
        <v>0</v>
      </c>
      <c r="BE21" s="81">
        <v>5347</v>
      </c>
      <c r="BF21" s="38">
        <f t="shared" ref="BF21" si="294">(+BE21-+BE20)*48</f>
        <v>0</v>
      </c>
      <c r="BH21" s="169">
        <f t="shared" si="1"/>
        <v>155568.57600000023</v>
      </c>
      <c r="BI21" s="169">
        <f t="shared" si="2"/>
        <v>84950.400000000009</v>
      </c>
    </row>
    <row r="22" spans="1:61" s="36" customFormat="1" ht="39.950000000000003" customHeight="1">
      <c r="A22" s="196">
        <v>44210</v>
      </c>
      <c r="B22" s="35"/>
      <c r="C22" s="81">
        <v>5761142</v>
      </c>
      <c r="D22" s="38">
        <f t="shared" ref="D22" si="295">(+C22-+C21)*48</f>
        <v>191040</v>
      </c>
      <c r="E22" s="109">
        <f t="shared" si="4"/>
        <v>114624</v>
      </c>
      <c r="F22" s="108">
        <f t="shared" si="5"/>
        <v>76416</v>
      </c>
      <c r="G22" s="81">
        <v>278026</v>
      </c>
      <c r="H22" s="38">
        <f t="shared" ref="H22" si="296">(+G22-+G21)*48</f>
        <v>1008</v>
      </c>
      <c r="I22" s="81">
        <v>103282</v>
      </c>
      <c r="J22" s="38">
        <f t="shared" ref="J22" si="297">(+I22-+I21)*48</f>
        <v>8016</v>
      </c>
      <c r="K22" s="81">
        <v>256537</v>
      </c>
      <c r="L22" s="38">
        <f t="shared" si="0"/>
        <v>1440</v>
      </c>
      <c r="M22" s="81">
        <v>24470</v>
      </c>
      <c r="N22" s="38">
        <f t="shared" ref="N22" si="298">(+M22-+M21)*48</f>
        <v>0</v>
      </c>
      <c r="O22" s="81">
        <v>239049</v>
      </c>
      <c r="P22" s="38">
        <f t="shared" ref="P22" si="299">(+O22-+O21)*48</f>
        <v>6768</v>
      </c>
      <c r="Q22" s="81">
        <v>440460</v>
      </c>
      <c r="R22" s="38">
        <f t="shared" ref="R22" si="300">(+Q22-+Q21)*48</f>
        <v>2544</v>
      </c>
      <c r="S22" s="81">
        <v>707990</v>
      </c>
      <c r="T22" s="38">
        <f t="shared" ref="T22" si="301">(+S22-+S21)*48</f>
        <v>6096</v>
      </c>
      <c r="U22" s="86">
        <v>96912.875</v>
      </c>
      <c r="V22" s="108">
        <f t="shared" ref="V22" si="302">(+U22-+U21)*48</f>
        <v>1001.9519999998156</v>
      </c>
      <c r="W22" s="81">
        <v>79066</v>
      </c>
      <c r="X22" s="38">
        <f t="shared" ref="X22" si="303">(+W22-+W21)*48</f>
        <v>192</v>
      </c>
      <c r="Y22" s="81">
        <v>1494191</v>
      </c>
      <c r="Z22" s="38">
        <f t="shared" ref="Z22" si="304">(+Y22-+Y21)*48</f>
        <v>0</v>
      </c>
      <c r="AA22" s="81">
        <v>13232</v>
      </c>
      <c r="AB22" s="38">
        <f t="shared" ref="AB22" si="305">(+AA22-+AA21)*48</f>
        <v>0</v>
      </c>
      <c r="AC22" s="81">
        <v>440574</v>
      </c>
      <c r="AD22" s="38">
        <f t="shared" si="16"/>
        <v>0</v>
      </c>
      <c r="AE22" s="81">
        <v>516573</v>
      </c>
      <c r="AF22" s="38">
        <f t="shared" si="16"/>
        <v>0</v>
      </c>
      <c r="AG22" s="81">
        <v>49222</v>
      </c>
      <c r="AH22" s="38">
        <f t="shared" ref="AH22" si="306">(+AG22-+AG21)*48</f>
        <v>240</v>
      </c>
      <c r="AI22" s="81">
        <v>402282</v>
      </c>
      <c r="AJ22" s="38">
        <f t="shared" ref="AJ22" si="307">(+AI22-+AI21)*48</f>
        <v>5088</v>
      </c>
      <c r="AK22" s="81">
        <v>102390</v>
      </c>
      <c r="AL22" s="38">
        <f t="shared" ref="AL22" si="308">(+AK22-+AK21)*48</f>
        <v>0</v>
      </c>
      <c r="AM22" s="81">
        <v>562660</v>
      </c>
      <c r="AN22" s="38">
        <f t="shared" ref="AN22" si="309">(+AM22-+AM21)*48</f>
        <v>0</v>
      </c>
      <c r="AO22" s="81">
        <v>906025</v>
      </c>
      <c r="AP22" s="38">
        <f t="shared" ref="AP22" si="310">(+AO22-+AO21)*48</f>
        <v>0</v>
      </c>
      <c r="AQ22" s="81">
        <v>74221</v>
      </c>
      <c r="AR22" s="38">
        <f t="shared" ref="AR22" si="311">(+AQ22-+AQ21)*48</f>
        <v>0</v>
      </c>
      <c r="AS22" s="81">
        <v>2253</v>
      </c>
      <c r="AT22" s="38">
        <f t="shared" ref="AT22" si="312">(+AS22-+AS21)*48</f>
        <v>0</v>
      </c>
      <c r="AU22" s="80">
        <v>939</v>
      </c>
      <c r="AV22" s="38">
        <f t="shared" ref="AV22" si="313">(+AU22-+AU21)*48</f>
        <v>0</v>
      </c>
      <c r="AW22" s="80">
        <v>3109</v>
      </c>
      <c r="AX22" s="38">
        <f t="shared" ref="AX22" si="314">(+AW22-+AW21)*48</f>
        <v>0</v>
      </c>
      <c r="AY22" s="81">
        <v>306706</v>
      </c>
      <c r="AZ22" s="38">
        <f t="shared" ref="AZ22" si="315">(+AY22-+AY21)*48</f>
        <v>0</v>
      </c>
      <c r="BA22" s="81">
        <v>160912</v>
      </c>
      <c r="BB22" s="38">
        <f>(+BA23-+BA21)*48</f>
        <v>6336</v>
      </c>
      <c r="BC22" s="81">
        <v>210270</v>
      </c>
      <c r="BD22" s="38">
        <f t="shared" ref="BD22" si="316">(+BC22-+BC21)*48</f>
        <v>0</v>
      </c>
      <c r="BE22" s="81">
        <v>5347</v>
      </c>
      <c r="BF22" s="38">
        <f t="shared" ref="BF22" si="317">(+BE22-+BE21)*48</f>
        <v>0</v>
      </c>
      <c r="BH22" s="169">
        <f t="shared" si="1"/>
        <v>147017.95199999982</v>
      </c>
      <c r="BI22" s="169">
        <f t="shared" si="2"/>
        <v>82752</v>
      </c>
    </row>
    <row r="23" spans="1:61" s="36" customFormat="1" ht="39.950000000000003" customHeight="1">
      <c r="A23" s="196">
        <v>44211</v>
      </c>
      <c r="B23" s="35"/>
      <c r="C23" s="81">
        <v>5761904</v>
      </c>
      <c r="D23" s="38">
        <f t="shared" ref="D23" si="318">(+C23-+C22)*48</f>
        <v>36576</v>
      </c>
      <c r="E23" s="109">
        <f t="shared" si="4"/>
        <v>21945.599999999999</v>
      </c>
      <c r="F23" s="108">
        <f t="shared" si="5"/>
        <v>14630.400000000001</v>
      </c>
      <c r="G23" s="81">
        <v>278046</v>
      </c>
      <c r="H23" s="38">
        <f t="shared" ref="H23" si="319">(+G23-+G22)*48</f>
        <v>960</v>
      </c>
      <c r="I23" s="81">
        <v>103445</v>
      </c>
      <c r="J23" s="38">
        <f t="shared" ref="J23" si="320">(+I23-+I22)*48</f>
        <v>7824</v>
      </c>
      <c r="K23" s="81">
        <v>256557</v>
      </c>
      <c r="L23" s="38">
        <f t="shared" si="0"/>
        <v>960</v>
      </c>
      <c r="M23" s="81">
        <v>24470</v>
      </c>
      <c r="N23" s="38">
        <f t="shared" ref="N23" si="321">(+M23-+M22)*48</f>
        <v>0</v>
      </c>
      <c r="O23" s="81">
        <v>239197</v>
      </c>
      <c r="P23" s="38">
        <f t="shared" ref="P23" si="322">(+O23-+O22)*48</f>
        <v>7104</v>
      </c>
      <c r="Q23" s="81">
        <v>440501</v>
      </c>
      <c r="R23" s="38">
        <f t="shared" ref="R23" si="323">(+Q23-+Q22)*48</f>
        <v>1968</v>
      </c>
      <c r="S23" s="81">
        <v>708094</v>
      </c>
      <c r="T23" s="38">
        <f t="shared" ref="T23" si="324">(+S23-+S22)*48</f>
        <v>4992</v>
      </c>
      <c r="U23" s="86">
        <v>96930.815000000002</v>
      </c>
      <c r="V23" s="108">
        <f t="shared" ref="V23" si="325">(+U23-+U22)*48</f>
        <v>861.12000000011176</v>
      </c>
      <c r="W23" s="81">
        <v>79080</v>
      </c>
      <c r="X23" s="38">
        <f t="shared" ref="X23" si="326">(+W23-+W22)*48</f>
        <v>672</v>
      </c>
      <c r="Y23" s="80">
        <v>1494191</v>
      </c>
      <c r="Z23" s="38">
        <f t="shared" ref="Z23" si="327">(+Y23-+Y22)*48</f>
        <v>0</v>
      </c>
      <c r="AA23" s="81">
        <v>13232</v>
      </c>
      <c r="AB23" s="38">
        <f t="shared" ref="AB23" si="328">(+AA23-+AA22)*48</f>
        <v>0</v>
      </c>
      <c r="AC23" s="81">
        <v>440577</v>
      </c>
      <c r="AD23" s="38">
        <f t="shared" si="16"/>
        <v>144</v>
      </c>
      <c r="AE23" s="81">
        <v>516573</v>
      </c>
      <c r="AF23" s="38">
        <f t="shared" si="16"/>
        <v>0</v>
      </c>
      <c r="AG23" s="81">
        <v>49227</v>
      </c>
      <c r="AH23" s="38">
        <f t="shared" ref="AH23" si="329">(+AG23-+AG22)*48</f>
        <v>240</v>
      </c>
      <c r="AI23" s="81">
        <v>402395</v>
      </c>
      <c r="AJ23" s="38">
        <f t="shared" ref="AJ23" si="330">(+AI23-+AI22)*48</f>
        <v>5424</v>
      </c>
      <c r="AK23" s="81">
        <v>102390</v>
      </c>
      <c r="AL23" s="38">
        <f t="shared" ref="AL23" si="331">(+AK23-+AK22)*48</f>
        <v>0</v>
      </c>
      <c r="AM23" s="81">
        <v>562660</v>
      </c>
      <c r="AN23" s="38">
        <f t="shared" ref="AN23" si="332">(+AM23-+AM22)*48</f>
        <v>0</v>
      </c>
      <c r="AO23" s="81">
        <v>906027</v>
      </c>
      <c r="AP23" s="38">
        <f t="shared" ref="AP23" si="333">(+AO23-+AO22)*48</f>
        <v>96</v>
      </c>
      <c r="AQ23" s="81">
        <v>74221</v>
      </c>
      <c r="AR23" s="38">
        <f t="shared" ref="AR23" si="334">(+AQ23-+AQ22)*48</f>
        <v>0</v>
      </c>
      <c r="AS23" s="81">
        <v>2253</v>
      </c>
      <c r="AT23" s="38">
        <f t="shared" ref="AT23" si="335">(+AS23-+AS22)*48</f>
        <v>0</v>
      </c>
      <c r="AU23" s="80">
        <v>939</v>
      </c>
      <c r="AV23" s="38">
        <f t="shared" ref="AV23" si="336">(+AU23-+AU22)*48</f>
        <v>0</v>
      </c>
      <c r="AW23" s="80">
        <v>3109</v>
      </c>
      <c r="AX23" s="38">
        <f t="shared" ref="AX23" si="337">(+AW23-+AW22)*48</f>
        <v>0</v>
      </c>
      <c r="AY23" s="81">
        <v>306706</v>
      </c>
      <c r="AZ23" s="38">
        <f t="shared" ref="AZ23" si="338">(+AY23-+AY22)*48</f>
        <v>0</v>
      </c>
      <c r="BA23" s="81">
        <v>160977</v>
      </c>
      <c r="BB23" s="108">
        <f t="shared" ref="BB23:BB25" si="339">(+BA23-+BA22)*48</f>
        <v>3120</v>
      </c>
      <c r="BC23" s="81">
        <v>210270</v>
      </c>
      <c r="BD23" s="38">
        <f t="shared" ref="BD23" si="340">(+BC23-+BC22)*48</f>
        <v>0</v>
      </c>
      <c r="BE23" s="81">
        <v>5347</v>
      </c>
      <c r="BF23" s="38">
        <f t="shared" ref="BF23" si="341">(+BE23-+BE22)*48</f>
        <v>0</v>
      </c>
      <c r="BH23" s="110">
        <f t="shared" si="1"/>
        <v>53094.72000000011</v>
      </c>
      <c r="BI23" s="110">
        <f t="shared" si="2"/>
        <v>17846.400000000001</v>
      </c>
    </row>
    <row r="24" spans="1:61" s="36" customFormat="1" ht="39.950000000000003" customHeight="1">
      <c r="A24" s="196">
        <v>44212</v>
      </c>
      <c r="B24" s="35"/>
      <c r="C24" s="86">
        <f>(C30-C23)/7+C23</f>
        <v>5765493.5714285718</v>
      </c>
      <c r="D24" s="108">
        <f t="shared" ref="D24" si="342">(+C24-+C23)*48</f>
        <v>172299.42857144773</v>
      </c>
      <c r="E24" s="109">
        <f t="shared" si="4"/>
        <v>103379.65714286863</v>
      </c>
      <c r="F24" s="108">
        <f t="shared" si="5"/>
        <v>68919.771428579101</v>
      </c>
      <c r="G24" s="86">
        <f>(G30-G23)/7+G23</f>
        <v>278065.85714285716</v>
      </c>
      <c r="H24" s="108">
        <f t="shared" ref="H24" si="343">(+G24-+G23)*48</f>
        <v>953.14285714365542</v>
      </c>
      <c r="I24" s="86">
        <f>(I30-I23)/7+I23</f>
        <v>103605</v>
      </c>
      <c r="J24" s="108">
        <f t="shared" ref="J24" si="344">(+I24-+I23)*48</f>
        <v>7680</v>
      </c>
      <c r="K24" s="86">
        <f>(K30-K23)/7+K23</f>
        <v>256569.71428571429</v>
      </c>
      <c r="L24" s="108">
        <f t="shared" si="0"/>
        <v>610.28571428591385</v>
      </c>
      <c r="M24" s="81">
        <v>24470</v>
      </c>
      <c r="N24" s="38">
        <f t="shared" ref="N24" si="345">(+M24-+M23)*48</f>
        <v>0</v>
      </c>
      <c r="O24" s="86">
        <f>(O30-O23)/7+O23</f>
        <v>239351.14285714287</v>
      </c>
      <c r="P24" s="108">
        <f t="shared" ref="P24" si="346">(+O24-+O23)*48</f>
        <v>7398.8571428577416</v>
      </c>
      <c r="Q24" s="86">
        <f>(Q30-Q23)/7+Q23</f>
        <v>440572.71428571426</v>
      </c>
      <c r="R24" s="108">
        <f t="shared" ref="R24" si="347">(+Q24-+Q23)*48</f>
        <v>3442.2857142845169</v>
      </c>
      <c r="S24" s="86">
        <f>(S30-S23)/7+S23</f>
        <v>708208.71428571432</v>
      </c>
      <c r="T24" s="108">
        <f t="shared" ref="T24" si="348">(+S24-+S23)*48</f>
        <v>5506.2857142873108</v>
      </c>
      <c r="U24" s="86">
        <f>(U30-U23)/7+U23</f>
        <v>96949.719285714295</v>
      </c>
      <c r="V24" s="108">
        <f t="shared" ref="V24" si="349">(+U24-+U23)*48</f>
        <v>907.40571428602561</v>
      </c>
      <c r="W24" s="86">
        <f>(W30-W23)/7+W23</f>
        <v>79092.142857142855</v>
      </c>
      <c r="X24" s="108">
        <f t="shared" ref="X24" si="350">(+W24-+W23)*48</f>
        <v>582.85714285704307</v>
      </c>
      <c r="Y24" s="87">
        <v>1494191</v>
      </c>
      <c r="Z24" s="108">
        <f t="shared" ref="Z24" si="351">(+Y24-+Y23)*48</f>
        <v>0</v>
      </c>
      <c r="AA24" s="81">
        <v>13232</v>
      </c>
      <c r="AB24" s="108">
        <f t="shared" ref="AB24" si="352">(+AA24-+AA23)*48</f>
        <v>0</v>
      </c>
      <c r="AC24" s="86">
        <f>(AC30-AC23)/7+AC23</f>
        <v>440634.14285714284</v>
      </c>
      <c r="AD24" s="108">
        <f t="shared" si="16"/>
        <v>2742.8571428563446</v>
      </c>
      <c r="AE24" s="86">
        <f>(AE30-AE23)/7+AE23</f>
        <v>516606.28571428574</v>
      </c>
      <c r="AF24" s="108">
        <f t="shared" si="16"/>
        <v>1597.7142857154831</v>
      </c>
      <c r="AG24" s="86">
        <f>(AG30-AG23)/7+AG23</f>
        <v>49232.142857142855</v>
      </c>
      <c r="AH24" s="108">
        <f t="shared" ref="AH24" si="353">(+AG24-+AG23)*48</f>
        <v>246.85714285704307</v>
      </c>
      <c r="AI24" s="86">
        <f>(AI30-AI23)/7+AI23</f>
        <v>402511</v>
      </c>
      <c r="AJ24" s="108">
        <f t="shared" ref="AJ24" si="354">(+AI24-+AI23)*48</f>
        <v>5568</v>
      </c>
      <c r="AK24" s="86">
        <f>(AK30-AK23)/7+AK23</f>
        <v>102390</v>
      </c>
      <c r="AL24" s="108">
        <f t="shared" ref="AL24" si="355">(+AK24-+AK23)*48</f>
        <v>0</v>
      </c>
      <c r="AM24" s="86">
        <v>562660</v>
      </c>
      <c r="AN24" s="108">
        <f t="shared" ref="AN24" si="356">(+AM24-+AM23)*48</f>
        <v>0</v>
      </c>
      <c r="AO24" s="86">
        <v>906044</v>
      </c>
      <c r="AP24" s="108">
        <f t="shared" ref="AP24" si="357">(+AO24-+AO23)*48</f>
        <v>816</v>
      </c>
      <c r="AQ24" s="81">
        <v>74221</v>
      </c>
      <c r="AR24" s="108">
        <f t="shared" ref="AR24" si="358">(+AQ24-+AQ23)*48</f>
        <v>0</v>
      </c>
      <c r="AS24" s="81">
        <v>2253</v>
      </c>
      <c r="AT24" s="108">
        <f t="shared" ref="AT24" si="359">(+AS24-+AS23)*48</f>
        <v>0</v>
      </c>
      <c r="AU24" s="87">
        <v>939</v>
      </c>
      <c r="AV24" s="108">
        <f t="shared" ref="AV24" si="360">(+AU24-+AU23)*48</f>
        <v>0</v>
      </c>
      <c r="AW24" s="87">
        <v>3109</v>
      </c>
      <c r="AX24" s="108">
        <f t="shared" ref="AX24" si="361">(+AW24-+AW23)*48</f>
        <v>0</v>
      </c>
      <c r="AY24" s="86">
        <v>306706</v>
      </c>
      <c r="AZ24" s="108">
        <f t="shared" ref="AZ24" si="362">(+AY24-+AY23)*48</f>
        <v>0</v>
      </c>
      <c r="BA24" s="86">
        <v>161031</v>
      </c>
      <c r="BB24" s="108">
        <f t="shared" si="339"/>
        <v>2592</v>
      </c>
      <c r="BC24" s="86">
        <v>210270</v>
      </c>
      <c r="BD24" s="108">
        <f t="shared" ref="BD24" si="363">(+BC24-+BC23)*48</f>
        <v>0</v>
      </c>
      <c r="BE24" s="81">
        <v>5347</v>
      </c>
      <c r="BF24" s="108">
        <f t="shared" ref="BF24" si="364">(+BE24-+BE23)*48</f>
        <v>0</v>
      </c>
      <c r="BH24" s="110">
        <f t="shared" si="1"/>
        <v>140616.20571429969</v>
      </c>
      <c r="BI24" s="110">
        <f t="shared" si="2"/>
        <v>72327.771428579101</v>
      </c>
    </row>
    <row r="25" spans="1:61" s="36" customFormat="1" ht="39.950000000000003" customHeight="1">
      <c r="A25" s="196">
        <v>44213</v>
      </c>
      <c r="B25" s="35"/>
      <c r="C25" s="86">
        <f>(C30-C23)/7+C24</f>
        <v>5769083.1428571437</v>
      </c>
      <c r="D25" s="108">
        <f t="shared" ref="D25" si="365">(+C25-+C24)*48</f>
        <v>172299.42857144773</v>
      </c>
      <c r="E25" s="109">
        <f t="shared" si="4"/>
        <v>103379.65714286863</v>
      </c>
      <c r="F25" s="108">
        <f t="shared" si="5"/>
        <v>68919.771428579101</v>
      </c>
      <c r="G25" s="86">
        <f>(G30-G23)/7+G24</f>
        <v>278085.71428571432</v>
      </c>
      <c r="H25" s="108">
        <f t="shared" ref="H25" si="366">(+G25-+G24)*48</f>
        <v>953.14285714365542</v>
      </c>
      <c r="I25" s="86">
        <f>(I30-I23)/7+I24</f>
        <v>103765</v>
      </c>
      <c r="J25" s="108">
        <f t="shared" ref="J25" si="367">(+I25-+I24)*48</f>
        <v>7680</v>
      </c>
      <c r="K25" s="86">
        <f>(K30-K23)/7+K24</f>
        <v>256582.42857142858</v>
      </c>
      <c r="L25" s="108">
        <f t="shared" si="0"/>
        <v>610.28571428591385</v>
      </c>
      <c r="M25" s="81">
        <v>24470</v>
      </c>
      <c r="N25" s="38">
        <f t="shared" ref="N25" si="368">(+M25-+M24)*48</f>
        <v>0</v>
      </c>
      <c r="O25" s="86">
        <f>(O30-O23)/7+O24</f>
        <v>239505.28571428574</v>
      </c>
      <c r="P25" s="108">
        <f t="shared" ref="P25" si="369">(+O25-+O24)*48</f>
        <v>7398.8571428577416</v>
      </c>
      <c r="Q25" s="86">
        <f>(Q30-Q23)/7+Q24</f>
        <v>440644.42857142852</v>
      </c>
      <c r="R25" s="108">
        <f t="shared" ref="R25" si="370">(+Q25-+Q24)*48</f>
        <v>3442.2857142845169</v>
      </c>
      <c r="S25" s="86">
        <f>(S30-S23)/7+S24</f>
        <v>708323.42857142864</v>
      </c>
      <c r="T25" s="108">
        <f t="shared" ref="T25" si="371">(+S25-+S24)*48</f>
        <v>5506.2857142873108</v>
      </c>
      <c r="U25" s="86">
        <f>(U30-U23)/7+U24</f>
        <v>96968.623571428587</v>
      </c>
      <c r="V25" s="108">
        <f t="shared" ref="V25" si="372">(+U25-+U24)*48</f>
        <v>907.40571428602561</v>
      </c>
      <c r="W25" s="86">
        <f>(W30-W23)/7+W24</f>
        <v>79104.28571428571</v>
      </c>
      <c r="X25" s="108">
        <f t="shared" ref="X25" si="373">(+W25-+W24)*48</f>
        <v>582.85714285704307</v>
      </c>
      <c r="Y25" s="87">
        <v>1494191</v>
      </c>
      <c r="Z25" s="108">
        <f t="shared" ref="Z25" si="374">(+Y25-+Y24)*48</f>
        <v>0</v>
      </c>
      <c r="AA25" s="81">
        <v>13232</v>
      </c>
      <c r="AB25" s="108">
        <f t="shared" ref="AB25" si="375">(+AA25-+AA24)*48</f>
        <v>0</v>
      </c>
      <c r="AC25" s="86">
        <f>(AC30-AC23)/7+AC24</f>
        <v>440691.28571428568</v>
      </c>
      <c r="AD25" s="108">
        <f t="shared" si="16"/>
        <v>2742.8571428563446</v>
      </c>
      <c r="AE25" s="86">
        <f>(AE30-AE23)/7+AE24</f>
        <v>516639.57142857148</v>
      </c>
      <c r="AF25" s="108">
        <f t="shared" si="16"/>
        <v>1597.7142857154831</v>
      </c>
      <c r="AG25" s="86">
        <f>(AG30-AG23)/7+AG24</f>
        <v>49237.28571428571</v>
      </c>
      <c r="AH25" s="108">
        <f t="shared" ref="AH25" si="376">(+AG25-+AG24)*48</f>
        <v>246.85714285704307</v>
      </c>
      <c r="AI25" s="86">
        <f>(AI30-AI23)/7+AI24</f>
        <v>402627</v>
      </c>
      <c r="AJ25" s="108">
        <f t="shared" ref="AJ25" si="377">(+AI25-+AI24)*48</f>
        <v>5568</v>
      </c>
      <c r="AK25" s="86">
        <f>(AK30-AK23)/7+AK24</f>
        <v>102390</v>
      </c>
      <c r="AL25" s="108">
        <f t="shared" ref="AL25" si="378">(+AK25-+AK24)*48</f>
        <v>0</v>
      </c>
      <c r="AM25" s="86">
        <v>562686</v>
      </c>
      <c r="AN25" s="108">
        <f t="shared" ref="AN25" si="379">(+AM25-+AM24)*48</f>
        <v>1248</v>
      </c>
      <c r="AO25" s="86">
        <v>906118</v>
      </c>
      <c r="AP25" s="108">
        <f t="shared" ref="AP25" si="380">(+AO25-+AO24)*48</f>
        <v>3552</v>
      </c>
      <c r="AQ25" s="81">
        <v>74221</v>
      </c>
      <c r="AR25" s="108">
        <f t="shared" ref="AR25" si="381">(+AQ25-+AQ24)*48</f>
        <v>0</v>
      </c>
      <c r="AS25" s="81">
        <v>2253</v>
      </c>
      <c r="AT25" s="108">
        <f t="shared" ref="AT25" si="382">(+AS25-+AS24)*48</f>
        <v>0</v>
      </c>
      <c r="AU25" s="87">
        <v>939</v>
      </c>
      <c r="AV25" s="108">
        <f t="shared" ref="AV25" si="383">(+AU25-+AU24)*48</f>
        <v>0</v>
      </c>
      <c r="AW25" s="87">
        <v>3109</v>
      </c>
      <c r="AX25" s="108">
        <f t="shared" ref="AX25" si="384">(+AW25-+AW24)*48</f>
        <v>0</v>
      </c>
      <c r="AY25" s="86">
        <v>306741</v>
      </c>
      <c r="AZ25" s="108">
        <f t="shared" ref="AZ25" si="385">(+AY25-+AY24)*48</f>
        <v>1680</v>
      </c>
      <c r="BA25" s="86">
        <v>161058</v>
      </c>
      <c r="BB25" s="108">
        <f t="shared" si="339"/>
        <v>1296</v>
      </c>
      <c r="BC25" s="86">
        <v>210284</v>
      </c>
      <c r="BD25" s="108">
        <f t="shared" ref="BD25" si="386">(+BC25-+BC24)*48</f>
        <v>672</v>
      </c>
      <c r="BE25" s="81">
        <v>5347</v>
      </c>
      <c r="BF25" s="108">
        <f t="shared" ref="BF25" si="387">(+BE25-+BE24)*48</f>
        <v>0</v>
      </c>
      <c r="BH25" s="110">
        <f t="shared" si="1"/>
        <v>140616.20571429969</v>
      </c>
      <c r="BI25" s="110">
        <f t="shared" si="2"/>
        <v>77367.771428579101</v>
      </c>
    </row>
    <row r="26" spans="1:61" s="36" customFormat="1" ht="39.950000000000003" customHeight="1">
      <c r="A26" s="196">
        <v>44214</v>
      </c>
      <c r="B26" s="35"/>
      <c r="C26" s="86">
        <f>(C32-C25)/7+C25</f>
        <v>5772339.9795918372</v>
      </c>
      <c r="D26" s="108">
        <f t="shared" ref="D26" si="388">(+C26-+C25)*48</f>
        <v>156328.16326528788</v>
      </c>
      <c r="E26" s="109">
        <f t="shared" si="4"/>
        <v>93796.897959172726</v>
      </c>
      <c r="F26" s="108">
        <f t="shared" si="5"/>
        <v>62531.26530611515</v>
      </c>
      <c r="G26" s="86">
        <f>(G32-G25)/7+G25</f>
        <v>278105.75510204083</v>
      </c>
      <c r="H26" s="108">
        <f t="shared" ref="H26" si="389">(+G26-+G25)*48</f>
        <v>961.95918367244303</v>
      </c>
      <c r="I26" s="86">
        <f>(I32-I25)/7+I25</f>
        <v>103926.42857142857</v>
      </c>
      <c r="J26" s="108">
        <f t="shared" ref="J26" si="390">(+I26-+I25)*48</f>
        <v>7748.5714285711292</v>
      </c>
      <c r="K26" s="86">
        <f>(K32-K25)/7+K25</f>
        <v>256594.08163265308</v>
      </c>
      <c r="L26" s="108">
        <f t="shared" si="0"/>
        <v>559.34693877585232</v>
      </c>
      <c r="M26" s="81">
        <v>24470</v>
      </c>
      <c r="N26" s="38">
        <f t="shared" ref="N26" si="391">(+M26-+M25)*48</f>
        <v>0</v>
      </c>
      <c r="O26" s="86">
        <f>(O32-O25)/7+O25</f>
        <v>239656.95918367349</v>
      </c>
      <c r="P26" s="108">
        <f t="shared" ref="P26" si="392">(+O26-+O25)*48</f>
        <v>7280.3265306120738</v>
      </c>
      <c r="Q26" s="86">
        <f>(Q32-Q25)/7+Q25</f>
        <v>440718.5102040816</v>
      </c>
      <c r="R26" s="108">
        <f t="shared" ref="R26" si="393">(+Q26-+Q25)*48</f>
        <v>3555.91836734768</v>
      </c>
      <c r="S26" s="86">
        <f>(S32-S25)/7+S25</f>
        <v>708437.79591836745</v>
      </c>
      <c r="T26" s="108">
        <f t="shared" ref="T26" si="394">(+S26-+S25)*48</f>
        <v>5489.6326530631632</v>
      </c>
      <c r="U26" s="86">
        <f>(U32-U25)/7+U25</f>
        <v>96988.208775510211</v>
      </c>
      <c r="V26" s="108">
        <f t="shared" ref="V26" si="395">(+U26-+U25)*48</f>
        <v>940.08979591797106</v>
      </c>
      <c r="W26" s="86">
        <f>(W32-W25)/7+W25</f>
        <v>79115.102040816317</v>
      </c>
      <c r="X26" s="108">
        <f t="shared" ref="X26" si="396">(+W26-+W25)*48</f>
        <v>519.18367346911691</v>
      </c>
      <c r="Y26" s="87">
        <v>1494191</v>
      </c>
      <c r="Z26" s="108">
        <f t="shared" ref="Z26" si="397">(+Y26-+Y25)*48</f>
        <v>0</v>
      </c>
      <c r="AA26" s="81">
        <v>13232</v>
      </c>
      <c r="AB26" s="108">
        <f t="shared" ref="AB26" si="398">(+AA26-+AA25)*48</f>
        <v>0</v>
      </c>
      <c r="AC26" s="86">
        <f>(AC32-AC25)/7+AC25</f>
        <v>440774.53061224485</v>
      </c>
      <c r="AD26" s="108">
        <f t="shared" si="16"/>
        <v>3995.7551020402461</v>
      </c>
      <c r="AE26" s="86">
        <f>(AE32-AE25)/7+AE25</f>
        <v>516693.77551020414</v>
      </c>
      <c r="AF26" s="108">
        <f t="shared" si="16"/>
        <v>2601.7959183678031</v>
      </c>
      <c r="AG26" s="86">
        <f>(AG32-AG25)/7+AG25</f>
        <v>49242.387755102034</v>
      </c>
      <c r="AH26" s="108">
        <f t="shared" ref="AH26" si="399">(+AG26-+AG25)*48</f>
        <v>244.8979591835523</v>
      </c>
      <c r="AI26" s="86">
        <f>(AI32-AI25)/7+AI25</f>
        <v>402745.57142857142</v>
      </c>
      <c r="AJ26" s="108">
        <f t="shared" ref="AJ26" si="400">(+AI26-+AI25)*48</f>
        <v>5691.4285714281723</v>
      </c>
      <c r="AK26" s="86">
        <v>102390</v>
      </c>
      <c r="AL26" s="108">
        <f t="shared" ref="AL26" si="401">(+AK26-+AK25)*48</f>
        <v>0</v>
      </c>
      <c r="AM26" s="86">
        <v>562705</v>
      </c>
      <c r="AN26" s="108">
        <f t="shared" ref="AN26" si="402">(+AM26-+AM25)*48</f>
        <v>912</v>
      </c>
      <c r="AO26" s="86">
        <v>906166</v>
      </c>
      <c r="AP26" s="108">
        <f t="shared" ref="AP26" si="403">(+AO26-+AO25)*48</f>
        <v>2304</v>
      </c>
      <c r="AQ26" s="81">
        <v>74221</v>
      </c>
      <c r="AR26" s="108">
        <f t="shared" ref="AR26" si="404">(+AQ26-+AQ25)*48</f>
        <v>0</v>
      </c>
      <c r="AS26" s="81">
        <v>2253</v>
      </c>
      <c r="AT26" s="108">
        <f t="shared" ref="AT26" si="405">(+AS26-+AS25)*48</f>
        <v>0</v>
      </c>
      <c r="AU26" s="87">
        <v>939</v>
      </c>
      <c r="AV26" s="108">
        <f t="shared" ref="AV26" si="406">(+AU26-+AU25)*48</f>
        <v>0</v>
      </c>
      <c r="AW26" s="87">
        <v>3109</v>
      </c>
      <c r="AX26" s="108">
        <f t="shared" ref="AX26" si="407">(+AW26-+AW25)*48</f>
        <v>0</v>
      </c>
      <c r="AY26" s="86">
        <v>306789</v>
      </c>
      <c r="AZ26" s="108">
        <f>(+AY26-+AY25)*48</f>
        <v>2304</v>
      </c>
      <c r="BA26" s="86">
        <v>161058</v>
      </c>
      <c r="BB26" s="108">
        <f>(+BA26-+BA25)*48</f>
        <v>0</v>
      </c>
      <c r="BC26" s="86">
        <v>210325</v>
      </c>
      <c r="BD26" s="108">
        <f t="shared" ref="BD26" si="408">(+BC26-+BC25)*48</f>
        <v>1968</v>
      </c>
      <c r="BE26" s="81">
        <v>5347</v>
      </c>
      <c r="BF26" s="108">
        <f t="shared" ref="BF26" si="409">(+BE26-+BE25)*48</f>
        <v>0</v>
      </c>
      <c r="BH26" s="110">
        <f t="shared" si="1"/>
        <v>133385.80408162193</v>
      </c>
      <c r="BI26" s="110">
        <f t="shared" si="2"/>
        <v>70019.26530611515</v>
      </c>
    </row>
    <row r="27" spans="1:61" s="36" customFormat="1" ht="39.950000000000003" customHeight="1">
      <c r="A27" s="196">
        <v>44215</v>
      </c>
      <c r="B27" s="35"/>
      <c r="C27" s="86">
        <f>(C30-C23)/7+C26</f>
        <v>5775929.551020409</v>
      </c>
      <c r="D27" s="108">
        <f t="shared" ref="D27" si="410">(+C27-+C26)*48</f>
        <v>172299.42857144773</v>
      </c>
      <c r="E27" s="109">
        <f t="shared" si="4"/>
        <v>103379.65714286863</v>
      </c>
      <c r="F27" s="108">
        <f t="shared" si="5"/>
        <v>68919.771428579101</v>
      </c>
      <c r="G27" s="86">
        <f>(G30-G23)/7+G26</f>
        <v>278125.61224489799</v>
      </c>
      <c r="H27" s="108">
        <f t="shared" ref="H27" si="411">(+G27-+G26)*48</f>
        <v>953.14285714365542</v>
      </c>
      <c r="I27" s="86">
        <f>(I30-I23)/7+I26</f>
        <v>104086.42857142857</v>
      </c>
      <c r="J27" s="108">
        <f t="shared" ref="J27" si="412">(+I27-+I26)*48</f>
        <v>7680</v>
      </c>
      <c r="K27" s="86">
        <f>(K30-K23)/7+K26</f>
        <v>256606.79591836737</v>
      </c>
      <c r="L27" s="108">
        <f t="shared" si="0"/>
        <v>610.28571428591385</v>
      </c>
      <c r="M27" s="81">
        <v>24470</v>
      </c>
      <c r="N27" s="38">
        <f t="shared" ref="N27" si="413">(+M27-+M26)*48</f>
        <v>0</v>
      </c>
      <c r="O27" s="86">
        <f>(O30-O23)/7+O26</f>
        <v>239811.10204081636</v>
      </c>
      <c r="P27" s="108">
        <f t="shared" ref="P27" si="414">(+O27-+O26)*48</f>
        <v>7398.8571428577416</v>
      </c>
      <c r="Q27" s="86">
        <f>(Q30-Q23)/7+Q26</f>
        <v>440790.22448979586</v>
      </c>
      <c r="R27" s="108">
        <f t="shared" ref="R27" si="415">(+Q27-+Q26)*48</f>
        <v>3442.2857142845169</v>
      </c>
      <c r="S27" s="86">
        <f>(S30-S23)/7+S26</f>
        <v>708552.51020408177</v>
      </c>
      <c r="T27" s="108">
        <f t="shared" ref="T27" si="416">(+S27-+S26)*48</f>
        <v>5506.2857142873108</v>
      </c>
      <c r="U27" s="86">
        <f>(U30-U23)/7+U26</f>
        <v>97007.113061224503</v>
      </c>
      <c r="V27" s="108">
        <f t="shared" ref="V27" si="417">(+U27-+U26)*48</f>
        <v>907.40571428602561</v>
      </c>
      <c r="W27" s="86">
        <f>(W30-W23)/7+W26</f>
        <v>79127.244897959172</v>
      </c>
      <c r="X27" s="108">
        <f t="shared" ref="X27" si="418">(+W27-+W26)*48</f>
        <v>582.85714285704307</v>
      </c>
      <c r="Y27" s="87">
        <v>1494191</v>
      </c>
      <c r="Z27" s="108">
        <f t="shared" ref="Z27" si="419">(+Y27-+Y26)*48</f>
        <v>0</v>
      </c>
      <c r="AA27" s="81">
        <v>13232</v>
      </c>
      <c r="AB27" s="108">
        <f t="shared" ref="AB27" si="420">(+AA27-+AA26)*48</f>
        <v>0</v>
      </c>
      <c r="AC27" s="86">
        <f>(AC30-AC23)/7+AC26</f>
        <v>440831.67346938769</v>
      </c>
      <c r="AD27" s="108">
        <f t="shared" si="16"/>
        <v>2742.8571428563446</v>
      </c>
      <c r="AE27" s="86">
        <f>(AE30-AE23)/7+AE26</f>
        <v>516727.06122448988</v>
      </c>
      <c r="AF27" s="108">
        <f t="shared" si="16"/>
        <v>1597.7142857154831</v>
      </c>
      <c r="AG27" s="86">
        <f>(AG30-AG23)/7+AG26</f>
        <v>49247.530612244889</v>
      </c>
      <c r="AH27" s="108">
        <f t="shared" ref="AH27" si="421">(+AG27-+AG26)*48</f>
        <v>246.85714285704307</v>
      </c>
      <c r="AI27" s="86">
        <f>(AI30-AI23)/7+AI26</f>
        <v>402861.57142857142</v>
      </c>
      <c r="AJ27" s="108">
        <f t="shared" ref="AJ27" si="422">(+AI27-+AI26)*48</f>
        <v>5568</v>
      </c>
      <c r="AK27" s="86">
        <v>102390</v>
      </c>
      <c r="AL27" s="108">
        <f t="shared" ref="AL27" si="423">(+AK27-+AK26)*48</f>
        <v>0</v>
      </c>
      <c r="AM27" s="86">
        <v>562705</v>
      </c>
      <c r="AN27" s="108">
        <f t="shared" ref="AN27" si="424">(+AM27-+AM26)*48</f>
        <v>0</v>
      </c>
      <c r="AO27" s="86">
        <f>(AO26+AO28)/2</f>
        <v>906198</v>
      </c>
      <c r="AP27" s="108">
        <f t="shared" ref="AP27" si="425">(+AO27-+AO26)*48</f>
        <v>1536</v>
      </c>
      <c r="AQ27" s="81">
        <v>74221</v>
      </c>
      <c r="AR27" s="108">
        <f t="shared" ref="AR27" si="426">(+AQ27-+AQ26)*48</f>
        <v>0</v>
      </c>
      <c r="AS27" s="81">
        <v>2253</v>
      </c>
      <c r="AT27" s="108">
        <f t="shared" ref="AT27" si="427">(+AS27-+AS26)*48</f>
        <v>0</v>
      </c>
      <c r="AU27" s="87">
        <v>939</v>
      </c>
      <c r="AV27" s="108">
        <f t="shared" ref="AV27" si="428">(+AU27-+AU26)*48</f>
        <v>0</v>
      </c>
      <c r="AW27" s="87">
        <v>3109</v>
      </c>
      <c r="AX27" s="108">
        <f t="shared" ref="AX27" si="429">(+AW27-+AW26)*48</f>
        <v>0</v>
      </c>
      <c r="AY27" s="86">
        <v>306851</v>
      </c>
      <c r="AZ27" s="108">
        <f t="shared" ref="AZ27" si="430">(+AY27-+AY26)*48</f>
        <v>2976</v>
      </c>
      <c r="BA27" s="86">
        <v>161059</v>
      </c>
      <c r="BB27" s="108">
        <f>(+BA27-+BA26)*48</f>
        <v>48</v>
      </c>
      <c r="BC27" s="86">
        <v>210370</v>
      </c>
      <c r="BD27" s="108">
        <f t="shared" ref="BD27" si="431">(+BC27-+BC26)*48</f>
        <v>2160</v>
      </c>
      <c r="BE27" s="81">
        <v>5347</v>
      </c>
      <c r="BF27" s="108">
        <f t="shared" ref="BF27" si="432">(+BE27-+BE26)*48</f>
        <v>0</v>
      </c>
      <c r="BH27" s="110">
        <f t="shared" si="1"/>
        <v>140616.20571429969</v>
      </c>
      <c r="BI27" s="110">
        <f t="shared" si="2"/>
        <v>75639.771428579101</v>
      </c>
    </row>
    <row r="28" spans="1:61" s="36" customFormat="1" ht="39.950000000000003" customHeight="1">
      <c r="A28" s="196">
        <v>44216</v>
      </c>
      <c r="B28" s="35"/>
      <c r="C28" s="86">
        <f>(C30-C23)/7+C27</f>
        <v>5779519.1224489808</v>
      </c>
      <c r="D28" s="108">
        <f t="shared" ref="D28" si="433">(+C28-+C27)*48</f>
        <v>172299.42857144773</v>
      </c>
      <c r="E28" s="109">
        <f t="shared" si="4"/>
        <v>103379.65714286863</v>
      </c>
      <c r="F28" s="108">
        <f t="shared" si="5"/>
        <v>68919.771428579101</v>
      </c>
      <c r="G28" s="86">
        <f>(G30-G23)/7+G27</f>
        <v>278145.46938775515</v>
      </c>
      <c r="H28" s="108">
        <f t="shared" ref="H28" si="434">(+G28-+G27)*48</f>
        <v>953.14285714365542</v>
      </c>
      <c r="I28" s="86">
        <f>(I30-I23)/7+I27</f>
        <v>104246.42857142857</v>
      </c>
      <c r="J28" s="108">
        <f t="shared" ref="J28" si="435">(+I28-+I27)*48</f>
        <v>7680</v>
      </c>
      <c r="K28" s="86">
        <f>(K30-K23)/7+K27</f>
        <v>256619.51020408166</v>
      </c>
      <c r="L28" s="108">
        <f t="shared" si="0"/>
        <v>610.28571428591385</v>
      </c>
      <c r="M28" s="81">
        <v>24470</v>
      </c>
      <c r="N28" s="38">
        <f t="shared" ref="N28" si="436">(+M28-+M27)*48</f>
        <v>0</v>
      </c>
      <c r="O28" s="86">
        <f>(O30-O23)/7+O27</f>
        <v>239965.24489795923</v>
      </c>
      <c r="P28" s="108">
        <f t="shared" ref="P28" si="437">(+O28-+O27)*48</f>
        <v>7398.8571428577416</v>
      </c>
      <c r="Q28" s="86">
        <f>(Q30-Q23)/7+Q27</f>
        <v>440861.93877551012</v>
      </c>
      <c r="R28" s="108">
        <f t="shared" ref="R28" si="438">(+Q28-+Q27)*48</f>
        <v>3442.2857142845169</v>
      </c>
      <c r="S28" s="86">
        <f>(S30-S23)/7+S27</f>
        <v>708667.22448979609</v>
      </c>
      <c r="T28" s="108">
        <f t="shared" ref="T28" si="439">(+S28-+S27)*48</f>
        <v>5506.2857142873108</v>
      </c>
      <c r="U28" s="86">
        <f>(U30-U23)/7+U27</f>
        <v>97026.017346938796</v>
      </c>
      <c r="V28" s="108">
        <f t="shared" ref="V28" si="440">(+U28-+U27)*48</f>
        <v>907.40571428602561</v>
      </c>
      <c r="W28" s="86">
        <f>(W30-W23)/7+W27</f>
        <v>79139.387755102027</v>
      </c>
      <c r="X28" s="108">
        <f t="shared" ref="X28" si="441">(+W28-+W27)*48</f>
        <v>582.85714285704307</v>
      </c>
      <c r="Y28" s="87">
        <v>1494191</v>
      </c>
      <c r="Z28" s="108">
        <f t="shared" ref="Z28" si="442">(+Y28-+Y27)*48</f>
        <v>0</v>
      </c>
      <c r="AA28" s="81">
        <v>13232</v>
      </c>
      <c r="AB28" s="108">
        <f t="shared" ref="AB28" si="443">(+AA28-+AA27)*48</f>
        <v>0</v>
      </c>
      <c r="AC28" s="86">
        <f>(AC30-AC23)/7+AC27</f>
        <v>440888.81632653053</v>
      </c>
      <c r="AD28" s="108">
        <f t="shared" si="16"/>
        <v>2742.8571428563446</v>
      </c>
      <c r="AE28" s="86">
        <f>(AE30-AE23)/7+AE27</f>
        <v>516760.34693877562</v>
      </c>
      <c r="AF28" s="108">
        <f t="shared" si="16"/>
        <v>1597.7142857154831</v>
      </c>
      <c r="AG28" s="86">
        <f>(AG30-AG23)/7+AG27</f>
        <v>49252.673469387744</v>
      </c>
      <c r="AH28" s="108">
        <f t="shared" ref="AH28" si="444">(+AG28-+AG27)*48</f>
        <v>246.85714285704307</v>
      </c>
      <c r="AI28" s="86">
        <f>(AI30-AI23)/7+AI27</f>
        <v>402977.57142857142</v>
      </c>
      <c r="AJ28" s="108">
        <f t="shared" ref="AJ28" si="445">(+AI28-+AI27)*48</f>
        <v>5568</v>
      </c>
      <c r="AK28" s="86">
        <v>102390</v>
      </c>
      <c r="AL28" s="108">
        <f t="shared" ref="AL28" si="446">(+AK28-+AK27)*48</f>
        <v>0</v>
      </c>
      <c r="AM28" s="86">
        <v>562723</v>
      </c>
      <c r="AN28" s="108">
        <f t="shared" ref="AN28" si="447">(+AM28-+AM27)*48</f>
        <v>864</v>
      </c>
      <c r="AO28" s="86">
        <v>906230</v>
      </c>
      <c r="AP28" s="108">
        <f t="shared" ref="AP28" si="448">(+AO28-+AO27)*48</f>
        <v>1536</v>
      </c>
      <c r="AQ28" s="81">
        <v>74221</v>
      </c>
      <c r="AR28" s="108">
        <f t="shared" ref="AR28" si="449">(+AQ28-+AQ27)*48</f>
        <v>0</v>
      </c>
      <c r="AS28" s="81">
        <v>2253</v>
      </c>
      <c r="AT28" s="108">
        <f t="shared" ref="AT28" si="450">(+AS28-+AS27)*48</f>
        <v>0</v>
      </c>
      <c r="AU28" s="87">
        <v>939</v>
      </c>
      <c r="AV28" s="108">
        <f t="shared" ref="AV28" si="451">(+AU28-+AU27)*48</f>
        <v>0</v>
      </c>
      <c r="AW28" s="87">
        <v>3109</v>
      </c>
      <c r="AX28" s="108">
        <f t="shared" ref="AX28" si="452">(+AW28-+AW27)*48</f>
        <v>0</v>
      </c>
      <c r="AY28" s="86">
        <v>306911</v>
      </c>
      <c r="AZ28" s="108">
        <f t="shared" ref="AZ28" si="453">(+AY28-+AY27)*48</f>
        <v>2880</v>
      </c>
      <c r="BA28" s="86">
        <v>161061</v>
      </c>
      <c r="BB28" s="108">
        <f t="shared" ref="BB28" si="454">(+BA28-+BA27)*48</f>
        <v>96</v>
      </c>
      <c r="BC28" s="86">
        <v>210417</v>
      </c>
      <c r="BD28" s="108">
        <f t="shared" ref="BD28" si="455">(+BC28-+BC27)*48</f>
        <v>2256</v>
      </c>
      <c r="BE28" s="81">
        <v>5347</v>
      </c>
      <c r="BF28" s="108">
        <f t="shared" ref="BF28" si="456">(+BE28-+BE27)*48</f>
        <v>0</v>
      </c>
      <c r="BH28" s="110">
        <f t="shared" si="1"/>
        <v>140616.20571429969</v>
      </c>
      <c r="BI28" s="110">
        <f t="shared" si="2"/>
        <v>76551.771428579101</v>
      </c>
    </row>
    <row r="29" spans="1:61" s="36" customFormat="1" ht="39.950000000000003" customHeight="1">
      <c r="A29" s="196">
        <v>44217</v>
      </c>
      <c r="B29" s="35"/>
      <c r="C29" s="86">
        <f>(C30-C23)/7+C28</f>
        <v>5783108.6938775526</v>
      </c>
      <c r="D29" s="108">
        <f t="shared" ref="D29" si="457">(+C29-+C28)*48</f>
        <v>172299.42857144773</v>
      </c>
      <c r="E29" s="109">
        <f t="shared" si="4"/>
        <v>103379.65714286863</v>
      </c>
      <c r="F29" s="108">
        <f t="shared" si="5"/>
        <v>68919.771428579101</v>
      </c>
      <c r="G29" s="86">
        <f>(G30-G23)/7+G28</f>
        <v>278165.32653061231</v>
      </c>
      <c r="H29" s="108">
        <f t="shared" ref="H29" si="458">(+G29-+G28)*48</f>
        <v>953.14285714365542</v>
      </c>
      <c r="I29" s="86">
        <f>(I30-I23)/7+I28</f>
        <v>104406.42857142857</v>
      </c>
      <c r="J29" s="108">
        <f t="shared" ref="J29" si="459">(+I29-+I28)*48</f>
        <v>7680</v>
      </c>
      <c r="K29" s="86">
        <f>(K30-K23)/7+K28</f>
        <v>256632.22448979595</v>
      </c>
      <c r="L29" s="108">
        <f t="shared" si="0"/>
        <v>610.28571428591385</v>
      </c>
      <c r="M29" s="81">
        <v>24470</v>
      </c>
      <c r="N29" s="38">
        <f t="shared" ref="N29" si="460">(+M29-+M28)*48</f>
        <v>0</v>
      </c>
      <c r="O29" s="86">
        <f>(O30-O23)/7+O28</f>
        <v>240119.3877551021</v>
      </c>
      <c r="P29" s="108">
        <f t="shared" ref="P29" si="461">(+O29-+O28)*48</f>
        <v>7398.8571428577416</v>
      </c>
      <c r="Q29" s="86">
        <f>(Q30-Q23)/7+Q28</f>
        <v>440933.65306122438</v>
      </c>
      <c r="R29" s="108">
        <f t="shared" ref="R29" si="462">(+Q29-+Q28)*48</f>
        <v>3442.2857142845169</v>
      </c>
      <c r="S29" s="86">
        <f>(S30-S23)/7+S28</f>
        <v>708781.93877551041</v>
      </c>
      <c r="T29" s="108">
        <f t="shared" ref="T29" si="463">(+S29-+S28)*48</f>
        <v>5506.2857142873108</v>
      </c>
      <c r="U29" s="86">
        <f>(U30-U23)/7+U28</f>
        <v>97044.921632653088</v>
      </c>
      <c r="V29" s="108">
        <f t="shared" ref="V29" si="464">(+U29-+U28)*48</f>
        <v>907.40571428602561</v>
      </c>
      <c r="W29" s="86">
        <f>(W30-W23)/7+W28</f>
        <v>79151.530612244882</v>
      </c>
      <c r="X29" s="108">
        <f t="shared" ref="X29" si="465">(+W29-+W28)*48</f>
        <v>582.85714285704307</v>
      </c>
      <c r="Y29" s="87">
        <v>1494191</v>
      </c>
      <c r="Z29" s="108">
        <f t="shared" ref="Z29" si="466">(+Y29-+Y28)*48</f>
        <v>0</v>
      </c>
      <c r="AA29" s="81">
        <v>13232</v>
      </c>
      <c r="AB29" s="108">
        <f t="shared" ref="AB29" si="467">(+AA29-+AA28)*48</f>
        <v>0</v>
      </c>
      <c r="AC29" s="86">
        <f>(AC30-AC23)/7+AC28</f>
        <v>440945.95918367337</v>
      </c>
      <c r="AD29" s="108">
        <f t="shared" si="16"/>
        <v>2742.8571428563446</v>
      </c>
      <c r="AE29" s="86">
        <f>(AE30-AE23)/7+AE28</f>
        <v>516793.63265306136</v>
      </c>
      <c r="AF29" s="108">
        <f t="shared" si="16"/>
        <v>1597.7142857154831</v>
      </c>
      <c r="AG29" s="86">
        <f>(AG30-AG23)/7+AG28</f>
        <v>49257.816326530599</v>
      </c>
      <c r="AH29" s="108">
        <f t="shared" ref="AH29" si="468">(+AG29-+AG28)*48</f>
        <v>246.85714285704307</v>
      </c>
      <c r="AI29" s="86">
        <f>(AI30-AI23)/7+AI28</f>
        <v>403093.57142857142</v>
      </c>
      <c r="AJ29" s="108">
        <f t="shared" ref="AJ29" si="469">(+AI29-+AI28)*48</f>
        <v>5568</v>
      </c>
      <c r="AK29" s="86">
        <v>102390</v>
      </c>
      <c r="AL29" s="108">
        <f t="shared" ref="AL29" si="470">(+AK29-+AK28)*48</f>
        <v>0</v>
      </c>
      <c r="AM29" s="86">
        <v>562751</v>
      </c>
      <c r="AN29" s="108">
        <f t="shared" ref="AN29" si="471">(+AM29-+AM28)*48</f>
        <v>1344</v>
      </c>
      <c r="AO29" s="86">
        <v>906335</v>
      </c>
      <c r="AP29" s="108">
        <f t="shared" ref="AP29" si="472">(+AO29-+AO28)*48</f>
        <v>5040</v>
      </c>
      <c r="AQ29" s="81">
        <v>74221</v>
      </c>
      <c r="AR29" s="108">
        <f t="shared" ref="AR29" si="473">(+AQ29-+AQ28)*48</f>
        <v>0</v>
      </c>
      <c r="AS29" s="81">
        <v>2253</v>
      </c>
      <c r="AT29" s="108">
        <f t="shared" ref="AT29" si="474">(+AS29-+AS28)*48</f>
        <v>0</v>
      </c>
      <c r="AU29" s="87">
        <v>939</v>
      </c>
      <c r="AV29" s="108">
        <f t="shared" ref="AV29" si="475">(+AU29-+AU28)*48</f>
        <v>0</v>
      </c>
      <c r="AW29" s="87">
        <v>3109</v>
      </c>
      <c r="AX29" s="108">
        <f t="shared" ref="AX29" si="476">(+AW29-+AW28)*48</f>
        <v>0</v>
      </c>
      <c r="AY29" s="86">
        <v>306967</v>
      </c>
      <c r="AZ29" s="108">
        <f t="shared" ref="AZ29" si="477">(+AY29-+AY28)*48</f>
        <v>2688</v>
      </c>
      <c r="BA29" s="86">
        <v>161063</v>
      </c>
      <c r="BB29" s="108">
        <f t="shared" ref="BB29" si="478">(+BA29-+BA28)*48</f>
        <v>96</v>
      </c>
      <c r="BC29" s="86">
        <v>210456</v>
      </c>
      <c r="BD29" s="108">
        <f t="shared" ref="BD29" si="479">(+BC29-+BC28)*48</f>
        <v>1872</v>
      </c>
      <c r="BE29" s="81">
        <v>5347</v>
      </c>
      <c r="BF29" s="108">
        <f t="shared" ref="BF29" si="480">(+BE29-+BE28)*48</f>
        <v>0</v>
      </c>
      <c r="BH29" s="110">
        <f t="shared" si="1"/>
        <v>140616.20571429969</v>
      </c>
      <c r="BI29" s="110">
        <f t="shared" si="2"/>
        <v>79959.771428579101</v>
      </c>
    </row>
    <row r="30" spans="1:61" s="36" customFormat="1" ht="39.950000000000003" customHeight="1">
      <c r="A30" s="196">
        <v>44218</v>
      </c>
      <c r="B30" s="35"/>
      <c r="C30" s="81">
        <v>5787031</v>
      </c>
      <c r="D30" s="108">
        <f t="shared" ref="D30" si="481">(+C30-+C29)*48</f>
        <v>188270.69387747347</v>
      </c>
      <c r="E30" s="109">
        <f t="shared" si="4"/>
        <v>112962.41632648408</v>
      </c>
      <c r="F30" s="108">
        <f t="shared" si="5"/>
        <v>75308.277550989398</v>
      </c>
      <c r="G30" s="81">
        <v>278185</v>
      </c>
      <c r="H30" s="108">
        <f t="shared" ref="H30" si="482">(+G30-+G29)*48</f>
        <v>944.32653060927987</v>
      </c>
      <c r="I30" s="81">
        <v>104565</v>
      </c>
      <c r="J30" s="108">
        <f t="shared" ref="J30" si="483">(+I30-+I29)*48</f>
        <v>7611.4285714288708</v>
      </c>
      <c r="K30" s="81">
        <v>256646</v>
      </c>
      <c r="L30" s="108">
        <f t="shared" si="0"/>
        <v>661.2244897945784</v>
      </c>
      <c r="M30" s="81">
        <v>24470</v>
      </c>
      <c r="N30" s="38">
        <f t="shared" ref="N30" si="484">(+M30-+M29)*48</f>
        <v>0</v>
      </c>
      <c r="O30" s="81">
        <v>240276</v>
      </c>
      <c r="P30" s="108">
        <f t="shared" ref="P30" si="485">(+O30-+O29)*48</f>
        <v>7517.3877550992183</v>
      </c>
      <c r="Q30" s="81">
        <v>441003</v>
      </c>
      <c r="R30" s="108">
        <f t="shared" ref="R30" si="486">(+Q30-+Q29)*48</f>
        <v>3328.6530612297356</v>
      </c>
      <c r="S30" s="86">
        <v>708897</v>
      </c>
      <c r="T30" s="108">
        <f t="shared" ref="T30" si="487">(+S30-+S29)*48</f>
        <v>5522.9387755002826</v>
      </c>
      <c r="U30" s="86">
        <v>97063.145000000004</v>
      </c>
      <c r="V30" s="108">
        <f t="shared" ref="V30" si="488">(+U30-+U29)*48</f>
        <v>874.72163265198469</v>
      </c>
      <c r="W30" s="86">
        <v>79165</v>
      </c>
      <c r="X30" s="108">
        <f t="shared" ref="X30" si="489">(+W30-+W29)*48</f>
        <v>646.53061224566773</v>
      </c>
      <c r="Y30" s="87">
        <v>1494191</v>
      </c>
      <c r="Z30" s="108">
        <f t="shared" ref="Z30" si="490">(+Y30-+Y29)*48</f>
        <v>0</v>
      </c>
      <c r="AA30" s="81">
        <v>13232</v>
      </c>
      <c r="AB30" s="108">
        <f t="shared" ref="AB30" si="491">(+AA30-+AA29)*48</f>
        <v>0</v>
      </c>
      <c r="AC30" s="86">
        <v>440977</v>
      </c>
      <c r="AD30" s="108">
        <f t="shared" si="16"/>
        <v>1489.959183678031</v>
      </c>
      <c r="AE30" s="86">
        <v>516806</v>
      </c>
      <c r="AF30" s="108">
        <f t="shared" si="16"/>
        <v>593.63265305478126</v>
      </c>
      <c r="AG30" s="86">
        <v>49263</v>
      </c>
      <c r="AH30" s="108">
        <f t="shared" ref="AH30" si="492">(+AG30-+AG29)*48</f>
        <v>248.81632653123233</v>
      </c>
      <c r="AI30" s="86">
        <v>403207</v>
      </c>
      <c r="AJ30" s="108">
        <f t="shared" ref="AJ30" si="493">(+AI30-+AI29)*48</f>
        <v>5444.5714285718277</v>
      </c>
      <c r="AK30" s="86">
        <v>102390</v>
      </c>
      <c r="AL30" s="108">
        <f t="shared" ref="AL30" si="494">(+AK30-+AK29)*48</f>
        <v>0</v>
      </c>
      <c r="AM30" s="86">
        <v>562810</v>
      </c>
      <c r="AN30" s="108">
        <f t="shared" ref="AN30" si="495">(+AM30-+AM29)*48</f>
        <v>2832</v>
      </c>
      <c r="AO30" s="86">
        <v>906477</v>
      </c>
      <c r="AP30" s="108">
        <f t="shared" ref="AP30" si="496">(+AO30-+AO29)*48</f>
        <v>6816</v>
      </c>
      <c r="AQ30" s="81">
        <v>74221</v>
      </c>
      <c r="AR30" s="108">
        <f t="shared" ref="AR30" si="497">(+AQ30-+AQ29)*48</f>
        <v>0</v>
      </c>
      <c r="AS30" s="81">
        <v>2253</v>
      </c>
      <c r="AT30" s="108">
        <f t="shared" ref="AT30" si="498">(+AS30-+AS29)*48</f>
        <v>0</v>
      </c>
      <c r="AU30" s="87">
        <v>939</v>
      </c>
      <c r="AV30" s="108">
        <f t="shared" ref="AV30" si="499">(+AU30-+AU29)*48</f>
        <v>0</v>
      </c>
      <c r="AW30" s="87">
        <v>3109</v>
      </c>
      <c r="AX30" s="108">
        <f t="shared" ref="AX30" si="500">(+AW30-+AW29)*48</f>
        <v>0</v>
      </c>
      <c r="AY30" s="86">
        <v>307019</v>
      </c>
      <c r="AZ30" s="108">
        <f t="shared" ref="AZ30" si="501">(+AY30-+AY29)*48</f>
        <v>2496</v>
      </c>
      <c r="BA30" s="86">
        <v>161063</v>
      </c>
      <c r="BB30" s="108">
        <f t="shared" ref="BB30" si="502">(+BA30-+BA29)*48</f>
        <v>0</v>
      </c>
      <c r="BC30" s="86">
        <v>210491</v>
      </c>
      <c r="BD30" s="108">
        <f t="shared" ref="BD30" si="503">(+BC30-+BC29)*48</f>
        <v>1680</v>
      </c>
      <c r="BE30" s="81">
        <v>5347</v>
      </c>
      <c r="BF30" s="108">
        <f t="shared" ref="BF30" si="504">(+BE30-+BE29)*48</f>
        <v>0</v>
      </c>
      <c r="BH30" s="110">
        <f t="shared" si="1"/>
        <v>147846.60734687955</v>
      </c>
      <c r="BI30" s="110">
        <f t="shared" si="2"/>
        <v>89132.277550989398</v>
      </c>
    </row>
    <row r="31" spans="1:61" s="36" customFormat="1" ht="39.950000000000003" customHeight="1">
      <c r="A31" s="196">
        <v>44219</v>
      </c>
      <c r="B31" s="35"/>
      <c r="C31" s="81">
        <v>5789532</v>
      </c>
      <c r="D31" s="108">
        <f t="shared" ref="D31" si="505">(+C31-+C30)*48</f>
        <v>120048</v>
      </c>
      <c r="E31" s="109">
        <f t="shared" si="4"/>
        <v>72028.800000000003</v>
      </c>
      <c r="F31" s="108">
        <f t="shared" si="5"/>
        <v>48019.200000000004</v>
      </c>
      <c r="G31" s="81">
        <v>278204</v>
      </c>
      <c r="H31" s="38">
        <f t="shared" ref="H31" si="506">(+G31-+G30)*48</f>
        <v>912</v>
      </c>
      <c r="I31" s="81">
        <v>104723</v>
      </c>
      <c r="J31" s="38">
        <f t="shared" ref="J31" si="507">(+I31-+I30)*48</f>
        <v>7584</v>
      </c>
      <c r="K31" s="81">
        <v>256653</v>
      </c>
      <c r="L31" s="38">
        <f t="shared" si="0"/>
        <v>336</v>
      </c>
      <c r="M31" s="81">
        <v>24470</v>
      </c>
      <c r="N31" s="38">
        <f t="shared" ref="N31" si="508">(+M31-+M30)*48</f>
        <v>0</v>
      </c>
      <c r="O31" s="81">
        <v>240408</v>
      </c>
      <c r="P31" s="38">
        <f t="shared" ref="P31" si="509">(+O31-+O30)*48</f>
        <v>6336</v>
      </c>
      <c r="Q31" s="81">
        <v>441075</v>
      </c>
      <c r="R31" s="108">
        <f t="shared" ref="R31" si="510">(+Q31-+Q30)*48</f>
        <v>3456</v>
      </c>
      <c r="S31" s="86">
        <v>708996</v>
      </c>
      <c r="T31" s="108">
        <f t="shared" ref="T31" si="511">(+S31-+S30)*48</f>
        <v>4752</v>
      </c>
      <c r="U31" s="86">
        <v>97083.001000000004</v>
      </c>
      <c r="V31" s="108">
        <f t="shared" ref="V31" si="512">(+U31-+U30)*48</f>
        <v>953.08799999998882</v>
      </c>
      <c r="W31" s="86">
        <v>79177</v>
      </c>
      <c r="X31" s="108">
        <f t="shared" ref="X31" si="513">(+W31-+W30)*48</f>
        <v>576</v>
      </c>
      <c r="Y31" s="87">
        <v>1494191</v>
      </c>
      <c r="Z31" s="108">
        <f t="shared" ref="Z31" si="514">(+Y31-+Y30)*48</f>
        <v>0</v>
      </c>
      <c r="AA31" s="81">
        <v>13232</v>
      </c>
      <c r="AB31" s="108">
        <f t="shared" ref="AB31" si="515">(+AA31-+AA30)*48</f>
        <v>0</v>
      </c>
      <c r="AC31" s="86">
        <v>441075</v>
      </c>
      <c r="AD31" s="108">
        <f t="shared" si="16"/>
        <v>4704</v>
      </c>
      <c r="AE31" s="86">
        <v>516911</v>
      </c>
      <c r="AF31" s="108">
        <f t="shared" si="16"/>
        <v>5040</v>
      </c>
      <c r="AG31" s="86">
        <v>49268</v>
      </c>
      <c r="AH31" s="108">
        <f t="shared" ref="AH31" si="516">(+AG31-+AG30)*48</f>
        <v>240</v>
      </c>
      <c r="AI31" s="86">
        <v>403325</v>
      </c>
      <c r="AJ31" s="108">
        <f t="shared" ref="AJ31" si="517">(+AI31-+AI30)*48</f>
        <v>5664</v>
      </c>
      <c r="AK31" s="86">
        <v>102392</v>
      </c>
      <c r="AL31" s="108">
        <f t="shared" ref="AL31" si="518">(+AK31-+AK30)*48</f>
        <v>96</v>
      </c>
      <c r="AM31" s="86">
        <v>562913</v>
      </c>
      <c r="AN31" s="108">
        <f t="shared" ref="AN31" si="519">(+AM31-+AM30)*48</f>
        <v>4944</v>
      </c>
      <c r="AO31" s="86">
        <v>906663</v>
      </c>
      <c r="AP31" s="108">
        <f t="shared" ref="AP31" si="520">(+AO31-+AO30)*48</f>
        <v>8928</v>
      </c>
      <c r="AQ31" s="81">
        <v>74221</v>
      </c>
      <c r="AR31" s="108">
        <f t="shared" ref="AR31" si="521">(+AQ31-+AQ30)*48</f>
        <v>0</v>
      </c>
      <c r="AS31" s="81">
        <v>2253</v>
      </c>
      <c r="AT31" s="108">
        <f t="shared" ref="AT31" si="522">(+AS31-+AS30)*48</f>
        <v>0</v>
      </c>
      <c r="AU31" s="87">
        <v>939</v>
      </c>
      <c r="AV31" s="108">
        <f t="shared" ref="AV31" si="523">(+AU31-+AU30)*48</f>
        <v>0</v>
      </c>
      <c r="AW31" s="87">
        <v>3109</v>
      </c>
      <c r="AX31" s="108">
        <f t="shared" ref="AX31" si="524">(+AW31-+AW30)*48</f>
        <v>0</v>
      </c>
      <c r="AY31" s="86">
        <v>307082</v>
      </c>
      <c r="AZ31" s="108">
        <f t="shared" ref="AZ31" si="525">(+AY31-+AY30)*48</f>
        <v>3024</v>
      </c>
      <c r="BA31" s="86">
        <v>161073</v>
      </c>
      <c r="BB31" s="108">
        <f t="shared" ref="BB31" si="526">(+BA31-+BA30)*48</f>
        <v>480</v>
      </c>
      <c r="BC31" s="86">
        <v>210531</v>
      </c>
      <c r="BD31" s="108">
        <f t="shared" ref="BD31" si="527">(+BC31-+BC30)*48</f>
        <v>1920</v>
      </c>
      <c r="BE31" s="81">
        <v>5347</v>
      </c>
      <c r="BF31" s="108">
        <f t="shared" ref="BF31" si="528">(+BE31-+BE30)*48</f>
        <v>0</v>
      </c>
      <c r="BH31" s="110">
        <f t="shared" si="1"/>
        <v>112677.88799999999</v>
      </c>
      <c r="BI31" s="110">
        <f t="shared" si="2"/>
        <v>67315.200000000012</v>
      </c>
    </row>
    <row r="32" spans="1:61" s="36" customFormat="1" ht="39.950000000000003" customHeight="1">
      <c r="A32" s="196">
        <v>44220</v>
      </c>
      <c r="B32" s="35"/>
      <c r="C32" s="81">
        <v>5791881</v>
      </c>
      <c r="D32" s="108">
        <f t="shared" ref="D32" si="529">(+C32-+C31)*48</f>
        <v>112752</v>
      </c>
      <c r="E32" s="109">
        <f t="shared" si="4"/>
        <v>67651.199999999997</v>
      </c>
      <c r="F32" s="108">
        <f t="shared" si="5"/>
        <v>45100.800000000003</v>
      </c>
      <c r="G32" s="81">
        <v>278226</v>
      </c>
      <c r="H32" s="38">
        <f t="shared" ref="H32" si="530">(+G32-+G31)*48</f>
        <v>1056</v>
      </c>
      <c r="I32" s="81">
        <v>104895</v>
      </c>
      <c r="J32" s="38">
        <f t="shared" ref="J32" si="531">(+I32-+I31)*48</f>
        <v>8256</v>
      </c>
      <c r="K32" s="81">
        <v>256664</v>
      </c>
      <c r="L32" s="38">
        <f t="shared" si="0"/>
        <v>528</v>
      </c>
      <c r="M32" s="81">
        <v>24470</v>
      </c>
      <c r="N32" s="38">
        <f t="shared" ref="N32" si="532">(+M32-+M31)*48</f>
        <v>0</v>
      </c>
      <c r="O32" s="81">
        <v>240567</v>
      </c>
      <c r="P32" s="38">
        <f t="shared" ref="P32" si="533">(+O32-+O31)*48</f>
        <v>7632</v>
      </c>
      <c r="Q32" s="81">
        <v>441163</v>
      </c>
      <c r="R32" s="108">
        <f t="shared" ref="R32" si="534">(+Q32-+Q31)*48</f>
        <v>4224</v>
      </c>
      <c r="S32" s="86">
        <v>709124</v>
      </c>
      <c r="T32" s="108">
        <f t="shared" ref="T32" si="535">(+S32-+S31)*48</f>
        <v>6144</v>
      </c>
      <c r="U32" s="86">
        <v>97105.72</v>
      </c>
      <c r="V32" s="108">
        <f t="shared" ref="V32" si="536">(+U32-+U31)*48</f>
        <v>1090.5119999998715</v>
      </c>
      <c r="W32" s="86">
        <v>79180</v>
      </c>
      <c r="X32" s="108">
        <f t="shared" ref="X32" si="537">(+W32-+W31)*48</f>
        <v>144</v>
      </c>
      <c r="Y32" s="87">
        <v>1494191</v>
      </c>
      <c r="Z32" s="108">
        <f t="shared" ref="Z32" si="538">(+Y32-+Y31)*48</f>
        <v>0</v>
      </c>
      <c r="AA32" s="81">
        <v>13232</v>
      </c>
      <c r="AB32" s="108">
        <f t="shared" ref="AB32" si="539">(+AA32-+AA31)*48</f>
        <v>0</v>
      </c>
      <c r="AC32" s="86">
        <v>441274</v>
      </c>
      <c r="AD32" s="108">
        <f t="shared" si="16"/>
        <v>9552</v>
      </c>
      <c r="AE32" s="86">
        <v>517019</v>
      </c>
      <c r="AF32" s="108">
        <f t="shared" si="16"/>
        <v>5184</v>
      </c>
      <c r="AG32" s="86">
        <v>49273</v>
      </c>
      <c r="AH32" s="108">
        <f t="shared" ref="AH32" si="540">(+AG32-+AG31)*48</f>
        <v>240</v>
      </c>
      <c r="AI32" s="86">
        <v>403457</v>
      </c>
      <c r="AJ32" s="108">
        <f t="shared" ref="AJ32" si="541">(+AI32-+AI31)*48</f>
        <v>6336</v>
      </c>
      <c r="AK32" s="86">
        <v>102399</v>
      </c>
      <c r="AL32" s="108">
        <f t="shared" ref="AL32" si="542">(+AK32-+AK31)*48</f>
        <v>336</v>
      </c>
      <c r="AM32" s="86">
        <v>563010</v>
      </c>
      <c r="AN32" s="108">
        <f t="shared" ref="AN32" si="543">(+AM32-+AM31)*48</f>
        <v>4656</v>
      </c>
      <c r="AO32" s="86">
        <v>906843</v>
      </c>
      <c r="AP32" s="108">
        <f t="shared" ref="AP32" si="544">(+AO32-+AO31)*48</f>
        <v>8640</v>
      </c>
      <c r="AQ32" s="81">
        <v>74221</v>
      </c>
      <c r="AR32" s="108">
        <f t="shared" ref="AR32" si="545">(+AQ32-+AQ31)*48</f>
        <v>0</v>
      </c>
      <c r="AS32" s="81">
        <v>2253</v>
      </c>
      <c r="AT32" s="108">
        <f t="shared" ref="AT32" si="546">(+AS32-+AS31)*48</f>
        <v>0</v>
      </c>
      <c r="AU32" s="87">
        <v>939</v>
      </c>
      <c r="AV32" s="108">
        <f t="shared" ref="AV32" si="547">(+AU32-+AU31)*48</f>
        <v>0</v>
      </c>
      <c r="AW32" s="87">
        <v>3109</v>
      </c>
      <c r="AX32" s="108">
        <f t="shared" ref="AX32" si="548">(+AW32-+AW31)*48</f>
        <v>0</v>
      </c>
      <c r="AY32" s="86">
        <v>307146</v>
      </c>
      <c r="AZ32" s="108">
        <f t="shared" ref="AZ32" si="549">(+AY32-+AY31)*48</f>
        <v>3072</v>
      </c>
      <c r="BA32" s="86">
        <v>161076</v>
      </c>
      <c r="BB32" s="108">
        <f t="shared" ref="BB32" si="550">(+BA32-+BA31)*48</f>
        <v>144</v>
      </c>
      <c r="BC32" s="86">
        <v>210569</v>
      </c>
      <c r="BD32" s="108">
        <f t="shared" ref="BD32" si="551">(+BC32-+BC31)*48</f>
        <v>1824</v>
      </c>
      <c r="BE32" s="81">
        <v>5347</v>
      </c>
      <c r="BF32" s="108">
        <f t="shared" ref="BF32" si="552">(+BE32-+BE31)*48</f>
        <v>0</v>
      </c>
      <c r="BH32" s="110">
        <f t="shared" si="1"/>
        <v>118373.71199999987</v>
      </c>
      <c r="BI32" s="110">
        <f t="shared" si="2"/>
        <v>63436.800000000003</v>
      </c>
    </row>
    <row r="33" spans="1:61" s="36" customFormat="1" ht="39.950000000000003" customHeight="1">
      <c r="A33" s="196">
        <v>44221</v>
      </c>
      <c r="B33" s="35"/>
      <c r="C33" s="81">
        <f>(C39-C32)/7+C32</f>
        <v>5794862</v>
      </c>
      <c r="D33" s="108">
        <f t="shared" ref="D33" si="553">(+C33-+C32)*48</f>
        <v>143088</v>
      </c>
      <c r="E33" s="109">
        <f t="shared" si="4"/>
        <v>85852.800000000003</v>
      </c>
      <c r="F33" s="108">
        <f t="shared" si="5"/>
        <v>57235.200000000004</v>
      </c>
      <c r="G33" s="86">
        <f>(G39-G32)/7+G32</f>
        <v>278248.28571428574</v>
      </c>
      <c r="H33" s="108">
        <f t="shared" ref="H33" si="554">(+G33-+G32)*48</f>
        <v>1069.7142857154831</v>
      </c>
      <c r="I33" s="86">
        <f>(I39-I32)/7+I32</f>
        <v>105072</v>
      </c>
      <c r="J33" s="38">
        <f t="shared" ref="J33" si="555">(+I33-+I32)*48</f>
        <v>8496</v>
      </c>
      <c r="K33" s="86">
        <f>(K39-K32)/7+K32</f>
        <v>256677.14285714287</v>
      </c>
      <c r="L33" s="108">
        <f t="shared" si="0"/>
        <v>630.85714285774156</v>
      </c>
      <c r="M33" s="81">
        <v>24470</v>
      </c>
      <c r="N33" s="38">
        <f t="shared" ref="N33" si="556">(+M33-+M32)*48</f>
        <v>0</v>
      </c>
      <c r="O33" s="86">
        <f>(O39-O32)/7+O32</f>
        <v>240734</v>
      </c>
      <c r="P33" s="38">
        <f t="shared" ref="P33" si="557">(+O33-+O32)*48</f>
        <v>8016</v>
      </c>
      <c r="Q33" s="86">
        <f>(Q39-Q32)/7+Q32</f>
        <v>441248.14285714284</v>
      </c>
      <c r="R33" s="108">
        <f t="shared" ref="R33" si="558">(+Q33-+Q32)*48</f>
        <v>4086.8571428563446</v>
      </c>
      <c r="S33" s="86">
        <f>(S39-S32)/7+S32</f>
        <v>709251.85714285716</v>
      </c>
      <c r="T33" s="108">
        <f t="shared" ref="T33" si="559">(+S33-+S32)*48</f>
        <v>6137.1428571436554</v>
      </c>
      <c r="U33" s="86">
        <f>(U39-U32)/7+U32</f>
        <v>97127.557142857142</v>
      </c>
      <c r="V33" s="108">
        <f t="shared" ref="V33" si="560">(+U33-+U32)*48</f>
        <v>1048.1828571427613</v>
      </c>
      <c r="W33" s="86">
        <f>(W39-W32)/7+W32</f>
        <v>79188.71428571429</v>
      </c>
      <c r="X33" s="108">
        <f t="shared" ref="X33" si="561">(+W33-+W32)*48</f>
        <v>418.28571428591385</v>
      </c>
      <c r="Y33" s="86">
        <f>(Y39-Y32)/7+Y32</f>
        <v>1494193.5714285714</v>
      </c>
      <c r="Z33" s="108">
        <f t="shared" ref="Z33" si="562">(+Y33-+Y32)*48</f>
        <v>123.42857142537832</v>
      </c>
      <c r="AA33" s="81">
        <v>13232</v>
      </c>
      <c r="AB33" s="108">
        <f t="shared" ref="AB33" si="563">(+AA33-+AA32)*48</f>
        <v>0</v>
      </c>
      <c r="AC33" s="86">
        <f>(AC39-AC32)/7+AC32</f>
        <v>441398.28571428574</v>
      </c>
      <c r="AD33" s="108">
        <f t="shared" si="16"/>
        <v>5965.7142857154831</v>
      </c>
      <c r="AE33" s="86">
        <f>(AE39-AE32)/7+AE32</f>
        <v>517102.42857142858</v>
      </c>
      <c r="AF33" s="108">
        <f t="shared" si="16"/>
        <v>4004.5714285718277</v>
      </c>
      <c r="AG33" s="86">
        <f>(AG39-AG32)/7+AG32</f>
        <v>49278.714285714283</v>
      </c>
      <c r="AH33" s="108">
        <f t="shared" ref="AH33" si="564">(+AG33-+AG32)*48</f>
        <v>274.28571428556461</v>
      </c>
      <c r="AI33" s="86">
        <f>(AI39-AI32)/7+AI32</f>
        <v>403591.14285714284</v>
      </c>
      <c r="AJ33" s="108">
        <f t="shared" ref="AJ33" si="565">(+AI33-+AI32)*48</f>
        <v>6438.8571428563446</v>
      </c>
      <c r="AK33" s="86">
        <f>(AK39-AK32)/7+AK32</f>
        <v>102404.85714285714</v>
      </c>
      <c r="AL33" s="108">
        <f t="shared" ref="AL33" si="566">(+AK33-+AK32)*48</f>
        <v>281.14285714295693</v>
      </c>
      <c r="AM33" s="86">
        <f>(AM37-AM32)/6+AM32</f>
        <v>563077.66666666663</v>
      </c>
      <c r="AN33" s="108">
        <f t="shared" ref="AN33" si="567">(+AM33-+AM32)*48</f>
        <v>3247.9999999981374</v>
      </c>
      <c r="AO33" s="86">
        <f>(AO36-AO32)/4+AO32</f>
        <v>907047.75</v>
      </c>
      <c r="AP33" s="108">
        <f t="shared" ref="AP33" si="568">(+AO33-+AO32)*48</f>
        <v>9828</v>
      </c>
      <c r="AQ33" s="81">
        <v>74221</v>
      </c>
      <c r="AR33" s="108">
        <f t="shared" ref="AR33" si="569">(+AQ33-+AQ32)*48</f>
        <v>0</v>
      </c>
      <c r="AS33" s="81">
        <v>2253</v>
      </c>
      <c r="AT33" s="108">
        <f t="shared" ref="AT33" si="570">(+AS33-+AS32)*48</f>
        <v>0</v>
      </c>
      <c r="AU33" s="87">
        <v>939</v>
      </c>
      <c r="AV33" s="108">
        <f t="shared" ref="AV33" si="571">(+AU33-+AU32)*48</f>
        <v>0</v>
      </c>
      <c r="AW33" s="87">
        <v>3109</v>
      </c>
      <c r="AX33" s="108">
        <f t="shared" ref="AX33" si="572">(+AW33-+AW32)*48</f>
        <v>0</v>
      </c>
      <c r="AY33" s="86">
        <f>(AY37-AY32)/5+AY32</f>
        <v>307211</v>
      </c>
      <c r="AZ33" s="108">
        <f t="shared" ref="AZ33" si="573">(+AY33-+AY32)*48</f>
        <v>3120</v>
      </c>
      <c r="BA33" s="86">
        <f>(BA37-BA32)/5+BA32</f>
        <v>161080.4</v>
      </c>
      <c r="BB33" s="108">
        <f t="shared" ref="BB33" si="574">(+BA33-+BA32)*48</f>
        <v>211.1999999997206</v>
      </c>
      <c r="BC33" s="86">
        <f>(BC37-BC32)/5+BC32</f>
        <v>210618.6</v>
      </c>
      <c r="BD33" s="108">
        <f t="shared" ref="BD33" si="575">(+BC33-+BC32)*48</f>
        <v>2380.8000000002794</v>
      </c>
      <c r="BE33" s="81">
        <v>5347</v>
      </c>
      <c r="BF33" s="108">
        <f t="shared" ref="BF33" si="576">(+BE33-+BE32)*48</f>
        <v>0</v>
      </c>
      <c r="BH33" s="110">
        <f t="shared" si="1"/>
        <v>132843.83999999944</v>
      </c>
      <c r="BI33" s="110">
        <f t="shared" si="2"/>
        <v>76023.199999998149</v>
      </c>
    </row>
    <row r="34" spans="1:61" s="36" customFormat="1" ht="39.950000000000003" customHeight="1">
      <c r="A34" s="196">
        <v>44222</v>
      </c>
      <c r="B34" s="35"/>
      <c r="C34" s="81">
        <f>(C39-C32)/7+C33</f>
        <v>5797843</v>
      </c>
      <c r="D34" s="108">
        <f t="shared" ref="D34" si="577">(+C34-+C33)*48</f>
        <v>143088</v>
      </c>
      <c r="E34" s="109">
        <f t="shared" si="4"/>
        <v>85852.800000000003</v>
      </c>
      <c r="F34" s="108">
        <f t="shared" si="5"/>
        <v>57235.200000000004</v>
      </c>
      <c r="G34" s="86">
        <f>(G39-G32)/7+G33</f>
        <v>278270.57142857148</v>
      </c>
      <c r="H34" s="108">
        <f t="shared" ref="H34" si="578">(+G34-+G33)*48</f>
        <v>1069.7142857154831</v>
      </c>
      <c r="I34" s="86">
        <f>(I39-I32)/7+I33</f>
        <v>105249</v>
      </c>
      <c r="J34" s="38">
        <f t="shared" ref="J34" si="579">(+I34-+I33)*48</f>
        <v>8496</v>
      </c>
      <c r="K34" s="86">
        <f>(K39-K32)/7+K33</f>
        <v>256690.28571428574</v>
      </c>
      <c r="L34" s="108">
        <f t="shared" si="0"/>
        <v>630.85714285774156</v>
      </c>
      <c r="M34" s="81">
        <v>24470</v>
      </c>
      <c r="N34" s="38">
        <f t="shared" ref="N34" si="580">(+M34-+M33)*48</f>
        <v>0</v>
      </c>
      <c r="O34" s="86">
        <f>(O39-O32)/7+O33</f>
        <v>240901</v>
      </c>
      <c r="P34" s="38">
        <f t="shared" ref="P34" si="581">(+O34-+O33)*48</f>
        <v>8016</v>
      </c>
      <c r="Q34" s="86">
        <f>(Q39-Q32)/7+Q33</f>
        <v>441333.28571428568</v>
      </c>
      <c r="R34" s="108">
        <f t="shared" ref="R34" si="582">(+Q34-+Q33)*48</f>
        <v>4086.8571428563446</v>
      </c>
      <c r="S34" s="86">
        <f>(S39-S32)/7+S33</f>
        <v>709379.71428571432</v>
      </c>
      <c r="T34" s="108">
        <f t="shared" ref="T34" si="583">(+S34-+S33)*48</f>
        <v>6137.1428571436554</v>
      </c>
      <c r="U34" s="86">
        <f>(U39-U32)/7+U33</f>
        <v>97149.394285714283</v>
      </c>
      <c r="V34" s="108">
        <f t="shared" ref="V34" si="584">(+U34-+U33)*48</f>
        <v>1048.1828571427613</v>
      </c>
      <c r="W34" s="86">
        <f>(W39-W32)/7+W33</f>
        <v>79197.42857142858</v>
      </c>
      <c r="X34" s="108">
        <f t="shared" ref="X34" si="585">(+W34-+W33)*48</f>
        <v>418.28571428591385</v>
      </c>
      <c r="Y34" s="86">
        <f>(Y39-Y32)/7+Y33</f>
        <v>1494196.1428571427</v>
      </c>
      <c r="Z34" s="108">
        <f t="shared" ref="Z34" si="586">(+Y34-+Y33)*48</f>
        <v>123.42857142537832</v>
      </c>
      <c r="AA34" s="81">
        <v>13232</v>
      </c>
      <c r="AB34" s="108">
        <f t="shared" ref="AB34" si="587">(+AA34-+AA33)*48</f>
        <v>0</v>
      </c>
      <c r="AC34" s="86">
        <f>(AC39-AC32)/7+AC33</f>
        <v>441522.57142857148</v>
      </c>
      <c r="AD34" s="108">
        <f t="shared" si="16"/>
        <v>5965.7142857154831</v>
      </c>
      <c r="AE34" s="86">
        <f>(AE39-AE32)/7+AE33</f>
        <v>517185.85714285716</v>
      </c>
      <c r="AF34" s="108">
        <f t="shared" si="16"/>
        <v>4004.5714285718277</v>
      </c>
      <c r="AG34" s="86">
        <f>(AG39-AG32)/7+AG33</f>
        <v>49284.428571428565</v>
      </c>
      <c r="AH34" s="108">
        <f t="shared" ref="AH34" si="588">(+AG34-+AG33)*48</f>
        <v>274.28571428556461</v>
      </c>
      <c r="AI34" s="86">
        <f>(AI39-AI32)/7+AI33</f>
        <v>403725.28571428568</v>
      </c>
      <c r="AJ34" s="108">
        <f t="shared" ref="AJ34" si="589">(+AI34-+AI33)*48</f>
        <v>6438.8571428563446</v>
      </c>
      <c r="AK34" s="86">
        <f>(AK39-AK32)/7+AK33</f>
        <v>102410.71428571429</v>
      </c>
      <c r="AL34" s="108">
        <f t="shared" ref="AL34" si="590">(+AK34-+AK33)*48</f>
        <v>281.14285714295693</v>
      </c>
      <c r="AM34" s="86">
        <f>(AM37-AM32)/6+AM33</f>
        <v>563145.33333333326</v>
      </c>
      <c r="AN34" s="108">
        <f t="shared" ref="AN34" si="591">(+AM34-+AM33)*48</f>
        <v>3247.9999999981374</v>
      </c>
      <c r="AO34" s="86">
        <f>(AO36-AO32)/4+AO33</f>
        <v>907252.5</v>
      </c>
      <c r="AP34" s="108">
        <f t="shared" ref="AP34" si="592">(+AO34-+AO33)*48</f>
        <v>9828</v>
      </c>
      <c r="AQ34" s="81">
        <v>74221</v>
      </c>
      <c r="AR34" s="108">
        <f t="shared" ref="AR34" si="593">(+AQ34-+AQ33)*48</f>
        <v>0</v>
      </c>
      <c r="AS34" s="81">
        <v>2253</v>
      </c>
      <c r="AT34" s="108">
        <f t="shared" ref="AT34" si="594">(+AS34-+AS33)*48</f>
        <v>0</v>
      </c>
      <c r="AU34" s="87">
        <v>939</v>
      </c>
      <c r="AV34" s="108">
        <f t="shared" ref="AV34" si="595">(+AU34-+AU33)*48</f>
        <v>0</v>
      </c>
      <c r="AW34" s="87">
        <v>3109</v>
      </c>
      <c r="AX34" s="108">
        <f t="shared" ref="AX34" si="596">(+AW34-+AW33)*48</f>
        <v>0</v>
      </c>
      <c r="AY34" s="86">
        <f>(AY37-AY32)/5+AY33</f>
        <v>307276</v>
      </c>
      <c r="AZ34" s="108">
        <f t="shared" ref="AZ34" si="597">(+AY34-+AY33)*48</f>
        <v>3120</v>
      </c>
      <c r="BA34" s="86">
        <f>(BA37-BA32)/5+BA33</f>
        <v>161084.79999999999</v>
      </c>
      <c r="BB34" s="108">
        <f t="shared" ref="BB34" si="598">(+BA34-+BA33)*48</f>
        <v>211.1999999997206</v>
      </c>
      <c r="BC34" s="86">
        <f>(BC37-BC32)/5+BC33</f>
        <v>210668.2</v>
      </c>
      <c r="BD34" s="108">
        <f t="shared" ref="BD34" si="599">(+BC34-+BC33)*48</f>
        <v>2380.8000000002794</v>
      </c>
      <c r="BE34" s="81">
        <v>5347</v>
      </c>
      <c r="BF34" s="108">
        <f t="shared" ref="BF34" si="600">(+BE34-+BE33)*48</f>
        <v>0</v>
      </c>
      <c r="BH34" s="110">
        <f t="shared" si="1"/>
        <v>132843.83999999944</v>
      </c>
      <c r="BI34" s="110">
        <f t="shared" si="2"/>
        <v>76023.199999998149</v>
      </c>
    </row>
    <row r="35" spans="1:61" s="36" customFormat="1" ht="39.950000000000003" customHeight="1">
      <c r="A35" s="196">
        <v>44223</v>
      </c>
      <c r="B35" s="35"/>
      <c r="C35" s="81">
        <f>(C39-C32)/7+C34</f>
        <v>5800824</v>
      </c>
      <c r="D35" s="108">
        <f t="shared" ref="D35" si="601">(+C35-+C34)*48</f>
        <v>143088</v>
      </c>
      <c r="E35" s="109">
        <f t="shared" si="4"/>
        <v>85852.800000000003</v>
      </c>
      <c r="F35" s="108">
        <f t="shared" si="5"/>
        <v>57235.200000000004</v>
      </c>
      <c r="G35" s="86">
        <f>(G39-G32)/7+G34</f>
        <v>278292.85714285722</v>
      </c>
      <c r="H35" s="108">
        <f t="shared" ref="H35" si="602">(+G35-+G34)*48</f>
        <v>1069.7142857154831</v>
      </c>
      <c r="I35" s="86">
        <f>(I39-I32)/7+I34</f>
        <v>105426</v>
      </c>
      <c r="J35" s="38">
        <f t="shared" ref="J35" si="603">(+I35-+I34)*48</f>
        <v>8496</v>
      </c>
      <c r="K35" s="86">
        <f>(K39-K32)/7+K34</f>
        <v>256703.42857142861</v>
      </c>
      <c r="L35" s="108">
        <f t="shared" si="0"/>
        <v>630.85714285774156</v>
      </c>
      <c r="M35" s="81">
        <v>24470</v>
      </c>
      <c r="N35" s="38">
        <f t="shared" ref="N35" si="604">(+M35-+M34)*48</f>
        <v>0</v>
      </c>
      <c r="O35" s="86">
        <f>(O39-O32)/7+O34</f>
        <v>241068</v>
      </c>
      <c r="P35" s="38">
        <f t="shared" ref="P35" si="605">(+O35-+O34)*48</f>
        <v>8016</v>
      </c>
      <c r="Q35" s="86">
        <f>(Q39-Q32)/7+Q34</f>
        <v>441418.42857142852</v>
      </c>
      <c r="R35" s="108">
        <f t="shared" ref="R35" si="606">(+Q35-+Q34)*48</f>
        <v>4086.8571428563446</v>
      </c>
      <c r="S35" s="86">
        <f>(S39-S32)/7+S34</f>
        <v>709507.57142857148</v>
      </c>
      <c r="T35" s="108">
        <f t="shared" ref="T35" si="607">(+S35-+S34)*48</f>
        <v>6137.1428571436554</v>
      </c>
      <c r="U35" s="86">
        <f>(U39-U32)/7+U34</f>
        <v>97171.231428571424</v>
      </c>
      <c r="V35" s="108">
        <f t="shared" ref="V35" si="608">(+U35-+U34)*48</f>
        <v>1048.1828571427613</v>
      </c>
      <c r="W35" s="86">
        <f>(W39-W32)/7+W34</f>
        <v>79206.14285714287</v>
      </c>
      <c r="X35" s="108">
        <f t="shared" ref="X35" si="609">(+W35-+W34)*48</f>
        <v>418.28571428591385</v>
      </c>
      <c r="Y35" s="86">
        <f>(Y39-Y32)/7+Y34</f>
        <v>1494198.7142857141</v>
      </c>
      <c r="Z35" s="108">
        <f t="shared" ref="Z35" si="610">(+Y35-+Y34)*48</f>
        <v>123.42857142537832</v>
      </c>
      <c r="AA35" s="81">
        <v>13232</v>
      </c>
      <c r="AB35" s="108">
        <f t="shared" ref="AB35" si="611">(+AA35-+AA34)*48</f>
        <v>0</v>
      </c>
      <c r="AC35" s="86">
        <f>(AC39-AC32)/7+AC34</f>
        <v>441646.85714285722</v>
      </c>
      <c r="AD35" s="108">
        <f t="shared" si="16"/>
        <v>5965.7142857154831</v>
      </c>
      <c r="AE35" s="86">
        <f>(AE39-AE32)/7+AE34</f>
        <v>517269.28571428574</v>
      </c>
      <c r="AF35" s="108">
        <f t="shared" si="16"/>
        <v>4004.5714285718277</v>
      </c>
      <c r="AG35" s="86">
        <f>(AG39-AG32)/7+AG34</f>
        <v>49290.142857142848</v>
      </c>
      <c r="AH35" s="108">
        <f t="shared" ref="AH35" si="612">(+AG35-+AG34)*48</f>
        <v>274.28571428556461</v>
      </c>
      <c r="AI35" s="86">
        <f>(AI39-AI32)/7+AI34</f>
        <v>403859.42857142852</v>
      </c>
      <c r="AJ35" s="108">
        <f t="shared" ref="AJ35" si="613">(+AI35-+AI34)*48</f>
        <v>6438.8571428563446</v>
      </c>
      <c r="AK35" s="86">
        <f>(AK39-AK32)/7+AK34</f>
        <v>102416.57142857143</v>
      </c>
      <c r="AL35" s="108">
        <f t="shared" ref="AL35" si="614">(+AK35-+AK34)*48</f>
        <v>281.14285714295693</v>
      </c>
      <c r="AM35" s="86">
        <f>(AM37-AM32)/6+AM34</f>
        <v>563212.99999999988</v>
      </c>
      <c r="AN35" s="108">
        <f t="shared" ref="AN35" si="615">(+AM35-+AM34)*48</f>
        <v>3247.9999999981374</v>
      </c>
      <c r="AO35" s="86">
        <f>(AO36-AO32)/4+AO34</f>
        <v>907457.25</v>
      </c>
      <c r="AP35" s="108">
        <f t="shared" ref="AP35" si="616">(+AO35-+AO34)*48</f>
        <v>9828</v>
      </c>
      <c r="AQ35" s="81">
        <v>74221</v>
      </c>
      <c r="AR35" s="108">
        <f t="shared" ref="AR35" si="617">(+AQ35-+AQ34)*48</f>
        <v>0</v>
      </c>
      <c r="AS35" s="81">
        <v>2253</v>
      </c>
      <c r="AT35" s="108">
        <f t="shared" ref="AT35" si="618">(+AS35-+AS34)*48</f>
        <v>0</v>
      </c>
      <c r="AU35" s="87">
        <v>939</v>
      </c>
      <c r="AV35" s="108">
        <f t="shared" ref="AV35" si="619">(+AU35-+AU34)*48</f>
        <v>0</v>
      </c>
      <c r="AW35" s="87">
        <v>3109</v>
      </c>
      <c r="AX35" s="108">
        <f t="shared" ref="AX35" si="620">(+AW35-+AW34)*48</f>
        <v>0</v>
      </c>
      <c r="AY35" s="86">
        <f>(AY38-AY32)/5+AY34</f>
        <v>307356</v>
      </c>
      <c r="AZ35" s="108">
        <f t="shared" ref="AZ35" si="621">(+AY35-+AY34)*48</f>
        <v>3840</v>
      </c>
      <c r="BA35" s="86">
        <f>(BA38-BA32)/5+BA34</f>
        <v>161089.19999999998</v>
      </c>
      <c r="BB35" s="108">
        <f t="shared" ref="BB35" si="622">(+BA35-+BA34)*48</f>
        <v>211.1999999997206</v>
      </c>
      <c r="BC35" s="86">
        <f>(BC38-BC32)/5+BC34</f>
        <v>210730.2</v>
      </c>
      <c r="BD35" s="108">
        <f t="shared" ref="BD35" si="623">(+BC35-+BC34)*48</f>
        <v>2976</v>
      </c>
      <c r="BE35" s="81">
        <v>5347</v>
      </c>
      <c r="BF35" s="108">
        <f t="shared" ref="BF35" si="624">(+BE35-+BE34)*48</f>
        <v>0</v>
      </c>
      <c r="BH35" s="110">
        <f t="shared" si="1"/>
        <v>132843.83999999944</v>
      </c>
      <c r="BI35" s="110">
        <f t="shared" si="2"/>
        <v>77338.39999999787</v>
      </c>
    </row>
    <row r="36" spans="1:61" s="36" customFormat="1" ht="39.950000000000003" customHeight="1">
      <c r="A36" s="196">
        <v>44224</v>
      </c>
      <c r="B36" s="35"/>
      <c r="C36" s="81">
        <f>(C39-C32)/7+C35</f>
        <v>5803805</v>
      </c>
      <c r="D36" s="108">
        <f t="shared" ref="D36" si="625">(+C36-+C35)*48</f>
        <v>143088</v>
      </c>
      <c r="E36" s="109">
        <f t="shared" si="4"/>
        <v>85852.800000000003</v>
      </c>
      <c r="F36" s="108">
        <f t="shared" si="5"/>
        <v>57235.200000000004</v>
      </c>
      <c r="G36" s="86">
        <f>(G39-G32)/7+G35</f>
        <v>278315.14285714296</v>
      </c>
      <c r="H36" s="108">
        <f t="shared" ref="H36:H39" si="626">(+G36-+G35)*48</f>
        <v>1069.7142857154831</v>
      </c>
      <c r="I36" s="86">
        <f>(I39-I32)/7+I35</f>
        <v>105603</v>
      </c>
      <c r="J36" s="38">
        <f t="shared" ref="J36:J39" si="627">(+I36-+I35)*48</f>
        <v>8496</v>
      </c>
      <c r="K36" s="86">
        <f>(K39-K32)/7+K35</f>
        <v>256716.57142857148</v>
      </c>
      <c r="L36" s="108">
        <f t="shared" si="0"/>
        <v>630.85714285774156</v>
      </c>
      <c r="M36" s="81">
        <v>24470</v>
      </c>
      <c r="N36" s="38">
        <f t="shared" ref="N36:N39" si="628">(+M36-+M35)*48</f>
        <v>0</v>
      </c>
      <c r="O36" s="86">
        <f>(O39-O32)/7+O35</f>
        <v>241235</v>
      </c>
      <c r="P36" s="38">
        <f t="shared" ref="P36:P39" si="629">(+O36-+O35)*48</f>
        <v>8016</v>
      </c>
      <c r="Q36" s="86">
        <f>(Q39-Q32)/7+Q35</f>
        <v>441503.57142857136</v>
      </c>
      <c r="R36" s="108">
        <f t="shared" ref="R36:R39" si="630">(+Q36-+Q35)*48</f>
        <v>4086.8571428563446</v>
      </c>
      <c r="S36" s="86">
        <f>(S39-S32)/7+S35</f>
        <v>709635.42857142864</v>
      </c>
      <c r="T36" s="108">
        <f t="shared" ref="T36:T39" si="631">(+S36-+S35)*48</f>
        <v>6137.1428571436554</v>
      </c>
      <c r="U36" s="86">
        <f>(U39-U32)/7+U35</f>
        <v>97193.068571428565</v>
      </c>
      <c r="V36" s="108">
        <f t="shared" ref="V36:V39" si="632">(+U36-+U35)*48</f>
        <v>1048.1828571427613</v>
      </c>
      <c r="W36" s="86">
        <f>(W39-W32)/7+W35</f>
        <v>79214.857142857159</v>
      </c>
      <c r="X36" s="108">
        <f t="shared" ref="X36:X39" si="633">(+W36-+W35)*48</f>
        <v>418.28571428591385</v>
      </c>
      <c r="Y36" s="86">
        <f>(Y39-Y32)/7+Y35</f>
        <v>1494201.2857142854</v>
      </c>
      <c r="Z36" s="108">
        <f t="shared" ref="Z36:Z39" si="634">(+Y36-+Y35)*48</f>
        <v>123.42857142537832</v>
      </c>
      <c r="AA36" s="81">
        <v>13232</v>
      </c>
      <c r="AB36" s="108">
        <f t="shared" ref="AB36:AB39" si="635">(+AA36-+AA35)*48</f>
        <v>0</v>
      </c>
      <c r="AC36" s="86">
        <f>(AC39-AC32)/7+AC35</f>
        <v>441771.14285714296</v>
      </c>
      <c r="AD36" s="108">
        <f t="shared" si="16"/>
        <v>5965.7142857154831</v>
      </c>
      <c r="AE36" s="86">
        <f>(AE39-AE32)/7+AE35</f>
        <v>517352.71428571432</v>
      </c>
      <c r="AF36" s="108">
        <f t="shared" si="16"/>
        <v>4004.5714285718277</v>
      </c>
      <c r="AG36" s="86">
        <f>(AG39-AG32)/7+AG35</f>
        <v>49295.85714285713</v>
      </c>
      <c r="AH36" s="108">
        <f t="shared" ref="AH36:AH39" si="636">(+AG36-+AG35)*48</f>
        <v>274.28571428556461</v>
      </c>
      <c r="AI36" s="86">
        <f>(AI39-AI32)/7+AI35</f>
        <v>403993.57142857136</v>
      </c>
      <c r="AJ36" s="108">
        <f t="shared" ref="AJ36:AJ39" si="637">(+AI36-+AI35)*48</f>
        <v>6438.8571428563446</v>
      </c>
      <c r="AK36" s="86">
        <f>(AK39-AK32)/7+AK35</f>
        <v>102422.42857142858</v>
      </c>
      <c r="AL36" s="108">
        <f t="shared" ref="AL36:AL39" si="638">(+AK36-+AK35)*48</f>
        <v>281.14285714295693</v>
      </c>
      <c r="AM36" s="86">
        <f>(AM38-AM33)/6+AM35</f>
        <v>563270.88888888876</v>
      </c>
      <c r="AN36" s="108">
        <f t="shared" ref="AN36:AN39" si="639">(+AM36-+AM35)*48</f>
        <v>2778.6666666660458</v>
      </c>
      <c r="AO36" s="86">
        <v>907662</v>
      </c>
      <c r="AP36" s="108">
        <f t="shared" ref="AP36:AP39" si="640">(+AO36-+AO35)*48</f>
        <v>9828</v>
      </c>
      <c r="AQ36" s="81">
        <v>74221</v>
      </c>
      <c r="AR36" s="108">
        <f t="shared" ref="AR36:AR39" si="641">(+AQ36-+AQ35)*48</f>
        <v>0</v>
      </c>
      <c r="AS36" s="81">
        <v>2253</v>
      </c>
      <c r="AT36" s="108">
        <f t="shared" ref="AT36:AT39" si="642">(+AS36-+AS35)*48</f>
        <v>0</v>
      </c>
      <c r="AU36" s="87">
        <v>939</v>
      </c>
      <c r="AV36" s="108">
        <f t="shared" ref="AV36:AV39" si="643">(+AU36-+AU35)*48</f>
        <v>0</v>
      </c>
      <c r="AW36" s="87">
        <v>3109</v>
      </c>
      <c r="AX36" s="108">
        <f t="shared" ref="AX36:AX39" si="644">(+AW36-+AW35)*48</f>
        <v>0</v>
      </c>
      <c r="AY36" s="86">
        <f>(AY37-AY32)/5+AY35</f>
        <v>307421</v>
      </c>
      <c r="AZ36" s="108">
        <f t="shared" ref="AZ36:AZ39" si="645">(+AY36-+AY35)*48</f>
        <v>3120</v>
      </c>
      <c r="BA36" s="86">
        <f>(BA37-BA32)/5+BA35</f>
        <v>161093.59999999998</v>
      </c>
      <c r="BB36" s="108">
        <f t="shared" ref="BB36:BB39" si="646">(+BA36-+BA35)*48</f>
        <v>211.1999999997206</v>
      </c>
      <c r="BC36" s="86">
        <f>(BC39-BC33)/5+BC35</f>
        <v>210793.88</v>
      </c>
      <c r="BD36" s="108">
        <f t="shared" ref="BD36:BD39" si="647">(+BC36-+BC35)*48</f>
        <v>3056.6399999996647</v>
      </c>
      <c r="BE36" s="81">
        <v>5347</v>
      </c>
      <c r="BF36" s="108">
        <f t="shared" ref="BF36:BF39" si="648">(+BE36-+BE35)*48</f>
        <v>0</v>
      </c>
      <c r="BH36" s="110">
        <f t="shared" si="1"/>
        <v>132843.83999999944</v>
      </c>
      <c r="BI36" s="110">
        <f t="shared" si="2"/>
        <v>76229.706666665443</v>
      </c>
    </row>
    <row r="37" spans="1:61" s="36" customFormat="1" ht="39.950000000000003" customHeight="1">
      <c r="A37" s="196">
        <v>44225</v>
      </c>
      <c r="B37" s="35"/>
      <c r="C37" s="81">
        <f>(C39-C32)/7+C36</f>
        <v>5806786</v>
      </c>
      <c r="D37" s="108">
        <f t="shared" ref="D37:D39" si="649">(+C37-+C36)*48</f>
        <v>143088</v>
      </c>
      <c r="E37" s="109">
        <f t="shared" ref="E37:E39" si="650">D37*0.6</f>
        <v>85852.800000000003</v>
      </c>
      <c r="F37" s="108">
        <f t="shared" ref="F37:F39" si="651">D37*0.4</f>
        <v>57235.200000000004</v>
      </c>
      <c r="G37" s="86">
        <f>(G39-G32)/7+G36</f>
        <v>278337.4285714287</v>
      </c>
      <c r="H37" s="108">
        <f t="shared" si="626"/>
        <v>1069.7142857154831</v>
      </c>
      <c r="I37" s="86">
        <f>(I39-I32)/7+I36</f>
        <v>105780</v>
      </c>
      <c r="J37" s="38">
        <f t="shared" si="627"/>
        <v>8496</v>
      </c>
      <c r="K37" s="86">
        <f>(K39-K32)/7+K36</f>
        <v>256729.71428571435</v>
      </c>
      <c r="L37" s="108">
        <f t="shared" si="0"/>
        <v>630.85714285774156</v>
      </c>
      <c r="M37" s="81">
        <v>24470</v>
      </c>
      <c r="N37" s="38">
        <f t="shared" si="628"/>
        <v>0</v>
      </c>
      <c r="O37" s="86">
        <f>(O39-O32)/7+O36</f>
        <v>241402</v>
      </c>
      <c r="P37" s="38">
        <f t="shared" si="629"/>
        <v>8016</v>
      </c>
      <c r="Q37" s="86">
        <f>(Q39-Q32)/7+Q36</f>
        <v>441588.7142857142</v>
      </c>
      <c r="R37" s="108">
        <f t="shared" si="630"/>
        <v>4086.8571428563446</v>
      </c>
      <c r="S37" s="86">
        <f>(S39-S32)/7+S36</f>
        <v>709763.2857142858</v>
      </c>
      <c r="T37" s="108">
        <f t="shared" si="631"/>
        <v>6137.1428571436554</v>
      </c>
      <c r="U37" s="86">
        <f>(U39-U32)/7+U36</f>
        <v>97214.905714285705</v>
      </c>
      <c r="V37" s="108">
        <f t="shared" si="632"/>
        <v>1048.1828571427613</v>
      </c>
      <c r="W37" s="86">
        <f>(W39-W32)/7+W36</f>
        <v>79223.571428571449</v>
      </c>
      <c r="X37" s="108">
        <f t="shared" si="633"/>
        <v>418.28571428591385</v>
      </c>
      <c r="Y37" s="86">
        <f>(Y39-Y32)/7+Y36</f>
        <v>1494203.8571428568</v>
      </c>
      <c r="Z37" s="108">
        <f t="shared" si="634"/>
        <v>123.42857142537832</v>
      </c>
      <c r="AA37" s="81">
        <v>13232</v>
      </c>
      <c r="AB37" s="108">
        <f t="shared" si="635"/>
        <v>0</v>
      </c>
      <c r="AC37" s="86">
        <f>(AC39-AC32)/7+AC36</f>
        <v>441895.4285714287</v>
      </c>
      <c r="AD37" s="108">
        <f t="shared" si="16"/>
        <v>5965.7142857154831</v>
      </c>
      <c r="AE37" s="86">
        <f>(AE39-AE32)/7+AE36</f>
        <v>517436.1428571429</v>
      </c>
      <c r="AF37" s="108">
        <f t="shared" si="16"/>
        <v>4004.5714285718277</v>
      </c>
      <c r="AG37" s="86">
        <f>(AG39-AG32)/7+AG36</f>
        <v>49301.571428571413</v>
      </c>
      <c r="AH37" s="108">
        <f t="shared" si="636"/>
        <v>274.28571428556461</v>
      </c>
      <c r="AI37" s="86">
        <f>(AI39-AI32)/7+AI36</f>
        <v>404127.7142857142</v>
      </c>
      <c r="AJ37" s="108">
        <f t="shared" si="637"/>
        <v>6438.8571428563446</v>
      </c>
      <c r="AK37" s="86">
        <f>(AK39-AK32)/7+AK36</f>
        <v>102428.28571428572</v>
      </c>
      <c r="AL37" s="108">
        <f t="shared" si="638"/>
        <v>281.14285714295693</v>
      </c>
      <c r="AM37" s="86">
        <v>563416</v>
      </c>
      <c r="AN37" s="108">
        <f t="shared" si="639"/>
        <v>6965.3333333395422</v>
      </c>
      <c r="AO37" s="86">
        <v>907699</v>
      </c>
      <c r="AP37" s="108">
        <f t="shared" si="640"/>
        <v>1776</v>
      </c>
      <c r="AQ37" s="81">
        <v>74221</v>
      </c>
      <c r="AR37" s="108">
        <f t="shared" si="641"/>
        <v>0</v>
      </c>
      <c r="AS37" s="81">
        <v>2253</v>
      </c>
      <c r="AT37" s="108">
        <f t="shared" si="642"/>
        <v>0</v>
      </c>
      <c r="AU37" s="87">
        <v>939</v>
      </c>
      <c r="AV37" s="108">
        <f t="shared" si="643"/>
        <v>0</v>
      </c>
      <c r="AW37" s="87">
        <v>3109</v>
      </c>
      <c r="AX37" s="108">
        <f t="shared" si="644"/>
        <v>0</v>
      </c>
      <c r="AY37" s="86">
        <v>307471</v>
      </c>
      <c r="AZ37" s="108">
        <f t="shared" si="645"/>
        <v>2400</v>
      </c>
      <c r="BA37" s="86">
        <v>161098</v>
      </c>
      <c r="BB37" s="108">
        <f t="shared" si="646"/>
        <v>211.20000000111759</v>
      </c>
      <c r="BC37" s="86">
        <v>210817</v>
      </c>
      <c r="BD37" s="108">
        <f t="shared" si="647"/>
        <v>1109.7599999997765</v>
      </c>
      <c r="BE37" s="81">
        <v>5347</v>
      </c>
      <c r="BF37" s="108">
        <f t="shared" si="648"/>
        <v>0</v>
      </c>
      <c r="BH37" s="110">
        <f t="shared" ref="BH37:BH39" si="652">SUM(E37,J37,P37,H37,L37,R37,T37,V37,X37,N37,AB37,Z37,AD37,AF37,AH37,AL37,AJ37)</f>
        <v>132843.83999999944</v>
      </c>
      <c r="BI37" s="110">
        <f t="shared" ref="BI37:BI39" si="653">SUM(F37,AN37,AP37,AT37,AV37,AX37,AR37,AZ37,BB37,BD37,BF37)</f>
        <v>69697.493333340448</v>
      </c>
    </row>
    <row r="38" spans="1:61" s="36" customFormat="1" ht="39.950000000000003" customHeight="1">
      <c r="A38" s="196">
        <v>44226</v>
      </c>
      <c r="B38" s="35"/>
      <c r="C38" s="81">
        <f>(C39-C32)/7+C37</f>
        <v>5809767</v>
      </c>
      <c r="D38" s="108">
        <f t="shared" si="649"/>
        <v>143088</v>
      </c>
      <c r="E38" s="109">
        <f t="shared" si="650"/>
        <v>85852.800000000003</v>
      </c>
      <c r="F38" s="108">
        <f t="shared" si="651"/>
        <v>57235.200000000004</v>
      </c>
      <c r="G38" s="86">
        <f>(G39-G32)/7+G37</f>
        <v>278359.71428571444</v>
      </c>
      <c r="H38" s="108">
        <f t="shared" si="626"/>
        <v>1069.7142857154831</v>
      </c>
      <c r="I38" s="86">
        <f>(I39-I32)/7+I37</f>
        <v>105957</v>
      </c>
      <c r="J38" s="38">
        <f t="shared" si="627"/>
        <v>8496</v>
      </c>
      <c r="K38" s="86">
        <f>(K39-K32)/7+K37</f>
        <v>256742.85714285722</v>
      </c>
      <c r="L38" s="108">
        <f t="shared" si="0"/>
        <v>630.85714285774156</v>
      </c>
      <c r="M38" s="81">
        <v>24470</v>
      </c>
      <c r="N38" s="38">
        <f t="shared" si="628"/>
        <v>0</v>
      </c>
      <c r="O38" s="86">
        <f>(O39-O32)/7+O37</f>
        <v>241569</v>
      </c>
      <c r="P38" s="38">
        <f t="shared" si="629"/>
        <v>8016</v>
      </c>
      <c r="Q38" s="86">
        <f>(Q39-Q32)/7+Q37</f>
        <v>441673.85714285704</v>
      </c>
      <c r="R38" s="108">
        <f t="shared" si="630"/>
        <v>4086.8571428563446</v>
      </c>
      <c r="S38" s="86">
        <f>(S39-S32)/7+S37</f>
        <v>709891.14285714296</v>
      </c>
      <c r="T38" s="108">
        <f t="shared" si="631"/>
        <v>6137.1428571436554</v>
      </c>
      <c r="U38" s="86">
        <f>(U39-U32)/7+U37</f>
        <v>97236.742857142846</v>
      </c>
      <c r="V38" s="108">
        <f t="shared" si="632"/>
        <v>1048.1828571427613</v>
      </c>
      <c r="W38" s="86">
        <f>(W39-W32)/7+W37</f>
        <v>79232.285714285739</v>
      </c>
      <c r="X38" s="108">
        <f t="shared" si="633"/>
        <v>418.28571428591385</v>
      </c>
      <c r="Y38" s="86">
        <f>(Y39-Y32)/7+Y37</f>
        <v>1494206.4285714282</v>
      </c>
      <c r="Z38" s="108">
        <f t="shared" si="634"/>
        <v>123.42857142537832</v>
      </c>
      <c r="AA38" s="81">
        <v>13232</v>
      </c>
      <c r="AB38" s="108">
        <f t="shared" si="635"/>
        <v>0</v>
      </c>
      <c r="AC38" s="86">
        <f>(AC39-AC32)/7+AC37</f>
        <v>442019.71428571444</v>
      </c>
      <c r="AD38" s="108">
        <f t="shared" ref="AD38:AD39" si="654">(+AC38-+AC37)*48</f>
        <v>5965.7142857154831</v>
      </c>
      <c r="AE38" s="86">
        <f>(AE39-AE32)/7+AE37</f>
        <v>517519.57142857148</v>
      </c>
      <c r="AF38" s="108">
        <f t="shared" ref="AF38:AF39" si="655">(+AE38-+AE37)*48</f>
        <v>4004.5714285718277</v>
      </c>
      <c r="AG38" s="86">
        <f>(AG39-AG32)/7+AG37</f>
        <v>49307.285714285696</v>
      </c>
      <c r="AH38" s="108">
        <f t="shared" si="636"/>
        <v>274.28571428556461</v>
      </c>
      <c r="AI38" s="86">
        <f>(AI39-AI32)/7+AI37</f>
        <v>404261.85714285704</v>
      </c>
      <c r="AJ38" s="108">
        <f t="shared" si="637"/>
        <v>6438.8571428563446</v>
      </c>
      <c r="AK38" s="86">
        <f>(AK39-AK32)/7+AK37</f>
        <v>102434.14285714287</v>
      </c>
      <c r="AL38" s="108">
        <f t="shared" si="638"/>
        <v>281.14285714295693</v>
      </c>
      <c r="AM38" s="86">
        <v>563425</v>
      </c>
      <c r="AN38" s="108">
        <f t="shared" si="639"/>
        <v>432</v>
      </c>
      <c r="AO38" s="86">
        <v>907797</v>
      </c>
      <c r="AP38" s="108">
        <f t="shared" si="640"/>
        <v>4704</v>
      </c>
      <c r="AQ38" s="81">
        <v>74221</v>
      </c>
      <c r="AR38" s="108">
        <f t="shared" si="641"/>
        <v>0</v>
      </c>
      <c r="AS38" s="81">
        <v>2253</v>
      </c>
      <c r="AT38" s="108">
        <f t="shared" si="642"/>
        <v>0</v>
      </c>
      <c r="AU38" s="87">
        <v>939</v>
      </c>
      <c r="AV38" s="108">
        <f t="shared" si="643"/>
        <v>0</v>
      </c>
      <c r="AW38" s="87">
        <v>3109</v>
      </c>
      <c r="AX38" s="108">
        <f t="shared" si="644"/>
        <v>0</v>
      </c>
      <c r="AY38" s="86">
        <v>307546</v>
      </c>
      <c r="AZ38" s="108">
        <f t="shared" si="645"/>
        <v>3600</v>
      </c>
      <c r="BA38" s="86">
        <v>161098</v>
      </c>
      <c r="BB38" s="108">
        <f t="shared" si="646"/>
        <v>0</v>
      </c>
      <c r="BC38" s="86">
        <v>210879</v>
      </c>
      <c r="BD38" s="108">
        <f t="shared" si="647"/>
        <v>2976</v>
      </c>
      <c r="BE38" s="81">
        <v>5347</v>
      </c>
      <c r="BF38" s="108">
        <f t="shared" si="648"/>
        <v>0</v>
      </c>
      <c r="BH38" s="110">
        <f t="shared" si="652"/>
        <v>132843.83999999944</v>
      </c>
      <c r="BI38" s="110">
        <f t="shared" si="653"/>
        <v>68947.200000000012</v>
      </c>
    </row>
    <row r="39" spans="1:61" s="36" customFormat="1" ht="39.950000000000003" customHeight="1">
      <c r="A39" s="196">
        <v>44227</v>
      </c>
      <c r="B39" s="35"/>
      <c r="C39" s="80">
        <v>5812748</v>
      </c>
      <c r="D39" s="108">
        <f t="shared" si="649"/>
        <v>143088</v>
      </c>
      <c r="E39" s="109">
        <f t="shared" si="650"/>
        <v>85852.800000000003</v>
      </c>
      <c r="F39" s="108">
        <f t="shared" si="651"/>
        <v>57235.200000000004</v>
      </c>
      <c r="G39" s="80">
        <v>278382</v>
      </c>
      <c r="H39" s="108">
        <f t="shared" si="626"/>
        <v>1069.7142857071012</v>
      </c>
      <c r="I39" s="80">
        <v>106134</v>
      </c>
      <c r="J39" s="38">
        <f t="shared" si="627"/>
        <v>8496</v>
      </c>
      <c r="K39" s="80">
        <v>256756</v>
      </c>
      <c r="L39" s="108">
        <f t="shared" si="0"/>
        <v>630.85714285355061</v>
      </c>
      <c r="M39" s="81">
        <v>24470</v>
      </c>
      <c r="N39" s="38">
        <f t="shared" si="628"/>
        <v>0</v>
      </c>
      <c r="O39" s="80">
        <v>241736</v>
      </c>
      <c r="P39" s="38">
        <f t="shared" si="629"/>
        <v>8016</v>
      </c>
      <c r="Q39" s="80">
        <v>441759</v>
      </c>
      <c r="R39" s="108">
        <f t="shared" si="630"/>
        <v>4086.8571428619325</v>
      </c>
      <c r="S39" s="80">
        <v>710019</v>
      </c>
      <c r="T39" s="108">
        <f t="shared" si="631"/>
        <v>6137.1428571380675</v>
      </c>
      <c r="U39" s="87">
        <v>97258.58</v>
      </c>
      <c r="V39" s="108">
        <f t="shared" si="632"/>
        <v>1048.1828571434598</v>
      </c>
      <c r="W39" s="80">
        <v>79241</v>
      </c>
      <c r="X39" s="108">
        <f t="shared" si="633"/>
        <v>418.28571428451687</v>
      </c>
      <c r="Y39" s="87">
        <v>1494209</v>
      </c>
      <c r="Z39" s="108">
        <f t="shared" si="634"/>
        <v>123.42857144773006</v>
      </c>
      <c r="AA39" s="81">
        <v>13232</v>
      </c>
      <c r="AB39" s="108">
        <f t="shared" si="635"/>
        <v>0</v>
      </c>
      <c r="AC39" s="87">
        <v>442144</v>
      </c>
      <c r="AD39" s="108">
        <f t="shared" si="654"/>
        <v>5965.7142857071012</v>
      </c>
      <c r="AE39" s="87">
        <v>517603</v>
      </c>
      <c r="AF39" s="108">
        <f t="shared" si="655"/>
        <v>4004.5714285690337</v>
      </c>
      <c r="AG39" s="87">
        <v>49313</v>
      </c>
      <c r="AH39" s="108">
        <f t="shared" si="636"/>
        <v>274.28571428661235</v>
      </c>
      <c r="AI39" s="80">
        <v>404396</v>
      </c>
      <c r="AJ39" s="108">
        <f t="shared" si="637"/>
        <v>6438.8571428619325</v>
      </c>
      <c r="AK39" s="86">
        <v>102440</v>
      </c>
      <c r="AL39" s="108">
        <f t="shared" si="638"/>
        <v>281.14285714225844</v>
      </c>
      <c r="AM39" s="80">
        <v>563452</v>
      </c>
      <c r="AN39" s="108">
        <f t="shared" si="639"/>
        <v>1296</v>
      </c>
      <c r="AO39" s="80">
        <v>907848</v>
      </c>
      <c r="AP39" s="108">
        <f t="shared" si="640"/>
        <v>2448</v>
      </c>
      <c r="AQ39" s="81">
        <v>74221</v>
      </c>
      <c r="AR39" s="108">
        <f t="shared" si="641"/>
        <v>0</v>
      </c>
      <c r="AS39" s="81">
        <v>2253</v>
      </c>
      <c r="AT39" s="108">
        <f t="shared" si="642"/>
        <v>0</v>
      </c>
      <c r="AU39" s="80">
        <v>939</v>
      </c>
      <c r="AV39" s="108">
        <f t="shared" si="643"/>
        <v>0</v>
      </c>
      <c r="AW39" s="80">
        <v>3109</v>
      </c>
      <c r="AX39" s="108">
        <f t="shared" si="644"/>
        <v>0</v>
      </c>
      <c r="AY39" s="80">
        <v>307626</v>
      </c>
      <c r="AZ39" s="108">
        <f t="shared" si="645"/>
        <v>3840</v>
      </c>
      <c r="BA39" s="80">
        <v>161098</v>
      </c>
      <c r="BB39" s="108">
        <f t="shared" si="646"/>
        <v>0</v>
      </c>
      <c r="BC39" s="80">
        <v>210937</v>
      </c>
      <c r="BD39" s="108">
        <f t="shared" si="647"/>
        <v>2784</v>
      </c>
      <c r="BE39" s="81">
        <v>5347</v>
      </c>
      <c r="BF39" s="108">
        <f t="shared" si="648"/>
        <v>0</v>
      </c>
      <c r="BH39" s="110">
        <f t="shared" si="652"/>
        <v>132843.84000000329</v>
      </c>
      <c r="BI39" s="110">
        <f t="shared" si="653"/>
        <v>67603.200000000012</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3" t="s">
        <v>197</v>
      </c>
      <c r="C1" s="263"/>
      <c r="D1" s="263" t="s">
        <v>197</v>
      </c>
      <c r="E1" s="263"/>
      <c r="F1" s="263" t="s">
        <v>197</v>
      </c>
      <c r="G1" s="263"/>
      <c r="H1" s="263" t="s">
        <v>198</v>
      </c>
      <c r="I1" s="263"/>
      <c r="J1" s="262"/>
      <c r="K1" s="262"/>
      <c r="L1" s="263" t="s">
        <v>199</v>
      </c>
      <c r="M1" s="263"/>
      <c r="N1" s="263" t="s">
        <v>199</v>
      </c>
      <c r="O1" s="263"/>
      <c r="P1" s="263" t="s">
        <v>199</v>
      </c>
      <c r="Q1" s="263"/>
      <c r="R1" s="263" t="s">
        <v>199</v>
      </c>
      <c r="S1" s="263"/>
      <c r="T1" s="263" t="s">
        <v>200</v>
      </c>
      <c r="U1" s="263"/>
      <c r="V1" s="267" t="s">
        <v>200</v>
      </c>
      <c r="W1" s="267"/>
      <c r="X1" s="263" t="s">
        <v>200</v>
      </c>
      <c r="Y1" s="263"/>
      <c r="Z1" s="263" t="s">
        <v>200</v>
      </c>
      <c r="AA1" s="263"/>
      <c r="AB1" s="262"/>
      <c r="AC1" s="262"/>
      <c r="AD1" s="263" t="s">
        <v>200</v>
      </c>
      <c r="AE1" s="263"/>
      <c r="AF1" s="263" t="s">
        <v>200</v>
      </c>
      <c r="AG1" s="263"/>
      <c r="AH1" s="263" t="s">
        <v>201</v>
      </c>
      <c r="AI1" s="263"/>
      <c r="AJ1" s="263" t="s">
        <v>201</v>
      </c>
      <c r="AK1" s="263"/>
      <c r="AL1" s="266" t="s">
        <v>201</v>
      </c>
      <c r="AM1" s="266"/>
      <c r="AN1" s="263" t="s">
        <v>201</v>
      </c>
      <c r="AO1" s="263"/>
      <c r="AP1" s="262" t="s">
        <v>201</v>
      </c>
      <c r="AQ1" s="262"/>
      <c r="AR1" s="266" t="s">
        <v>201</v>
      </c>
      <c r="AS1" s="266"/>
      <c r="AT1" s="263" t="s">
        <v>201</v>
      </c>
      <c r="AU1" s="263"/>
      <c r="AV1" s="262"/>
      <c r="AW1" s="262"/>
      <c r="AX1" s="263" t="s">
        <v>201</v>
      </c>
      <c r="AY1" s="263"/>
      <c r="AZ1" s="263" t="s">
        <v>201</v>
      </c>
      <c r="BA1" s="263"/>
      <c r="BB1" s="263" t="s">
        <v>201</v>
      </c>
      <c r="BC1" s="263"/>
      <c r="BD1" s="263" t="s">
        <v>202</v>
      </c>
      <c r="BE1" s="263"/>
      <c r="BF1" s="263" t="s">
        <v>202</v>
      </c>
      <c r="BG1" s="263"/>
      <c r="BH1" s="263" t="s">
        <v>202</v>
      </c>
      <c r="BI1" s="263"/>
      <c r="BJ1" s="263" t="s">
        <v>202</v>
      </c>
      <c r="BK1" s="263"/>
      <c r="BL1" s="263" t="s">
        <v>202</v>
      </c>
      <c r="BM1" s="263"/>
      <c r="BN1" s="263" t="s">
        <v>202</v>
      </c>
      <c r="BO1" s="263"/>
      <c r="BP1" s="263" t="s">
        <v>202</v>
      </c>
      <c r="BQ1" s="263"/>
      <c r="BR1" s="263" t="s">
        <v>202</v>
      </c>
      <c r="BS1" s="263"/>
      <c r="BT1" s="263" t="s">
        <v>202</v>
      </c>
      <c r="BU1" s="263"/>
      <c r="BV1" s="263" t="s">
        <v>202</v>
      </c>
      <c r="BW1" s="263"/>
      <c r="BX1" s="263" t="s">
        <v>202</v>
      </c>
      <c r="BY1" s="263"/>
      <c r="BZ1" s="263" t="s">
        <v>203</v>
      </c>
      <c r="CA1" s="263"/>
      <c r="CB1" s="267" t="s">
        <v>203</v>
      </c>
      <c r="CC1" s="267"/>
      <c r="CD1" s="263" t="s">
        <v>203</v>
      </c>
      <c r="CE1" s="263"/>
      <c r="CF1" s="263" t="s">
        <v>203</v>
      </c>
      <c r="CG1" s="263"/>
      <c r="CH1" s="263" t="s">
        <v>204</v>
      </c>
      <c r="CI1" s="263"/>
      <c r="CJ1" s="263" t="s">
        <v>204</v>
      </c>
      <c r="CK1" s="263"/>
      <c r="CL1" s="263" t="s">
        <v>204</v>
      </c>
      <c r="CM1" s="263"/>
      <c r="CN1" s="263" t="s">
        <v>205</v>
      </c>
      <c r="CO1" s="263"/>
      <c r="CP1" s="263" t="s">
        <v>205</v>
      </c>
      <c r="CQ1" s="263"/>
      <c r="CR1" s="267" t="s">
        <v>205</v>
      </c>
      <c r="CS1" s="267"/>
      <c r="CT1" s="263" t="s">
        <v>205</v>
      </c>
      <c r="CU1" s="263"/>
      <c r="CV1" s="263" t="s">
        <v>205</v>
      </c>
      <c r="CW1" s="263"/>
      <c r="CX1" s="263" t="s">
        <v>205</v>
      </c>
      <c r="CY1" s="263"/>
      <c r="CZ1" s="263" t="s">
        <v>205</v>
      </c>
      <c r="DA1" s="263"/>
      <c r="DB1" s="263" t="s">
        <v>205</v>
      </c>
      <c r="DC1" s="263"/>
      <c r="DD1" s="263" t="s">
        <v>205</v>
      </c>
      <c r="DE1" s="263"/>
      <c r="DF1" s="263" t="s">
        <v>205</v>
      </c>
      <c r="DG1" s="263"/>
      <c r="DH1" s="263" t="s">
        <v>205</v>
      </c>
      <c r="DI1" s="263"/>
      <c r="DJ1" s="262" t="s">
        <v>205</v>
      </c>
      <c r="DK1" s="262"/>
      <c r="DL1" s="263" t="s">
        <v>206</v>
      </c>
      <c r="DM1" s="263"/>
      <c r="DN1" s="263" t="s">
        <v>206</v>
      </c>
      <c r="DO1" s="263"/>
      <c r="DP1" s="263" t="s">
        <v>206</v>
      </c>
      <c r="DQ1" s="263"/>
      <c r="DR1" s="263" t="s">
        <v>206</v>
      </c>
      <c r="DS1" s="263"/>
      <c r="DT1" s="263" t="s">
        <v>206</v>
      </c>
      <c r="DU1" s="263"/>
      <c r="DV1" s="263" t="s">
        <v>206</v>
      </c>
      <c r="DW1" s="263"/>
      <c r="DX1" s="263" t="s">
        <v>207</v>
      </c>
      <c r="DY1" s="263"/>
      <c r="DZ1" s="263" t="s">
        <v>207</v>
      </c>
      <c r="EA1" s="263"/>
      <c r="EB1" s="263" t="s">
        <v>207</v>
      </c>
      <c r="EC1" s="263"/>
      <c r="ED1" s="263" t="s">
        <v>207</v>
      </c>
      <c r="EE1" s="263"/>
      <c r="EF1" s="263" t="s">
        <v>207</v>
      </c>
      <c r="EG1" s="263"/>
      <c r="EH1" s="263" t="s">
        <v>207</v>
      </c>
      <c r="EI1" s="263"/>
      <c r="EJ1" s="263" t="s">
        <v>207</v>
      </c>
      <c r="EK1" s="263"/>
      <c r="EL1" s="263" t="s">
        <v>208</v>
      </c>
      <c r="EM1" s="263"/>
      <c r="EN1" s="263" t="s">
        <v>208</v>
      </c>
      <c r="EO1" s="263"/>
      <c r="EP1" s="263" t="s">
        <v>208</v>
      </c>
      <c r="EQ1" s="263"/>
      <c r="ER1" s="263" t="s">
        <v>209</v>
      </c>
      <c r="ES1" s="263"/>
      <c r="ET1" s="263" t="s">
        <v>209</v>
      </c>
      <c r="EU1" s="263"/>
      <c r="EV1" s="263" t="s">
        <v>209</v>
      </c>
      <c r="EW1" s="263"/>
      <c r="EX1" s="263" t="s">
        <v>210</v>
      </c>
      <c r="EY1" s="263"/>
      <c r="EZ1" s="263" t="s">
        <v>211</v>
      </c>
      <c r="FA1" s="263"/>
      <c r="FB1" s="263" t="s">
        <v>211</v>
      </c>
      <c r="FC1" s="263"/>
      <c r="FD1" s="263" t="s">
        <v>211</v>
      </c>
      <c r="FE1" s="263"/>
      <c r="FF1" s="263" t="s">
        <v>212</v>
      </c>
      <c r="FG1" s="263"/>
      <c r="FH1" s="263" t="s">
        <v>212</v>
      </c>
      <c r="FI1" s="263"/>
      <c r="FJ1" s="263" t="s">
        <v>212</v>
      </c>
      <c r="FK1" s="263"/>
      <c r="FL1" s="262" t="s">
        <v>212</v>
      </c>
      <c r="FM1" s="262"/>
    </row>
    <row r="2" spans="1:169" s="24" customFormat="1" ht="49.5" customHeight="1">
      <c r="B2" s="263" t="s">
        <v>213</v>
      </c>
      <c r="C2" s="263"/>
      <c r="D2" s="263" t="s">
        <v>214</v>
      </c>
      <c r="E2" s="263"/>
      <c r="F2" s="263" t="s">
        <v>213</v>
      </c>
      <c r="G2" s="263"/>
      <c r="H2" s="263" t="s">
        <v>214</v>
      </c>
      <c r="I2" s="263"/>
      <c r="J2" s="263" t="s">
        <v>214</v>
      </c>
      <c r="K2" s="263"/>
      <c r="L2" s="263" t="s">
        <v>213</v>
      </c>
      <c r="M2" s="263"/>
      <c r="N2" s="263" t="s">
        <v>213</v>
      </c>
      <c r="O2" s="263"/>
      <c r="P2" s="263" t="s">
        <v>214</v>
      </c>
      <c r="Q2" s="263"/>
      <c r="R2" s="263" t="s">
        <v>214</v>
      </c>
      <c r="S2" s="263"/>
      <c r="T2" s="263" t="s">
        <v>213</v>
      </c>
      <c r="U2" s="263"/>
      <c r="V2" s="263" t="s">
        <v>214</v>
      </c>
      <c r="W2" s="263"/>
      <c r="X2" s="263" t="s">
        <v>214</v>
      </c>
      <c r="Y2" s="263"/>
      <c r="Z2" s="263" t="s">
        <v>214</v>
      </c>
      <c r="AA2" s="263"/>
      <c r="AB2" s="262" t="s">
        <v>214</v>
      </c>
      <c r="AC2" s="262"/>
      <c r="AD2" s="263" t="s">
        <v>213</v>
      </c>
      <c r="AE2" s="263"/>
      <c r="AF2" s="263" t="s">
        <v>214</v>
      </c>
      <c r="AG2" s="263"/>
      <c r="AH2" s="263" t="s">
        <v>214</v>
      </c>
      <c r="AI2" s="263"/>
      <c r="AJ2" s="263" t="s">
        <v>214</v>
      </c>
      <c r="AK2" s="263"/>
      <c r="AL2" s="263" t="s">
        <v>214</v>
      </c>
      <c r="AM2" s="263"/>
      <c r="AN2" s="263" t="s">
        <v>214</v>
      </c>
      <c r="AO2" s="263"/>
      <c r="AP2" s="262" t="s">
        <v>214</v>
      </c>
      <c r="AQ2" s="262"/>
      <c r="AR2" s="263" t="s">
        <v>214</v>
      </c>
      <c r="AS2" s="263"/>
      <c r="AT2" s="263" t="s">
        <v>214</v>
      </c>
      <c r="AU2" s="263"/>
      <c r="AV2" s="262" t="s">
        <v>214</v>
      </c>
      <c r="AW2" s="262"/>
      <c r="AX2" s="263" t="s">
        <v>214</v>
      </c>
      <c r="AY2" s="263"/>
      <c r="AZ2" s="263" t="s">
        <v>214</v>
      </c>
      <c r="BA2" s="263"/>
      <c r="BB2" s="263" t="s">
        <v>214</v>
      </c>
      <c r="BC2" s="263"/>
      <c r="BD2" s="263" t="s">
        <v>213</v>
      </c>
      <c r="BE2" s="263"/>
      <c r="BF2" s="263" t="s">
        <v>215</v>
      </c>
      <c r="BG2" s="263"/>
      <c r="BH2" s="263" t="s">
        <v>214</v>
      </c>
      <c r="BI2" s="263"/>
      <c r="BJ2" s="263" t="s">
        <v>214</v>
      </c>
      <c r="BK2" s="263"/>
      <c r="BL2" s="263" t="s">
        <v>214</v>
      </c>
      <c r="BM2" s="263"/>
      <c r="BN2" s="263" t="s">
        <v>214</v>
      </c>
      <c r="BO2" s="263"/>
      <c r="BP2" s="263" t="s">
        <v>214</v>
      </c>
      <c r="BQ2" s="263"/>
      <c r="BR2" s="263" t="s">
        <v>214</v>
      </c>
      <c r="BS2" s="263"/>
      <c r="BT2" s="263" t="s">
        <v>214</v>
      </c>
      <c r="BU2" s="263"/>
      <c r="BV2" s="263" t="s">
        <v>214</v>
      </c>
      <c r="BW2" s="263"/>
      <c r="BX2" s="263" t="s">
        <v>214</v>
      </c>
      <c r="BY2" s="263"/>
      <c r="BZ2" s="263" t="s">
        <v>213</v>
      </c>
      <c r="CA2" s="263"/>
      <c r="CB2" s="263" t="s">
        <v>213</v>
      </c>
      <c r="CC2" s="263"/>
      <c r="CD2" s="263" t="s">
        <v>213</v>
      </c>
      <c r="CE2" s="263"/>
      <c r="CF2" s="263" t="s">
        <v>213</v>
      </c>
      <c r="CG2" s="263"/>
      <c r="CH2" s="263" t="s">
        <v>214</v>
      </c>
      <c r="CI2" s="263"/>
      <c r="CJ2" s="263" t="s">
        <v>214</v>
      </c>
      <c r="CK2" s="263"/>
      <c r="CL2" s="263" t="s">
        <v>214</v>
      </c>
      <c r="CM2" s="263"/>
      <c r="CN2" s="263" t="s">
        <v>213</v>
      </c>
      <c r="CO2" s="263"/>
      <c r="CP2" s="263" t="s">
        <v>214</v>
      </c>
      <c r="CQ2" s="263"/>
      <c r="CR2" s="263" t="s">
        <v>214</v>
      </c>
      <c r="CS2" s="263"/>
      <c r="CT2" s="263" t="s">
        <v>214</v>
      </c>
      <c r="CU2" s="263"/>
      <c r="CV2" s="263" t="s">
        <v>214</v>
      </c>
      <c r="CW2" s="263"/>
      <c r="CX2" s="263" t="s">
        <v>214</v>
      </c>
      <c r="CY2" s="263"/>
      <c r="CZ2" s="263" t="s">
        <v>214</v>
      </c>
      <c r="DA2" s="263"/>
      <c r="DB2" s="263" t="s">
        <v>213</v>
      </c>
      <c r="DC2" s="263"/>
      <c r="DD2" s="263" t="s">
        <v>214</v>
      </c>
      <c r="DE2" s="263"/>
      <c r="DF2" s="263" t="s">
        <v>214</v>
      </c>
      <c r="DG2" s="263"/>
      <c r="DH2" s="263" t="s">
        <v>214</v>
      </c>
      <c r="DI2" s="263"/>
      <c r="DJ2" s="262" t="s">
        <v>214</v>
      </c>
      <c r="DK2" s="262"/>
      <c r="DL2" s="263" t="s">
        <v>214</v>
      </c>
      <c r="DM2" s="263"/>
      <c r="DN2" s="263" t="s">
        <v>214</v>
      </c>
      <c r="DO2" s="263"/>
      <c r="DP2" s="263" t="s">
        <v>214</v>
      </c>
      <c r="DQ2" s="263"/>
      <c r="DR2" s="263" t="s">
        <v>214</v>
      </c>
      <c r="DS2" s="263"/>
      <c r="DT2" s="263" t="s">
        <v>214</v>
      </c>
      <c r="DU2" s="263"/>
      <c r="DV2" s="263" t="s">
        <v>214</v>
      </c>
      <c r="DW2" s="263"/>
      <c r="DX2" s="263" t="s">
        <v>214</v>
      </c>
      <c r="DY2" s="263"/>
      <c r="DZ2" s="263" t="s">
        <v>214</v>
      </c>
      <c r="EA2" s="263"/>
      <c r="EB2" s="263" t="s">
        <v>214</v>
      </c>
      <c r="EC2" s="263"/>
      <c r="ED2" s="263" t="s">
        <v>214</v>
      </c>
      <c r="EE2" s="263"/>
      <c r="EF2" s="263" t="s">
        <v>214</v>
      </c>
      <c r="EG2" s="263"/>
      <c r="EH2" s="263" t="s">
        <v>214</v>
      </c>
      <c r="EI2" s="263"/>
      <c r="EJ2" s="263" t="s">
        <v>214</v>
      </c>
      <c r="EK2" s="263"/>
      <c r="EL2" s="263" t="s">
        <v>214</v>
      </c>
      <c r="EM2" s="263"/>
      <c r="EN2" s="263" t="s">
        <v>214</v>
      </c>
      <c r="EO2" s="263"/>
      <c r="EP2" s="263" t="s">
        <v>214</v>
      </c>
      <c r="EQ2" s="263"/>
      <c r="ER2" s="263" t="s">
        <v>214</v>
      </c>
      <c r="ES2" s="263"/>
      <c r="ET2" s="263" t="s">
        <v>214</v>
      </c>
      <c r="EU2" s="263"/>
      <c r="EV2" s="263" t="s">
        <v>214</v>
      </c>
      <c r="EW2" s="263"/>
      <c r="EX2" s="263" t="s">
        <v>214</v>
      </c>
      <c r="EY2" s="263"/>
      <c r="EZ2" s="263" t="s">
        <v>214</v>
      </c>
      <c r="FA2" s="263"/>
      <c r="FB2" s="263" t="s">
        <v>214</v>
      </c>
      <c r="FC2" s="263"/>
      <c r="FD2" s="263" t="s">
        <v>214</v>
      </c>
      <c r="FE2" s="263"/>
      <c r="FF2" s="263" t="s">
        <v>214</v>
      </c>
      <c r="FG2" s="263"/>
      <c r="FH2" s="263" t="s">
        <v>214</v>
      </c>
      <c r="FI2" s="263"/>
      <c r="FJ2" s="263" t="s">
        <v>214</v>
      </c>
      <c r="FK2" s="263"/>
      <c r="FL2" s="262" t="s">
        <v>214</v>
      </c>
      <c r="FM2" s="262"/>
    </row>
    <row r="3" spans="1:169" s="24" customFormat="1" ht="49.5" customHeight="1">
      <c r="B3" s="225" t="s">
        <v>67</v>
      </c>
      <c r="C3" s="227"/>
      <c r="D3" s="225" t="s">
        <v>216</v>
      </c>
      <c r="E3" s="227"/>
      <c r="F3" s="225"/>
      <c r="G3" s="227"/>
      <c r="H3" s="225" t="s">
        <v>216</v>
      </c>
      <c r="I3" s="227"/>
      <c r="J3" s="225" t="s">
        <v>216</v>
      </c>
      <c r="K3" s="227"/>
      <c r="L3" s="225"/>
      <c r="M3" s="227"/>
      <c r="N3" s="225"/>
      <c r="O3" s="227"/>
      <c r="P3" s="225" t="s">
        <v>216</v>
      </c>
      <c r="Q3" s="227"/>
      <c r="R3" s="225" t="s">
        <v>216</v>
      </c>
      <c r="S3" s="227"/>
      <c r="T3" s="225"/>
      <c r="U3" s="227"/>
      <c r="V3" s="225" t="s">
        <v>217</v>
      </c>
      <c r="W3" s="227"/>
      <c r="X3" s="225" t="s">
        <v>217</v>
      </c>
      <c r="Y3" s="227"/>
      <c r="Z3" s="225" t="s">
        <v>217</v>
      </c>
      <c r="AA3" s="227"/>
      <c r="AB3" s="264" t="s">
        <v>217</v>
      </c>
      <c r="AC3" s="265"/>
      <c r="AD3" s="225"/>
      <c r="AE3" s="227"/>
      <c r="AF3" s="225" t="s">
        <v>217</v>
      </c>
      <c r="AG3" s="227"/>
      <c r="AH3" s="225" t="s">
        <v>216</v>
      </c>
      <c r="AI3" s="227"/>
      <c r="AJ3" s="225" t="s">
        <v>216</v>
      </c>
      <c r="AK3" s="227"/>
      <c r="AL3" s="225" t="s">
        <v>216</v>
      </c>
      <c r="AM3" s="227"/>
      <c r="AN3" s="225" t="s">
        <v>216</v>
      </c>
      <c r="AO3" s="227"/>
      <c r="AP3" s="264" t="s">
        <v>216</v>
      </c>
      <c r="AQ3" s="265"/>
      <c r="AR3" s="225" t="s">
        <v>216</v>
      </c>
      <c r="AS3" s="227"/>
      <c r="AT3" s="225" t="s">
        <v>216</v>
      </c>
      <c r="AU3" s="227"/>
      <c r="AV3" s="264" t="s">
        <v>216</v>
      </c>
      <c r="AW3" s="265"/>
      <c r="AX3" s="225" t="s">
        <v>216</v>
      </c>
      <c r="AY3" s="227"/>
      <c r="AZ3" s="225" t="s">
        <v>216</v>
      </c>
      <c r="BA3" s="227"/>
      <c r="BB3" s="225" t="s">
        <v>216</v>
      </c>
      <c r="BC3" s="227"/>
      <c r="BD3" s="225"/>
      <c r="BE3" s="227"/>
      <c r="BF3" s="225"/>
      <c r="BG3" s="227"/>
      <c r="BH3" s="225" t="s">
        <v>216</v>
      </c>
      <c r="BI3" s="227"/>
      <c r="BJ3" s="225" t="s">
        <v>216</v>
      </c>
      <c r="BK3" s="227"/>
      <c r="BL3" s="225" t="s">
        <v>216</v>
      </c>
      <c r="BM3" s="227"/>
      <c r="BN3" s="225" t="s">
        <v>216</v>
      </c>
      <c r="BO3" s="227"/>
      <c r="BP3" s="225" t="s">
        <v>216</v>
      </c>
      <c r="BQ3" s="227"/>
      <c r="BR3" s="225" t="s">
        <v>216</v>
      </c>
      <c r="BS3" s="227"/>
      <c r="BT3" s="225" t="s">
        <v>216</v>
      </c>
      <c r="BU3" s="227"/>
      <c r="BV3" s="225" t="s">
        <v>216</v>
      </c>
      <c r="BW3" s="227"/>
      <c r="BX3" s="225" t="s">
        <v>216</v>
      </c>
      <c r="BY3" s="227"/>
      <c r="BZ3" s="225" t="s">
        <v>66</v>
      </c>
      <c r="CA3" s="227"/>
      <c r="CB3" s="225" t="s">
        <v>66</v>
      </c>
      <c r="CC3" s="227"/>
      <c r="CD3" s="225" t="s">
        <v>66</v>
      </c>
      <c r="CE3" s="227"/>
      <c r="CF3" s="117"/>
      <c r="CG3" s="117"/>
      <c r="CH3" s="225" t="s">
        <v>67</v>
      </c>
      <c r="CI3" s="227"/>
      <c r="CJ3" s="225" t="s">
        <v>67</v>
      </c>
      <c r="CK3" s="227"/>
      <c r="CL3" s="225" t="s">
        <v>216</v>
      </c>
      <c r="CM3" s="227"/>
      <c r="CN3" s="225"/>
      <c r="CO3" s="227"/>
      <c r="CP3" s="225" t="s">
        <v>216</v>
      </c>
      <c r="CQ3" s="227"/>
      <c r="CR3" s="225" t="s">
        <v>216</v>
      </c>
      <c r="CS3" s="227"/>
      <c r="CT3" s="225" t="s">
        <v>216</v>
      </c>
      <c r="CU3" s="227"/>
      <c r="CV3" s="225" t="s">
        <v>216</v>
      </c>
      <c r="CW3" s="227"/>
      <c r="CX3" s="225" t="s">
        <v>216</v>
      </c>
      <c r="CY3" s="227"/>
      <c r="CZ3" s="225" t="s">
        <v>216</v>
      </c>
      <c r="DA3" s="227"/>
      <c r="DB3" s="225" t="s">
        <v>216</v>
      </c>
      <c r="DC3" s="227"/>
      <c r="DD3" s="225" t="s">
        <v>216</v>
      </c>
      <c r="DE3" s="227"/>
      <c r="DF3" s="225" t="s">
        <v>216</v>
      </c>
      <c r="DG3" s="227"/>
      <c r="DH3" s="225" t="s">
        <v>216</v>
      </c>
      <c r="DI3" s="227"/>
      <c r="DJ3" s="264" t="s">
        <v>216</v>
      </c>
      <c r="DK3" s="265"/>
      <c r="DL3" s="225" t="s">
        <v>65</v>
      </c>
      <c r="DM3" s="227"/>
      <c r="DN3" s="225" t="s">
        <v>65</v>
      </c>
      <c r="DO3" s="227"/>
      <c r="DP3" s="225" t="s">
        <v>65</v>
      </c>
      <c r="DQ3" s="227"/>
      <c r="DR3" s="225" t="s">
        <v>65</v>
      </c>
      <c r="DS3" s="227"/>
      <c r="DT3" s="225" t="s">
        <v>65</v>
      </c>
      <c r="DU3" s="227"/>
      <c r="DV3" s="225" t="s">
        <v>218</v>
      </c>
      <c r="DW3" s="227"/>
      <c r="DX3" s="225" t="s">
        <v>65</v>
      </c>
      <c r="DY3" s="227"/>
      <c r="DZ3" s="225" t="s">
        <v>217</v>
      </c>
      <c r="EA3" s="227"/>
      <c r="EB3" s="225" t="s">
        <v>65</v>
      </c>
      <c r="EC3" s="227"/>
      <c r="ED3" s="225" t="s">
        <v>65</v>
      </c>
      <c r="EE3" s="227"/>
      <c r="EF3" s="225" t="s">
        <v>65</v>
      </c>
      <c r="EG3" s="227"/>
      <c r="EH3" s="225" t="s">
        <v>65</v>
      </c>
      <c r="EI3" s="227"/>
      <c r="EJ3" s="225" t="s">
        <v>65</v>
      </c>
      <c r="EK3" s="227"/>
      <c r="EL3" s="225" t="s">
        <v>67</v>
      </c>
      <c r="EM3" s="227"/>
      <c r="EN3" s="225" t="s">
        <v>67</v>
      </c>
      <c r="EO3" s="227"/>
      <c r="EP3" s="225" t="s">
        <v>67</v>
      </c>
      <c r="EQ3" s="227"/>
      <c r="ER3" s="225" t="s">
        <v>67</v>
      </c>
      <c r="ES3" s="227"/>
      <c r="ET3" s="225" t="s">
        <v>67</v>
      </c>
      <c r="EU3" s="227"/>
      <c r="EV3" s="225" t="s">
        <v>67</v>
      </c>
      <c r="EW3" s="227"/>
      <c r="EX3" s="225" t="s">
        <v>67</v>
      </c>
      <c r="EY3" s="227"/>
      <c r="EZ3" s="225" t="s">
        <v>67</v>
      </c>
      <c r="FA3" s="227"/>
      <c r="FB3" s="225" t="s">
        <v>67</v>
      </c>
      <c r="FC3" s="227"/>
      <c r="FD3" s="225" t="s">
        <v>67</v>
      </c>
      <c r="FE3" s="227"/>
      <c r="FF3" s="225" t="s">
        <v>67</v>
      </c>
      <c r="FG3" s="227"/>
      <c r="FH3" s="225" t="s">
        <v>67</v>
      </c>
      <c r="FI3" s="227"/>
      <c r="FJ3" s="225" t="s">
        <v>67</v>
      </c>
      <c r="FK3" s="227"/>
      <c r="FL3" s="264" t="s">
        <v>216</v>
      </c>
      <c r="FM3" s="265"/>
    </row>
    <row r="4" spans="1:169" s="24" customFormat="1" ht="30" customHeight="1">
      <c r="B4" s="225" t="s">
        <v>219</v>
      </c>
      <c r="C4" s="227"/>
      <c r="D4" s="225" t="s">
        <v>219</v>
      </c>
      <c r="E4" s="227"/>
      <c r="F4" s="114"/>
      <c r="G4" s="115"/>
      <c r="H4" s="225" t="s">
        <v>219</v>
      </c>
      <c r="I4" s="227"/>
      <c r="J4" s="225" t="s">
        <v>220</v>
      </c>
      <c r="K4" s="227"/>
      <c r="L4" s="114"/>
      <c r="M4" s="115"/>
      <c r="N4" s="225"/>
      <c r="O4" s="227"/>
      <c r="P4" s="225" t="s">
        <v>221</v>
      </c>
      <c r="Q4" s="227"/>
      <c r="R4" s="225" t="s">
        <v>221</v>
      </c>
      <c r="S4" s="227"/>
      <c r="T4" s="114"/>
      <c r="U4" s="115"/>
      <c r="V4" s="225" t="s">
        <v>221</v>
      </c>
      <c r="W4" s="227"/>
      <c r="X4" s="225" t="s">
        <v>221</v>
      </c>
      <c r="Y4" s="227"/>
      <c r="Z4" s="225" t="s">
        <v>221</v>
      </c>
      <c r="AA4" s="227"/>
      <c r="AB4" s="264" t="s">
        <v>221</v>
      </c>
      <c r="AC4" s="265"/>
      <c r="AD4" s="114"/>
      <c r="AE4" s="115"/>
      <c r="AF4" s="225" t="s">
        <v>221</v>
      </c>
      <c r="AG4" s="227"/>
      <c r="AH4" s="225" t="s">
        <v>221</v>
      </c>
      <c r="AI4" s="227"/>
      <c r="AJ4" s="225" t="s">
        <v>219</v>
      </c>
      <c r="AK4" s="227"/>
      <c r="AL4" s="225" t="s">
        <v>219</v>
      </c>
      <c r="AM4" s="227"/>
      <c r="AN4" s="225" t="s">
        <v>219</v>
      </c>
      <c r="AO4" s="227"/>
      <c r="AP4" s="264" t="s">
        <v>220</v>
      </c>
      <c r="AQ4" s="265"/>
      <c r="AR4" s="225" t="s">
        <v>219</v>
      </c>
      <c r="AS4" s="227"/>
      <c r="AT4" s="225" t="s">
        <v>219</v>
      </c>
      <c r="AU4" s="227"/>
      <c r="AV4" s="264" t="s">
        <v>219</v>
      </c>
      <c r="AW4" s="265"/>
      <c r="AX4" s="225" t="s">
        <v>221</v>
      </c>
      <c r="AY4" s="227"/>
      <c r="AZ4" s="225" t="s">
        <v>219</v>
      </c>
      <c r="BA4" s="227"/>
      <c r="BB4" s="225" t="s">
        <v>219</v>
      </c>
      <c r="BC4" s="227"/>
      <c r="BD4" s="114"/>
      <c r="BE4" s="115"/>
      <c r="BF4" s="114"/>
      <c r="BG4" s="115"/>
      <c r="BH4" s="225" t="s">
        <v>220</v>
      </c>
      <c r="BI4" s="227"/>
      <c r="BJ4" s="225" t="s">
        <v>221</v>
      </c>
      <c r="BK4" s="227"/>
      <c r="BL4" s="225" t="s">
        <v>219</v>
      </c>
      <c r="BM4" s="227"/>
      <c r="BN4" s="225" t="s">
        <v>219</v>
      </c>
      <c r="BO4" s="227"/>
      <c r="BP4" s="225" t="s">
        <v>219</v>
      </c>
      <c r="BQ4" s="227"/>
      <c r="BR4" s="225" t="s">
        <v>219</v>
      </c>
      <c r="BS4" s="227"/>
      <c r="BT4" s="225" t="s">
        <v>219</v>
      </c>
      <c r="BU4" s="227"/>
      <c r="BV4" s="225" t="s">
        <v>219</v>
      </c>
      <c r="BW4" s="227"/>
      <c r="BX4" s="225" t="s">
        <v>219</v>
      </c>
      <c r="BY4" s="227"/>
      <c r="BZ4" s="225" t="s">
        <v>221</v>
      </c>
      <c r="CA4" s="227"/>
      <c r="CB4" s="225" t="s">
        <v>221</v>
      </c>
      <c r="CC4" s="227"/>
      <c r="CD4" s="225" t="s">
        <v>221</v>
      </c>
      <c r="CE4" s="227"/>
      <c r="CF4" s="225" t="s">
        <v>219</v>
      </c>
      <c r="CG4" s="227"/>
      <c r="CH4" s="225" t="s">
        <v>219</v>
      </c>
      <c r="CI4" s="227"/>
      <c r="CJ4" s="225" t="s">
        <v>219</v>
      </c>
      <c r="CK4" s="227"/>
      <c r="CL4" s="225" t="s">
        <v>219</v>
      </c>
      <c r="CM4" s="227"/>
      <c r="CN4" s="114"/>
      <c r="CO4" s="115"/>
      <c r="CP4" s="225" t="s">
        <v>220</v>
      </c>
      <c r="CQ4" s="227"/>
      <c r="CR4" s="225" t="s">
        <v>222</v>
      </c>
      <c r="CS4" s="227"/>
      <c r="CT4" s="225" t="s">
        <v>220</v>
      </c>
      <c r="CU4" s="227"/>
      <c r="CV4" s="225" t="s">
        <v>221</v>
      </c>
      <c r="CW4" s="227"/>
      <c r="CX4" s="225" t="s">
        <v>219</v>
      </c>
      <c r="CY4" s="227"/>
      <c r="CZ4" s="225" t="s">
        <v>219</v>
      </c>
      <c r="DA4" s="227"/>
      <c r="DB4" s="114"/>
      <c r="DC4" s="115"/>
      <c r="DD4" s="225" t="s">
        <v>220</v>
      </c>
      <c r="DE4" s="227"/>
      <c r="DF4" s="225" t="s">
        <v>221</v>
      </c>
      <c r="DG4" s="227"/>
      <c r="DH4" s="225" t="s">
        <v>221</v>
      </c>
      <c r="DI4" s="227"/>
      <c r="DJ4" s="264" t="s">
        <v>220</v>
      </c>
      <c r="DK4" s="265"/>
      <c r="DL4" s="225" t="s">
        <v>219</v>
      </c>
      <c r="DM4" s="227"/>
      <c r="DN4" s="225" t="s">
        <v>219</v>
      </c>
      <c r="DO4" s="227"/>
      <c r="DP4" s="225" t="s">
        <v>219</v>
      </c>
      <c r="DQ4" s="227"/>
      <c r="DR4" s="225" t="s">
        <v>219</v>
      </c>
      <c r="DS4" s="227"/>
      <c r="DT4" s="225" t="s">
        <v>221</v>
      </c>
      <c r="DU4" s="227"/>
      <c r="DV4" s="225" t="s">
        <v>221</v>
      </c>
      <c r="DW4" s="227"/>
      <c r="DX4" s="225" t="s">
        <v>223</v>
      </c>
      <c r="DY4" s="227"/>
      <c r="DZ4" s="225" t="s">
        <v>224</v>
      </c>
      <c r="EA4" s="227"/>
      <c r="EB4" s="225" t="s">
        <v>223</v>
      </c>
      <c r="EC4" s="227"/>
      <c r="ED4" s="225" t="s">
        <v>219</v>
      </c>
      <c r="EE4" s="227"/>
      <c r="EF4" s="225" t="s">
        <v>219</v>
      </c>
      <c r="EG4" s="227"/>
      <c r="EH4" s="225" t="s">
        <v>221</v>
      </c>
      <c r="EI4" s="227"/>
      <c r="EJ4" s="225" t="s">
        <v>221</v>
      </c>
      <c r="EK4" s="227"/>
      <c r="EL4" s="225" t="s">
        <v>219</v>
      </c>
      <c r="EM4" s="227"/>
      <c r="EN4" s="225" t="s">
        <v>219</v>
      </c>
      <c r="EO4" s="227"/>
      <c r="EP4" s="225" t="s">
        <v>219</v>
      </c>
      <c r="EQ4" s="227"/>
      <c r="ER4" s="225" t="s">
        <v>219</v>
      </c>
      <c r="ES4" s="227"/>
      <c r="ET4" s="225" t="s">
        <v>219</v>
      </c>
      <c r="EU4" s="227"/>
      <c r="EV4" s="225" t="s">
        <v>219</v>
      </c>
      <c r="EW4" s="227"/>
      <c r="EX4" s="225" t="s">
        <v>219</v>
      </c>
      <c r="EY4" s="227"/>
      <c r="EZ4" s="225" t="s">
        <v>221</v>
      </c>
      <c r="FA4" s="227"/>
      <c r="FB4" s="225" t="s">
        <v>219</v>
      </c>
      <c r="FC4" s="227"/>
      <c r="FD4" s="225" t="s">
        <v>219</v>
      </c>
      <c r="FE4" s="227"/>
      <c r="FF4" s="225" t="s">
        <v>223</v>
      </c>
      <c r="FG4" s="227"/>
      <c r="FH4" s="225" t="s">
        <v>219</v>
      </c>
      <c r="FI4" s="227"/>
      <c r="FJ4" s="225" t="s">
        <v>223</v>
      </c>
      <c r="FK4" s="227"/>
      <c r="FL4" s="264" t="s">
        <v>219</v>
      </c>
      <c r="FM4" s="265"/>
    </row>
    <row r="5" spans="1:169" s="88" customFormat="1" ht="138.75" customHeight="1">
      <c r="B5" s="268" t="s">
        <v>78</v>
      </c>
      <c r="C5" s="268"/>
      <c r="D5" s="268" t="s">
        <v>225</v>
      </c>
      <c r="E5" s="268"/>
      <c r="F5" s="268" t="s">
        <v>79</v>
      </c>
      <c r="G5" s="268"/>
      <c r="H5" s="268" t="s">
        <v>226</v>
      </c>
      <c r="I5" s="268"/>
      <c r="J5" s="268" t="s">
        <v>227</v>
      </c>
      <c r="K5" s="268"/>
      <c r="L5" s="268" t="s">
        <v>78</v>
      </c>
      <c r="M5" s="268"/>
      <c r="N5" s="268" t="s">
        <v>80</v>
      </c>
      <c r="O5" s="268"/>
      <c r="P5" s="268" t="s">
        <v>228</v>
      </c>
      <c r="Q5" s="268"/>
      <c r="R5" s="268" t="s">
        <v>228</v>
      </c>
      <c r="S5" s="268"/>
      <c r="T5" s="268" t="s">
        <v>68</v>
      </c>
      <c r="U5" s="268"/>
      <c r="V5" s="268" t="s">
        <v>229</v>
      </c>
      <c r="W5" s="268"/>
      <c r="X5" s="268" t="s">
        <v>230</v>
      </c>
      <c r="Y5" s="268"/>
      <c r="Z5" s="268" t="s">
        <v>231</v>
      </c>
      <c r="AA5" s="268"/>
      <c r="AB5" s="269" t="s">
        <v>228</v>
      </c>
      <c r="AC5" s="269"/>
      <c r="AD5" s="268" t="s">
        <v>69</v>
      </c>
      <c r="AE5" s="268"/>
      <c r="AF5" s="268" t="s">
        <v>232</v>
      </c>
      <c r="AG5" s="268"/>
      <c r="AH5" s="268" t="s">
        <v>233</v>
      </c>
      <c r="AI5" s="268"/>
      <c r="AJ5" s="268" t="s">
        <v>234</v>
      </c>
      <c r="AK5" s="268"/>
      <c r="AL5" s="268" t="s">
        <v>226</v>
      </c>
      <c r="AM5" s="268"/>
      <c r="AN5" s="268" t="s">
        <v>235</v>
      </c>
      <c r="AO5" s="268"/>
      <c r="AP5" s="269" t="s">
        <v>236</v>
      </c>
      <c r="AQ5" s="269"/>
      <c r="AR5" s="268" t="s">
        <v>237</v>
      </c>
      <c r="AS5" s="268"/>
      <c r="AT5" s="268" t="s">
        <v>238</v>
      </c>
      <c r="AU5" s="268"/>
      <c r="AV5" s="269" t="s">
        <v>239</v>
      </c>
      <c r="AW5" s="269"/>
      <c r="AX5" s="268" t="s">
        <v>228</v>
      </c>
      <c r="AY5" s="268"/>
      <c r="AZ5" s="268" t="s">
        <v>226</v>
      </c>
      <c r="BA5" s="268"/>
      <c r="BB5" s="268" t="s">
        <v>240</v>
      </c>
      <c r="BC5" s="268"/>
      <c r="BD5" s="268" t="s">
        <v>71</v>
      </c>
      <c r="BE5" s="268"/>
      <c r="BF5" s="268" t="s">
        <v>72</v>
      </c>
      <c r="BG5" s="268"/>
      <c r="BH5" s="268" t="s">
        <v>241</v>
      </c>
      <c r="BI5" s="268"/>
      <c r="BJ5" s="268" t="s">
        <v>242</v>
      </c>
      <c r="BK5" s="268"/>
      <c r="BL5" s="268" t="s">
        <v>243</v>
      </c>
      <c r="BM5" s="268"/>
      <c r="BN5" s="268" t="s">
        <v>244</v>
      </c>
      <c r="BO5" s="268"/>
      <c r="BP5" s="268" t="s">
        <v>245</v>
      </c>
      <c r="BQ5" s="268"/>
      <c r="BR5" s="268" t="s">
        <v>246</v>
      </c>
      <c r="BS5" s="268"/>
      <c r="BT5" s="268" t="s">
        <v>247</v>
      </c>
      <c r="BU5" s="268"/>
      <c r="BV5" s="268" t="s">
        <v>248</v>
      </c>
      <c r="BW5" s="268"/>
      <c r="BX5" s="268" t="s">
        <v>246</v>
      </c>
      <c r="BY5" s="268"/>
      <c r="BZ5" s="268" t="s">
        <v>74</v>
      </c>
      <c r="CA5" s="268"/>
      <c r="CB5" s="268" t="s">
        <v>75</v>
      </c>
      <c r="CC5" s="268"/>
      <c r="CD5" s="268" t="s">
        <v>76</v>
      </c>
      <c r="CE5" s="268"/>
      <c r="CF5" s="268" t="s">
        <v>77</v>
      </c>
      <c r="CG5" s="268"/>
      <c r="CH5" s="268" t="s">
        <v>249</v>
      </c>
      <c r="CI5" s="268"/>
      <c r="CJ5" s="268" t="s">
        <v>249</v>
      </c>
      <c r="CK5" s="268"/>
      <c r="CL5" s="268" t="s">
        <v>250</v>
      </c>
      <c r="CM5" s="268"/>
      <c r="CN5" s="268" t="s">
        <v>70</v>
      </c>
      <c r="CO5" s="268"/>
      <c r="CP5" s="270" t="s">
        <v>251</v>
      </c>
      <c r="CQ5" s="270"/>
      <c r="CR5" s="270" t="s">
        <v>222</v>
      </c>
      <c r="CS5" s="270"/>
      <c r="CT5" s="270" t="s">
        <v>252</v>
      </c>
      <c r="CU5" s="270"/>
      <c r="CV5" s="270" t="s">
        <v>253</v>
      </c>
      <c r="CW5" s="270"/>
      <c r="CX5" s="270" t="s">
        <v>254</v>
      </c>
      <c r="CY5" s="270"/>
      <c r="CZ5" s="270" t="s">
        <v>255</v>
      </c>
      <c r="DA5" s="270"/>
      <c r="DB5" s="268" t="s">
        <v>73</v>
      </c>
      <c r="DC5" s="268"/>
      <c r="DD5" s="268" t="s">
        <v>256</v>
      </c>
      <c r="DE5" s="268"/>
      <c r="DF5" s="268" t="s">
        <v>257</v>
      </c>
      <c r="DG5" s="268"/>
      <c r="DH5" s="268" t="s">
        <v>258</v>
      </c>
      <c r="DI5" s="268"/>
      <c r="DJ5" s="269" t="s">
        <v>256</v>
      </c>
      <c r="DK5" s="269"/>
      <c r="DL5" s="268" t="s">
        <v>259</v>
      </c>
      <c r="DM5" s="268"/>
      <c r="DN5" s="268" t="s">
        <v>259</v>
      </c>
      <c r="DO5" s="268"/>
      <c r="DP5" s="268" t="s">
        <v>260</v>
      </c>
      <c r="DQ5" s="268"/>
      <c r="DR5" s="268" t="s">
        <v>260</v>
      </c>
      <c r="DS5" s="268"/>
      <c r="DT5" s="268" t="s">
        <v>232</v>
      </c>
      <c r="DU5" s="268"/>
      <c r="DV5" s="268" t="s">
        <v>261</v>
      </c>
      <c r="DW5" s="268"/>
      <c r="DX5" s="270" t="s">
        <v>262</v>
      </c>
      <c r="DY5" s="270"/>
      <c r="DZ5" s="268" t="s">
        <v>226</v>
      </c>
      <c r="EA5" s="268"/>
      <c r="EB5" s="270" t="s">
        <v>263</v>
      </c>
      <c r="EC5" s="270"/>
      <c r="ED5" s="270" t="s">
        <v>264</v>
      </c>
      <c r="EE5" s="270"/>
      <c r="EF5" s="270" t="s">
        <v>265</v>
      </c>
      <c r="EG5" s="270"/>
      <c r="EH5" s="270" t="s">
        <v>228</v>
      </c>
      <c r="EI5" s="270"/>
      <c r="EJ5" s="270" t="s">
        <v>266</v>
      </c>
      <c r="EK5" s="270"/>
      <c r="EL5" s="268" t="s">
        <v>267</v>
      </c>
      <c r="EM5" s="268"/>
      <c r="EN5" s="268" t="s">
        <v>268</v>
      </c>
      <c r="EO5" s="268"/>
      <c r="EP5" s="268" t="s">
        <v>269</v>
      </c>
      <c r="EQ5" s="268"/>
      <c r="ER5" s="268" t="s">
        <v>270</v>
      </c>
      <c r="ES5" s="268"/>
      <c r="ET5" s="268" t="s">
        <v>268</v>
      </c>
      <c r="EU5" s="268"/>
      <c r="EV5" s="268" t="s">
        <v>269</v>
      </c>
      <c r="EW5" s="268"/>
      <c r="EX5" s="268" t="s">
        <v>271</v>
      </c>
      <c r="EY5" s="268"/>
      <c r="EZ5" s="268" t="s">
        <v>266</v>
      </c>
      <c r="FA5" s="268"/>
      <c r="FB5" s="268" t="s">
        <v>272</v>
      </c>
      <c r="FC5" s="268"/>
      <c r="FD5" s="268" t="s">
        <v>273</v>
      </c>
      <c r="FE5" s="268"/>
      <c r="FF5" s="268" t="s">
        <v>274</v>
      </c>
      <c r="FG5" s="268"/>
      <c r="FH5" s="268" t="s">
        <v>275</v>
      </c>
      <c r="FI5" s="268"/>
      <c r="FJ5" s="268" t="s">
        <v>276</v>
      </c>
      <c r="FK5" s="268"/>
      <c r="FL5" s="269" t="s">
        <v>277</v>
      </c>
      <c r="FM5" s="269"/>
    </row>
    <row r="6" spans="1:169" s="24" customFormat="1" ht="30" customHeight="1">
      <c r="B6" s="263">
        <v>5065544</v>
      </c>
      <c r="C6" s="263"/>
      <c r="D6" s="225"/>
      <c r="E6" s="227"/>
      <c r="F6" s="263">
        <v>5065541</v>
      </c>
      <c r="G6" s="263"/>
      <c r="H6" s="225"/>
      <c r="I6" s="227"/>
      <c r="J6" s="225"/>
      <c r="K6" s="227"/>
      <c r="L6" s="263">
        <v>5065542</v>
      </c>
      <c r="M6" s="263"/>
      <c r="N6" s="263">
        <v>5065540</v>
      </c>
      <c r="O6" s="263"/>
      <c r="P6" s="225"/>
      <c r="Q6" s="227"/>
      <c r="R6" s="225"/>
      <c r="S6" s="227"/>
      <c r="T6" s="263">
        <v>5065546</v>
      </c>
      <c r="U6" s="263"/>
      <c r="V6" s="225"/>
      <c r="W6" s="227"/>
      <c r="X6" s="225"/>
      <c r="Y6" s="227"/>
      <c r="Z6" s="225"/>
      <c r="AA6" s="227"/>
      <c r="AB6" s="225"/>
      <c r="AC6" s="227"/>
      <c r="AD6" s="263">
        <v>5065547</v>
      </c>
      <c r="AE6" s="263"/>
      <c r="AF6" s="225"/>
      <c r="AG6" s="227"/>
      <c r="AH6" s="271"/>
      <c r="AI6" s="272"/>
      <c r="AJ6" s="271"/>
      <c r="AK6" s="272"/>
      <c r="AL6" s="271"/>
      <c r="AM6" s="272"/>
      <c r="AN6" s="271"/>
      <c r="AO6" s="272"/>
      <c r="AP6" s="271"/>
      <c r="AQ6" s="272"/>
      <c r="AR6" s="271"/>
      <c r="AS6" s="272"/>
      <c r="AT6" s="271"/>
      <c r="AU6" s="272"/>
      <c r="AV6" s="271"/>
      <c r="AW6" s="272"/>
      <c r="AX6" s="271"/>
      <c r="AY6" s="272"/>
      <c r="AZ6" s="271"/>
      <c r="BA6" s="272"/>
      <c r="BB6" s="271"/>
      <c r="BC6" s="272"/>
      <c r="BD6" s="263">
        <v>5065548</v>
      </c>
      <c r="BE6" s="263"/>
      <c r="BF6" s="263">
        <v>5465545</v>
      </c>
      <c r="BG6" s="263"/>
      <c r="BH6" s="225"/>
      <c r="BI6" s="227"/>
      <c r="BJ6" s="225"/>
      <c r="BK6" s="227"/>
      <c r="BL6" s="225"/>
      <c r="BM6" s="227"/>
      <c r="BN6" s="225"/>
      <c r="BO6" s="227"/>
      <c r="BP6" s="225"/>
      <c r="BQ6" s="227"/>
      <c r="BR6" s="225"/>
      <c r="BS6" s="227"/>
      <c r="BT6" s="225"/>
      <c r="BU6" s="227"/>
      <c r="BV6" s="225"/>
      <c r="BW6" s="227"/>
      <c r="BX6" s="225"/>
      <c r="BY6" s="227"/>
      <c r="BZ6" s="263">
        <v>5018351</v>
      </c>
      <c r="CA6" s="263"/>
      <c r="CB6" s="263">
        <v>5018354</v>
      </c>
      <c r="CC6" s="263"/>
      <c r="CD6" s="263">
        <v>5018350</v>
      </c>
      <c r="CE6" s="263"/>
      <c r="CF6" s="263">
        <v>5065543</v>
      </c>
      <c r="CG6" s="263"/>
      <c r="CH6" s="225"/>
      <c r="CI6" s="227"/>
      <c r="CJ6" s="225"/>
      <c r="CK6" s="227"/>
      <c r="CL6" s="225"/>
      <c r="CM6" s="227"/>
      <c r="CN6" s="263">
        <v>5008272</v>
      </c>
      <c r="CO6" s="263"/>
      <c r="CP6" s="225"/>
      <c r="CQ6" s="227"/>
      <c r="CR6" s="225"/>
      <c r="CS6" s="227"/>
      <c r="CT6" s="225"/>
      <c r="CU6" s="227"/>
      <c r="CV6" s="225"/>
      <c r="CW6" s="227"/>
      <c r="CX6" s="225"/>
      <c r="CY6" s="227"/>
      <c r="CZ6" s="225"/>
      <c r="DA6" s="227"/>
      <c r="DB6" s="263">
        <v>5008273</v>
      </c>
      <c r="DC6" s="263"/>
      <c r="DD6" s="225"/>
      <c r="DE6" s="227"/>
      <c r="DF6" s="225"/>
      <c r="DG6" s="227"/>
      <c r="DH6" s="225"/>
      <c r="DI6" s="227"/>
      <c r="DJ6" s="225"/>
      <c r="DK6" s="227"/>
      <c r="DL6" s="225"/>
      <c r="DM6" s="227"/>
      <c r="DN6" s="225"/>
      <c r="DO6" s="227"/>
      <c r="DP6" s="225"/>
      <c r="DQ6" s="227"/>
      <c r="DR6" s="225"/>
      <c r="DS6" s="227"/>
      <c r="DT6" s="225"/>
      <c r="DU6" s="227"/>
      <c r="DV6" s="225"/>
      <c r="DW6" s="227"/>
      <c r="DX6" s="225"/>
      <c r="DY6" s="227"/>
      <c r="DZ6" s="225"/>
      <c r="EA6" s="227"/>
      <c r="EB6" s="225"/>
      <c r="EC6" s="227"/>
      <c r="ED6" s="225"/>
      <c r="EE6" s="227"/>
      <c r="EF6" s="225"/>
      <c r="EG6" s="227"/>
      <c r="EH6" s="225"/>
      <c r="EI6" s="227"/>
      <c r="EJ6" s="225"/>
      <c r="EK6" s="227"/>
      <c r="EL6" s="225"/>
      <c r="EM6" s="227"/>
      <c r="EN6" s="225"/>
      <c r="EO6" s="227"/>
      <c r="EP6" s="225"/>
      <c r="EQ6" s="227"/>
      <c r="ER6" s="225"/>
      <c r="ES6" s="227"/>
      <c r="ET6" s="225"/>
      <c r="EU6" s="227"/>
      <c r="EV6" s="225"/>
      <c r="EW6" s="227"/>
      <c r="EX6" s="225"/>
      <c r="EY6" s="227"/>
      <c r="EZ6" s="225"/>
      <c r="FA6" s="227"/>
      <c r="FB6" s="225"/>
      <c r="FC6" s="227"/>
      <c r="FD6" s="225"/>
      <c r="FE6" s="227"/>
      <c r="FF6" s="225"/>
      <c r="FG6" s="227"/>
      <c r="FH6" s="225"/>
      <c r="FI6" s="227"/>
      <c r="FJ6" s="225"/>
      <c r="FK6" s="227"/>
      <c r="FL6" s="225"/>
      <c r="FM6" s="227"/>
    </row>
    <row r="7" spans="1:169" s="24" customFormat="1" ht="30" customHeight="1">
      <c r="B7" s="273" t="s">
        <v>92</v>
      </c>
      <c r="C7" s="273"/>
      <c r="D7" s="273" t="s">
        <v>92</v>
      </c>
      <c r="E7" s="273"/>
      <c r="F7" s="274" t="s">
        <v>93</v>
      </c>
      <c r="G7" s="274"/>
      <c r="H7" s="275" t="s">
        <v>94</v>
      </c>
      <c r="I7" s="275"/>
      <c r="J7" s="275" t="s">
        <v>94</v>
      </c>
      <c r="K7" s="275"/>
      <c r="L7" s="275" t="s">
        <v>94</v>
      </c>
      <c r="M7" s="275"/>
      <c r="N7" s="276" t="s">
        <v>95</v>
      </c>
      <c r="O7" s="276"/>
      <c r="P7" s="276" t="s">
        <v>95</v>
      </c>
      <c r="Q7" s="276"/>
      <c r="R7" s="276" t="s">
        <v>95</v>
      </c>
      <c r="S7" s="276"/>
      <c r="T7" s="277" t="s">
        <v>82</v>
      </c>
      <c r="U7" s="277"/>
      <c r="V7" s="277" t="s">
        <v>82</v>
      </c>
      <c r="W7" s="277"/>
      <c r="X7" s="277" t="s">
        <v>82</v>
      </c>
      <c r="Y7" s="277"/>
      <c r="Z7" s="277" t="s">
        <v>82</v>
      </c>
      <c r="AA7" s="277"/>
      <c r="AB7" s="277" t="s">
        <v>82</v>
      </c>
      <c r="AC7" s="277"/>
      <c r="AD7" s="278" t="s">
        <v>83</v>
      </c>
      <c r="AE7" s="278"/>
      <c r="AF7" s="278" t="s">
        <v>83</v>
      </c>
      <c r="AG7" s="278"/>
      <c r="AH7" s="279" t="s">
        <v>85</v>
      </c>
      <c r="AI7" s="279"/>
      <c r="AJ7" s="279" t="s">
        <v>85</v>
      </c>
      <c r="AK7" s="279"/>
      <c r="AL7" s="279" t="s">
        <v>85</v>
      </c>
      <c r="AM7" s="279"/>
      <c r="AN7" s="279" t="s">
        <v>85</v>
      </c>
      <c r="AO7" s="279"/>
      <c r="AP7" s="279" t="s">
        <v>85</v>
      </c>
      <c r="AQ7" s="279"/>
      <c r="AR7" s="279" t="s">
        <v>85</v>
      </c>
      <c r="AS7" s="279"/>
      <c r="AT7" s="279" t="s">
        <v>85</v>
      </c>
      <c r="AU7" s="279"/>
      <c r="AV7" s="279" t="s">
        <v>85</v>
      </c>
      <c r="AW7" s="279"/>
      <c r="AX7" s="279" t="s">
        <v>85</v>
      </c>
      <c r="AY7" s="279"/>
      <c r="AZ7" s="279" t="s">
        <v>85</v>
      </c>
      <c r="BA7" s="279"/>
      <c r="BB7" s="279" t="s">
        <v>85</v>
      </c>
      <c r="BC7" s="279"/>
      <c r="BD7" s="279" t="s">
        <v>85</v>
      </c>
      <c r="BE7" s="279"/>
      <c r="BF7" s="280" t="s">
        <v>86</v>
      </c>
      <c r="BG7" s="280"/>
      <c r="BH7" s="280" t="s">
        <v>86</v>
      </c>
      <c r="BI7" s="280"/>
      <c r="BJ7" s="280" t="s">
        <v>86</v>
      </c>
      <c r="BK7" s="280"/>
      <c r="BL7" s="280" t="s">
        <v>86</v>
      </c>
      <c r="BM7" s="280"/>
      <c r="BN7" s="280" t="s">
        <v>86</v>
      </c>
      <c r="BO7" s="280"/>
      <c r="BP7" s="280" t="s">
        <v>86</v>
      </c>
      <c r="BQ7" s="280"/>
      <c r="BR7" s="280" t="s">
        <v>86</v>
      </c>
      <c r="BS7" s="280"/>
      <c r="BT7" s="280" t="s">
        <v>86</v>
      </c>
      <c r="BU7" s="280"/>
      <c r="BV7" s="280" t="s">
        <v>86</v>
      </c>
      <c r="BW7" s="280"/>
      <c r="BX7" s="280" t="s">
        <v>86</v>
      </c>
      <c r="BY7" s="280"/>
      <c r="BZ7" s="281" t="s">
        <v>88</v>
      </c>
      <c r="CA7" s="281"/>
      <c r="CB7" s="282" t="s">
        <v>89</v>
      </c>
      <c r="CC7" s="282"/>
      <c r="CD7" s="262" t="s">
        <v>90</v>
      </c>
      <c r="CE7" s="262"/>
      <c r="CF7" s="283" t="s">
        <v>91</v>
      </c>
      <c r="CG7" s="283"/>
      <c r="CH7" s="283" t="s">
        <v>91</v>
      </c>
      <c r="CI7" s="283"/>
      <c r="CJ7" s="283" t="s">
        <v>91</v>
      </c>
      <c r="CK7" s="283"/>
      <c r="CL7" s="283" t="s">
        <v>91</v>
      </c>
      <c r="CM7" s="283"/>
      <c r="CN7" s="284" t="s">
        <v>84</v>
      </c>
      <c r="CO7" s="284"/>
      <c r="CP7" s="284" t="s">
        <v>84</v>
      </c>
      <c r="CQ7" s="284"/>
      <c r="CR7" s="284" t="s">
        <v>84</v>
      </c>
      <c r="CS7" s="284"/>
      <c r="CT7" s="284" t="s">
        <v>84</v>
      </c>
      <c r="CU7" s="284"/>
      <c r="CV7" s="284" t="s">
        <v>84</v>
      </c>
      <c r="CW7" s="284"/>
      <c r="CX7" s="284" t="s">
        <v>84</v>
      </c>
      <c r="CY7" s="284"/>
      <c r="CZ7" s="284" t="s">
        <v>84</v>
      </c>
      <c r="DA7" s="284"/>
      <c r="DB7" s="285" t="s">
        <v>87</v>
      </c>
      <c r="DC7" s="285"/>
      <c r="DD7" s="285" t="s">
        <v>87</v>
      </c>
      <c r="DE7" s="285"/>
      <c r="DF7" s="285" t="s">
        <v>87</v>
      </c>
      <c r="DG7" s="285"/>
      <c r="DH7" s="285" t="s">
        <v>87</v>
      </c>
      <c r="DI7" s="285"/>
      <c r="DJ7" s="285" t="s">
        <v>87</v>
      </c>
      <c r="DK7" s="285"/>
      <c r="DL7" s="278" t="s">
        <v>83</v>
      </c>
      <c r="DM7" s="278"/>
      <c r="DN7" s="278" t="s">
        <v>83</v>
      </c>
      <c r="DO7" s="278"/>
      <c r="DP7" s="278" t="s">
        <v>83</v>
      </c>
      <c r="DQ7" s="278"/>
      <c r="DR7" s="278" t="s">
        <v>83</v>
      </c>
      <c r="DS7" s="278"/>
      <c r="DT7" s="278" t="s">
        <v>83</v>
      </c>
      <c r="DU7" s="278"/>
      <c r="DV7" s="278" t="s">
        <v>83</v>
      </c>
      <c r="DW7" s="278"/>
      <c r="DX7" s="277" t="s">
        <v>82</v>
      </c>
      <c r="DY7" s="277"/>
      <c r="DZ7" s="277" t="s">
        <v>82</v>
      </c>
      <c r="EA7" s="277"/>
      <c r="EB7" s="277" t="s">
        <v>82</v>
      </c>
      <c r="EC7" s="277"/>
      <c r="ED7" s="277" t="s">
        <v>82</v>
      </c>
      <c r="EE7" s="277"/>
      <c r="EF7" s="277" t="s">
        <v>82</v>
      </c>
      <c r="EG7" s="277"/>
      <c r="EH7" s="277" t="s">
        <v>82</v>
      </c>
      <c r="EI7" s="277"/>
      <c r="EJ7" s="277" t="s">
        <v>82</v>
      </c>
      <c r="EK7" s="277"/>
      <c r="EL7" s="275" t="s">
        <v>94</v>
      </c>
      <c r="EM7" s="275"/>
      <c r="EN7" s="275" t="s">
        <v>94</v>
      </c>
      <c r="EO7" s="275"/>
      <c r="EP7" s="275" t="s">
        <v>94</v>
      </c>
      <c r="EQ7" s="275"/>
      <c r="ER7" s="273" t="s">
        <v>92</v>
      </c>
      <c r="ES7" s="273"/>
      <c r="ET7" s="273" t="s">
        <v>92</v>
      </c>
      <c r="EU7" s="273"/>
      <c r="EV7" s="273" t="s">
        <v>92</v>
      </c>
      <c r="EW7" s="273"/>
      <c r="EX7" s="274" t="s">
        <v>93</v>
      </c>
      <c r="EY7" s="274"/>
      <c r="EZ7" s="276" t="s">
        <v>95</v>
      </c>
      <c r="FA7" s="276"/>
      <c r="FB7" s="276" t="s">
        <v>95</v>
      </c>
      <c r="FC7" s="276"/>
      <c r="FD7" s="276" t="s">
        <v>95</v>
      </c>
      <c r="FE7" s="276"/>
      <c r="FF7" s="274" t="s">
        <v>93</v>
      </c>
      <c r="FG7" s="274"/>
      <c r="FH7" s="274" t="s">
        <v>93</v>
      </c>
      <c r="FI7" s="274"/>
      <c r="FJ7" s="274" t="s">
        <v>93</v>
      </c>
      <c r="FK7" s="274"/>
      <c r="FL7" s="274" t="s">
        <v>93</v>
      </c>
      <c r="FM7" s="274"/>
    </row>
    <row r="8" spans="1:169" s="24" customFormat="1" ht="30" customHeight="1">
      <c r="B8" s="286"/>
      <c r="C8" s="286"/>
      <c r="D8" s="287" t="s">
        <v>278</v>
      </c>
      <c r="E8" s="288"/>
      <c r="F8" s="286"/>
      <c r="G8" s="286"/>
      <c r="H8" s="287" t="s">
        <v>279</v>
      </c>
      <c r="I8" s="288"/>
      <c r="J8" s="287" t="s">
        <v>280</v>
      </c>
      <c r="K8" s="288"/>
      <c r="L8" s="286"/>
      <c r="M8" s="286"/>
      <c r="N8" s="286"/>
      <c r="O8" s="286"/>
      <c r="P8" s="287" t="s">
        <v>281</v>
      </c>
      <c r="Q8" s="288"/>
      <c r="R8" s="287" t="s">
        <v>282</v>
      </c>
      <c r="S8" s="288"/>
      <c r="T8" s="286"/>
      <c r="U8" s="286"/>
      <c r="V8" s="287" t="s">
        <v>283</v>
      </c>
      <c r="W8" s="288"/>
      <c r="X8" s="287" t="s">
        <v>284</v>
      </c>
      <c r="Y8" s="288"/>
      <c r="Z8" s="287" t="s">
        <v>285</v>
      </c>
      <c r="AA8" s="288"/>
      <c r="AB8" s="287" t="s">
        <v>286</v>
      </c>
      <c r="AC8" s="288"/>
      <c r="AD8" s="286"/>
      <c r="AE8" s="286"/>
      <c r="AF8" s="287" t="s">
        <v>287</v>
      </c>
      <c r="AG8" s="288"/>
      <c r="AH8" s="287" t="s">
        <v>288</v>
      </c>
      <c r="AI8" s="288"/>
      <c r="AJ8" s="287" t="s">
        <v>289</v>
      </c>
      <c r="AK8" s="288"/>
      <c r="AL8" s="287" t="s">
        <v>290</v>
      </c>
      <c r="AM8" s="288"/>
      <c r="AN8" s="287" t="s">
        <v>291</v>
      </c>
      <c r="AO8" s="288"/>
      <c r="AP8" s="287" t="s">
        <v>292</v>
      </c>
      <c r="AQ8" s="288"/>
      <c r="AR8" s="287" t="s">
        <v>293</v>
      </c>
      <c r="AS8" s="288"/>
      <c r="AT8" s="287" t="s">
        <v>294</v>
      </c>
      <c r="AU8" s="288"/>
      <c r="AV8" s="287" t="s">
        <v>295</v>
      </c>
      <c r="AW8" s="288"/>
      <c r="AX8" s="287" t="s">
        <v>296</v>
      </c>
      <c r="AY8" s="288"/>
      <c r="AZ8" s="287" t="s">
        <v>297</v>
      </c>
      <c r="BA8" s="288"/>
      <c r="BB8" s="287" t="s">
        <v>298</v>
      </c>
      <c r="BC8" s="288"/>
      <c r="BD8" s="287"/>
      <c r="BE8" s="288"/>
      <c r="BF8" s="286"/>
      <c r="BG8" s="286"/>
      <c r="BH8" s="287" t="s">
        <v>299</v>
      </c>
      <c r="BI8" s="288"/>
      <c r="BJ8" s="287" t="s">
        <v>300</v>
      </c>
      <c r="BK8" s="288"/>
      <c r="BL8" s="287" t="s">
        <v>301</v>
      </c>
      <c r="BM8" s="288"/>
      <c r="BN8" s="287" t="s">
        <v>302</v>
      </c>
      <c r="BO8" s="288"/>
      <c r="BP8" s="287" t="s">
        <v>303</v>
      </c>
      <c r="BQ8" s="288"/>
      <c r="BR8" s="287" t="s">
        <v>304</v>
      </c>
      <c r="BS8" s="288"/>
      <c r="BT8" s="287" t="s">
        <v>305</v>
      </c>
      <c r="BU8" s="288"/>
      <c r="BV8" s="287" t="s">
        <v>306</v>
      </c>
      <c r="BW8" s="288"/>
      <c r="BX8" s="287" t="s">
        <v>307</v>
      </c>
      <c r="BY8" s="288"/>
      <c r="BZ8" s="286"/>
      <c r="CA8" s="286"/>
      <c r="CB8" s="286"/>
      <c r="CC8" s="286"/>
      <c r="CD8" s="286"/>
      <c r="CE8" s="286"/>
      <c r="CF8" s="286"/>
      <c r="CG8" s="286"/>
      <c r="CH8" s="287" t="s">
        <v>308</v>
      </c>
      <c r="CI8" s="288"/>
      <c r="CJ8" s="287" t="s">
        <v>309</v>
      </c>
      <c r="CK8" s="288"/>
      <c r="CL8" s="287" t="s">
        <v>310</v>
      </c>
      <c r="CM8" s="288"/>
      <c r="CN8" s="286"/>
      <c r="CO8" s="286"/>
      <c r="CP8" s="287" t="s">
        <v>311</v>
      </c>
      <c r="CQ8" s="288"/>
      <c r="CR8" s="287" t="s">
        <v>312</v>
      </c>
      <c r="CS8" s="288"/>
      <c r="CT8" s="287" t="s">
        <v>313</v>
      </c>
      <c r="CU8" s="288"/>
      <c r="CV8" s="287" t="s">
        <v>314</v>
      </c>
      <c r="CW8" s="288"/>
      <c r="CX8" s="287" t="s">
        <v>315</v>
      </c>
      <c r="CY8" s="288"/>
      <c r="CZ8" s="287" t="s">
        <v>316</v>
      </c>
      <c r="DA8" s="288"/>
      <c r="DB8" s="286"/>
      <c r="DC8" s="286"/>
      <c r="DD8" s="287" t="s">
        <v>317</v>
      </c>
      <c r="DE8" s="288"/>
      <c r="DF8" s="287" t="s">
        <v>318</v>
      </c>
      <c r="DG8" s="288"/>
      <c r="DH8" s="287" t="s">
        <v>319</v>
      </c>
      <c r="DI8" s="288"/>
      <c r="DJ8" s="287" t="s">
        <v>320</v>
      </c>
      <c r="DK8" s="288"/>
      <c r="DL8" s="287" t="s">
        <v>321</v>
      </c>
      <c r="DM8" s="288"/>
      <c r="DN8" s="287" t="s">
        <v>322</v>
      </c>
      <c r="DO8" s="288"/>
      <c r="DP8" s="287" t="s">
        <v>323</v>
      </c>
      <c r="DQ8" s="288"/>
      <c r="DR8" s="287" t="s">
        <v>324</v>
      </c>
      <c r="DS8" s="288"/>
      <c r="DT8" s="287" t="s">
        <v>325</v>
      </c>
      <c r="DU8" s="288"/>
      <c r="DV8" s="287" t="s">
        <v>326</v>
      </c>
      <c r="DW8" s="288"/>
      <c r="DX8" s="287" t="s">
        <v>327</v>
      </c>
      <c r="DY8" s="288"/>
      <c r="DZ8" s="287" t="s">
        <v>328</v>
      </c>
      <c r="EA8" s="288"/>
      <c r="EB8" s="287" t="s">
        <v>329</v>
      </c>
      <c r="EC8" s="288"/>
      <c r="ED8" s="287" t="s">
        <v>330</v>
      </c>
      <c r="EE8" s="288"/>
      <c r="EF8" s="287" t="s">
        <v>331</v>
      </c>
      <c r="EG8" s="288"/>
      <c r="EH8" s="287" t="s">
        <v>332</v>
      </c>
      <c r="EI8" s="288"/>
      <c r="EJ8" s="287" t="s">
        <v>333</v>
      </c>
      <c r="EK8" s="288"/>
      <c r="EL8" s="287" t="s">
        <v>334</v>
      </c>
      <c r="EM8" s="288"/>
      <c r="EN8" s="287" t="s">
        <v>335</v>
      </c>
      <c r="EO8" s="288"/>
      <c r="EP8" s="287" t="s">
        <v>336</v>
      </c>
      <c r="EQ8" s="288"/>
      <c r="ER8" s="287" t="s">
        <v>337</v>
      </c>
      <c r="ES8" s="288"/>
      <c r="ET8" s="287" t="s">
        <v>338</v>
      </c>
      <c r="EU8" s="288"/>
      <c r="EV8" s="287" t="s">
        <v>339</v>
      </c>
      <c r="EW8" s="288"/>
      <c r="EX8" s="287" t="s">
        <v>340</v>
      </c>
      <c r="EY8" s="288"/>
      <c r="EZ8" s="287" t="s">
        <v>341</v>
      </c>
      <c r="FA8" s="288"/>
      <c r="FB8" s="287" t="s">
        <v>342</v>
      </c>
      <c r="FC8" s="288"/>
      <c r="FD8" s="287" t="s">
        <v>343</v>
      </c>
      <c r="FE8" s="288"/>
      <c r="FF8" s="287" t="s">
        <v>344</v>
      </c>
      <c r="FG8" s="288"/>
      <c r="FH8" s="287" t="s">
        <v>345</v>
      </c>
      <c r="FI8" s="288"/>
      <c r="FJ8" s="287" t="s">
        <v>346</v>
      </c>
      <c r="FK8" s="288"/>
      <c r="FL8" s="287" t="s">
        <v>347</v>
      </c>
      <c r="FM8" s="288"/>
    </row>
    <row r="9" spans="1:169" s="88" customFormat="1" ht="50.1" customHeight="1">
      <c r="A9" s="118" t="s">
        <v>99</v>
      </c>
      <c r="B9" s="118" t="s">
        <v>100</v>
      </c>
      <c r="C9" s="118" t="s">
        <v>101</v>
      </c>
      <c r="D9" s="118" t="s">
        <v>100</v>
      </c>
      <c r="E9" s="118" t="s">
        <v>101</v>
      </c>
      <c r="F9" s="118" t="s">
        <v>100</v>
      </c>
      <c r="G9" s="118" t="s">
        <v>101</v>
      </c>
      <c r="H9" s="118" t="s">
        <v>100</v>
      </c>
      <c r="I9" s="118" t="s">
        <v>101</v>
      </c>
      <c r="J9" s="118" t="s">
        <v>100</v>
      </c>
      <c r="K9" s="118" t="s">
        <v>101</v>
      </c>
      <c r="L9" s="118" t="s">
        <v>100</v>
      </c>
      <c r="M9" s="118" t="s">
        <v>101</v>
      </c>
      <c r="N9" s="118" t="s">
        <v>100</v>
      </c>
      <c r="O9" s="118" t="s">
        <v>101</v>
      </c>
      <c r="P9" s="118" t="s">
        <v>100</v>
      </c>
      <c r="Q9" s="118" t="s">
        <v>101</v>
      </c>
      <c r="R9" s="118" t="s">
        <v>100</v>
      </c>
      <c r="S9" s="118" t="s">
        <v>101</v>
      </c>
      <c r="T9" s="118" t="s">
        <v>100</v>
      </c>
      <c r="U9" s="118" t="s">
        <v>101</v>
      </c>
      <c r="V9" s="118" t="s">
        <v>100</v>
      </c>
      <c r="W9" s="118" t="s">
        <v>101</v>
      </c>
      <c r="X9" s="118" t="s">
        <v>100</v>
      </c>
      <c r="Y9" s="118" t="s">
        <v>101</v>
      </c>
      <c r="Z9" s="118" t="s">
        <v>100</v>
      </c>
      <c r="AA9" s="118" t="s">
        <v>101</v>
      </c>
      <c r="AB9" s="118" t="s">
        <v>100</v>
      </c>
      <c r="AC9" s="118" t="s">
        <v>101</v>
      </c>
      <c r="AD9" s="118" t="s">
        <v>100</v>
      </c>
      <c r="AE9" s="118" t="s">
        <v>101</v>
      </c>
      <c r="AF9" s="118" t="s">
        <v>100</v>
      </c>
      <c r="AG9" s="118" t="s">
        <v>101</v>
      </c>
      <c r="AH9" s="118" t="s">
        <v>100</v>
      </c>
      <c r="AI9" s="118" t="s">
        <v>101</v>
      </c>
      <c r="AJ9" s="118" t="s">
        <v>100</v>
      </c>
      <c r="AK9" s="118" t="s">
        <v>101</v>
      </c>
      <c r="AL9" s="118" t="s">
        <v>100</v>
      </c>
      <c r="AM9" s="118" t="s">
        <v>101</v>
      </c>
      <c r="AN9" s="118" t="s">
        <v>100</v>
      </c>
      <c r="AO9" s="118" t="s">
        <v>101</v>
      </c>
      <c r="AP9" s="118" t="s">
        <v>100</v>
      </c>
      <c r="AQ9" s="118" t="s">
        <v>101</v>
      </c>
      <c r="AR9" s="118" t="s">
        <v>100</v>
      </c>
      <c r="AS9" s="118" t="s">
        <v>101</v>
      </c>
      <c r="AT9" s="118" t="s">
        <v>100</v>
      </c>
      <c r="AU9" s="118" t="s">
        <v>101</v>
      </c>
      <c r="AV9" s="118" t="s">
        <v>100</v>
      </c>
      <c r="AW9" s="118" t="s">
        <v>101</v>
      </c>
      <c r="AX9" s="118" t="s">
        <v>100</v>
      </c>
      <c r="AY9" s="118" t="s">
        <v>101</v>
      </c>
      <c r="AZ9" s="118" t="s">
        <v>100</v>
      </c>
      <c r="BA9" s="118" t="s">
        <v>101</v>
      </c>
      <c r="BB9" s="118" t="s">
        <v>100</v>
      </c>
      <c r="BC9" s="118" t="s">
        <v>101</v>
      </c>
      <c r="BD9" s="118" t="s">
        <v>100</v>
      </c>
      <c r="BE9" s="118" t="s">
        <v>101</v>
      </c>
      <c r="BF9" s="118" t="s">
        <v>100</v>
      </c>
      <c r="BG9" s="118" t="s">
        <v>101</v>
      </c>
      <c r="BH9" s="118" t="s">
        <v>100</v>
      </c>
      <c r="BI9" s="118" t="s">
        <v>101</v>
      </c>
      <c r="BJ9" s="118" t="s">
        <v>100</v>
      </c>
      <c r="BK9" s="118" t="s">
        <v>101</v>
      </c>
      <c r="BL9" s="118" t="s">
        <v>100</v>
      </c>
      <c r="BM9" s="118" t="s">
        <v>101</v>
      </c>
      <c r="BN9" s="118" t="s">
        <v>100</v>
      </c>
      <c r="BO9" s="118" t="s">
        <v>101</v>
      </c>
      <c r="BP9" s="118" t="s">
        <v>100</v>
      </c>
      <c r="BQ9" s="118" t="s">
        <v>101</v>
      </c>
      <c r="BR9" s="118" t="s">
        <v>100</v>
      </c>
      <c r="BS9" s="118" t="s">
        <v>101</v>
      </c>
      <c r="BT9" s="118" t="s">
        <v>100</v>
      </c>
      <c r="BU9" s="118" t="s">
        <v>101</v>
      </c>
      <c r="BV9" s="118" t="s">
        <v>100</v>
      </c>
      <c r="BW9" s="118" t="s">
        <v>101</v>
      </c>
      <c r="BX9" s="118" t="s">
        <v>100</v>
      </c>
      <c r="BY9" s="118" t="s">
        <v>101</v>
      </c>
      <c r="BZ9" s="118" t="s">
        <v>100</v>
      </c>
      <c r="CA9" s="118" t="s">
        <v>101</v>
      </c>
      <c r="CB9" s="118" t="s">
        <v>100</v>
      </c>
      <c r="CC9" s="118" t="s">
        <v>101</v>
      </c>
      <c r="CD9" s="118" t="s">
        <v>100</v>
      </c>
      <c r="CE9" s="118" t="s">
        <v>101</v>
      </c>
      <c r="CF9" s="118" t="s">
        <v>100</v>
      </c>
      <c r="CG9" s="118" t="s">
        <v>101</v>
      </c>
      <c r="CH9" s="118" t="s">
        <v>100</v>
      </c>
      <c r="CI9" s="118" t="s">
        <v>101</v>
      </c>
      <c r="CJ9" s="118" t="s">
        <v>100</v>
      </c>
      <c r="CK9" s="118" t="s">
        <v>101</v>
      </c>
      <c r="CL9" s="118" t="s">
        <v>100</v>
      </c>
      <c r="CM9" s="118" t="s">
        <v>101</v>
      </c>
      <c r="CN9" s="118" t="s">
        <v>100</v>
      </c>
      <c r="CO9" s="118" t="s">
        <v>101</v>
      </c>
      <c r="CP9" s="118" t="s">
        <v>100</v>
      </c>
      <c r="CQ9" s="118" t="s">
        <v>101</v>
      </c>
      <c r="CR9" s="118" t="s">
        <v>100</v>
      </c>
      <c r="CS9" s="118" t="s">
        <v>101</v>
      </c>
      <c r="CT9" s="118" t="s">
        <v>100</v>
      </c>
      <c r="CU9" s="118" t="s">
        <v>101</v>
      </c>
      <c r="CV9" s="118" t="s">
        <v>100</v>
      </c>
      <c r="CW9" s="118" t="s">
        <v>101</v>
      </c>
      <c r="CX9" s="118" t="s">
        <v>100</v>
      </c>
      <c r="CY9" s="118" t="s">
        <v>101</v>
      </c>
      <c r="CZ9" s="118" t="s">
        <v>100</v>
      </c>
      <c r="DA9" s="118" t="s">
        <v>101</v>
      </c>
      <c r="DB9" s="118" t="s">
        <v>100</v>
      </c>
      <c r="DC9" s="118" t="s">
        <v>101</v>
      </c>
      <c r="DD9" s="118" t="s">
        <v>100</v>
      </c>
      <c r="DE9" s="118" t="s">
        <v>101</v>
      </c>
      <c r="DF9" s="118" t="s">
        <v>100</v>
      </c>
      <c r="DG9" s="118" t="s">
        <v>101</v>
      </c>
      <c r="DH9" s="118" t="s">
        <v>100</v>
      </c>
      <c r="DI9" s="118" t="s">
        <v>101</v>
      </c>
      <c r="DJ9" s="118" t="s">
        <v>100</v>
      </c>
      <c r="DK9" s="118" t="s">
        <v>101</v>
      </c>
      <c r="DL9" s="118" t="s">
        <v>100</v>
      </c>
      <c r="DM9" s="118" t="s">
        <v>101</v>
      </c>
      <c r="DN9" s="118" t="s">
        <v>100</v>
      </c>
      <c r="DO9" s="118" t="s">
        <v>101</v>
      </c>
      <c r="DP9" s="118" t="s">
        <v>100</v>
      </c>
      <c r="DQ9" s="118" t="s">
        <v>101</v>
      </c>
      <c r="DR9" s="118" t="s">
        <v>100</v>
      </c>
      <c r="DS9" s="118" t="s">
        <v>101</v>
      </c>
      <c r="DT9" s="118" t="s">
        <v>100</v>
      </c>
      <c r="DU9" s="118" t="s">
        <v>101</v>
      </c>
      <c r="DV9" s="118" t="s">
        <v>100</v>
      </c>
      <c r="DW9" s="118" t="s">
        <v>101</v>
      </c>
      <c r="DX9" s="118" t="s">
        <v>100</v>
      </c>
      <c r="DY9" s="118" t="s">
        <v>101</v>
      </c>
      <c r="DZ9" s="118" t="s">
        <v>100</v>
      </c>
      <c r="EA9" s="118" t="s">
        <v>101</v>
      </c>
      <c r="EB9" s="118" t="s">
        <v>100</v>
      </c>
      <c r="EC9" s="118" t="s">
        <v>101</v>
      </c>
      <c r="ED9" s="118" t="s">
        <v>100</v>
      </c>
      <c r="EE9" s="118" t="s">
        <v>101</v>
      </c>
      <c r="EF9" s="118" t="s">
        <v>100</v>
      </c>
      <c r="EG9" s="118" t="s">
        <v>101</v>
      </c>
      <c r="EH9" s="118" t="s">
        <v>100</v>
      </c>
      <c r="EI9" s="118" t="s">
        <v>101</v>
      </c>
      <c r="EJ9" s="118" t="s">
        <v>100</v>
      </c>
      <c r="EK9" s="118" t="s">
        <v>101</v>
      </c>
      <c r="EL9" s="118" t="s">
        <v>100</v>
      </c>
      <c r="EM9" s="118" t="s">
        <v>101</v>
      </c>
      <c r="EN9" s="118" t="s">
        <v>100</v>
      </c>
      <c r="EO9" s="118" t="s">
        <v>101</v>
      </c>
      <c r="EP9" s="118" t="s">
        <v>100</v>
      </c>
      <c r="EQ9" s="118" t="s">
        <v>101</v>
      </c>
      <c r="ER9" s="118" t="s">
        <v>100</v>
      </c>
      <c r="ES9" s="118" t="s">
        <v>101</v>
      </c>
      <c r="ET9" s="118" t="s">
        <v>100</v>
      </c>
      <c r="EU9" s="118" t="s">
        <v>101</v>
      </c>
      <c r="EV9" s="118" t="s">
        <v>100</v>
      </c>
      <c r="EW9" s="118" t="s">
        <v>101</v>
      </c>
      <c r="EX9" s="118" t="s">
        <v>100</v>
      </c>
      <c r="EY9" s="118" t="s">
        <v>101</v>
      </c>
      <c r="EZ9" s="118" t="s">
        <v>100</v>
      </c>
      <c r="FA9" s="118" t="s">
        <v>101</v>
      </c>
      <c r="FB9" s="118" t="s">
        <v>100</v>
      </c>
      <c r="FC9" s="118" t="s">
        <v>101</v>
      </c>
      <c r="FD9" s="118" t="s">
        <v>100</v>
      </c>
      <c r="FE9" s="118" t="s">
        <v>101</v>
      </c>
      <c r="FF9" s="118" t="s">
        <v>100</v>
      </c>
      <c r="FG9" s="118" t="s">
        <v>101</v>
      </c>
      <c r="FH9" s="118" t="s">
        <v>100</v>
      </c>
      <c r="FI9" s="118" t="s">
        <v>101</v>
      </c>
      <c r="FJ9" s="118" t="s">
        <v>100</v>
      </c>
      <c r="FK9" s="118" t="s">
        <v>101</v>
      </c>
      <c r="FL9" s="118" t="s">
        <v>100</v>
      </c>
      <c r="FM9" s="118"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91" t="s">
        <v>348</v>
      </c>
      <c r="D2" s="291"/>
      <c r="E2" s="291" t="s">
        <v>349</v>
      </c>
      <c r="F2" s="291"/>
      <c r="G2" s="291" t="s">
        <v>350</v>
      </c>
      <c r="H2" s="291"/>
      <c r="I2" s="291" t="s">
        <v>351</v>
      </c>
      <c r="J2" s="291"/>
      <c r="K2" s="291" t="s">
        <v>352</v>
      </c>
      <c r="L2" s="291"/>
      <c r="M2" s="291" t="s">
        <v>353</v>
      </c>
      <c r="N2" s="291"/>
      <c r="O2" s="291" t="s">
        <v>354</v>
      </c>
      <c r="P2" s="291"/>
      <c r="Q2" s="291" t="s">
        <v>355</v>
      </c>
      <c r="R2" s="291"/>
      <c r="S2" s="291" t="s">
        <v>356</v>
      </c>
      <c r="T2" s="291"/>
      <c r="V2" s="291" t="s">
        <v>357</v>
      </c>
      <c r="W2" s="291"/>
      <c r="X2" s="291" t="s">
        <v>358</v>
      </c>
      <c r="Y2" s="291"/>
      <c r="Z2" s="291" t="s">
        <v>359</v>
      </c>
      <c r="AA2" s="291"/>
      <c r="AB2" s="291" t="s">
        <v>360</v>
      </c>
      <c r="AC2" s="291"/>
      <c r="AD2" s="291" t="s">
        <v>361</v>
      </c>
      <c r="AE2" s="291"/>
      <c r="AF2" s="291" t="s">
        <v>362</v>
      </c>
      <c r="AG2" s="291"/>
      <c r="AH2" s="291" t="s">
        <v>363</v>
      </c>
      <c r="AI2" s="291"/>
      <c r="AJ2" s="291" t="s">
        <v>364</v>
      </c>
      <c r="AK2" s="291"/>
      <c r="AL2" s="291" t="s">
        <v>365</v>
      </c>
      <c r="AM2" s="291"/>
      <c r="AO2" s="291" t="s">
        <v>366</v>
      </c>
      <c r="AP2" s="291"/>
      <c r="AQ2" s="291" t="s">
        <v>367</v>
      </c>
      <c r="AR2" s="291"/>
      <c r="AS2" s="291" t="s">
        <v>368</v>
      </c>
      <c r="AT2" s="291"/>
      <c r="AU2" s="291" t="s">
        <v>369</v>
      </c>
      <c r="AV2" s="291"/>
      <c r="AW2" s="291" t="s">
        <v>370</v>
      </c>
      <c r="AX2" s="291"/>
      <c r="AY2" s="291" t="s">
        <v>371</v>
      </c>
      <c r="AZ2" s="291"/>
      <c r="BA2" s="291" t="s">
        <v>372</v>
      </c>
      <c r="BB2" s="291"/>
      <c r="BC2" s="291" t="s">
        <v>373</v>
      </c>
      <c r="BD2" s="291"/>
      <c r="BE2" s="291" t="s">
        <v>374</v>
      </c>
      <c r="BF2" s="291"/>
      <c r="BH2" s="291" t="s">
        <v>104</v>
      </c>
      <c r="BI2" s="291"/>
      <c r="BJ2" s="291" t="s">
        <v>375</v>
      </c>
      <c r="BK2" s="291"/>
      <c r="BL2" s="291" t="s">
        <v>376</v>
      </c>
      <c r="BM2" s="291"/>
      <c r="BN2" s="291" t="s">
        <v>377</v>
      </c>
      <c r="BO2" s="291"/>
      <c r="BP2" s="291" t="s">
        <v>378</v>
      </c>
      <c r="BQ2" s="291"/>
      <c r="BR2" s="291" t="s">
        <v>379</v>
      </c>
      <c r="BS2" s="291"/>
      <c r="BT2" s="291" t="s">
        <v>380</v>
      </c>
      <c r="BU2" s="291"/>
      <c r="BV2" s="291" t="s">
        <v>381</v>
      </c>
      <c r="BW2" s="291"/>
      <c r="BX2" s="291" t="s">
        <v>382</v>
      </c>
      <c r="BY2" s="291"/>
      <c r="BZ2" s="291" t="s">
        <v>383</v>
      </c>
      <c r="CA2" s="291"/>
      <c r="CB2" s="291" t="s">
        <v>384</v>
      </c>
      <c r="CC2" s="291"/>
      <c r="CD2" s="291" t="s">
        <v>385</v>
      </c>
      <c r="CE2" s="291"/>
      <c r="CF2" s="291" t="s">
        <v>386</v>
      </c>
      <c r="CG2" s="291"/>
      <c r="CH2" s="291" t="s">
        <v>387</v>
      </c>
      <c r="CI2" s="291"/>
      <c r="CJ2" s="291" t="s">
        <v>388</v>
      </c>
      <c r="CK2" s="291"/>
      <c r="CL2" s="291" t="s">
        <v>389</v>
      </c>
      <c r="CM2" s="291"/>
      <c r="CN2" s="291" t="s">
        <v>390</v>
      </c>
      <c r="CO2" s="291"/>
      <c r="CP2" s="291" t="s">
        <v>391</v>
      </c>
      <c r="CQ2" s="291"/>
      <c r="CR2" s="291" t="s">
        <v>392</v>
      </c>
      <c r="CS2" s="291"/>
    </row>
    <row r="3" spans="1:97" s="56" customFormat="1" ht="49.5" customHeight="1">
      <c r="A3" s="119"/>
      <c r="B3" s="70"/>
      <c r="C3" s="289"/>
      <c r="D3" s="289"/>
      <c r="E3" s="292" t="s">
        <v>111</v>
      </c>
      <c r="F3" s="292"/>
      <c r="G3" s="289"/>
      <c r="H3" s="289"/>
      <c r="I3" s="293" t="s">
        <v>113</v>
      </c>
      <c r="J3" s="293"/>
      <c r="K3" s="289"/>
      <c r="L3" s="289"/>
      <c r="M3" s="289"/>
      <c r="N3" s="289"/>
      <c r="O3" s="289"/>
      <c r="P3" s="289"/>
      <c r="Q3" s="290" t="s">
        <v>114</v>
      </c>
      <c r="R3" s="290"/>
      <c r="S3" s="289"/>
      <c r="T3" s="289"/>
      <c r="U3" s="55"/>
      <c r="V3" s="290" t="s">
        <v>109</v>
      </c>
      <c r="W3" s="290"/>
      <c r="X3" s="289"/>
      <c r="Y3" s="289"/>
      <c r="Z3" s="289"/>
      <c r="AA3" s="289"/>
      <c r="AB3" s="289"/>
      <c r="AC3" s="289"/>
      <c r="AD3" s="289"/>
      <c r="AE3" s="289"/>
      <c r="AF3" s="289"/>
      <c r="AG3" s="289"/>
      <c r="AH3" s="289"/>
      <c r="AI3" s="289"/>
      <c r="AJ3" s="289"/>
      <c r="AK3" s="289"/>
      <c r="AL3" s="289"/>
      <c r="AM3" s="289"/>
      <c r="AN3" s="55"/>
      <c r="AO3" s="292" t="s">
        <v>112</v>
      </c>
      <c r="AP3" s="292"/>
      <c r="AQ3" s="289"/>
      <c r="AR3" s="289"/>
      <c r="AS3" s="289"/>
      <c r="AT3" s="289"/>
      <c r="AU3" s="289"/>
      <c r="AV3" s="289"/>
      <c r="AW3" s="289"/>
      <c r="AX3" s="289"/>
      <c r="AY3" s="289"/>
      <c r="AZ3" s="289"/>
      <c r="BA3" s="289"/>
      <c r="BB3" s="289"/>
      <c r="BC3" s="289"/>
      <c r="BD3" s="289"/>
      <c r="BE3" s="289"/>
      <c r="BF3" s="289"/>
      <c r="BG3" s="55"/>
      <c r="BH3" s="292" t="s">
        <v>110</v>
      </c>
      <c r="BI3" s="292"/>
      <c r="BJ3" s="289"/>
      <c r="BK3" s="289"/>
      <c r="BL3" s="289"/>
      <c r="BM3" s="289"/>
      <c r="BN3" s="289"/>
      <c r="BO3" s="289"/>
      <c r="BP3" s="289"/>
      <c r="BQ3" s="289"/>
      <c r="BR3" s="289"/>
      <c r="BS3" s="289"/>
      <c r="BT3" s="289"/>
      <c r="BU3" s="289"/>
      <c r="BV3" s="289"/>
      <c r="BW3" s="289"/>
      <c r="BX3" s="289"/>
      <c r="BY3" s="289"/>
      <c r="BZ3" s="289"/>
      <c r="CA3" s="289"/>
      <c r="CB3" s="289"/>
      <c r="CC3" s="289"/>
      <c r="CD3" s="289"/>
      <c r="CE3" s="289"/>
      <c r="CF3" s="289"/>
      <c r="CG3" s="289"/>
      <c r="CH3" s="289"/>
      <c r="CI3" s="289"/>
      <c r="CJ3" s="289"/>
      <c r="CK3" s="289"/>
      <c r="CL3" s="289"/>
      <c r="CM3" s="289"/>
      <c r="CN3" s="289"/>
      <c r="CO3" s="289"/>
      <c r="CP3" s="289"/>
      <c r="CQ3" s="289"/>
      <c r="CR3" s="289"/>
      <c r="CS3" s="289"/>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2023-02-04T08:36:13Z</dcterms:modified>
  <cp:category/>
  <cp:contentStatus/>
</cp:coreProperties>
</file>