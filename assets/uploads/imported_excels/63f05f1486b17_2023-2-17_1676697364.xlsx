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8430" tabRatio="762"/>
  </bookViews>
  <sheets>
    <sheet name="TOTAL" sheetId="11" r:id="rId1"/>
    <sheet name="FS Jimbaran July 2019" sheetId="14" r:id="rId2"/>
    <sheet name="RNs &amp; Covers July 2019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3" i="14" l="1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R47" i="14" l="1"/>
  <c r="Q47" i="14"/>
  <c r="AL42" i="14" l="1"/>
  <c r="AI42" i="14"/>
  <c r="AA42" i="14"/>
  <c r="AB42" i="14" s="1"/>
  <c r="V42" i="14"/>
  <c r="N42" i="14"/>
  <c r="P42" i="14"/>
  <c r="I42" i="14"/>
  <c r="O42" i="14" l="1"/>
  <c r="F32" i="11" s="1"/>
  <c r="B32" i="11"/>
  <c r="E32" i="11"/>
  <c r="G32" i="11"/>
  <c r="H32" i="11"/>
  <c r="I32" i="11"/>
  <c r="J32" i="11"/>
  <c r="K32" i="11"/>
  <c r="L32" i="11"/>
  <c r="M32" i="11"/>
  <c r="N32" i="11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W52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<sst xmlns="http://schemas.openxmlformats.org/spreadsheetml/2006/main" count="101" uniqueCount="55">
  <si>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</si>
  <si>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</si>
  <si>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</si>
  <si>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</si>
  <si>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</si>
  <si>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</si>
  <si>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</si>
  <si>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</si>
  <si>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</si>
  <si>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</si>
  <si>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</si>
  <si>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</si>
  <si>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</si>
  <si>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</si>
  <si>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</si>
  <si>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</si>
  <si>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</si>
  <si>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</si>
  <si>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</si>
  <si>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</si>
  <si>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</si>
  <si>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</si>
  <si>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</si>
  <si>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</si>
  <si>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</si>
  <si>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</si>
  <si>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</si>
  <si>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</si>
  <si>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</si>
  <si>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</si>
  <si>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</si>
  <si>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</si>
  <si>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</si>
  <si>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</si>
  <si>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</si>
  <si>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</si>
  <si>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</si>
  <si>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</si>
  <si>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</si>
  <si>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</si>
  <si>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</si>
  <si>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</si>
  <si>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</si>
  <si>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</si>
  <si>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</si>
  <si>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</si>
  <si>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</si>
  <si>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</si>
  <si>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</si>
  <si>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</si>
  <si>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</si>
  <si>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</si>
  <si>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</si>
  <si>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>JULY 2019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</si>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</sst>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4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 applyBorder="1" applyAlignment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4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6" fontId="0" fillId="0" borderId="55" xfId="2" applyNumberFormat="1" applyFont="1" applyBorder="1"/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5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7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 applyBorder="1"/>
    <xf numFmtId="164" fontId="0" fillId="0" borderId="0" xfId="2" applyNumberFormat="1" applyFont="1" applyBorder="1"/>
    <xf numFmtId="9" fontId="17" fillId="0" borderId="0" xfId="5" applyFont="1"/>
    <xf numFmtId="166" fontId="20" fillId="0" borderId="8" xfId="0" applyNumberFormat="1" applyFont="1" applyBorder="1"/>
    <xf numFmtId="37" fontId="20" fillId="0" borderId="8" xfId="0" applyNumberFormat="1" applyFont="1" applyBorder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190394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H9" sqref="H9"/>
    </sheetView>
  </sheetViews>
  <sheetFormatPr defaultColWidth="11.54296875" defaultRowHeight="14.5" x14ac:dyDescent="0.35"/>
  <cols>
    <col min="1" max="1" width="18.453125" style="164" customWidth="1"/>
    <col min="2" max="2" width="11.54296875" style="165"/>
    <col min="3" max="3" width="11.54296875" style="166"/>
    <col min="4" max="4" width="13.453125" style="165" customWidth="1"/>
    <col min="5" max="5" width="12.54296875" style="163" customWidth="1"/>
    <col min="6" max="6" width="12.54296875" style="167" customWidth="1"/>
    <col min="7" max="7" width="11.54296875" style="163"/>
    <col min="8" max="8" width="11.54296875" style="167"/>
    <col min="9" max="9" width="11.54296875" style="168"/>
    <col min="10" max="10" width="11.54296875" style="169"/>
    <col min="11" max="11" width="11.54296875" style="163"/>
    <col min="12" max="12" width="11.54296875" style="169"/>
    <col min="13" max="26" width="11.54296875" style="163"/>
  </cols>
  <sheetData>
    <row r="1" spans="1:15" s="157" customFormat="1" ht="43.5" x14ac:dyDescent="0.35">
      <c r="A1" s="153" t="s">
        <v>37</v>
      </c>
      <c r="B1" s="153" t="s">
        <v>38</v>
      </c>
      <c r="C1" s="154" t="s">
        <v>39</v>
      </c>
      <c r="D1" s="153" t="s">
        <v>40</v>
      </c>
      <c r="E1" s="152" t="s">
        <v>41</v>
      </c>
      <c r="F1" s="155" t="s">
        <v>42</v>
      </c>
      <c r="G1" s="152" t="s">
        <v>47</v>
      </c>
      <c r="H1" s="155" t="s">
        <v>48</v>
      </c>
      <c r="I1" s="171" t="s">
        <v>54</v>
      </c>
      <c r="J1" s="155" t="s">
        <v>50</v>
      </c>
      <c r="K1" s="152" t="s">
        <v>43</v>
      </c>
      <c r="L1" s="156" t="s">
        <v>44</v>
      </c>
      <c r="M1" s="152" t="s">
        <v>45</v>
      </c>
      <c r="N1" s="152" t="s">
        <v>3</v>
      </c>
    </row>
    <row r="2" spans="1:15" x14ac:dyDescent="0.35">
      <c r="A2" s="158" t="s">
        <v>49</v>
      </c>
      <c r="B2" s="159">
        <v>1</v>
      </c>
      <c r="C2" s="160">
        <v>7</v>
      </c>
      <c r="D2" s="159">
        <v>2019</v>
      </c>
      <c r="E2" s="161">
        <f>'FS Jimbaran July 2019'!P12</f>
        <v>21380.000000001019</v>
      </c>
      <c r="F2" s="170">
        <f>'FS Jimbaran July 2019'!O12/'FS Jimbaran July 2019'!P12</f>
        <v>1132.6724228250655</v>
      </c>
      <c r="G2" s="161">
        <f>'FS Jimbaran July 2019'!AG12</f>
        <v>143.31624000000701</v>
      </c>
      <c r="H2" s="170">
        <f>'FS Jimbaran July 2019'!AH12/'FS Jimbaran July 2019'!AG12</f>
        <v>10032</v>
      </c>
      <c r="I2" s="161">
        <f>'FS Jimbaran July 2019'!AJ12</f>
        <v>168.02000000000123</v>
      </c>
      <c r="J2" s="162">
        <f>'FS Jimbaran July 2019'!AK12/'FS Jimbaran July 2019'!AJ12</f>
        <v>10300</v>
      </c>
      <c r="K2" s="161">
        <f>'FS Jimbaran July 2019'!V12</f>
        <v>817.0200000000001</v>
      </c>
      <c r="L2" s="170">
        <f>'FS Jimbaran July 2019'!AA12/'FS Jimbaran July 2019'!V12</f>
        <v>3734.2672113289759</v>
      </c>
      <c r="M2" s="161">
        <f>+'RNs &amp; Covers July 2019'!B6</f>
        <v>77</v>
      </c>
      <c r="N2" s="172">
        <f>+'RNs &amp; Covers July 2019'!C6</f>
        <v>693</v>
      </c>
    </row>
    <row r="3" spans="1:15" x14ac:dyDescent="0.35">
      <c r="A3" s="158" t="s">
        <v>49</v>
      </c>
      <c r="B3" s="159">
        <f>B2+1</f>
        <v>2</v>
      </c>
      <c r="C3" s="160">
        <v>7</v>
      </c>
      <c r="D3" s="159">
        <v>2019</v>
      </c>
      <c r="E3" s="172">
        <f>'FS Jimbaran July 2019'!P13</f>
        <v>22439.999999999374</v>
      </c>
      <c r="F3" s="170">
        <f>'FS Jimbaran July 2019'!O13/'FS Jimbaran July 2019'!P13</f>
        <v>1130.4033957219308</v>
      </c>
      <c r="G3" s="172">
        <f>'FS Jimbaran July 2019'!AG13</f>
        <v>135.66303999997186</v>
      </c>
      <c r="H3" s="170">
        <f>'FS Jimbaran July 2019'!AH13/'FS Jimbaran July 2019'!AG13</f>
        <v>10032</v>
      </c>
      <c r="I3" s="172">
        <f>'FS Jimbaran July 2019'!AJ13</f>
        <v>588.8799999999901</v>
      </c>
      <c r="J3" s="162">
        <f>'FS Jimbaran July 2019'!AK13/'FS Jimbaran July 2019'!AJ13</f>
        <v>10300</v>
      </c>
      <c r="K3" s="172">
        <f>'FS Jimbaran July 2019'!V13</f>
        <v>787.65000000000009</v>
      </c>
      <c r="L3" s="170">
        <f>'FS Jimbaran July 2019'!AA13/'FS Jimbaran July 2019'!V13</f>
        <v>3532.7886101694917</v>
      </c>
      <c r="M3" s="172">
        <f>+'RNs &amp; Covers July 2019'!B7</f>
        <v>86</v>
      </c>
      <c r="N3" s="172">
        <f>+'RNs &amp; Covers July 2019'!C7</f>
        <v>636</v>
      </c>
    </row>
    <row r="4" spans="1:15" x14ac:dyDescent="0.35">
      <c r="A4" s="158" t="s">
        <v>49</v>
      </c>
      <c r="B4" s="159">
        <f t="shared" ref="B4:B32" si="0">B3+1</f>
        <v>3</v>
      </c>
      <c r="C4" s="160">
        <v>7</v>
      </c>
      <c r="D4" s="159">
        <v>2019</v>
      </c>
      <c r="E4" s="172">
        <f>'FS Jimbaran July 2019'!P14</f>
        <v>23460.000000000262</v>
      </c>
      <c r="F4" s="170">
        <f>'FS Jimbaran July 2019'!O14/'FS Jimbaran July 2019'!P14</f>
        <v>1128.4968797953966</v>
      </c>
      <c r="G4" s="172">
        <f>'FS Jimbaran July 2019'!AG14</f>
        <v>238.0798399999953</v>
      </c>
      <c r="H4" s="170">
        <f>'FS Jimbaran July 2019'!AH14/'FS Jimbaran July 2019'!AG14</f>
        <v>10556.193900667953</v>
      </c>
      <c r="I4" s="172">
        <f>'FS Jimbaran July 2019'!AJ14</f>
        <v>631.90000000000873</v>
      </c>
      <c r="J4" s="162">
        <f>'FS Jimbaran July 2019'!AK14/'FS Jimbaran July 2019'!AJ14</f>
        <v>10300</v>
      </c>
      <c r="K4" s="172">
        <f>'FS Jimbaran July 2019'!V14</f>
        <v>782.31000000000006</v>
      </c>
      <c r="L4" s="170">
        <f>'FS Jimbaran July 2019'!AA14/'FS Jimbaran July 2019'!V14</f>
        <v>4065.757519908987</v>
      </c>
      <c r="M4" s="172">
        <f>+'RNs &amp; Covers July 2019'!B8</f>
        <v>90</v>
      </c>
      <c r="N4" s="172">
        <f>+'RNs &amp; Covers July 2019'!C8</f>
        <v>708</v>
      </c>
    </row>
    <row r="5" spans="1:15" x14ac:dyDescent="0.35">
      <c r="A5" s="158" t="s">
        <v>49</v>
      </c>
      <c r="B5" s="159">
        <f t="shared" si="0"/>
        <v>4</v>
      </c>
      <c r="C5" s="160">
        <v>7</v>
      </c>
      <c r="D5" s="159">
        <v>2019</v>
      </c>
      <c r="E5" s="172">
        <f>'FS Jimbaran July 2019'!P15</f>
        <v>24040.000000000648</v>
      </c>
      <c r="F5" s="170">
        <f>'FS Jimbaran July 2019'!O15/'FS Jimbaran July 2019'!P15</f>
        <v>1124.96737936772</v>
      </c>
      <c r="G5" s="172">
        <f>'FS Jimbaran July 2019'!AG15</f>
        <v>0</v>
      </c>
      <c r="H5" s="170" t="e">
        <f>'FS Jimbaran July 2019'!AH15/'FS Jimbaran July 2019'!AG15</f>
        <v>#DIV/0!</v>
      </c>
      <c r="I5" s="172">
        <f>'FS Jimbaran July 2019'!AJ15</f>
        <v>711.12999999999738</v>
      </c>
      <c r="J5" s="162">
        <f>'FS Jimbaran July 2019'!AK15/'FS Jimbaran July 2019'!AJ15</f>
        <v>10300</v>
      </c>
      <c r="K5" s="172">
        <f>'FS Jimbaran July 2019'!V15</f>
        <v>781.42000000000007</v>
      </c>
      <c r="L5" s="170">
        <f>'FS Jimbaran July 2019'!AA15/'FS Jimbaran July 2019'!V15</f>
        <v>4097.7695216400907</v>
      </c>
      <c r="M5" s="172">
        <f>+'RNs &amp; Covers July 2019'!B9</f>
        <v>102</v>
      </c>
      <c r="N5" s="172">
        <f>+'RNs &amp; Covers July 2019'!C9</f>
        <v>714</v>
      </c>
    </row>
    <row r="6" spans="1:15" x14ac:dyDescent="0.35">
      <c r="A6" s="158" t="s">
        <v>49</v>
      </c>
      <c r="B6" s="159">
        <f t="shared" si="0"/>
        <v>5</v>
      </c>
      <c r="C6" s="160">
        <v>7</v>
      </c>
      <c r="D6" s="159">
        <v>2019</v>
      </c>
      <c r="E6" s="172">
        <f>'FS Jimbaran July 2019'!P16</f>
        <v>22379.9999999992</v>
      </c>
      <c r="F6" s="170">
        <f>'FS Jimbaran July 2019'!O16/'FS Jimbaran July 2019'!P16</f>
        <v>1127.4173726541596</v>
      </c>
      <c r="G6" s="172">
        <f>'FS Jimbaran July 2019'!AG16</f>
        <v>148.10956000001639</v>
      </c>
      <c r="H6" s="170">
        <f>'FS Jimbaran July 2019'!AH16/'FS Jimbaran July 2019'!AG16</f>
        <v>10032</v>
      </c>
      <c r="I6" s="172">
        <f>'FS Jimbaran July 2019'!AJ16</f>
        <v>575.31999999999971</v>
      </c>
      <c r="J6" s="162">
        <f>'FS Jimbaran July 2019'!AK16/'FS Jimbaran July 2019'!AJ16</f>
        <v>10300</v>
      </c>
      <c r="K6" s="172">
        <f>'FS Jimbaran July 2019'!V16</f>
        <v>790.32</v>
      </c>
      <c r="L6" s="170">
        <f>'FS Jimbaran July 2019'!AA16/'FS Jimbaran July 2019'!V16</f>
        <v>3806.8460360360359</v>
      </c>
      <c r="M6" s="172">
        <f>+'RNs &amp; Covers July 2019'!B10</f>
        <v>104</v>
      </c>
      <c r="N6" s="172">
        <f>+'RNs &amp; Covers July 2019'!C10</f>
        <v>750</v>
      </c>
    </row>
    <row r="7" spans="1:15" x14ac:dyDescent="0.35">
      <c r="A7" s="158" t="s">
        <v>49</v>
      </c>
      <c r="B7" s="159">
        <f t="shared" si="0"/>
        <v>6</v>
      </c>
      <c r="C7" s="160">
        <v>7</v>
      </c>
      <c r="D7" s="159">
        <v>2019</v>
      </c>
      <c r="E7" s="172">
        <f>'FS Jimbaran July 2019'!P17</f>
        <v>22520.000000000437</v>
      </c>
      <c r="F7" s="170">
        <f>'FS Jimbaran July 2019'!O17/'FS Jimbaran July 2019'!P17</f>
        <v>1125.4678774422634</v>
      </c>
      <c r="G7" s="172">
        <f>'FS Jimbaran July 2019'!AG17</f>
        <v>138.0798399999953</v>
      </c>
      <c r="H7" s="170">
        <f>'FS Jimbaran July 2019'!AH17/'FS Jimbaran July 2019'!AG17</f>
        <v>10032</v>
      </c>
      <c r="I7" s="172">
        <f>'FS Jimbaran July 2019'!AJ17</f>
        <v>531.2300000000032</v>
      </c>
      <c r="J7" s="162">
        <f>'FS Jimbaran July 2019'!AK17/'FS Jimbaran July 2019'!AJ17</f>
        <v>10300</v>
      </c>
      <c r="K7" s="172">
        <f>'FS Jimbaran July 2019'!V17</f>
        <v>794.7700000000001</v>
      </c>
      <c r="L7" s="170">
        <f>'FS Jimbaran July 2019'!AA17/'FS Jimbaran July 2019'!V17</f>
        <v>4154.4342889137733</v>
      </c>
      <c r="M7" s="172">
        <f>+'RNs &amp; Covers July 2019'!B11</f>
        <v>98</v>
      </c>
      <c r="N7" s="172">
        <f>+'RNs &amp; Covers July 2019'!C11</f>
        <v>837</v>
      </c>
    </row>
    <row r="8" spans="1:15" x14ac:dyDescent="0.35">
      <c r="A8" s="158" t="s">
        <v>49</v>
      </c>
      <c r="B8" s="159">
        <f t="shared" si="0"/>
        <v>7</v>
      </c>
      <c r="C8" s="160">
        <v>7</v>
      </c>
      <c r="D8" s="159">
        <v>2019</v>
      </c>
      <c r="E8" s="172">
        <f>'FS Jimbaran July 2019'!P18</f>
        <v>22300.000000000182</v>
      </c>
      <c r="F8" s="170">
        <f>'FS Jimbaran July 2019'!O18/'FS Jimbaran July 2019'!P18</f>
        <v>1124.0303139013486</v>
      </c>
      <c r="G8" s="172">
        <f>'FS Jimbaran July 2019'!AG18</f>
        <v>293.79959999998823</v>
      </c>
      <c r="H8" s="170">
        <f>'FS Jimbaran July 2019'!AH18/'FS Jimbaran July 2019'!AG18</f>
        <v>10669.169009079684</v>
      </c>
      <c r="I8" s="172">
        <f>'FS Jimbaran July 2019'!AJ18</f>
        <v>486.75</v>
      </c>
      <c r="J8" s="162">
        <f>'FS Jimbaran July 2019'!AK18/'FS Jimbaran July 2019'!AJ18</f>
        <v>10300</v>
      </c>
      <c r="K8" s="172">
        <f>'FS Jimbaran July 2019'!V18</f>
        <v>764.51</v>
      </c>
      <c r="L8" s="170">
        <f>'FS Jimbaran July 2019'!AA18/'FS Jimbaran July 2019'!V18</f>
        <v>4812.8909895227016</v>
      </c>
      <c r="M8" s="172">
        <f>+'RNs &amp; Covers July 2019'!B12</f>
        <v>78</v>
      </c>
      <c r="N8" s="172">
        <f>+'RNs &amp; Covers July 2019'!C12</f>
        <v>739</v>
      </c>
    </row>
    <row r="9" spans="1:15" x14ac:dyDescent="0.35">
      <c r="A9" s="158" t="s">
        <v>49</v>
      </c>
      <c r="B9" s="159">
        <f t="shared" si="0"/>
        <v>8</v>
      </c>
      <c r="C9" s="160">
        <v>7</v>
      </c>
      <c r="D9" s="159">
        <v>2019</v>
      </c>
      <c r="E9" s="172">
        <f>'FS Jimbaran July 2019'!P19</f>
        <v>21819.999999999709</v>
      </c>
      <c r="F9" s="170">
        <f>'FS Jimbaran July 2019'!O19/'FS Jimbaran July 2019'!P19</f>
        <v>1127.8704307974374</v>
      </c>
      <c r="G9" s="172">
        <f>'FS Jimbaran July 2019'!AG19</f>
        <v>138.56319999997655</v>
      </c>
      <c r="H9" s="170">
        <f>'FS Jimbaran July 2019'!AH19/'FS Jimbaran July 2019'!AG19</f>
        <v>10032</v>
      </c>
      <c r="I9" s="172">
        <f>'FS Jimbaran July 2019'!AJ19</f>
        <v>542</v>
      </c>
      <c r="J9" s="162">
        <f>'FS Jimbaran July 2019'!AK19/'FS Jimbaran July 2019'!AJ19</f>
        <v>10300</v>
      </c>
      <c r="K9" s="172">
        <f>'FS Jimbaran July 2019'!V19</f>
        <v>717.34</v>
      </c>
      <c r="L9" s="170">
        <f>'FS Jimbaran July 2019'!AA19/'FS Jimbaran July 2019'!V19</f>
        <v>2761.5548138957815</v>
      </c>
      <c r="M9" s="172">
        <f>+'RNs &amp; Covers July 2019'!B13</f>
        <v>89</v>
      </c>
      <c r="N9" s="172">
        <f>+'RNs &amp; Covers July 2019'!C13</f>
        <v>776</v>
      </c>
      <c r="O9" s="163" t="s">
        <v>46</v>
      </c>
    </row>
    <row r="10" spans="1:15" x14ac:dyDescent="0.35">
      <c r="A10" s="158" t="s">
        <v>49</v>
      </c>
      <c r="B10" s="159">
        <f t="shared" si="0"/>
        <v>9</v>
      </c>
      <c r="C10" s="160">
        <v>7</v>
      </c>
      <c r="D10" s="159">
        <v>2019</v>
      </c>
      <c r="E10" s="172">
        <f>'FS Jimbaran July 2019'!P20</f>
        <v>21580.000000000153</v>
      </c>
      <c r="F10" s="170">
        <f>'FS Jimbaran July 2019'!O20/'FS Jimbaran July 2019'!P20</f>
        <v>1128.4146339202937</v>
      </c>
      <c r="G10" s="172">
        <f>'FS Jimbaran July 2019'!AG20</f>
        <v>168.88716000000468</v>
      </c>
      <c r="H10" s="170">
        <f>'FS Jimbaran July 2019'!AH20/'FS Jimbaran July 2019'!AG20</f>
        <v>10258.376001585904</v>
      </c>
      <c r="I10" s="172">
        <f>'FS Jimbaran July 2019'!AJ20</f>
        <v>523.45999999999913</v>
      </c>
      <c r="J10" s="162">
        <f>'FS Jimbaran July 2019'!AK20/'FS Jimbaran July 2019'!AJ20</f>
        <v>10300</v>
      </c>
      <c r="K10" s="172">
        <f>'FS Jimbaran July 2019'!V20</f>
        <v>770.74</v>
      </c>
      <c r="L10" s="170">
        <f>'FS Jimbaran July 2019'!AA20/'FS Jimbaran July 2019'!V20</f>
        <v>3181.810669745958</v>
      </c>
      <c r="M10" s="172">
        <f>+'RNs &amp; Covers July 2019'!B14</f>
        <v>90</v>
      </c>
      <c r="N10" s="172">
        <f>+'RNs &amp; Covers July 2019'!C14</f>
        <v>609</v>
      </c>
    </row>
    <row r="11" spans="1:15" x14ac:dyDescent="0.35">
      <c r="A11" s="158" t="s">
        <v>49</v>
      </c>
      <c r="B11" s="159">
        <f t="shared" si="0"/>
        <v>10</v>
      </c>
      <c r="C11" s="160">
        <v>7</v>
      </c>
      <c r="D11" s="159">
        <v>2019</v>
      </c>
      <c r="E11" s="172">
        <f>'FS Jimbaran July 2019'!P21</f>
        <v>22259.999999999764</v>
      </c>
      <c r="F11" s="170">
        <f>'FS Jimbaran July 2019'!O21/'FS Jimbaran July 2019'!P21</f>
        <v>1131.1685444743925</v>
      </c>
      <c r="G11" s="172">
        <f>'FS Jimbaran July 2019'!AG21</f>
        <v>155.92388000002578</v>
      </c>
      <c r="H11" s="170">
        <f>'FS Jimbaran July 2019'!AH21/'FS Jimbaran July 2019'!AG21</f>
        <v>10032</v>
      </c>
      <c r="I11" s="172">
        <f>'FS Jimbaran July 2019'!AJ21</f>
        <v>445.11000000000058</v>
      </c>
      <c r="J11" s="162">
        <f>'FS Jimbaran July 2019'!AK21/'FS Jimbaran July 2019'!AJ21</f>
        <v>10299.999999999998</v>
      </c>
      <c r="K11" s="172">
        <f>'FS Jimbaran July 2019'!V21</f>
        <v>848.17000000000007</v>
      </c>
      <c r="L11" s="170">
        <f>'FS Jimbaran July 2019'!AA21/'FS Jimbaran July 2019'!V21</f>
        <v>1797.6485204616997</v>
      </c>
      <c r="M11" s="172">
        <f>+'RNs &amp; Covers July 2019'!B15</f>
        <v>113</v>
      </c>
      <c r="N11" s="172">
        <f>+'RNs &amp; Covers July 2019'!C15</f>
        <v>695</v>
      </c>
    </row>
    <row r="12" spans="1:15" x14ac:dyDescent="0.35">
      <c r="A12" s="158" t="s">
        <v>49</v>
      </c>
      <c r="B12" s="159">
        <f t="shared" si="0"/>
        <v>11</v>
      </c>
      <c r="C12" s="160">
        <v>7</v>
      </c>
      <c r="D12" s="159">
        <v>2019</v>
      </c>
      <c r="E12" s="172">
        <f>'FS Jimbaran July 2019'!P22</f>
        <v>22899.999999999181</v>
      </c>
      <c r="F12" s="170">
        <f>'FS Jimbaran July 2019'!O22/'FS Jimbaran July 2019'!P22</f>
        <v>1125.7888296943268</v>
      </c>
      <c r="G12" s="172">
        <f>'FS Jimbaran July 2019'!AG22</f>
        <v>161.44224000000702</v>
      </c>
      <c r="H12" s="170">
        <f>'FS Jimbaran July 2019'!AH22/'FS Jimbaran July 2019'!AG22</f>
        <v>10032</v>
      </c>
      <c r="I12" s="172">
        <f>'FS Jimbaran July 2019'!AJ22</f>
        <v>626.80999999998278</v>
      </c>
      <c r="J12" s="162">
        <f>'FS Jimbaran July 2019'!AK22/'FS Jimbaran July 2019'!AJ22</f>
        <v>10300</v>
      </c>
      <c r="K12" s="172">
        <f>'FS Jimbaran July 2019'!V22</f>
        <v>801.8900000000001</v>
      </c>
      <c r="L12" s="170">
        <f>'FS Jimbaran July 2019'!AA22/'FS Jimbaran July 2019'!V22</f>
        <v>1031.0408879023307</v>
      </c>
      <c r="M12" s="172">
        <f>+'RNs &amp; Covers July 2019'!B16</f>
        <v>106</v>
      </c>
      <c r="N12" s="172">
        <f>+'RNs &amp; Covers July 2019'!C16</f>
        <v>749</v>
      </c>
    </row>
    <row r="13" spans="1:15" x14ac:dyDescent="0.35">
      <c r="A13" s="158" t="s">
        <v>49</v>
      </c>
      <c r="B13" s="159">
        <f t="shared" si="0"/>
        <v>12</v>
      </c>
      <c r="C13" s="160">
        <v>7</v>
      </c>
      <c r="D13" s="159">
        <v>2019</v>
      </c>
      <c r="E13" s="172">
        <f>'FS Jimbaran July 2019'!P23</f>
        <v>22380.000000001019</v>
      </c>
      <c r="F13" s="170">
        <f>'FS Jimbaran July 2019'!O23/'FS Jimbaran July 2019'!P23</f>
        <v>1126.4917426273435</v>
      </c>
      <c r="G13" s="172">
        <f>'FS Jimbaran July 2019'!AG23</f>
        <v>163.77848000001404</v>
      </c>
      <c r="H13" s="170">
        <f>'FS Jimbaran July 2019'!AH23/'FS Jimbaran July 2019'!AG23</f>
        <v>10032</v>
      </c>
      <c r="I13" s="172">
        <f>'FS Jimbaran July 2019'!AJ23</f>
        <v>531.59999999999854</v>
      </c>
      <c r="J13" s="162">
        <f>'FS Jimbaran July 2019'!AK23/'FS Jimbaran July 2019'!AJ23</f>
        <v>10300</v>
      </c>
      <c r="K13" s="172">
        <f>'FS Jimbaran July 2019'!V23</f>
        <v>796.55</v>
      </c>
      <c r="L13" s="170">
        <f>'FS Jimbaran July 2019'!AA23/'FS Jimbaran July 2019'!V23</f>
        <v>2100.5551955307265</v>
      </c>
      <c r="M13" s="172">
        <f>+'RNs &amp; Covers July 2019'!B17</f>
        <v>81</v>
      </c>
      <c r="N13" s="172">
        <f>+'RNs &amp; Covers July 2019'!C17</f>
        <v>744</v>
      </c>
    </row>
    <row r="14" spans="1:15" x14ac:dyDescent="0.35">
      <c r="A14" s="158" t="s">
        <v>49</v>
      </c>
      <c r="B14" s="159">
        <f t="shared" si="0"/>
        <v>13</v>
      </c>
      <c r="C14" s="160">
        <v>7</v>
      </c>
      <c r="D14" s="159">
        <v>2019</v>
      </c>
      <c r="E14" s="172">
        <f>'FS Jimbaran July 2019'!P24</f>
        <v>20720.000000000029</v>
      </c>
      <c r="F14" s="170">
        <f>'FS Jimbaran July 2019'!O24/'FS Jimbaran July 2019'!P24</f>
        <v>1127.7604633204646</v>
      </c>
      <c r="G14" s="172">
        <f>'FS Jimbaran July 2019'!AG24</f>
        <v>485.2776799999906</v>
      </c>
      <c r="H14" s="170">
        <f>'FS Jimbaran July 2019'!AH24/'FS Jimbaran July 2019'!AG24</f>
        <v>10921.692680693677</v>
      </c>
      <c r="I14" s="172">
        <f>'FS Jimbaran July 2019'!AJ24</f>
        <v>587.5</v>
      </c>
      <c r="J14" s="162">
        <f>'FS Jimbaran July 2019'!AK24/'FS Jimbaran July 2019'!AJ24</f>
        <v>10300</v>
      </c>
      <c r="K14" s="172">
        <f>'FS Jimbaran July 2019'!V24</f>
        <v>817.91000000000008</v>
      </c>
      <c r="L14" s="170">
        <f>'FS Jimbaran July 2019'!AA24/'FS Jimbaran July 2019'!V24</f>
        <v>3124.1355168661585</v>
      </c>
      <c r="M14" s="172">
        <f>+'RNs &amp; Covers July 2019'!B18</f>
        <v>74</v>
      </c>
      <c r="N14" s="172">
        <f>+'RNs &amp; Covers July 2019'!C18</f>
        <v>645</v>
      </c>
    </row>
    <row r="15" spans="1:15" x14ac:dyDescent="0.35">
      <c r="A15" s="158" t="s">
        <v>49</v>
      </c>
      <c r="B15" s="159">
        <f t="shared" si="0"/>
        <v>14</v>
      </c>
      <c r="C15" s="160">
        <v>7</v>
      </c>
      <c r="D15" s="159">
        <v>2019</v>
      </c>
      <c r="E15" s="172">
        <f>'FS Jimbaran July 2019'!P25</f>
        <v>21559.999999999716</v>
      </c>
      <c r="F15" s="170">
        <f>'FS Jimbaran July 2019'!O25/'FS Jimbaran July 2019'!P25</f>
        <v>1126.5788961038968</v>
      </c>
      <c r="G15" s="172">
        <f>'FS Jimbaran July 2019'!AG25</f>
        <v>163.04999999999998</v>
      </c>
      <c r="H15" s="170">
        <f>'FS Jimbaran July 2019'!AH25/'FS Jimbaran July 2019'!AG25</f>
        <v>10149.240110395584</v>
      </c>
      <c r="I15" s="172">
        <f>'FS Jimbaran July 2019'!AJ25</f>
        <v>583.95000000000437</v>
      </c>
      <c r="J15" s="162">
        <f>'FS Jimbaran July 2019'!AK25/'FS Jimbaran July 2019'!AJ25</f>
        <v>10300</v>
      </c>
      <c r="K15" s="172">
        <f>'FS Jimbaran July 2019'!V25</f>
        <v>790.32</v>
      </c>
      <c r="L15" s="170">
        <f>'FS Jimbaran July 2019'!AA25/'FS Jimbaran July 2019'!V25</f>
        <v>2173.9848423423423</v>
      </c>
      <c r="M15" s="172">
        <f>+'RNs &amp; Covers July 2019'!B19</f>
        <v>70</v>
      </c>
      <c r="N15" s="172">
        <f>+'RNs &amp; Covers July 2019'!C19</f>
        <v>657</v>
      </c>
    </row>
    <row r="16" spans="1:15" x14ac:dyDescent="0.35">
      <c r="A16" s="158" t="s">
        <v>49</v>
      </c>
      <c r="B16" s="159">
        <f t="shared" si="0"/>
        <v>15</v>
      </c>
      <c r="C16" s="160">
        <v>7</v>
      </c>
      <c r="D16" s="159">
        <v>2019</v>
      </c>
      <c r="E16" s="172">
        <f>'FS Jimbaran July 2019'!P26</f>
        <v>21460.000000000262</v>
      </c>
      <c r="F16" s="170">
        <f>'FS Jimbaran July 2019'!O26/'FS Jimbaran July 2019'!P26</f>
        <v>1127.9673159366237</v>
      </c>
      <c r="G16" s="172">
        <f>'FS Jimbaran July 2019'!AG26</f>
        <v>147.46508000000233</v>
      </c>
      <c r="H16" s="170">
        <f>'FS Jimbaran July 2019'!AH26/'FS Jimbaran July 2019'!AG26</f>
        <v>10032</v>
      </c>
      <c r="I16" s="172">
        <f>'FS Jimbaran July 2019'!AJ26</f>
        <v>502.81999999999971</v>
      </c>
      <c r="J16" s="162">
        <f>'FS Jimbaran July 2019'!AK26/'FS Jimbaran July 2019'!AJ26</f>
        <v>10300</v>
      </c>
      <c r="K16" s="172">
        <f>'FS Jimbaran July 2019'!V26</f>
        <v>718.23</v>
      </c>
      <c r="L16" s="170">
        <f>'FS Jimbaran July 2019'!AA26/'FS Jimbaran July 2019'!V26</f>
        <v>1967.5132589838909</v>
      </c>
      <c r="M16" s="172">
        <f>+'RNs &amp; Covers July 2019'!B20</f>
        <v>64</v>
      </c>
      <c r="N16" s="172">
        <f>+'RNs &amp; Covers July 2019'!C20</f>
        <v>508</v>
      </c>
    </row>
    <row r="17" spans="1:14" x14ac:dyDescent="0.35">
      <c r="A17" s="158" t="s">
        <v>49</v>
      </c>
      <c r="B17" s="159">
        <f t="shared" si="0"/>
        <v>16</v>
      </c>
      <c r="C17" s="160">
        <v>7</v>
      </c>
      <c r="D17" s="159">
        <v>2019</v>
      </c>
      <c r="E17" s="172">
        <f>'FS Jimbaran July 2019'!P27</f>
        <v>21680.000000000291</v>
      </c>
      <c r="F17" s="170">
        <f>'FS Jimbaran July 2019'!O27/'FS Jimbaran July 2019'!P27</f>
        <v>1127.5095940959432</v>
      </c>
      <c r="G17" s="172">
        <f>'FS Jimbaran July 2019'!AG27</f>
        <v>163.04999999999998</v>
      </c>
      <c r="H17" s="170">
        <f>'FS Jimbaran July 2019'!AH27/'FS Jimbaran July 2019'!AG27</f>
        <v>10149.240110395584</v>
      </c>
      <c r="I17" s="172">
        <f>'FS Jimbaran July 2019'!AJ27</f>
        <v>521.81999999999971</v>
      </c>
      <c r="J17" s="162">
        <f>'FS Jimbaran July 2019'!AK27/'FS Jimbaran July 2019'!AJ27</f>
        <v>10300</v>
      </c>
      <c r="K17" s="172">
        <f>'FS Jimbaran July 2019'!V27</f>
        <v>760.06000000000006</v>
      </c>
      <c r="L17" s="170">
        <f>'FS Jimbaran July 2019'!AA27/'FS Jimbaran July 2019'!V27</f>
        <v>2546.3791803278687</v>
      </c>
      <c r="M17" s="172">
        <f>+'RNs &amp; Covers July 2019'!B21</f>
        <v>62</v>
      </c>
      <c r="N17" s="172">
        <f>+'RNs &amp; Covers July 2019'!C21</f>
        <v>598</v>
      </c>
    </row>
    <row r="18" spans="1:14" x14ac:dyDescent="0.35">
      <c r="A18" s="158" t="s">
        <v>49</v>
      </c>
      <c r="B18" s="159">
        <f t="shared" si="0"/>
        <v>17</v>
      </c>
      <c r="C18" s="160">
        <v>7</v>
      </c>
      <c r="D18" s="159">
        <v>2019</v>
      </c>
      <c r="E18" s="172">
        <f>'FS Jimbaran July 2019'!P28</f>
        <v>21239.999999998872</v>
      </c>
      <c r="F18" s="170">
        <f>'FS Jimbaran July 2019'!O28/'FS Jimbaran July 2019'!P28</f>
        <v>1127.9468644067783</v>
      </c>
      <c r="G18" s="172">
        <f>'FS Jimbaran July 2019'!AG28</f>
        <v>181.37395999996951</v>
      </c>
      <c r="H18" s="170">
        <f>'FS Jimbaran July 2019'!AH28/'FS Jimbaran July 2019'!AG28</f>
        <v>10242.791008808575</v>
      </c>
      <c r="I18" s="172">
        <f>'FS Jimbaran July 2019'!AJ28</f>
        <v>495.71000000001368</v>
      </c>
      <c r="J18" s="162">
        <f>'FS Jimbaran July 2019'!AK28/'FS Jimbaran July 2019'!AJ28</f>
        <v>10300</v>
      </c>
      <c r="K18" s="172">
        <f>'FS Jimbaran July 2019'!V28</f>
        <v>794.7700000000001</v>
      </c>
      <c r="L18" s="170">
        <f>'FS Jimbaran July 2019'!AA28/'FS Jimbaran July 2019'!V28</f>
        <v>2982.3049496080625</v>
      </c>
      <c r="M18" s="172">
        <f>+'RNs &amp; Covers July 2019'!B22</f>
        <v>66</v>
      </c>
      <c r="N18" s="172">
        <f>+'RNs &amp; Covers July 2019'!C22</f>
        <v>525</v>
      </c>
    </row>
    <row r="19" spans="1:14" x14ac:dyDescent="0.35">
      <c r="A19" s="158" t="s">
        <v>49</v>
      </c>
      <c r="B19" s="159">
        <f t="shared" si="0"/>
        <v>18</v>
      </c>
      <c r="C19" s="160">
        <v>7</v>
      </c>
      <c r="D19" s="159">
        <v>2019</v>
      </c>
      <c r="E19" s="172">
        <f>'FS Jimbaran July 2019'!P29</f>
        <v>22039.999999999964</v>
      </c>
      <c r="F19" s="170">
        <f>'FS Jimbaran July 2019'!O29/'FS Jimbaran July 2019'!P29</f>
        <v>1129.7709255898369</v>
      </c>
      <c r="G19" s="172">
        <f>'FS Jimbaran July 2019'!AG29</f>
        <v>157.49136000003983</v>
      </c>
      <c r="H19" s="170">
        <f>'FS Jimbaran July 2019'!AH29/'FS Jimbaran July 2019'!AG29</f>
        <v>10153.378087026458</v>
      </c>
      <c r="I19" s="172">
        <f>'FS Jimbaran July 2019'!AJ29</f>
        <v>784.30999999999767</v>
      </c>
      <c r="J19" s="162">
        <f>'FS Jimbaran July 2019'!AK29/'FS Jimbaran July 2019'!AJ29</f>
        <v>10300</v>
      </c>
      <c r="K19" s="172">
        <f>'FS Jimbaran July 2019'!V29</f>
        <v>713.78</v>
      </c>
      <c r="L19" s="170">
        <f>'FS Jimbaran July 2019'!AA29/'FS Jimbaran July 2019'!V29</f>
        <v>3713.080922693267</v>
      </c>
      <c r="M19" s="172">
        <f>+'RNs &amp; Covers July 2019'!B23</f>
        <v>69</v>
      </c>
      <c r="N19" s="172">
        <f>+'RNs &amp; Covers July 2019'!C23</f>
        <v>466</v>
      </c>
    </row>
    <row r="20" spans="1:14" x14ac:dyDescent="0.35">
      <c r="A20" s="158" t="s">
        <v>49</v>
      </c>
      <c r="B20" s="159">
        <f t="shared" si="0"/>
        <v>19</v>
      </c>
      <c r="C20" s="160">
        <v>7</v>
      </c>
      <c r="D20" s="159">
        <v>2019</v>
      </c>
      <c r="E20" s="172">
        <f>'FS Jimbaran July 2019'!P30</f>
        <v>21120.000000000116</v>
      </c>
      <c r="F20" s="170">
        <f>'FS Jimbaran July 2019'!O30/'FS Jimbaran July 2019'!P30</f>
        <v>1126.5088352272735</v>
      </c>
      <c r="G20" s="172">
        <f>'FS Jimbaran July 2019'!AG30</f>
        <v>142.2689599999695</v>
      </c>
      <c r="H20" s="170">
        <f>'FS Jimbaran July 2019'!AH30/'FS Jimbaran July 2019'!AG30</f>
        <v>10032</v>
      </c>
      <c r="I20" s="172">
        <f>'FS Jimbaran July 2019'!AJ30</f>
        <v>578.09000000000378</v>
      </c>
      <c r="J20" s="162">
        <f>'FS Jimbaran July 2019'!AK30/'FS Jimbaran July 2019'!AJ30</f>
        <v>10300</v>
      </c>
      <c r="K20" s="172">
        <f>'FS Jimbaran July 2019'!V30</f>
        <v>705.77</v>
      </c>
      <c r="L20" s="170">
        <f>'FS Jimbaran July 2019'!AA30/'FS Jimbaran July 2019'!V30</f>
        <v>3179.5887515762929</v>
      </c>
      <c r="M20" s="172">
        <f>+'RNs &amp; Covers July 2019'!B24</f>
        <v>83</v>
      </c>
      <c r="N20" s="172">
        <f>+'RNs &amp; Covers July 2019'!C24</f>
        <v>531</v>
      </c>
    </row>
    <row r="21" spans="1:14" x14ac:dyDescent="0.35">
      <c r="A21" s="158" t="s">
        <v>49</v>
      </c>
      <c r="B21" s="159">
        <f t="shared" si="0"/>
        <v>20</v>
      </c>
      <c r="C21" s="160">
        <v>7</v>
      </c>
      <c r="D21" s="159">
        <v>2019</v>
      </c>
      <c r="E21" s="172">
        <f>'FS Jimbaran July 2019'!P31</f>
        <v>22660.000000000764</v>
      </c>
      <c r="F21" s="170">
        <f>'FS Jimbaran July 2019'!O31/'FS Jimbaran July 2019'!P31</f>
        <v>1125.3708561341557</v>
      </c>
      <c r="G21" s="172">
        <f>'FS Jimbaran July 2019'!AG31</f>
        <v>167.83988000002577</v>
      </c>
      <c r="H21" s="170">
        <f>'FS Jimbaran July 2019'!AH31/'FS Jimbaran July 2019'!AG31</f>
        <v>10259.788532737237</v>
      </c>
      <c r="I21" s="172">
        <f>'FS Jimbaran July 2019'!AJ31</f>
        <v>530.65000000000146</v>
      </c>
      <c r="J21" s="162">
        <f>'FS Jimbaran July 2019'!AK31/'FS Jimbaran July 2019'!AJ31</f>
        <v>10300</v>
      </c>
      <c r="K21" s="172">
        <f>'FS Jimbaran July 2019'!V31</f>
        <v>736.03</v>
      </c>
      <c r="L21" s="170">
        <f>'FS Jimbaran July 2019'!AA31/'FS Jimbaran July 2019'!V31</f>
        <v>2232.7123579201939</v>
      </c>
      <c r="M21" s="172">
        <f>+'RNs &amp; Covers July 2019'!B25</f>
        <v>64</v>
      </c>
      <c r="N21" s="172">
        <f>+'RNs &amp; Covers July 2019'!C25</f>
        <v>612</v>
      </c>
    </row>
    <row r="22" spans="1:14" x14ac:dyDescent="0.35">
      <c r="A22" s="158" t="s">
        <v>49</v>
      </c>
      <c r="B22" s="159">
        <f t="shared" si="0"/>
        <v>21</v>
      </c>
      <c r="C22" s="160">
        <v>7</v>
      </c>
      <c r="D22" s="159">
        <v>2019</v>
      </c>
      <c r="E22" s="172">
        <f>'FS Jimbaran July 2019'!P32</f>
        <v>22019.999999999982</v>
      </c>
      <c r="F22" s="170">
        <f>'FS Jimbaran July 2019'!O32/'FS Jimbaran July 2019'!P32</f>
        <v>1127.5043869209831</v>
      </c>
      <c r="G22" s="172">
        <f>'FS Jimbaran July 2019'!AG32</f>
        <v>292.3460800000023</v>
      </c>
      <c r="H22" s="170">
        <f>'FS Jimbaran July 2019'!AH32/'FS Jimbaran July 2019'!AG32</f>
        <v>10737.725214444466</v>
      </c>
      <c r="I22" s="172">
        <f>'FS Jimbaran July 2019'!AJ32</f>
        <v>524.54999999999563</v>
      </c>
      <c r="J22" s="162">
        <f>'FS Jimbaran July 2019'!AK32/'FS Jimbaran July 2019'!AJ32</f>
        <v>10300</v>
      </c>
      <c r="K22" s="172">
        <f>'FS Jimbaran July 2019'!V32</f>
        <v>725.35000000000014</v>
      </c>
      <c r="L22" s="170">
        <f>'FS Jimbaran July 2019'!AA32/'FS Jimbaran July 2019'!V32</f>
        <v>3204.8993374233128</v>
      </c>
      <c r="M22" s="172">
        <f>+'RNs &amp; Covers July 2019'!B26</f>
        <v>61</v>
      </c>
      <c r="N22" s="172">
        <f>+'RNs &amp; Covers July 2019'!C26</f>
        <v>654</v>
      </c>
    </row>
    <row r="23" spans="1:14" x14ac:dyDescent="0.35">
      <c r="A23" s="158" t="s">
        <v>49</v>
      </c>
      <c r="B23" s="159">
        <f t="shared" si="0"/>
        <v>22</v>
      </c>
      <c r="C23" s="160">
        <v>7</v>
      </c>
      <c r="D23" s="159">
        <v>2019</v>
      </c>
      <c r="E23" s="172">
        <f>'FS Jimbaran July 2019'!P33</f>
        <v>21380.000000000335</v>
      </c>
      <c r="F23" s="170">
        <f>'FS Jimbaran July 2019'!O33/'FS Jimbaran July 2019'!P33</f>
        <v>1127.3433395696893</v>
      </c>
      <c r="G23" s="172">
        <f>'FS Jimbaran July 2019'!AG33</f>
        <v>477.20423999994841</v>
      </c>
      <c r="H23" s="170">
        <f>'FS Jimbaran July 2019'!AH33/'FS Jimbaran July 2019'!AG33</f>
        <v>10947.331347433223</v>
      </c>
      <c r="I23" s="172">
        <f>'FS Jimbaran July 2019'!AJ33</f>
        <v>553</v>
      </c>
      <c r="J23" s="162">
        <f>'FS Jimbaran July 2019'!AK33/'FS Jimbaran July 2019'!AJ33</f>
        <v>10300</v>
      </c>
      <c r="K23" s="172">
        <f>'FS Jimbaran July 2019'!V33</f>
        <v>671.95</v>
      </c>
      <c r="L23" s="170">
        <f>'FS Jimbaran July 2019'!AA33/'FS Jimbaran July 2019'!V33</f>
        <v>2923.9463311258273</v>
      </c>
      <c r="M23" s="172">
        <f>+'RNs &amp; Covers July 2019'!B27</f>
        <v>56</v>
      </c>
      <c r="N23" s="172">
        <f>+'RNs &amp; Covers July 2019'!C27</f>
        <v>545</v>
      </c>
    </row>
    <row r="24" spans="1:14" x14ac:dyDescent="0.35">
      <c r="A24" s="158" t="s">
        <v>49</v>
      </c>
      <c r="B24" s="159">
        <f t="shared" si="0"/>
        <v>23</v>
      </c>
      <c r="C24" s="160">
        <v>7</v>
      </c>
      <c r="D24" s="159">
        <v>2019</v>
      </c>
      <c r="E24" s="172">
        <f>'FS Jimbaran July 2019'!P34</f>
        <v>22699.999999999593</v>
      </c>
      <c r="F24" s="170">
        <f>'FS Jimbaran July 2019'!O34/'FS Jimbaran July 2019'!P34</f>
        <v>1156.6970484581509</v>
      </c>
      <c r="G24" s="172">
        <f>'FS Jimbaran July 2019'!AG34</f>
        <v>132.84344000004219</v>
      </c>
      <c r="H24" s="170">
        <f>'FS Jimbaran July 2019'!AH34/'FS Jimbaran July 2019'!AG34</f>
        <v>10032</v>
      </c>
      <c r="I24" s="172">
        <f>'FS Jimbaran July 2019'!AJ34</f>
        <v>532.41999999999825</v>
      </c>
      <c r="J24" s="162">
        <f>'FS Jimbaran July 2019'!AK34/'FS Jimbaran July 2019'!AJ34</f>
        <v>10300</v>
      </c>
      <c r="K24" s="172">
        <f>'FS Jimbaran July 2019'!V34</f>
        <v>728.91</v>
      </c>
      <c r="L24" s="170">
        <f>'FS Jimbaran July 2019'!AA34/'FS Jimbaran July 2019'!V34</f>
        <v>2814.1089621489623</v>
      </c>
      <c r="M24" s="172">
        <f>+'RNs &amp; Covers July 2019'!B28</f>
        <v>49</v>
      </c>
      <c r="N24" s="172">
        <f>+'RNs &amp; Covers July 2019'!C28</f>
        <v>512</v>
      </c>
    </row>
    <row r="25" spans="1:14" x14ac:dyDescent="0.35">
      <c r="A25" s="158" t="s">
        <v>49</v>
      </c>
      <c r="B25" s="159">
        <f t="shared" si="0"/>
        <v>24</v>
      </c>
      <c r="C25" s="160">
        <v>7</v>
      </c>
      <c r="D25" s="159">
        <v>2019</v>
      </c>
      <c r="E25" s="172">
        <f>'FS Jimbaran July 2019'!P35</f>
        <v>19639.999999999873</v>
      </c>
      <c r="F25" s="170">
        <f>'FS Jimbaran July 2019'!O35/'FS Jimbaran July 2019'!P35</f>
        <v>1094.3195010183254</v>
      </c>
      <c r="G25" s="172">
        <f>'FS Jimbaran July 2019'!AG35</f>
        <v>132.0378399999953</v>
      </c>
      <c r="H25" s="170">
        <f>'FS Jimbaran July 2019'!AH35/'FS Jimbaran July 2019'!AG35</f>
        <v>10032</v>
      </c>
      <c r="I25" s="172">
        <f>'FS Jimbaran July 2019'!AJ35</f>
        <v>518.47999999999593</v>
      </c>
      <c r="J25" s="162">
        <f>'FS Jimbaran July 2019'!AK35/'FS Jimbaran July 2019'!AJ35</f>
        <v>10300</v>
      </c>
      <c r="K25" s="172">
        <f>'FS Jimbaran July 2019'!V35</f>
        <v>776.97</v>
      </c>
      <c r="L25" s="170">
        <f>'FS Jimbaran July 2019'!AA35/'FS Jimbaran July 2019'!V35</f>
        <v>4091.027101947308</v>
      </c>
      <c r="M25" s="172">
        <f>+'RNs &amp; Covers July 2019'!B29</f>
        <v>66</v>
      </c>
      <c r="N25" s="172">
        <f>+'RNs &amp; Covers July 2019'!C29</f>
        <v>601</v>
      </c>
    </row>
    <row r="26" spans="1:14" x14ac:dyDescent="0.35">
      <c r="A26" s="158" t="s">
        <v>49</v>
      </c>
      <c r="B26" s="159">
        <f>B25+1</f>
        <v>25</v>
      </c>
      <c r="C26" s="160">
        <v>7</v>
      </c>
      <c r="D26" s="159">
        <v>2019</v>
      </c>
      <c r="E26" s="172">
        <f>'FS Jimbaran July 2019'!P36</f>
        <v>21959.999999999582</v>
      </c>
      <c r="F26" s="170">
        <f>'FS Jimbaran July 2019'!O36/'FS Jimbaran July 2019'!P36</f>
        <v>1128.6983333333362</v>
      </c>
      <c r="G26" s="172">
        <f>'FS Jimbaran July 2019'!AG36</f>
        <v>150.2006799999906</v>
      </c>
      <c r="H26" s="170">
        <f>'FS Jimbaran July 2019'!AH36/'FS Jimbaran July 2019'!AG36</f>
        <v>10159.269730070469</v>
      </c>
      <c r="I26" s="172">
        <f>'FS Jimbaran July 2019'!AJ36</f>
        <v>781.09999999999854</v>
      </c>
      <c r="J26" s="162">
        <f>'FS Jimbaran July 2019'!AK36/'FS Jimbaran July 2019'!AJ36</f>
        <v>10300</v>
      </c>
      <c r="K26" s="172">
        <f>'FS Jimbaran July 2019'!V36</f>
        <v>761.84</v>
      </c>
      <c r="L26" s="170">
        <f>'FS Jimbaran July 2019'!AA36/'FS Jimbaran July 2019'!V36</f>
        <v>2343.186378504673</v>
      </c>
      <c r="M26" s="172">
        <f>+'RNs &amp; Covers July 2019'!B30</f>
        <v>80</v>
      </c>
      <c r="N26" s="172">
        <f>+'RNs &amp; Covers July 2019'!C30</f>
        <v>532</v>
      </c>
    </row>
    <row r="27" spans="1:14" x14ac:dyDescent="0.35">
      <c r="A27" s="158" t="s">
        <v>49</v>
      </c>
      <c r="B27" s="159">
        <f t="shared" si="0"/>
        <v>26</v>
      </c>
      <c r="C27" s="160">
        <v>7</v>
      </c>
      <c r="D27" s="159">
        <v>2019</v>
      </c>
      <c r="E27" s="172">
        <f>'FS Jimbaran July 2019'!P37</f>
        <v>22740.000000000917</v>
      </c>
      <c r="F27" s="170">
        <f>'FS Jimbaran July 2019'!O37/'FS Jimbaran July 2019'!P37</f>
        <v>1128.6995778364114</v>
      </c>
      <c r="G27" s="172">
        <f>'FS Jimbaran July 2019'!AG37</f>
        <v>151.44935999998123</v>
      </c>
      <c r="H27" s="170">
        <f>'FS Jimbaran July 2019'!AH37/'FS Jimbaran July 2019'!AG37</f>
        <v>10158.220407930428</v>
      </c>
      <c r="I27" s="172">
        <f>'FS Jimbaran July 2019'!AJ37</f>
        <v>603.0400000000044</v>
      </c>
      <c r="J27" s="162">
        <f>'FS Jimbaran July 2019'!AK37/'FS Jimbaran July 2019'!AJ37</f>
        <v>10300</v>
      </c>
      <c r="K27" s="172">
        <f>'FS Jimbaran July 2019'!V37</f>
        <v>780.53000000000009</v>
      </c>
      <c r="L27" s="170">
        <f>'FS Jimbaran July 2019'!AA37/'FS Jimbaran July 2019'!V37</f>
        <v>3306.9576054732038</v>
      </c>
      <c r="M27" s="172">
        <f>+'RNs &amp; Covers July 2019'!B31</f>
        <v>78</v>
      </c>
      <c r="N27" s="172">
        <f>+'RNs &amp; Covers July 2019'!C31</f>
        <v>772</v>
      </c>
    </row>
    <row r="28" spans="1:14" x14ac:dyDescent="0.35">
      <c r="A28" s="158" t="s">
        <v>49</v>
      </c>
      <c r="B28" s="159">
        <f t="shared" si="0"/>
        <v>27</v>
      </c>
      <c r="C28" s="160">
        <v>7</v>
      </c>
      <c r="D28" s="159">
        <v>2019</v>
      </c>
      <c r="E28" s="172">
        <f>'FS Jimbaran July 2019'!P38</f>
        <v>22499.999999998865</v>
      </c>
      <c r="F28" s="170">
        <f>'FS Jimbaran July 2019'!O38/'FS Jimbaran July 2019'!P38</f>
        <v>1126.0079466666675</v>
      </c>
      <c r="G28" s="172">
        <f>'FS Jimbaran July 2019'!AG38</f>
        <v>533.60875999999291</v>
      </c>
      <c r="H28" s="170">
        <f>'FS Jimbaran July 2019'!AH38/'FS Jimbaran July 2019'!AG38</f>
        <v>10967.51687569748</v>
      </c>
      <c r="I28" s="172">
        <f>'FS Jimbaran July 2019'!AJ38</f>
        <v>493.09999999999854</v>
      </c>
      <c r="J28" s="162">
        <f>'FS Jimbaran July 2019'!AK38/'FS Jimbaran July 2019'!AJ38</f>
        <v>10300</v>
      </c>
      <c r="K28" s="172">
        <f>'FS Jimbaran July 2019'!V38</f>
        <v>747.60000000000014</v>
      </c>
      <c r="L28" s="170">
        <f>'FS Jimbaran July 2019'!AA38/'FS Jimbaran July 2019'!V38</f>
        <v>2336.1023333333328</v>
      </c>
      <c r="M28" s="172">
        <f>+'RNs &amp; Covers July 2019'!B32</f>
        <v>76</v>
      </c>
      <c r="N28" s="172">
        <f>+'RNs &amp; Covers July 2019'!C32</f>
        <v>677</v>
      </c>
    </row>
    <row r="29" spans="1:14" x14ac:dyDescent="0.35">
      <c r="A29" s="158" t="s">
        <v>49</v>
      </c>
      <c r="B29" s="159">
        <f t="shared" si="0"/>
        <v>28</v>
      </c>
      <c r="C29" s="160">
        <v>7</v>
      </c>
      <c r="D29" s="159">
        <v>2019</v>
      </c>
      <c r="E29" s="172">
        <f>'FS Jimbaran July 2019'!P39</f>
        <v>21040.000000001099</v>
      </c>
      <c r="F29" s="170">
        <f>'FS Jimbaran July 2019'!O39/'FS Jimbaran July 2019'!P39</f>
        <v>1126.8538117870687</v>
      </c>
      <c r="G29" s="172">
        <f>'FS Jimbaran July 2019'!AG39</f>
        <v>145.28652000004453</v>
      </c>
      <c r="H29" s="170">
        <f>'FS Jimbaran July 2019'!AH39/'FS Jimbaran July 2019'!AG39</f>
        <v>10163.574491563251</v>
      </c>
      <c r="I29" s="172">
        <f>'FS Jimbaran July 2019'!AJ39</f>
        <v>502.59999999999854</v>
      </c>
      <c r="J29" s="162">
        <f>'FS Jimbaran July 2019'!AK39/'FS Jimbaran July 2019'!AJ39</f>
        <v>10300</v>
      </c>
      <c r="K29" s="172">
        <f>'FS Jimbaran July 2019'!V39</f>
        <v>751.16</v>
      </c>
      <c r="L29" s="170">
        <f>'FS Jimbaran July 2019'!AA39/'FS Jimbaran July 2019'!V39</f>
        <v>2156.8837914691949</v>
      </c>
      <c r="M29" s="172">
        <f>+'RNs &amp; Covers July 2019'!B33</f>
        <v>79</v>
      </c>
      <c r="N29" s="172">
        <f>+'RNs &amp; Covers July 2019'!C33</f>
        <v>646</v>
      </c>
    </row>
    <row r="30" spans="1:14" x14ac:dyDescent="0.35">
      <c r="A30" s="158" t="s">
        <v>49</v>
      </c>
      <c r="B30" s="159">
        <f t="shared" si="0"/>
        <v>29</v>
      </c>
      <c r="C30" s="160">
        <v>7</v>
      </c>
      <c r="D30" s="159">
        <v>2019</v>
      </c>
      <c r="E30" s="172">
        <f>'FS Jimbaran July 2019'!P40</f>
        <v>21539.999999999054</v>
      </c>
      <c r="F30" s="170">
        <f>'FS Jimbaran July 2019'!O40/'FS Jimbaran July 2019'!P40</f>
        <v>1127.1440668523762</v>
      </c>
      <c r="G30" s="172">
        <f>'FS Jimbaran July 2019'!AG40</f>
        <v>130.34608000000233</v>
      </c>
      <c r="H30" s="170">
        <f>'FS Jimbaran July 2019'!AH40/'FS Jimbaran July 2019'!AG40</f>
        <v>10032</v>
      </c>
      <c r="I30" s="172">
        <f>'FS Jimbaran July 2019'!AJ40</f>
        <v>543</v>
      </c>
      <c r="J30" s="162">
        <f>'FS Jimbaran July 2019'!AK40/'FS Jimbaran July 2019'!AJ40</f>
        <v>10300</v>
      </c>
      <c r="K30" s="172">
        <f>'FS Jimbaran July 2019'!V40</f>
        <v>701.32</v>
      </c>
      <c r="L30" s="170">
        <f>'FS Jimbaran July 2019'!AA40/'FS Jimbaran July 2019'!V40</f>
        <v>1637.3133756345178</v>
      </c>
      <c r="M30" s="172">
        <f>+'RNs &amp; Covers July 2019'!B34</f>
        <v>66</v>
      </c>
      <c r="N30" s="172">
        <f>+'RNs &amp; Covers July 2019'!C34</f>
        <v>510</v>
      </c>
    </row>
    <row r="31" spans="1:14" x14ac:dyDescent="0.35">
      <c r="A31" s="158" t="s">
        <v>49</v>
      </c>
      <c r="B31" s="159">
        <f t="shared" si="0"/>
        <v>30</v>
      </c>
      <c r="C31" s="160">
        <v>7</v>
      </c>
      <c r="D31" s="159">
        <v>2019</v>
      </c>
      <c r="E31" s="172">
        <f>'FS Jimbaran July 2019'!P41</f>
        <v>21540.000000000648</v>
      </c>
      <c r="F31" s="170">
        <f>'FS Jimbaran July 2019'!O41/'FS Jimbaran July 2019'!P41</f>
        <v>1126.1823398328661</v>
      </c>
      <c r="G31" s="172">
        <f>'FS Jimbaran July 2019'!AG41</f>
        <v>141.14111999997419</v>
      </c>
      <c r="H31" s="170">
        <f>'FS Jimbaran July 2019'!AH41/'FS Jimbaran July 2019'!AG41</f>
        <v>10032</v>
      </c>
      <c r="I31" s="172">
        <f>'FS Jimbaran July 2019'!AJ41</f>
        <v>526.76000000000204</v>
      </c>
      <c r="J31" s="162">
        <f>'FS Jimbaran July 2019'!AK41/'FS Jimbaran July 2019'!AJ41</f>
        <v>10300</v>
      </c>
      <c r="K31" s="172">
        <f>'FS Jimbaran July 2019'!V41</f>
        <v>780.53000000000009</v>
      </c>
      <c r="L31" s="170">
        <f>'FS Jimbaran July 2019'!AA41/'FS Jimbaran July 2019'!V41</f>
        <v>2080.7145952109463</v>
      </c>
      <c r="M31" s="172">
        <f>+'RNs &amp; Covers July 2019'!B35</f>
        <v>65</v>
      </c>
      <c r="N31" s="172">
        <f>+'RNs &amp; Covers July 2019'!C35</f>
        <v>511</v>
      </c>
    </row>
    <row r="32" spans="1:14" x14ac:dyDescent="0.35">
      <c r="A32" s="158" t="s">
        <v>49</v>
      </c>
      <c r="B32" s="159">
        <f t="shared" si="0"/>
        <v>31</v>
      </c>
      <c r="C32" s="160">
        <v>7</v>
      </c>
      <c r="D32" s="159">
        <v>2019</v>
      </c>
      <c r="E32" s="172">
        <f>'FS Jimbaran July 2019'!P42</f>
        <v>21579.999999999243</v>
      </c>
      <c r="F32" s="170">
        <f>'FS Jimbaran July 2019'!O42/'FS Jimbaran July 2019'!P42</f>
        <v>1127.4546895273418</v>
      </c>
      <c r="G32" s="172">
        <f>'FS Jimbaran July 2019'!AG42</f>
        <v>143.23567999999059</v>
      </c>
      <c r="H32" s="170">
        <f>'FS Jimbaran July 2019'!AH42/'FS Jimbaran July 2019'!AG42</f>
        <v>10032</v>
      </c>
      <c r="I32" s="172">
        <f>'FS Jimbaran July 2019'!AJ42</f>
        <v>252.9499999999947</v>
      </c>
      <c r="J32" s="162">
        <f>'FS Jimbaran July 2019'!AK42/'FS Jimbaran July 2019'!AJ42</f>
        <v>10300</v>
      </c>
      <c r="K32" s="172">
        <f>'FS Jimbaran July 2019'!V42</f>
        <v>901.57</v>
      </c>
      <c r="L32" s="170">
        <f>'FS Jimbaran July 2019'!AA42/'FS Jimbaran July 2019'!V42</f>
        <v>2312.4819348469891</v>
      </c>
      <c r="M32" s="172">
        <f>+'RNs &amp; Covers July 2019'!B36</f>
        <v>76</v>
      </c>
      <c r="N32" s="172">
        <f>+'RNs &amp; Covers July 2019'!C36</f>
        <v>591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zoomScale="62" zoomScaleNormal="62" workbookViewId="0">
      <pane xSplit="4" ySplit="10" topLeftCell="W11" activePane="bottomRight" state="frozen"/>
      <selection pane="topRight" activeCell="E1" sqref="E1"/>
      <selection pane="bottomLeft" activeCell="A11" sqref="A11"/>
      <selection pane="bottomRight" activeCell="Y12" sqref="Y12:Y42"/>
    </sheetView>
  </sheetViews>
  <sheetFormatPr defaultRowHeight="15.5" x14ac:dyDescent="0.35"/>
  <cols>
    <col min="1" max="1" width="3.7265625" style="15" customWidth="1"/>
    <col min="2" max="2" width="8.7265625" style="15" customWidth="1"/>
    <col min="3" max="3" width="11" style="4" customWidth="1"/>
    <col min="4" max="4" width="11" customWidth="1"/>
    <col min="5" max="5" width="14.7265625" style="4" customWidth="1"/>
    <col min="6" max="6" width="17.7265625" style="4" customWidth="1"/>
    <col min="7" max="7" width="14.81640625" customWidth="1"/>
    <col min="8" max="8" width="17.1796875" style="4" customWidth="1"/>
    <col min="9" max="9" width="17" customWidth="1"/>
    <col min="10" max="10" width="14" customWidth="1"/>
    <col min="11" max="11" width="17.453125" customWidth="1"/>
    <col min="12" max="12" width="14.1796875" style="4" customWidth="1"/>
    <col min="13" max="13" width="18.26953125" style="64" bestFit="1" customWidth="1"/>
    <col min="14" max="14" width="20.453125" style="68" customWidth="1"/>
    <col min="15" max="15" width="18.81640625" customWidth="1"/>
    <col min="16" max="16" width="15.1796875" style="68" customWidth="1"/>
    <col min="17" max="17" width="19.7265625" customWidth="1"/>
    <col min="18" max="18" width="18.1796875" style="89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4" bestFit="1" customWidth="1"/>
    <col min="31" max="31" width="14.81640625" customWidth="1"/>
    <col min="32" max="32" width="12.26953125" bestFit="1" customWidth="1"/>
    <col min="33" max="33" width="10" bestFit="1" customWidth="1"/>
    <col min="34" max="34" width="19" style="4" customWidth="1"/>
    <col min="35" max="35" width="10.54296875" customWidth="1"/>
    <col min="36" max="36" width="13.26953125" style="89" bestFit="1" customWidth="1"/>
    <col min="37" max="37" width="20.7265625" bestFit="1" customWidth="1"/>
    <col min="38" max="38" width="9.453125" style="41" bestFit="1" customWidth="1"/>
    <col min="39" max="39" width="2.26953125" style="15" customWidth="1"/>
  </cols>
  <sheetData>
    <row r="5" spans="1:39" x14ac:dyDescent="0.35">
      <c r="N5" s="173"/>
      <c r="X5" s="174"/>
    </row>
    <row r="6" spans="1:39" s="27" customFormat="1" ht="19" thickBot="1" x14ac:dyDescent="0.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" thickBot="1" x14ac:dyDescent="0.4">
      <c r="A7" s="32"/>
      <c r="B7" s="229" t="s">
        <v>53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1"/>
      <c r="AM7" s="32"/>
    </row>
    <row r="8" spans="1:39" s="8" customFormat="1" ht="15.75" customHeight="1" thickBot="1" x14ac:dyDescent="0.4">
      <c r="A8" s="28"/>
      <c r="B8" s="232" t="s">
        <v>1</v>
      </c>
      <c r="C8" s="235" t="s">
        <v>2</v>
      </c>
      <c r="D8" s="238" t="s">
        <v>3</v>
      </c>
      <c r="E8" s="241" t="s">
        <v>34</v>
      </c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2"/>
      <c r="V8" s="243" t="s">
        <v>19</v>
      </c>
      <c r="W8" s="244"/>
      <c r="X8" s="244"/>
      <c r="Y8" s="244"/>
      <c r="Z8" s="244"/>
      <c r="AA8" s="244"/>
      <c r="AB8" s="245"/>
      <c r="AC8" s="246" t="s">
        <v>24</v>
      </c>
      <c r="AD8" s="246"/>
      <c r="AE8" s="246"/>
      <c r="AF8" s="246"/>
      <c r="AG8" s="246"/>
      <c r="AH8" s="246"/>
      <c r="AI8" s="246"/>
      <c r="AJ8" s="246"/>
      <c r="AK8" s="246"/>
      <c r="AL8" s="247"/>
      <c r="AM8" s="30"/>
    </row>
    <row r="9" spans="1:39" ht="15" customHeight="1" thickBot="1" x14ac:dyDescent="0.4">
      <c r="A9" s="31"/>
      <c r="B9" s="233"/>
      <c r="C9" s="236"/>
      <c r="D9" s="239"/>
      <c r="E9" s="248" t="s">
        <v>33</v>
      </c>
      <c r="F9" s="249"/>
      <c r="G9" s="249"/>
      <c r="H9" s="249"/>
      <c r="I9" s="250"/>
      <c r="J9" s="251" t="s">
        <v>5</v>
      </c>
      <c r="K9" s="251"/>
      <c r="L9" s="251"/>
      <c r="M9" s="251"/>
      <c r="N9" s="252"/>
      <c r="O9" s="238" t="s">
        <v>12</v>
      </c>
      <c r="P9" s="253" t="s">
        <v>32</v>
      </c>
      <c r="Q9" s="255" t="s">
        <v>51</v>
      </c>
      <c r="R9" s="221" t="s">
        <v>21</v>
      </c>
      <c r="S9" s="223" t="s">
        <v>13</v>
      </c>
      <c r="T9" s="225" t="s">
        <v>18</v>
      </c>
      <c r="U9" s="226"/>
      <c r="V9" s="53"/>
      <c r="W9" s="53" t="s">
        <v>4</v>
      </c>
      <c r="X9" s="53"/>
      <c r="Y9" s="54"/>
      <c r="Z9" s="177"/>
      <c r="AA9" s="227" t="s">
        <v>27</v>
      </c>
      <c r="AB9" s="228"/>
      <c r="AC9" s="246" t="s">
        <v>22</v>
      </c>
      <c r="AD9" s="246"/>
      <c r="AE9" s="246"/>
      <c r="AF9" s="246"/>
      <c r="AG9" s="246"/>
      <c r="AH9" s="246"/>
      <c r="AI9" s="247"/>
      <c r="AJ9" s="257" t="s">
        <v>20</v>
      </c>
      <c r="AK9" s="258"/>
      <c r="AL9" s="259"/>
      <c r="AM9" s="31"/>
    </row>
    <row r="10" spans="1:39" ht="61.5" customHeight="1" thickBot="1" x14ac:dyDescent="0.4">
      <c r="A10" s="29"/>
      <c r="B10" s="234"/>
      <c r="C10" s="237"/>
      <c r="D10" s="240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40"/>
      <c r="P10" s="254"/>
      <c r="Q10" s="256"/>
      <c r="R10" s="222"/>
      <c r="S10" s="224"/>
      <c r="T10" s="178" t="s">
        <v>16</v>
      </c>
      <c r="U10" s="24" t="s">
        <v>17</v>
      </c>
      <c r="V10" s="179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35">
      <c r="A11" s="29"/>
      <c r="B11" s="57"/>
      <c r="C11" s="101"/>
      <c r="D11" s="180"/>
      <c r="E11" s="181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2"/>
      <c r="R11" s="113"/>
      <c r="S11" s="183"/>
      <c r="T11" s="183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35">
      <c r="A12" s="35"/>
      <c r="B12" s="58">
        <v>1</v>
      </c>
      <c r="C12" s="219">
        <v>77</v>
      </c>
      <c r="D12" s="220">
        <v>693</v>
      </c>
      <c r="E12" s="106">
        <v>15480.000000000473</v>
      </c>
      <c r="F12" s="3">
        <v>16033874.40000049</v>
      </c>
      <c r="G12" s="37">
        <v>3519.9999999999818</v>
      </c>
      <c r="H12" s="3">
        <v>5468918.3999999724</v>
      </c>
      <c r="I12" s="103">
        <f>F12+H12</f>
        <v>21502792.800000463</v>
      </c>
      <c r="J12" s="106">
        <v>1900.0000000005457</v>
      </c>
      <c r="K12" s="3">
        <v>1967982.0000005651</v>
      </c>
      <c r="L12" s="184">
        <v>480.00000000001819</v>
      </c>
      <c r="M12" s="185">
        <v>745761.60000002827</v>
      </c>
      <c r="N12" s="94">
        <f>+K12+M12</f>
        <v>2713743.6000005933</v>
      </c>
      <c r="O12" s="108">
        <f>N12+I12</f>
        <v>24216536.400001056</v>
      </c>
      <c r="P12" s="111">
        <f>L12+J12+G12+E12</f>
        <v>21380.000000001019</v>
      </c>
      <c r="Q12" s="135"/>
      <c r="R12" s="199"/>
      <c r="S12" s="213"/>
      <c r="T12" s="210"/>
      <c r="U12" s="208">
        <v>0</v>
      </c>
      <c r="V12" s="186">
        <f>Y12+W12</f>
        <v>817.0200000000001</v>
      </c>
      <c r="W12" s="3">
        <v>78.320000000000007</v>
      </c>
      <c r="X12" s="3">
        <v>1407449.56</v>
      </c>
      <c r="Y12" s="33">
        <v>738.7</v>
      </c>
      <c r="Z12" s="33">
        <v>1643521.4370000002</v>
      </c>
      <c r="AA12" s="33">
        <f t="shared" ref="AA12:AA39" si="0">Z12+X12</f>
        <v>3050970.9970000004</v>
      </c>
      <c r="AB12" s="128">
        <f t="shared" ref="AB12:AB39" si="1">AA12/$AL$48</f>
        <v>235.12252126796287</v>
      </c>
      <c r="AC12" s="134">
        <v>143.31624000000701</v>
      </c>
      <c r="AD12" s="3">
        <v>0</v>
      </c>
      <c r="AE12" s="3">
        <v>0</v>
      </c>
      <c r="AF12" s="3">
        <v>0</v>
      </c>
      <c r="AG12" s="3">
        <f>AD12+AC12+AE12+AF12</f>
        <v>143.31624000000701</v>
      </c>
      <c r="AH12" s="3">
        <v>1437748.5196800705</v>
      </c>
      <c r="AI12" s="43">
        <f t="shared" ref="AI12:AI39" si="2">AH12/$AL$48</f>
        <v>110.79982642537702</v>
      </c>
      <c r="AJ12" s="142">
        <v>168.02000000000123</v>
      </c>
      <c r="AK12" s="3">
        <v>1730606.0000000128</v>
      </c>
      <c r="AL12" s="39">
        <f t="shared" ref="AL12:AL42" si="3">AK12/$AL$48</f>
        <v>133.36883452565547</v>
      </c>
      <c r="AM12" s="7"/>
    </row>
    <row r="13" spans="1:39" x14ac:dyDescent="0.35">
      <c r="A13" s="35"/>
      <c r="B13" s="58">
        <v>2</v>
      </c>
      <c r="C13" s="219">
        <v>86</v>
      </c>
      <c r="D13" s="220">
        <v>636</v>
      </c>
      <c r="E13" s="106">
        <v>16479.999999999563</v>
      </c>
      <c r="F13" s="3">
        <v>17069654.399999548</v>
      </c>
      <c r="G13" s="37">
        <v>3640.0000000001</v>
      </c>
      <c r="H13" s="3">
        <v>5655358.8000001553</v>
      </c>
      <c r="I13" s="103">
        <f t="shared" ref="I13:I42" si="4">F13+H13</f>
        <v>22725013.199999705</v>
      </c>
      <c r="J13" s="106">
        <v>1859.9999999996726</v>
      </c>
      <c r="K13" s="3">
        <v>1926550.7999996608</v>
      </c>
      <c r="L13" s="184">
        <v>460.00000000003638</v>
      </c>
      <c r="M13" s="185">
        <v>714688.20000005653</v>
      </c>
      <c r="N13" s="94">
        <f t="shared" ref="N13:N41" si="5">+K13+M13</f>
        <v>2641238.9999997173</v>
      </c>
      <c r="O13" s="108">
        <f t="shared" ref="O13:O39" si="6">N13+I13</f>
        <v>25366252.199999422</v>
      </c>
      <c r="P13" s="111">
        <f t="shared" ref="P13:P39" si="7">L13+J13+G13+E13</f>
        <v>22439.999999999374</v>
      </c>
      <c r="Q13" s="189"/>
      <c r="R13" s="200"/>
      <c r="S13" s="213"/>
      <c r="T13" s="210"/>
      <c r="U13" s="208">
        <v>0</v>
      </c>
      <c r="V13" s="186">
        <f t="shared" ref="V13:V41" si="8">Y13+W13</f>
        <v>787.65000000000009</v>
      </c>
      <c r="W13" s="3">
        <v>66.75</v>
      </c>
      <c r="X13" s="3">
        <v>1199530.875</v>
      </c>
      <c r="Y13" s="33">
        <v>720.90000000000009</v>
      </c>
      <c r="Z13" s="33">
        <v>1583070.0738000001</v>
      </c>
      <c r="AA13" s="33">
        <f t="shared" si="0"/>
        <v>2782600.9488000004</v>
      </c>
      <c r="AB13" s="128">
        <f t="shared" si="1"/>
        <v>214.44063264049495</v>
      </c>
      <c r="AC13" s="134">
        <v>135.66303999997186</v>
      </c>
      <c r="AD13" s="3">
        <v>0</v>
      </c>
      <c r="AE13" s="3">
        <v>0</v>
      </c>
      <c r="AF13" s="3">
        <v>0</v>
      </c>
      <c r="AG13" s="3">
        <f t="shared" ref="AG13:AG42" si="9">AD13+AC13+AE13+AF13</f>
        <v>135.66303999997186</v>
      </c>
      <c r="AH13" s="3">
        <v>1360971.6172797177</v>
      </c>
      <c r="AI13" s="43">
        <f t="shared" si="2"/>
        <v>104.88302849931819</v>
      </c>
      <c r="AJ13" s="142">
        <v>588.8799999999901</v>
      </c>
      <c r="AK13" s="3">
        <v>6065463.9999998985</v>
      </c>
      <c r="AL13" s="39">
        <f t="shared" si="3"/>
        <v>467.43387260722596</v>
      </c>
      <c r="AM13" s="7"/>
    </row>
    <row r="14" spans="1:39" x14ac:dyDescent="0.35">
      <c r="A14" s="35"/>
      <c r="B14" s="58">
        <v>3</v>
      </c>
      <c r="C14" s="219">
        <v>90</v>
      </c>
      <c r="D14" s="220">
        <v>708</v>
      </c>
      <c r="E14" s="106">
        <v>17400.000000000546</v>
      </c>
      <c r="F14" s="3">
        <v>18022572.000000566</v>
      </c>
      <c r="G14" s="37">
        <v>3720.0000000000273</v>
      </c>
      <c r="H14" s="3">
        <v>5779652.4000000423</v>
      </c>
      <c r="I14" s="103">
        <f t="shared" si="4"/>
        <v>23802224.400000609</v>
      </c>
      <c r="J14" s="106">
        <v>1859.9999999996726</v>
      </c>
      <c r="K14" s="3">
        <v>1926550.7999996608</v>
      </c>
      <c r="L14" s="184">
        <v>480.00000000001819</v>
      </c>
      <c r="M14" s="185">
        <v>745761.60000002827</v>
      </c>
      <c r="N14" s="94">
        <f t="shared" si="5"/>
        <v>2672312.3999996893</v>
      </c>
      <c r="O14" s="108">
        <f t="shared" si="6"/>
        <v>26474536.800000299</v>
      </c>
      <c r="P14" s="111">
        <f t="shared" si="7"/>
        <v>23460.000000000262</v>
      </c>
      <c r="Q14" s="189"/>
      <c r="R14" s="200"/>
      <c r="S14" s="213"/>
      <c r="T14" s="210"/>
      <c r="U14" s="208">
        <v>0</v>
      </c>
      <c r="V14" s="186">
        <f t="shared" si="8"/>
        <v>782.31000000000006</v>
      </c>
      <c r="W14" s="3">
        <v>87.22</v>
      </c>
      <c r="X14" s="3">
        <v>1567387.01</v>
      </c>
      <c r="Y14" s="33">
        <v>695.09</v>
      </c>
      <c r="Z14" s="33">
        <v>1613295.7554000001</v>
      </c>
      <c r="AA14" s="33">
        <f t="shared" si="0"/>
        <v>3180682.7653999999</v>
      </c>
      <c r="AB14" s="128">
        <f t="shared" si="1"/>
        <v>245.11873495020455</v>
      </c>
      <c r="AC14" s="134">
        <v>138.0798399999953</v>
      </c>
      <c r="AD14" s="3">
        <v>0</v>
      </c>
      <c r="AE14" s="3">
        <v>100</v>
      </c>
      <c r="AF14" s="3">
        <v>0</v>
      </c>
      <c r="AG14" s="3">
        <f t="shared" si="9"/>
        <v>238.0798399999953</v>
      </c>
      <c r="AH14" s="3">
        <v>2513216.9548799526</v>
      </c>
      <c r="AI14" s="43">
        <f t="shared" si="2"/>
        <v>193.68060447175941</v>
      </c>
      <c r="AJ14" s="142">
        <v>631.90000000000873</v>
      </c>
      <c r="AK14" s="3">
        <v>6508570.0000000903</v>
      </c>
      <c r="AL14" s="39">
        <f t="shared" si="3"/>
        <v>501.58175536699349</v>
      </c>
      <c r="AM14" s="7"/>
    </row>
    <row r="15" spans="1:39" x14ac:dyDescent="0.35">
      <c r="A15" s="35"/>
      <c r="B15" s="58">
        <v>4</v>
      </c>
      <c r="C15" s="219">
        <v>102</v>
      </c>
      <c r="D15" s="220">
        <v>714</v>
      </c>
      <c r="E15" s="106">
        <v>18079.999999999927</v>
      </c>
      <c r="F15" s="3">
        <v>18726902.399999924</v>
      </c>
      <c r="G15" s="37">
        <v>3680.0000000000637</v>
      </c>
      <c r="H15" s="3">
        <v>5717505.6000000993</v>
      </c>
      <c r="I15" s="103">
        <f t="shared" si="4"/>
        <v>24444408.000000022</v>
      </c>
      <c r="J15" s="106">
        <v>1820.0000000006185</v>
      </c>
      <c r="K15" s="3">
        <v>1885119.6000006406</v>
      </c>
      <c r="L15" s="184">
        <v>460.00000000003638</v>
      </c>
      <c r="M15" s="185">
        <v>714688.20000005653</v>
      </c>
      <c r="N15" s="94">
        <f t="shared" si="5"/>
        <v>2599807.8000006974</v>
      </c>
      <c r="O15" s="108">
        <f t="shared" si="6"/>
        <v>27044215.80000072</v>
      </c>
      <c r="P15" s="111">
        <f t="shared" si="7"/>
        <v>24040.000000000648</v>
      </c>
      <c r="Q15" s="189"/>
      <c r="R15" s="200"/>
      <c r="S15" s="213"/>
      <c r="T15" s="210"/>
      <c r="U15" s="208">
        <v>0</v>
      </c>
      <c r="V15" s="186">
        <f t="shared" si="8"/>
        <v>781.42000000000007</v>
      </c>
      <c r="W15" s="3">
        <v>105.02</v>
      </c>
      <c r="X15" s="3">
        <v>1887261.91</v>
      </c>
      <c r="Y15" s="33">
        <v>676.40000000000009</v>
      </c>
      <c r="Z15" s="33">
        <v>1314817.1496000001</v>
      </c>
      <c r="AA15" s="33">
        <f t="shared" si="0"/>
        <v>3202079.0596000003</v>
      </c>
      <c r="AB15" s="128">
        <f t="shared" si="1"/>
        <v>246.76763644518496</v>
      </c>
      <c r="AC15" s="134">
        <v>0</v>
      </c>
      <c r="AD15" s="3">
        <v>0</v>
      </c>
      <c r="AE15" s="3">
        <v>0</v>
      </c>
      <c r="AF15" s="3">
        <v>0</v>
      </c>
      <c r="AG15" s="3">
        <f t="shared" si="9"/>
        <v>0</v>
      </c>
      <c r="AH15" s="3">
        <v>0</v>
      </c>
      <c r="AI15" s="43">
        <f t="shared" si="2"/>
        <v>0</v>
      </c>
      <c r="AJ15" s="142">
        <v>711.12999999999738</v>
      </c>
      <c r="AK15" s="3">
        <v>7324638.999999973</v>
      </c>
      <c r="AL15" s="39">
        <f t="shared" si="3"/>
        <v>564.47196343428357</v>
      </c>
      <c r="AM15" s="7"/>
    </row>
    <row r="16" spans="1:39" x14ac:dyDescent="0.35">
      <c r="A16" s="35"/>
      <c r="B16" s="58">
        <v>5</v>
      </c>
      <c r="C16" s="219">
        <v>104</v>
      </c>
      <c r="D16" s="220">
        <v>750</v>
      </c>
      <c r="E16" s="106">
        <v>16399.999999999636</v>
      </c>
      <c r="F16" s="3">
        <v>16986791.999999624</v>
      </c>
      <c r="G16" s="37">
        <v>3519.9999999999818</v>
      </c>
      <c r="H16" s="3">
        <v>5468918.3999999724</v>
      </c>
      <c r="I16" s="103">
        <f t="shared" si="4"/>
        <v>22455710.399999596</v>
      </c>
      <c r="J16" s="106">
        <v>2019.9999999995271</v>
      </c>
      <c r="K16" s="3">
        <v>2092275.59999951</v>
      </c>
      <c r="L16" s="184">
        <v>440.00000000005457</v>
      </c>
      <c r="M16" s="185">
        <v>683614.8000000848</v>
      </c>
      <c r="N16" s="94">
        <f t="shared" si="5"/>
        <v>2775890.3999995948</v>
      </c>
      <c r="O16" s="108">
        <f t="shared" si="6"/>
        <v>25231600.799999192</v>
      </c>
      <c r="P16" s="111">
        <f t="shared" si="7"/>
        <v>22379.9999999992</v>
      </c>
      <c r="Q16" s="189"/>
      <c r="R16" s="200"/>
      <c r="S16" s="213"/>
      <c r="T16" s="210"/>
      <c r="U16" s="208">
        <v>0</v>
      </c>
      <c r="V16" s="186">
        <f t="shared" si="8"/>
        <v>790.32</v>
      </c>
      <c r="W16" s="3">
        <v>115.7</v>
      </c>
      <c r="X16" s="3">
        <v>2079186.85</v>
      </c>
      <c r="Y16" s="33">
        <v>674.62</v>
      </c>
      <c r="Z16" s="33">
        <v>929439.70920000004</v>
      </c>
      <c r="AA16" s="33">
        <f t="shared" si="0"/>
        <v>3008626.5592</v>
      </c>
      <c r="AB16" s="128">
        <f t="shared" si="1"/>
        <v>231.85925492193718</v>
      </c>
      <c r="AC16" s="134">
        <v>148.10956000001639</v>
      </c>
      <c r="AD16" s="3">
        <v>0</v>
      </c>
      <c r="AE16" s="3">
        <v>0</v>
      </c>
      <c r="AF16" s="3">
        <v>0</v>
      </c>
      <c r="AG16" s="3">
        <f t="shared" si="9"/>
        <v>148.10956000001639</v>
      </c>
      <c r="AH16" s="3">
        <v>1485835.1059201644</v>
      </c>
      <c r="AI16" s="43">
        <f t="shared" si="2"/>
        <v>114.50561038958303</v>
      </c>
      <c r="AJ16" s="142">
        <v>575.31999999999971</v>
      </c>
      <c r="AK16" s="3">
        <v>5925795.9999999972</v>
      </c>
      <c r="AL16" s="39">
        <f t="shared" si="3"/>
        <v>456.67038375966854</v>
      </c>
      <c r="AM16" s="7"/>
    </row>
    <row r="17" spans="1:39" x14ac:dyDescent="0.35">
      <c r="A17" s="35"/>
      <c r="B17" s="58">
        <v>6</v>
      </c>
      <c r="C17" s="219">
        <v>98</v>
      </c>
      <c r="D17" s="220">
        <v>837</v>
      </c>
      <c r="E17" s="106">
        <v>16840.000000000146</v>
      </c>
      <c r="F17" s="3">
        <v>17442535.200000152</v>
      </c>
      <c r="G17" s="37">
        <v>3439.9999999998272</v>
      </c>
      <c r="H17" s="3">
        <v>5344624.7999997316</v>
      </c>
      <c r="I17" s="103">
        <f t="shared" si="4"/>
        <v>22787159.999999885</v>
      </c>
      <c r="J17" s="106">
        <v>1780.0000000006548</v>
      </c>
      <c r="K17" s="3">
        <v>1843688.4000006781</v>
      </c>
      <c r="L17" s="184">
        <v>459.99999999980901</v>
      </c>
      <c r="M17" s="185">
        <v>714688.19999970333</v>
      </c>
      <c r="N17" s="94">
        <f t="shared" si="5"/>
        <v>2558376.6000003815</v>
      </c>
      <c r="O17" s="108">
        <f t="shared" si="6"/>
        <v>25345536.600000266</v>
      </c>
      <c r="P17" s="111">
        <f t="shared" si="7"/>
        <v>22520.000000000437</v>
      </c>
      <c r="Q17" s="189"/>
      <c r="R17" s="200"/>
      <c r="S17" s="213"/>
      <c r="T17" s="210"/>
      <c r="U17" s="208">
        <v>0</v>
      </c>
      <c r="V17" s="186">
        <f t="shared" si="8"/>
        <v>794.7700000000001</v>
      </c>
      <c r="W17" s="3">
        <v>110.36</v>
      </c>
      <c r="X17" s="3">
        <v>1983224.38</v>
      </c>
      <c r="Y17" s="33">
        <v>684.41000000000008</v>
      </c>
      <c r="Z17" s="33">
        <v>1318595.3598000002</v>
      </c>
      <c r="AA17" s="33">
        <f t="shared" si="0"/>
        <v>3301819.7398000001</v>
      </c>
      <c r="AB17" s="128">
        <f t="shared" si="1"/>
        <v>254.45413370283345</v>
      </c>
      <c r="AC17" s="134">
        <v>138.0798399999953</v>
      </c>
      <c r="AD17" s="3">
        <v>0</v>
      </c>
      <c r="AE17" s="3">
        <v>0</v>
      </c>
      <c r="AF17" s="3">
        <v>0</v>
      </c>
      <c r="AG17" s="3">
        <f t="shared" si="9"/>
        <v>138.0798399999953</v>
      </c>
      <c r="AH17" s="3">
        <v>1385216.9548799528</v>
      </c>
      <c r="AI17" s="43">
        <f t="shared" si="2"/>
        <v>106.75149100229366</v>
      </c>
      <c r="AJ17" s="142">
        <v>531.2300000000032</v>
      </c>
      <c r="AK17" s="3">
        <v>5471669.0000000326</v>
      </c>
      <c r="AL17" s="39">
        <f t="shared" si="3"/>
        <v>421.67316965280241</v>
      </c>
      <c r="AM17" s="7"/>
    </row>
    <row r="18" spans="1:39" x14ac:dyDescent="0.35">
      <c r="A18" s="35"/>
      <c r="B18" s="58">
        <v>7</v>
      </c>
      <c r="C18" s="219">
        <v>78</v>
      </c>
      <c r="D18" s="220">
        <v>739</v>
      </c>
      <c r="E18" s="106">
        <v>16640.000000000327</v>
      </c>
      <c r="F18" s="3">
        <v>17235379.200000338</v>
      </c>
      <c r="G18" s="37">
        <v>3360.0000000001273</v>
      </c>
      <c r="H18" s="3">
        <v>5220331.2000001976</v>
      </c>
      <c r="I18" s="103">
        <f t="shared" si="4"/>
        <v>22455710.400000535</v>
      </c>
      <c r="J18" s="106">
        <v>1859.9999999996726</v>
      </c>
      <c r="K18" s="3">
        <v>1926550.7999996608</v>
      </c>
      <c r="L18" s="184">
        <v>440.00000000005457</v>
      </c>
      <c r="M18" s="185">
        <v>683614.8000000848</v>
      </c>
      <c r="N18" s="94">
        <f t="shared" si="5"/>
        <v>2610165.5999997454</v>
      </c>
      <c r="O18" s="108">
        <f t="shared" si="6"/>
        <v>25065876.000000279</v>
      </c>
      <c r="P18" s="111">
        <f t="shared" si="7"/>
        <v>22300.000000000182</v>
      </c>
      <c r="Q18" s="189"/>
      <c r="R18" s="200"/>
      <c r="S18" s="213"/>
      <c r="T18" s="210"/>
      <c r="U18" s="208">
        <v>0</v>
      </c>
      <c r="V18" s="186">
        <f t="shared" si="8"/>
        <v>764.51</v>
      </c>
      <c r="W18" s="3">
        <v>125.49</v>
      </c>
      <c r="X18" s="3">
        <v>2255118.0449999999</v>
      </c>
      <c r="Y18" s="33">
        <v>639.02</v>
      </c>
      <c r="Z18" s="33">
        <v>1424385.2454000001</v>
      </c>
      <c r="AA18" s="33">
        <f t="shared" si="0"/>
        <v>3679503.2904000003</v>
      </c>
      <c r="AB18" s="128">
        <f t="shared" si="1"/>
        <v>283.56024737806229</v>
      </c>
      <c r="AC18" s="134">
        <v>143.79959999998826</v>
      </c>
      <c r="AD18" s="3">
        <v>0</v>
      </c>
      <c r="AE18" s="3">
        <v>150</v>
      </c>
      <c r="AF18" s="3">
        <v>0</v>
      </c>
      <c r="AG18" s="3">
        <f t="shared" si="9"/>
        <v>293.79959999998823</v>
      </c>
      <c r="AH18" s="3">
        <v>3134597.5871998821</v>
      </c>
      <c r="AI18" s="43">
        <f t="shared" si="2"/>
        <v>241.56718913015263</v>
      </c>
      <c r="AJ18" s="142">
        <v>486.75</v>
      </c>
      <c r="AK18" s="3">
        <v>5013525</v>
      </c>
      <c r="AL18" s="39">
        <f t="shared" si="3"/>
        <v>386.36638617642137</v>
      </c>
      <c r="AM18" s="7"/>
    </row>
    <row r="19" spans="1:39" x14ac:dyDescent="0.35">
      <c r="A19" s="35"/>
      <c r="B19" s="58">
        <v>8</v>
      </c>
      <c r="C19" s="219">
        <v>89</v>
      </c>
      <c r="D19" s="220">
        <v>776</v>
      </c>
      <c r="E19" s="106">
        <v>16199.999999999818</v>
      </c>
      <c r="F19" s="3">
        <v>16779635.99999981</v>
      </c>
      <c r="G19" s="37">
        <v>3440.0000000000546</v>
      </c>
      <c r="H19" s="3">
        <v>5344624.8000000855</v>
      </c>
      <c r="I19" s="103">
        <f t="shared" si="4"/>
        <v>22124260.799999896</v>
      </c>
      <c r="J19" s="106">
        <v>1739.9999999997817</v>
      </c>
      <c r="K19" s="3">
        <v>1802257.1999997739</v>
      </c>
      <c r="L19" s="184">
        <v>440.00000000005457</v>
      </c>
      <c r="M19" s="185">
        <v>683614.8000000848</v>
      </c>
      <c r="N19" s="94">
        <f t="shared" si="5"/>
        <v>2485871.9999998584</v>
      </c>
      <c r="O19" s="108">
        <f t="shared" si="6"/>
        <v>24610132.799999755</v>
      </c>
      <c r="P19" s="111">
        <f t="shared" si="7"/>
        <v>21819.999999999709</v>
      </c>
      <c r="Q19" s="189"/>
      <c r="R19" s="200"/>
      <c r="S19" s="213"/>
      <c r="T19" s="210"/>
      <c r="U19" s="208">
        <v>0</v>
      </c>
      <c r="V19" s="186">
        <f t="shared" si="8"/>
        <v>717.34</v>
      </c>
      <c r="W19" s="3">
        <v>89</v>
      </c>
      <c r="X19" s="3">
        <v>1599374.5</v>
      </c>
      <c r="Y19" s="33">
        <v>628.34</v>
      </c>
      <c r="Z19" s="33">
        <v>381599.23020000005</v>
      </c>
      <c r="AA19" s="33">
        <f t="shared" si="0"/>
        <v>1980973.7302000001</v>
      </c>
      <c r="AB19" s="128">
        <f t="shared" si="1"/>
        <v>152.66337781257684</v>
      </c>
      <c r="AC19" s="134">
        <v>138.56319999997655</v>
      </c>
      <c r="AD19" s="3">
        <v>0</v>
      </c>
      <c r="AE19" s="3">
        <v>0</v>
      </c>
      <c r="AF19" s="3">
        <v>0</v>
      </c>
      <c r="AG19" s="3">
        <f t="shared" si="9"/>
        <v>138.56319999997655</v>
      </c>
      <c r="AH19" s="3">
        <v>1390066.0223997647</v>
      </c>
      <c r="AI19" s="43">
        <f t="shared" si="2"/>
        <v>107.12518350287064</v>
      </c>
      <c r="AJ19" s="142">
        <v>542</v>
      </c>
      <c r="AK19" s="3">
        <v>5582600</v>
      </c>
      <c r="AL19" s="39">
        <f t="shared" si="3"/>
        <v>430.22204685694999</v>
      </c>
      <c r="AM19" s="7"/>
    </row>
    <row r="20" spans="1:39" x14ac:dyDescent="0.35">
      <c r="A20" s="35"/>
      <c r="B20" s="58">
        <v>9</v>
      </c>
      <c r="C20" s="219">
        <v>90</v>
      </c>
      <c r="D20" s="220">
        <v>609</v>
      </c>
      <c r="E20" s="106">
        <v>15960.000000000036</v>
      </c>
      <c r="F20" s="3">
        <v>16531048.800000038</v>
      </c>
      <c r="G20" s="37">
        <v>3439.9999999998272</v>
      </c>
      <c r="H20" s="3">
        <v>5344624.7999997316</v>
      </c>
      <c r="I20" s="103">
        <f t="shared" si="4"/>
        <v>21875673.599999771</v>
      </c>
      <c r="J20" s="106">
        <v>1760.0000000002183</v>
      </c>
      <c r="K20" s="3">
        <v>1822972.8000002261</v>
      </c>
      <c r="L20" s="184">
        <v>420.00000000007276</v>
      </c>
      <c r="M20" s="185">
        <v>652541.40000011306</v>
      </c>
      <c r="N20" s="94">
        <f t="shared" si="5"/>
        <v>2475514.2000003392</v>
      </c>
      <c r="O20" s="108">
        <f t="shared" si="6"/>
        <v>24351187.800000109</v>
      </c>
      <c r="P20" s="111">
        <f t="shared" si="7"/>
        <v>21580.000000000153</v>
      </c>
      <c r="Q20" s="189"/>
      <c r="R20" s="200"/>
      <c r="S20" s="213"/>
      <c r="T20" s="210"/>
      <c r="U20" s="208">
        <v>0</v>
      </c>
      <c r="V20" s="186">
        <f t="shared" si="8"/>
        <v>770.74</v>
      </c>
      <c r="W20" s="3">
        <v>114.81</v>
      </c>
      <c r="X20" s="3">
        <v>2063193.105</v>
      </c>
      <c r="Y20" s="33">
        <v>655.93</v>
      </c>
      <c r="Z20" s="33">
        <v>389155.65060000005</v>
      </c>
      <c r="AA20" s="33">
        <f t="shared" si="0"/>
        <v>2452348.7555999998</v>
      </c>
      <c r="AB20" s="128">
        <f t="shared" si="1"/>
        <v>188.98980783887902</v>
      </c>
      <c r="AC20" s="134">
        <v>144.88716000000468</v>
      </c>
      <c r="AD20" s="3">
        <v>0</v>
      </c>
      <c r="AE20" s="3">
        <v>0</v>
      </c>
      <c r="AF20" s="3">
        <v>24</v>
      </c>
      <c r="AG20" s="3">
        <f t="shared" si="9"/>
        <v>168.88716000000468</v>
      </c>
      <c r="AH20" s="3">
        <v>1732507.9891200471</v>
      </c>
      <c r="AI20" s="43">
        <f t="shared" si="2"/>
        <v>133.51541096894726</v>
      </c>
      <c r="AJ20" s="142">
        <v>523.45999999999913</v>
      </c>
      <c r="AK20" s="3">
        <v>5391637.9999999907</v>
      </c>
      <c r="AL20" s="39">
        <f t="shared" si="3"/>
        <v>415.50559529103072</v>
      </c>
      <c r="AM20" s="7"/>
    </row>
    <row r="21" spans="1:39" x14ac:dyDescent="0.35">
      <c r="A21" s="35"/>
      <c r="B21" s="58">
        <v>10</v>
      </c>
      <c r="C21" s="219">
        <v>113</v>
      </c>
      <c r="D21" s="220">
        <v>695</v>
      </c>
      <c r="E21" s="106">
        <v>16319.999999999709</v>
      </c>
      <c r="F21" s="3">
        <v>16903929.5999997</v>
      </c>
      <c r="G21" s="37">
        <v>3640.0000000001</v>
      </c>
      <c r="H21" s="3">
        <v>5655358.8000001553</v>
      </c>
      <c r="I21" s="103">
        <f t="shared" si="4"/>
        <v>22559288.399999857</v>
      </c>
      <c r="J21" s="106">
        <v>1840.0000000001455</v>
      </c>
      <c r="K21" s="3">
        <v>1905835.2000001506</v>
      </c>
      <c r="L21" s="184">
        <v>459.99999999980901</v>
      </c>
      <c r="M21" s="185">
        <v>714688.19999970333</v>
      </c>
      <c r="N21" s="94">
        <f t="shared" si="5"/>
        <v>2620523.3999998542</v>
      </c>
      <c r="O21" s="108">
        <f t="shared" si="6"/>
        <v>25179811.79999971</v>
      </c>
      <c r="P21" s="111">
        <f t="shared" si="7"/>
        <v>22259.999999999764</v>
      </c>
      <c r="Q21" s="189"/>
      <c r="R21" s="200"/>
      <c r="S21" s="213"/>
      <c r="T21" s="210"/>
      <c r="U21" s="208">
        <v>0</v>
      </c>
      <c r="V21" s="186">
        <f t="shared" si="8"/>
        <v>848.17000000000007</v>
      </c>
      <c r="W21" s="3">
        <v>63.19</v>
      </c>
      <c r="X21" s="3">
        <v>1135555.895</v>
      </c>
      <c r="Y21" s="33">
        <v>784.98</v>
      </c>
      <c r="Z21" s="33">
        <v>389155.65060000005</v>
      </c>
      <c r="AA21" s="33">
        <f t="shared" si="0"/>
        <v>1524711.5456000001</v>
      </c>
      <c r="AB21" s="128">
        <f t="shared" si="1"/>
        <v>117.50161609544941</v>
      </c>
      <c r="AC21" s="134">
        <v>155.92388000002578</v>
      </c>
      <c r="AD21" s="3">
        <v>0</v>
      </c>
      <c r="AE21" s="3">
        <v>0</v>
      </c>
      <c r="AF21" s="3">
        <v>0</v>
      </c>
      <c r="AG21" s="3">
        <f t="shared" si="9"/>
        <v>155.92388000002578</v>
      </c>
      <c r="AH21" s="3">
        <v>1564228.3641602586</v>
      </c>
      <c r="AI21" s="43">
        <f t="shared" si="2"/>
        <v>120.54697248248576</v>
      </c>
      <c r="AJ21" s="142">
        <v>445.11000000000058</v>
      </c>
      <c r="AK21" s="3">
        <v>4584633.0000000056</v>
      </c>
      <c r="AL21" s="39">
        <f t="shared" si="3"/>
        <v>353.31390272416462</v>
      </c>
      <c r="AM21" s="7"/>
    </row>
    <row r="22" spans="1:39" x14ac:dyDescent="0.35">
      <c r="A22" s="35"/>
      <c r="B22" s="58">
        <v>11</v>
      </c>
      <c r="C22" s="219">
        <v>106</v>
      </c>
      <c r="D22" s="220">
        <v>749</v>
      </c>
      <c r="E22" s="106">
        <v>17199.999999999818</v>
      </c>
      <c r="F22" s="3">
        <v>17815415.99999981</v>
      </c>
      <c r="G22" s="37">
        <v>3519.9999999999818</v>
      </c>
      <c r="H22" s="3">
        <v>5468918.3999999724</v>
      </c>
      <c r="I22" s="103">
        <f t="shared" si="4"/>
        <v>23284334.399999782</v>
      </c>
      <c r="J22" s="106">
        <v>1719.9999999993452</v>
      </c>
      <c r="K22" s="3">
        <v>1781541.5999993216</v>
      </c>
      <c r="L22" s="184">
        <v>460.00000000003638</v>
      </c>
      <c r="M22" s="185">
        <v>714688.20000005653</v>
      </c>
      <c r="N22" s="94">
        <f t="shared" si="5"/>
        <v>2496229.7999993782</v>
      </c>
      <c r="O22" s="108">
        <f t="shared" si="6"/>
        <v>25780564.199999161</v>
      </c>
      <c r="P22" s="111">
        <f t="shared" si="7"/>
        <v>22899.999999999181</v>
      </c>
      <c r="Q22" s="189"/>
      <c r="R22" s="200"/>
      <c r="S22" s="213"/>
      <c r="T22" s="210"/>
      <c r="U22" s="208">
        <v>0</v>
      </c>
      <c r="V22" s="186">
        <f t="shared" si="8"/>
        <v>801.8900000000001</v>
      </c>
      <c r="W22" s="3">
        <v>22.25</v>
      </c>
      <c r="X22" s="3">
        <v>399843.625</v>
      </c>
      <c r="Y22" s="33">
        <v>779.6400000000001</v>
      </c>
      <c r="Z22" s="33">
        <v>426937.75260000007</v>
      </c>
      <c r="AA22" s="33">
        <f t="shared" si="0"/>
        <v>826781.37760000001</v>
      </c>
      <c r="AB22" s="128">
        <f t="shared" si="1"/>
        <v>63.715755485666328</v>
      </c>
      <c r="AC22" s="134">
        <v>161.44224000000702</v>
      </c>
      <c r="AD22" s="3">
        <v>0</v>
      </c>
      <c r="AE22" s="3">
        <v>0</v>
      </c>
      <c r="AF22" s="3">
        <v>0</v>
      </c>
      <c r="AG22" s="3">
        <f t="shared" si="9"/>
        <v>161.44224000000702</v>
      </c>
      <c r="AH22" s="3">
        <v>1619588.5516800703</v>
      </c>
      <c r="AI22" s="43">
        <f t="shared" si="2"/>
        <v>124.81329519755722</v>
      </c>
      <c r="AJ22" s="142">
        <v>626.80999999998278</v>
      </c>
      <c r="AK22" s="3">
        <v>6456142.999999823</v>
      </c>
      <c r="AL22" s="39">
        <f t="shared" si="3"/>
        <v>497.54147821106534</v>
      </c>
      <c r="AM22" s="7"/>
    </row>
    <row r="23" spans="1:39" x14ac:dyDescent="0.35">
      <c r="A23" s="35"/>
      <c r="B23" s="58">
        <v>12</v>
      </c>
      <c r="C23" s="219">
        <v>81</v>
      </c>
      <c r="D23" s="220">
        <v>744</v>
      </c>
      <c r="E23" s="106">
        <v>16560.0000000004</v>
      </c>
      <c r="F23" s="3">
        <v>17152516.800000414</v>
      </c>
      <c r="G23" s="37">
        <v>3440.0000000000546</v>
      </c>
      <c r="H23" s="3">
        <v>5344624.8000000855</v>
      </c>
      <c r="I23" s="103">
        <f t="shared" si="4"/>
        <v>22497141.600000501</v>
      </c>
      <c r="J23" s="106">
        <v>1900.0000000005457</v>
      </c>
      <c r="K23" s="3">
        <v>1967982.0000005651</v>
      </c>
      <c r="L23" s="184">
        <v>480.00000000001819</v>
      </c>
      <c r="M23" s="185">
        <v>745761.60000002827</v>
      </c>
      <c r="N23" s="94">
        <f t="shared" si="5"/>
        <v>2713743.6000005933</v>
      </c>
      <c r="O23" s="108">
        <f t="shared" si="6"/>
        <v>25210885.200001094</v>
      </c>
      <c r="P23" s="111">
        <f t="shared" si="7"/>
        <v>22380.000000001019</v>
      </c>
      <c r="Q23" s="189"/>
      <c r="R23" s="200"/>
      <c r="S23" s="213"/>
      <c r="T23" s="210"/>
      <c r="U23" s="208">
        <v>0</v>
      </c>
      <c r="V23" s="186">
        <f t="shared" si="8"/>
        <v>796.55</v>
      </c>
      <c r="W23" s="3">
        <v>60.52</v>
      </c>
      <c r="X23" s="3">
        <v>1087574.6600000001</v>
      </c>
      <c r="Y23" s="33">
        <v>736.03</v>
      </c>
      <c r="Z23" s="33">
        <v>585622.58100000001</v>
      </c>
      <c r="AA23" s="33">
        <f t="shared" si="0"/>
        <v>1673197.2410000002</v>
      </c>
      <c r="AB23" s="128">
        <f t="shared" si="1"/>
        <v>128.94463902454439</v>
      </c>
      <c r="AC23" s="134">
        <v>163.77848000001404</v>
      </c>
      <c r="AD23" s="3">
        <v>0</v>
      </c>
      <c r="AE23" s="3">
        <v>0</v>
      </c>
      <c r="AF23" s="3">
        <v>0</v>
      </c>
      <c r="AG23" s="3">
        <f t="shared" si="9"/>
        <v>163.77848000001404</v>
      </c>
      <c r="AH23" s="3">
        <v>1643025.7113601409</v>
      </c>
      <c r="AI23" s="43">
        <f t="shared" si="2"/>
        <v>126.61947561708811</v>
      </c>
      <c r="AJ23" s="142">
        <v>531.59999999999854</v>
      </c>
      <c r="AK23" s="3">
        <v>5475479.9999999851</v>
      </c>
      <c r="AL23" s="39">
        <f t="shared" si="3"/>
        <v>421.96686367002582</v>
      </c>
      <c r="AM23" s="7"/>
    </row>
    <row r="24" spans="1:39" x14ac:dyDescent="0.35">
      <c r="A24" s="35"/>
      <c r="B24" s="58">
        <v>13</v>
      </c>
      <c r="C24" s="219">
        <v>74</v>
      </c>
      <c r="D24" s="220">
        <v>645</v>
      </c>
      <c r="E24" s="106">
        <v>15159.999999999854</v>
      </c>
      <c r="F24" s="3">
        <v>15702424.799999848</v>
      </c>
      <c r="G24" s="37">
        <v>3240.0000000000091</v>
      </c>
      <c r="H24" s="3">
        <v>5033890.8000000147</v>
      </c>
      <c r="I24" s="103">
        <f t="shared" si="4"/>
        <v>20736315.599999864</v>
      </c>
      <c r="J24" s="106">
        <v>1880.0000000001091</v>
      </c>
      <c r="K24" s="3">
        <v>1947266.4000001131</v>
      </c>
      <c r="L24" s="184">
        <v>440.00000000005457</v>
      </c>
      <c r="M24" s="185">
        <v>683614.8000000848</v>
      </c>
      <c r="N24" s="94">
        <f t="shared" si="5"/>
        <v>2630881.2000001976</v>
      </c>
      <c r="O24" s="108">
        <f t="shared" si="6"/>
        <v>23367196.80000006</v>
      </c>
      <c r="P24" s="111">
        <f t="shared" si="7"/>
        <v>20720.000000000029</v>
      </c>
      <c r="Q24" s="189"/>
      <c r="R24" s="200"/>
      <c r="S24" s="213"/>
      <c r="T24" s="210"/>
      <c r="U24" s="208">
        <v>0</v>
      </c>
      <c r="V24" s="186">
        <f>Y24+W24</f>
        <v>817.91000000000008</v>
      </c>
      <c r="W24" s="3">
        <v>89</v>
      </c>
      <c r="X24" s="3">
        <v>1599374.5</v>
      </c>
      <c r="Y24" s="33">
        <v>728.91000000000008</v>
      </c>
      <c r="Z24" s="33">
        <v>955887.18060000008</v>
      </c>
      <c r="AA24" s="33">
        <f t="shared" si="0"/>
        <v>2555261.6806000001</v>
      </c>
      <c r="AB24" s="128">
        <f t="shared" si="1"/>
        <v>196.92077356121914</v>
      </c>
      <c r="AC24" s="134">
        <v>149.2776799999906</v>
      </c>
      <c r="AD24" s="3">
        <v>0</v>
      </c>
      <c r="AE24" s="3">
        <v>300</v>
      </c>
      <c r="AF24" s="3">
        <v>36</v>
      </c>
      <c r="AG24" s="3">
        <f t="shared" si="9"/>
        <v>485.2776799999906</v>
      </c>
      <c r="AH24" s="3">
        <v>5300053.6857599057</v>
      </c>
      <c r="AI24" s="43">
        <f t="shared" si="2"/>
        <v>408.44766688269777</v>
      </c>
      <c r="AJ24" s="142">
        <v>587.5</v>
      </c>
      <c r="AK24" s="3">
        <v>6051250</v>
      </c>
      <c r="AL24" s="39">
        <f t="shared" si="3"/>
        <v>466.33847329973821</v>
      </c>
      <c r="AM24" s="7"/>
    </row>
    <row r="25" spans="1:39" x14ac:dyDescent="0.35">
      <c r="A25" s="35"/>
      <c r="B25" s="58">
        <v>14</v>
      </c>
      <c r="C25" s="219">
        <v>70</v>
      </c>
      <c r="D25" s="220">
        <v>657</v>
      </c>
      <c r="E25" s="106">
        <v>15840.000000000146</v>
      </c>
      <c r="F25" s="3">
        <v>16406755.20000015</v>
      </c>
      <c r="G25" s="37">
        <v>3319.9999999999363</v>
      </c>
      <c r="H25" s="3">
        <v>5158184.3999999017</v>
      </c>
      <c r="I25" s="103">
        <f t="shared" si="4"/>
        <v>21564939.600000054</v>
      </c>
      <c r="J25" s="106">
        <v>1939.9999999995998</v>
      </c>
      <c r="K25" s="3">
        <v>2009413.1999995855</v>
      </c>
      <c r="L25" s="184">
        <v>460.00000000003638</v>
      </c>
      <c r="M25" s="185">
        <v>714688.20000005653</v>
      </c>
      <c r="N25" s="94">
        <f t="shared" si="5"/>
        <v>2724101.3999996418</v>
      </c>
      <c r="O25" s="108">
        <f t="shared" si="6"/>
        <v>24289040.999999695</v>
      </c>
      <c r="P25" s="111">
        <f t="shared" si="7"/>
        <v>21559.999999999716</v>
      </c>
      <c r="Q25" s="189"/>
      <c r="R25" s="200"/>
      <c r="S25" s="213"/>
      <c r="T25" s="210"/>
      <c r="U25" s="208">
        <v>0</v>
      </c>
      <c r="V25" s="186">
        <f t="shared" si="8"/>
        <v>790.32</v>
      </c>
      <c r="W25" s="3">
        <v>79.210000000000008</v>
      </c>
      <c r="X25" s="3">
        <v>1423443.3050000002</v>
      </c>
      <c r="Y25" s="33">
        <v>711.11</v>
      </c>
      <c r="Z25" s="33">
        <v>294700.39560000005</v>
      </c>
      <c r="AA25" s="33">
        <f t="shared" si="0"/>
        <v>1718143.7006000001</v>
      </c>
      <c r="AB25" s="128">
        <f t="shared" si="1"/>
        <v>132.40842970417128</v>
      </c>
      <c r="AC25" s="134">
        <v>151.04999999999998</v>
      </c>
      <c r="AD25" s="3">
        <v>0</v>
      </c>
      <c r="AE25" s="3">
        <v>0</v>
      </c>
      <c r="AF25" s="3">
        <v>12</v>
      </c>
      <c r="AG25" s="3">
        <f t="shared" si="9"/>
        <v>163.04999999999998</v>
      </c>
      <c r="AH25" s="3">
        <v>1654833.5999999999</v>
      </c>
      <c r="AI25" s="43">
        <f t="shared" si="2"/>
        <v>127.52944839316002</v>
      </c>
      <c r="AJ25" s="142">
        <v>583.95000000000437</v>
      </c>
      <c r="AK25" s="3">
        <v>6014685.0000000447</v>
      </c>
      <c r="AL25" s="39">
        <f t="shared" si="3"/>
        <v>463.52059826959004</v>
      </c>
      <c r="AM25" s="7"/>
    </row>
    <row r="26" spans="1:39" x14ac:dyDescent="0.35">
      <c r="A26" s="35"/>
      <c r="B26" s="58">
        <v>15</v>
      </c>
      <c r="C26" s="219">
        <v>64</v>
      </c>
      <c r="D26" s="220">
        <v>508</v>
      </c>
      <c r="E26" s="106">
        <v>15880.000000000109</v>
      </c>
      <c r="F26" s="3">
        <v>16448186.400000112</v>
      </c>
      <c r="G26" s="37">
        <v>3359.9999999999</v>
      </c>
      <c r="H26" s="3">
        <v>5220331.1999998447</v>
      </c>
      <c r="I26" s="103">
        <f t="shared" si="4"/>
        <v>21668517.599999957</v>
      </c>
      <c r="J26" s="106">
        <v>1760.0000000002183</v>
      </c>
      <c r="K26" s="3">
        <v>1822972.8000002261</v>
      </c>
      <c r="L26" s="184">
        <v>460.00000000003638</v>
      </c>
      <c r="M26" s="185">
        <v>714688.20000005653</v>
      </c>
      <c r="N26" s="94">
        <f t="shared" si="5"/>
        <v>2537661.0000002827</v>
      </c>
      <c r="O26" s="108">
        <f t="shared" si="6"/>
        <v>24206178.60000024</v>
      </c>
      <c r="P26" s="111">
        <f t="shared" si="7"/>
        <v>21460.000000000262</v>
      </c>
      <c r="Q26" s="189"/>
      <c r="R26" s="200"/>
      <c r="S26" s="213"/>
      <c r="T26" s="210"/>
      <c r="U26" s="208">
        <v>0</v>
      </c>
      <c r="V26" s="186">
        <f t="shared" si="8"/>
        <v>718.23</v>
      </c>
      <c r="W26" s="3">
        <v>64.97</v>
      </c>
      <c r="X26" s="3">
        <v>1167543.385</v>
      </c>
      <c r="Y26" s="33">
        <v>653.26</v>
      </c>
      <c r="Z26" s="33">
        <v>245583.66300000003</v>
      </c>
      <c r="AA26" s="33">
        <f t="shared" si="0"/>
        <v>1413127.048</v>
      </c>
      <c r="AB26" s="128">
        <f t="shared" si="1"/>
        <v>108.90237721840708</v>
      </c>
      <c r="AC26" s="134">
        <v>147.46508000000233</v>
      </c>
      <c r="AD26" s="3">
        <v>0</v>
      </c>
      <c r="AE26" s="3">
        <v>0</v>
      </c>
      <c r="AF26" s="3">
        <v>0</v>
      </c>
      <c r="AG26" s="3">
        <f t="shared" si="9"/>
        <v>147.46508000000233</v>
      </c>
      <c r="AH26" s="3">
        <v>1479369.6825600234</v>
      </c>
      <c r="AI26" s="43">
        <f t="shared" si="2"/>
        <v>114.00735372211686</v>
      </c>
      <c r="AJ26" s="142">
        <v>502.81999999999971</v>
      </c>
      <c r="AK26" s="3">
        <v>5179045.9999999972</v>
      </c>
      <c r="AL26" s="39">
        <f t="shared" si="3"/>
        <v>399.1222317354455</v>
      </c>
      <c r="AM26" s="7"/>
    </row>
    <row r="27" spans="1:39" x14ac:dyDescent="0.35">
      <c r="A27" s="35"/>
      <c r="B27" s="58">
        <v>16</v>
      </c>
      <c r="C27" s="219">
        <v>62</v>
      </c>
      <c r="D27" s="220">
        <v>598</v>
      </c>
      <c r="E27" s="106">
        <v>15920.000000000073</v>
      </c>
      <c r="F27" s="3">
        <v>16489617.600000074</v>
      </c>
      <c r="G27" s="37">
        <v>3360.0000000001273</v>
      </c>
      <c r="H27" s="3">
        <v>5220331.2000001976</v>
      </c>
      <c r="I27" s="103">
        <f t="shared" si="4"/>
        <v>21709948.800000273</v>
      </c>
      <c r="J27" s="106">
        <v>1920.0000000000728</v>
      </c>
      <c r="K27" s="3">
        <v>1988697.6000000753</v>
      </c>
      <c r="L27" s="184">
        <v>480.00000000001819</v>
      </c>
      <c r="M27" s="185">
        <v>745761.60000002827</v>
      </c>
      <c r="N27" s="94">
        <f t="shared" si="5"/>
        <v>2734459.2000001036</v>
      </c>
      <c r="O27" s="108">
        <f t="shared" si="6"/>
        <v>24444408.000000376</v>
      </c>
      <c r="P27" s="111">
        <f t="shared" si="7"/>
        <v>21680.000000000291</v>
      </c>
      <c r="Q27" s="189"/>
      <c r="R27" s="200"/>
      <c r="S27" s="213"/>
      <c r="T27" s="210"/>
      <c r="U27" s="208">
        <v>0</v>
      </c>
      <c r="V27" s="186">
        <f t="shared" si="8"/>
        <v>760.06000000000006</v>
      </c>
      <c r="W27" s="3">
        <v>65.86</v>
      </c>
      <c r="X27" s="3">
        <v>1183537.1299999999</v>
      </c>
      <c r="Y27" s="33">
        <v>694.2</v>
      </c>
      <c r="Z27" s="33">
        <v>751863.82980000007</v>
      </c>
      <c r="AA27" s="33">
        <f t="shared" si="0"/>
        <v>1935400.9597999998</v>
      </c>
      <c r="AB27" s="128">
        <f t="shared" si="1"/>
        <v>149.15132060582192</v>
      </c>
      <c r="AC27" s="134">
        <v>151.04999999999998</v>
      </c>
      <c r="AD27" s="3">
        <v>0</v>
      </c>
      <c r="AE27" s="3">
        <v>0</v>
      </c>
      <c r="AF27" s="3">
        <v>12</v>
      </c>
      <c r="AG27" s="3">
        <f t="shared" si="9"/>
        <v>163.04999999999998</v>
      </c>
      <c r="AH27" s="3">
        <v>1654833.5999999999</v>
      </c>
      <c r="AI27" s="43">
        <f t="shared" si="2"/>
        <v>127.52944839316002</v>
      </c>
      <c r="AJ27" s="142">
        <v>521.81999999999971</v>
      </c>
      <c r="AK27" s="3">
        <v>5374745.9999999972</v>
      </c>
      <c r="AL27" s="39">
        <f t="shared" si="3"/>
        <v>414.20381640386256</v>
      </c>
      <c r="AM27" s="7"/>
    </row>
    <row r="28" spans="1:39" x14ac:dyDescent="0.35">
      <c r="A28" s="35"/>
      <c r="B28" s="58">
        <v>17</v>
      </c>
      <c r="C28" s="219">
        <v>66</v>
      </c>
      <c r="D28" s="220">
        <v>525</v>
      </c>
      <c r="E28" s="106">
        <v>15559.999999999491</v>
      </c>
      <c r="F28" s="3">
        <v>16116736.799999472</v>
      </c>
      <c r="G28" s="37">
        <v>3319.9999999999363</v>
      </c>
      <c r="H28" s="3">
        <v>5158184.3999999017</v>
      </c>
      <c r="I28" s="103">
        <f t="shared" si="4"/>
        <v>21274921.199999373</v>
      </c>
      <c r="J28" s="106">
        <v>1899.9999999996362</v>
      </c>
      <c r="K28" s="3">
        <v>1967981.999999623</v>
      </c>
      <c r="L28" s="184">
        <v>459.99999999980901</v>
      </c>
      <c r="M28" s="185">
        <v>714688.19999970333</v>
      </c>
      <c r="N28" s="94">
        <f t="shared" si="5"/>
        <v>2682670.1999993264</v>
      </c>
      <c r="O28" s="108">
        <f t="shared" si="6"/>
        <v>23957591.399998698</v>
      </c>
      <c r="P28" s="111">
        <f t="shared" si="7"/>
        <v>21239.999999998872</v>
      </c>
      <c r="Q28" s="189"/>
      <c r="R28" s="202"/>
      <c r="S28" s="213"/>
      <c r="T28" s="210"/>
      <c r="U28" s="208">
        <v>0</v>
      </c>
      <c r="V28" s="186">
        <f t="shared" si="8"/>
        <v>794.7700000000001</v>
      </c>
      <c r="W28" s="3">
        <v>100.57000000000001</v>
      </c>
      <c r="X28" s="3">
        <v>1807293.1850000001</v>
      </c>
      <c r="Y28" s="33">
        <v>694.2</v>
      </c>
      <c r="Z28" s="33">
        <v>562953.31980000006</v>
      </c>
      <c r="AA28" s="33">
        <f t="shared" si="0"/>
        <v>2370246.5048000002</v>
      </c>
      <c r="AB28" s="128">
        <f t="shared" si="1"/>
        <v>182.66261291344313</v>
      </c>
      <c r="AC28" s="134">
        <v>157.37395999996951</v>
      </c>
      <c r="AD28" s="3">
        <v>0</v>
      </c>
      <c r="AE28" s="3">
        <v>0</v>
      </c>
      <c r="AF28" s="3">
        <v>24</v>
      </c>
      <c r="AG28" s="3">
        <f t="shared" si="9"/>
        <v>181.37395999996951</v>
      </c>
      <c r="AH28" s="3">
        <v>1857775.5667196941</v>
      </c>
      <c r="AI28" s="43">
        <f t="shared" si="2"/>
        <v>143.16913390086646</v>
      </c>
      <c r="AJ28" s="142">
        <v>495.71000000001368</v>
      </c>
      <c r="AK28" s="3">
        <v>5105813.0000001406</v>
      </c>
      <c r="AL28" s="39">
        <f t="shared" si="3"/>
        <v>393.47854399901206</v>
      </c>
      <c r="AM28" s="7"/>
    </row>
    <row r="29" spans="1:39" x14ac:dyDescent="0.35">
      <c r="A29" s="35"/>
      <c r="B29" s="58">
        <v>18</v>
      </c>
      <c r="C29" s="219">
        <v>69</v>
      </c>
      <c r="D29" s="220">
        <v>466</v>
      </c>
      <c r="E29" s="106">
        <v>16159.999999999854</v>
      </c>
      <c r="F29" s="3">
        <v>16738204.799999848</v>
      </c>
      <c r="G29" s="37">
        <v>3519.9999999999818</v>
      </c>
      <c r="H29" s="3">
        <v>5468918.3999999724</v>
      </c>
      <c r="I29" s="103">
        <f t="shared" si="4"/>
        <v>22207123.19999982</v>
      </c>
      <c r="J29" s="106">
        <v>1880.0000000001091</v>
      </c>
      <c r="K29" s="3">
        <v>1947266.4000001131</v>
      </c>
      <c r="L29" s="184">
        <v>480.00000000001819</v>
      </c>
      <c r="M29" s="185">
        <v>745761.60000002827</v>
      </c>
      <c r="N29" s="94">
        <f t="shared" si="5"/>
        <v>2693028.0000001416</v>
      </c>
      <c r="O29" s="108">
        <f t="shared" si="6"/>
        <v>24900151.199999962</v>
      </c>
      <c r="P29" s="111">
        <f t="shared" si="7"/>
        <v>22039.999999999964</v>
      </c>
      <c r="Q29" s="190"/>
      <c r="R29" s="203"/>
      <c r="S29" s="213"/>
      <c r="T29" s="210"/>
      <c r="U29" s="208">
        <v>0</v>
      </c>
      <c r="V29" s="186">
        <f t="shared" si="8"/>
        <v>713.78</v>
      </c>
      <c r="W29" s="3">
        <v>120.15</v>
      </c>
      <c r="X29" s="3">
        <v>2159155.5750000002</v>
      </c>
      <c r="Y29" s="33">
        <v>593.63</v>
      </c>
      <c r="Z29" s="33">
        <v>491167.32600000006</v>
      </c>
      <c r="AA29" s="33">
        <f t="shared" si="0"/>
        <v>2650322.9010000001</v>
      </c>
      <c r="AB29" s="128">
        <f t="shared" si="1"/>
        <v>204.24664910616372</v>
      </c>
      <c r="AC29" s="134">
        <v>145.49136000003983</v>
      </c>
      <c r="AD29" s="3">
        <v>0</v>
      </c>
      <c r="AE29" s="3">
        <v>0</v>
      </c>
      <c r="AF29" s="3">
        <v>12</v>
      </c>
      <c r="AG29" s="3">
        <f t="shared" si="9"/>
        <v>157.49136000003983</v>
      </c>
      <c r="AH29" s="3">
        <v>1599069.3235203996</v>
      </c>
      <c r="AI29" s="43">
        <f t="shared" si="2"/>
        <v>123.2319846363889</v>
      </c>
      <c r="AJ29" s="142">
        <v>784.30999999999767</v>
      </c>
      <c r="AK29" s="3">
        <v>8078392.9999999758</v>
      </c>
      <c r="AL29" s="39">
        <f t="shared" si="3"/>
        <v>622.55987743611331</v>
      </c>
      <c r="AM29" s="7"/>
    </row>
    <row r="30" spans="1:39" x14ac:dyDescent="0.35">
      <c r="A30" s="35"/>
      <c r="B30" s="58">
        <v>19</v>
      </c>
      <c r="C30" s="219">
        <v>83</v>
      </c>
      <c r="D30" s="220">
        <v>531</v>
      </c>
      <c r="E30" s="106">
        <v>15600.000000000364</v>
      </c>
      <c r="F30" s="3">
        <v>16158168.000000376</v>
      </c>
      <c r="G30" s="37">
        <v>3240.0000000000091</v>
      </c>
      <c r="H30" s="3">
        <v>5033890.8000000147</v>
      </c>
      <c r="I30" s="103">
        <f t="shared" si="4"/>
        <v>21192058.800000392</v>
      </c>
      <c r="J30" s="106">
        <v>1819.999999999709</v>
      </c>
      <c r="K30" s="3">
        <v>1885119.5999996986</v>
      </c>
      <c r="L30" s="184">
        <v>460.00000000003638</v>
      </c>
      <c r="M30" s="185">
        <v>714688.20000005653</v>
      </c>
      <c r="N30" s="94">
        <f t="shared" si="5"/>
        <v>2599807.7999997549</v>
      </c>
      <c r="O30" s="108">
        <f t="shared" si="6"/>
        <v>23791866.600000147</v>
      </c>
      <c r="P30" s="111">
        <f t="shared" si="7"/>
        <v>21120.000000000116</v>
      </c>
      <c r="Q30" s="189"/>
      <c r="R30" s="202"/>
      <c r="S30" s="213"/>
      <c r="T30" s="210"/>
      <c r="U30" s="208">
        <v>0</v>
      </c>
      <c r="V30" s="186">
        <f t="shared" si="8"/>
        <v>705.77</v>
      </c>
      <c r="W30" s="3">
        <v>95.23</v>
      </c>
      <c r="X30" s="3">
        <v>1711330.7150000001</v>
      </c>
      <c r="Y30" s="33">
        <v>610.54</v>
      </c>
      <c r="Z30" s="33">
        <v>532727.63820000004</v>
      </c>
      <c r="AA30" s="33">
        <f t="shared" si="0"/>
        <v>2244058.3532000002</v>
      </c>
      <c r="AB30" s="128">
        <f t="shared" si="1"/>
        <v>172.93794611473874</v>
      </c>
      <c r="AC30" s="134">
        <v>142.2689599999695</v>
      </c>
      <c r="AD30" s="3">
        <v>0</v>
      </c>
      <c r="AE30" s="3">
        <v>0</v>
      </c>
      <c r="AF30" s="3">
        <v>0</v>
      </c>
      <c r="AG30" s="3">
        <f t="shared" si="9"/>
        <v>142.2689599999695</v>
      </c>
      <c r="AH30" s="3">
        <v>1427242.206719694</v>
      </c>
      <c r="AI30" s="43">
        <f t="shared" si="2"/>
        <v>109.99015934073314</v>
      </c>
      <c r="AJ30" s="142">
        <v>578.09000000000378</v>
      </c>
      <c r="AK30" s="3">
        <v>5954327.0000000391</v>
      </c>
      <c r="AL30" s="39">
        <f t="shared" si="3"/>
        <v>458.86912005080416</v>
      </c>
      <c r="AM30" s="7"/>
    </row>
    <row r="31" spans="1:39" x14ac:dyDescent="0.35">
      <c r="A31" s="35"/>
      <c r="B31" s="58">
        <v>20</v>
      </c>
      <c r="C31" s="219">
        <v>64</v>
      </c>
      <c r="D31" s="220">
        <v>612</v>
      </c>
      <c r="E31" s="106">
        <v>16760.000000000218</v>
      </c>
      <c r="F31" s="3">
        <v>17359672.800000224</v>
      </c>
      <c r="G31" s="37">
        <v>3440.0000000000546</v>
      </c>
      <c r="H31" s="3">
        <v>5344624.8000000855</v>
      </c>
      <c r="I31" s="103">
        <f t="shared" si="4"/>
        <v>22704297.600000311</v>
      </c>
      <c r="J31" s="106">
        <v>1980.0000000004729</v>
      </c>
      <c r="K31" s="3">
        <v>2050844.4000004898</v>
      </c>
      <c r="L31" s="184">
        <v>480.00000000001819</v>
      </c>
      <c r="M31" s="185">
        <v>745761.60000002827</v>
      </c>
      <c r="N31" s="94">
        <f t="shared" si="5"/>
        <v>2796606.0000005178</v>
      </c>
      <c r="O31" s="108">
        <f t="shared" si="6"/>
        <v>25500903.600000829</v>
      </c>
      <c r="P31" s="111">
        <f t="shared" si="7"/>
        <v>22660.000000000764</v>
      </c>
      <c r="Q31" s="190"/>
      <c r="R31" s="203"/>
      <c r="S31" s="213"/>
      <c r="T31" s="210"/>
      <c r="U31" s="208">
        <v>0</v>
      </c>
      <c r="V31" s="186">
        <f t="shared" si="8"/>
        <v>736.03</v>
      </c>
      <c r="W31" s="3">
        <v>68.53</v>
      </c>
      <c r="X31" s="3">
        <v>1231518.365</v>
      </c>
      <c r="Y31" s="33">
        <v>667.5</v>
      </c>
      <c r="Z31" s="33">
        <v>411824.91180000006</v>
      </c>
      <c r="AA31" s="33">
        <f t="shared" si="0"/>
        <v>1643343.2768000001</v>
      </c>
      <c r="AB31" s="128">
        <f t="shared" si="1"/>
        <v>126.6439487395664</v>
      </c>
      <c r="AC31" s="134">
        <v>143.83988000002577</v>
      </c>
      <c r="AD31" s="3">
        <v>0</v>
      </c>
      <c r="AE31" s="3">
        <v>0</v>
      </c>
      <c r="AF31" s="3">
        <v>24</v>
      </c>
      <c r="AG31" s="3">
        <f t="shared" si="9"/>
        <v>167.83988000002577</v>
      </c>
      <c r="AH31" s="3">
        <v>1722001.6761602585</v>
      </c>
      <c r="AI31" s="43">
        <f t="shared" si="2"/>
        <v>132.70574388434872</v>
      </c>
      <c r="AJ31" s="142">
        <v>530.65000000000146</v>
      </c>
      <c r="AK31" s="3">
        <v>5465695.0000000149</v>
      </c>
      <c r="AL31" s="39">
        <f t="shared" si="3"/>
        <v>421.21278443660725</v>
      </c>
      <c r="AM31" s="7"/>
    </row>
    <row r="32" spans="1:39" x14ac:dyDescent="0.35">
      <c r="A32" s="35"/>
      <c r="B32" s="58">
        <v>21</v>
      </c>
      <c r="C32" s="219">
        <v>61</v>
      </c>
      <c r="D32" s="220">
        <v>654</v>
      </c>
      <c r="E32" s="106">
        <v>16159.999999999854</v>
      </c>
      <c r="F32" s="3">
        <v>16738204.799999848</v>
      </c>
      <c r="G32" s="37">
        <v>3440.0000000000546</v>
      </c>
      <c r="H32" s="3">
        <v>5344624.8000000855</v>
      </c>
      <c r="I32" s="103">
        <f t="shared" si="4"/>
        <v>22082829.599999934</v>
      </c>
      <c r="J32" s="106">
        <v>1960.0000000000364</v>
      </c>
      <c r="K32" s="3">
        <v>2030128.8000000375</v>
      </c>
      <c r="L32" s="184">
        <v>460.00000000003638</v>
      </c>
      <c r="M32" s="185">
        <v>714688.20000005653</v>
      </c>
      <c r="N32" s="94">
        <f>+K32+M32</f>
        <v>2744817.0000000941</v>
      </c>
      <c r="O32" s="108">
        <f t="shared" si="6"/>
        <v>24827646.600000028</v>
      </c>
      <c r="P32" s="111">
        <f t="shared" si="7"/>
        <v>22019.999999999982</v>
      </c>
      <c r="Q32" s="189"/>
      <c r="R32" s="201"/>
      <c r="S32" s="213"/>
      <c r="T32" s="210"/>
      <c r="U32" s="208">
        <v>0</v>
      </c>
      <c r="V32" s="186">
        <f t="shared" si="8"/>
        <v>725.35000000000014</v>
      </c>
      <c r="W32" s="3">
        <v>77.430000000000007</v>
      </c>
      <c r="X32" s="3">
        <v>1391455.8150000002</v>
      </c>
      <c r="Y32" s="33">
        <v>647.92000000000007</v>
      </c>
      <c r="Z32" s="33">
        <v>933217.91940000013</v>
      </c>
      <c r="AA32" s="33">
        <f t="shared" si="0"/>
        <v>2324673.7344000004</v>
      </c>
      <c r="AB32" s="128">
        <f t="shared" si="1"/>
        <v>179.15055570668827</v>
      </c>
      <c r="AC32" s="134">
        <v>130.34608000000233</v>
      </c>
      <c r="AD32" s="3">
        <v>0</v>
      </c>
      <c r="AE32" s="3">
        <v>150</v>
      </c>
      <c r="AF32" s="3">
        <v>12</v>
      </c>
      <c r="AG32" s="3">
        <f t="shared" si="9"/>
        <v>292.3460800000023</v>
      </c>
      <c r="AH32" s="3">
        <v>3139131.8745600237</v>
      </c>
      <c r="AI32" s="43">
        <f t="shared" si="2"/>
        <v>241.9166231553591</v>
      </c>
      <c r="AJ32" s="142">
        <v>524.54999999999563</v>
      </c>
      <c r="AK32" s="3">
        <v>5402864.9999999553</v>
      </c>
      <c r="AL32" s="39">
        <f t="shared" si="3"/>
        <v>416.37080199042663</v>
      </c>
      <c r="AM32" s="7"/>
    </row>
    <row r="33" spans="1:39" x14ac:dyDescent="0.35">
      <c r="A33" s="35"/>
      <c r="B33" s="58">
        <v>22</v>
      </c>
      <c r="C33" s="219">
        <v>56</v>
      </c>
      <c r="D33" s="220">
        <v>545</v>
      </c>
      <c r="E33" s="106">
        <v>15720.000000000255</v>
      </c>
      <c r="F33" s="3">
        <v>16282461.600000264</v>
      </c>
      <c r="G33" s="37">
        <v>3319.9999999999363</v>
      </c>
      <c r="H33" s="3">
        <v>5158184.3999999017</v>
      </c>
      <c r="I33" s="103">
        <f t="shared" si="4"/>
        <v>21440646.000000164</v>
      </c>
      <c r="J33" s="106">
        <v>1880.0000000001091</v>
      </c>
      <c r="K33" s="3">
        <v>1947266.4000001131</v>
      </c>
      <c r="L33" s="184">
        <v>460.00000000003638</v>
      </c>
      <c r="M33" s="185">
        <v>714688.20000005653</v>
      </c>
      <c r="N33" s="94">
        <f t="shared" si="5"/>
        <v>2661954.6000001696</v>
      </c>
      <c r="O33" s="108">
        <f t="shared" si="6"/>
        <v>24102600.600000333</v>
      </c>
      <c r="P33" s="111">
        <f t="shared" si="7"/>
        <v>21380.000000000335</v>
      </c>
      <c r="Q33" s="189"/>
      <c r="R33" s="202"/>
      <c r="S33" s="213"/>
      <c r="T33" s="210"/>
      <c r="U33" s="208">
        <v>0</v>
      </c>
      <c r="V33" s="186">
        <f t="shared" si="8"/>
        <v>671.95</v>
      </c>
      <c r="W33" s="3">
        <v>64.97</v>
      </c>
      <c r="X33" s="3">
        <v>1167543.385</v>
      </c>
      <c r="Y33" s="33">
        <v>606.98</v>
      </c>
      <c r="Z33" s="33">
        <v>797202.35219999996</v>
      </c>
      <c r="AA33" s="33">
        <f t="shared" si="0"/>
        <v>1964745.7371999999</v>
      </c>
      <c r="AB33" s="128">
        <f t="shared" si="1"/>
        <v>151.41277050328719</v>
      </c>
      <c r="AC33" s="134">
        <v>127.2042399999484</v>
      </c>
      <c r="AD33" s="3">
        <v>0</v>
      </c>
      <c r="AE33" s="3">
        <v>350</v>
      </c>
      <c r="AF33" s="3">
        <v>0</v>
      </c>
      <c r="AG33" s="3">
        <f t="shared" si="9"/>
        <v>477.20423999994841</v>
      </c>
      <c r="AH33" s="3">
        <v>5224112.9356794823</v>
      </c>
      <c r="AI33" s="43">
        <f t="shared" si="2"/>
        <v>402.59530688207946</v>
      </c>
      <c r="AJ33" s="142">
        <v>553</v>
      </c>
      <c r="AK33" s="3">
        <v>5695900</v>
      </c>
      <c r="AL33" s="39">
        <f t="shared" si="3"/>
        <v>438.9534906123493</v>
      </c>
      <c r="AM33" s="7"/>
    </row>
    <row r="34" spans="1:39" x14ac:dyDescent="0.35">
      <c r="A34" s="35"/>
      <c r="B34" s="58">
        <v>23</v>
      </c>
      <c r="C34" s="219">
        <v>49</v>
      </c>
      <c r="D34" s="220">
        <v>512</v>
      </c>
      <c r="E34" s="106">
        <v>15599.999999999454</v>
      </c>
      <c r="F34" s="3">
        <v>16158167.999999434</v>
      </c>
      <c r="G34" s="37">
        <v>4839.9999999999181</v>
      </c>
      <c r="H34" s="3">
        <v>7519762.7999998732</v>
      </c>
      <c r="I34" s="103">
        <f t="shared" si="4"/>
        <v>23677930.799999308</v>
      </c>
      <c r="J34" s="106">
        <v>1800.0000000001819</v>
      </c>
      <c r="K34" s="3">
        <v>1864404.0000001884</v>
      </c>
      <c r="L34" s="184">
        <v>460.00000000003638</v>
      </c>
      <c r="M34" s="185">
        <v>714688.20000005653</v>
      </c>
      <c r="N34" s="94">
        <f t="shared" si="5"/>
        <v>2579092.2000002451</v>
      </c>
      <c r="O34" s="108">
        <f t="shared" si="6"/>
        <v>26257022.999999553</v>
      </c>
      <c r="P34" s="111">
        <f t="shared" si="7"/>
        <v>22699.999999999593</v>
      </c>
      <c r="Q34" s="190"/>
      <c r="R34" s="203"/>
      <c r="S34" s="213"/>
      <c r="T34" s="210"/>
      <c r="U34" s="208">
        <v>0</v>
      </c>
      <c r="V34" s="186">
        <f t="shared" si="8"/>
        <v>728.91</v>
      </c>
      <c r="W34" s="3">
        <v>110.36</v>
      </c>
      <c r="X34" s="3">
        <v>1983224.38</v>
      </c>
      <c r="Y34" s="33">
        <v>618.54999999999995</v>
      </c>
      <c r="Z34" s="33">
        <v>68007.78360000001</v>
      </c>
      <c r="AA34" s="33">
        <f t="shared" si="0"/>
        <v>2051232.1635999999</v>
      </c>
      <c r="AB34" s="128">
        <f t="shared" si="1"/>
        <v>158.07783111861892</v>
      </c>
      <c r="AC34" s="134">
        <v>132.84344000004219</v>
      </c>
      <c r="AD34" s="3">
        <v>0</v>
      </c>
      <c r="AE34" s="3">
        <v>0</v>
      </c>
      <c r="AF34" s="3">
        <v>0</v>
      </c>
      <c r="AG34" s="3">
        <f t="shared" si="9"/>
        <v>132.84344000004219</v>
      </c>
      <c r="AH34" s="3">
        <v>1332685.3900804233</v>
      </c>
      <c r="AI34" s="43">
        <f t="shared" si="2"/>
        <v>102.70315557925564</v>
      </c>
      <c r="AJ34" s="142">
        <v>532.41999999999825</v>
      </c>
      <c r="AK34" s="3">
        <v>5483925.9999999823</v>
      </c>
      <c r="AL34" s="39">
        <f t="shared" si="3"/>
        <v>422.61775311360992</v>
      </c>
      <c r="AM34" s="7"/>
    </row>
    <row r="35" spans="1:39" x14ac:dyDescent="0.35">
      <c r="A35" s="35"/>
      <c r="B35" s="58">
        <v>24</v>
      </c>
      <c r="C35" s="219">
        <v>66</v>
      </c>
      <c r="D35" s="220">
        <v>601</v>
      </c>
      <c r="E35" s="106">
        <v>15480.000000000473</v>
      </c>
      <c r="F35" s="3">
        <v>16033874.40000049</v>
      </c>
      <c r="G35" s="37">
        <v>1759.9999999999909</v>
      </c>
      <c r="H35" s="3">
        <v>2734459.1999999862</v>
      </c>
      <c r="I35" s="103">
        <f t="shared" si="4"/>
        <v>18768333.600000478</v>
      </c>
      <c r="J35" s="106">
        <v>1939.9999999995998</v>
      </c>
      <c r="K35" s="3">
        <v>2009413.1999995855</v>
      </c>
      <c r="L35" s="184">
        <v>459.99999999980901</v>
      </c>
      <c r="M35" s="185">
        <v>714688.19999970333</v>
      </c>
      <c r="N35" s="94">
        <f t="shared" si="5"/>
        <v>2724101.3999992888</v>
      </c>
      <c r="O35" s="108">
        <f t="shared" si="6"/>
        <v>21492434.999999769</v>
      </c>
      <c r="P35" s="111">
        <f t="shared" si="7"/>
        <v>19639.999999999873</v>
      </c>
      <c r="Q35" s="189"/>
      <c r="R35" s="201"/>
      <c r="S35" s="213"/>
      <c r="T35" s="210"/>
      <c r="U35" s="208">
        <v>0</v>
      </c>
      <c r="V35" s="186">
        <f t="shared" si="8"/>
        <v>776.97</v>
      </c>
      <c r="W35" s="3">
        <v>169.1</v>
      </c>
      <c r="X35" s="3">
        <v>3038811.55</v>
      </c>
      <c r="Y35" s="33">
        <v>607.87</v>
      </c>
      <c r="Z35" s="33">
        <v>139793.77740000002</v>
      </c>
      <c r="AA35" s="33">
        <f t="shared" si="0"/>
        <v>3178605.3273999998</v>
      </c>
      <c r="AB35" s="128">
        <f t="shared" si="1"/>
        <v>244.95863757110192</v>
      </c>
      <c r="AC35" s="134">
        <v>132.0378399999953</v>
      </c>
      <c r="AD35" s="3">
        <v>0</v>
      </c>
      <c r="AE35" s="3">
        <v>0</v>
      </c>
      <c r="AF35" s="3">
        <v>0</v>
      </c>
      <c r="AG35" s="3">
        <f t="shared" si="9"/>
        <v>132.0378399999953</v>
      </c>
      <c r="AH35" s="3">
        <v>1324603.6108799528</v>
      </c>
      <c r="AI35" s="43">
        <f t="shared" si="2"/>
        <v>102.08033474490026</v>
      </c>
      <c r="AJ35" s="142">
        <v>518.47999999999593</v>
      </c>
      <c r="AK35" s="3">
        <v>5340343.9999999581</v>
      </c>
      <c r="AL35" s="39">
        <f t="shared" si="3"/>
        <v>411.55263257267467</v>
      </c>
      <c r="AM35" s="7"/>
    </row>
    <row r="36" spans="1:39" x14ac:dyDescent="0.35">
      <c r="A36" s="35"/>
      <c r="B36" s="58">
        <v>25</v>
      </c>
      <c r="C36" s="219">
        <v>80</v>
      </c>
      <c r="D36" s="220">
        <v>532</v>
      </c>
      <c r="E36" s="106">
        <v>16159.999999999854</v>
      </c>
      <c r="F36" s="3">
        <v>16738204.799999848</v>
      </c>
      <c r="G36" s="37">
        <v>3480.0000000000182</v>
      </c>
      <c r="H36" s="3">
        <v>5406771.6000000285</v>
      </c>
      <c r="I36" s="103">
        <f t="shared" si="4"/>
        <v>22144976.399999876</v>
      </c>
      <c r="J36" s="106">
        <v>1859.9999999996726</v>
      </c>
      <c r="K36" s="3">
        <v>1926550.7999996608</v>
      </c>
      <c r="L36" s="184">
        <v>460.00000000003638</v>
      </c>
      <c r="M36" s="185">
        <v>714688.20000005653</v>
      </c>
      <c r="N36" s="94">
        <f t="shared" si="5"/>
        <v>2641238.9999997173</v>
      </c>
      <c r="O36" s="108">
        <f t="shared" si="6"/>
        <v>24786215.399999592</v>
      </c>
      <c r="P36" s="111">
        <f t="shared" si="7"/>
        <v>21959.999999999582</v>
      </c>
      <c r="Q36" s="189"/>
      <c r="R36" s="201"/>
      <c r="S36" s="213"/>
      <c r="T36" s="210"/>
      <c r="U36" s="208">
        <v>0</v>
      </c>
      <c r="V36" s="186">
        <f t="shared" si="8"/>
        <v>761.84</v>
      </c>
      <c r="W36" s="3">
        <v>93.45</v>
      </c>
      <c r="X36" s="3">
        <v>1679343.2250000001</v>
      </c>
      <c r="Y36" s="33">
        <v>668.39</v>
      </c>
      <c r="Z36" s="33">
        <v>105789.88560000001</v>
      </c>
      <c r="AA36" s="33">
        <f t="shared" si="0"/>
        <v>1785133.1106</v>
      </c>
      <c r="AB36" s="128">
        <f t="shared" si="1"/>
        <v>137.57095632043243</v>
      </c>
      <c r="AC36" s="134">
        <v>138.2006799999906</v>
      </c>
      <c r="AD36" s="3">
        <v>0</v>
      </c>
      <c r="AE36" s="3">
        <v>0</v>
      </c>
      <c r="AF36" s="3">
        <v>12</v>
      </c>
      <c r="AG36" s="3">
        <f t="shared" si="9"/>
        <v>150.2006799999906</v>
      </c>
      <c r="AH36" s="3">
        <v>1525929.2217599056</v>
      </c>
      <c r="AI36" s="43">
        <f t="shared" si="2"/>
        <v>117.59545608576278</v>
      </c>
      <c r="AJ36" s="142">
        <v>781.09999999999854</v>
      </c>
      <c r="AK36" s="3">
        <v>8045329.9999999851</v>
      </c>
      <c r="AL36" s="39">
        <f t="shared" si="3"/>
        <v>620.01188339476573</v>
      </c>
      <c r="AM36" s="7"/>
    </row>
    <row r="37" spans="1:39" x14ac:dyDescent="0.35">
      <c r="A37" s="35"/>
      <c r="B37" s="58">
        <v>26</v>
      </c>
      <c r="C37" s="219">
        <v>78</v>
      </c>
      <c r="D37" s="220">
        <v>772</v>
      </c>
      <c r="E37" s="106">
        <v>16680.000000000291</v>
      </c>
      <c r="F37" s="3">
        <v>17276810.4000003</v>
      </c>
      <c r="G37" s="37">
        <v>3600.0000000001364</v>
      </c>
      <c r="H37" s="3">
        <v>5593212.0000002123</v>
      </c>
      <c r="I37" s="103">
        <f t="shared" si="4"/>
        <v>22870022.400000513</v>
      </c>
      <c r="J37" s="106">
        <v>1980.0000000004729</v>
      </c>
      <c r="K37" s="3">
        <v>2050844.4000004898</v>
      </c>
      <c r="L37" s="184">
        <v>480.00000000001819</v>
      </c>
      <c r="M37" s="185">
        <v>745761.60000002827</v>
      </c>
      <c r="N37" s="94">
        <f t="shared" si="5"/>
        <v>2796606.0000005178</v>
      </c>
      <c r="O37" s="108">
        <f t="shared" si="6"/>
        <v>25666628.40000103</v>
      </c>
      <c r="P37" s="111">
        <f t="shared" si="7"/>
        <v>22740.000000000917</v>
      </c>
      <c r="Q37" s="189"/>
      <c r="R37" s="201"/>
      <c r="S37" s="213"/>
      <c r="T37" s="210"/>
      <c r="U37" s="208">
        <v>0</v>
      </c>
      <c r="V37" s="186">
        <f t="shared" si="8"/>
        <v>780.53000000000009</v>
      </c>
      <c r="W37" s="3">
        <v>122.82000000000001</v>
      </c>
      <c r="X37" s="3">
        <v>2207136.81</v>
      </c>
      <c r="Y37" s="33">
        <v>657.71</v>
      </c>
      <c r="Z37" s="33">
        <v>374042.80980000005</v>
      </c>
      <c r="AA37" s="33">
        <f t="shared" si="0"/>
        <v>2581179.6198</v>
      </c>
      <c r="AB37" s="128">
        <f t="shared" si="1"/>
        <v>198.91813480023643</v>
      </c>
      <c r="AC37" s="134">
        <v>139.44935999998123</v>
      </c>
      <c r="AD37" s="3">
        <v>0</v>
      </c>
      <c r="AE37" s="3">
        <v>0</v>
      </c>
      <c r="AF37" s="3">
        <v>12</v>
      </c>
      <c r="AG37" s="3">
        <f t="shared" si="9"/>
        <v>151.44935999998123</v>
      </c>
      <c r="AH37" s="3">
        <v>1538455.9795198117</v>
      </c>
      <c r="AI37" s="43">
        <f t="shared" si="2"/>
        <v>118.56082837895018</v>
      </c>
      <c r="AJ37" s="142">
        <v>603.0400000000044</v>
      </c>
      <c r="AK37" s="3">
        <v>6211312.0000000456</v>
      </c>
      <c r="AL37" s="39">
        <f t="shared" si="3"/>
        <v>478.67362202327865</v>
      </c>
      <c r="AM37" s="7"/>
    </row>
    <row r="38" spans="1:39" x14ac:dyDescent="0.35">
      <c r="A38" s="35"/>
      <c r="B38" s="58">
        <v>27</v>
      </c>
      <c r="C38" s="219">
        <v>76</v>
      </c>
      <c r="D38" s="220">
        <v>677</v>
      </c>
      <c r="E38" s="106">
        <v>16559.999999999491</v>
      </c>
      <c r="F38" s="3">
        <v>17152516.799999472</v>
      </c>
      <c r="G38" s="37">
        <v>3399.9999999998636</v>
      </c>
      <c r="H38" s="3">
        <v>5282477.9999997886</v>
      </c>
      <c r="I38" s="103">
        <f t="shared" si="4"/>
        <v>22434994.799999259</v>
      </c>
      <c r="J38" s="106">
        <v>2019.9999999995271</v>
      </c>
      <c r="K38" s="3">
        <v>2092275.59999951</v>
      </c>
      <c r="L38" s="184">
        <v>519.99999999998181</v>
      </c>
      <c r="M38" s="185">
        <v>807908.39999997173</v>
      </c>
      <c r="N38" s="94">
        <f t="shared" si="5"/>
        <v>2900183.9999994817</v>
      </c>
      <c r="O38" s="108">
        <f t="shared" si="6"/>
        <v>25335178.799998742</v>
      </c>
      <c r="P38" s="111">
        <f t="shared" si="7"/>
        <v>22499.999999998865</v>
      </c>
      <c r="Q38" s="189"/>
      <c r="R38" s="201"/>
      <c r="S38" s="213"/>
      <c r="T38" s="210"/>
      <c r="U38" s="208">
        <v>0</v>
      </c>
      <c r="V38" s="186">
        <f t="shared" si="8"/>
        <v>747.60000000000014</v>
      </c>
      <c r="W38" s="3">
        <v>92.56</v>
      </c>
      <c r="X38" s="3">
        <v>1663349.48</v>
      </c>
      <c r="Y38" s="33">
        <v>655.04000000000008</v>
      </c>
      <c r="Z38" s="33">
        <v>83120.624400000015</v>
      </c>
      <c r="AA38" s="33">
        <f t="shared" si="0"/>
        <v>1746470.1044000001</v>
      </c>
      <c r="AB38" s="128">
        <f t="shared" si="1"/>
        <v>134.59139882661111</v>
      </c>
      <c r="AC38" s="134">
        <v>133.60875999999294</v>
      </c>
      <c r="AD38" s="3">
        <v>0</v>
      </c>
      <c r="AE38" s="3">
        <v>400</v>
      </c>
      <c r="AF38" s="3">
        <v>0</v>
      </c>
      <c r="AG38" s="3">
        <f t="shared" si="9"/>
        <v>533.60875999999291</v>
      </c>
      <c r="AH38" s="3">
        <v>5852363.0803199289</v>
      </c>
      <c r="AI38" s="43">
        <f t="shared" si="2"/>
        <v>451.01128924968373</v>
      </c>
      <c r="AJ38" s="142">
        <v>493.09999999999854</v>
      </c>
      <c r="AK38" s="3">
        <v>5078929.9999999851</v>
      </c>
      <c r="AL38" s="39">
        <f t="shared" si="3"/>
        <v>391.40681052612808</v>
      </c>
      <c r="AM38" s="7"/>
    </row>
    <row r="39" spans="1:39" x14ac:dyDescent="0.35">
      <c r="A39" s="35"/>
      <c r="B39" s="58">
        <v>28</v>
      </c>
      <c r="C39" s="219">
        <v>79</v>
      </c>
      <c r="D39" s="220">
        <v>646</v>
      </c>
      <c r="E39" s="106">
        <v>15400.000000000546</v>
      </c>
      <c r="F39" s="3">
        <v>15951012.000000564</v>
      </c>
      <c r="G39" s="37">
        <v>3240.0000000000091</v>
      </c>
      <c r="H39" s="3">
        <v>5033890.8000000147</v>
      </c>
      <c r="I39" s="103">
        <f t="shared" si="4"/>
        <v>20984902.800000578</v>
      </c>
      <c r="J39" s="106">
        <v>1940.0000000005093</v>
      </c>
      <c r="K39" s="3">
        <v>2009413.2000005275</v>
      </c>
      <c r="L39" s="184">
        <v>460.00000000003638</v>
      </c>
      <c r="M39" s="185">
        <v>714688.20000005653</v>
      </c>
      <c r="N39" s="94">
        <f t="shared" si="5"/>
        <v>2724101.4000005843</v>
      </c>
      <c r="O39" s="108">
        <f t="shared" si="6"/>
        <v>23709004.200001162</v>
      </c>
      <c r="P39" s="111">
        <f t="shared" si="7"/>
        <v>21040.000000001099</v>
      </c>
      <c r="Q39" s="189"/>
      <c r="R39" s="204"/>
      <c r="S39" s="213"/>
      <c r="T39" s="210"/>
      <c r="U39" s="208">
        <v>0</v>
      </c>
      <c r="V39" s="186">
        <f t="shared" si="8"/>
        <v>751.16</v>
      </c>
      <c r="W39" s="3">
        <v>75.650000000000006</v>
      </c>
      <c r="X39" s="3">
        <v>1359468.3250000002</v>
      </c>
      <c r="Y39" s="33">
        <v>675.51</v>
      </c>
      <c r="Z39" s="33">
        <v>260696.50380000003</v>
      </c>
      <c r="AA39" s="33">
        <f t="shared" si="0"/>
        <v>1620164.8288000003</v>
      </c>
      <c r="AB39" s="128">
        <f t="shared" si="1"/>
        <v>124.85770588829148</v>
      </c>
      <c r="AC39" s="134">
        <v>133.28652000004453</v>
      </c>
      <c r="AD39" s="3">
        <v>0</v>
      </c>
      <c r="AE39" s="3">
        <v>0</v>
      </c>
      <c r="AF39" s="3">
        <v>12</v>
      </c>
      <c r="AG39" s="3">
        <f t="shared" si="9"/>
        <v>145.28652000004453</v>
      </c>
      <c r="AH39" s="3">
        <v>1476630.3686404468</v>
      </c>
      <c r="AI39" s="43">
        <f t="shared" si="2"/>
        <v>113.79624899645785</v>
      </c>
      <c r="AJ39" s="142">
        <v>502.59999999999854</v>
      </c>
      <c r="AK39" s="3">
        <v>5176779.9999999851</v>
      </c>
      <c r="AL39" s="39">
        <f t="shared" si="3"/>
        <v>398.94760286033659</v>
      </c>
      <c r="AM39" s="7"/>
    </row>
    <row r="40" spans="1:39" x14ac:dyDescent="0.35">
      <c r="A40" s="35"/>
      <c r="B40" s="58">
        <v>29</v>
      </c>
      <c r="C40" s="219">
        <v>66</v>
      </c>
      <c r="D40" s="220">
        <v>510</v>
      </c>
      <c r="E40" s="106">
        <v>15879.9999999992</v>
      </c>
      <c r="F40" s="3">
        <v>16448186.399999171</v>
      </c>
      <c r="G40" s="37">
        <v>3320.0000000001637</v>
      </c>
      <c r="H40" s="3">
        <v>5158184.4000002546</v>
      </c>
      <c r="I40" s="103">
        <f t="shared" si="4"/>
        <v>21606370.799999427</v>
      </c>
      <c r="J40" s="106">
        <v>1859.9999999996726</v>
      </c>
      <c r="K40" s="3">
        <v>1926550.7999996608</v>
      </c>
      <c r="L40" s="184">
        <v>480.00000000001819</v>
      </c>
      <c r="M40" s="185">
        <v>745761.60000002827</v>
      </c>
      <c r="N40" s="94">
        <f t="shared" si="5"/>
        <v>2672312.3999996893</v>
      </c>
      <c r="O40" s="108">
        <f t="shared" ref="O40:O41" si="10">N40+I40</f>
        <v>24278683.199999116</v>
      </c>
      <c r="P40" s="111">
        <f t="shared" ref="P40:P41" si="11">L40+J40+G40+E40</f>
        <v>21539.999999999054</v>
      </c>
      <c r="Q40" s="190"/>
      <c r="R40" s="205"/>
      <c r="S40" s="213"/>
      <c r="T40" s="210"/>
      <c r="U40" s="208">
        <v>0</v>
      </c>
      <c r="V40" s="186">
        <f t="shared" si="8"/>
        <v>701.32</v>
      </c>
      <c r="W40" s="3">
        <v>56.96</v>
      </c>
      <c r="X40" s="3">
        <v>1023599.68</v>
      </c>
      <c r="Y40" s="33">
        <v>644.36</v>
      </c>
      <c r="Z40" s="33">
        <v>124680.93660000002</v>
      </c>
      <c r="AA40" s="33">
        <f t="shared" ref="AA40:AA41" si="12">Z40+X40</f>
        <v>1148280.6166000001</v>
      </c>
      <c r="AB40" s="128">
        <f t="shared" ref="AB40:AB41" si="13">AA40/$AL$48</f>
        <v>88.492035474476523</v>
      </c>
      <c r="AC40" s="134">
        <v>130.34608000000233</v>
      </c>
      <c r="AD40" s="3">
        <v>0</v>
      </c>
      <c r="AE40" s="3">
        <v>0</v>
      </c>
      <c r="AF40" s="3">
        <v>0</v>
      </c>
      <c r="AG40" s="3">
        <f t="shared" si="9"/>
        <v>130.34608000000233</v>
      </c>
      <c r="AH40" s="3">
        <v>1307631.8745600234</v>
      </c>
      <c r="AI40" s="43">
        <f t="shared" ref="AI40:AI42" si="14">AH40/$AL$48</f>
        <v>100.77241099283555</v>
      </c>
      <c r="AJ40" s="142">
        <v>543</v>
      </c>
      <c r="AK40" s="3">
        <v>5592900</v>
      </c>
      <c r="AL40" s="39">
        <f t="shared" si="3"/>
        <v>431.01581447107719</v>
      </c>
      <c r="AM40" s="7"/>
    </row>
    <row r="41" spans="1:39" ht="17.25" customHeight="1" x14ac:dyDescent="0.35">
      <c r="A41" s="35"/>
      <c r="B41" s="58">
        <v>30</v>
      </c>
      <c r="C41" s="219">
        <v>65</v>
      </c>
      <c r="D41" s="220">
        <v>511</v>
      </c>
      <c r="E41" s="106">
        <v>15840.000000000146</v>
      </c>
      <c r="F41" s="3">
        <v>16406755.20000015</v>
      </c>
      <c r="G41" s="37">
        <v>3279.9999999999727</v>
      </c>
      <c r="H41" s="3">
        <v>5096037.5999999577</v>
      </c>
      <c r="I41" s="103">
        <f t="shared" si="4"/>
        <v>21502792.800000109</v>
      </c>
      <c r="J41" s="106">
        <v>1940.0000000005093</v>
      </c>
      <c r="K41" s="3">
        <v>2009413.2000005275</v>
      </c>
      <c r="L41" s="184">
        <v>480.00000000001819</v>
      </c>
      <c r="M41" s="185">
        <v>745761.60000002827</v>
      </c>
      <c r="N41" s="94">
        <f t="shared" si="5"/>
        <v>2755174.8000005558</v>
      </c>
      <c r="O41" s="108">
        <f t="shared" si="10"/>
        <v>24257967.600000665</v>
      </c>
      <c r="P41" s="111">
        <f t="shared" si="11"/>
        <v>21540.000000000648</v>
      </c>
      <c r="Q41" s="189"/>
      <c r="R41" s="206"/>
      <c r="S41" s="213"/>
      <c r="T41" s="210"/>
      <c r="U41" s="208">
        <v>0</v>
      </c>
      <c r="V41" s="186">
        <f t="shared" si="8"/>
        <v>780.53000000000009</v>
      </c>
      <c r="W41" s="3">
        <v>87.22</v>
      </c>
      <c r="X41" s="3">
        <v>1567387.01</v>
      </c>
      <c r="Y41" s="33">
        <v>693.31000000000006</v>
      </c>
      <c r="Z41" s="33">
        <v>56673.153000000006</v>
      </c>
      <c r="AA41" s="33">
        <f t="shared" si="12"/>
        <v>1624060.1629999999</v>
      </c>
      <c r="AB41" s="128">
        <f t="shared" si="13"/>
        <v>125.1578991052004</v>
      </c>
      <c r="AC41" s="134">
        <v>141.14111999997419</v>
      </c>
      <c r="AD41" s="3">
        <v>0</v>
      </c>
      <c r="AE41" s="3">
        <v>0</v>
      </c>
      <c r="AF41" s="3">
        <v>0</v>
      </c>
      <c r="AG41" s="3">
        <f t="shared" si="9"/>
        <v>141.14111999997419</v>
      </c>
      <c r="AH41" s="3">
        <v>1415927.7158397411</v>
      </c>
      <c r="AI41" s="43">
        <f t="shared" si="14"/>
        <v>109.11821017269</v>
      </c>
      <c r="AJ41" s="142">
        <v>526.76000000000204</v>
      </c>
      <c r="AK41" s="3">
        <v>5425628.0000000214</v>
      </c>
      <c r="AL41" s="39">
        <f t="shared" si="3"/>
        <v>418.12502841765286</v>
      </c>
      <c r="AM41" s="7"/>
    </row>
    <row r="42" spans="1:39" x14ac:dyDescent="0.35">
      <c r="A42" s="35"/>
      <c r="B42" s="58">
        <v>31</v>
      </c>
      <c r="C42" s="219">
        <v>76</v>
      </c>
      <c r="D42" s="220">
        <v>591</v>
      </c>
      <c r="E42" s="106">
        <v>15920.000000000073</v>
      </c>
      <c r="F42" s="3">
        <v>16489617.600000074</v>
      </c>
      <c r="G42" s="37">
        <v>3399.9999999998636</v>
      </c>
      <c r="H42" s="3">
        <v>5282477.9999997886</v>
      </c>
      <c r="I42" s="103">
        <f t="shared" si="4"/>
        <v>21772095.599999864</v>
      </c>
      <c r="J42" s="106">
        <v>1839.999999999236</v>
      </c>
      <c r="K42" s="3">
        <v>1905835.1999992086</v>
      </c>
      <c r="L42" s="184">
        <v>420.00000000007276</v>
      </c>
      <c r="M42" s="185">
        <v>652541.40000011306</v>
      </c>
      <c r="N42" s="94">
        <f t="shared" ref="N42" si="15">+K42+M42</f>
        <v>2558376.5999993216</v>
      </c>
      <c r="O42" s="108">
        <f t="shared" ref="O42" si="16">N42+I42</f>
        <v>24330472.199999183</v>
      </c>
      <c r="P42" s="111">
        <f t="shared" ref="P42" si="17">L42+J42+G42+E42</f>
        <v>21579.999999999243</v>
      </c>
      <c r="Q42" s="189"/>
      <c r="R42" s="206"/>
      <c r="S42" s="213"/>
      <c r="T42" s="210"/>
      <c r="U42" s="208">
        <v>1</v>
      </c>
      <c r="V42" s="186">
        <f t="shared" ref="V42" si="18">Y42+W42</f>
        <v>901.57</v>
      </c>
      <c r="W42" s="3">
        <v>102.35000000000001</v>
      </c>
      <c r="X42" s="3">
        <v>1839280.675</v>
      </c>
      <c r="Y42" s="33">
        <v>799.22</v>
      </c>
      <c r="Z42" s="33">
        <v>245583.66300000003</v>
      </c>
      <c r="AA42" s="33">
        <f t="shared" ref="AA42" si="19">Z42+X42</f>
        <v>2084864.338</v>
      </c>
      <c r="AB42" s="128">
        <f t="shared" ref="AB42" si="20">AA42/$AL$48</f>
        <v>160.66968848089061</v>
      </c>
      <c r="AC42" s="134">
        <v>143.23567999999059</v>
      </c>
      <c r="AD42" s="3">
        <v>0</v>
      </c>
      <c r="AE42" s="3">
        <v>0</v>
      </c>
      <c r="AF42" s="3">
        <v>0</v>
      </c>
      <c r="AG42" s="3">
        <f t="shared" si="9"/>
        <v>143.23567999999059</v>
      </c>
      <c r="AH42" s="3">
        <v>1436940.3417599057</v>
      </c>
      <c r="AI42" s="43">
        <f t="shared" si="14"/>
        <v>110.73754434193241</v>
      </c>
      <c r="AJ42" s="142">
        <v>252.9499999999947</v>
      </c>
      <c r="AK42" s="3">
        <v>2605384.9999999455</v>
      </c>
      <c r="AL42" s="39">
        <f t="shared" si="3"/>
        <v>200.78351799347456</v>
      </c>
      <c r="AM42" s="7"/>
    </row>
    <row r="43" spans="1:39" ht="16" thickBot="1" x14ac:dyDescent="0.4">
      <c r="A43" s="35"/>
      <c r="B43" s="122"/>
      <c r="C43" s="149"/>
      <c r="D43" s="150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5"/>
      <c r="R43" s="207"/>
      <c r="S43" s="214"/>
      <c r="T43" s="214"/>
      <c r="U43" s="209"/>
      <c r="V43" s="186"/>
      <c r="W43" s="3"/>
      <c r="X43" s="3"/>
      <c r="Y43" s="33"/>
      <c r="Z43" s="33"/>
      <c r="AA43" s="18"/>
      <c r="AB43" s="129"/>
      <c r="AC43" s="127"/>
      <c r="AD43" s="3"/>
      <c r="AE43" s="2"/>
      <c r="AF43" s="2"/>
      <c r="AG43" s="2"/>
      <c r="AH43" s="3"/>
      <c r="AI43" s="43"/>
      <c r="AJ43" s="142"/>
      <c r="AK43" s="3"/>
      <c r="AL43" s="39"/>
      <c r="AM43" s="7"/>
    </row>
    <row r="44" spans="1:39" s="8" customFormat="1" ht="4.5" customHeight="1" x14ac:dyDescent="0.3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7"/>
      <c r="T44" s="15"/>
      <c r="U44" s="34"/>
      <c r="V44" s="130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6"/>
      <c r="AK44" s="15"/>
      <c r="AL44" s="34"/>
      <c r="AM44" s="15"/>
    </row>
    <row r="45" spans="1:39" s="8" customFormat="1" ht="6" customHeight="1" x14ac:dyDescent="0.35">
      <c r="A45" s="15"/>
      <c r="B45" s="117"/>
      <c r="C45" s="118"/>
      <c r="D45" s="118"/>
      <c r="E45" s="116"/>
      <c r="F45" s="7"/>
      <c r="G45" s="15"/>
      <c r="H45" s="7"/>
      <c r="I45" s="15"/>
      <c r="J45" s="15"/>
      <c r="K45" s="15"/>
      <c r="L45" s="7"/>
      <c r="M45" s="62"/>
      <c r="N45" s="66"/>
      <c r="O45" s="15"/>
      <c r="P45" s="66"/>
      <c r="Q45" s="15"/>
      <c r="R45" s="86"/>
      <c r="S45" s="16"/>
      <c r="T45" s="16"/>
      <c r="U45" s="34"/>
      <c r="V45" s="130"/>
      <c r="W45" s="15"/>
      <c r="X45" s="15"/>
      <c r="Y45" s="15"/>
      <c r="Z45" s="15"/>
      <c r="AA45" s="15"/>
      <c r="AB45" s="131"/>
      <c r="AC45" s="15"/>
      <c r="AD45" s="7"/>
      <c r="AE45" s="15"/>
      <c r="AF45" s="15"/>
      <c r="AG45" s="15"/>
      <c r="AH45" s="7"/>
      <c r="AI45" s="15"/>
      <c r="AJ45" s="88"/>
      <c r="AK45" s="5"/>
      <c r="AL45" s="40"/>
      <c r="AM45" s="15"/>
    </row>
    <row r="46" spans="1:39" s="8" customFormat="1" ht="16" thickBot="1" x14ac:dyDescent="0.4">
      <c r="A46" s="15"/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87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3"/>
      <c r="AK46" s="79"/>
      <c r="AL46" s="80"/>
      <c r="AM46" s="15"/>
    </row>
    <row r="47" spans="1:39" ht="16.5" thickTop="1" thickBot="1" x14ac:dyDescent="0.4">
      <c r="A47" s="26"/>
      <c r="B47" s="69"/>
      <c r="C47" s="70">
        <f>SUM(C12:C43)</f>
        <v>2418</v>
      </c>
      <c r="D47" s="70">
        <f>SUM(D12:D43)</f>
        <v>19743</v>
      </c>
      <c r="E47" s="70">
        <f>SUM(E12:E43)</f>
        <v>501840.00000000006</v>
      </c>
      <c r="F47" s="70">
        <f>SUM(F12:F43)</f>
        <v>519795835.20000011</v>
      </c>
      <c r="G47" s="70">
        <f>SUM(G12:G43)</f>
        <v>106240.00000000001</v>
      </c>
      <c r="H47" s="70">
        <f t="shared" ref="H47:O47" si="21">SUM(H12:H43)</f>
        <v>165061900.80000001</v>
      </c>
      <c r="I47" s="70">
        <f t="shared" si="21"/>
        <v>684857736.00000024</v>
      </c>
      <c r="J47" s="70">
        <f t="shared" si="21"/>
        <v>58159.999999999854</v>
      </c>
      <c r="K47" s="70">
        <f t="shared" si="21"/>
        <v>60240964.799999833</v>
      </c>
      <c r="L47" s="70">
        <f t="shared" si="21"/>
        <v>14340.000000000146</v>
      </c>
      <c r="M47" s="70">
        <f t="shared" si="21"/>
        <v>22279627.800000224</v>
      </c>
      <c r="N47" s="70">
        <f t="shared" si="21"/>
        <v>82520592.600000098</v>
      </c>
      <c r="O47" s="70">
        <f t="shared" si="21"/>
        <v>767378328.60000038</v>
      </c>
      <c r="P47" s="82">
        <f>SUM(P12:P43)</f>
        <v>680580</v>
      </c>
      <c r="Q47" s="188" t="e">
        <f>+#REF!</f>
        <v>#REF!</v>
      </c>
      <c r="R47" s="123" t="e">
        <f>+#REF!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76">
        <f>SUM(V12:V42)</f>
        <v>23817.289999999997</v>
      </c>
      <c r="W47" s="52">
        <f>SUM(W12:W42)</f>
        <v>2775.02</v>
      </c>
      <c r="X47" s="52">
        <f t="shared" ref="X47:Z47" si="22">SUM(X12:X42)</f>
        <v>49868496.909999996</v>
      </c>
      <c r="Y47" s="52">
        <f t="shared" si="22"/>
        <v>21042.27</v>
      </c>
      <c r="Z47" s="52">
        <f t="shared" si="22"/>
        <v>19435113.268800005</v>
      </c>
      <c r="AA47" s="136">
        <f>SUM(AA12:AA42)</f>
        <v>69303610.178800002</v>
      </c>
      <c r="AB47" s="124">
        <f>AA47/$AL$48</f>
        <v>5340.8700293231632</v>
      </c>
      <c r="AC47" s="44">
        <f>SUM(AC12:AC41)</f>
        <v>4137.9241199999742</v>
      </c>
      <c r="AD47" s="138">
        <f>SUM(AD12:AD41)</f>
        <v>0</v>
      </c>
      <c r="AE47" s="44">
        <f>SUM(AE12:AE42)</f>
        <v>1450</v>
      </c>
      <c r="AF47" s="44">
        <f>SUM(AF12:AF42)</f>
        <v>192</v>
      </c>
      <c r="AG47" s="212">
        <f>SUM(AG12:AG42)</f>
        <v>5923.159799999964</v>
      </c>
      <c r="AH47" s="146">
        <f>SUM(AH12:AH43)</f>
        <v>61536595.113599643</v>
      </c>
      <c r="AI47" s="147">
        <f>AH47/$AL$48</f>
        <v>4742.3064354208118</v>
      </c>
      <c r="AJ47" s="211">
        <f>SUM(AJ12:AJ43)</f>
        <v>16778.059999999987</v>
      </c>
      <c r="AK47" s="144">
        <f>SUM(AK12:AK43)</f>
        <v>172814017.99999991</v>
      </c>
      <c r="AL47" s="145">
        <f>AK47/AL48</f>
        <v>13317.880655883237</v>
      </c>
      <c r="AM47" s="26"/>
    </row>
    <row r="48" spans="1:39" s="1" customFormat="1" x14ac:dyDescent="0.3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81" t="s">
        <v>29</v>
      </c>
      <c r="U48" s="151" t="e">
        <f>U47/S47</f>
        <v>#REF!</v>
      </c>
      <c r="V48" s="191" t="s">
        <v>52</v>
      </c>
      <c r="W48" s="11"/>
      <c r="X48" s="11"/>
      <c r="Y48" s="139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88"/>
      <c r="AK48" s="11"/>
      <c r="AL48" s="148">
        <v>12976.09</v>
      </c>
      <c r="AM48" s="26"/>
    </row>
    <row r="49" spans="1:39" s="1" customFormat="1" x14ac:dyDescent="0.3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1"/>
      <c r="V49" s="191"/>
      <c r="W49" s="11"/>
      <c r="X49" s="216"/>
      <c r="Y49" s="139"/>
      <c r="Z49" s="216"/>
      <c r="AA49" s="11"/>
      <c r="AB49" s="11"/>
      <c r="AC49" s="16"/>
      <c r="AD49" s="7"/>
      <c r="AE49" s="16"/>
      <c r="AF49" s="16"/>
      <c r="AG49" s="7"/>
      <c r="AH49" s="5"/>
      <c r="AI49" s="11"/>
      <c r="AJ49" s="88"/>
      <c r="AK49" s="11"/>
      <c r="AL49" s="148"/>
      <c r="AM49" s="26"/>
    </row>
    <row r="50" spans="1:39" s="1" customFormat="1" x14ac:dyDescent="0.35">
      <c r="A50" s="26"/>
      <c r="B50" s="26"/>
      <c r="C50" s="5"/>
      <c r="D50" s="11"/>
      <c r="E50" s="5"/>
      <c r="F50" s="5"/>
      <c r="G50" s="11"/>
      <c r="H50" s="5"/>
      <c r="I50" s="9"/>
      <c r="J50" s="9"/>
      <c r="K50" s="9"/>
      <c r="L50" s="17"/>
      <c r="M50" s="63"/>
      <c r="N50" s="67"/>
      <c r="O50" s="10"/>
      <c r="P50" s="67"/>
      <c r="Q50" s="10"/>
      <c r="R50" s="114"/>
      <c r="S50" s="14"/>
      <c r="T50" s="81"/>
      <c r="U50" s="151"/>
      <c r="V50" s="191"/>
      <c r="W50" s="11"/>
      <c r="X50" s="11"/>
      <c r="Y50" s="139"/>
      <c r="Z50" s="11"/>
      <c r="AA50" s="11"/>
      <c r="AB50" s="11"/>
      <c r="AC50" s="16"/>
      <c r="AD50" s="7"/>
      <c r="AE50" s="16"/>
      <c r="AF50" s="16"/>
      <c r="AG50" s="7"/>
      <c r="AH50" s="217"/>
      <c r="AI50" s="11"/>
      <c r="AJ50" s="88"/>
      <c r="AK50" s="11"/>
      <c r="AL50" s="148"/>
      <c r="AM50" s="26"/>
    </row>
    <row r="51" spans="1:39" s="194" customFormat="1" x14ac:dyDescent="0.35">
      <c r="A51" s="192"/>
      <c r="B51" s="192"/>
      <c r="C51" s="193"/>
      <c r="E51" s="193"/>
      <c r="F51" s="193"/>
      <c r="H51" s="193"/>
      <c r="L51" s="193"/>
      <c r="M51" s="195"/>
      <c r="N51" s="196"/>
      <c r="P51" s="196"/>
      <c r="R51" s="197"/>
      <c r="T51" s="215"/>
      <c r="AD51" s="193"/>
      <c r="AH51" s="193"/>
      <c r="AJ51" s="197"/>
      <c r="AL51" s="198"/>
      <c r="AM51" s="192"/>
    </row>
    <row r="52" spans="1:39" s="194" customFormat="1" x14ac:dyDescent="0.35">
      <c r="A52" s="192"/>
      <c r="B52" s="192"/>
      <c r="C52" s="193"/>
      <c r="E52" s="193"/>
      <c r="F52" s="193"/>
      <c r="H52" s="193"/>
      <c r="L52" s="193"/>
      <c r="M52" s="195"/>
      <c r="N52" s="196"/>
      <c r="P52" s="196"/>
      <c r="R52" s="197"/>
      <c r="W52" s="218">
        <f>W47/V47</f>
        <v>0.11651283584320468</v>
      </c>
      <c r="AD52" s="193"/>
      <c r="AH52" s="193"/>
      <c r="AJ52" s="197"/>
      <c r="AL52" s="198"/>
      <c r="AM52" s="192"/>
    </row>
    <row r="53" spans="1:39" s="194" customFormat="1" x14ac:dyDescent="0.35">
      <c r="A53" s="192"/>
      <c r="B53" s="192"/>
      <c r="C53" s="193"/>
      <c r="E53" s="193"/>
      <c r="F53" s="193"/>
      <c r="H53" s="193"/>
      <c r="L53" s="193"/>
      <c r="M53" s="195"/>
      <c r="N53" s="196"/>
      <c r="P53" s="196"/>
      <c r="R53" s="197"/>
      <c r="AD53" s="193"/>
      <c r="AH53" s="193"/>
      <c r="AJ53" s="197"/>
      <c r="AL53" s="198"/>
      <c r="AM53" s="192"/>
    </row>
    <row r="54" spans="1:39" s="194" customFormat="1" x14ac:dyDescent="0.35">
      <c r="A54" s="192"/>
      <c r="B54" s="192"/>
      <c r="C54" s="193"/>
      <c r="E54" s="193"/>
      <c r="F54" s="193"/>
      <c r="H54" s="193"/>
      <c r="L54" s="193"/>
      <c r="M54" s="195"/>
      <c r="N54" s="196"/>
      <c r="P54" s="196"/>
      <c r="R54" s="197"/>
      <c r="AD54" s="193"/>
      <c r="AH54" s="193"/>
      <c r="AJ54" s="197"/>
      <c r="AL54" s="198"/>
      <c r="AM54" s="192"/>
    </row>
    <row r="55" spans="1:39" s="194" customFormat="1" x14ac:dyDescent="0.35">
      <c r="A55" s="192"/>
      <c r="B55" s="192"/>
      <c r="C55" s="193"/>
      <c r="E55" s="193"/>
      <c r="F55" s="193"/>
      <c r="H55" s="193"/>
      <c r="L55" s="193"/>
      <c r="M55" s="195"/>
      <c r="N55" s="196"/>
      <c r="P55" s="196"/>
      <c r="R55" s="197"/>
      <c r="AD55" s="193"/>
      <c r="AH55" s="193"/>
      <c r="AJ55" s="197"/>
      <c r="AL55" s="198"/>
      <c r="AM55" s="192"/>
    </row>
    <row r="56" spans="1:39" s="194" customFormat="1" x14ac:dyDescent="0.35">
      <c r="A56" s="192"/>
      <c r="B56" s="192"/>
      <c r="C56" s="193"/>
      <c r="E56" s="193"/>
      <c r="F56" s="193"/>
      <c r="H56" s="193"/>
      <c r="L56" s="193"/>
      <c r="M56" s="195"/>
      <c r="N56" s="196"/>
      <c r="P56" s="196"/>
      <c r="R56" s="197"/>
      <c r="AD56" s="193"/>
      <c r="AH56" s="193"/>
      <c r="AJ56" s="197"/>
      <c r="AL56" s="198"/>
      <c r="AM56" s="192"/>
    </row>
    <row r="57" spans="1:39" s="194" customFormat="1" x14ac:dyDescent="0.35">
      <c r="A57" s="192"/>
      <c r="B57" s="192"/>
      <c r="C57" s="193"/>
      <c r="E57" s="193"/>
      <c r="F57" s="193"/>
      <c r="H57" s="193"/>
      <c r="L57" s="193"/>
      <c r="M57" s="195"/>
      <c r="N57" s="196"/>
      <c r="P57" s="196"/>
      <c r="R57" s="197"/>
      <c r="AD57" s="193"/>
      <c r="AH57" s="193"/>
      <c r="AJ57" s="197"/>
      <c r="AL57" s="198"/>
      <c r="AM57" s="192"/>
    </row>
    <row r="58" spans="1:39" s="194" customFormat="1" x14ac:dyDescent="0.35">
      <c r="A58" s="192"/>
      <c r="B58" s="192"/>
      <c r="C58" s="193"/>
      <c r="E58" s="193"/>
      <c r="F58" s="193"/>
      <c r="H58" s="193"/>
      <c r="L58" s="193"/>
      <c r="M58" s="195"/>
      <c r="N58" s="196"/>
      <c r="P58" s="196"/>
      <c r="R58" s="197"/>
      <c r="AD58" s="193"/>
      <c r="AH58" s="193"/>
      <c r="AJ58" s="197"/>
      <c r="AL58" s="198"/>
      <c r="AM58" s="192"/>
    </row>
    <row r="59" spans="1:39" s="194" customFormat="1" x14ac:dyDescent="0.35">
      <c r="A59" s="192"/>
      <c r="B59" s="192"/>
      <c r="C59" s="193"/>
      <c r="E59" s="193"/>
      <c r="F59" s="193"/>
      <c r="H59" s="193"/>
      <c r="L59" s="193"/>
      <c r="M59" s="195"/>
      <c r="N59" s="196"/>
      <c r="P59" s="196"/>
      <c r="R59" s="197"/>
      <c r="AD59" s="193"/>
      <c r="AH59" s="193"/>
      <c r="AJ59" s="197"/>
      <c r="AL59" s="198"/>
      <c r="AM59" s="192"/>
    </row>
    <row r="60" spans="1:39" s="194" customFormat="1" x14ac:dyDescent="0.35">
      <c r="A60" s="192"/>
      <c r="B60" s="192"/>
      <c r="C60" s="193"/>
      <c r="E60" s="193"/>
      <c r="F60" s="193"/>
      <c r="H60" s="193"/>
      <c r="L60" s="193"/>
      <c r="M60" s="195"/>
      <c r="N60" s="196"/>
      <c r="P60" s="196"/>
      <c r="R60" s="197"/>
      <c r="AD60" s="193"/>
      <c r="AH60" s="193"/>
      <c r="AJ60" s="197"/>
      <c r="AL60" s="198"/>
      <c r="AM60" s="192"/>
    </row>
    <row r="61" spans="1:39" s="194" customFormat="1" x14ac:dyDescent="0.35">
      <c r="A61" s="192"/>
      <c r="B61" s="192"/>
      <c r="C61" s="193"/>
      <c r="E61" s="193"/>
      <c r="F61" s="193"/>
      <c r="H61" s="193"/>
      <c r="L61" s="193"/>
      <c r="M61" s="195"/>
      <c r="N61" s="196"/>
      <c r="P61" s="196"/>
      <c r="R61" s="197"/>
      <c r="AD61" s="193"/>
      <c r="AH61" s="193"/>
      <c r="AJ61" s="197"/>
      <c r="AL61" s="198"/>
      <c r="AM61" s="192"/>
    </row>
    <row r="62" spans="1:39" s="194" customFormat="1" x14ac:dyDescent="0.35">
      <c r="A62" s="192"/>
      <c r="B62" s="192"/>
      <c r="C62" s="193"/>
      <c r="E62" s="193"/>
      <c r="F62" s="193"/>
      <c r="H62" s="193"/>
      <c r="L62" s="193"/>
      <c r="M62" s="195"/>
      <c r="N62" s="196"/>
      <c r="P62" s="196"/>
      <c r="R62" s="197"/>
      <c r="AD62" s="193"/>
      <c r="AH62" s="193"/>
      <c r="AJ62" s="197"/>
      <c r="AL62" s="198"/>
      <c r="AM62" s="192"/>
    </row>
    <row r="63" spans="1:39" s="194" customFormat="1" x14ac:dyDescent="0.35">
      <c r="A63" s="192"/>
      <c r="B63" s="192"/>
      <c r="C63" s="193"/>
      <c r="E63" s="193"/>
      <c r="F63" s="193"/>
      <c r="H63" s="193"/>
      <c r="L63" s="193"/>
      <c r="M63" s="195"/>
      <c r="N63" s="196"/>
      <c r="P63" s="196"/>
      <c r="R63" s="197"/>
      <c r="AD63" s="193"/>
      <c r="AH63" s="193"/>
      <c r="AJ63" s="197"/>
      <c r="AL63" s="198"/>
      <c r="AM63" s="192"/>
    </row>
    <row r="64" spans="1:39" s="194" customFormat="1" x14ac:dyDescent="0.35">
      <c r="A64" s="192"/>
      <c r="B64" s="192"/>
      <c r="C64" s="193"/>
      <c r="E64" s="193"/>
      <c r="F64" s="193"/>
      <c r="H64" s="193"/>
      <c r="L64" s="193"/>
      <c r="M64" s="195"/>
      <c r="N64" s="196"/>
      <c r="P64" s="196"/>
      <c r="R64" s="197"/>
      <c r="AD64" s="193"/>
      <c r="AH64" s="193"/>
      <c r="AJ64" s="197"/>
      <c r="AL64" s="198"/>
      <c r="AM64" s="192"/>
    </row>
    <row r="65" spans="1:39" s="194" customFormat="1" x14ac:dyDescent="0.35">
      <c r="A65" s="192"/>
      <c r="B65" s="192"/>
      <c r="C65" s="193"/>
      <c r="E65" s="193"/>
      <c r="F65" s="193"/>
      <c r="H65" s="193"/>
      <c r="L65" s="193"/>
      <c r="M65" s="195"/>
      <c r="N65" s="196"/>
      <c r="P65" s="196"/>
      <c r="R65" s="197"/>
      <c r="AD65" s="193"/>
      <c r="AH65" s="193"/>
      <c r="AJ65" s="197"/>
      <c r="AL65" s="198"/>
      <c r="AM65" s="192"/>
    </row>
    <row r="66" spans="1:39" s="194" customFormat="1" x14ac:dyDescent="0.35">
      <c r="A66" s="192"/>
      <c r="B66" s="192"/>
      <c r="C66" s="193"/>
      <c r="E66" s="193"/>
      <c r="F66" s="193"/>
      <c r="H66" s="193"/>
      <c r="L66" s="193"/>
      <c r="M66" s="195"/>
      <c r="N66" s="196"/>
      <c r="P66" s="196"/>
      <c r="R66" s="197"/>
      <c r="AD66" s="193"/>
      <c r="AH66" s="193"/>
      <c r="AJ66" s="197"/>
      <c r="AL66" s="198"/>
      <c r="AM66" s="192"/>
    </row>
    <row r="67" spans="1:39" s="194" customFormat="1" x14ac:dyDescent="0.35">
      <c r="A67" s="192"/>
      <c r="B67" s="192"/>
      <c r="C67" s="193"/>
      <c r="E67" s="193"/>
      <c r="F67" s="193"/>
      <c r="H67" s="193"/>
      <c r="L67" s="193"/>
      <c r="M67" s="195"/>
      <c r="N67" s="196"/>
      <c r="P67" s="196"/>
      <c r="R67" s="197"/>
      <c r="AD67" s="193"/>
      <c r="AH67" s="193"/>
      <c r="AJ67" s="197"/>
      <c r="AL67" s="198"/>
      <c r="AM67" s="192"/>
    </row>
    <row r="68" spans="1:39" s="194" customFormat="1" x14ac:dyDescent="0.35">
      <c r="A68" s="192"/>
      <c r="B68" s="192"/>
      <c r="C68" s="193"/>
      <c r="E68" s="193"/>
      <c r="F68" s="193"/>
      <c r="H68" s="193"/>
      <c r="L68" s="193"/>
      <c r="M68" s="195"/>
      <c r="N68" s="196"/>
      <c r="P68" s="196"/>
      <c r="R68" s="197"/>
      <c r="AD68" s="193"/>
      <c r="AH68" s="193"/>
      <c r="AJ68" s="197"/>
      <c r="AL68" s="198"/>
      <c r="AM68" s="192"/>
    </row>
    <row r="69" spans="1:39" s="194" customFormat="1" x14ac:dyDescent="0.35">
      <c r="A69" s="192"/>
      <c r="B69" s="192"/>
      <c r="C69" s="193"/>
      <c r="E69" s="193"/>
      <c r="F69" s="193"/>
      <c r="H69" s="193"/>
      <c r="L69" s="193"/>
      <c r="M69" s="195"/>
      <c r="N69" s="196"/>
      <c r="P69" s="196"/>
      <c r="R69" s="197"/>
      <c r="AD69" s="193"/>
      <c r="AH69" s="193"/>
      <c r="AJ69" s="197"/>
      <c r="AL69" s="198"/>
      <c r="AM69" s="192"/>
    </row>
    <row r="70" spans="1:39" s="194" customFormat="1" x14ac:dyDescent="0.35">
      <c r="A70" s="192"/>
      <c r="B70" s="192"/>
      <c r="C70" s="193"/>
      <c r="E70" s="193"/>
      <c r="F70" s="193"/>
      <c r="H70" s="193"/>
      <c r="L70" s="193"/>
      <c r="M70" s="195"/>
      <c r="N70" s="196"/>
      <c r="P70" s="196"/>
      <c r="R70" s="197"/>
      <c r="AD70" s="193"/>
      <c r="AH70" s="193"/>
      <c r="AJ70" s="197"/>
      <c r="AL70" s="198"/>
      <c r="AM70" s="192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6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7" t="s">
        <v>28</v>
      </c>
    </row>
    <row r="2" spans="1:3" ht="18.5" x14ac:dyDescent="0.45">
      <c r="A2" s="260">
        <v>43647</v>
      </c>
      <c r="B2" s="261"/>
      <c r="C2" s="261"/>
    </row>
    <row r="3" spans="1:3" x14ac:dyDescent="0.35">
      <c r="A3" s="263" t="s">
        <v>1</v>
      </c>
      <c r="B3" s="262" t="s">
        <v>2</v>
      </c>
      <c r="C3" s="262" t="s">
        <v>3</v>
      </c>
    </row>
    <row r="4" spans="1:3" x14ac:dyDescent="0.35">
      <c r="A4" s="263"/>
      <c r="B4" s="262"/>
      <c r="C4" s="262"/>
    </row>
    <row r="5" spans="1:3" x14ac:dyDescent="0.35">
      <c r="A5" s="263"/>
      <c r="B5" s="262"/>
      <c r="C5" s="262"/>
    </row>
    <row r="6" spans="1:3" x14ac:dyDescent="0.35">
      <c r="A6" s="2">
        <v>1</v>
      </c>
      <c r="B6" s="219">
        <v>77</v>
      </c>
      <c r="C6" s="220">
        <v>693</v>
      </c>
    </row>
    <row r="7" spans="1:3" x14ac:dyDescent="0.35">
      <c r="A7" s="2">
        <v>2</v>
      </c>
      <c r="B7" s="219">
        <v>86</v>
      </c>
      <c r="C7" s="220">
        <v>636</v>
      </c>
    </row>
    <row r="8" spans="1:3" x14ac:dyDescent="0.35">
      <c r="A8" s="2">
        <f>A7+1</f>
        <v>3</v>
      </c>
      <c r="B8" s="219">
        <v>90</v>
      </c>
      <c r="C8" s="220">
        <v>708</v>
      </c>
    </row>
    <row r="9" spans="1:3" x14ac:dyDescent="0.35">
      <c r="A9" s="2">
        <f>A8+1</f>
        <v>4</v>
      </c>
      <c r="B9" s="219">
        <v>102</v>
      </c>
      <c r="C9" s="220">
        <v>714</v>
      </c>
    </row>
    <row r="10" spans="1:3" x14ac:dyDescent="0.35">
      <c r="A10" s="2">
        <f t="shared" ref="A10:A35" si="0">A9+1</f>
        <v>5</v>
      </c>
      <c r="B10" s="219">
        <v>104</v>
      </c>
      <c r="C10" s="220">
        <v>750</v>
      </c>
    </row>
    <row r="11" spans="1:3" x14ac:dyDescent="0.35">
      <c r="A11" s="2">
        <f t="shared" si="0"/>
        <v>6</v>
      </c>
      <c r="B11" s="219">
        <v>98</v>
      </c>
      <c r="C11" s="220">
        <v>837</v>
      </c>
    </row>
    <row r="12" spans="1:3" x14ac:dyDescent="0.35">
      <c r="A12" s="2">
        <f t="shared" si="0"/>
        <v>7</v>
      </c>
      <c r="B12" s="219">
        <v>78</v>
      </c>
      <c r="C12" s="220">
        <v>739</v>
      </c>
    </row>
    <row r="13" spans="1:3" x14ac:dyDescent="0.35">
      <c r="A13" s="2">
        <f t="shared" si="0"/>
        <v>8</v>
      </c>
      <c r="B13" s="219">
        <v>89</v>
      </c>
      <c r="C13" s="220">
        <v>776</v>
      </c>
    </row>
    <row r="14" spans="1:3" x14ac:dyDescent="0.35">
      <c r="A14" s="2">
        <f t="shared" si="0"/>
        <v>9</v>
      </c>
      <c r="B14" s="219">
        <v>90</v>
      </c>
      <c r="C14" s="220">
        <v>609</v>
      </c>
    </row>
    <row r="15" spans="1:3" x14ac:dyDescent="0.35">
      <c r="A15" s="2">
        <f t="shared" si="0"/>
        <v>10</v>
      </c>
      <c r="B15" s="219">
        <v>113</v>
      </c>
      <c r="C15" s="220">
        <v>695</v>
      </c>
    </row>
    <row r="16" spans="1:3" x14ac:dyDescent="0.35">
      <c r="A16" s="2">
        <f t="shared" si="0"/>
        <v>11</v>
      </c>
      <c r="B16" s="219">
        <v>106</v>
      </c>
      <c r="C16" s="220">
        <v>749</v>
      </c>
    </row>
    <row r="17" spans="1:3" x14ac:dyDescent="0.35">
      <c r="A17" s="2">
        <f t="shared" si="0"/>
        <v>12</v>
      </c>
      <c r="B17" s="219">
        <v>81</v>
      </c>
      <c r="C17" s="220">
        <v>744</v>
      </c>
    </row>
    <row r="18" spans="1:3" x14ac:dyDescent="0.35">
      <c r="A18" s="2">
        <f t="shared" si="0"/>
        <v>13</v>
      </c>
      <c r="B18" s="219">
        <v>74</v>
      </c>
      <c r="C18" s="220">
        <v>645</v>
      </c>
    </row>
    <row r="19" spans="1:3" x14ac:dyDescent="0.35">
      <c r="A19" s="2">
        <f t="shared" si="0"/>
        <v>14</v>
      </c>
      <c r="B19" s="219">
        <v>70</v>
      </c>
      <c r="C19" s="220">
        <v>657</v>
      </c>
    </row>
    <row r="20" spans="1:3" x14ac:dyDescent="0.35">
      <c r="A20" s="2">
        <f t="shared" si="0"/>
        <v>15</v>
      </c>
      <c r="B20" s="219">
        <v>64</v>
      </c>
      <c r="C20" s="220">
        <v>508</v>
      </c>
    </row>
    <row r="21" spans="1:3" x14ac:dyDescent="0.35">
      <c r="A21" s="2">
        <f t="shared" si="0"/>
        <v>16</v>
      </c>
      <c r="B21" s="219">
        <v>62</v>
      </c>
      <c r="C21" s="220">
        <v>598</v>
      </c>
    </row>
    <row r="22" spans="1:3" x14ac:dyDescent="0.35">
      <c r="A22" s="2">
        <f t="shared" si="0"/>
        <v>17</v>
      </c>
      <c r="B22" s="219">
        <v>66</v>
      </c>
      <c r="C22" s="220">
        <v>525</v>
      </c>
    </row>
    <row r="23" spans="1:3" x14ac:dyDescent="0.35">
      <c r="A23" s="2">
        <f t="shared" si="0"/>
        <v>18</v>
      </c>
      <c r="B23" s="219">
        <v>69</v>
      </c>
      <c r="C23" s="220">
        <v>466</v>
      </c>
    </row>
    <row r="24" spans="1:3" x14ac:dyDescent="0.35">
      <c r="A24" s="2">
        <f t="shared" si="0"/>
        <v>19</v>
      </c>
      <c r="B24" s="219">
        <v>83</v>
      </c>
      <c r="C24" s="220">
        <v>531</v>
      </c>
    </row>
    <row r="25" spans="1:3" x14ac:dyDescent="0.35">
      <c r="A25" s="2">
        <f t="shared" si="0"/>
        <v>20</v>
      </c>
      <c r="B25" s="219">
        <v>64</v>
      </c>
      <c r="C25" s="220">
        <v>612</v>
      </c>
    </row>
    <row r="26" spans="1:3" x14ac:dyDescent="0.35">
      <c r="A26" s="2">
        <f t="shared" si="0"/>
        <v>21</v>
      </c>
      <c r="B26" s="219">
        <v>61</v>
      </c>
      <c r="C26" s="220">
        <v>654</v>
      </c>
    </row>
    <row r="27" spans="1:3" x14ac:dyDescent="0.35">
      <c r="A27" s="2">
        <f t="shared" si="0"/>
        <v>22</v>
      </c>
      <c r="B27" s="219">
        <v>56</v>
      </c>
      <c r="C27" s="220">
        <v>545</v>
      </c>
    </row>
    <row r="28" spans="1:3" x14ac:dyDescent="0.35">
      <c r="A28" s="2">
        <f t="shared" si="0"/>
        <v>23</v>
      </c>
      <c r="B28" s="219">
        <v>49</v>
      </c>
      <c r="C28" s="220">
        <v>512</v>
      </c>
    </row>
    <row r="29" spans="1:3" x14ac:dyDescent="0.35">
      <c r="A29" s="2">
        <f t="shared" si="0"/>
        <v>24</v>
      </c>
      <c r="B29" s="219">
        <v>66</v>
      </c>
      <c r="C29" s="220">
        <v>601</v>
      </c>
    </row>
    <row r="30" spans="1:3" x14ac:dyDescent="0.35">
      <c r="A30" s="2">
        <f t="shared" si="0"/>
        <v>25</v>
      </c>
      <c r="B30" s="219">
        <v>80</v>
      </c>
      <c r="C30" s="220">
        <v>532</v>
      </c>
    </row>
    <row r="31" spans="1:3" x14ac:dyDescent="0.35">
      <c r="A31" s="2">
        <f t="shared" si="0"/>
        <v>26</v>
      </c>
      <c r="B31" s="219">
        <v>78</v>
      </c>
      <c r="C31" s="220">
        <v>772</v>
      </c>
    </row>
    <row r="32" spans="1:3" x14ac:dyDescent="0.35">
      <c r="A32" s="2">
        <f t="shared" si="0"/>
        <v>27</v>
      </c>
      <c r="B32" s="219">
        <v>76</v>
      </c>
      <c r="C32" s="220">
        <v>677</v>
      </c>
    </row>
    <row r="33" spans="1:3" x14ac:dyDescent="0.35">
      <c r="A33" s="2">
        <f t="shared" si="0"/>
        <v>28</v>
      </c>
      <c r="B33" s="219">
        <v>79</v>
      </c>
      <c r="C33" s="220">
        <v>646</v>
      </c>
    </row>
    <row r="34" spans="1:3" x14ac:dyDescent="0.35">
      <c r="A34" s="2">
        <f t="shared" si="0"/>
        <v>29</v>
      </c>
      <c r="B34" s="219">
        <v>66</v>
      </c>
      <c r="C34" s="220">
        <v>510</v>
      </c>
    </row>
    <row r="35" spans="1:3" x14ac:dyDescent="0.35">
      <c r="A35" s="2">
        <f t="shared" si="0"/>
        <v>30</v>
      </c>
      <c r="B35" s="219">
        <v>65</v>
      </c>
      <c r="C35" s="220">
        <v>511</v>
      </c>
    </row>
    <row r="36" spans="1:3" x14ac:dyDescent="0.35">
      <c r="A36" s="2">
        <v>31</v>
      </c>
      <c r="B36" s="219">
        <v>76</v>
      </c>
      <c r="C36" s="220">
        <v>591</v>
      </c>
    </row>
    <row r="38" spans="1:3" x14ac:dyDescent="0.35">
      <c r="B38" s="6">
        <f>SUM(B6:B36)</f>
        <v>2418</v>
      </c>
      <c r="C38" s="6">
        <f>SUM(C6:C36)</f>
        <v>19743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a2b08d59-ce98-408b-b7f1-7ea559ce0d50"/>
    <ds:schemaRef ds:uri="http://www.w3.org/XML/1998/namespace"/>
    <ds:schemaRef ds:uri="http://schemas.microsoft.com/office/2006/documentManagement/types"/>
    <ds:schemaRef ds:uri="2e11796f-5f26-4c51-a1e5-22e0f1616a71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4FA0216-B2A4-4BC4-AD7E-954400D07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July 2019</vt:lpstr>
      <vt:lpstr>RNs &amp; Covers July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John Wu</dc:creator>
  <cp:lastModifiedBy>ASUS</cp:lastModifiedBy>
  <cp:lastPrinted>2020-11-17T04:34:44Z</cp:lastPrinted>
  <dcterms:created xsi:type="dcterms:W3CDTF">2020-09-16T08:52:25Z</dcterms:created>
  <dcterms:modified xsi:type="dcterms:W3CDTF">2023-02-18T05:12:40Z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1893100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