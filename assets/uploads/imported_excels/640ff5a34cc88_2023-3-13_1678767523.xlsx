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/>
  <c r="F24" i="119"/>
  <c r="G21" i="117" s="1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 s="1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/>
  <c r="D21" i="119"/>
  <c r="H20" i="119"/>
  <c r="I17" i="117" s="1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 s="1"/>
  <c r="D7" i="119"/>
  <c r="H6" i="119"/>
  <c r="I3" i="117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<sst xmlns="http://schemas.openxmlformats.org/spreadsheetml/2006/main" count="56" uniqueCount="25">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</sst>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10</v>
      </c>
      <c r="D2" s="7">
        <v>2022</v>
      </c>
      <c r="E2" s="9">
        <v>30143.999999999214</v>
      </c>
      <c r="F2" s="30">
        <v>0.79679999999999995</v>
      </c>
      <c r="G2" s="9">
        <f>'Shenzhen Daily'!F5</f>
        <v>868</v>
      </c>
      <c r="H2" s="30">
        <v>4.3899999999999997</v>
      </c>
      <c r="I2" s="9">
        <f>'Shenzhen Daily'!H5</f>
        <v>405</v>
      </c>
      <c r="J2" s="30">
        <v>5.09</v>
      </c>
      <c r="K2" s="9">
        <f>'Shenzhen Daily'!I5</f>
        <v>60.461800000000004</v>
      </c>
      <c r="L2" s="9">
        <f>'Shenzhen Daily'!J5</f>
        <v>174</v>
      </c>
    </row>
    <row r="3" spans="1:12" ht="15" x14ac:dyDescent="0.25">
      <c r="A3" s="6" t="s">
        <v>22</v>
      </c>
      <c r="B3" s="7">
        <f>B2+1</f>
        <v>2</v>
      </c>
      <c r="C3" s="8">
        <v>10</v>
      </c>
      <c r="D3" s="7">
        <v>2022</v>
      </c>
      <c r="E3" s="9">
        <v>32670.000000000808</v>
      </c>
      <c r="F3" s="30">
        <v>0.79679999999999995</v>
      </c>
      <c r="G3" s="9">
        <f>'Shenzhen Daily'!F6</f>
        <v>1102</v>
      </c>
      <c r="H3" s="30">
        <v>4.3899999999999997</v>
      </c>
      <c r="I3" s="9">
        <f>'Shenzhen Daily'!H6</f>
        <v>426</v>
      </c>
      <c r="J3" s="30">
        <v>5.09</v>
      </c>
      <c r="K3" s="9">
        <f>'Shenzhen Daily'!I6</f>
        <v>60.461800000000004</v>
      </c>
      <c r="L3" s="9">
        <f>'Shenzhen Daily'!J6</f>
        <v>204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v>33088.999999998989</v>
      </c>
      <c r="F4" s="30">
        <v>0.79679999999999995</v>
      </c>
      <c r="G4" s="9">
        <f>'Shenzhen Daily'!F7</f>
        <v>1060</v>
      </c>
      <c r="H4" s="30">
        <v>4.3899999999999997</v>
      </c>
      <c r="I4" s="9">
        <f>'Shenzhen Daily'!H7</f>
        <v>437</v>
      </c>
      <c r="J4" s="30">
        <v>5.09</v>
      </c>
      <c r="K4" s="9">
        <f>'Shenzhen Daily'!I7</f>
        <v>57.429400000000001</v>
      </c>
      <c r="L4" s="9">
        <f>'Shenzhen Daily'!J7</f>
        <v>166</v>
      </c>
    </row>
    <row r="5" spans="1:12" ht="15" x14ac:dyDescent="0.2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v>32947.000000000684</v>
      </c>
      <c r="F5" s="30">
        <v>0.79679999999999995</v>
      </c>
      <c r="G5" s="9">
        <f>'Shenzhen Daily'!F8</f>
        <v>1112</v>
      </c>
      <c r="H5" s="30">
        <v>4.3899999999999997</v>
      </c>
      <c r="I5" s="9">
        <f>'Shenzhen Daily'!H8</f>
        <v>432</v>
      </c>
      <c r="J5" s="30">
        <v>5.09</v>
      </c>
      <c r="K5" s="9">
        <f>'Shenzhen Daily'!I8</f>
        <v>64.478400000000008</v>
      </c>
      <c r="L5" s="9">
        <f>'Shenzhen Daily'!J8</f>
        <v>270</v>
      </c>
    </row>
    <row r="6" spans="1:12" ht="15" x14ac:dyDescent="0.2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v>32002.9999999996</v>
      </c>
      <c r="F6" s="30">
        <v>0.79679999999999995</v>
      </c>
      <c r="G6" s="9">
        <f>'Shenzhen Daily'!F9</f>
        <v>1117</v>
      </c>
      <c r="H6" s="30">
        <v>4.3899999999999997</v>
      </c>
      <c r="I6" s="9">
        <f>'Shenzhen Daily'!H9</f>
        <v>407</v>
      </c>
      <c r="J6" s="30">
        <v>5.09</v>
      </c>
      <c r="K6" s="9">
        <f>'Shenzhen Daily'!I9</f>
        <v>55.407800000000002</v>
      </c>
      <c r="L6" s="9">
        <f>'Shenzhen Daily'!J9</f>
        <v>253</v>
      </c>
    </row>
    <row r="7" spans="1:12" ht="15" x14ac:dyDescent="0.2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v>33575.999999998974</v>
      </c>
      <c r="F7" s="30">
        <v>0.79679999999999995</v>
      </c>
      <c r="G7" s="9">
        <f>'Shenzhen Daily'!F10</f>
        <v>1197</v>
      </c>
      <c r="H7" s="30">
        <v>4.3899999999999997</v>
      </c>
      <c r="I7" s="9">
        <f>'Shenzhen Daily'!H10</f>
        <v>461</v>
      </c>
      <c r="J7" s="30">
        <v>5.09</v>
      </c>
      <c r="K7" s="9">
        <f>'Shenzhen Daily'!I10</f>
        <v>72.538200000000003</v>
      </c>
      <c r="L7" s="9">
        <f>'Shenzhen Daily'!J10</f>
        <v>267</v>
      </c>
    </row>
    <row r="8" spans="1:12" ht="15" x14ac:dyDescent="0.2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v>29322.000000000793</v>
      </c>
      <c r="F8" s="30">
        <v>0.79679999999999995</v>
      </c>
      <c r="G8" s="9">
        <f>'Shenzhen Daily'!F11</f>
        <v>1109</v>
      </c>
      <c r="H8" s="30">
        <v>4.3899999999999997</v>
      </c>
      <c r="I8" s="9">
        <f>'Shenzhen Daily'!H11</f>
        <v>434</v>
      </c>
      <c r="J8" s="30">
        <v>5.09</v>
      </c>
      <c r="K8" s="9">
        <f>'Shenzhen Daily'!I11</f>
        <v>68.521599999999992</v>
      </c>
      <c r="L8" s="9">
        <f>'Shenzhen Daily'!J11</f>
        <v>173</v>
      </c>
    </row>
    <row r="9" spans="1:12" ht="15" x14ac:dyDescent="0.2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v>28278.999999999825</v>
      </c>
      <c r="F9" s="30">
        <v>0.79679999999999995</v>
      </c>
      <c r="G9" s="9">
        <f>'Shenzhen Daily'!F12</f>
        <v>1023</v>
      </c>
      <c r="H9" s="30">
        <v>4.3899999999999997</v>
      </c>
      <c r="I9" s="9">
        <f>'Shenzhen Daily'!H12</f>
        <v>397</v>
      </c>
      <c r="J9" s="30">
        <v>5.09</v>
      </c>
      <c r="K9" s="9">
        <f>'Shenzhen Daily'!I12</f>
        <v>55.407800000000002</v>
      </c>
      <c r="L9" s="9">
        <f>'Shenzhen Daily'!J12</f>
        <v>118</v>
      </c>
    </row>
    <row r="10" spans="1:12" ht="15" x14ac:dyDescent="0.2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v>24716.000000000084</v>
      </c>
      <c r="F10" s="30">
        <v>0.79679999999999995</v>
      </c>
      <c r="G10" s="9">
        <f>'Shenzhen Daily'!F13</f>
        <v>1025</v>
      </c>
      <c r="H10" s="30">
        <v>4.3899999999999997</v>
      </c>
      <c r="I10" s="9">
        <f>'Shenzhen Daily'!H13</f>
        <v>360</v>
      </c>
      <c r="J10" s="30">
        <v>5.09</v>
      </c>
      <c r="K10" s="9">
        <f>'Shenzhen Daily'!I13</f>
        <v>53.412800000000004</v>
      </c>
      <c r="L10" s="9">
        <f>'Shenzhen Daily'!J13</f>
        <v>121</v>
      </c>
    </row>
    <row r="11" spans="1:12" ht="15" x14ac:dyDescent="0.2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v>24742.00000000052</v>
      </c>
      <c r="F11" s="30">
        <v>0.79679999999999995</v>
      </c>
      <c r="G11" s="9">
        <f>'Shenzhen Daily'!F14</f>
        <v>1030</v>
      </c>
      <c r="H11" s="30">
        <v>4.3899999999999997</v>
      </c>
      <c r="I11" s="9">
        <f>'Shenzhen Daily'!H14</f>
        <v>308</v>
      </c>
      <c r="J11" s="30">
        <v>5.09</v>
      </c>
      <c r="K11" s="9">
        <f>'Shenzhen Daily'!I14</f>
        <v>63.467600000000004</v>
      </c>
      <c r="L11" s="9">
        <f>'Shenzhen Daily'!J14</f>
        <v>126</v>
      </c>
    </row>
    <row r="12" spans="1:12" ht="15" x14ac:dyDescent="0.2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v>24200.000000000189</v>
      </c>
      <c r="F12" s="30">
        <v>0.79679999999999995</v>
      </c>
      <c r="G12" s="9">
        <f>'Shenzhen Daily'!F15</f>
        <v>1111</v>
      </c>
      <c r="H12" s="30">
        <v>4.3899999999999997</v>
      </c>
      <c r="I12" s="9">
        <f>'Shenzhen Daily'!H15</f>
        <v>374</v>
      </c>
      <c r="J12" s="30">
        <v>5.09</v>
      </c>
      <c r="K12" s="9">
        <f>'Shenzhen Daily'!I15</f>
        <v>77.592200000000005</v>
      </c>
      <c r="L12" s="9">
        <f>'Shenzhen Daily'!J15</f>
        <v>190</v>
      </c>
    </row>
    <row r="13" spans="1:12" ht="15" x14ac:dyDescent="0.2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v>24275.9999999996</v>
      </c>
      <c r="F13" s="30">
        <v>0.79679999999999995</v>
      </c>
      <c r="G13" s="9">
        <f>'Shenzhen Daily'!F16</f>
        <v>1182</v>
      </c>
      <c r="H13" s="30">
        <v>4.3899999999999997</v>
      </c>
      <c r="I13" s="9">
        <f>'Shenzhen Daily'!H16</f>
        <v>357</v>
      </c>
      <c r="J13" s="30">
        <v>5.09</v>
      </c>
      <c r="K13" s="9">
        <f>'Shenzhen Daily'!I16</f>
        <v>88.657799999999995</v>
      </c>
      <c r="L13" s="9">
        <f>'Shenzhen Daily'!J16</f>
        <v>180</v>
      </c>
    </row>
    <row r="14" spans="1:12" ht="15" x14ac:dyDescent="0.2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v>24677.999999999331</v>
      </c>
      <c r="F14" s="30">
        <v>0.79679999999999995</v>
      </c>
      <c r="G14" s="9">
        <f>'Shenzhen Daily'!F17</f>
        <v>1152</v>
      </c>
      <c r="H14" s="30">
        <v>4.3899999999999997</v>
      </c>
      <c r="I14" s="9">
        <f>'Shenzhen Daily'!H17</f>
        <v>369</v>
      </c>
      <c r="J14" s="30">
        <v>5.09</v>
      </c>
      <c r="K14" s="9">
        <f>'Shenzhen Daily'!I17</f>
        <v>91.690200000000004</v>
      </c>
      <c r="L14" s="9">
        <f>'Shenzhen Daily'!J17</f>
        <v>259</v>
      </c>
    </row>
    <row r="15" spans="1:12" ht="15" x14ac:dyDescent="0.2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v>25951.000000001004</v>
      </c>
      <c r="F15" s="30">
        <v>0.79679999999999995</v>
      </c>
      <c r="G15" s="9">
        <f>'Shenzhen Daily'!F18</f>
        <v>1160</v>
      </c>
      <c r="H15" s="30">
        <v>4.3899999999999997</v>
      </c>
      <c r="I15" s="9">
        <f>'Shenzhen Daily'!H18</f>
        <v>385</v>
      </c>
      <c r="J15" s="30">
        <v>5.09</v>
      </c>
      <c r="K15" s="9">
        <f>'Shenzhen Daily'!I18</f>
        <v>101.8514</v>
      </c>
      <c r="L15" s="9">
        <f>'Shenzhen Daily'!J18</f>
        <v>268</v>
      </c>
    </row>
    <row r="16" spans="1:12" ht="15" x14ac:dyDescent="0.2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v>26247.999999999425</v>
      </c>
      <c r="F16" s="30">
        <v>0.79679999999999995</v>
      </c>
      <c r="G16" s="9">
        <f>'Shenzhen Daily'!F19</f>
        <v>1093</v>
      </c>
      <c r="H16" s="30">
        <v>4.3899999999999997</v>
      </c>
      <c r="I16" s="9">
        <f>'Shenzhen Daily'!H19</f>
        <v>340</v>
      </c>
      <c r="J16" s="30">
        <v>5.09</v>
      </c>
      <c r="K16" s="9">
        <f>'Shenzhen Daily'!I19</f>
        <v>103.7932</v>
      </c>
      <c r="L16" s="9">
        <f>'Shenzhen Daily'!J19</f>
        <v>205</v>
      </c>
    </row>
    <row r="17" spans="1:12" ht="15" x14ac:dyDescent="0.2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v>26436.999999999349</v>
      </c>
      <c r="F17" s="30">
        <v>0.79679999999999995</v>
      </c>
      <c r="G17" s="9">
        <f>'Shenzhen Daily'!F20</f>
        <v>1212</v>
      </c>
      <c r="H17" s="30">
        <v>4.3899999999999997</v>
      </c>
      <c r="I17" s="9">
        <f>'Shenzhen Daily'!H20</f>
        <v>389</v>
      </c>
      <c r="J17" s="30">
        <v>5.09</v>
      </c>
      <c r="K17" s="9">
        <f>'Shenzhen Daily'!I20</f>
        <v>98.739199999999997</v>
      </c>
      <c r="L17" s="9">
        <f>'Shenzhen Daily'!J20</f>
        <v>226</v>
      </c>
    </row>
    <row r="18" spans="1:12" ht="15" x14ac:dyDescent="0.2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v>25980.000000000946</v>
      </c>
      <c r="F18" s="30">
        <v>0.79679999999999995</v>
      </c>
      <c r="G18" s="9">
        <f>'Shenzhen Daily'!F21</f>
        <v>1255</v>
      </c>
      <c r="H18" s="30">
        <v>4.3899999999999997</v>
      </c>
      <c r="I18" s="9">
        <f>'Shenzhen Daily'!H21</f>
        <v>367</v>
      </c>
      <c r="J18" s="30">
        <v>5.09</v>
      </c>
      <c r="K18" s="9">
        <f>'Shenzhen Daily'!I21</f>
        <v>90.679400000000001</v>
      </c>
      <c r="L18" s="9">
        <f>'Shenzhen Daily'!J21</f>
        <v>141</v>
      </c>
    </row>
    <row r="19" spans="1:12" ht="15" x14ac:dyDescent="0.2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v>24647.000000000982</v>
      </c>
      <c r="F19" s="30">
        <v>0.79679999999999995</v>
      </c>
      <c r="G19" s="9">
        <f>'Shenzhen Daily'!F22</f>
        <v>1149</v>
      </c>
      <c r="H19" s="30">
        <v>4.3899999999999997</v>
      </c>
      <c r="I19" s="9">
        <f>'Shenzhen Daily'!H22</f>
        <v>347</v>
      </c>
      <c r="J19" s="30">
        <v>5.09</v>
      </c>
      <c r="K19" s="9">
        <f>'Shenzhen Daily'!I22</f>
        <v>102.78240000000001</v>
      </c>
      <c r="L19" s="9">
        <f>'Shenzhen Daily'!J22</f>
        <v>219</v>
      </c>
    </row>
    <row r="20" spans="1:12" ht="15" x14ac:dyDescent="0.2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v>25952.999999998967</v>
      </c>
      <c r="F20" s="30">
        <v>0.79679999999999995</v>
      </c>
      <c r="G20" s="9">
        <f>'Shenzhen Daily'!F23</f>
        <v>1330</v>
      </c>
      <c r="H20" s="30">
        <v>4.3899999999999997</v>
      </c>
      <c r="I20" s="9">
        <f>'Shenzhen Daily'!H23</f>
        <v>373</v>
      </c>
      <c r="J20" s="30">
        <v>5.09</v>
      </c>
      <c r="K20" s="9">
        <f>'Shenzhen Daily'!I23</f>
        <v>105.3892</v>
      </c>
      <c r="L20" s="9">
        <f>'Shenzhen Daily'!J23</f>
        <v>222</v>
      </c>
    </row>
    <row r="21" spans="1:12" ht="15" x14ac:dyDescent="0.2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v>25035.999999999509</v>
      </c>
      <c r="F21" s="30">
        <v>0.79679999999999995</v>
      </c>
      <c r="G21" s="9">
        <f>'Shenzhen Daily'!F24</f>
        <v>1227</v>
      </c>
      <c r="H21" s="30">
        <v>4.3899999999999997</v>
      </c>
      <c r="I21" s="9">
        <f>'Shenzhen Daily'!H24</f>
        <v>353</v>
      </c>
      <c r="J21" s="30">
        <v>5.09</v>
      </c>
      <c r="K21" s="9">
        <f>'Shenzhen Daily'!I24</f>
        <v>124.9402</v>
      </c>
      <c r="L21" s="9">
        <f>'Shenzhen Daily'!J24</f>
        <v>279</v>
      </c>
    </row>
    <row r="22" spans="1:12" ht="15" x14ac:dyDescent="0.2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v>25061.000000000931</v>
      </c>
      <c r="F22" s="30">
        <v>0.79679999999999995</v>
      </c>
      <c r="G22" s="9">
        <f>'Shenzhen Daily'!F25</f>
        <v>1298</v>
      </c>
      <c r="H22" s="30">
        <v>4.3899999999999997</v>
      </c>
      <c r="I22" s="9">
        <f>'Shenzhen Daily'!H25</f>
        <v>346</v>
      </c>
      <c r="J22" s="30">
        <v>5.09</v>
      </c>
      <c r="K22" s="9">
        <f>'Shenzhen Daily'!I25</f>
        <v>110.84220000000001</v>
      </c>
      <c r="L22" s="9">
        <f>'Shenzhen Daily'!J25</f>
        <v>276</v>
      </c>
    </row>
    <row r="23" spans="1:12" ht="15" x14ac:dyDescent="0.2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v>33760.999999999403</v>
      </c>
      <c r="F23" s="30">
        <v>0.79679999999999995</v>
      </c>
      <c r="G23" s="9">
        <f>'Shenzhen Daily'!F26</f>
        <v>1256</v>
      </c>
      <c r="H23" s="30">
        <v>4.3899999999999997</v>
      </c>
      <c r="I23" s="9">
        <f>'Shenzhen Daily'!H26</f>
        <v>433</v>
      </c>
      <c r="J23" s="30">
        <v>5.09</v>
      </c>
      <c r="K23" s="9">
        <f>'Shenzhen Daily'!I26</f>
        <v>111.85299999999999</v>
      </c>
      <c r="L23" s="9">
        <f>'Shenzhen Daily'!J26</f>
        <v>285</v>
      </c>
    </row>
    <row r="24" spans="1:12" ht="15" x14ac:dyDescent="0.2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v>23454.99999999984</v>
      </c>
      <c r="F24" s="30">
        <v>0.79679999999999995</v>
      </c>
      <c r="G24" s="9">
        <f>'Shenzhen Daily'!F27</f>
        <v>1168</v>
      </c>
      <c r="H24" s="30">
        <v>4.3899999999999997</v>
      </c>
      <c r="I24" s="9">
        <f>'Shenzhen Daily'!H27</f>
        <v>347</v>
      </c>
      <c r="J24" s="30">
        <v>5.09</v>
      </c>
      <c r="K24" s="9">
        <f>'Shenzhen Daily'!I27</f>
        <v>116.88040000000001</v>
      </c>
      <c r="L24" s="9">
        <f>'Shenzhen Daily'!J27</f>
        <v>275</v>
      </c>
    </row>
    <row r="25" spans="1:12" ht="15" x14ac:dyDescent="0.2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v>26419.999999999498</v>
      </c>
      <c r="F25" s="30">
        <v>0.79679999999999995</v>
      </c>
      <c r="G25" s="9">
        <f>'Shenzhen Daily'!F28</f>
        <v>1216</v>
      </c>
      <c r="H25" s="30">
        <v>4.3899999999999997</v>
      </c>
      <c r="I25" s="9">
        <f>'Shenzhen Daily'!H28</f>
        <v>362</v>
      </c>
      <c r="J25" s="30">
        <v>5.09</v>
      </c>
      <c r="K25" s="9">
        <f>'Shenzhen Daily'!I28</f>
        <v>114.8588</v>
      </c>
      <c r="L25" s="9">
        <f>'Shenzhen Daily'!J28</f>
        <v>241</v>
      </c>
    </row>
    <row r="26" spans="1:12" ht="15" x14ac:dyDescent="0.25">
      <c r="A26" s="6" t="s">
        <v>22</v>
      </c>
      <c r="B26" s="7">
        <f>B25+1</f>
        <v>25</v>
      </c>
      <c r="C26" s="8">
        <v>10</v>
      </c>
      <c r="D26" s="7">
        <v>2022</v>
      </c>
      <c r="E26" s="9">
        <v>23524.000000001055</v>
      </c>
      <c r="F26" s="30">
        <v>0.79679999999999995</v>
      </c>
      <c r="G26" s="9">
        <f>'Shenzhen Daily'!F29</f>
        <v>1201</v>
      </c>
      <c r="H26" s="30">
        <v>4.3899999999999997</v>
      </c>
      <c r="I26" s="9">
        <f>'Shenzhen Daily'!H29</f>
        <v>365</v>
      </c>
      <c r="J26" s="30">
        <v>5.09</v>
      </c>
      <c r="K26" s="9">
        <f>'Shenzhen Daily'!I29</f>
        <v>126.9618</v>
      </c>
      <c r="L26" s="9">
        <f>'Shenzhen Daily'!J29</f>
        <v>283</v>
      </c>
    </row>
    <row r="27" spans="1:12" ht="15" x14ac:dyDescent="0.2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v>28257.999999999472</v>
      </c>
      <c r="F27" s="30">
        <v>0.79679999999999995</v>
      </c>
      <c r="G27" s="9">
        <f>'Shenzhen Daily'!F30</f>
        <v>1336</v>
      </c>
      <c r="H27" s="30">
        <v>4.3899999999999997</v>
      </c>
      <c r="I27" s="9">
        <f>'Shenzhen Daily'!H30</f>
        <v>359</v>
      </c>
      <c r="J27" s="30">
        <v>5.09</v>
      </c>
      <c r="K27" s="9">
        <f>'Shenzhen Daily'!I30</f>
        <v>130.97839999999999</v>
      </c>
      <c r="L27" s="9">
        <f>'Shenzhen Daily'!J30</f>
        <v>294</v>
      </c>
    </row>
    <row r="28" spans="1:12" ht="15" x14ac:dyDescent="0.2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v>24731.000000000615</v>
      </c>
      <c r="F28" s="30">
        <v>0.79679999999999995</v>
      </c>
      <c r="G28" s="9">
        <f>'Shenzhen Daily'!F31</f>
        <v>1170</v>
      </c>
      <c r="H28" s="30">
        <v>4.3899999999999997</v>
      </c>
      <c r="I28" s="9">
        <f>'Shenzhen Daily'!H31</f>
        <v>378</v>
      </c>
      <c r="J28" s="30">
        <v>5.09</v>
      </c>
      <c r="K28" s="9">
        <f>'Shenzhen Daily'!I31</f>
        <v>211.60300000000001</v>
      </c>
      <c r="L28" s="9">
        <f>'Shenzhen Daily'!J31</f>
        <v>439</v>
      </c>
    </row>
    <row r="29" spans="1:12" ht="15" x14ac:dyDescent="0.2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v>28812.999999999574</v>
      </c>
      <c r="F29" s="30">
        <v>0.79679999999999995</v>
      </c>
      <c r="G29" s="9">
        <f>'Shenzhen Daily'!F32</f>
        <v>1359</v>
      </c>
      <c r="H29" s="30">
        <v>4.3899999999999997</v>
      </c>
      <c r="I29" s="9">
        <f>'Shenzhen Daily'!H32</f>
        <v>424</v>
      </c>
      <c r="J29" s="30">
        <v>5.09</v>
      </c>
      <c r="K29" s="9">
        <f>'Shenzhen Daily'!I32</f>
        <v>180.34800000000001</v>
      </c>
      <c r="L29" s="9">
        <f>'Shenzhen Daily'!J32</f>
        <v>424</v>
      </c>
    </row>
    <row r="30" spans="1:12" ht="15" x14ac:dyDescent="0.2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v>26575.00000000064</v>
      </c>
      <c r="F30" s="30">
        <v>0.79679999999999995</v>
      </c>
      <c r="G30" s="9">
        <f>'Shenzhen Daily'!F33</f>
        <v>1209</v>
      </c>
      <c r="H30" s="30">
        <v>4.3899999999999997</v>
      </c>
      <c r="I30" s="9">
        <f>'Shenzhen Daily'!H33</f>
        <v>365</v>
      </c>
      <c r="J30" s="30">
        <v>5.09</v>
      </c>
      <c r="K30" s="9">
        <f>'Shenzhen Daily'!I33</f>
        <v>154.14699999999999</v>
      </c>
      <c r="L30" s="9">
        <f>'Shenzhen Daily'!J33</f>
        <v>338</v>
      </c>
    </row>
    <row r="31" spans="1:12" ht="15" x14ac:dyDescent="0.2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v>25337.99999999916</v>
      </c>
      <c r="F31" s="30">
        <v>0.79679999999999995</v>
      </c>
      <c r="G31" s="9">
        <f>'Shenzhen Daily'!F34</f>
        <v>1341</v>
      </c>
      <c r="H31" s="30">
        <v>4.3899999999999997</v>
      </c>
      <c r="I31" s="9">
        <f>'Shenzhen Daily'!H34</f>
        <v>362</v>
      </c>
      <c r="J31" s="30">
        <v>5.09</v>
      </c>
      <c r="K31" s="9">
        <f>'Shenzhen Daily'!I34</f>
        <v>140.04899999999998</v>
      </c>
      <c r="L31" s="9">
        <f>'Shenzhen Daily'!J34</f>
        <v>318</v>
      </c>
    </row>
    <row r="32" spans="1:12" ht="15" x14ac:dyDescent="0.2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v>25621.000000000546</v>
      </c>
      <c r="F32" s="30">
        <v>0.79679999999999995</v>
      </c>
      <c r="G32" s="9">
        <f>'Shenzhen Daily'!F35</f>
        <v>1321</v>
      </c>
      <c r="H32" s="30">
        <v>4.3899999999999997</v>
      </c>
      <c r="I32" s="9">
        <f>'Shenzhen Daily'!H35</f>
        <v>371</v>
      </c>
      <c r="J32" s="30">
        <v>5.09</v>
      </c>
      <c r="K32" s="9">
        <f>'Shenzhen Daily'!I35</f>
        <v>144.09219999999999</v>
      </c>
      <c r="L32" s="9">
        <f>'Shenzhen Daily'!J35</f>
        <v>273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8" zoomScale="85" zoomScaleNormal="85" workbookViewId="0">
      <pane xSplit="1" topLeftCell="B1" activePane="topRight" state="frozen"/>
      <selection pane="topRight" activeCell="N7" sqref="N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44834</v>
      </c>
      <c r="B4" s="53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70</v>
      </c>
      <c r="J4" s="23">
        <v>187</v>
      </c>
    </row>
    <row r="5" spans="1:10" ht="33" customHeight="1" x14ac:dyDescent="0.2">
      <c r="A5" s="24">
        <v>44835</v>
      </c>
      <c r="B5" s="53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60.461800000000004</v>
      </c>
      <c r="J5" s="26">
        <v>174</v>
      </c>
    </row>
    <row r="6" spans="1:10" ht="45" customHeight="1" x14ac:dyDescent="0.2">
      <c r="A6" s="24">
        <v>44836</v>
      </c>
      <c r="B6" s="53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60.461800000000004</v>
      </c>
      <c r="J6" s="38">
        <v>204</v>
      </c>
    </row>
    <row r="7" spans="1:10" ht="45" customHeight="1" x14ac:dyDescent="0.2">
      <c r="A7" s="24">
        <v>44837</v>
      </c>
      <c r="B7" s="53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57.429400000000001</v>
      </c>
      <c r="J7" s="12">
        <v>166</v>
      </c>
    </row>
    <row r="8" spans="1:10" ht="45" customHeight="1" x14ac:dyDescent="0.2">
      <c r="A8" s="24">
        <v>44838</v>
      </c>
      <c r="B8" s="52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64.478400000000008</v>
      </c>
      <c r="J8" s="12">
        <v>270</v>
      </c>
    </row>
    <row r="9" spans="1:10" ht="45" customHeight="1" x14ac:dyDescent="0.2">
      <c r="A9" s="24">
        <v>44839</v>
      </c>
      <c r="B9" s="52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55.407800000000002</v>
      </c>
      <c r="J9" s="12">
        <v>253</v>
      </c>
    </row>
    <row r="10" spans="1:10" ht="45" customHeight="1" x14ac:dyDescent="0.2">
      <c r="A10" s="24">
        <v>44840</v>
      </c>
      <c r="B10" s="52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72.538200000000003</v>
      </c>
      <c r="J10" s="12">
        <v>267</v>
      </c>
    </row>
    <row r="11" spans="1:10" ht="45" customHeight="1" x14ac:dyDescent="0.2">
      <c r="A11" s="24">
        <v>44841</v>
      </c>
      <c r="B11" s="52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68.521599999999992</v>
      </c>
      <c r="J11" s="12">
        <v>173</v>
      </c>
    </row>
    <row r="12" spans="1:10" ht="45" customHeight="1" x14ac:dyDescent="0.2">
      <c r="A12" s="24">
        <v>44842</v>
      </c>
      <c r="B12" s="52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55.407800000000002</v>
      </c>
      <c r="J12" s="12">
        <v>118</v>
      </c>
    </row>
    <row r="13" spans="1:10" ht="45" customHeight="1" x14ac:dyDescent="0.2">
      <c r="A13" s="24">
        <v>44843</v>
      </c>
      <c r="B13" s="52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53.412800000000004</v>
      </c>
      <c r="J13" s="12">
        <v>121</v>
      </c>
    </row>
    <row r="14" spans="1:10" ht="45" customHeight="1" x14ac:dyDescent="0.2">
      <c r="A14" s="24">
        <v>44844</v>
      </c>
      <c r="B14" s="52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63.467600000000004</v>
      </c>
      <c r="J14" s="12">
        <v>126</v>
      </c>
    </row>
    <row r="15" spans="1:10" ht="45" customHeight="1" x14ac:dyDescent="0.2">
      <c r="A15" s="24">
        <v>44845</v>
      </c>
      <c r="B15" s="52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77.592200000000005</v>
      </c>
      <c r="J15" s="12">
        <v>190</v>
      </c>
    </row>
    <row r="16" spans="1:10" ht="45" customHeight="1" x14ac:dyDescent="0.2">
      <c r="A16" s="24">
        <v>44846</v>
      </c>
      <c r="B16" s="52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88.657799999999995</v>
      </c>
      <c r="J16" s="12">
        <v>180</v>
      </c>
    </row>
    <row r="17" spans="1:15" ht="45" customHeight="1" x14ac:dyDescent="0.2">
      <c r="A17" s="24">
        <v>44847</v>
      </c>
      <c r="B17" s="52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91.690200000000004</v>
      </c>
      <c r="J17" s="12">
        <v>259</v>
      </c>
    </row>
    <row r="18" spans="1:15" ht="45" customHeight="1" x14ac:dyDescent="0.2">
      <c r="A18" s="24">
        <v>44848</v>
      </c>
      <c r="B18" s="52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101.8514</v>
      </c>
      <c r="J18" s="12">
        <v>268</v>
      </c>
    </row>
    <row r="19" spans="1:15" ht="45" customHeight="1" x14ac:dyDescent="0.2">
      <c r="A19" s="24">
        <v>44849</v>
      </c>
      <c r="B19" s="52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103.7932</v>
      </c>
      <c r="J19" s="12">
        <v>205</v>
      </c>
    </row>
    <row r="20" spans="1:15" ht="45" customHeight="1" x14ac:dyDescent="0.2">
      <c r="A20" s="24">
        <v>44850</v>
      </c>
      <c r="B20" s="52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98.739199999999997</v>
      </c>
      <c r="J20" s="12">
        <v>226</v>
      </c>
    </row>
    <row r="21" spans="1:15" ht="45" customHeight="1" x14ac:dyDescent="0.2">
      <c r="A21" s="24">
        <v>44851</v>
      </c>
      <c r="B21" s="52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90.679400000000001</v>
      </c>
      <c r="J21" s="12">
        <v>141</v>
      </c>
    </row>
    <row r="22" spans="1:15" ht="45" customHeight="1" x14ac:dyDescent="0.2">
      <c r="A22" s="24">
        <v>44852</v>
      </c>
      <c r="B22" s="52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102.78240000000001</v>
      </c>
      <c r="J22" s="12">
        <v>219</v>
      </c>
    </row>
    <row r="23" spans="1:15" ht="45" customHeight="1" x14ac:dyDescent="0.2">
      <c r="A23" s="24">
        <v>44853</v>
      </c>
      <c r="B23" s="52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105.3892</v>
      </c>
      <c r="J23" s="12">
        <v>222</v>
      </c>
    </row>
    <row r="24" spans="1:15" ht="45" customHeight="1" x14ac:dyDescent="0.2">
      <c r="A24" s="24">
        <v>44854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124.9402</v>
      </c>
      <c r="J24" s="12">
        <v>279</v>
      </c>
    </row>
    <row r="25" spans="1:15" ht="45" customHeight="1" x14ac:dyDescent="0.2">
      <c r="A25" s="24">
        <v>44855</v>
      </c>
      <c r="B25" s="52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110.84220000000001</v>
      </c>
      <c r="J25" s="12">
        <v>276</v>
      </c>
    </row>
    <row r="26" spans="1:15" ht="45" customHeight="1" x14ac:dyDescent="0.2">
      <c r="A26" s="24">
        <v>44856</v>
      </c>
      <c r="B26" s="52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111.85299999999999</v>
      </c>
      <c r="J26" s="12">
        <v>285</v>
      </c>
    </row>
    <row r="27" spans="1:15" ht="45" customHeight="1" x14ac:dyDescent="0.2">
      <c r="A27" s="24">
        <v>44857</v>
      </c>
      <c r="B27" s="52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116.88040000000001</v>
      </c>
      <c r="J27" s="12">
        <v>275</v>
      </c>
    </row>
    <row r="28" spans="1:15" ht="45" customHeight="1" x14ac:dyDescent="0.2">
      <c r="A28" s="24">
        <v>44858</v>
      </c>
      <c r="B28" s="52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114.8588</v>
      </c>
      <c r="J28" s="12">
        <v>241</v>
      </c>
    </row>
    <row r="29" spans="1:15" ht="45" customHeight="1" x14ac:dyDescent="0.2">
      <c r="A29" s="24">
        <v>44859</v>
      </c>
      <c r="B29" s="52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126.9618</v>
      </c>
      <c r="J29" s="12">
        <v>283</v>
      </c>
    </row>
    <row r="30" spans="1:15" ht="45" customHeight="1" x14ac:dyDescent="0.2">
      <c r="A30" s="24">
        <v>44860</v>
      </c>
      <c r="B30" s="52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130.97839999999999</v>
      </c>
      <c r="J30" s="12">
        <v>294</v>
      </c>
      <c r="O30" s="34"/>
    </row>
    <row r="31" spans="1:15" ht="45" customHeight="1" x14ac:dyDescent="0.2">
      <c r="A31" s="24">
        <v>44861</v>
      </c>
      <c r="B31" s="52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211.60300000000001</v>
      </c>
      <c r="J31" s="12">
        <v>439</v>
      </c>
    </row>
    <row r="32" spans="1:15" ht="45" customHeight="1" x14ac:dyDescent="0.2">
      <c r="A32" s="24">
        <v>44862</v>
      </c>
      <c r="B32" s="52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180.34800000000001</v>
      </c>
      <c r="J32" s="12">
        <v>424</v>
      </c>
    </row>
    <row r="33" spans="1:10" ht="36" customHeight="1" x14ac:dyDescent="0.2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154.14699999999999</v>
      </c>
      <c r="J33" s="12">
        <v>338</v>
      </c>
    </row>
    <row r="34" spans="1:10" ht="45.6" customHeight="1" x14ac:dyDescent="0.2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140.04899999999998</v>
      </c>
      <c r="J34" s="33">
        <v>318</v>
      </c>
    </row>
    <row r="35" spans="1:10" ht="36.75" customHeight="1" x14ac:dyDescent="0.15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144.09219999999999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2023-03-14T04:09:04Z</dcterms:modified>
</cp:coreProperties>
</file>