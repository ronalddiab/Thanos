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<sst xmlns="http://schemas.openxmlformats.org/spreadsheetml/2006/main" count="606" uniqueCount="76">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</sst>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4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89" workbookViewId="0">
      <selection activeCell="L143" sqref="L143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2"/>
      <c r="G144" s="4" t="str">
        <f>'Gas Water'!M147</f>
        <v/>
      </c>
      <c r="H144" s="132"/>
      <c r="I144" s="2" t="str">
        <f>'Gas Water'!L147</f>
        <v/>
      </c>
      <c r="J144" s="132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2"/>
      <c r="G145" s="4" t="str">
        <f>'Gas Water'!M148</f>
        <v/>
      </c>
      <c r="H145" s="132"/>
      <c r="I145" s="2" t="str">
        <f>'Gas Water'!L148</f>
        <v/>
      </c>
      <c r="J145" s="132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2"/>
      <c r="G146" s="4" t="str">
        <f>'Gas Water'!M149</f>
        <v/>
      </c>
      <c r="H146" s="132"/>
      <c r="I146" s="2" t="str">
        <f>'Gas Water'!L149</f>
        <v/>
      </c>
      <c r="J146" s="132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2"/>
      <c r="G147" s="4" t="str">
        <f>'Gas Water'!M150</f>
        <v/>
      </c>
      <c r="H147" s="132"/>
      <c r="I147" s="2" t="str">
        <f>'Gas Water'!L150</f>
        <v/>
      </c>
      <c r="J147" s="132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2"/>
      <c r="G148" s="4" t="str">
        <f>'Gas Water'!M151</f>
        <v/>
      </c>
      <c r="H148" s="132"/>
      <c r="I148" s="2" t="str">
        <f>'Gas Water'!L151</f>
        <v/>
      </c>
      <c r="J148" s="132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2"/>
      <c r="G149" s="4" t="str">
        <f>'Gas Water'!M152</f>
        <v/>
      </c>
      <c r="H149" s="132"/>
      <c r="I149" s="2" t="str">
        <f>'Gas Water'!L152</f>
        <v/>
      </c>
      <c r="J149" s="132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2"/>
      <c r="G150" s="4" t="str">
        <f>'Gas Water'!M153</f>
        <v/>
      </c>
      <c r="H150" s="132"/>
      <c r="I150" s="2" t="str">
        <f>'Gas Water'!L153</f>
        <v/>
      </c>
      <c r="J150" s="132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2"/>
      <c r="G151" s="4" t="str">
        <f>'Gas Water'!M154</f>
        <v/>
      </c>
      <c r="H151" s="132"/>
      <c r="I151" s="2" t="str">
        <f>'Gas Water'!L154</f>
        <v/>
      </c>
      <c r="J151" s="132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2"/>
      <c r="G152" s="4" t="str">
        <f>'Gas Water'!M155</f>
        <v/>
      </c>
      <c r="H152" s="132"/>
      <c r="I152" s="2" t="str">
        <f>'Gas Water'!L155</f>
        <v/>
      </c>
      <c r="J152" s="132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2"/>
      <c r="G153" s="4" t="str">
        <f>'Gas Water'!M156</f>
        <v/>
      </c>
      <c r="H153" s="132"/>
      <c r="I153" s="2" t="str">
        <f>'Gas Water'!L156</f>
        <v/>
      </c>
      <c r="J153" s="132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2"/>
      <c r="G154" s="4" t="str">
        <f>'Gas Water'!M157</f>
        <v/>
      </c>
      <c r="H154" s="132"/>
      <c r="I154" s="2" t="str">
        <f>'Gas Water'!L157</f>
        <v/>
      </c>
      <c r="J154" s="132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2"/>
      <c r="G155" s="4" t="str">
        <f>'Gas Water'!M158</f>
        <v/>
      </c>
      <c r="H155" s="132"/>
      <c r="I155" s="2" t="str">
        <f>'Gas Water'!L158</f>
        <v/>
      </c>
      <c r="J155" s="132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2"/>
      <c r="G156" s="4" t="str">
        <f>'Gas Water'!M159</f>
        <v/>
      </c>
      <c r="H156" s="132"/>
      <c r="I156" s="2" t="str">
        <f>'Gas Water'!L159</f>
        <v/>
      </c>
      <c r="J156" s="132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2"/>
      <c r="G157" s="4" t="str">
        <f>'Gas Water'!M160</f>
        <v/>
      </c>
      <c r="H157" s="132"/>
      <c r="I157" s="2" t="str">
        <f>'Gas Water'!L160</f>
        <v/>
      </c>
      <c r="J157" s="132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2"/>
      <c r="G158" s="4" t="str">
        <f>'Gas Water'!M161</f>
        <v/>
      </c>
      <c r="H158" s="132"/>
      <c r="I158" s="2" t="str">
        <f>'Gas Water'!L161</f>
        <v/>
      </c>
      <c r="J158" s="132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2"/>
      <c r="G159" s="4" t="str">
        <f>'Gas Water'!M162</f>
        <v/>
      </c>
      <c r="H159" s="132"/>
      <c r="I159" s="2" t="str">
        <f>'Gas Water'!L162</f>
        <v/>
      </c>
      <c r="J159" s="132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2"/>
      <c r="G160" s="4" t="str">
        <f>'Gas Water'!M163</f>
        <v/>
      </c>
      <c r="H160" s="132"/>
      <c r="I160" s="2" t="str">
        <f>'Gas Water'!L163</f>
        <v/>
      </c>
      <c r="J160" s="132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2"/>
      <c r="G161" s="4" t="str">
        <f>'Gas Water'!M164</f>
        <v/>
      </c>
      <c r="H161" s="132"/>
      <c r="I161" s="2" t="str">
        <f>'Gas Water'!L164</f>
        <v/>
      </c>
      <c r="J161" s="132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2"/>
      <c r="G162" s="4" t="str">
        <f>'Gas Water'!M165</f>
        <v/>
      </c>
      <c r="H162" s="132"/>
      <c r="I162" s="2" t="str">
        <f>'Gas Water'!L165</f>
        <v/>
      </c>
      <c r="J162" s="132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2"/>
      <c r="G163" s="4" t="str">
        <f>'Gas Water'!M166</f>
        <v/>
      </c>
      <c r="H163" s="132"/>
      <c r="I163" s="2" t="str">
        <f>'Gas Water'!L166</f>
        <v/>
      </c>
      <c r="J163" s="132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2"/>
      <c r="G164" s="4" t="str">
        <f>'Gas Water'!M167</f>
        <v/>
      </c>
      <c r="H164" s="132"/>
      <c r="I164" s="2" t="str">
        <f>'Gas Water'!L167</f>
        <v/>
      </c>
      <c r="J164" s="132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2"/>
      <c r="G165" s="4" t="str">
        <f>'Gas Water'!M168</f>
        <v/>
      </c>
      <c r="H165" s="132"/>
      <c r="I165" s="2" t="str">
        <f>'Gas Water'!L168</f>
        <v/>
      </c>
      <c r="J165" s="132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2"/>
      <c r="G166" s="4" t="str">
        <f>'Gas Water'!M169</f>
        <v/>
      </c>
      <c r="H166" s="132"/>
      <c r="I166" s="2" t="str">
        <f>'Gas Water'!L169</f>
        <v/>
      </c>
      <c r="J166" s="132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2"/>
      <c r="G167" s="4" t="str">
        <f>'Gas Water'!M170</f>
        <v/>
      </c>
      <c r="H167" s="132"/>
      <c r="I167" s="2" t="str">
        <f>'Gas Water'!L170</f>
        <v/>
      </c>
      <c r="J167" s="132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2"/>
      <c r="G168" s="4" t="str">
        <f>'Gas Water'!M171</f>
        <v/>
      </c>
      <c r="H168" s="132"/>
      <c r="I168" s="2" t="str">
        <f>'Gas Water'!L171</f>
        <v/>
      </c>
      <c r="J168" s="132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2"/>
      <c r="G169" s="4" t="str">
        <f>'Gas Water'!M172</f>
        <v/>
      </c>
      <c r="H169" s="132"/>
      <c r="I169" s="2" t="str">
        <f>'Gas Water'!L172</f>
        <v/>
      </c>
      <c r="J169" s="132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2"/>
      <c r="G170" s="4" t="str">
        <f>'Gas Water'!M173</f>
        <v/>
      </c>
      <c r="H170" s="132"/>
      <c r="I170" s="2" t="str">
        <f>'Gas Water'!L173</f>
        <v/>
      </c>
      <c r="J170" s="132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2"/>
      <c r="G171" s="4" t="str">
        <f>'Gas Water'!M174</f>
        <v/>
      </c>
      <c r="H171" s="132"/>
      <c r="I171" s="2" t="str">
        <f>'Gas Water'!L174</f>
        <v/>
      </c>
      <c r="J171" s="132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2"/>
      <c r="G172" s="4" t="str">
        <f>'Gas Water'!M175</f>
        <v/>
      </c>
      <c r="H172" s="132"/>
      <c r="I172" s="2" t="str">
        <f>'Gas Water'!L175</f>
        <v/>
      </c>
      <c r="J172" s="132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2"/>
      <c r="G173" s="4" t="str">
        <f>'Gas Water'!M176</f>
        <v/>
      </c>
      <c r="H173" s="132"/>
      <c r="I173" s="2" t="str">
        <f>'Gas Water'!L176</f>
        <v/>
      </c>
      <c r="J173" s="132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2"/>
      <c r="G174" s="4" t="str">
        <f>'Gas Water'!M177</f>
        <v/>
      </c>
      <c r="H174" s="132"/>
      <c r="I174" s="2" t="str">
        <f>'Gas Water'!L177</f>
        <v/>
      </c>
      <c r="J174" s="132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2"/>
      <c r="G175" s="4" t="str">
        <f>'Gas Water'!M178</f>
        <v/>
      </c>
      <c r="H175" s="132"/>
      <c r="I175" s="2" t="str">
        <f>'Gas Water'!L178</f>
        <v/>
      </c>
      <c r="J175" s="132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2"/>
      <c r="G176" s="4" t="str">
        <f>'Gas Water'!M179</f>
        <v/>
      </c>
      <c r="H176" s="132"/>
      <c r="I176" s="2" t="str">
        <f>'Gas Water'!L179</f>
        <v/>
      </c>
      <c r="J176" s="132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2"/>
      <c r="G177" s="4" t="str">
        <f>'Gas Water'!M180</f>
        <v/>
      </c>
      <c r="H177" s="132"/>
      <c r="I177" s="2" t="str">
        <f>'Gas Water'!L180</f>
        <v/>
      </c>
      <c r="J177" s="132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2"/>
      <c r="G178" s="4" t="str">
        <f>'Gas Water'!M181</f>
        <v/>
      </c>
      <c r="H178" s="132"/>
      <c r="I178" s="2" t="str">
        <f>'Gas Water'!L181</f>
        <v/>
      </c>
      <c r="J178" s="132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2"/>
      <c r="G179" s="4" t="str">
        <f>'Gas Water'!M182</f>
        <v/>
      </c>
      <c r="H179" s="132"/>
      <c r="I179" s="2" t="str">
        <f>'Gas Water'!L182</f>
        <v/>
      </c>
      <c r="J179" s="132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2"/>
      <c r="G180" s="4" t="str">
        <f>'Gas Water'!M183</f>
        <v/>
      </c>
      <c r="H180" s="132"/>
      <c r="I180" s="2" t="str">
        <f>'Gas Water'!L183</f>
        <v/>
      </c>
      <c r="J180" s="132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2"/>
      <c r="G181" s="4" t="str">
        <f>'Gas Water'!M184</f>
        <v/>
      </c>
      <c r="H181" s="132"/>
      <c r="I181" s="2" t="str">
        <f>'Gas Water'!L184</f>
        <v/>
      </c>
      <c r="J181" s="132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2"/>
      <c r="G182" s="4" t="str">
        <f>'Gas Water'!M185</f>
        <v/>
      </c>
      <c r="H182" s="132"/>
      <c r="I182" s="2" t="str">
        <f>'Gas Water'!L185</f>
        <v/>
      </c>
      <c r="J182" s="132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2"/>
      <c r="G183" s="4" t="str">
        <f>'Gas Water'!M186</f>
        <v/>
      </c>
      <c r="H183" s="132"/>
      <c r="I183" s="2" t="str">
        <f>'Gas Water'!L186</f>
        <v/>
      </c>
      <c r="J183" s="132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2"/>
      <c r="G184" s="4" t="str">
        <f>'Gas Water'!M187</f>
        <v/>
      </c>
      <c r="H184" s="132"/>
      <c r="I184" s="2" t="str">
        <f>'Gas Water'!L187</f>
        <v/>
      </c>
      <c r="J184" s="132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2"/>
      <c r="G185" s="4" t="str">
        <f>'Gas Water'!M188</f>
        <v/>
      </c>
      <c r="H185" s="132"/>
      <c r="I185" s="2" t="str">
        <f>'Gas Water'!L188</f>
        <v/>
      </c>
      <c r="J185" s="132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2"/>
      <c r="G186" s="4" t="str">
        <f>'Gas Water'!M189</f>
        <v/>
      </c>
      <c r="H186" s="132"/>
      <c r="I186" s="2" t="str">
        <f>'Gas Water'!L189</f>
        <v/>
      </c>
      <c r="J186" s="132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109" workbookViewId="0">
      <selection activeCell="Q128" sqref="Q128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7"/>
      <c r="C1" s="167"/>
      <c r="D1" s="167"/>
      <c r="E1" s="167"/>
      <c r="F1" s="167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64" t="s">
        <v>25</v>
      </c>
      <c r="O25" s="164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65"/>
      <c r="O26" s="165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66"/>
      <c r="O27" s="166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64" t="s">
        <v>27</v>
      </c>
      <c r="O29" s="164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66"/>
      <c r="O30" s="166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64" t="s">
        <v>25</v>
      </c>
      <c r="O53" s="164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65"/>
      <c r="O54" s="165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66"/>
      <c r="O55" s="166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64" t="s">
        <v>27</v>
      </c>
      <c r="O57" s="164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66"/>
      <c r="O58" s="166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64" t="s">
        <v>29</v>
      </c>
      <c r="O60" s="164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66"/>
      <c r="O61" s="166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64" t="s">
        <v>25</v>
      </c>
      <c r="O84" s="164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65"/>
      <c r="O85" s="165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66"/>
      <c r="O86" s="166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64" t="s">
        <v>27</v>
      </c>
      <c r="O88" s="164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66"/>
      <c r="O89" s="166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64" t="s">
        <v>29</v>
      </c>
      <c r="O91" s="164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66"/>
      <c r="O92" s="166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64" t="s">
        <v>25</v>
      </c>
      <c r="O114" s="164" t="s">
        <v>26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65"/>
      <c r="O115" s="165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66"/>
      <c r="O116" s="166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64" t="s">
        <v>27</v>
      </c>
      <c r="O118" s="164" t="s">
        <v>28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66"/>
      <c r="O119" s="166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32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64" t="s">
        <v>25</v>
      </c>
      <c r="O145" s="164" t="s">
        <v>26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65"/>
      <c r="O146" s="165"/>
      <c r="Q146" s="19">
        <f t="shared" si="90"/>
        <v>0</v>
      </c>
    </row>
    <row r="147" spans="2:18" ht="12.95" customHeight="1" thickBot="1" x14ac:dyDescent="0.25">
      <c r="B147" s="21">
        <v>44339</v>
      </c>
      <c r="C147" s="39"/>
      <c r="D147" s="22"/>
      <c r="E147" s="23"/>
      <c r="F147" s="24"/>
      <c r="G147" s="25"/>
      <c r="H147" s="26" t="str">
        <f t="shared" si="88"/>
        <v/>
      </c>
      <c r="I147" s="26" t="str">
        <f t="shared" si="88"/>
        <v/>
      </c>
      <c r="J147" s="26" t="str">
        <f t="shared" si="88"/>
        <v/>
      </c>
      <c r="K147" s="26" t="str">
        <f t="shared" si="88"/>
        <v/>
      </c>
      <c r="L147" s="27" t="str">
        <f t="shared" si="91"/>
        <v/>
      </c>
      <c r="M147" s="28" t="str">
        <f>IF(H147="","",+(H147+I147+J147+K147))</f>
        <v/>
      </c>
      <c r="N147" s="166"/>
      <c r="O147" s="166"/>
      <c r="Q147" s="19">
        <f>IF(L147="",1,0)</f>
        <v>1</v>
      </c>
    </row>
    <row r="148" spans="2:18" ht="12.95" customHeight="1" thickBot="1" x14ac:dyDescent="0.25">
      <c r="B148" s="21">
        <v>44340</v>
      </c>
      <c r="C148" s="39"/>
      <c r="D148" s="22"/>
      <c r="E148" s="23"/>
      <c r="F148" s="24"/>
      <c r="G148" s="25"/>
      <c r="H148" s="26" t="str">
        <f t="shared" si="88"/>
        <v/>
      </c>
      <c r="I148" s="26" t="str">
        <f t="shared" si="88"/>
        <v/>
      </c>
      <c r="J148" s="26" t="str">
        <f t="shared" si="88"/>
        <v/>
      </c>
      <c r="K148" s="26" t="str">
        <f t="shared" si="88"/>
        <v/>
      </c>
      <c r="L148" s="27" t="str">
        <f t="shared" si="91"/>
        <v/>
      </c>
      <c r="M148" s="28" t="str">
        <f>IF(H148="","",+(H148+I148+J148+K148))</f>
        <v/>
      </c>
      <c r="N148" s="30">
        <f>SUM(L125:L155)</f>
        <v>6471</v>
      </c>
      <c r="O148" s="30">
        <f>SUM(M12:M155)</f>
        <v>406927</v>
      </c>
      <c r="Q148" s="19">
        <f>IF(L148="",1,0)</f>
        <v>1</v>
      </c>
    </row>
    <row r="149" spans="2:18" ht="12.95" customHeight="1" x14ac:dyDescent="0.2">
      <c r="B149" s="21">
        <v>44341</v>
      </c>
      <c r="C149" s="39"/>
      <c r="D149" s="22"/>
      <c r="E149" s="23"/>
      <c r="F149" s="24"/>
      <c r="G149" s="25"/>
      <c r="H149" s="26" t="str">
        <f t="shared" si="88"/>
        <v/>
      </c>
      <c r="I149" s="26" t="str">
        <f t="shared" si="88"/>
        <v/>
      </c>
      <c r="J149" s="26" t="str">
        <f t="shared" si="88"/>
        <v/>
      </c>
      <c r="K149" s="26" t="str">
        <f t="shared" si="88"/>
        <v/>
      </c>
      <c r="L149" s="27" t="str">
        <f t="shared" si="91"/>
        <v/>
      </c>
      <c r="M149" s="28" t="str">
        <f>IF(H149="","",+(H149+I149+J149+K149))</f>
        <v/>
      </c>
      <c r="N149" s="164" t="s">
        <v>27</v>
      </c>
      <c r="O149" s="164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39"/>
      <c r="D150" s="22"/>
      <c r="E150" s="23"/>
      <c r="F150" s="24"/>
      <c r="G150" s="25"/>
      <c r="H150" s="26" t="str">
        <f t="shared" si="88"/>
        <v/>
      </c>
      <c r="I150" s="26" t="str">
        <f t="shared" si="88"/>
        <v/>
      </c>
      <c r="J150" s="26" t="str">
        <f t="shared" si="88"/>
        <v/>
      </c>
      <c r="K150" s="26" t="str">
        <f t="shared" si="88"/>
        <v/>
      </c>
      <c r="L150" s="27" t="str">
        <f t="shared" si="91"/>
        <v/>
      </c>
      <c r="M150" s="28" t="str">
        <f>IF(H150="","",+(H150+I150+J150+K150))</f>
        <v/>
      </c>
      <c r="N150" s="166"/>
      <c r="O150" s="166"/>
      <c r="Q150" s="19">
        <f>IF(L150="",1,0)</f>
        <v>1</v>
      </c>
    </row>
    <row r="151" spans="2:18" ht="12.95" customHeight="1" thickBot="1" x14ac:dyDescent="0.25">
      <c r="B151" s="21">
        <v>44343</v>
      </c>
      <c r="C151" s="39"/>
      <c r="D151" s="22"/>
      <c r="E151" s="23"/>
      <c r="F151" s="24"/>
      <c r="G151" s="25"/>
      <c r="H151" s="26" t="str">
        <f t="shared" si="88"/>
        <v/>
      </c>
      <c r="I151" s="26" t="str">
        <f t="shared" si="88"/>
        <v/>
      </c>
      <c r="J151" s="26" t="str">
        <f t="shared" si="88"/>
        <v/>
      </c>
      <c r="K151" s="26" t="str">
        <f t="shared" si="88"/>
        <v/>
      </c>
      <c r="L151" s="27" t="str">
        <f t="shared" si="91"/>
        <v/>
      </c>
      <c r="M151" s="28" t="str">
        <f>IF(H151="","",+(H151+I151+J151+K151))</f>
        <v/>
      </c>
      <c r="N151" s="30">
        <f>AVERAGE(L125:L155)</f>
        <v>294.13636363636363</v>
      </c>
      <c r="O151" s="30">
        <f>AVERAGE(M125:M155)</f>
        <v>2229.090909090909</v>
      </c>
      <c r="Q151" s="19">
        <f>IF(L151="",1,0)</f>
        <v>1</v>
      </c>
    </row>
    <row r="152" spans="2:18" ht="12.95" customHeight="1" x14ac:dyDescent="0.2">
      <c r="B152" s="21">
        <v>44344</v>
      </c>
      <c r="C152" s="39"/>
      <c r="D152" s="22"/>
      <c r="E152" s="23"/>
      <c r="F152" s="24"/>
      <c r="G152" s="25"/>
      <c r="H152" s="26" t="str">
        <f t="shared" si="88"/>
        <v/>
      </c>
      <c r="I152" s="26" t="str">
        <f t="shared" si="88"/>
        <v/>
      </c>
      <c r="J152" s="26" t="str">
        <f t="shared" si="88"/>
        <v/>
      </c>
      <c r="K152" s="26" t="str">
        <f t="shared" si="88"/>
        <v/>
      </c>
      <c r="L152" s="27" t="str">
        <f t="shared" si="91"/>
        <v/>
      </c>
      <c r="M152" s="28" t="str">
        <f t="shared" si="89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39"/>
      <c r="D153" s="22"/>
      <c r="E153" s="23"/>
      <c r="F153" s="24"/>
      <c r="G153" s="25"/>
      <c r="H153" s="26" t="str">
        <f t="shared" si="88"/>
        <v/>
      </c>
      <c r="I153" s="26" t="str">
        <f t="shared" si="88"/>
        <v/>
      </c>
      <c r="J153" s="26" t="str">
        <f t="shared" si="88"/>
        <v/>
      </c>
      <c r="K153" s="26" t="str">
        <f t="shared" si="88"/>
        <v/>
      </c>
      <c r="L153" s="27" t="str">
        <f t="shared" si="91"/>
        <v/>
      </c>
      <c r="M153" s="28" t="str">
        <f t="shared" si="89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39"/>
      <c r="D154" s="22"/>
      <c r="E154" s="23"/>
      <c r="F154" s="24"/>
      <c r="G154" s="25"/>
      <c r="H154" s="26" t="str">
        <f t="shared" si="88"/>
        <v/>
      </c>
      <c r="I154" s="26" t="str">
        <f t="shared" si="88"/>
        <v/>
      </c>
      <c r="J154" s="26" t="str">
        <f t="shared" si="88"/>
        <v/>
      </c>
      <c r="K154" s="26" t="str">
        <f t="shared" si="88"/>
        <v/>
      </c>
      <c r="L154" s="27" t="str">
        <f t="shared" si="91"/>
        <v/>
      </c>
      <c r="M154" s="28" t="str">
        <f>IF(H154="","",+(H154+I154+J154+K154))</f>
        <v/>
      </c>
      <c r="O154" s="19">
        <f>IF(L154="",1,0)</f>
        <v>1</v>
      </c>
      <c r="P154" s="38"/>
    </row>
    <row r="155" spans="2:18" ht="12.95" customHeight="1" x14ac:dyDescent="0.2">
      <c r="B155" s="21">
        <v>44347</v>
      </c>
      <c r="C155" s="32"/>
      <c r="D155" s="31"/>
      <c r="E155" s="31"/>
      <c r="F155" s="31"/>
      <c r="G155" s="31"/>
      <c r="H155" s="31" t="str">
        <f t="shared" si="88"/>
        <v/>
      </c>
      <c r="I155" s="31" t="str">
        <f t="shared" si="88"/>
        <v/>
      </c>
      <c r="J155" s="31" t="str">
        <f t="shared" si="88"/>
        <v/>
      </c>
      <c r="K155" s="31" t="str">
        <f t="shared" si="88"/>
        <v/>
      </c>
      <c r="L155" s="40" t="str">
        <f>IF(G155="","",+(G155-G154))</f>
        <v/>
      </c>
      <c r="M155" s="31" t="str">
        <f t="shared" si="89"/>
        <v/>
      </c>
      <c r="Q155" s="19">
        <f t="shared" si="90"/>
        <v>1</v>
      </c>
    </row>
    <row r="156" spans="2:18" ht="12.95" customHeight="1" x14ac:dyDescent="0.2">
      <c r="B156" s="21">
        <v>44348</v>
      </c>
      <c r="C156" s="39"/>
      <c r="D156" s="22"/>
      <c r="E156" s="23"/>
      <c r="F156" s="24"/>
      <c r="G156" s="25"/>
      <c r="H156" s="26" t="str">
        <f t="shared" si="88"/>
        <v/>
      </c>
      <c r="I156" s="26" t="str">
        <f t="shared" si="88"/>
        <v/>
      </c>
      <c r="J156" s="26" t="str">
        <f t="shared" si="88"/>
        <v/>
      </c>
      <c r="K156" s="26" t="str">
        <f t="shared" si="88"/>
        <v/>
      </c>
      <c r="L156" s="27" t="str">
        <f>IF(G156="","",+(G156-G155))</f>
        <v/>
      </c>
      <c r="M156" s="28" t="str">
        <f t="shared" si="89"/>
        <v/>
      </c>
      <c r="Q156" s="19">
        <f t="shared" si="90"/>
        <v>1</v>
      </c>
    </row>
    <row r="157" spans="2:18" ht="12.95" customHeight="1" x14ac:dyDescent="0.2">
      <c r="B157" s="21">
        <v>44349</v>
      </c>
      <c r="C157" s="39"/>
      <c r="D157" s="22"/>
      <c r="E157" s="23"/>
      <c r="F157" s="24"/>
      <c r="G157" s="25"/>
      <c r="H157" s="26" t="str">
        <f t="shared" si="88"/>
        <v/>
      </c>
      <c r="I157" s="26" t="str">
        <f t="shared" si="88"/>
        <v/>
      </c>
      <c r="J157" s="26" t="str">
        <f t="shared" si="88"/>
        <v/>
      </c>
      <c r="K157" s="26" t="str">
        <f t="shared" si="88"/>
        <v/>
      </c>
      <c r="L157" s="27" t="str">
        <f t="shared" ref="L157:L195" si="92">IF(G157="","",+(G157-G156))</f>
        <v/>
      </c>
      <c r="M157" s="28" t="str">
        <f t="shared" si="89"/>
        <v/>
      </c>
      <c r="Q157" s="19">
        <f t="shared" si="90"/>
        <v>1</v>
      </c>
    </row>
    <row r="158" spans="2:18" ht="12.95" customHeight="1" x14ac:dyDescent="0.2">
      <c r="B158" s="21">
        <v>44350</v>
      </c>
      <c r="C158" s="39"/>
      <c r="D158" s="22"/>
      <c r="E158" s="23"/>
      <c r="F158" s="24"/>
      <c r="G158" s="25"/>
      <c r="H158" s="26" t="str">
        <f t="shared" si="88"/>
        <v/>
      </c>
      <c r="I158" s="26" t="str">
        <f t="shared" si="88"/>
        <v/>
      </c>
      <c r="J158" s="26" t="str">
        <f t="shared" si="88"/>
        <v/>
      </c>
      <c r="K158" s="26" t="str">
        <f t="shared" si="88"/>
        <v/>
      </c>
      <c r="L158" s="27" t="str">
        <f t="shared" si="92"/>
        <v/>
      </c>
      <c r="M158" s="28" t="str">
        <f t="shared" si="89"/>
        <v/>
      </c>
      <c r="Q158" s="19">
        <f t="shared" si="90"/>
        <v>1</v>
      </c>
    </row>
    <row r="159" spans="2:18" ht="12.95" customHeight="1" x14ac:dyDescent="0.2">
      <c r="B159" s="21">
        <v>44351</v>
      </c>
      <c r="C159" s="39"/>
      <c r="D159" s="22"/>
      <c r="E159" s="23"/>
      <c r="F159" s="24"/>
      <c r="G159" s="25"/>
      <c r="H159" s="26" t="str">
        <f t="shared" si="88"/>
        <v/>
      </c>
      <c r="I159" s="26" t="str">
        <f t="shared" si="88"/>
        <v/>
      </c>
      <c r="J159" s="26" t="str">
        <f t="shared" si="88"/>
        <v/>
      </c>
      <c r="K159" s="26" t="str">
        <f t="shared" si="88"/>
        <v/>
      </c>
      <c r="L159" s="27" t="str">
        <f t="shared" si="92"/>
        <v/>
      </c>
      <c r="M159" s="28" t="str">
        <f t="shared" si="89"/>
        <v/>
      </c>
      <c r="Q159" s="19">
        <f t="shared" si="90"/>
        <v>1</v>
      </c>
    </row>
    <row r="160" spans="2:18" ht="12.95" customHeight="1" x14ac:dyDescent="0.2">
      <c r="B160" s="21">
        <v>44352</v>
      </c>
      <c r="C160" s="39"/>
      <c r="D160" s="22"/>
      <c r="E160" s="23"/>
      <c r="F160" s="24"/>
      <c r="G160" s="25"/>
      <c r="H160" s="26" t="str">
        <f t="shared" si="88"/>
        <v/>
      </c>
      <c r="I160" s="26" t="str">
        <f t="shared" si="88"/>
        <v/>
      </c>
      <c r="J160" s="26" t="str">
        <f t="shared" si="88"/>
        <v/>
      </c>
      <c r="K160" s="26" t="str">
        <f t="shared" si="88"/>
        <v/>
      </c>
      <c r="L160" s="27" t="str">
        <f t="shared" si="92"/>
        <v/>
      </c>
      <c r="M160" s="28" t="str">
        <f t="shared" si="89"/>
        <v/>
      </c>
      <c r="Q160" s="19">
        <f t="shared" si="90"/>
        <v>1</v>
      </c>
      <c r="R160" s="41"/>
    </row>
    <row r="161" spans="2:20" ht="12.95" customHeight="1" x14ac:dyDescent="0.2">
      <c r="B161" s="21">
        <v>44353</v>
      </c>
      <c r="C161" s="39"/>
      <c r="D161" s="22"/>
      <c r="E161" s="23"/>
      <c r="F161" s="24"/>
      <c r="G161" s="25"/>
      <c r="H161" s="26" t="str">
        <f t="shared" si="88"/>
        <v/>
      </c>
      <c r="I161" s="26" t="str">
        <f t="shared" si="88"/>
        <v/>
      </c>
      <c r="J161" s="26" t="str">
        <f t="shared" si="88"/>
        <v/>
      </c>
      <c r="K161" s="26" t="str">
        <f t="shared" si="88"/>
        <v/>
      </c>
      <c r="L161" s="27" t="str">
        <f t="shared" si="92"/>
        <v/>
      </c>
      <c r="M161" s="28" t="str">
        <f t="shared" si="89"/>
        <v/>
      </c>
      <c r="Q161" s="19">
        <f t="shared" si="90"/>
        <v>1</v>
      </c>
      <c r="R161" s="41"/>
      <c r="S161" s="42"/>
      <c r="T161" s="42"/>
    </row>
    <row r="162" spans="2:20" ht="12.95" customHeight="1" x14ac:dyDescent="0.2">
      <c r="B162" s="21">
        <v>44354</v>
      </c>
      <c r="C162" s="39"/>
      <c r="D162" s="22"/>
      <c r="E162" s="23"/>
      <c r="F162" s="24"/>
      <c r="G162" s="25"/>
      <c r="H162" s="26" t="str">
        <f t="shared" si="88"/>
        <v/>
      </c>
      <c r="I162" s="26" t="str">
        <f t="shared" si="88"/>
        <v/>
      </c>
      <c r="J162" s="26" t="str">
        <f t="shared" si="88"/>
        <v/>
      </c>
      <c r="K162" s="26" t="str">
        <f t="shared" si="88"/>
        <v/>
      </c>
      <c r="L162" s="27" t="str">
        <f t="shared" si="92"/>
        <v/>
      </c>
      <c r="M162" s="28" t="str">
        <f t="shared" si="89"/>
        <v/>
      </c>
      <c r="Q162" s="19">
        <f t="shared" si="90"/>
        <v>1</v>
      </c>
      <c r="R162" s="41"/>
      <c r="S162" s="42"/>
      <c r="T162" s="42"/>
    </row>
    <row r="163" spans="2:20" ht="12.95" customHeight="1" x14ac:dyDescent="0.2">
      <c r="B163" s="21">
        <v>44355</v>
      </c>
      <c r="C163" s="39"/>
      <c r="D163" s="22"/>
      <c r="E163" s="23"/>
      <c r="F163" s="24"/>
      <c r="G163" s="25"/>
      <c r="H163" s="26" t="str">
        <f t="shared" si="88"/>
        <v/>
      </c>
      <c r="I163" s="26" t="str">
        <f t="shared" si="88"/>
        <v/>
      </c>
      <c r="J163" s="26" t="str">
        <f t="shared" si="88"/>
        <v/>
      </c>
      <c r="K163" s="26" t="str">
        <f t="shared" si="88"/>
        <v/>
      </c>
      <c r="L163" s="27" t="str">
        <f t="shared" si="92"/>
        <v/>
      </c>
      <c r="M163" s="28" t="str">
        <f t="shared" si="89"/>
        <v/>
      </c>
      <c r="Q163" s="19">
        <f t="shared" si="90"/>
        <v>1</v>
      </c>
      <c r="R163" s="41"/>
      <c r="S163" s="42"/>
      <c r="T163" s="42"/>
    </row>
    <row r="164" spans="2:20" ht="12.95" customHeight="1" x14ac:dyDescent="0.2">
      <c r="B164" s="21">
        <v>44356</v>
      </c>
      <c r="C164" s="39"/>
      <c r="D164" s="22"/>
      <c r="E164" s="23"/>
      <c r="F164" s="24"/>
      <c r="G164" s="25"/>
      <c r="H164" s="26" t="str">
        <f t="shared" si="88"/>
        <v/>
      </c>
      <c r="I164" s="26" t="str">
        <f t="shared" si="88"/>
        <v/>
      </c>
      <c r="J164" s="26" t="str">
        <f t="shared" si="88"/>
        <v/>
      </c>
      <c r="K164" s="26" t="str">
        <f t="shared" si="88"/>
        <v/>
      </c>
      <c r="L164" s="27" t="str">
        <f t="shared" si="92"/>
        <v/>
      </c>
      <c r="M164" s="28" t="str">
        <f t="shared" si="89"/>
        <v/>
      </c>
      <c r="Q164" s="19">
        <f t="shared" si="90"/>
        <v>1</v>
      </c>
      <c r="R164" s="41"/>
      <c r="S164" s="42"/>
      <c r="T164" s="42"/>
    </row>
    <row r="165" spans="2:20" ht="12.95" customHeight="1" x14ac:dyDescent="0.2">
      <c r="B165" s="21">
        <v>44357</v>
      </c>
      <c r="C165" s="39"/>
      <c r="D165" s="22"/>
      <c r="E165" s="23"/>
      <c r="F165" s="24"/>
      <c r="G165" s="25"/>
      <c r="H165" s="26" t="str">
        <f t="shared" si="88"/>
        <v/>
      </c>
      <c r="I165" s="26" t="str">
        <f t="shared" si="88"/>
        <v/>
      </c>
      <c r="J165" s="26" t="str">
        <f t="shared" si="88"/>
        <v/>
      </c>
      <c r="K165" s="26" t="str">
        <f t="shared" si="88"/>
        <v/>
      </c>
      <c r="L165" s="27" t="str">
        <f t="shared" si="92"/>
        <v/>
      </c>
      <c r="M165" s="28" t="str">
        <f t="shared" si="89"/>
        <v/>
      </c>
      <c r="Q165" s="19">
        <f t="shared" si="90"/>
        <v>1</v>
      </c>
      <c r="R165" s="41"/>
      <c r="S165" s="42"/>
      <c r="T165" s="42"/>
    </row>
    <row r="166" spans="2:20" ht="12.95" customHeight="1" x14ac:dyDescent="0.2">
      <c r="B166" s="21">
        <v>44358</v>
      </c>
      <c r="C166" s="39"/>
      <c r="D166" s="22"/>
      <c r="E166" s="23"/>
      <c r="F166" s="24"/>
      <c r="G166" s="25"/>
      <c r="H166" s="26" t="str">
        <f t="shared" si="88"/>
        <v/>
      </c>
      <c r="I166" s="26" t="str">
        <f t="shared" si="88"/>
        <v/>
      </c>
      <c r="J166" s="26" t="str">
        <f t="shared" si="88"/>
        <v/>
      </c>
      <c r="K166" s="26" t="str">
        <f t="shared" si="88"/>
        <v/>
      </c>
      <c r="L166" s="27" t="str">
        <f t="shared" si="92"/>
        <v/>
      </c>
      <c r="M166" s="28" t="str">
        <f t="shared" si="89"/>
        <v/>
      </c>
      <c r="Q166" s="19">
        <f t="shared" si="90"/>
        <v>1</v>
      </c>
    </row>
    <row r="167" spans="2:20" ht="12.95" customHeight="1" x14ac:dyDescent="0.2">
      <c r="B167" s="21">
        <v>44359</v>
      </c>
      <c r="C167" s="39"/>
      <c r="D167" s="22"/>
      <c r="E167" s="23"/>
      <c r="F167" s="24"/>
      <c r="G167" s="25"/>
      <c r="H167" s="26" t="str">
        <f t="shared" si="88"/>
        <v/>
      </c>
      <c r="I167" s="26" t="str">
        <f t="shared" si="88"/>
        <v/>
      </c>
      <c r="J167" s="26" t="str">
        <f t="shared" si="88"/>
        <v/>
      </c>
      <c r="K167" s="26" t="str">
        <f t="shared" si="88"/>
        <v/>
      </c>
      <c r="L167" s="27" t="str">
        <f t="shared" si="92"/>
        <v/>
      </c>
      <c r="M167" s="28" t="str">
        <f t="shared" si="89"/>
        <v/>
      </c>
      <c r="Q167" s="19">
        <f t="shared" si="90"/>
        <v>1</v>
      </c>
    </row>
    <row r="168" spans="2:20" ht="12.95" customHeight="1" x14ac:dyDescent="0.2">
      <c r="B168" s="21">
        <v>44360</v>
      </c>
      <c r="C168" s="39"/>
      <c r="D168" s="22"/>
      <c r="E168" s="23"/>
      <c r="F168" s="24"/>
      <c r="G168" s="25"/>
      <c r="H168" s="26" t="str">
        <f t="shared" si="88"/>
        <v/>
      </c>
      <c r="I168" s="26" t="str">
        <f t="shared" si="88"/>
        <v/>
      </c>
      <c r="J168" s="26" t="str">
        <f t="shared" si="88"/>
        <v/>
      </c>
      <c r="K168" s="26" t="str">
        <f t="shared" si="88"/>
        <v/>
      </c>
      <c r="L168" s="27" t="str">
        <f t="shared" si="92"/>
        <v/>
      </c>
      <c r="M168" s="28" t="str">
        <f t="shared" si="89"/>
        <v/>
      </c>
      <c r="Q168" s="19">
        <f t="shared" si="90"/>
        <v>1</v>
      </c>
    </row>
    <row r="169" spans="2:20" ht="12.95" customHeight="1" x14ac:dyDescent="0.2">
      <c r="B169" s="21">
        <v>44361</v>
      </c>
      <c r="C169" s="39"/>
      <c r="D169" s="22"/>
      <c r="E169" s="23"/>
      <c r="F169" s="24"/>
      <c r="G169" s="25"/>
      <c r="H169" s="26" t="str">
        <f t="shared" si="88"/>
        <v/>
      </c>
      <c r="I169" s="26" t="str">
        <f t="shared" si="88"/>
        <v/>
      </c>
      <c r="J169" s="26" t="str">
        <f t="shared" si="88"/>
        <v/>
      </c>
      <c r="K169" s="26" t="str">
        <f t="shared" si="88"/>
        <v/>
      </c>
      <c r="L169" s="27" t="str">
        <f t="shared" si="92"/>
        <v/>
      </c>
      <c r="M169" s="28" t="str">
        <f t="shared" si="89"/>
        <v/>
      </c>
      <c r="Q169" s="19">
        <f t="shared" si="90"/>
        <v>1</v>
      </c>
    </row>
    <row r="170" spans="2:20" ht="12.95" customHeight="1" x14ac:dyDescent="0.2">
      <c r="B170" s="21">
        <v>44362</v>
      </c>
      <c r="C170" s="39"/>
      <c r="D170" s="22"/>
      <c r="E170" s="23"/>
      <c r="F170" s="24"/>
      <c r="G170" s="25"/>
      <c r="H170" s="26" t="str">
        <f t="shared" si="88"/>
        <v/>
      </c>
      <c r="I170" s="26" t="str">
        <f t="shared" si="88"/>
        <v/>
      </c>
      <c r="J170" s="26" t="str">
        <f t="shared" si="88"/>
        <v/>
      </c>
      <c r="K170" s="26" t="str">
        <f t="shared" si="88"/>
        <v/>
      </c>
      <c r="L170" s="27" t="str">
        <f t="shared" si="92"/>
        <v/>
      </c>
      <c r="M170" s="28" t="str">
        <f t="shared" si="89"/>
        <v/>
      </c>
      <c r="Q170" s="19">
        <f t="shared" si="90"/>
        <v>1</v>
      </c>
    </row>
    <row r="171" spans="2:20" ht="12.95" customHeight="1" x14ac:dyDescent="0.2">
      <c r="B171" s="21">
        <v>44363</v>
      </c>
      <c r="C171" s="39"/>
      <c r="D171" s="22"/>
      <c r="E171" s="23"/>
      <c r="F171" s="24"/>
      <c r="G171" s="25"/>
      <c r="H171" s="26" t="str">
        <f t="shared" si="88"/>
        <v/>
      </c>
      <c r="I171" s="26" t="str">
        <f t="shared" si="88"/>
        <v/>
      </c>
      <c r="J171" s="26" t="str">
        <f t="shared" si="88"/>
        <v/>
      </c>
      <c r="K171" s="26" t="str">
        <f t="shared" si="88"/>
        <v/>
      </c>
      <c r="L171" s="27" t="str">
        <f t="shared" si="92"/>
        <v/>
      </c>
      <c r="M171" s="28" t="str">
        <f t="shared" si="89"/>
        <v/>
      </c>
      <c r="Q171" s="19">
        <f t="shared" si="90"/>
        <v>1</v>
      </c>
    </row>
    <row r="172" spans="2:20" ht="12.95" customHeight="1" x14ac:dyDescent="0.2">
      <c r="B172" s="21">
        <v>44364</v>
      </c>
      <c r="C172" s="39"/>
      <c r="D172" s="22"/>
      <c r="E172" s="23"/>
      <c r="F172" s="24"/>
      <c r="G172" s="25"/>
      <c r="H172" s="26" t="str">
        <f t="shared" si="88"/>
        <v/>
      </c>
      <c r="I172" s="26" t="str">
        <f t="shared" si="88"/>
        <v/>
      </c>
      <c r="J172" s="26" t="str">
        <f t="shared" si="88"/>
        <v/>
      </c>
      <c r="K172" s="26" t="str">
        <f t="shared" si="88"/>
        <v/>
      </c>
      <c r="L172" s="27" t="str">
        <f t="shared" si="92"/>
        <v/>
      </c>
      <c r="M172" s="28" t="str">
        <f t="shared" si="89"/>
        <v/>
      </c>
      <c r="Q172" s="19">
        <f t="shared" si="90"/>
        <v>1</v>
      </c>
    </row>
    <row r="173" spans="2:20" ht="12.95" customHeight="1" x14ac:dyDescent="0.2">
      <c r="B173" s="21">
        <v>44365</v>
      </c>
      <c r="C173" s="39"/>
      <c r="D173" s="22"/>
      <c r="E173" s="23"/>
      <c r="F173" s="24"/>
      <c r="G173" s="25"/>
      <c r="H173" s="26" t="str">
        <f t="shared" si="88"/>
        <v/>
      </c>
      <c r="I173" s="26" t="str">
        <f t="shared" si="88"/>
        <v/>
      </c>
      <c r="J173" s="26" t="str">
        <f t="shared" si="88"/>
        <v/>
      </c>
      <c r="K173" s="26" t="str">
        <f t="shared" si="88"/>
        <v/>
      </c>
      <c r="L173" s="27" t="str">
        <f t="shared" si="92"/>
        <v/>
      </c>
      <c r="M173" s="28" t="str">
        <f t="shared" si="89"/>
        <v/>
      </c>
      <c r="Q173" s="19">
        <f t="shared" si="90"/>
        <v>1</v>
      </c>
    </row>
    <row r="174" spans="2:20" ht="12.95" customHeight="1" thickBot="1" x14ac:dyDescent="0.25">
      <c r="B174" s="21">
        <v>44366</v>
      </c>
      <c r="C174" s="39"/>
      <c r="D174" s="22"/>
      <c r="E174" s="23"/>
      <c r="F174" s="24"/>
      <c r="G174" s="25"/>
      <c r="H174" s="26" t="str">
        <f t="shared" si="88"/>
        <v/>
      </c>
      <c r="I174" s="26" t="str">
        <f t="shared" si="88"/>
        <v/>
      </c>
      <c r="J174" s="26" t="str">
        <f t="shared" si="88"/>
        <v/>
      </c>
      <c r="K174" s="26" t="str">
        <f t="shared" si="88"/>
        <v/>
      </c>
      <c r="L174" s="27" t="str">
        <f t="shared" si="92"/>
        <v/>
      </c>
      <c r="M174" s="28" t="str">
        <f t="shared" si="89"/>
        <v/>
      </c>
      <c r="Q174" s="19">
        <f t="shared" si="90"/>
        <v>1</v>
      </c>
    </row>
    <row r="175" spans="2:20" ht="12.95" customHeight="1" x14ac:dyDescent="0.2">
      <c r="B175" s="21">
        <v>44367</v>
      </c>
      <c r="C175" s="39"/>
      <c r="D175" s="22"/>
      <c r="E175" s="23"/>
      <c r="F175" s="24"/>
      <c r="G175" s="25"/>
      <c r="H175" s="26" t="str">
        <f t="shared" si="88"/>
        <v/>
      </c>
      <c r="I175" s="26" t="str">
        <f t="shared" si="88"/>
        <v/>
      </c>
      <c r="J175" s="26" t="str">
        <f t="shared" si="88"/>
        <v/>
      </c>
      <c r="K175" s="26" t="str">
        <f t="shared" si="88"/>
        <v/>
      </c>
      <c r="L175" s="27" t="str">
        <f t="shared" si="92"/>
        <v/>
      </c>
      <c r="M175" s="28" t="str">
        <f t="shared" si="89"/>
        <v/>
      </c>
      <c r="N175" s="164" t="s">
        <v>25</v>
      </c>
      <c r="O175" s="164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65"/>
      <c r="O176" s="165"/>
      <c r="Q176" s="19">
        <f t="shared" si="90"/>
        <v>1</v>
      </c>
    </row>
    <row r="177" spans="2:17" ht="12.95" customHeight="1" thickBot="1" x14ac:dyDescent="0.25">
      <c r="B177" s="21">
        <v>44369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66"/>
      <c r="O177" s="166"/>
      <c r="Q177" s="19">
        <f t="shared" si="90"/>
        <v>1</v>
      </c>
    </row>
    <row r="178" spans="2:17" ht="12.95" customHeight="1" thickBot="1" x14ac:dyDescent="0.25">
      <c r="B178" s="21">
        <v>44370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0</v>
      </c>
      <c r="O178" s="30">
        <f>SUM(M156:M185)</f>
        <v>0</v>
      </c>
      <c r="Q178" s="19">
        <f t="shared" si="90"/>
        <v>1</v>
      </c>
    </row>
    <row r="179" spans="2:17" ht="12.95" customHeight="1" x14ac:dyDescent="0.2">
      <c r="B179" s="21">
        <v>44371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64" t="s">
        <v>27</v>
      </c>
      <c r="O179" s="164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66"/>
      <c r="O180" s="166"/>
      <c r="Q180" s="19">
        <f t="shared" si="90"/>
        <v>1</v>
      </c>
    </row>
    <row r="181" spans="2:17" ht="12.95" customHeight="1" thickBot="1" x14ac:dyDescent="0.25">
      <c r="B181" s="21">
        <v>44373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 t="e">
        <f>AVERAGE(L156:L185)</f>
        <v>#DIV/0!</v>
      </c>
      <c r="O181" s="30" t="e">
        <f>AVERAGE(M156:M185)</f>
        <v>#DIV/0!</v>
      </c>
      <c r="Q181" s="19">
        <f t="shared" si="90"/>
        <v>1</v>
      </c>
    </row>
    <row r="182" spans="2:17" ht="12.95" customHeight="1" x14ac:dyDescent="0.2">
      <c r="B182" s="21">
        <v>44374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 x14ac:dyDescent="0.2">
      <c r="B185" s="21">
        <v>44377</v>
      </c>
      <c r="C185" s="39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33" t="str">
        <f t="shared" si="88"/>
        <v/>
      </c>
      <c r="L185" s="27" t="str">
        <f t="shared" si="92"/>
        <v/>
      </c>
      <c r="M185" s="155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64" t="s">
        <v>25</v>
      </c>
      <c r="O206" s="164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65"/>
      <c r="O207" s="165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66"/>
      <c r="O208" s="166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64" t="s">
        <v>27</v>
      </c>
      <c r="O210" s="164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66"/>
      <c r="O211" s="166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64" t="s">
        <v>25</v>
      </c>
      <c r="O237" s="164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65"/>
      <c r="O238" s="165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66"/>
      <c r="O239" s="166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64" t="s">
        <v>27</v>
      </c>
      <c r="O241" s="164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66"/>
      <c r="O242" s="166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64" t="s">
        <v>25</v>
      </c>
      <c r="O267" s="164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65"/>
      <c r="O268" s="165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66"/>
      <c r="O269" s="166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64" t="s">
        <v>27</v>
      </c>
      <c r="O271" s="164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66"/>
      <c r="O272" s="166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64" t="s">
        <v>25</v>
      </c>
      <c r="O298" s="164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65"/>
      <c r="O299" s="165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66"/>
      <c r="O300" s="166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64" t="s">
        <v>27</v>
      </c>
      <c r="O302" s="164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66"/>
      <c r="O303" s="166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64" t="s">
        <v>25</v>
      </c>
      <c r="O328" s="164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65"/>
      <c r="O329" s="165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66"/>
      <c r="O330" s="166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64" t="s">
        <v>27</v>
      </c>
      <c r="O332" s="164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66"/>
      <c r="O333" s="166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64" t="s">
        <v>25</v>
      </c>
      <c r="O359" s="164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65"/>
      <c r="O360" s="165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66"/>
      <c r="O361" s="166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64" t="s">
        <v>27</v>
      </c>
      <c r="O363" s="164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66"/>
      <c r="O364" s="166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12" workbookViewId="0">
      <selection activeCell="J144" sqref="J144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36</v>
      </c>
      <c r="C1" s="44" t="s">
        <v>37</v>
      </c>
      <c r="D1" s="44" t="s">
        <v>38</v>
      </c>
      <c r="E1" s="44" t="s">
        <v>39</v>
      </c>
      <c r="F1" s="44" t="s">
        <v>40</v>
      </c>
      <c r="G1" s="44" t="s">
        <v>41</v>
      </c>
      <c r="H1" s="44" t="s">
        <v>42</v>
      </c>
      <c r="I1" s="44" t="s">
        <v>43</v>
      </c>
      <c r="J1" s="44" t="s">
        <v>44</v>
      </c>
      <c r="K1" s="44" t="s">
        <v>45</v>
      </c>
      <c r="L1" s="44" t="s">
        <v>46</v>
      </c>
      <c r="M1" s="44" t="s">
        <v>47</v>
      </c>
      <c r="N1" s="44" t="s">
        <v>48</v>
      </c>
      <c r="O1" s="44" t="s">
        <v>49</v>
      </c>
      <c r="P1" s="45"/>
      <c r="Q1" s="45"/>
      <c r="T1" s="157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8" t="s">
        <v>50</v>
      </c>
      <c r="Q21" s="169"/>
      <c r="R21" s="19">
        <f t="shared" si="7"/>
        <v>1</v>
      </c>
      <c r="S21" s="19">
        <f t="shared" si="8"/>
        <v>0</v>
      </c>
      <c r="T21" s="158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70"/>
      <c r="Q22" s="171"/>
      <c r="R22" s="19">
        <f t="shared" si="7"/>
        <v>1</v>
      </c>
      <c r="S22" s="19">
        <f t="shared" si="8"/>
        <v>0</v>
      </c>
      <c r="T22" s="158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51</v>
      </c>
      <c r="Q23" s="65" t="s">
        <v>52</v>
      </c>
      <c r="R23" s="19">
        <f>IF(N23="",0,1)</f>
        <v>1</v>
      </c>
      <c r="S23" s="19">
        <f t="shared" si="8"/>
        <v>0</v>
      </c>
      <c r="T23" s="157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53</v>
      </c>
      <c r="Q26" s="69" t="s">
        <v>54</v>
      </c>
      <c r="R26" s="19">
        <f t="shared" si="7"/>
        <v>1</v>
      </c>
      <c r="S26" s="19">
        <f t="shared" si="8"/>
        <v>0</v>
      </c>
      <c r="T26" s="158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55</v>
      </c>
      <c r="Q28" s="73" t="s">
        <v>56</v>
      </c>
      <c r="R28" s="19">
        <f t="shared" si="7"/>
        <v>1</v>
      </c>
      <c r="S28" s="19">
        <f t="shared" si="8"/>
        <v>0</v>
      </c>
      <c r="T28" s="157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57</v>
      </c>
      <c r="Q30" s="160" t="s">
        <v>58</v>
      </c>
      <c r="R30" s="19">
        <f t="shared" si="7"/>
        <v>1</v>
      </c>
      <c r="S30" s="19">
        <f t="shared" si="8"/>
        <v>0</v>
      </c>
      <c r="T30" s="158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59</v>
      </c>
      <c r="Q32" s="162" t="s">
        <v>60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61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8" t="s">
        <v>62</v>
      </c>
      <c r="Q49" s="169"/>
      <c r="R49" s="19">
        <f t="shared" si="7"/>
        <v>1</v>
      </c>
      <c r="S49" s="19">
        <f t="shared" si="8"/>
        <v>0</v>
      </c>
      <c r="T49" s="157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70"/>
      <c r="Q50" s="171"/>
      <c r="R50" s="19">
        <f t="shared" si="7"/>
        <v>1</v>
      </c>
      <c r="S50" s="19">
        <f t="shared" si="8"/>
        <v>0</v>
      </c>
      <c r="T50" s="157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51</v>
      </c>
      <c r="Q51" s="65" t="s">
        <v>52</v>
      </c>
      <c r="R51" s="19">
        <f t="shared" si="7"/>
        <v>1</v>
      </c>
      <c r="S51" s="19">
        <f t="shared" si="8"/>
        <v>0</v>
      </c>
      <c r="T51" s="158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53</v>
      </c>
      <c r="Q54" s="69" t="s">
        <v>54</v>
      </c>
      <c r="R54" s="19">
        <f t="shared" si="7"/>
        <v>1</v>
      </c>
      <c r="S54" s="19">
        <f t="shared" si="8"/>
        <v>0</v>
      </c>
      <c r="T54" s="157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55</v>
      </c>
      <c r="Q56" s="73" t="s">
        <v>63</v>
      </c>
      <c r="R56" s="19">
        <f t="shared" si="7"/>
        <v>1</v>
      </c>
      <c r="S56" s="19">
        <f t="shared" si="8"/>
        <v>0</v>
      </c>
      <c r="T56" s="158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57</v>
      </c>
      <c r="Q58" s="160" t="s">
        <v>64</v>
      </c>
      <c r="R58" s="19">
        <f t="shared" si="7"/>
        <v>1</v>
      </c>
      <c r="S58" s="19">
        <f t="shared" si="8"/>
        <v>0</v>
      </c>
      <c r="T58" s="158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59</v>
      </c>
      <c r="Q60" s="162" t="s">
        <v>60</v>
      </c>
      <c r="R60" s="19">
        <f t="shared" si="7"/>
        <v>1</v>
      </c>
      <c r="S60" s="19">
        <f t="shared" si="8"/>
        <v>0</v>
      </c>
      <c r="T60" s="157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61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8" t="s">
        <v>65</v>
      </c>
      <c r="Q81" s="169"/>
      <c r="R81" s="19">
        <f t="shared" si="39"/>
        <v>1</v>
      </c>
      <c r="S81" s="19">
        <f t="shared" si="40"/>
        <v>0</v>
      </c>
      <c r="T81" s="158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70"/>
      <c r="Q82" s="171"/>
      <c r="R82" s="19">
        <f t="shared" si="39"/>
        <v>1</v>
      </c>
      <c r="S82" s="19">
        <f t="shared" si="40"/>
        <v>0</v>
      </c>
      <c r="T82" s="157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51</v>
      </c>
      <c r="Q83" s="65" t="s">
        <v>52</v>
      </c>
      <c r="R83" s="19">
        <f t="shared" si="39"/>
        <v>1</v>
      </c>
      <c r="S83" s="19">
        <f t="shared" si="40"/>
        <v>0</v>
      </c>
      <c r="T83" s="157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53</v>
      </c>
      <c r="Q86" s="69" t="s">
        <v>54</v>
      </c>
      <c r="R86" s="19">
        <f t="shared" si="39"/>
        <v>1</v>
      </c>
      <c r="S86" s="19">
        <f t="shared" si="40"/>
        <v>0</v>
      </c>
      <c r="T86" s="158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55</v>
      </c>
      <c r="Q88" s="73" t="s">
        <v>63</v>
      </c>
      <c r="R88" s="19">
        <f t="shared" si="39"/>
        <v>1</v>
      </c>
      <c r="S88" s="19">
        <f t="shared" si="40"/>
        <v>0</v>
      </c>
      <c r="T88" s="157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57</v>
      </c>
      <c r="Q90" s="160" t="s">
        <v>64</v>
      </c>
      <c r="R90" s="19">
        <f t="shared" si="39"/>
        <v>1</v>
      </c>
      <c r="S90" s="19">
        <f t="shared" si="40"/>
        <v>0</v>
      </c>
      <c r="T90" s="158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59</v>
      </c>
      <c r="Q92" s="162" t="s">
        <v>60</v>
      </c>
      <c r="R92" s="19">
        <f t="shared" si="39"/>
        <v>1</v>
      </c>
      <c r="S92" s="19">
        <f t="shared" si="40"/>
        <v>0</v>
      </c>
      <c r="T92" s="158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61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8" t="s">
        <v>66</v>
      </c>
      <c r="Q111" s="169"/>
      <c r="R111" s="19">
        <f t="shared" si="61"/>
        <v>1</v>
      </c>
      <c r="S111" s="19">
        <f t="shared" si="40"/>
        <v>0</v>
      </c>
      <c r="T111" s="158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70"/>
      <c r="Q112" s="171"/>
      <c r="R112" s="19">
        <f t="shared" si="61"/>
        <v>1</v>
      </c>
      <c r="S112" s="19">
        <f t="shared" si="40"/>
        <v>0</v>
      </c>
      <c r="T112" s="158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51</v>
      </c>
      <c r="Q113" s="65" t="s">
        <v>52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53</v>
      </c>
      <c r="Q116" s="69" t="s">
        <v>54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55</v>
      </c>
      <c r="Q118" s="73" t="s">
        <v>63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57</v>
      </c>
      <c r="Q120" s="160" t="s">
        <v>64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59</v>
      </c>
      <c r="Q122" s="162" t="s">
        <v>60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61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8" t="s">
        <v>67</v>
      </c>
      <c r="Q142" s="169"/>
      <c r="R142" s="19">
        <f t="shared" si="61"/>
        <v>1</v>
      </c>
      <c r="S142" s="19">
        <f t="shared" si="71"/>
        <v>0</v>
      </c>
      <c r="T142" s="158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70"/>
      <c r="Q143" s="171"/>
      <c r="R143" s="19">
        <f t="shared" si="61"/>
        <v>1</v>
      </c>
      <c r="S143" s="19">
        <f t="shared" si="71"/>
        <v>0</v>
      </c>
      <c r="T143" s="157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51</v>
      </c>
      <c r="Q144" s="65" t="s">
        <v>52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1.9751680145802596E-2</v>
      </c>
      <c r="Q145" s="66">
        <f>IF(L124="",0,+SUM(L124:L154)/SUM(I124:I154))</f>
        <v>1.9751680145802596E-2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 x14ac:dyDescent="0.3">
      <c r="A146" s="51">
        <v>44704</v>
      </c>
      <c r="D146" s="136"/>
      <c r="E146" s="137"/>
      <c r="F146" s="138"/>
      <c r="G146" s="56"/>
      <c r="H146" s="56">
        <v>4140</v>
      </c>
      <c r="I146" s="56" t="str">
        <f t="shared" si="75"/>
        <v/>
      </c>
      <c r="J146" s="56" t="str">
        <f t="shared" si="75"/>
        <v/>
      </c>
      <c r="K146" s="57" t="str">
        <f t="shared" si="72"/>
        <v/>
      </c>
      <c r="L146" s="56" t="str">
        <f t="shared" si="73"/>
        <v/>
      </c>
      <c r="M146" s="57" t="str">
        <f t="shared" si="74"/>
        <v/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 x14ac:dyDescent="0.3">
      <c r="A147" s="51">
        <v>44705</v>
      </c>
      <c r="D147" s="136"/>
      <c r="E147" s="137"/>
      <c r="F147" s="138"/>
      <c r="G147" s="56"/>
      <c r="H147" s="56">
        <v>4140</v>
      </c>
      <c r="I147" s="56" t="str">
        <f t="shared" si="75"/>
        <v/>
      </c>
      <c r="J147" s="56" t="str">
        <f t="shared" si="75"/>
        <v/>
      </c>
      <c r="K147" s="57" t="str">
        <f t="shared" si="72"/>
        <v/>
      </c>
      <c r="L147" s="56" t="str">
        <f t="shared" si="73"/>
        <v/>
      </c>
      <c r="M147" s="57" t="str">
        <f t="shared" si="74"/>
        <v/>
      </c>
      <c r="N147" s="58">
        <v>66068309</v>
      </c>
      <c r="O147" s="58">
        <f t="shared" si="70"/>
        <v>0</v>
      </c>
      <c r="P147" s="68" t="s">
        <v>53</v>
      </c>
      <c r="Q147" s="69" t="s">
        <v>54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 x14ac:dyDescent="0.3">
      <c r="A148" s="51">
        <v>44706</v>
      </c>
      <c r="D148" s="136"/>
      <c r="E148" s="137"/>
      <c r="F148" s="138"/>
      <c r="G148" s="56"/>
      <c r="H148" s="56">
        <v>4140</v>
      </c>
      <c r="I148" s="56" t="str">
        <f t="shared" si="75"/>
        <v/>
      </c>
      <c r="J148" s="56" t="str">
        <f t="shared" si="75"/>
        <v/>
      </c>
      <c r="K148" s="57" t="str">
        <f t="shared" si="72"/>
        <v/>
      </c>
      <c r="L148" s="56" t="str">
        <f t="shared" si="73"/>
        <v/>
      </c>
      <c r="M148" s="57" t="str">
        <f t="shared" si="74"/>
        <v/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 x14ac:dyDescent="0.3">
      <c r="A149" s="51">
        <v>44707</v>
      </c>
      <c r="D149" s="136"/>
      <c r="E149" s="137"/>
      <c r="F149" s="138"/>
      <c r="G149" s="56"/>
      <c r="H149" s="56">
        <v>4140</v>
      </c>
      <c r="I149" s="56" t="str">
        <f t="shared" si="75"/>
        <v/>
      </c>
      <c r="J149" s="56" t="str">
        <f t="shared" si="75"/>
        <v/>
      </c>
      <c r="K149" s="57" t="str">
        <f t="shared" si="72"/>
        <v/>
      </c>
      <c r="L149" s="56" t="str">
        <f t="shared" si="73"/>
        <v/>
      </c>
      <c r="M149" s="57" t="str">
        <f t="shared" si="74"/>
        <v/>
      </c>
      <c r="N149" s="58">
        <v>66068309</v>
      </c>
      <c r="O149" s="58">
        <f t="shared" si="70"/>
        <v>0</v>
      </c>
      <c r="P149" s="72" t="s">
        <v>55</v>
      </c>
      <c r="Q149" s="73" t="s">
        <v>63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 x14ac:dyDescent="0.3">
      <c r="A150" s="51">
        <v>44708</v>
      </c>
      <c r="D150" s="136"/>
      <c r="E150" s="137"/>
      <c r="F150" s="138"/>
      <c r="G150" s="56"/>
      <c r="H150" s="56">
        <v>4140</v>
      </c>
      <c r="I150" s="56" t="str">
        <f t="shared" si="75"/>
        <v/>
      </c>
      <c r="J150" s="56" t="str">
        <f t="shared" si="75"/>
        <v/>
      </c>
      <c r="K150" s="57" t="str">
        <f t="shared" si="72"/>
        <v/>
      </c>
      <c r="L150" s="56" t="str">
        <f t="shared" si="73"/>
        <v/>
      </c>
      <c r="M150" s="57" t="str">
        <f t="shared" si="74"/>
        <v/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 x14ac:dyDescent="0.3">
      <c r="A151" s="51">
        <v>44709</v>
      </c>
      <c r="D151" s="136"/>
      <c r="E151" s="137"/>
      <c r="F151" s="138"/>
      <c r="G151" s="56"/>
      <c r="H151" s="56">
        <v>4140</v>
      </c>
      <c r="I151" s="56" t="str">
        <f t="shared" si="75"/>
        <v/>
      </c>
      <c r="J151" s="56" t="str">
        <f t="shared" si="75"/>
        <v/>
      </c>
      <c r="K151" s="57" t="str">
        <f t="shared" si="72"/>
        <v/>
      </c>
      <c r="L151" s="56" t="str">
        <f t="shared" si="73"/>
        <v/>
      </c>
      <c r="M151" s="57" t="str">
        <f t="shared" si="74"/>
        <v/>
      </c>
      <c r="N151" s="58">
        <v>66068309</v>
      </c>
      <c r="O151" s="58">
        <f t="shared" si="70"/>
        <v>0</v>
      </c>
      <c r="P151" s="159" t="s">
        <v>57</v>
      </c>
      <c r="Q151" s="160" t="s">
        <v>64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 x14ac:dyDescent="0.3">
      <c r="A152" s="51">
        <v>44710</v>
      </c>
      <c r="D152" s="136"/>
      <c r="E152" s="137"/>
      <c r="F152" s="138"/>
      <c r="G152" s="56"/>
      <c r="H152" s="56">
        <v>4140</v>
      </c>
      <c r="I152" s="56" t="str">
        <f t="shared" si="75"/>
        <v/>
      </c>
      <c r="J152" s="56" t="str">
        <f t="shared" si="75"/>
        <v/>
      </c>
      <c r="K152" s="57" t="str">
        <f t="shared" si="72"/>
        <v/>
      </c>
      <c r="L152" s="56" t="str">
        <f t="shared" si="73"/>
        <v/>
      </c>
      <c r="M152" s="57" t="str">
        <f t="shared" si="74"/>
        <v/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 x14ac:dyDescent="0.3">
      <c r="A153" s="51">
        <v>44711</v>
      </c>
      <c r="D153" s="136"/>
      <c r="E153" s="137"/>
      <c r="F153" s="138"/>
      <c r="G153" s="56"/>
      <c r="H153" s="56">
        <v>4140</v>
      </c>
      <c r="I153" s="56" t="str">
        <f t="shared" si="75"/>
        <v/>
      </c>
      <c r="J153" s="56" t="str">
        <f t="shared" si="75"/>
        <v/>
      </c>
      <c r="K153" s="57" t="str">
        <f t="shared" si="72"/>
        <v/>
      </c>
      <c r="L153" s="56" t="str">
        <f t="shared" si="73"/>
        <v/>
      </c>
      <c r="M153" s="57" t="str">
        <f t="shared" si="74"/>
        <v/>
      </c>
      <c r="N153" s="58">
        <v>66068309</v>
      </c>
      <c r="O153" s="58">
        <f t="shared" si="70"/>
        <v>0</v>
      </c>
      <c r="P153" s="161" t="s">
        <v>59</v>
      </c>
      <c r="Q153" s="162" t="s">
        <v>60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 x14ac:dyDescent="0.3">
      <c r="A154" s="51">
        <v>44712</v>
      </c>
      <c r="D154" s="136"/>
      <c r="E154" s="137"/>
      <c r="F154" s="138"/>
      <c r="G154" s="81"/>
      <c r="H154" s="56">
        <v>4140</v>
      </c>
      <c r="I154" s="56" t="str">
        <f t="shared" si="75"/>
        <v/>
      </c>
      <c r="J154" s="56" t="str">
        <f t="shared" si="75"/>
        <v/>
      </c>
      <c r="K154" s="57" t="str">
        <f t="shared" si="72"/>
        <v/>
      </c>
      <c r="L154" s="56" t="str">
        <f t="shared" si="73"/>
        <v/>
      </c>
      <c r="M154" s="57" t="str">
        <f t="shared" si="74"/>
        <v/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 x14ac:dyDescent="0.3">
      <c r="A155" s="51">
        <v>44713</v>
      </c>
      <c r="D155" s="136"/>
      <c r="E155" s="137"/>
      <c r="F155" s="138"/>
      <c r="G155" s="56"/>
      <c r="H155" s="56">
        <v>4140</v>
      </c>
      <c r="I155" s="56" t="str">
        <f t="shared" si="75"/>
        <v/>
      </c>
      <c r="J155" s="56" t="str">
        <f t="shared" si="75"/>
        <v/>
      </c>
      <c r="K155" s="57" t="str">
        <f t="shared" si="72"/>
        <v/>
      </c>
      <c r="L155" s="56" t="str">
        <f t="shared" si="73"/>
        <v/>
      </c>
      <c r="M155" s="57" t="str">
        <f t="shared" si="74"/>
        <v/>
      </c>
      <c r="N155" s="58">
        <v>66068309</v>
      </c>
      <c r="O155" s="58">
        <f t="shared" si="70"/>
        <v>0</v>
      </c>
      <c r="P155" s="86" t="s">
        <v>61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 x14ac:dyDescent="0.3">
      <c r="A156" s="51">
        <v>44714</v>
      </c>
      <c r="D156" s="136"/>
      <c r="E156" s="137"/>
      <c r="F156" s="138"/>
      <c r="G156" s="56"/>
      <c r="H156" s="56">
        <v>4140</v>
      </c>
      <c r="I156" s="56" t="str">
        <f t="shared" si="75"/>
        <v/>
      </c>
      <c r="J156" s="56" t="str">
        <f t="shared" si="75"/>
        <v/>
      </c>
      <c r="K156" s="57" t="str">
        <f t="shared" si="72"/>
        <v/>
      </c>
      <c r="L156" s="56" t="str">
        <f t="shared" si="73"/>
        <v/>
      </c>
      <c r="M156" s="57" t="str">
        <f t="shared" si="74"/>
        <v/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 x14ac:dyDescent="0.3">
      <c r="A157" s="51">
        <v>44715</v>
      </c>
      <c r="D157" s="136"/>
      <c r="E157" s="137"/>
      <c r="F157" s="138"/>
      <c r="G157" s="56"/>
      <c r="H157" s="56">
        <v>4140</v>
      </c>
      <c r="I157" s="56" t="str">
        <f t="shared" si="75"/>
        <v/>
      </c>
      <c r="J157" s="56" t="str">
        <f t="shared" si="75"/>
        <v/>
      </c>
      <c r="K157" s="57" t="str">
        <f t="shared" si="72"/>
        <v/>
      </c>
      <c r="L157" s="56" t="str">
        <f t="shared" si="73"/>
        <v/>
      </c>
      <c r="M157" s="57" t="str">
        <f t="shared" si="74"/>
        <v/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 x14ac:dyDescent="0.3">
      <c r="A158" s="51">
        <v>44716</v>
      </c>
      <c r="D158" s="136"/>
      <c r="E158" s="137"/>
      <c r="F158" s="138"/>
      <c r="G158" s="56"/>
      <c r="H158" s="56">
        <v>4140</v>
      </c>
      <c r="I158" s="56" t="str">
        <f t="shared" si="75"/>
        <v/>
      </c>
      <c r="J158" s="56" t="str">
        <f t="shared" si="75"/>
        <v/>
      </c>
      <c r="K158" s="57" t="str">
        <f t="shared" si="72"/>
        <v/>
      </c>
      <c r="L158" s="56" t="str">
        <f t="shared" si="73"/>
        <v/>
      </c>
      <c r="M158" s="57" t="str">
        <f t="shared" si="74"/>
        <v/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 x14ac:dyDescent="0.3">
      <c r="A159" s="51">
        <v>44717</v>
      </c>
      <c r="D159" s="136"/>
      <c r="E159" s="137"/>
      <c r="F159" s="138"/>
      <c r="G159" s="56"/>
      <c r="H159" s="56">
        <v>4140</v>
      </c>
      <c r="I159" s="56" t="str">
        <f t="shared" si="75"/>
        <v/>
      </c>
      <c r="J159" s="56" t="str">
        <f t="shared" si="75"/>
        <v/>
      </c>
      <c r="K159" s="57" t="str">
        <f t="shared" si="72"/>
        <v/>
      </c>
      <c r="L159" s="56" t="str">
        <f t="shared" si="73"/>
        <v/>
      </c>
      <c r="M159" s="57" t="str">
        <f t="shared" si="74"/>
        <v/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 x14ac:dyDescent="0.3">
      <c r="A160" s="51">
        <v>44718</v>
      </c>
      <c r="D160" s="136"/>
      <c r="E160" s="137"/>
      <c r="F160" s="138"/>
      <c r="G160" s="56"/>
      <c r="H160" s="56">
        <v>4140</v>
      </c>
      <c r="I160" s="56" t="str">
        <f t="shared" ref="I160:I235" si="76">IF(D160="","",+(E160-E159)*4140)</f>
        <v/>
      </c>
      <c r="J160" s="56" t="str">
        <f t="shared" ref="J160:J235" si="77">IF(E160="","",+(F160-F159)*4140)</f>
        <v/>
      </c>
      <c r="K160" s="57" t="str">
        <f t="shared" si="72"/>
        <v/>
      </c>
      <c r="L160" s="56" t="str">
        <f t="shared" si="73"/>
        <v/>
      </c>
      <c r="M160" s="57" t="str">
        <f t="shared" si="74"/>
        <v/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 x14ac:dyDescent="0.3">
      <c r="A161" s="51">
        <v>44719</v>
      </c>
      <c r="D161" s="136"/>
      <c r="E161" s="137"/>
      <c r="F161" s="138"/>
      <c r="G161" s="56"/>
      <c r="H161" s="56">
        <v>4140</v>
      </c>
      <c r="I161" s="56" t="str">
        <f t="shared" si="76"/>
        <v/>
      </c>
      <c r="J161" s="56" t="str">
        <f t="shared" si="77"/>
        <v/>
      </c>
      <c r="K161" s="57" t="str">
        <f t="shared" si="72"/>
        <v/>
      </c>
      <c r="L161" s="56" t="str">
        <f t="shared" si="73"/>
        <v/>
      </c>
      <c r="M161" s="57" t="str">
        <f t="shared" si="74"/>
        <v/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 x14ac:dyDescent="0.3">
      <c r="A162" s="51">
        <v>44720</v>
      </c>
      <c r="D162" s="136"/>
      <c r="E162" s="137"/>
      <c r="F162" s="138"/>
      <c r="G162" s="56"/>
      <c r="H162" s="56">
        <v>4140</v>
      </c>
      <c r="I162" s="56" t="str">
        <f t="shared" si="76"/>
        <v/>
      </c>
      <c r="J162" s="56" t="str">
        <f t="shared" si="77"/>
        <v/>
      </c>
      <c r="K162" s="57" t="str">
        <f t="shared" si="72"/>
        <v/>
      </c>
      <c r="L162" s="56" t="str">
        <f t="shared" si="73"/>
        <v/>
      </c>
      <c r="M162" s="57" t="str">
        <f t="shared" si="74"/>
        <v/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 x14ac:dyDescent="0.3">
      <c r="A163" s="51">
        <v>44721</v>
      </c>
      <c r="D163" s="136"/>
      <c r="E163" s="137"/>
      <c r="F163" s="138"/>
      <c r="G163" s="56"/>
      <c r="H163" s="56">
        <v>4140</v>
      </c>
      <c r="I163" s="56" t="str">
        <f t="shared" si="76"/>
        <v/>
      </c>
      <c r="J163" s="56" t="str">
        <f t="shared" si="77"/>
        <v/>
      </c>
      <c r="K163" s="57" t="str">
        <f t="shared" si="72"/>
        <v/>
      </c>
      <c r="L163" s="56" t="str">
        <f t="shared" si="73"/>
        <v/>
      </c>
      <c r="M163" s="57" t="str">
        <f t="shared" si="74"/>
        <v/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 x14ac:dyDescent="0.3">
      <c r="A164" s="51">
        <v>44722</v>
      </c>
      <c r="D164" s="136"/>
      <c r="E164" s="137"/>
      <c r="F164" s="138"/>
      <c r="G164" s="56"/>
      <c r="H164" s="56">
        <v>4140</v>
      </c>
      <c r="I164" s="56" t="str">
        <f t="shared" si="76"/>
        <v/>
      </c>
      <c r="J164" s="56" t="str">
        <f t="shared" si="77"/>
        <v/>
      </c>
      <c r="K164" s="57" t="str">
        <f t="shared" si="72"/>
        <v/>
      </c>
      <c r="L164" s="56" t="str">
        <f t="shared" si="73"/>
        <v/>
      </c>
      <c r="M164" s="57" t="str">
        <f t="shared" si="74"/>
        <v/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 x14ac:dyDescent="0.3">
      <c r="A165" s="51">
        <v>44723</v>
      </c>
      <c r="D165" s="136"/>
      <c r="E165" s="137"/>
      <c r="F165" s="138"/>
      <c r="G165" s="56"/>
      <c r="H165" s="56">
        <v>4140</v>
      </c>
      <c r="I165" s="56" t="str">
        <f t="shared" si="76"/>
        <v/>
      </c>
      <c r="J165" s="56" t="str">
        <f t="shared" si="77"/>
        <v/>
      </c>
      <c r="K165" s="57" t="str">
        <f t="shared" si="72"/>
        <v/>
      </c>
      <c r="L165" s="56" t="str">
        <f t="shared" si="73"/>
        <v/>
      </c>
      <c r="M165" s="57" t="str">
        <f t="shared" si="74"/>
        <v/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 x14ac:dyDescent="0.3">
      <c r="A166" s="51">
        <v>44724</v>
      </c>
      <c r="D166" s="136"/>
      <c r="E166" s="137"/>
      <c r="F166" s="138"/>
      <c r="G166" s="56"/>
      <c r="H166" s="56">
        <v>4140</v>
      </c>
      <c r="I166" s="56" t="str">
        <f t="shared" si="76"/>
        <v/>
      </c>
      <c r="J166" s="56" t="str">
        <f t="shared" si="77"/>
        <v/>
      </c>
      <c r="K166" s="57" t="str">
        <f t="shared" si="72"/>
        <v/>
      </c>
      <c r="L166" s="56" t="str">
        <f t="shared" si="73"/>
        <v/>
      </c>
      <c r="M166" s="57" t="str">
        <f t="shared" si="74"/>
        <v/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 x14ac:dyDescent="0.3">
      <c r="A167" s="51">
        <v>44725</v>
      </c>
      <c r="D167" s="136"/>
      <c r="E167" s="137"/>
      <c r="F167" s="138"/>
      <c r="G167" s="56"/>
      <c r="H167" s="56">
        <v>4140</v>
      </c>
      <c r="I167" s="56" t="str">
        <f t="shared" si="76"/>
        <v/>
      </c>
      <c r="J167" s="56" t="str">
        <f t="shared" si="77"/>
        <v/>
      </c>
      <c r="K167" s="57" t="str">
        <f t="shared" si="72"/>
        <v/>
      </c>
      <c r="L167" s="56" t="str">
        <f t="shared" si="73"/>
        <v/>
      </c>
      <c r="M167" s="57" t="str">
        <f t="shared" si="74"/>
        <v/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 x14ac:dyDescent="0.3">
      <c r="A168" s="51">
        <v>44726</v>
      </c>
      <c r="D168" s="136"/>
      <c r="E168" s="137"/>
      <c r="F168" s="138"/>
      <c r="G168" s="56"/>
      <c r="H168" s="56">
        <v>4140</v>
      </c>
      <c r="I168" s="56" t="str">
        <f t="shared" si="76"/>
        <v/>
      </c>
      <c r="J168" s="56" t="str">
        <f t="shared" si="77"/>
        <v/>
      </c>
      <c r="K168" s="57" t="str">
        <f t="shared" si="72"/>
        <v/>
      </c>
      <c r="L168" s="56" t="str">
        <f t="shared" si="73"/>
        <v/>
      </c>
      <c r="M168" s="57" t="str">
        <f t="shared" si="74"/>
        <v/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 x14ac:dyDescent="0.3">
      <c r="A169" s="51">
        <v>44727</v>
      </c>
      <c r="D169" s="136"/>
      <c r="E169" s="137"/>
      <c r="F169" s="138"/>
      <c r="G169" s="56"/>
      <c r="H169" s="56">
        <v>4140</v>
      </c>
      <c r="I169" s="56" t="str">
        <f t="shared" si="76"/>
        <v/>
      </c>
      <c r="J169" s="56" t="str">
        <f t="shared" si="77"/>
        <v/>
      </c>
      <c r="K169" s="57" t="str">
        <f t="shared" si="72"/>
        <v/>
      </c>
      <c r="L169" s="56" t="str">
        <f t="shared" si="73"/>
        <v/>
      </c>
      <c r="M169" s="57" t="str">
        <f t="shared" si="74"/>
        <v/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 x14ac:dyDescent="0.3">
      <c r="A170" s="51">
        <v>44728</v>
      </c>
      <c r="D170" s="136"/>
      <c r="E170" s="137"/>
      <c r="F170" s="138"/>
      <c r="G170" s="56"/>
      <c r="H170" s="56">
        <v>4140</v>
      </c>
      <c r="I170" s="56" t="str">
        <f t="shared" si="76"/>
        <v/>
      </c>
      <c r="J170" s="56" t="str">
        <f t="shared" si="77"/>
        <v/>
      </c>
      <c r="K170" s="57" t="str">
        <f t="shared" si="72"/>
        <v/>
      </c>
      <c r="L170" s="56" t="str">
        <f t="shared" si="73"/>
        <v/>
      </c>
      <c r="M170" s="57" t="str">
        <f t="shared" si="74"/>
        <v/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 x14ac:dyDescent="0.3">
      <c r="A171" s="51">
        <v>44729</v>
      </c>
      <c r="D171" s="136"/>
      <c r="E171" s="137"/>
      <c r="F171" s="138"/>
      <c r="G171" s="56"/>
      <c r="H171" s="56">
        <v>4140</v>
      </c>
      <c r="I171" s="56" t="str">
        <f t="shared" si="76"/>
        <v/>
      </c>
      <c r="J171" s="56" t="str">
        <f t="shared" si="77"/>
        <v/>
      </c>
      <c r="K171" s="57" t="str">
        <f t="shared" si="72"/>
        <v/>
      </c>
      <c r="L171" s="56" t="str">
        <f t="shared" si="73"/>
        <v/>
      </c>
      <c r="M171" s="57" t="str">
        <f t="shared" si="74"/>
        <v/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 x14ac:dyDescent="0.3">
      <c r="A172" s="51">
        <v>44730</v>
      </c>
      <c r="D172" s="136"/>
      <c r="E172" s="137"/>
      <c r="F172" s="138"/>
      <c r="G172" s="56"/>
      <c r="H172" s="56">
        <v>4140</v>
      </c>
      <c r="I172" s="56" t="str">
        <f t="shared" si="76"/>
        <v/>
      </c>
      <c r="J172" s="56" t="str">
        <f t="shared" si="77"/>
        <v/>
      </c>
      <c r="K172" s="57" t="str">
        <f t="shared" si="72"/>
        <v/>
      </c>
      <c r="L172" s="56" t="str">
        <f t="shared" si="73"/>
        <v/>
      </c>
      <c r="M172" s="57" t="str">
        <f t="shared" si="74"/>
        <v/>
      </c>
      <c r="N172" s="58">
        <v>66068309</v>
      </c>
      <c r="O172" s="58">
        <f t="shared" si="70"/>
        <v>0</v>
      </c>
      <c r="P172" s="168" t="s">
        <v>68</v>
      </c>
      <c r="Q172" s="169"/>
      <c r="R172" s="19">
        <f t="shared" si="78"/>
        <v>1</v>
      </c>
      <c r="S172" s="19">
        <f t="shared" si="71"/>
        <v>0</v>
      </c>
      <c r="T172" s="158"/>
    </row>
    <row r="173" spans="1:20" ht="15.75" thickBot="1" x14ac:dyDescent="0.3">
      <c r="A173" s="51">
        <v>44731</v>
      </c>
      <c r="D173" s="136"/>
      <c r="E173" s="137"/>
      <c r="F173" s="138"/>
      <c r="G173" s="56"/>
      <c r="H173" s="56">
        <v>4140</v>
      </c>
      <c r="I173" s="56" t="str">
        <f t="shared" si="76"/>
        <v/>
      </c>
      <c r="J173" s="56" t="str">
        <f t="shared" si="77"/>
        <v/>
      </c>
      <c r="K173" s="57" t="str">
        <f t="shared" si="72"/>
        <v/>
      </c>
      <c r="L173" s="56" t="str">
        <f t="shared" si="73"/>
        <v/>
      </c>
      <c r="M173" s="57" t="str">
        <f t="shared" si="74"/>
        <v/>
      </c>
      <c r="N173" s="58">
        <v>66068309</v>
      </c>
      <c r="O173" s="58">
        <f t="shared" si="70"/>
        <v>0</v>
      </c>
      <c r="P173" s="170"/>
      <c r="Q173" s="171"/>
      <c r="R173" s="19">
        <f t="shared" si="78"/>
        <v>1</v>
      </c>
      <c r="S173" s="19">
        <f t="shared" si="71"/>
        <v>0</v>
      </c>
      <c r="T173" s="158"/>
    </row>
    <row r="174" spans="1:20" ht="15.75" thickBot="1" x14ac:dyDescent="0.3">
      <c r="A174" s="51">
        <v>44732</v>
      </c>
      <c r="D174" s="136"/>
      <c r="E174" s="137"/>
      <c r="F174" s="138"/>
      <c r="G174" s="56"/>
      <c r="H174" s="56">
        <v>4140</v>
      </c>
      <c r="I174" s="56" t="str">
        <f t="shared" si="76"/>
        <v/>
      </c>
      <c r="J174" s="56" t="str">
        <f t="shared" si="77"/>
        <v/>
      </c>
      <c r="K174" s="57" t="str">
        <f t="shared" si="72"/>
        <v/>
      </c>
      <c r="L174" s="56" t="str">
        <f t="shared" si="73"/>
        <v/>
      </c>
      <c r="M174" s="57" t="str">
        <f t="shared" si="74"/>
        <v/>
      </c>
      <c r="N174" s="58">
        <v>66068309</v>
      </c>
      <c r="O174" s="58">
        <f t="shared" si="70"/>
        <v>0</v>
      </c>
      <c r="P174" s="65" t="s">
        <v>51</v>
      </c>
      <c r="Q174" s="65" t="s">
        <v>52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 x14ac:dyDescent="0.3">
      <c r="A175" s="51">
        <v>44733</v>
      </c>
      <c r="D175" s="136"/>
      <c r="E175" s="137"/>
      <c r="F175" s="138"/>
      <c r="G175" s="56"/>
      <c r="H175" s="56">
        <v>4140</v>
      </c>
      <c r="I175" s="56" t="str">
        <f t="shared" si="76"/>
        <v/>
      </c>
      <c r="J175" s="56" t="str">
        <f t="shared" si="77"/>
        <v/>
      </c>
      <c r="K175" s="57" t="str">
        <f t="shared" si="72"/>
        <v/>
      </c>
      <c r="L175" s="56" t="str">
        <f t="shared" si="73"/>
        <v/>
      </c>
      <c r="M175" s="57" t="str">
        <f t="shared" si="74"/>
        <v/>
      </c>
      <c r="N175" s="58">
        <v>66068309</v>
      </c>
      <c r="O175" s="58">
        <f t="shared" si="70"/>
        <v>0</v>
      </c>
      <c r="P175" s="66">
        <f>IF(J155="",0,+SUM(J155:J184)/SUM(I155:I184))</f>
        <v>0</v>
      </c>
      <c r="Q175" s="66">
        <f>IF(L155="",0,+SUM(L155:L184)/SUM(I155:I184))</f>
        <v>0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 x14ac:dyDescent="0.3">
      <c r="A176" s="51">
        <v>44734</v>
      </c>
      <c r="D176" s="136"/>
      <c r="E176" s="137"/>
      <c r="F176" s="138"/>
      <c r="G176" s="56"/>
      <c r="H176" s="56">
        <v>4140</v>
      </c>
      <c r="I176" s="56" t="str">
        <f t="shared" si="76"/>
        <v/>
      </c>
      <c r="J176" s="56" t="str">
        <f t="shared" si="77"/>
        <v/>
      </c>
      <c r="K176" s="57" t="str">
        <f t="shared" si="72"/>
        <v/>
      </c>
      <c r="L176" s="56" t="str">
        <f t="shared" si="73"/>
        <v/>
      </c>
      <c r="M176" s="57" t="str">
        <f t="shared" si="74"/>
        <v/>
      </c>
      <c r="N176" s="58">
        <v>66068309</v>
      </c>
      <c r="O176" s="58">
        <f t="shared" si="70"/>
        <v>0</v>
      </c>
      <c r="P176" s="67">
        <f>IF(J155="",0,+(+(LOOKUP(9.99999999999999E+307,E155:E184)-E154))/(+(LOOKUP(9.99999999999999E+307,D155:D184)-D154)))</f>
        <v>0</v>
      </c>
      <c r="Q176" s="67">
        <f>IF(L155="",0,+(+(LOOKUP(9.99999999999999E+307,F155:F184)-F154))/(+(LOOKUP(9.99999999999999E+307,D155:D184)-D154)))</f>
        <v>0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 x14ac:dyDescent="0.3">
      <c r="A177" s="51">
        <v>44735</v>
      </c>
      <c r="D177" s="136"/>
      <c r="E177" s="137"/>
      <c r="F177" s="138"/>
      <c r="G177" s="56"/>
      <c r="H177" s="56">
        <v>4140</v>
      </c>
      <c r="I177" s="56" t="str">
        <f t="shared" si="76"/>
        <v/>
      </c>
      <c r="J177" s="56" t="str">
        <f t="shared" si="77"/>
        <v/>
      </c>
      <c r="K177" s="57" t="str">
        <f t="shared" si="72"/>
        <v/>
      </c>
      <c r="L177" s="56" t="str">
        <f t="shared" si="73"/>
        <v/>
      </c>
      <c r="M177" s="57" t="str">
        <f t="shared" si="74"/>
        <v/>
      </c>
      <c r="N177" s="58">
        <v>66068309</v>
      </c>
      <c r="O177" s="58">
        <f t="shared" si="70"/>
        <v>0</v>
      </c>
      <c r="P177" s="68" t="s">
        <v>53</v>
      </c>
      <c r="Q177" s="69" t="s">
        <v>54</v>
      </c>
      <c r="R177" s="19">
        <f t="shared" si="78"/>
        <v>1</v>
      </c>
      <c r="S177" s="19">
        <f t="shared" si="71"/>
        <v>0</v>
      </c>
      <c r="T177" s="158"/>
    </row>
    <row r="178" spans="1:20" ht="15.75" thickBot="1" x14ac:dyDescent="0.3">
      <c r="A178" s="51">
        <v>44736</v>
      </c>
      <c r="D178" s="136"/>
      <c r="E178" s="137"/>
      <c r="F178" s="138"/>
      <c r="G178" s="56"/>
      <c r="H178" s="56">
        <v>4140</v>
      </c>
      <c r="I178" s="56" t="str">
        <f t="shared" si="76"/>
        <v/>
      </c>
      <c r="J178" s="56" t="str">
        <f t="shared" si="77"/>
        <v/>
      </c>
      <c r="K178" s="57" t="str">
        <f t="shared" si="72"/>
        <v/>
      </c>
      <c r="L178" s="56" t="str">
        <f t="shared" si="73"/>
        <v/>
      </c>
      <c r="M178" s="57" t="str">
        <f t="shared" si="74"/>
        <v/>
      </c>
      <c r="N178" s="58">
        <v>66068309</v>
      </c>
      <c r="O178" s="58">
        <f t="shared" si="70"/>
        <v>0</v>
      </c>
      <c r="P178" s="70">
        <f>IF(D155="",0,+(LOOKUP(9.99999999999999E+307,N154:N184)-N154))</f>
        <v>0</v>
      </c>
      <c r="Q178" s="71">
        <f>IF(P178="",0,+P178/SUM(R155:R184))</f>
        <v>0</v>
      </c>
      <c r="R178" s="19">
        <f t="shared" si="78"/>
        <v>1</v>
      </c>
      <c r="S178" s="19">
        <f t="shared" si="71"/>
        <v>0</v>
      </c>
      <c r="T178" s="158"/>
    </row>
    <row r="179" spans="1:20" ht="15.75" thickBot="1" x14ac:dyDescent="0.3">
      <c r="A179" s="51">
        <v>44737</v>
      </c>
      <c r="D179" s="136"/>
      <c r="E179" s="137"/>
      <c r="F179" s="138"/>
      <c r="G179" s="56"/>
      <c r="H179" s="56">
        <v>4140</v>
      </c>
      <c r="I179" s="56" t="str">
        <f t="shared" si="76"/>
        <v/>
      </c>
      <c r="J179" s="56" t="str">
        <f t="shared" si="77"/>
        <v/>
      </c>
      <c r="K179" s="57" t="str">
        <f t="shared" si="72"/>
        <v/>
      </c>
      <c r="L179" s="56" t="str">
        <f t="shared" si="73"/>
        <v/>
      </c>
      <c r="M179" s="57" t="str">
        <f t="shared" si="74"/>
        <v/>
      </c>
      <c r="N179" s="58">
        <v>66068309</v>
      </c>
      <c r="O179" s="58">
        <f t="shared" si="70"/>
        <v>0</v>
      </c>
      <c r="P179" s="72" t="s">
        <v>55</v>
      </c>
      <c r="Q179" s="73" t="s">
        <v>63</v>
      </c>
      <c r="R179" s="19">
        <f t="shared" si="78"/>
        <v>1</v>
      </c>
      <c r="S179" s="19">
        <f t="shared" si="71"/>
        <v>0</v>
      </c>
      <c r="T179" s="158"/>
    </row>
    <row r="180" spans="1:20" ht="15.75" thickBot="1" x14ac:dyDescent="0.3">
      <c r="A180" s="51">
        <v>44738</v>
      </c>
      <c r="D180" s="136"/>
      <c r="E180" s="137"/>
      <c r="F180" s="138"/>
      <c r="G180" s="56"/>
      <c r="H180" s="56">
        <v>4140</v>
      </c>
      <c r="I180" s="56" t="str">
        <f t="shared" si="76"/>
        <v/>
      </c>
      <c r="J180" s="56" t="str">
        <f t="shared" si="77"/>
        <v/>
      </c>
      <c r="K180" s="57" t="str">
        <f t="shared" si="72"/>
        <v/>
      </c>
      <c r="L180" s="56" t="str">
        <f t="shared" si="73"/>
        <v/>
      </c>
      <c r="M180" s="57" t="str">
        <f t="shared" si="74"/>
        <v/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 ht="15.75" thickBot="1" x14ac:dyDescent="0.3">
      <c r="A181" s="51">
        <v>44739</v>
      </c>
      <c r="D181" s="136"/>
      <c r="E181" s="137"/>
      <c r="F181" s="138"/>
      <c r="G181" s="56"/>
      <c r="H181" s="56">
        <v>4140</v>
      </c>
      <c r="I181" s="56" t="str">
        <f t="shared" si="76"/>
        <v/>
      </c>
      <c r="J181" s="56" t="str">
        <f t="shared" si="77"/>
        <v/>
      </c>
      <c r="K181" s="57" t="str">
        <f t="shared" si="72"/>
        <v/>
      </c>
      <c r="L181" s="56" t="str">
        <f t="shared" si="73"/>
        <v/>
      </c>
      <c r="M181" s="57" t="str">
        <f t="shared" si="74"/>
        <v/>
      </c>
      <c r="N181" s="58">
        <v>66068309</v>
      </c>
      <c r="O181" s="58">
        <f t="shared" si="70"/>
        <v>0</v>
      </c>
      <c r="P181" s="159" t="s">
        <v>57</v>
      </c>
      <c r="Q181" s="160" t="s">
        <v>64</v>
      </c>
      <c r="R181" s="19">
        <f t="shared" si="78"/>
        <v>1</v>
      </c>
      <c r="S181" s="19">
        <f t="shared" si="71"/>
        <v>0</v>
      </c>
      <c r="T181" s="157"/>
    </row>
    <row r="182" spans="1:20" ht="15.75" thickBot="1" x14ac:dyDescent="0.3">
      <c r="A182" s="51">
        <v>44740</v>
      </c>
      <c r="D182" s="136"/>
      <c r="E182" s="137"/>
      <c r="F182" s="138"/>
      <c r="G182" s="56"/>
      <c r="H182" s="56">
        <v>4140</v>
      </c>
      <c r="I182" s="56" t="str">
        <f t="shared" si="76"/>
        <v/>
      </c>
      <c r="J182" s="56" t="str">
        <f t="shared" si="77"/>
        <v/>
      </c>
      <c r="K182" s="57" t="str">
        <f t="shared" si="72"/>
        <v/>
      </c>
      <c r="L182" s="56" t="str">
        <f t="shared" si="73"/>
        <v/>
      </c>
      <c r="M182" s="57" t="str">
        <f t="shared" si="74"/>
        <v/>
      </c>
      <c r="N182" s="58">
        <v>66068309</v>
      </c>
      <c r="O182" s="58">
        <f t="shared" si="70"/>
        <v>0</v>
      </c>
      <c r="P182" s="76">
        <f>P180*Q185</f>
        <v>0</v>
      </c>
      <c r="Q182" s="77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7"/>
    </row>
    <row r="183" spans="1:20" ht="15.75" thickBot="1" x14ac:dyDescent="0.3">
      <c r="A183" s="51">
        <v>44741</v>
      </c>
      <c r="D183" s="136"/>
      <c r="E183" s="137"/>
      <c r="F183" s="138"/>
      <c r="G183" s="56"/>
      <c r="H183" s="56">
        <v>4140</v>
      </c>
      <c r="I183" s="56" t="str">
        <f t="shared" si="76"/>
        <v/>
      </c>
      <c r="J183" s="56" t="str">
        <f t="shared" si="77"/>
        <v/>
      </c>
      <c r="K183" s="57" t="str">
        <f t="shared" si="72"/>
        <v/>
      </c>
      <c r="L183" s="56" t="str">
        <f t="shared" si="73"/>
        <v/>
      </c>
      <c r="M183" s="57" t="str">
        <f t="shared" si="74"/>
        <v/>
      </c>
      <c r="N183" s="58">
        <v>66068309</v>
      </c>
      <c r="O183" s="58">
        <f t="shared" si="70"/>
        <v>0</v>
      </c>
      <c r="P183" s="161" t="s">
        <v>59</v>
      </c>
      <c r="Q183" s="162" t="s">
        <v>60</v>
      </c>
      <c r="R183" s="19">
        <f t="shared" si="78"/>
        <v>1</v>
      </c>
      <c r="S183" s="19">
        <f t="shared" si="71"/>
        <v>0</v>
      </c>
      <c r="T183" s="157"/>
    </row>
    <row r="184" spans="1:20" ht="15.75" thickBot="1" x14ac:dyDescent="0.3">
      <c r="A184" s="51">
        <v>44742</v>
      </c>
      <c r="D184" s="136"/>
      <c r="E184" s="137"/>
      <c r="F184" s="138"/>
      <c r="G184" s="81"/>
      <c r="H184" s="56">
        <v>4140</v>
      </c>
      <c r="I184" s="56" t="str">
        <f t="shared" si="76"/>
        <v/>
      </c>
      <c r="J184" s="56" t="str">
        <f t="shared" si="77"/>
        <v/>
      </c>
      <c r="K184" s="57" t="str">
        <f t="shared" si="72"/>
        <v/>
      </c>
      <c r="L184" s="56" t="str">
        <f t="shared" si="73"/>
        <v/>
      </c>
      <c r="M184" s="57" t="str">
        <f t="shared" si="74"/>
        <v/>
      </c>
      <c r="N184" s="82">
        <v>66068309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 ht="15.75" thickBot="1" x14ac:dyDescent="0.3">
      <c r="A185" s="51">
        <v>44743</v>
      </c>
      <c r="D185" s="136"/>
      <c r="E185" s="137"/>
      <c r="F185" s="138"/>
      <c r="G185" s="56"/>
      <c r="H185" s="56">
        <v>4140</v>
      </c>
      <c r="I185" s="56" t="str">
        <f t="shared" si="76"/>
        <v/>
      </c>
      <c r="J185" s="56" t="str">
        <f t="shared" si="77"/>
        <v/>
      </c>
      <c r="K185" s="57" t="str">
        <f t="shared" si="72"/>
        <v/>
      </c>
      <c r="L185" s="56" t="str">
        <f t="shared" si="73"/>
        <v/>
      </c>
      <c r="M185" s="57" t="str">
        <f t="shared" si="74"/>
        <v/>
      </c>
      <c r="N185" s="58">
        <v>66068309</v>
      </c>
      <c r="O185" s="58">
        <f t="shared" si="70"/>
        <v>0</v>
      </c>
      <c r="P185" s="101" t="s">
        <v>61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 ht="15.75" thickBot="1" x14ac:dyDescent="0.3">
      <c r="A186" s="51">
        <v>44744</v>
      </c>
      <c r="D186" s="136"/>
      <c r="E186" s="137"/>
      <c r="F186" s="138"/>
      <c r="G186" s="56"/>
      <c r="H186" s="56">
        <v>4140</v>
      </c>
      <c r="I186" s="56" t="str">
        <f t="shared" si="76"/>
        <v/>
      </c>
      <c r="J186" s="56" t="str">
        <f t="shared" si="77"/>
        <v/>
      </c>
      <c r="K186" s="57" t="str">
        <f t="shared" si="72"/>
        <v/>
      </c>
      <c r="L186" s="56" t="str">
        <f t="shared" si="73"/>
        <v/>
      </c>
      <c r="M186" s="57" t="str">
        <f t="shared" si="74"/>
        <v/>
      </c>
      <c r="N186" s="58">
        <v>66068309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 ht="15.75" thickBot="1" x14ac:dyDescent="0.3">
      <c r="A187" s="51">
        <v>44745</v>
      </c>
      <c r="D187" s="136"/>
      <c r="E187" s="137"/>
      <c r="F187" s="138"/>
      <c r="G187" s="56"/>
      <c r="H187" s="56">
        <v>4140</v>
      </c>
      <c r="I187" s="56" t="str">
        <f t="shared" si="76"/>
        <v/>
      </c>
      <c r="J187" s="56" t="str">
        <f t="shared" si="77"/>
        <v/>
      </c>
      <c r="K187" s="57" t="str">
        <f t="shared" si="72"/>
        <v/>
      </c>
      <c r="L187" s="56" t="str">
        <f t="shared" si="73"/>
        <v/>
      </c>
      <c r="M187" s="57" t="str">
        <f t="shared" si="74"/>
        <v/>
      </c>
      <c r="N187" s="58">
        <v>66068309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 ht="15.75" thickBot="1" x14ac:dyDescent="0.3">
      <c r="A188" s="51">
        <v>44746</v>
      </c>
      <c r="D188" s="136"/>
      <c r="E188" s="137"/>
      <c r="F188" s="138"/>
      <c r="G188" s="56"/>
      <c r="H188" s="56">
        <v>4140</v>
      </c>
      <c r="I188" s="56" t="str">
        <f t="shared" si="76"/>
        <v/>
      </c>
      <c r="J188" s="56" t="str">
        <f t="shared" si="77"/>
        <v/>
      </c>
      <c r="K188" s="57" t="str">
        <f t="shared" si="72"/>
        <v/>
      </c>
      <c r="L188" s="56" t="str">
        <f t="shared" si="73"/>
        <v/>
      </c>
      <c r="M188" s="57" t="str">
        <f t="shared" si="74"/>
        <v/>
      </c>
      <c r="N188" s="58">
        <v>66068309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 ht="15.75" thickBot="1" x14ac:dyDescent="0.3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66068309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 ht="15.75" thickBot="1" x14ac:dyDescent="0.3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66068309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 ht="15.75" thickBot="1" x14ac:dyDescent="0.3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66068309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 ht="15.75" thickBot="1" x14ac:dyDescent="0.3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66068309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 ht="15.75" thickBot="1" x14ac:dyDescent="0.3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66068309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 ht="15.75" thickBot="1" x14ac:dyDescent="0.3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66068309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 ht="15.75" thickBot="1" x14ac:dyDescent="0.3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66068309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 ht="15.75" thickBot="1" x14ac:dyDescent="0.3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66068309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 ht="15.75" thickBot="1" x14ac:dyDescent="0.3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66068309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 ht="15.75" thickBot="1" x14ac:dyDescent="0.3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66068309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 ht="15.75" thickBot="1" x14ac:dyDescent="0.3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66068309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 ht="15.75" thickBot="1" x14ac:dyDescent="0.3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66068309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 ht="15.75" thickBot="1" x14ac:dyDescent="0.3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66068309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 ht="15.75" thickBot="1" x14ac:dyDescent="0.3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66068309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 ht="15.75" thickBot="1" x14ac:dyDescent="0.3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66068309</v>
      </c>
      <c r="O203" s="58">
        <f t="shared" si="79"/>
        <v>0</v>
      </c>
      <c r="P203" s="172" t="s">
        <v>69</v>
      </c>
      <c r="Q203" s="173"/>
      <c r="R203" s="19">
        <f t="shared" si="78"/>
        <v>1</v>
      </c>
      <c r="S203" s="19">
        <f t="shared" si="80"/>
        <v>0</v>
      </c>
      <c r="T203" s="158"/>
    </row>
    <row r="204" spans="1:20" ht="15.75" thickBot="1" x14ac:dyDescent="0.3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66068309</v>
      </c>
      <c r="O204" s="58">
        <f t="shared" si="79"/>
        <v>0</v>
      </c>
      <c r="P204" s="170"/>
      <c r="Q204" s="171"/>
      <c r="R204" s="19">
        <f t="shared" si="78"/>
        <v>1</v>
      </c>
      <c r="S204" s="19">
        <f t="shared" si="80"/>
        <v>0</v>
      </c>
      <c r="T204" s="157"/>
    </row>
    <row r="205" spans="1:20" ht="15.75" thickBot="1" x14ac:dyDescent="0.3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66068309</v>
      </c>
      <c r="O205" s="58">
        <f t="shared" si="79"/>
        <v>0</v>
      </c>
      <c r="P205" s="65" t="s">
        <v>51</v>
      </c>
      <c r="Q205" s="65" t="s">
        <v>52</v>
      </c>
      <c r="R205" s="19">
        <f t="shared" si="78"/>
        <v>1</v>
      </c>
      <c r="S205" s="19">
        <f t="shared" si="80"/>
        <v>0</v>
      </c>
      <c r="T205" s="157"/>
    </row>
    <row r="206" spans="1:20" ht="15.75" thickBot="1" x14ac:dyDescent="0.3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66068309</v>
      </c>
      <c r="O206" s="58">
        <f t="shared" si="79"/>
        <v>0</v>
      </c>
      <c r="P206" s="66">
        <f>IF(J185="",0,+SUM(J185:J215)/SUM(I185:I215))</f>
        <v>0</v>
      </c>
      <c r="Q206" s="66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8"/>
    </row>
    <row r="207" spans="1:20" ht="15.75" thickBot="1" x14ac:dyDescent="0.3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66068309</v>
      </c>
      <c r="O207" s="58">
        <f t="shared" si="79"/>
        <v>0</v>
      </c>
      <c r="P207" s="67">
        <f>IF(J185="",0,+(+(LOOKUP(9.99999999999999E+307,E185:E215)-E184))/(+(LOOKUP(9.99999999999999E+307,D185:D215)-D184)))</f>
        <v>0</v>
      </c>
      <c r="Q207" s="67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8"/>
    </row>
    <row r="208" spans="1:20" ht="15.75" thickBot="1" x14ac:dyDescent="0.3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66068309</v>
      </c>
      <c r="O208" s="58">
        <f t="shared" si="79"/>
        <v>0</v>
      </c>
      <c r="P208" s="68" t="s">
        <v>53</v>
      </c>
      <c r="Q208" s="69" t="s">
        <v>54</v>
      </c>
      <c r="R208" s="19">
        <f t="shared" si="78"/>
        <v>1</v>
      </c>
      <c r="S208" s="19">
        <f t="shared" si="80"/>
        <v>0</v>
      </c>
      <c r="T208" s="158"/>
    </row>
    <row r="209" spans="1:20" ht="15.75" thickBot="1" x14ac:dyDescent="0.3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66068309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 ht="15.75" thickBot="1" x14ac:dyDescent="0.3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66068309</v>
      </c>
      <c r="O210" s="58">
        <f t="shared" si="79"/>
        <v>0</v>
      </c>
      <c r="P210" s="72" t="s">
        <v>55</v>
      </c>
      <c r="Q210" s="73" t="s">
        <v>63</v>
      </c>
      <c r="R210" s="19">
        <f t="shared" si="78"/>
        <v>1</v>
      </c>
      <c r="S210" s="19">
        <f t="shared" si="80"/>
        <v>0</v>
      </c>
      <c r="T210" s="157"/>
    </row>
    <row r="211" spans="1:20" ht="15.75" thickBot="1" x14ac:dyDescent="0.3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66068309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 ht="15.75" thickBot="1" x14ac:dyDescent="0.3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66068309</v>
      </c>
      <c r="O212" s="58">
        <f t="shared" si="79"/>
        <v>0</v>
      </c>
      <c r="P212" s="159" t="s">
        <v>57</v>
      </c>
      <c r="Q212" s="160" t="s">
        <v>64</v>
      </c>
      <c r="R212" s="19">
        <f t="shared" si="78"/>
        <v>1</v>
      </c>
      <c r="S212" s="19">
        <f t="shared" si="80"/>
        <v>0</v>
      </c>
      <c r="T212" s="157"/>
    </row>
    <row r="213" spans="1:20" ht="15.75" thickBot="1" x14ac:dyDescent="0.3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66068309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 ht="15.75" thickBot="1" x14ac:dyDescent="0.3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66068309</v>
      </c>
      <c r="O214" s="58">
        <f t="shared" si="79"/>
        <v>0</v>
      </c>
      <c r="P214" s="161" t="s">
        <v>59</v>
      </c>
      <c r="Q214" s="162" t="s">
        <v>60</v>
      </c>
      <c r="R214" s="19">
        <f t="shared" si="78"/>
        <v>1</v>
      </c>
      <c r="S214" s="19">
        <f t="shared" si="80"/>
        <v>0</v>
      </c>
      <c r="T214" s="157"/>
    </row>
    <row r="215" spans="1:20" ht="15.75" thickBot="1" x14ac:dyDescent="0.3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82">
        <v>66068309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 ht="15.75" thickBot="1" x14ac:dyDescent="0.3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66068309</v>
      </c>
      <c r="O216" s="58">
        <f t="shared" si="79"/>
        <v>0</v>
      </c>
      <c r="P216" s="101" t="s">
        <v>61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 ht="15.75" thickBot="1" x14ac:dyDescent="0.3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66068309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 ht="15.75" thickBot="1" x14ac:dyDescent="0.3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66068309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 ht="15.75" thickBot="1" x14ac:dyDescent="0.3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66068309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 ht="15.75" thickBot="1" x14ac:dyDescent="0.3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66068309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 ht="15.75" thickBot="1" x14ac:dyDescent="0.3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66068309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 ht="15.75" thickBot="1" x14ac:dyDescent="0.3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66068309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 ht="15.75" thickBot="1" x14ac:dyDescent="0.3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66068309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 ht="15.75" thickBot="1" x14ac:dyDescent="0.3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66068309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 ht="15.75" thickBot="1" x14ac:dyDescent="0.3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66068309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 ht="15.75" thickBot="1" x14ac:dyDescent="0.3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66068309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 ht="15.75" thickBot="1" x14ac:dyDescent="0.3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66068309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 ht="15.75" thickBot="1" x14ac:dyDescent="0.3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66068309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 ht="15.75" thickBot="1" x14ac:dyDescent="0.3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66068309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 ht="15.75" thickBot="1" x14ac:dyDescent="0.3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66068309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 ht="15.75" thickBot="1" x14ac:dyDescent="0.3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66068309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 ht="15.75" thickBot="1" x14ac:dyDescent="0.3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66068309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 ht="15.75" thickBot="1" x14ac:dyDescent="0.3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66068309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 ht="15.75" thickBot="1" x14ac:dyDescent="0.3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66068309</v>
      </c>
      <c r="O234" s="58">
        <f t="shared" si="79"/>
        <v>0</v>
      </c>
      <c r="P234" s="172" t="s">
        <v>70</v>
      </c>
      <c r="Q234" s="173"/>
      <c r="R234" s="19">
        <f t="shared" si="85"/>
        <v>1</v>
      </c>
      <c r="S234" s="19">
        <f t="shared" si="80"/>
        <v>0</v>
      </c>
      <c r="T234" s="158"/>
    </row>
    <row r="235" spans="1:20" ht="15.75" thickBot="1" x14ac:dyDescent="0.3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66068309</v>
      </c>
      <c r="O235" s="58">
        <f t="shared" si="79"/>
        <v>0</v>
      </c>
      <c r="P235" s="170"/>
      <c r="Q235" s="171"/>
      <c r="R235" s="19">
        <f t="shared" si="85"/>
        <v>1</v>
      </c>
      <c r="S235" s="19">
        <f t="shared" si="80"/>
        <v>0</v>
      </c>
      <c r="T235" s="157"/>
    </row>
    <row r="236" spans="1:20" ht="15.75" thickBot="1" x14ac:dyDescent="0.3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66068309</v>
      </c>
      <c r="O236" s="58">
        <f t="shared" si="79"/>
        <v>0</v>
      </c>
      <c r="P236" s="65" t="s">
        <v>51</v>
      </c>
      <c r="Q236" s="65" t="s">
        <v>52</v>
      </c>
      <c r="R236" s="19">
        <f t="shared" si="85"/>
        <v>1</v>
      </c>
      <c r="S236" s="19">
        <f t="shared" si="80"/>
        <v>0</v>
      </c>
      <c r="T236" s="157"/>
    </row>
    <row r="237" spans="1:20" ht="15.75" thickBot="1" x14ac:dyDescent="0.3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66068309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 ht="15.75" thickBot="1" x14ac:dyDescent="0.3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66068309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 ht="15.75" thickBot="1" x14ac:dyDescent="0.3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66068309</v>
      </c>
      <c r="O239" s="58">
        <f t="shared" si="79"/>
        <v>0</v>
      </c>
      <c r="P239" s="68" t="s">
        <v>53</v>
      </c>
      <c r="Q239" s="69" t="s">
        <v>54</v>
      </c>
      <c r="R239" s="19">
        <f t="shared" si="85"/>
        <v>1</v>
      </c>
      <c r="S239" s="19">
        <f t="shared" si="80"/>
        <v>0</v>
      </c>
      <c r="T239" s="158"/>
    </row>
    <row r="240" spans="1:20" ht="15.75" thickBot="1" x14ac:dyDescent="0.3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66068309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 ht="15.75" thickBot="1" x14ac:dyDescent="0.3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66068309</v>
      </c>
      <c r="O241" s="58">
        <f t="shared" si="79"/>
        <v>0</v>
      </c>
      <c r="P241" s="72" t="s">
        <v>55</v>
      </c>
      <c r="Q241" s="73" t="s">
        <v>63</v>
      </c>
      <c r="R241" s="19">
        <f t="shared" si="85"/>
        <v>1</v>
      </c>
      <c r="S241" s="19">
        <f t="shared" si="80"/>
        <v>0</v>
      </c>
      <c r="T241" s="157"/>
    </row>
    <row r="242" spans="1:20" ht="15.75" thickBot="1" x14ac:dyDescent="0.3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66068309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 ht="15.75" thickBot="1" x14ac:dyDescent="0.3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66068309</v>
      </c>
      <c r="O243" s="58">
        <f t="shared" si="79"/>
        <v>0</v>
      </c>
      <c r="P243" s="159" t="s">
        <v>57</v>
      </c>
      <c r="Q243" s="160" t="s">
        <v>64</v>
      </c>
      <c r="R243" s="19">
        <f t="shared" si="85"/>
        <v>1</v>
      </c>
      <c r="S243" s="19">
        <f t="shared" si="80"/>
        <v>0</v>
      </c>
      <c r="T243" s="157"/>
    </row>
    <row r="244" spans="1:20" ht="15.75" thickBot="1" x14ac:dyDescent="0.3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66068309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 ht="15.75" thickBot="1" x14ac:dyDescent="0.3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66068309</v>
      </c>
      <c r="O245" s="58">
        <f t="shared" si="79"/>
        <v>0</v>
      </c>
      <c r="P245" s="161" t="s">
        <v>59</v>
      </c>
      <c r="Q245" s="162" t="s">
        <v>60</v>
      </c>
      <c r="R245" s="19">
        <f t="shared" si="85"/>
        <v>1</v>
      </c>
      <c r="S245" s="19">
        <f t="shared" si="80"/>
        <v>0</v>
      </c>
      <c r="T245" s="157"/>
    </row>
    <row r="246" spans="1:20" ht="15.75" thickBot="1" x14ac:dyDescent="0.3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82">
        <v>66068309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66068309</v>
      </c>
      <c r="O247" s="58">
        <f t="shared" si="79"/>
        <v>0</v>
      </c>
      <c r="P247" s="86" t="s">
        <v>61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66068309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66068309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66068309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66068309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66068309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66068309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66068309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66068309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66068309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66068309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66068309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66068309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66068309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66068309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66068309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66068309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66068309</v>
      </c>
      <c r="O264" s="58">
        <f t="shared" si="90"/>
        <v>0</v>
      </c>
      <c r="P264" s="168" t="s">
        <v>71</v>
      </c>
      <c r="Q264" s="169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66068309</v>
      </c>
      <c r="O265" s="58">
        <f t="shared" si="90"/>
        <v>0</v>
      </c>
      <c r="P265" s="170"/>
      <c r="Q265" s="171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66068309</v>
      </c>
      <c r="O266" s="58">
        <f t="shared" si="90"/>
        <v>0</v>
      </c>
      <c r="P266" s="65" t="s">
        <v>51</v>
      </c>
      <c r="Q266" s="65" t="s">
        <v>52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66068309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66068309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66068309</v>
      </c>
      <c r="O269" s="58">
        <f t="shared" si="90"/>
        <v>0</v>
      </c>
      <c r="P269" s="68" t="s">
        <v>53</v>
      </c>
      <c r="Q269" s="69" t="s">
        <v>54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66068309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66068309</v>
      </c>
      <c r="O271" s="58">
        <f t="shared" si="90"/>
        <v>0</v>
      </c>
      <c r="P271" s="72" t="s">
        <v>55</v>
      </c>
      <c r="Q271" s="73" t="s">
        <v>63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66068309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66068309</v>
      </c>
      <c r="O273" s="58">
        <f t="shared" si="90"/>
        <v>0</v>
      </c>
      <c r="P273" s="159" t="s">
        <v>57</v>
      </c>
      <c r="Q273" s="160" t="s">
        <v>64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66068309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66068309</v>
      </c>
      <c r="O275" s="58">
        <f t="shared" si="90"/>
        <v>0</v>
      </c>
      <c r="P275" s="161" t="s">
        <v>59</v>
      </c>
      <c r="Q275" s="162" t="s">
        <v>60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82">
        <v>66068309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 ht="15.75" thickBot="1" x14ac:dyDescent="0.3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66068309</v>
      </c>
      <c r="O277" s="58">
        <f t="shared" si="90"/>
        <v>0</v>
      </c>
      <c r="P277" s="86" t="s">
        <v>61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 ht="15.75" thickBot="1" x14ac:dyDescent="0.3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66068309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72</v>
      </c>
    </row>
    <row r="279" spans="1:23" ht="15.75" thickBot="1" x14ac:dyDescent="0.3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66068309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 ht="15.75" thickBot="1" x14ac:dyDescent="0.3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66068309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 ht="15.75" thickBot="1" x14ac:dyDescent="0.3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66068309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 ht="15.75" thickBot="1" x14ac:dyDescent="0.3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66068309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 ht="15.75" thickBot="1" x14ac:dyDescent="0.3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66068309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 ht="15.75" thickBot="1" x14ac:dyDescent="0.3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66068309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 ht="15.75" thickBot="1" x14ac:dyDescent="0.3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66068309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 ht="15.75" thickBot="1" x14ac:dyDescent="0.3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66068309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 ht="15.75" thickBot="1" x14ac:dyDescent="0.3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66068309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 ht="15.75" thickBot="1" x14ac:dyDescent="0.3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66068309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 ht="15.75" thickBot="1" x14ac:dyDescent="0.3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66068309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 ht="15.75" thickBot="1" x14ac:dyDescent="0.3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66068309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 ht="15.75" thickBot="1" x14ac:dyDescent="0.3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66068309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 ht="15.75" thickBot="1" x14ac:dyDescent="0.3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66068309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 ht="15.75" thickBot="1" x14ac:dyDescent="0.3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66068309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 ht="15.75" thickBot="1" x14ac:dyDescent="0.3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66068309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 ht="15.75" thickBot="1" x14ac:dyDescent="0.3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66068309</v>
      </c>
      <c r="O295" s="58">
        <f t="shared" si="90"/>
        <v>0</v>
      </c>
      <c r="P295" s="168" t="s">
        <v>73</v>
      </c>
      <c r="Q295" s="169"/>
      <c r="R295" s="19">
        <f t="shared" si="88"/>
        <v>1</v>
      </c>
      <c r="S295" s="19">
        <f t="shared" si="91"/>
        <v>0</v>
      </c>
      <c r="T295" s="158"/>
    </row>
    <row r="296" spans="1:20" ht="15.75" thickBot="1" x14ac:dyDescent="0.3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66068309</v>
      </c>
      <c r="O296" s="58">
        <f t="shared" si="90"/>
        <v>0</v>
      </c>
      <c r="P296" s="170"/>
      <c r="Q296" s="171"/>
      <c r="R296" s="19">
        <f t="shared" si="88"/>
        <v>1</v>
      </c>
      <c r="S296" s="19">
        <f t="shared" si="91"/>
        <v>0</v>
      </c>
      <c r="T296" s="157"/>
    </row>
    <row r="297" spans="1:20" ht="15.75" thickBot="1" x14ac:dyDescent="0.3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66068309</v>
      </c>
      <c r="O297" s="58">
        <f t="shared" si="90"/>
        <v>0</v>
      </c>
      <c r="P297" s="65" t="s">
        <v>51</v>
      </c>
      <c r="Q297" s="65" t="s">
        <v>52</v>
      </c>
      <c r="R297" s="19">
        <f t="shared" si="88"/>
        <v>1</v>
      </c>
      <c r="S297" s="19">
        <f t="shared" si="91"/>
        <v>0</v>
      </c>
      <c r="T297" s="157"/>
    </row>
    <row r="298" spans="1:20" ht="15.75" thickBot="1" x14ac:dyDescent="0.3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66068309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 ht="15.75" thickBot="1" x14ac:dyDescent="0.3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66068309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 ht="15.75" thickBot="1" x14ac:dyDescent="0.3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66068309</v>
      </c>
      <c r="O300" s="58">
        <f t="shared" si="90"/>
        <v>0</v>
      </c>
      <c r="P300" s="68" t="s">
        <v>53</v>
      </c>
      <c r="Q300" s="69" t="s">
        <v>54</v>
      </c>
      <c r="R300" s="19">
        <f t="shared" si="88"/>
        <v>1</v>
      </c>
      <c r="S300" s="19">
        <f t="shared" si="91"/>
        <v>0</v>
      </c>
      <c r="T300" s="158"/>
    </row>
    <row r="301" spans="1:20" ht="15.75" thickBot="1" x14ac:dyDescent="0.3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66068309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 ht="15.75" thickBot="1" x14ac:dyDescent="0.3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66068309</v>
      </c>
      <c r="O302" s="58">
        <f t="shared" si="90"/>
        <v>0</v>
      </c>
      <c r="P302" s="72" t="s">
        <v>55</v>
      </c>
      <c r="Q302" s="73" t="s">
        <v>63</v>
      </c>
      <c r="R302" s="19">
        <f t="shared" si="88"/>
        <v>1</v>
      </c>
      <c r="S302" s="19">
        <f t="shared" si="91"/>
        <v>0</v>
      </c>
      <c r="T302" s="157"/>
    </row>
    <row r="303" spans="1:20" ht="15.75" thickBot="1" x14ac:dyDescent="0.3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66068309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 ht="15.75" thickBot="1" x14ac:dyDescent="0.3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66068309</v>
      </c>
      <c r="O304" s="58">
        <f t="shared" si="90"/>
        <v>0</v>
      </c>
      <c r="P304" s="159" t="s">
        <v>57</v>
      </c>
      <c r="Q304" s="160" t="s">
        <v>64</v>
      </c>
      <c r="R304" s="19">
        <f t="shared" si="88"/>
        <v>1</v>
      </c>
      <c r="S304" s="19">
        <f t="shared" si="91"/>
        <v>0</v>
      </c>
      <c r="T304" s="157"/>
    </row>
    <row r="305" spans="1:20" ht="15.75" thickBot="1" x14ac:dyDescent="0.3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66068309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 ht="15.75" thickBot="1" x14ac:dyDescent="0.3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66068309</v>
      </c>
      <c r="O306" s="58">
        <f t="shared" si="90"/>
        <v>0</v>
      </c>
      <c r="P306" s="161" t="s">
        <v>59</v>
      </c>
      <c r="Q306" s="162" t="s">
        <v>60</v>
      </c>
      <c r="R306" s="19">
        <f t="shared" si="88"/>
        <v>1</v>
      </c>
      <c r="S306" s="19">
        <f t="shared" si="91"/>
        <v>0</v>
      </c>
      <c r="T306" s="157"/>
    </row>
    <row r="307" spans="1:20" ht="15.75" thickBot="1" x14ac:dyDescent="0.3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82">
        <v>66068309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 ht="15.75" thickBot="1" x14ac:dyDescent="0.3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66068309</v>
      </c>
      <c r="O308" s="58">
        <f t="shared" si="90"/>
        <v>0</v>
      </c>
      <c r="P308" s="101" t="s">
        <v>61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 ht="15.75" thickBot="1" x14ac:dyDescent="0.3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66068309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 ht="15.75" thickBot="1" x14ac:dyDescent="0.3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66068309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 ht="15.75" thickBot="1" x14ac:dyDescent="0.3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66068309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 ht="15.75" thickBot="1" x14ac:dyDescent="0.3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66068309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 ht="15.75" thickBot="1" x14ac:dyDescent="0.3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66068309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 ht="15.75" thickBot="1" x14ac:dyDescent="0.3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66068309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 ht="15.75" thickBot="1" x14ac:dyDescent="0.3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66068309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 ht="15.75" thickBot="1" x14ac:dyDescent="0.3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66068309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 ht="15.75" thickBot="1" x14ac:dyDescent="0.3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66068309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 ht="15.75" thickBot="1" x14ac:dyDescent="0.3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66068309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 ht="15.75" thickBot="1" x14ac:dyDescent="0.3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66068309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 ht="15.75" thickBot="1" x14ac:dyDescent="0.3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66068309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 ht="15.75" thickBot="1" x14ac:dyDescent="0.3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66068309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 ht="15.75" thickBot="1" x14ac:dyDescent="0.3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66068309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 ht="15.75" thickBot="1" x14ac:dyDescent="0.3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66068309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 ht="15.75" thickBot="1" x14ac:dyDescent="0.3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66068309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 ht="15.75" thickBot="1" x14ac:dyDescent="0.3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66068309</v>
      </c>
      <c r="O325" s="58">
        <f t="shared" si="97"/>
        <v>0</v>
      </c>
      <c r="P325" s="168" t="s">
        <v>74</v>
      </c>
      <c r="Q325" s="169"/>
      <c r="R325" s="19">
        <f t="shared" si="98"/>
        <v>1</v>
      </c>
      <c r="S325" s="19">
        <f t="shared" si="91"/>
        <v>0</v>
      </c>
      <c r="T325" s="158"/>
    </row>
    <row r="326" spans="1:20" ht="15.75" thickBot="1" x14ac:dyDescent="0.3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66068309</v>
      </c>
      <c r="O326" s="58">
        <f t="shared" si="97"/>
        <v>0</v>
      </c>
      <c r="P326" s="170"/>
      <c r="Q326" s="171"/>
      <c r="R326" s="19">
        <f t="shared" si="98"/>
        <v>1</v>
      </c>
      <c r="S326" s="19">
        <f t="shared" si="91"/>
        <v>0</v>
      </c>
      <c r="T326" s="158"/>
    </row>
    <row r="327" spans="1:20" ht="15.75" thickBot="1" x14ac:dyDescent="0.3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66068309</v>
      </c>
      <c r="O327" s="58">
        <f t="shared" si="97"/>
        <v>0</v>
      </c>
      <c r="P327" s="65" t="s">
        <v>51</v>
      </c>
      <c r="Q327" s="65" t="s">
        <v>52</v>
      </c>
      <c r="R327" s="19">
        <f t="shared" si="98"/>
        <v>1</v>
      </c>
      <c r="S327" s="19">
        <f t="shared" si="91"/>
        <v>0</v>
      </c>
      <c r="T327" s="157"/>
    </row>
    <row r="328" spans="1:20" ht="15.75" thickBot="1" x14ac:dyDescent="0.3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66068309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 ht="15.75" thickBot="1" x14ac:dyDescent="0.3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66068309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 ht="15.75" thickBot="1" x14ac:dyDescent="0.3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66068309</v>
      </c>
      <c r="O330" s="58">
        <f t="shared" si="97"/>
        <v>0</v>
      </c>
      <c r="P330" s="68" t="s">
        <v>53</v>
      </c>
      <c r="Q330" s="69" t="s">
        <v>54</v>
      </c>
      <c r="R330" s="19">
        <f t="shared" si="98"/>
        <v>1</v>
      </c>
      <c r="S330" s="19">
        <f t="shared" si="101"/>
        <v>0</v>
      </c>
      <c r="T330" s="158"/>
    </row>
    <row r="331" spans="1:20" ht="15.75" thickBot="1" x14ac:dyDescent="0.3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66068309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 ht="15.75" thickBot="1" x14ac:dyDescent="0.3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66068309</v>
      </c>
      <c r="O332" s="58">
        <f t="shared" si="97"/>
        <v>0</v>
      </c>
      <c r="P332" s="72" t="s">
        <v>55</v>
      </c>
      <c r="Q332" s="73" t="s">
        <v>63</v>
      </c>
      <c r="R332" s="19">
        <f t="shared" si="98"/>
        <v>1</v>
      </c>
      <c r="S332" s="19">
        <f t="shared" si="101"/>
        <v>0</v>
      </c>
      <c r="T332" s="158"/>
    </row>
    <row r="333" spans="1:20" ht="15.75" thickBot="1" x14ac:dyDescent="0.3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66068309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 ht="15.75" thickBot="1" x14ac:dyDescent="0.3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66068309</v>
      </c>
      <c r="O334" s="58">
        <f t="shared" si="97"/>
        <v>0</v>
      </c>
      <c r="P334" s="159" t="s">
        <v>57</v>
      </c>
      <c r="Q334" s="160" t="s">
        <v>64</v>
      </c>
      <c r="R334" s="19">
        <f t="shared" si="98"/>
        <v>1</v>
      </c>
      <c r="S334" s="19">
        <f t="shared" si="101"/>
        <v>0</v>
      </c>
      <c r="T334" s="157"/>
    </row>
    <row r="335" spans="1:20" ht="15.75" thickBot="1" x14ac:dyDescent="0.3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66068309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 ht="15.75" thickBot="1" x14ac:dyDescent="0.3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66068309</v>
      </c>
      <c r="O336" s="58">
        <f t="shared" si="97"/>
        <v>0</v>
      </c>
      <c r="P336" s="163" t="s">
        <v>59</v>
      </c>
      <c r="Q336" s="163" t="s">
        <v>60</v>
      </c>
      <c r="R336" s="19">
        <f t="shared" si="98"/>
        <v>1</v>
      </c>
      <c r="S336" s="19">
        <f t="shared" si="101"/>
        <v>0</v>
      </c>
      <c r="T336" s="157"/>
    </row>
    <row r="337" spans="1:20" ht="15.75" thickBot="1" x14ac:dyDescent="0.3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82">
        <v>66068309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 ht="15.75" thickBot="1" x14ac:dyDescent="0.3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66068309</v>
      </c>
      <c r="O338" s="58">
        <f t="shared" si="97"/>
        <v>0</v>
      </c>
      <c r="P338" s="127" t="s">
        <v>61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 ht="15.75" thickBot="1" x14ac:dyDescent="0.3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66068309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 ht="15.75" thickBot="1" x14ac:dyDescent="0.3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66068309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 ht="15.75" thickBot="1" x14ac:dyDescent="0.3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66068309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 ht="15.75" thickBot="1" x14ac:dyDescent="0.3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66068309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 ht="15.75" thickBot="1" x14ac:dyDescent="0.3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66068309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 ht="15.75" thickBot="1" x14ac:dyDescent="0.3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66068309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 ht="15.75" thickBot="1" x14ac:dyDescent="0.3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66068309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 ht="15.75" thickBot="1" x14ac:dyDescent="0.3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66068309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 ht="15.75" thickBot="1" x14ac:dyDescent="0.3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66068309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 ht="15.75" thickBot="1" x14ac:dyDescent="0.3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66068309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 ht="15.75" thickBot="1" x14ac:dyDescent="0.3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66068309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 ht="15.75" thickBot="1" x14ac:dyDescent="0.3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66068309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 ht="15.75" thickBot="1" x14ac:dyDescent="0.3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66068309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 ht="15.75" thickBot="1" x14ac:dyDescent="0.3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66068309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 ht="15.75" thickBot="1" x14ac:dyDescent="0.3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66068309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 ht="15.75" thickBot="1" x14ac:dyDescent="0.3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66068309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 ht="15.75" thickBot="1" x14ac:dyDescent="0.3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66068309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 ht="15.75" thickBot="1" x14ac:dyDescent="0.3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66068309</v>
      </c>
      <c r="O356" s="58">
        <f t="shared" si="97"/>
        <v>0</v>
      </c>
      <c r="P356" s="168" t="s">
        <v>75</v>
      </c>
      <c r="Q356" s="169"/>
      <c r="R356" s="19">
        <f t="shared" si="98"/>
        <v>1</v>
      </c>
      <c r="S356" s="19">
        <f t="shared" si="101"/>
        <v>0</v>
      </c>
      <c r="T356" s="158"/>
    </row>
    <row r="357" spans="1:20" ht="15.75" thickBot="1" x14ac:dyDescent="0.3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66068309</v>
      </c>
      <c r="O357" s="58">
        <f t="shared" si="97"/>
        <v>0</v>
      </c>
      <c r="P357" s="170"/>
      <c r="Q357" s="171"/>
      <c r="R357" s="19">
        <f t="shared" si="98"/>
        <v>1</v>
      </c>
      <c r="S357" s="19">
        <f t="shared" si="101"/>
        <v>0</v>
      </c>
      <c r="T357" s="157"/>
    </row>
    <row r="358" spans="1:20" ht="15.75" thickBot="1" x14ac:dyDescent="0.3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66068309</v>
      </c>
      <c r="O358" s="58">
        <f t="shared" si="97"/>
        <v>0</v>
      </c>
      <c r="P358" s="65" t="s">
        <v>51</v>
      </c>
      <c r="Q358" s="65" t="s">
        <v>52</v>
      </c>
      <c r="R358" s="19">
        <f t="shared" si="98"/>
        <v>1</v>
      </c>
      <c r="S358" s="19">
        <f t="shared" si="101"/>
        <v>0</v>
      </c>
      <c r="T358" s="157"/>
    </row>
    <row r="359" spans="1:20" ht="15.75" thickBot="1" x14ac:dyDescent="0.3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66068309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 ht="15.75" thickBot="1" x14ac:dyDescent="0.3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66068309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 ht="15.75" thickBot="1" x14ac:dyDescent="0.3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66068309</v>
      </c>
      <c r="O361" s="58">
        <f t="shared" si="97"/>
        <v>0</v>
      </c>
      <c r="P361" s="68" t="s">
        <v>53</v>
      </c>
      <c r="Q361" s="69" t="s">
        <v>54</v>
      </c>
      <c r="R361" s="19">
        <f t="shared" si="98"/>
        <v>1</v>
      </c>
      <c r="S361" s="19">
        <f t="shared" si="101"/>
        <v>0</v>
      </c>
      <c r="T361" s="158"/>
    </row>
    <row r="362" spans="1:20" ht="15.75" thickBot="1" x14ac:dyDescent="0.3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66068309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 ht="15.75" thickBot="1" x14ac:dyDescent="0.3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66068309</v>
      </c>
      <c r="O363" s="58">
        <f t="shared" si="97"/>
        <v>0</v>
      </c>
      <c r="P363" s="72" t="s">
        <v>55</v>
      </c>
      <c r="Q363" s="73" t="s">
        <v>63</v>
      </c>
      <c r="R363" s="19">
        <f t="shared" si="98"/>
        <v>1</v>
      </c>
      <c r="S363" s="19">
        <f t="shared" si="101"/>
        <v>0</v>
      </c>
      <c r="T363" s="157"/>
    </row>
    <row r="364" spans="1:20" ht="15.75" thickBot="1" x14ac:dyDescent="0.3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66068309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 ht="15.75" thickBot="1" x14ac:dyDescent="0.3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66068309</v>
      </c>
      <c r="O365" s="58">
        <f t="shared" si="97"/>
        <v>0</v>
      </c>
      <c r="P365" s="159" t="s">
        <v>57</v>
      </c>
      <c r="Q365" s="160" t="s">
        <v>64</v>
      </c>
      <c r="R365" s="19">
        <f t="shared" si="98"/>
        <v>1</v>
      </c>
      <c r="S365" s="19">
        <f t="shared" si="101"/>
        <v>0</v>
      </c>
      <c r="T365" s="157"/>
    </row>
    <row r="366" spans="1:20" ht="15.75" thickBot="1" x14ac:dyDescent="0.3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66068309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 ht="15.75" thickBot="1" x14ac:dyDescent="0.3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66068309</v>
      </c>
      <c r="O367" s="58">
        <f t="shared" si="97"/>
        <v>0</v>
      </c>
      <c r="P367" s="161" t="s">
        <v>59</v>
      </c>
      <c r="Q367" s="162" t="s">
        <v>60</v>
      </c>
      <c r="R367" s="19">
        <f t="shared" si="98"/>
        <v>1</v>
      </c>
      <c r="S367" s="19">
        <f t="shared" si="101"/>
        <v>0</v>
      </c>
      <c r="T367" s="157"/>
    </row>
    <row r="368" spans="1:20" ht="15.75" thickBot="1" x14ac:dyDescent="0.3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66068309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66068309</v>
      </c>
      <c r="O369" s="58">
        <v>0</v>
      </c>
      <c r="P369" s="86" t="s">
        <v>61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d07fdfd0-8ece-48a6-a46c-61dc91b6cdb1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2022-05-23T06:52:26Z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