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 Sayan April 2022" sheetId="14" r:id="rId3"/>
    <sheet name="RNs &amp; Covers April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3" i="11" l="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2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2" i="11"/>
  <c r="I3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2" i="11"/>
  <c r="E2" i="11"/>
  <c r="W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12" i="14"/>
  <c r="F32" i="11"/>
  <c r="G32" i="11"/>
  <c r="H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E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<sst xmlns="http://schemas.openxmlformats.org/spreadsheetml/2006/main" count="257" uniqueCount="85">
  <si>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</si>
  <si>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</si>
  <si>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</si>
  <si>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</si>
  <si>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</si>
  <si>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</si>
  <si>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</si>
  <si>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</si>
  <si>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</si>
  <si>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</si>
  <si>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</si>
  <si>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</si>
  <si>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</si>
  <si>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</si>
  <si>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</si>
  <si>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</si>
  <si>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</si>
  <si>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</si>
  <si>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</si>
  <si>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</si>
  <si>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</si>
  <si>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</si>
  <si>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</si>
  <si>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</si>
  <si>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</si>
  <si>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</si>
  <si>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</si>
  <si>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</si>
  <si>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</si>
  <si>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</si>
  <si>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</si>
  <si>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</si>
  <si>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</si>
  <si>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</si>
  <si>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</si>
  <si>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</si>
  <si>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</si>
  <si>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</si>
  <si>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</si>
  <si>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</si>
  <si>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</si>
  <si>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</si>
  <si>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</si>
  <si>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</si>
  <si>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</si>
  <si>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</si>
  <si>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</si>
  <si>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</si>
  <si>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</si>
  <si>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</si>
  <si>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</si>
  <si>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</si>
  <si>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</si>
  <si>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</si>
  <si>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</si>
  <si>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</si>
  <si>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</si>
  <si>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</si>
  <si>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</si>
  <si>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</si>
  <si>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</si>
  <si>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</si>
  <si>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</si>
  <si>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</si>
  <si>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</si>
  <si>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</si>
  <si>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</si>
  <si>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</si>
  <si>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</si>
  <si>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Total (per Unit) mixed glass</t>
  </si>
  <si>
    <t>Total cost mixed glass</t>
  </si>
  <si>
    <t>Four Seasons Resort Bali at Sayan</t>
  </si>
  <si>
    <t>APRIL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</si>
  <si>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</si>
  <si>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</si>
  <si>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</si>
  <si>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</si>
  <si>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</si>
  <si>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</si>
  <si>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</si>
  <si>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</si>
  <si>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</si>
  <si>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</si>
  <si>
    <t>Bali at Sayan</t>
  </si>
  <si>
    <t>Total cost 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</si>
</sst>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#,##0.0_);[Red]\(#,##0.0\)"/>
    <numFmt numFmtId="169" formatCode="#,##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165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</cellStyleXfs>
  <cellXfs count="117">
    <xf numFmtId="0" fontId="0" fillId="0" borderId="0" xfId="0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3" fillId="0" borderId="2" xfId="0" applyFont="1" applyBorder="1"/>
    <xf numFmtId="0" fontId="15" fillId="0" borderId="2" xfId="0" applyFont="1" applyBorder="1"/>
    <xf numFmtId="0" fontId="13" fillId="0" borderId="0" xfId="0" applyFont="1"/>
    <xf numFmtId="0" fontId="16" fillId="0" borderId="0" xfId="0" applyFont="1"/>
    <xf numFmtId="3" fontId="16" fillId="0" borderId="0" xfId="0" applyNumberFormat="1" applyFont="1"/>
    <xf numFmtId="168" fontId="12" fillId="0" borderId="2" xfId="9" applyNumberFormat="1" applyFont="1" applyBorder="1" applyAlignment="1">
      <alignment horizontal="right"/>
    </xf>
    <xf numFmtId="0" fontId="18" fillId="0" borderId="2" xfId="0" applyFont="1" applyBorder="1" applyAlignment="1">
      <alignment horizontal="center"/>
    </xf>
    <xf numFmtId="167" fontId="11" fillId="0" borderId="2" xfId="9" applyNumberFormat="1" applyFont="1" applyBorder="1" applyAlignment="1">
      <alignment horizontal="right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67" fontId="11" fillId="0" borderId="0" xfId="9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9" applyNumberFormat="1" applyFont="1" applyAlignment="1">
      <alignment horizontal="right"/>
    </xf>
    <xf numFmtId="0" fontId="19" fillId="0" borderId="2" xfId="0" applyFont="1" applyBorder="1" applyAlignment="1">
      <alignment horizontal="center" vertical="center"/>
    </xf>
    <xf numFmtId="1" fontId="17" fillId="0" borderId="0" xfId="0" applyNumberFormat="1" applyFont="1"/>
    <xf numFmtId="168" fontId="12" fillId="0" borderId="2" xfId="6" applyNumberFormat="1" applyFont="1" applyBorder="1" applyAlignment="1">
      <alignment horizontal="right"/>
    </xf>
    <xf numFmtId="168" fontId="12" fillId="0" borderId="17" xfId="6" applyNumberFormat="1" applyFont="1" applyBorder="1" applyAlignment="1">
      <alignment horizontal="right"/>
    </xf>
    <xf numFmtId="168" fontId="0" fillId="0" borderId="2" xfId="0" applyNumberFormat="1" applyBorder="1" applyAlignment="1">
      <alignment vertical="center"/>
    </xf>
    <xf numFmtId="168" fontId="10" fillId="0" borderId="17" xfId="6" applyNumberFormat="1" applyBorder="1"/>
    <xf numFmtId="0" fontId="0" fillId="0" borderId="18" xfId="0" applyBorder="1" applyAlignment="1">
      <alignment vertical="center"/>
    </xf>
    <xf numFmtId="0" fontId="0" fillId="3" borderId="3" xfId="0" applyFill="1" applyBorder="1"/>
    <xf numFmtId="0" fontId="0" fillId="0" borderId="4" xfId="0" applyBorder="1" applyAlignment="1">
      <alignment vertical="center"/>
    </xf>
    <xf numFmtId="0" fontId="0" fillId="3" borderId="4" xfId="0" applyFill="1" applyBorder="1"/>
    <xf numFmtId="0" fontId="0" fillId="0" borderId="5" xfId="0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0" xfId="0" applyFill="1" applyBorder="1"/>
    <xf numFmtId="166" fontId="0" fillId="0" borderId="0" xfId="1" applyNumberFormat="1" applyFont="1" applyBorder="1"/>
    <xf numFmtId="0" fontId="0" fillId="0" borderId="0" xfId="0" applyBorder="1"/>
    <xf numFmtId="168" fontId="12" fillId="0" borderId="0" xfId="6" applyNumberFormat="1" applyFont="1" applyBorder="1" applyAlignment="1">
      <alignment horizontal="right"/>
    </xf>
    <xf numFmtId="0" fontId="0" fillId="0" borderId="0" xfId="0" applyBorder="1" applyAlignment="1">
      <alignment vertical="center"/>
    </xf>
    <xf numFmtId="168" fontId="10" fillId="0" borderId="0" xfId="6" applyNumberFormat="1" applyBorder="1"/>
    <xf numFmtId="168" fontId="12" fillId="0" borderId="18" xfId="6" applyNumberFormat="1" applyFont="1" applyBorder="1" applyAlignment="1">
      <alignment horizontal="right"/>
    </xf>
    <xf numFmtId="168" fontId="12" fillId="0" borderId="18" xfId="6" applyNumberFormat="1" applyFont="1" applyBorder="1"/>
    <xf numFmtId="169" fontId="12" fillId="0" borderId="18" xfId="6" applyNumberFormat="1" applyFont="1" applyBorder="1"/>
    <xf numFmtId="0" fontId="10" fillId="0" borderId="18" xfId="6" applyBorder="1"/>
    <xf numFmtId="168" fontId="10" fillId="0" borderId="18" xfId="6" applyNumberFormat="1" applyBorder="1"/>
    <xf numFmtId="0" fontId="12" fillId="0" borderId="18" xfId="0" applyFont="1" applyBorder="1"/>
    <xf numFmtId="0" fontId="0" fillId="3" borderId="18" xfId="0" applyFill="1" applyBorder="1"/>
    <xf numFmtId="0" fontId="0" fillId="3" borderId="18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8" fontId="12" fillId="0" borderId="0" xfId="6" applyNumberFormat="1" applyFont="1" applyBorder="1"/>
    <xf numFmtId="169" fontId="12" fillId="0" borderId="0" xfId="6" applyNumberFormat="1" applyFont="1" applyBorder="1"/>
    <xf numFmtId="0" fontId="10" fillId="0" borderId="0" xfId="6" applyBorder="1"/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7" fontId="4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</cellXfs>
  <cellStyles count="10">
    <cellStyle name="Comma" xfId="1" builtinId="3"/>
    <cellStyle name="Comma [0] 2" xfId="5"/>
    <cellStyle name="Comma 10" xfId="2"/>
    <cellStyle name="Comma 2" xfId="3"/>
    <cellStyle name="Comma 2 3" xfId="8"/>
    <cellStyle name="Comma 3" xfId="7"/>
    <cellStyle name="Hyperlink 2" xfId="4"/>
    <cellStyle name="Normal" xfId="0" builtinId="0"/>
    <cellStyle name="Normal 2" xfId="6"/>
    <cellStyle name="Normal 2 3" xfId="9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BI1" workbookViewId="0">
      <selection activeCell="BM5" sqref="BM5"/>
    </sheetView>
  </sheetViews>
  <sheetFormatPr defaultRowHeight="15" x14ac:dyDescent="0.25"/>
  <cols>
    <col min="1" max="1" width="12.7109375" bestFit="1" customWidth="1"/>
    <col min="2" max="3" width="8.42578125" customWidth="1"/>
    <col min="4" max="66" width="25.7109375" customWidth="1"/>
  </cols>
  <sheetData>
    <row r="1" spans="1:67" s="49" customFormat="1" ht="113.25" customHeight="1" x14ac:dyDescent="0.25">
      <c r="A1" s="44" t="s">
        <v>0</v>
      </c>
      <c r="B1" s="59" t="s">
        <v>1</v>
      </c>
      <c r="C1" s="59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  <c r="AA1" s="47" t="s">
        <v>26</v>
      </c>
      <c r="AB1" s="47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37</v>
      </c>
      <c r="AM1" s="47" t="s">
        <v>38</v>
      </c>
      <c r="AN1" s="47" t="s">
        <v>39</v>
      </c>
      <c r="AO1" s="47" t="s">
        <v>40</v>
      </c>
      <c r="AP1" s="47" t="s">
        <v>41</v>
      </c>
      <c r="AQ1" s="47" t="s">
        <v>42</v>
      </c>
      <c r="AR1" s="47" t="s">
        <v>43</v>
      </c>
      <c r="AS1" s="47" t="s">
        <v>44</v>
      </c>
      <c r="AT1" s="47" t="s">
        <v>45</v>
      </c>
      <c r="AU1" s="47" t="s">
        <v>46</v>
      </c>
      <c r="AV1" s="47" t="s">
        <v>47</v>
      </c>
      <c r="AW1" s="47" t="s">
        <v>48</v>
      </c>
      <c r="AX1" s="47" t="s">
        <v>49</v>
      </c>
      <c r="AY1" s="47" t="s">
        <v>50</v>
      </c>
      <c r="AZ1" s="47" t="s">
        <v>51</v>
      </c>
      <c r="BA1" s="47" t="s">
        <v>52</v>
      </c>
      <c r="BB1" s="47" t="s">
        <v>53</v>
      </c>
      <c r="BC1" s="47" t="s">
        <v>54</v>
      </c>
      <c r="BD1" s="47" t="s">
        <v>55</v>
      </c>
      <c r="BE1" s="47" t="s">
        <v>56</v>
      </c>
      <c r="BF1" s="47" t="s">
        <v>57</v>
      </c>
      <c r="BG1" s="47" t="s">
        <v>58</v>
      </c>
      <c r="BH1" s="47" t="s">
        <v>59</v>
      </c>
      <c r="BI1" s="47" t="s">
        <v>60</v>
      </c>
      <c r="BJ1" s="47" t="s">
        <v>61</v>
      </c>
      <c r="BK1" s="47" t="s">
        <v>62</v>
      </c>
      <c r="BL1" s="47" t="s">
        <v>63</v>
      </c>
      <c r="BM1" s="47" t="s">
        <v>64</v>
      </c>
      <c r="BN1" s="48" t="s">
        <v>65</v>
      </c>
      <c r="BO1" s="47" t="s">
        <v>66</v>
      </c>
    </row>
    <row r="2" spans="1:67" x14ac:dyDescent="0.25">
      <c r="A2" t="s">
        <v>83</v>
      </c>
      <c r="B2" s="60">
        <v>1</v>
      </c>
      <c r="C2" s="60">
        <v>2022</v>
      </c>
      <c r="D2" s="13">
        <v>69</v>
      </c>
      <c r="E2" s="13">
        <v>0</v>
      </c>
      <c r="F2" s="13">
        <v>47.2</v>
      </c>
      <c r="G2" s="13">
        <v>0</v>
      </c>
      <c r="H2" s="13">
        <v>95.59999999999998</v>
      </c>
      <c r="I2" s="13">
        <v>0</v>
      </c>
      <c r="J2" s="13">
        <v>69</v>
      </c>
      <c r="K2" s="13">
        <v>0</v>
      </c>
      <c r="L2" s="13">
        <v>16</v>
      </c>
      <c r="M2" s="13">
        <v>0</v>
      </c>
      <c r="N2" s="13">
        <v>53.800000000000004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10501</v>
      </c>
      <c r="W2" s="13">
        <v>8800000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124.49999999999997</v>
      </c>
      <c r="AW2" s="13">
        <v>0</v>
      </c>
      <c r="AX2" s="13">
        <v>38.9</v>
      </c>
      <c r="AY2" s="13">
        <v>0</v>
      </c>
      <c r="AZ2" s="13">
        <v>0</v>
      </c>
      <c r="BA2" s="13">
        <v>0</v>
      </c>
      <c r="BB2" s="13">
        <v>7365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</v>
      </c>
      <c r="BM2" s="13">
        <v>0</v>
      </c>
      <c r="BN2" s="13">
        <v>24.6</v>
      </c>
      <c r="BO2" s="13">
        <v>0</v>
      </c>
    </row>
    <row r="3" spans="1:67" x14ac:dyDescent="0.25">
      <c r="A3" t="s">
        <v>83</v>
      </c>
      <c r="B3" s="60">
        <v>2</v>
      </c>
      <c r="C3" s="60">
        <v>2022</v>
      </c>
      <c r="D3" s="13">
        <v>412</v>
      </c>
      <c r="E3" s="13">
        <v>0</v>
      </c>
      <c r="F3" s="13">
        <v>49.70000000000001</v>
      </c>
      <c r="G3" s="13">
        <v>0</v>
      </c>
      <c r="H3" s="13">
        <v>156.69999999999996</v>
      </c>
      <c r="I3" s="13">
        <v>0</v>
      </c>
      <c r="J3" s="13">
        <v>67</v>
      </c>
      <c r="K3" s="13">
        <v>0</v>
      </c>
      <c r="L3" s="13">
        <v>13</v>
      </c>
      <c r="M3" s="13">
        <v>0</v>
      </c>
      <c r="N3" s="13">
        <v>54.400000000000006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7101</v>
      </c>
      <c r="W3" s="13">
        <v>8800000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107</v>
      </c>
      <c r="AW3" s="13">
        <v>0</v>
      </c>
      <c r="AX3" s="13">
        <v>32.700000000000003</v>
      </c>
      <c r="AY3" s="13">
        <v>0</v>
      </c>
      <c r="AZ3" s="13">
        <v>0</v>
      </c>
      <c r="BA3" s="13">
        <v>0</v>
      </c>
      <c r="BB3" s="13">
        <v>6555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</row>
    <row r="4" spans="1:67" x14ac:dyDescent="0.25">
      <c r="A4" t="s">
        <v>83</v>
      </c>
      <c r="B4" s="60">
        <v>3</v>
      </c>
      <c r="C4" s="60">
        <v>2022</v>
      </c>
      <c r="D4" s="22">
        <v>95</v>
      </c>
      <c r="E4" s="55">
        <v>0</v>
      </c>
      <c r="F4" s="56">
        <v>63.7</v>
      </c>
      <c r="G4" s="55">
        <v>0</v>
      </c>
      <c r="H4" s="22">
        <v>179.29999999999998</v>
      </c>
      <c r="I4" s="55">
        <v>0</v>
      </c>
      <c r="J4" s="22">
        <v>95</v>
      </c>
      <c r="K4" s="55">
        <v>0</v>
      </c>
      <c r="L4" s="55">
        <v>16</v>
      </c>
      <c r="M4" s="55">
        <v>0</v>
      </c>
      <c r="N4" s="56">
        <v>79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13">
        <v>9628.3333333333321</v>
      </c>
      <c r="W4" s="55">
        <v>8800000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0</v>
      </c>
      <c r="AH4" s="55">
        <v>0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  <c r="AS4" s="55">
        <v>0</v>
      </c>
      <c r="AT4" s="55">
        <v>0</v>
      </c>
      <c r="AU4" s="55">
        <v>0</v>
      </c>
      <c r="AV4" s="55">
        <v>115.6</v>
      </c>
      <c r="AW4" s="55">
        <v>0</v>
      </c>
      <c r="AX4" s="55">
        <v>47.7</v>
      </c>
      <c r="AY4" s="55">
        <v>0</v>
      </c>
      <c r="AZ4" s="55">
        <v>0</v>
      </c>
      <c r="BA4" s="55">
        <v>0</v>
      </c>
      <c r="BB4" s="57">
        <v>8540</v>
      </c>
      <c r="BC4" s="55">
        <v>0</v>
      </c>
      <c r="BD4" s="55">
        <v>0</v>
      </c>
      <c r="BE4" s="55">
        <v>0</v>
      </c>
      <c r="BF4" s="55">
        <v>0</v>
      </c>
      <c r="BG4" s="55">
        <v>0</v>
      </c>
      <c r="BH4" s="55">
        <v>0</v>
      </c>
      <c r="BI4" s="55">
        <v>0</v>
      </c>
      <c r="BJ4" s="55">
        <v>0</v>
      </c>
      <c r="BK4" s="13">
        <v>0</v>
      </c>
      <c r="BL4" s="13">
        <v>0</v>
      </c>
      <c r="BM4" s="55">
        <v>0</v>
      </c>
      <c r="BN4" s="55">
        <v>24.6</v>
      </c>
      <c r="BO4" s="55">
        <v>0</v>
      </c>
    </row>
    <row r="5" spans="1:67" x14ac:dyDescent="0.25">
      <c r="A5" t="s">
        <v>83</v>
      </c>
      <c r="B5" s="60">
        <v>4</v>
      </c>
      <c r="C5" s="60">
        <v>2022</v>
      </c>
      <c r="D5" s="55">
        <v>135.69999999999999</v>
      </c>
      <c r="E5" s="55">
        <v>0</v>
      </c>
      <c r="F5" s="55">
        <v>144.1</v>
      </c>
      <c r="G5" s="22">
        <v>0</v>
      </c>
      <c r="H5" s="55">
        <v>69.000000000000014</v>
      </c>
      <c r="I5" s="22">
        <v>0</v>
      </c>
      <c r="J5" s="55">
        <v>135.69999999999999</v>
      </c>
      <c r="K5" s="55">
        <v>0</v>
      </c>
      <c r="L5" s="55">
        <v>0</v>
      </c>
      <c r="M5" s="56">
        <v>0</v>
      </c>
      <c r="N5" s="55">
        <v>89.7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13">
        <v>0</v>
      </c>
      <c r="V5" s="22">
        <v>3688.5</v>
      </c>
      <c r="W5" s="55">
        <v>8800000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  <c r="AS5" s="55">
        <v>0</v>
      </c>
      <c r="AT5" s="55">
        <v>0</v>
      </c>
      <c r="AU5" s="55">
        <v>0</v>
      </c>
      <c r="AV5" s="55">
        <v>0</v>
      </c>
      <c r="AW5" s="55">
        <v>0</v>
      </c>
      <c r="AX5" s="55">
        <v>0</v>
      </c>
      <c r="AY5" s="55">
        <v>0</v>
      </c>
      <c r="AZ5" s="55">
        <v>0</v>
      </c>
      <c r="BA5" s="57">
        <v>0</v>
      </c>
      <c r="BB5" s="55">
        <v>19488.3</v>
      </c>
      <c r="BC5" s="55">
        <v>0</v>
      </c>
      <c r="BD5" s="55">
        <v>0</v>
      </c>
      <c r="BE5" s="55">
        <v>0</v>
      </c>
      <c r="BF5" s="55">
        <v>0</v>
      </c>
      <c r="BG5" s="55">
        <v>0</v>
      </c>
      <c r="BH5" s="55">
        <v>0</v>
      </c>
      <c r="BI5" s="55">
        <v>0</v>
      </c>
      <c r="BJ5" s="55">
        <v>0</v>
      </c>
      <c r="BK5" s="55">
        <v>0</v>
      </c>
      <c r="BL5" s="55">
        <v>0</v>
      </c>
      <c r="BM5" s="55">
        <v>0</v>
      </c>
      <c r="BN5" s="55">
        <v>0</v>
      </c>
      <c r="BO5">
        <v>0</v>
      </c>
    </row>
    <row r="6" spans="1:67" x14ac:dyDescent="0.25">
      <c r="A6" t="s">
        <v>83</v>
      </c>
      <c r="B6" s="60">
        <v>5</v>
      </c>
      <c r="C6" s="60">
        <v>2022</v>
      </c>
      <c r="D6" s="55"/>
      <c r="E6" s="58"/>
      <c r="F6" s="55"/>
      <c r="G6" s="22"/>
      <c r="H6" s="55"/>
      <c r="I6" s="22"/>
      <c r="J6" s="55"/>
      <c r="K6" s="55"/>
      <c r="L6" s="55"/>
      <c r="M6" s="58"/>
      <c r="N6" s="55"/>
      <c r="O6" s="55"/>
      <c r="P6" s="55"/>
      <c r="Q6" s="55"/>
      <c r="R6" s="55"/>
      <c r="S6" s="55"/>
      <c r="T6" s="55"/>
      <c r="U6" s="13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13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</row>
    <row r="7" spans="1:67" x14ac:dyDescent="0.25">
      <c r="A7" t="s">
        <v>83</v>
      </c>
      <c r="B7" s="60">
        <v>6</v>
      </c>
      <c r="C7" s="60">
        <v>2022</v>
      </c>
      <c r="D7" s="55"/>
      <c r="E7" s="58"/>
      <c r="F7" s="55"/>
      <c r="G7" s="22"/>
      <c r="H7" s="55"/>
      <c r="I7" s="22"/>
      <c r="J7" s="55"/>
      <c r="K7" s="55"/>
      <c r="L7" s="55"/>
      <c r="M7" s="58"/>
      <c r="N7" s="55"/>
      <c r="O7" s="55"/>
      <c r="P7" s="55"/>
      <c r="Q7" s="55"/>
      <c r="R7" s="55"/>
      <c r="S7" s="55"/>
      <c r="T7" s="55"/>
      <c r="U7" s="57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13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</row>
    <row r="8" spans="1:67" x14ac:dyDescent="0.25">
      <c r="A8" t="s">
        <v>83</v>
      </c>
      <c r="B8" s="60">
        <v>7</v>
      </c>
      <c r="C8" s="60">
        <v>2022</v>
      </c>
      <c r="D8" s="55"/>
      <c r="E8" s="58"/>
      <c r="F8" s="55"/>
      <c r="G8" s="22"/>
      <c r="H8" s="55"/>
      <c r="I8" s="22"/>
      <c r="J8" s="55"/>
      <c r="K8" s="55"/>
      <c r="L8" s="55"/>
      <c r="M8" s="58"/>
      <c r="N8" s="55"/>
      <c r="O8" s="55"/>
      <c r="P8" s="55"/>
      <c r="Q8" s="55"/>
      <c r="R8" s="55"/>
      <c r="S8" s="55"/>
      <c r="T8" s="55"/>
      <c r="U8" s="57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13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</row>
    <row r="9" spans="1:67" x14ac:dyDescent="0.25">
      <c r="A9" t="s">
        <v>83</v>
      </c>
      <c r="B9" s="60">
        <v>8</v>
      </c>
      <c r="C9" s="60">
        <v>2022</v>
      </c>
      <c r="D9" s="55"/>
      <c r="E9" s="58"/>
      <c r="F9" s="55"/>
      <c r="G9" s="22"/>
      <c r="H9" s="55"/>
      <c r="I9" s="22"/>
      <c r="J9" s="55"/>
      <c r="K9" s="55"/>
      <c r="L9" s="55"/>
      <c r="M9" s="58"/>
      <c r="N9" s="55"/>
      <c r="O9" s="55"/>
      <c r="P9" s="55"/>
      <c r="Q9" s="55"/>
      <c r="R9" s="55"/>
      <c r="S9" s="55"/>
      <c r="T9" s="55"/>
      <c r="U9" s="57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13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</row>
    <row r="10" spans="1:67" x14ac:dyDescent="0.25">
      <c r="A10" t="s">
        <v>83</v>
      </c>
      <c r="B10" s="60">
        <v>9</v>
      </c>
      <c r="C10" s="60">
        <v>2022</v>
      </c>
      <c r="D10" s="55"/>
      <c r="E10" s="58"/>
      <c r="F10" s="55"/>
      <c r="G10" s="22"/>
      <c r="H10" s="55"/>
      <c r="I10" s="22"/>
      <c r="J10" s="55"/>
      <c r="K10" s="55"/>
      <c r="L10" s="55"/>
      <c r="M10" s="58"/>
      <c r="N10" s="55"/>
      <c r="O10" s="55"/>
      <c r="P10" s="55"/>
      <c r="Q10" s="55"/>
      <c r="R10" s="55"/>
      <c r="S10" s="55"/>
      <c r="T10" s="55"/>
      <c r="U10" s="57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13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</row>
    <row r="11" spans="1:67" x14ac:dyDescent="0.25">
      <c r="A11" t="s">
        <v>83</v>
      </c>
      <c r="B11" s="60">
        <v>10</v>
      </c>
      <c r="C11" s="60">
        <v>2022</v>
      </c>
      <c r="D11" s="55"/>
      <c r="E11" s="58"/>
      <c r="F11" s="55"/>
      <c r="G11" s="22"/>
      <c r="H11" s="55"/>
      <c r="I11" s="22"/>
      <c r="J11" s="55"/>
      <c r="K11" s="55"/>
      <c r="L11" s="55"/>
      <c r="M11" s="58"/>
      <c r="N11" s="55"/>
      <c r="O11" s="55"/>
      <c r="P11" s="55"/>
      <c r="Q11" s="55"/>
      <c r="R11" s="55"/>
      <c r="S11" s="55"/>
      <c r="T11" s="55"/>
      <c r="U11" s="57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13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</row>
    <row r="12" spans="1:67" x14ac:dyDescent="0.25">
      <c r="A12" t="s">
        <v>83</v>
      </c>
      <c r="B12" s="60">
        <v>11</v>
      </c>
      <c r="C12" s="60">
        <v>2022</v>
      </c>
      <c r="D12" s="55"/>
      <c r="E12" s="58"/>
      <c r="F12" s="55"/>
      <c r="G12" s="22"/>
      <c r="H12" s="55"/>
      <c r="I12" s="22"/>
      <c r="J12" s="55"/>
      <c r="K12" s="55"/>
      <c r="L12" s="55"/>
      <c r="M12" s="58"/>
      <c r="N12" s="55"/>
      <c r="O12" s="55"/>
      <c r="P12" s="55"/>
      <c r="Q12" s="55"/>
      <c r="R12" s="55"/>
      <c r="S12" s="55"/>
      <c r="T12" s="55"/>
      <c r="U12" s="57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13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</row>
    <row r="13" spans="1:67" x14ac:dyDescent="0.25">
      <c r="A13" t="s">
        <v>83</v>
      </c>
      <c r="B13" s="60">
        <v>12</v>
      </c>
      <c r="C13" s="60">
        <v>2022</v>
      </c>
      <c r="D13" s="55"/>
      <c r="E13" s="58"/>
      <c r="F13" s="55"/>
      <c r="G13" s="22"/>
      <c r="H13" s="55"/>
      <c r="I13" s="22"/>
      <c r="J13" s="55"/>
      <c r="K13" s="55"/>
      <c r="L13" s="55"/>
      <c r="M13" s="58"/>
      <c r="N13" s="55"/>
      <c r="O13" s="55"/>
      <c r="P13" s="55"/>
      <c r="Q13" s="55"/>
      <c r="R13" s="55"/>
      <c r="S13" s="55"/>
      <c r="T13" s="55"/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13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topLeftCell="BG19" workbookViewId="0">
      <selection activeCell="E32" sqref="E32:BP32"/>
    </sheetView>
  </sheetViews>
  <sheetFormatPr defaultColWidth="11.5703125" defaultRowHeight="15" x14ac:dyDescent="0.25"/>
  <cols>
    <col min="1" max="1" width="18.42578125" customWidth="1"/>
    <col min="2" max="2" width="8.28515625" style="53" customWidth="1"/>
    <col min="3" max="3" width="7.5703125" style="54" customWidth="1"/>
    <col min="4" max="4" width="13.42578125" style="5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9" customFormat="1" ht="113.25" customHeight="1" x14ac:dyDescent="0.25">
      <c r="A1" s="44" t="s">
        <v>0</v>
      </c>
      <c r="B1" s="44" t="s">
        <v>68</v>
      </c>
      <c r="C1" s="45" t="s">
        <v>1</v>
      </c>
      <c r="D1" s="46" t="s">
        <v>2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69</v>
      </c>
      <c r="L1" s="47" t="s">
        <v>70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  <c r="T1" s="47" t="s">
        <v>18</v>
      </c>
      <c r="U1" s="47" t="s">
        <v>19</v>
      </c>
      <c r="V1" s="47" t="s">
        <v>20</v>
      </c>
      <c r="W1" s="47" t="s">
        <v>21</v>
      </c>
      <c r="X1" s="47" t="s">
        <v>22</v>
      </c>
      <c r="Y1" s="47" t="s">
        <v>23</v>
      </c>
      <c r="Z1" s="47" t="s">
        <v>24</v>
      </c>
      <c r="AA1" s="47" t="s">
        <v>25</v>
      </c>
      <c r="AB1" s="47" t="s">
        <v>26</v>
      </c>
      <c r="AC1" s="47" t="s">
        <v>27</v>
      </c>
      <c r="AD1" s="47" t="s">
        <v>28</v>
      </c>
      <c r="AE1" s="47" t="s">
        <v>29</v>
      </c>
      <c r="AF1" s="47" t="s">
        <v>30</v>
      </c>
      <c r="AG1" s="47" t="s">
        <v>31</v>
      </c>
      <c r="AH1" s="47" t="s">
        <v>32</v>
      </c>
      <c r="AI1" s="47" t="s">
        <v>33</v>
      </c>
      <c r="AJ1" s="47" t="s">
        <v>34</v>
      </c>
      <c r="AK1" s="47" t="s">
        <v>35</v>
      </c>
      <c r="AL1" s="47" t="s">
        <v>36</v>
      </c>
      <c r="AM1" s="47" t="s">
        <v>37</v>
      </c>
      <c r="AN1" s="47" t="s">
        <v>38</v>
      </c>
      <c r="AO1" s="47" t="s">
        <v>39</v>
      </c>
      <c r="AP1" s="47" t="s">
        <v>40</v>
      </c>
      <c r="AQ1" s="47" t="s">
        <v>41</v>
      </c>
      <c r="AR1" s="47" t="s">
        <v>42</v>
      </c>
      <c r="AS1" s="47" t="s">
        <v>43</v>
      </c>
      <c r="AT1" s="47" t="s">
        <v>44</v>
      </c>
      <c r="AU1" s="47" t="s">
        <v>45</v>
      </c>
      <c r="AV1" s="47" t="s">
        <v>46</v>
      </c>
      <c r="AW1" s="47" t="s">
        <v>47</v>
      </c>
      <c r="AX1" s="47" t="s">
        <v>48</v>
      </c>
      <c r="AY1" s="47" t="s">
        <v>49</v>
      </c>
      <c r="AZ1" s="47" t="s">
        <v>50</v>
      </c>
      <c r="BA1" s="47" t="s">
        <v>51</v>
      </c>
      <c r="BB1" s="47" t="s">
        <v>52</v>
      </c>
      <c r="BC1" s="47" t="s">
        <v>53</v>
      </c>
      <c r="BD1" s="47" t="s">
        <v>54</v>
      </c>
      <c r="BE1" s="47" t="s">
        <v>55</v>
      </c>
      <c r="BF1" s="47" t="s">
        <v>56</v>
      </c>
      <c r="BG1" s="47" t="s">
        <v>57</v>
      </c>
      <c r="BH1" s="47" t="s">
        <v>58</v>
      </c>
      <c r="BI1" s="47" t="s">
        <v>59</v>
      </c>
      <c r="BJ1" s="47" t="s">
        <v>60</v>
      </c>
      <c r="BK1" s="47" t="s">
        <v>61</v>
      </c>
      <c r="BL1" s="47" t="s">
        <v>62</v>
      </c>
      <c r="BM1" s="47" t="s">
        <v>63</v>
      </c>
      <c r="BN1" s="47" t="s">
        <v>64</v>
      </c>
      <c r="BO1" s="48" t="s">
        <v>65</v>
      </c>
      <c r="BP1" s="47" t="s">
        <v>66</v>
      </c>
    </row>
    <row r="2" spans="1:68" x14ac:dyDescent="0.25">
      <c r="A2" s="40" t="s">
        <v>67</v>
      </c>
      <c r="B2" s="50">
        <v>1</v>
      </c>
      <c r="C2" s="51">
        <v>4</v>
      </c>
      <c r="D2" s="52">
        <v>2022</v>
      </c>
      <c r="E2" s="27">
        <f>'FS Sayan April 2022'!E12</f>
        <v>6</v>
      </c>
      <c r="F2" s="47">
        <v>0</v>
      </c>
      <c r="G2" s="41">
        <f>'FS Sayan April 2022'!G12</f>
        <v>7.6</v>
      </c>
      <c r="H2" s="47">
        <v>0</v>
      </c>
      <c r="I2" s="27">
        <f>'FS Sayan April 2022'!I12</f>
        <v>3.7</v>
      </c>
      <c r="J2" s="47">
        <v>0</v>
      </c>
      <c r="K2" s="27">
        <f>'FS Sayan April 2022'!E12</f>
        <v>6</v>
      </c>
      <c r="L2" s="47">
        <v>0</v>
      </c>
      <c r="M2" s="47">
        <v>0</v>
      </c>
      <c r="N2" s="47">
        <v>0</v>
      </c>
      <c r="O2" s="41">
        <f>'FS Sayan April 2022'!U12</f>
        <v>4.0999999999999996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2">
        <f>'FS Sayan April 2022'!Y12</f>
        <v>210.39999999999998</v>
      </c>
      <c r="X2" s="27">
        <f>'FS Sayan April 2022'!Z12</f>
        <v>8800000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  <c r="AG2" s="47">
        <v>0</v>
      </c>
      <c r="AH2" s="47">
        <v>0</v>
      </c>
      <c r="AI2" s="47">
        <v>0</v>
      </c>
      <c r="AJ2" s="47">
        <v>0</v>
      </c>
      <c r="AK2" s="47">
        <v>0</v>
      </c>
      <c r="AL2" s="47">
        <v>0</v>
      </c>
      <c r="AM2" s="47">
        <v>0</v>
      </c>
      <c r="AN2" s="47">
        <v>0</v>
      </c>
      <c r="AO2" s="47">
        <v>0</v>
      </c>
      <c r="AP2" s="47">
        <v>0</v>
      </c>
      <c r="AQ2" s="47">
        <v>0</v>
      </c>
      <c r="AR2" s="47">
        <v>0</v>
      </c>
      <c r="AS2" s="47">
        <v>0</v>
      </c>
      <c r="AT2" s="47">
        <v>0</v>
      </c>
      <c r="AU2" s="47">
        <v>0</v>
      </c>
      <c r="AV2" s="47">
        <v>0</v>
      </c>
      <c r="AW2" s="47">
        <v>0</v>
      </c>
      <c r="AX2" s="47">
        <v>0</v>
      </c>
      <c r="AY2" s="47">
        <v>0</v>
      </c>
      <c r="AZ2" s="47">
        <v>0</v>
      </c>
      <c r="BA2" s="47">
        <v>0</v>
      </c>
      <c r="BB2" s="47">
        <v>0</v>
      </c>
      <c r="BC2" s="43">
        <f>'FS Sayan April 2022'!AI12</f>
        <v>1055</v>
      </c>
      <c r="BD2" s="47">
        <v>0</v>
      </c>
      <c r="BE2" s="47">
        <v>0</v>
      </c>
      <c r="BF2" s="47">
        <v>0</v>
      </c>
      <c r="BG2" s="47">
        <v>0</v>
      </c>
      <c r="BH2" s="47">
        <v>0</v>
      </c>
      <c r="BI2" s="47">
        <v>0</v>
      </c>
      <c r="BJ2" s="47">
        <v>0</v>
      </c>
      <c r="BK2" s="47">
        <v>0</v>
      </c>
      <c r="BL2" s="47">
        <v>0</v>
      </c>
      <c r="BM2" s="47">
        <v>0</v>
      </c>
      <c r="BN2" s="47">
        <v>0</v>
      </c>
      <c r="BO2" s="47">
        <v>0</v>
      </c>
      <c r="BP2" s="47">
        <v>0</v>
      </c>
    </row>
    <row r="3" spans="1:68" x14ac:dyDescent="0.25">
      <c r="A3" s="40" t="s">
        <v>67</v>
      </c>
      <c r="B3" s="50">
        <f>B2+1</f>
        <v>2</v>
      </c>
      <c r="C3" s="51">
        <v>4</v>
      </c>
      <c r="D3" s="52">
        <v>2022</v>
      </c>
      <c r="E3" s="27">
        <f>'FS Sayan April 2022'!E13</f>
        <v>0</v>
      </c>
      <c r="F3" s="47">
        <v>0</v>
      </c>
      <c r="G3" s="41">
        <f>'FS Sayan April 2022'!G13</f>
        <v>0</v>
      </c>
      <c r="H3" s="47">
        <v>0</v>
      </c>
      <c r="I3" s="27">
        <f>'FS Sayan April 2022'!I13</f>
        <v>0</v>
      </c>
      <c r="J3" s="47">
        <v>0</v>
      </c>
      <c r="K3" s="27">
        <f>'FS Sayan April 2022'!E13</f>
        <v>0</v>
      </c>
      <c r="L3" s="47">
        <v>0</v>
      </c>
      <c r="M3" s="47">
        <v>0</v>
      </c>
      <c r="N3" s="47">
        <v>0</v>
      </c>
      <c r="O3" s="41">
        <f>'FS Sayan April 2022'!U13</f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2">
        <f>'FS Sayan April 2022'!Y13</f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  <c r="AG3" s="47">
        <v>0</v>
      </c>
      <c r="AH3" s="47">
        <v>0</v>
      </c>
      <c r="AI3" s="47">
        <v>0</v>
      </c>
      <c r="AJ3" s="47">
        <v>0</v>
      </c>
      <c r="AK3" s="47">
        <v>0</v>
      </c>
      <c r="AL3" s="47">
        <v>0</v>
      </c>
      <c r="AM3" s="47">
        <v>0</v>
      </c>
      <c r="AN3" s="47">
        <v>0</v>
      </c>
      <c r="AO3" s="47">
        <v>0</v>
      </c>
      <c r="AP3" s="47">
        <v>0</v>
      </c>
      <c r="AQ3" s="47">
        <v>0</v>
      </c>
      <c r="AR3" s="47">
        <v>0</v>
      </c>
      <c r="AS3" s="47">
        <v>0</v>
      </c>
      <c r="AT3" s="47">
        <v>0</v>
      </c>
      <c r="AU3" s="47">
        <v>0</v>
      </c>
      <c r="AV3" s="47">
        <v>0</v>
      </c>
      <c r="AW3" s="47">
        <v>0</v>
      </c>
      <c r="AX3" s="47">
        <v>0</v>
      </c>
      <c r="AY3" s="47">
        <v>0</v>
      </c>
      <c r="AZ3" s="47">
        <v>0</v>
      </c>
      <c r="BA3" s="47">
        <v>0</v>
      </c>
      <c r="BB3" s="47">
        <v>0</v>
      </c>
      <c r="BC3" s="43">
        <f>'FS Sayan April 2022'!AI13</f>
        <v>0</v>
      </c>
      <c r="BD3" s="47">
        <v>0</v>
      </c>
      <c r="BE3" s="47">
        <v>0</v>
      </c>
      <c r="BF3" s="47">
        <v>0</v>
      </c>
      <c r="BG3" s="47">
        <v>0</v>
      </c>
      <c r="BH3" s="47">
        <v>0</v>
      </c>
      <c r="BI3" s="47">
        <v>0</v>
      </c>
      <c r="BJ3" s="47">
        <v>0</v>
      </c>
      <c r="BK3" s="47">
        <v>0</v>
      </c>
      <c r="BL3" s="47">
        <v>0</v>
      </c>
      <c r="BM3" s="47">
        <v>0</v>
      </c>
      <c r="BN3" s="47">
        <v>0</v>
      </c>
      <c r="BO3" s="47">
        <v>0</v>
      </c>
      <c r="BP3" s="47">
        <v>0</v>
      </c>
    </row>
    <row r="4" spans="1:68" x14ac:dyDescent="0.25">
      <c r="A4" s="40" t="s">
        <v>67</v>
      </c>
      <c r="B4" s="50">
        <f t="shared" ref="B4:B31" si="0">B3+1</f>
        <v>3</v>
      </c>
      <c r="C4" s="51">
        <v>4</v>
      </c>
      <c r="D4" s="52">
        <v>2022</v>
      </c>
      <c r="E4" s="27">
        <f>'FS Sayan April 2022'!E14</f>
        <v>7</v>
      </c>
      <c r="F4" s="47">
        <v>0</v>
      </c>
      <c r="G4" s="41">
        <f>'FS Sayan April 2022'!G14</f>
        <v>9.6999999999999993</v>
      </c>
      <c r="H4" s="47">
        <v>0</v>
      </c>
      <c r="I4" s="27">
        <f>'FS Sayan April 2022'!I14</f>
        <v>4.4000000000000004</v>
      </c>
      <c r="J4" s="47">
        <v>0</v>
      </c>
      <c r="K4" s="27">
        <f>'FS Sayan April 2022'!E14</f>
        <v>7</v>
      </c>
      <c r="L4" s="47">
        <v>0</v>
      </c>
      <c r="M4" s="47">
        <v>0</v>
      </c>
      <c r="N4" s="47">
        <v>0</v>
      </c>
      <c r="O4" s="41">
        <f>'FS Sayan April 2022'!U14</f>
        <v>6.2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2">
        <f>'FS Sayan April 2022'!Y14</f>
        <v>225.39999999999998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47">
        <v>0</v>
      </c>
      <c r="AI4" s="47">
        <v>0</v>
      </c>
      <c r="AJ4" s="47">
        <v>0</v>
      </c>
      <c r="AK4" s="47">
        <v>0</v>
      </c>
      <c r="AL4" s="47">
        <v>0</v>
      </c>
      <c r="AM4" s="47">
        <v>0</v>
      </c>
      <c r="AN4" s="47">
        <v>0</v>
      </c>
      <c r="AO4" s="47">
        <v>0</v>
      </c>
      <c r="AP4" s="47">
        <v>0</v>
      </c>
      <c r="AQ4" s="47">
        <v>0</v>
      </c>
      <c r="AR4" s="47">
        <v>0</v>
      </c>
      <c r="AS4" s="47">
        <v>0</v>
      </c>
      <c r="AT4" s="47">
        <v>0</v>
      </c>
      <c r="AU4" s="47">
        <v>0</v>
      </c>
      <c r="AV4" s="47">
        <v>0</v>
      </c>
      <c r="AW4" s="47">
        <v>0</v>
      </c>
      <c r="AX4" s="47">
        <v>0</v>
      </c>
      <c r="AY4" s="47">
        <v>0</v>
      </c>
      <c r="AZ4" s="47">
        <v>0</v>
      </c>
      <c r="BA4" s="47">
        <v>0</v>
      </c>
      <c r="BB4" s="47">
        <v>0</v>
      </c>
      <c r="BC4" s="43">
        <f>'FS Sayan April 2022'!AI14</f>
        <v>1406</v>
      </c>
      <c r="BD4" s="47">
        <v>0</v>
      </c>
      <c r="BE4" s="47">
        <v>0</v>
      </c>
      <c r="BF4" s="47">
        <v>0</v>
      </c>
      <c r="BG4" s="47">
        <v>0</v>
      </c>
      <c r="BH4" s="47">
        <v>0</v>
      </c>
      <c r="BI4" s="47">
        <v>0</v>
      </c>
      <c r="BJ4" s="47">
        <v>0</v>
      </c>
      <c r="BK4" s="47">
        <v>0</v>
      </c>
      <c r="BL4" s="47">
        <v>0</v>
      </c>
      <c r="BM4" s="47">
        <v>0</v>
      </c>
      <c r="BN4" s="47">
        <v>0</v>
      </c>
      <c r="BO4" s="47">
        <v>0</v>
      </c>
      <c r="BP4" s="47">
        <v>0</v>
      </c>
    </row>
    <row r="5" spans="1:68" x14ac:dyDescent="0.25">
      <c r="A5" s="40" t="s">
        <v>67</v>
      </c>
      <c r="B5" s="50">
        <f t="shared" si="0"/>
        <v>4</v>
      </c>
      <c r="C5" s="51">
        <v>4</v>
      </c>
      <c r="D5" s="52">
        <v>2022</v>
      </c>
      <c r="E5" s="27">
        <f>'FS Sayan April 2022'!E15</f>
        <v>0</v>
      </c>
      <c r="F5" s="47">
        <v>0</v>
      </c>
      <c r="G5" s="41">
        <f>'FS Sayan April 2022'!G15</f>
        <v>0</v>
      </c>
      <c r="H5" s="47">
        <v>0</v>
      </c>
      <c r="I5" s="27">
        <f>'FS Sayan April 2022'!I15</f>
        <v>0</v>
      </c>
      <c r="J5" s="47">
        <v>0</v>
      </c>
      <c r="K5" s="27">
        <f>'FS Sayan April 2022'!E15</f>
        <v>0</v>
      </c>
      <c r="L5" s="47">
        <v>0</v>
      </c>
      <c r="M5" s="47">
        <v>0</v>
      </c>
      <c r="N5" s="47">
        <v>0</v>
      </c>
      <c r="O5" s="41">
        <f>'FS Sayan April 2022'!U15</f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2">
        <f>'FS Sayan April 2022'!Y15</f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47">
        <v>0</v>
      </c>
      <c r="AI5" s="47">
        <v>0</v>
      </c>
      <c r="AJ5" s="47">
        <v>0</v>
      </c>
      <c r="AK5" s="47">
        <v>0</v>
      </c>
      <c r="AL5" s="47">
        <v>0</v>
      </c>
      <c r="AM5" s="47">
        <v>0</v>
      </c>
      <c r="AN5" s="47">
        <v>0</v>
      </c>
      <c r="AO5" s="47">
        <v>0</v>
      </c>
      <c r="AP5" s="47">
        <v>0</v>
      </c>
      <c r="AQ5" s="47">
        <v>0</v>
      </c>
      <c r="AR5" s="47">
        <v>0</v>
      </c>
      <c r="AS5" s="47">
        <v>0</v>
      </c>
      <c r="AT5" s="47">
        <v>0</v>
      </c>
      <c r="AU5" s="47">
        <v>0</v>
      </c>
      <c r="AV5" s="47">
        <v>0</v>
      </c>
      <c r="AW5" s="47">
        <v>0</v>
      </c>
      <c r="AX5" s="47">
        <v>0</v>
      </c>
      <c r="AY5" s="47">
        <v>0</v>
      </c>
      <c r="AZ5" s="47">
        <v>0</v>
      </c>
      <c r="BA5" s="47">
        <v>0</v>
      </c>
      <c r="BB5" s="47">
        <v>0</v>
      </c>
      <c r="BC5" s="43">
        <f>'FS Sayan April 2022'!AI15</f>
        <v>0</v>
      </c>
      <c r="BD5" s="47">
        <v>0</v>
      </c>
      <c r="BE5" s="47">
        <v>0</v>
      </c>
      <c r="BF5" s="47">
        <v>0</v>
      </c>
      <c r="BG5" s="47">
        <v>0</v>
      </c>
      <c r="BH5" s="47">
        <v>0</v>
      </c>
      <c r="BI5" s="47">
        <v>0</v>
      </c>
      <c r="BJ5" s="47">
        <v>0</v>
      </c>
      <c r="BK5" s="47">
        <v>0</v>
      </c>
      <c r="BL5" s="47">
        <v>0</v>
      </c>
      <c r="BM5" s="47">
        <v>0</v>
      </c>
      <c r="BN5" s="47">
        <v>0</v>
      </c>
      <c r="BO5" s="47">
        <v>0</v>
      </c>
      <c r="BP5" s="47">
        <v>0</v>
      </c>
    </row>
    <row r="6" spans="1:68" x14ac:dyDescent="0.25">
      <c r="A6" s="40" t="s">
        <v>67</v>
      </c>
      <c r="B6" s="50">
        <f t="shared" si="0"/>
        <v>5</v>
      </c>
      <c r="C6" s="51">
        <v>4</v>
      </c>
      <c r="D6" s="52">
        <v>2022</v>
      </c>
      <c r="E6" s="27">
        <f>'FS Sayan April 2022'!E16</f>
        <v>7</v>
      </c>
      <c r="F6" s="47">
        <v>0</v>
      </c>
      <c r="G6" s="41">
        <f>'FS Sayan April 2022'!G16</f>
        <v>11.5</v>
      </c>
      <c r="H6" s="47">
        <v>0</v>
      </c>
      <c r="I6" s="27">
        <f>'FS Sayan April 2022'!I16</f>
        <v>3.4</v>
      </c>
      <c r="J6" s="47">
        <v>0</v>
      </c>
      <c r="K6" s="27">
        <f>'FS Sayan April 2022'!E16</f>
        <v>7</v>
      </c>
      <c r="L6" s="47">
        <v>0</v>
      </c>
      <c r="M6" s="47">
        <v>0</v>
      </c>
      <c r="N6" s="47">
        <v>0</v>
      </c>
      <c r="O6" s="41">
        <f>'FS Sayan April 2022'!U16</f>
        <v>4.2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2">
        <f>'FS Sayan April 2022'!Y16</f>
        <v>211.5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47">
        <v>0</v>
      </c>
      <c r="AI6" s="47">
        <v>0</v>
      </c>
      <c r="AJ6" s="47">
        <v>0</v>
      </c>
      <c r="AK6" s="47">
        <v>0</v>
      </c>
      <c r="AL6" s="47">
        <v>0</v>
      </c>
      <c r="AM6" s="47">
        <v>0</v>
      </c>
      <c r="AN6" s="47">
        <v>0</v>
      </c>
      <c r="AO6" s="47">
        <v>0</v>
      </c>
      <c r="AP6" s="47">
        <v>0</v>
      </c>
      <c r="AQ6" s="47">
        <v>0</v>
      </c>
      <c r="AR6" s="47">
        <v>0</v>
      </c>
      <c r="AS6" s="47">
        <v>0</v>
      </c>
      <c r="AT6" s="47">
        <v>0</v>
      </c>
      <c r="AU6" s="47">
        <v>0</v>
      </c>
      <c r="AV6" s="47">
        <v>0</v>
      </c>
      <c r="AW6" s="47">
        <v>0</v>
      </c>
      <c r="AX6" s="47">
        <v>0</v>
      </c>
      <c r="AY6" s="47">
        <v>0</v>
      </c>
      <c r="AZ6" s="47">
        <v>0</v>
      </c>
      <c r="BA6" s="47">
        <v>0</v>
      </c>
      <c r="BB6" s="47">
        <v>0</v>
      </c>
      <c r="BC6" s="43">
        <f>'FS Sayan April 2022'!AI16</f>
        <v>1169</v>
      </c>
      <c r="BD6" s="47">
        <v>0</v>
      </c>
      <c r="BE6" s="47">
        <v>0</v>
      </c>
      <c r="BF6" s="47">
        <v>0</v>
      </c>
      <c r="BG6" s="47">
        <v>0</v>
      </c>
      <c r="BH6" s="47">
        <v>0</v>
      </c>
      <c r="BI6" s="47">
        <v>0</v>
      </c>
      <c r="BJ6" s="47">
        <v>0</v>
      </c>
      <c r="BK6" s="47">
        <v>0</v>
      </c>
      <c r="BL6" s="47">
        <v>0</v>
      </c>
      <c r="BM6" s="47">
        <v>0</v>
      </c>
      <c r="BN6" s="47">
        <v>0</v>
      </c>
      <c r="BO6" s="47">
        <v>0</v>
      </c>
      <c r="BP6" s="47">
        <v>0</v>
      </c>
    </row>
    <row r="7" spans="1:68" x14ac:dyDescent="0.25">
      <c r="A7" s="40" t="s">
        <v>67</v>
      </c>
      <c r="B7" s="50">
        <f t="shared" si="0"/>
        <v>6</v>
      </c>
      <c r="C7" s="51">
        <v>4</v>
      </c>
      <c r="D7" s="52">
        <v>2022</v>
      </c>
      <c r="E7" s="27">
        <f>'FS Sayan April 2022'!E17</f>
        <v>0</v>
      </c>
      <c r="F7" s="47">
        <v>0</v>
      </c>
      <c r="G7" s="41">
        <f>'FS Sayan April 2022'!G17</f>
        <v>0</v>
      </c>
      <c r="H7" s="47">
        <v>0</v>
      </c>
      <c r="I7" s="27">
        <f>'FS Sayan April 2022'!I17</f>
        <v>0</v>
      </c>
      <c r="J7" s="47">
        <v>0</v>
      </c>
      <c r="K7" s="27">
        <f>'FS Sayan April 2022'!E17</f>
        <v>0</v>
      </c>
      <c r="L7" s="47">
        <v>0</v>
      </c>
      <c r="M7" s="47">
        <v>0</v>
      </c>
      <c r="N7" s="47">
        <v>0</v>
      </c>
      <c r="O7" s="41">
        <f>'FS Sayan April 2022'!U17</f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2">
        <f>'FS Sayan April 2022'!Y17</f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47">
        <v>0</v>
      </c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47">
        <v>0</v>
      </c>
      <c r="AO7" s="47">
        <v>0</v>
      </c>
      <c r="AP7" s="47">
        <v>0</v>
      </c>
      <c r="AQ7" s="47">
        <v>0</v>
      </c>
      <c r="AR7" s="47">
        <v>0</v>
      </c>
      <c r="AS7" s="47">
        <v>0</v>
      </c>
      <c r="AT7" s="47">
        <v>0</v>
      </c>
      <c r="AU7" s="47">
        <v>0</v>
      </c>
      <c r="AV7" s="47">
        <v>0</v>
      </c>
      <c r="AW7" s="47">
        <v>0</v>
      </c>
      <c r="AX7" s="47">
        <v>0</v>
      </c>
      <c r="AY7" s="47">
        <v>0</v>
      </c>
      <c r="AZ7" s="47">
        <v>0</v>
      </c>
      <c r="BA7" s="47">
        <v>0</v>
      </c>
      <c r="BB7" s="47">
        <v>0</v>
      </c>
      <c r="BC7" s="43">
        <f>'FS Sayan April 2022'!AI17</f>
        <v>0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47">
        <v>0</v>
      </c>
      <c r="BL7" s="47">
        <v>0</v>
      </c>
      <c r="BM7" s="47">
        <v>0</v>
      </c>
      <c r="BN7" s="47">
        <v>0</v>
      </c>
      <c r="BO7" s="47">
        <v>0</v>
      </c>
      <c r="BP7" s="47">
        <v>0</v>
      </c>
    </row>
    <row r="8" spans="1:68" x14ac:dyDescent="0.25">
      <c r="A8" s="40" t="s">
        <v>67</v>
      </c>
      <c r="B8" s="50">
        <f t="shared" si="0"/>
        <v>7</v>
      </c>
      <c r="C8" s="51">
        <v>4</v>
      </c>
      <c r="D8" s="52">
        <v>2022</v>
      </c>
      <c r="E8" s="27">
        <f>'FS Sayan April 2022'!E18</f>
        <v>7</v>
      </c>
      <c r="F8" s="47">
        <v>0</v>
      </c>
      <c r="G8" s="41">
        <f>'FS Sayan April 2022'!G18</f>
        <v>10.6</v>
      </c>
      <c r="H8" s="47">
        <v>0</v>
      </c>
      <c r="I8" s="27">
        <f>'FS Sayan April 2022'!I18</f>
        <v>5.2</v>
      </c>
      <c r="J8" s="47">
        <v>0</v>
      </c>
      <c r="K8" s="27">
        <f>'FS Sayan April 2022'!E18</f>
        <v>7</v>
      </c>
      <c r="L8" s="47">
        <v>0</v>
      </c>
      <c r="M8" s="47">
        <v>0</v>
      </c>
      <c r="N8" s="47">
        <v>0</v>
      </c>
      <c r="O8" s="41">
        <f>'FS Sayan April 2022'!U18</f>
        <v>6.1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2">
        <f>'FS Sayan April 2022'!Y18</f>
        <v>202.4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47">
        <v>0</v>
      </c>
      <c r="AI8" s="47">
        <v>0</v>
      </c>
      <c r="AJ8" s="47">
        <v>0</v>
      </c>
      <c r="AK8" s="47">
        <v>0</v>
      </c>
      <c r="AL8" s="47">
        <v>0</v>
      </c>
      <c r="AM8" s="47">
        <v>0</v>
      </c>
      <c r="AN8" s="47">
        <v>0</v>
      </c>
      <c r="AO8" s="47">
        <v>0</v>
      </c>
      <c r="AP8" s="47">
        <v>0</v>
      </c>
      <c r="AQ8" s="47">
        <v>0</v>
      </c>
      <c r="AR8" s="47">
        <v>0</v>
      </c>
      <c r="AS8" s="47">
        <v>0</v>
      </c>
      <c r="AT8" s="47">
        <v>0</v>
      </c>
      <c r="AU8" s="47">
        <v>0</v>
      </c>
      <c r="AV8" s="47">
        <v>0</v>
      </c>
      <c r="AW8" s="47">
        <v>0</v>
      </c>
      <c r="AX8" s="47">
        <v>0</v>
      </c>
      <c r="AY8" s="47">
        <v>0</v>
      </c>
      <c r="AZ8" s="47">
        <v>0</v>
      </c>
      <c r="BA8" s="47">
        <v>0</v>
      </c>
      <c r="BB8" s="47">
        <v>0</v>
      </c>
      <c r="BC8" s="43">
        <f>'FS Sayan April 2022'!AI18</f>
        <v>1417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0</v>
      </c>
      <c r="BL8" s="47">
        <v>0</v>
      </c>
      <c r="BM8" s="47">
        <v>0</v>
      </c>
      <c r="BN8" s="47">
        <v>0</v>
      </c>
      <c r="BO8" s="47">
        <v>0</v>
      </c>
      <c r="BP8" s="47">
        <v>0</v>
      </c>
    </row>
    <row r="9" spans="1:68" x14ac:dyDescent="0.25">
      <c r="A9" s="40" t="s">
        <v>67</v>
      </c>
      <c r="B9" s="50">
        <f t="shared" si="0"/>
        <v>8</v>
      </c>
      <c r="C9" s="51">
        <v>4</v>
      </c>
      <c r="D9" s="52">
        <v>2022</v>
      </c>
      <c r="E9" s="27">
        <f>'FS Sayan April 2022'!E19</f>
        <v>0</v>
      </c>
      <c r="F9" s="47">
        <v>0</v>
      </c>
      <c r="G9" s="41">
        <f>'FS Sayan April 2022'!G19</f>
        <v>0</v>
      </c>
      <c r="H9" s="47">
        <v>0</v>
      </c>
      <c r="I9" s="27">
        <f>'FS Sayan April 2022'!I19</f>
        <v>0</v>
      </c>
      <c r="J9" s="47">
        <v>0</v>
      </c>
      <c r="K9" s="27">
        <f>'FS Sayan April 2022'!E19</f>
        <v>0</v>
      </c>
      <c r="L9" s="47">
        <v>0</v>
      </c>
      <c r="M9" s="47">
        <v>0</v>
      </c>
      <c r="N9" s="47">
        <v>0</v>
      </c>
      <c r="O9" s="41">
        <f>'FS Sayan April 2022'!U19</f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2">
        <f>'FS Sayan April 2022'!Y19</f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7">
        <v>0</v>
      </c>
      <c r="AX9" s="47">
        <v>0</v>
      </c>
      <c r="AY9" s="47">
        <v>0</v>
      </c>
      <c r="AZ9" s="47">
        <v>0</v>
      </c>
      <c r="BA9" s="47">
        <v>0</v>
      </c>
      <c r="BB9" s="47">
        <v>0</v>
      </c>
      <c r="BC9" s="43">
        <f>'FS Sayan April 2022'!AI19</f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7">
        <v>0</v>
      </c>
      <c r="BM9" s="47">
        <v>0</v>
      </c>
      <c r="BN9" s="47">
        <v>0</v>
      </c>
      <c r="BO9" s="47">
        <v>0</v>
      </c>
      <c r="BP9" s="47">
        <v>0</v>
      </c>
    </row>
    <row r="10" spans="1:68" x14ac:dyDescent="0.25">
      <c r="A10" s="40" t="s">
        <v>67</v>
      </c>
      <c r="B10" s="50">
        <f t="shared" si="0"/>
        <v>9</v>
      </c>
      <c r="C10" s="51">
        <v>4</v>
      </c>
      <c r="D10" s="52">
        <v>2022</v>
      </c>
      <c r="E10" s="27">
        <f>'FS Sayan April 2022'!E20</f>
        <v>9</v>
      </c>
      <c r="F10" s="47">
        <v>0</v>
      </c>
      <c r="G10" s="41">
        <f>'FS Sayan April 2022'!G20</f>
        <v>8.3000000000000007</v>
      </c>
      <c r="H10" s="47">
        <v>0</v>
      </c>
      <c r="I10" s="27">
        <f>'FS Sayan April 2022'!I20</f>
        <v>5.0999999999999996</v>
      </c>
      <c r="J10" s="47">
        <v>0</v>
      </c>
      <c r="K10" s="27">
        <f>'FS Sayan April 2022'!E20</f>
        <v>9</v>
      </c>
      <c r="L10" s="47">
        <v>0</v>
      </c>
      <c r="M10" s="47">
        <v>0</v>
      </c>
      <c r="N10" s="47">
        <v>0</v>
      </c>
      <c r="O10" s="41">
        <f>'FS Sayan April 2022'!U20</f>
        <v>7.2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2">
        <f>'FS Sayan April 2022'!Y20</f>
        <v>203.29999999999998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7">
        <v>0</v>
      </c>
      <c r="AI10" s="47">
        <v>0</v>
      </c>
      <c r="AJ10" s="47">
        <v>0</v>
      </c>
      <c r="AK10" s="47">
        <v>0</v>
      </c>
      <c r="AL10" s="47">
        <v>0</v>
      </c>
      <c r="AM10" s="47">
        <v>0</v>
      </c>
      <c r="AN10" s="47">
        <v>0</v>
      </c>
      <c r="AO10" s="47">
        <v>0</v>
      </c>
      <c r="AP10" s="47">
        <v>0</v>
      </c>
      <c r="AQ10" s="47">
        <v>0</v>
      </c>
      <c r="AR10" s="47">
        <v>0</v>
      </c>
      <c r="AS10" s="47">
        <v>0</v>
      </c>
      <c r="AT10" s="47">
        <v>0</v>
      </c>
      <c r="AU10" s="47">
        <v>0</v>
      </c>
      <c r="AV10" s="47">
        <v>0</v>
      </c>
      <c r="AW10" s="47">
        <v>0</v>
      </c>
      <c r="AX10" s="47">
        <v>0</v>
      </c>
      <c r="AY10" s="47">
        <v>0</v>
      </c>
      <c r="AZ10" s="47">
        <v>0</v>
      </c>
      <c r="BA10" s="47">
        <v>0</v>
      </c>
      <c r="BB10" s="47">
        <v>0</v>
      </c>
      <c r="BC10" s="43">
        <f>'FS Sayan April 2022'!AI20</f>
        <v>1356</v>
      </c>
      <c r="BD10" s="47">
        <v>0</v>
      </c>
      <c r="BE10" s="47">
        <v>0</v>
      </c>
      <c r="BF10" s="47">
        <v>0</v>
      </c>
      <c r="BG10" s="47">
        <v>0</v>
      </c>
      <c r="BH10" s="47">
        <v>0</v>
      </c>
      <c r="BI10" s="47">
        <v>0</v>
      </c>
      <c r="BJ10" s="47">
        <v>0</v>
      </c>
      <c r="BK10" s="47">
        <v>0</v>
      </c>
      <c r="BL10" s="47">
        <v>0</v>
      </c>
      <c r="BM10" s="47">
        <v>0</v>
      </c>
      <c r="BN10" s="47">
        <v>0</v>
      </c>
      <c r="BO10" s="47">
        <v>0</v>
      </c>
      <c r="BP10" s="47">
        <v>0</v>
      </c>
    </row>
    <row r="11" spans="1:68" x14ac:dyDescent="0.25">
      <c r="A11" s="40" t="s">
        <v>67</v>
      </c>
      <c r="B11" s="50">
        <f t="shared" si="0"/>
        <v>10</v>
      </c>
      <c r="C11" s="51">
        <v>4</v>
      </c>
      <c r="D11" s="52">
        <v>2022</v>
      </c>
      <c r="E11" s="27">
        <f>'FS Sayan April 2022'!E21</f>
        <v>0</v>
      </c>
      <c r="F11" s="47">
        <v>0</v>
      </c>
      <c r="G11" s="41">
        <f>'FS Sayan April 2022'!G21</f>
        <v>0</v>
      </c>
      <c r="H11" s="47">
        <v>0</v>
      </c>
      <c r="I11" s="27">
        <f>'FS Sayan April 2022'!I21</f>
        <v>0</v>
      </c>
      <c r="J11" s="47">
        <v>0</v>
      </c>
      <c r="K11" s="27">
        <f>'FS Sayan April 2022'!E21</f>
        <v>0</v>
      </c>
      <c r="L11" s="47">
        <v>0</v>
      </c>
      <c r="M11" s="47">
        <v>0</v>
      </c>
      <c r="N11" s="47">
        <v>0</v>
      </c>
      <c r="O11" s="41">
        <f>'FS Sayan April 2022'!U21</f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2">
        <f>'FS Sayan April 2022'!Y21</f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7">
        <v>0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3">
        <f>'FS Sayan April 2022'!AI21</f>
        <v>0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0</v>
      </c>
      <c r="BL11" s="47">
        <v>0</v>
      </c>
      <c r="BM11" s="47">
        <v>0</v>
      </c>
      <c r="BN11" s="47">
        <v>0</v>
      </c>
      <c r="BO11" s="47">
        <v>0</v>
      </c>
      <c r="BP11" s="47">
        <v>0</v>
      </c>
    </row>
    <row r="12" spans="1:68" x14ac:dyDescent="0.25">
      <c r="A12" s="40" t="s">
        <v>67</v>
      </c>
      <c r="B12" s="50">
        <f t="shared" si="0"/>
        <v>11</v>
      </c>
      <c r="C12" s="51">
        <v>4</v>
      </c>
      <c r="D12" s="52">
        <v>2022</v>
      </c>
      <c r="E12" s="27">
        <f>'FS Sayan April 2022'!E22</f>
        <v>5.5</v>
      </c>
      <c r="F12" s="47">
        <v>0</v>
      </c>
      <c r="G12" s="41">
        <f>'FS Sayan April 2022'!G22</f>
        <v>6.6</v>
      </c>
      <c r="H12" s="47">
        <v>0</v>
      </c>
      <c r="I12" s="27">
        <f>'FS Sayan April 2022'!I22</f>
        <v>3.1</v>
      </c>
      <c r="J12" s="47">
        <v>0</v>
      </c>
      <c r="K12" s="27">
        <f>'FS Sayan April 2022'!E22</f>
        <v>5.5</v>
      </c>
      <c r="L12" s="47">
        <v>0</v>
      </c>
      <c r="M12" s="47">
        <v>0</v>
      </c>
      <c r="N12" s="47">
        <v>0</v>
      </c>
      <c r="O12" s="41">
        <f>'FS Sayan April 2022'!U22</f>
        <v>4.2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2">
        <f>'FS Sayan April 2022'!Y22</f>
        <v>214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7">
        <v>0</v>
      </c>
      <c r="AI12" s="47">
        <v>0</v>
      </c>
      <c r="AJ12" s="47">
        <v>0</v>
      </c>
      <c r="AK12" s="47">
        <v>0</v>
      </c>
      <c r="AL12" s="47">
        <v>0</v>
      </c>
      <c r="AM12" s="47">
        <v>0</v>
      </c>
      <c r="AN12" s="47">
        <v>0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7">
        <v>0</v>
      </c>
      <c r="AX12" s="47">
        <v>0</v>
      </c>
      <c r="AY12" s="47">
        <v>0</v>
      </c>
      <c r="AZ12" s="47">
        <v>0</v>
      </c>
      <c r="BA12" s="47">
        <v>0</v>
      </c>
      <c r="BB12" s="47">
        <v>0</v>
      </c>
      <c r="BC12" s="43">
        <f>'FS Sayan April 2022'!AI22</f>
        <v>1349</v>
      </c>
      <c r="BD12" s="47">
        <v>0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47">
        <v>0</v>
      </c>
      <c r="BL12" s="47">
        <v>0</v>
      </c>
      <c r="BM12" s="47">
        <v>0</v>
      </c>
      <c r="BN12" s="47">
        <v>0</v>
      </c>
      <c r="BO12" s="47">
        <v>0</v>
      </c>
      <c r="BP12" s="47">
        <v>0</v>
      </c>
    </row>
    <row r="13" spans="1:68" x14ac:dyDescent="0.25">
      <c r="A13" s="40" t="s">
        <v>67</v>
      </c>
      <c r="B13" s="50">
        <f t="shared" si="0"/>
        <v>12</v>
      </c>
      <c r="C13" s="51">
        <v>4</v>
      </c>
      <c r="D13" s="52">
        <v>2022</v>
      </c>
      <c r="E13" s="27">
        <f>'FS Sayan April 2022'!E23</f>
        <v>0</v>
      </c>
      <c r="F13" s="47">
        <v>0</v>
      </c>
      <c r="G13" s="41">
        <f>'FS Sayan April 2022'!G23</f>
        <v>0</v>
      </c>
      <c r="H13" s="47">
        <v>0</v>
      </c>
      <c r="I13" s="27">
        <f>'FS Sayan April 2022'!I23</f>
        <v>0</v>
      </c>
      <c r="J13" s="47">
        <v>0</v>
      </c>
      <c r="K13" s="27">
        <f>'FS Sayan April 2022'!E23</f>
        <v>0</v>
      </c>
      <c r="L13" s="47">
        <v>0</v>
      </c>
      <c r="M13" s="47">
        <v>0</v>
      </c>
      <c r="N13" s="47">
        <v>0</v>
      </c>
      <c r="O13" s="41">
        <f>'FS Sayan April 2022'!U23</f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2">
        <f>'FS Sayan April 2022'!Y23</f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7">
        <v>0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3">
        <f>'FS Sayan April 2022'!AI23</f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  <c r="BN13" s="47">
        <v>0</v>
      </c>
      <c r="BO13" s="47">
        <v>0</v>
      </c>
      <c r="BP13" s="47">
        <v>0</v>
      </c>
    </row>
    <row r="14" spans="1:68" x14ac:dyDescent="0.25">
      <c r="A14" s="40" t="s">
        <v>67</v>
      </c>
      <c r="B14" s="50">
        <f t="shared" si="0"/>
        <v>13</v>
      </c>
      <c r="C14" s="51">
        <v>4</v>
      </c>
      <c r="D14" s="52">
        <v>2022</v>
      </c>
      <c r="E14" s="27">
        <f>'FS Sayan April 2022'!E24</f>
        <v>9</v>
      </c>
      <c r="F14" s="47">
        <v>0</v>
      </c>
      <c r="G14" s="41">
        <f>'FS Sayan April 2022'!G24</f>
        <v>8.6</v>
      </c>
      <c r="H14" s="47">
        <v>0</v>
      </c>
      <c r="I14" s="27">
        <f>'FS Sayan April 2022'!I24</f>
        <v>2.5</v>
      </c>
      <c r="J14" s="47">
        <v>0</v>
      </c>
      <c r="K14" s="27">
        <f>'FS Sayan April 2022'!E24</f>
        <v>9</v>
      </c>
      <c r="L14" s="47">
        <v>0</v>
      </c>
      <c r="M14" s="47">
        <v>0</v>
      </c>
      <c r="N14" s="47">
        <v>0</v>
      </c>
      <c r="O14" s="41">
        <f>'FS Sayan April 2022'!U24</f>
        <v>5.2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2">
        <f>'FS Sayan April 2022'!Y24</f>
        <v>220.9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3">
        <f>'FS Sayan April 2022'!AI24</f>
        <v>1352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</row>
    <row r="15" spans="1:68" x14ac:dyDescent="0.25">
      <c r="A15" s="40" t="s">
        <v>67</v>
      </c>
      <c r="B15" s="50">
        <f t="shared" si="0"/>
        <v>14</v>
      </c>
      <c r="C15" s="51">
        <v>4</v>
      </c>
      <c r="D15" s="52">
        <v>2022</v>
      </c>
      <c r="E15" s="27">
        <f>'FS Sayan April 2022'!E25</f>
        <v>0</v>
      </c>
      <c r="F15" s="47">
        <v>0</v>
      </c>
      <c r="G15" s="41">
        <f>'FS Sayan April 2022'!G25</f>
        <v>0</v>
      </c>
      <c r="H15" s="47">
        <v>0</v>
      </c>
      <c r="I15" s="27">
        <f>'FS Sayan April 2022'!I25</f>
        <v>0</v>
      </c>
      <c r="J15" s="47">
        <v>0</v>
      </c>
      <c r="K15" s="27">
        <f>'FS Sayan April 2022'!E25</f>
        <v>0</v>
      </c>
      <c r="L15" s="47">
        <v>0</v>
      </c>
      <c r="M15" s="47">
        <v>0</v>
      </c>
      <c r="N15" s="47">
        <v>0</v>
      </c>
      <c r="O15" s="41">
        <f>'FS Sayan April 2022'!U25</f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2">
        <f>'FS Sayan April 2022'!Y25</f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3">
        <f>'FS Sayan April 2022'!AI25</f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</row>
    <row r="16" spans="1:68" x14ac:dyDescent="0.25">
      <c r="A16" s="40" t="s">
        <v>67</v>
      </c>
      <c r="B16" s="50">
        <f t="shared" si="0"/>
        <v>15</v>
      </c>
      <c r="C16" s="51">
        <v>4</v>
      </c>
      <c r="D16" s="52">
        <v>2022</v>
      </c>
      <c r="E16" s="27">
        <f>'FS Sayan April 2022'!E26</f>
        <v>9.5</v>
      </c>
      <c r="F16" s="47">
        <v>0</v>
      </c>
      <c r="G16" s="41">
        <f>'FS Sayan April 2022'!G26</f>
        <v>7.8</v>
      </c>
      <c r="H16" s="47">
        <v>0</v>
      </c>
      <c r="I16" s="27">
        <f>'FS Sayan April 2022'!I26</f>
        <v>5.5</v>
      </c>
      <c r="J16" s="47">
        <v>0</v>
      </c>
      <c r="K16" s="27">
        <f>'FS Sayan April 2022'!E26</f>
        <v>9.5</v>
      </c>
      <c r="L16" s="47">
        <v>0</v>
      </c>
      <c r="M16" s="47">
        <v>0</v>
      </c>
      <c r="N16" s="47">
        <v>0</v>
      </c>
      <c r="O16" s="41">
        <f>'FS Sayan April 2022'!U26</f>
        <v>8.1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2">
        <f>'FS Sayan April 2022'!Y26</f>
        <v>235.5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3">
        <f>'FS Sayan April 2022'!AI26</f>
        <v>1173.5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</row>
    <row r="17" spans="1:68" x14ac:dyDescent="0.25">
      <c r="A17" s="40" t="s">
        <v>67</v>
      </c>
      <c r="B17" s="50">
        <f t="shared" si="0"/>
        <v>16</v>
      </c>
      <c r="C17" s="51">
        <v>4</v>
      </c>
      <c r="D17" s="52">
        <v>2022</v>
      </c>
      <c r="E17" s="27">
        <f>'FS Sayan April 2022'!E27</f>
        <v>0</v>
      </c>
      <c r="F17" s="47">
        <v>0</v>
      </c>
      <c r="G17" s="41">
        <f>'FS Sayan April 2022'!G27</f>
        <v>0</v>
      </c>
      <c r="H17" s="47">
        <v>0</v>
      </c>
      <c r="I17" s="27">
        <f>'FS Sayan April 2022'!I27</f>
        <v>0</v>
      </c>
      <c r="J17" s="47">
        <v>0</v>
      </c>
      <c r="K17" s="27">
        <f>'FS Sayan April 2022'!E27</f>
        <v>0</v>
      </c>
      <c r="L17" s="47">
        <v>0</v>
      </c>
      <c r="M17" s="47">
        <v>0</v>
      </c>
      <c r="N17" s="47">
        <v>0</v>
      </c>
      <c r="O17" s="41">
        <f>'FS Sayan April 2022'!U27</f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2">
        <f>'FS Sayan April 2022'!Y27</f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3">
        <f>'FS Sayan April 2022'!AI27</f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</row>
    <row r="18" spans="1:68" x14ac:dyDescent="0.25">
      <c r="A18" s="40" t="s">
        <v>67</v>
      </c>
      <c r="B18" s="50">
        <f t="shared" si="0"/>
        <v>17</v>
      </c>
      <c r="C18" s="51">
        <v>4</v>
      </c>
      <c r="D18" s="52">
        <v>2022</v>
      </c>
      <c r="E18" s="27">
        <f>'FS Sayan April 2022'!E28</f>
        <v>7</v>
      </c>
      <c r="F18" s="47">
        <v>0</v>
      </c>
      <c r="G18" s="41">
        <f>'FS Sayan April 2022'!G28</f>
        <v>9.3000000000000007</v>
      </c>
      <c r="H18" s="47">
        <v>0</v>
      </c>
      <c r="I18" s="27">
        <f>'FS Sayan April 2022'!I28</f>
        <v>3.5</v>
      </c>
      <c r="J18" s="47">
        <v>0</v>
      </c>
      <c r="K18" s="27">
        <f>'FS Sayan April 2022'!E28</f>
        <v>7</v>
      </c>
      <c r="L18" s="47">
        <v>0</v>
      </c>
      <c r="M18" s="47">
        <v>0</v>
      </c>
      <c r="N18" s="47">
        <v>0</v>
      </c>
      <c r="O18" s="41">
        <f>'FS Sayan April 2022'!U28</f>
        <v>6.2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2">
        <f>'FS Sayan April 2022'!Y28</f>
        <v>270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3">
        <f>'FS Sayan April 2022'!AI28</f>
        <v>1356.3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</row>
    <row r="19" spans="1:68" x14ac:dyDescent="0.25">
      <c r="A19" s="40" t="s">
        <v>67</v>
      </c>
      <c r="B19" s="50">
        <f t="shared" si="0"/>
        <v>18</v>
      </c>
      <c r="C19" s="51">
        <v>4</v>
      </c>
      <c r="D19" s="52">
        <v>2022</v>
      </c>
      <c r="E19" s="27">
        <f>'FS Sayan April 2022'!E29</f>
        <v>0</v>
      </c>
      <c r="F19" s="47">
        <v>0</v>
      </c>
      <c r="G19" s="41">
        <f>'FS Sayan April 2022'!G29</f>
        <v>0</v>
      </c>
      <c r="H19" s="47">
        <v>0</v>
      </c>
      <c r="I19" s="27">
        <f>'FS Sayan April 2022'!I29</f>
        <v>0</v>
      </c>
      <c r="J19" s="47">
        <v>0</v>
      </c>
      <c r="K19" s="27">
        <f>'FS Sayan April 2022'!E29</f>
        <v>0</v>
      </c>
      <c r="L19" s="47">
        <v>0</v>
      </c>
      <c r="M19" s="47">
        <v>0</v>
      </c>
      <c r="N19" s="47">
        <v>0</v>
      </c>
      <c r="O19" s="41">
        <f>'FS Sayan April 2022'!U29</f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2">
        <f>'FS Sayan April 2022'!Y29</f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3">
        <f>'FS Sayan April 2022'!AI29</f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</row>
    <row r="20" spans="1:68" x14ac:dyDescent="0.25">
      <c r="A20" s="40" t="s">
        <v>67</v>
      </c>
      <c r="B20" s="50">
        <f t="shared" si="0"/>
        <v>19</v>
      </c>
      <c r="C20" s="51">
        <v>4</v>
      </c>
      <c r="D20" s="52">
        <v>2022</v>
      </c>
      <c r="E20" s="27">
        <f>'FS Sayan April 2022'!E30</f>
        <v>10</v>
      </c>
      <c r="F20" s="47">
        <v>0</v>
      </c>
      <c r="G20" s="41">
        <f>'FS Sayan April 2022'!G30</f>
        <v>8.1999999999999993</v>
      </c>
      <c r="H20" s="47">
        <v>0</v>
      </c>
      <c r="I20" s="27">
        <f>'FS Sayan April 2022'!I30</f>
        <v>6.4</v>
      </c>
      <c r="J20" s="47">
        <v>0</v>
      </c>
      <c r="K20" s="27">
        <f>'FS Sayan April 2022'!E30</f>
        <v>10</v>
      </c>
      <c r="L20" s="47">
        <v>0</v>
      </c>
      <c r="M20" s="47">
        <v>0</v>
      </c>
      <c r="N20" s="47">
        <v>0</v>
      </c>
      <c r="O20" s="41">
        <f>'FS Sayan April 2022'!U30</f>
        <v>5.3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2">
        <f>'FS Sayan April 2022'!Y30</f>
        <v>237.1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3">
        <f>'FS Sayan April 2022'!AI30</f>
        <v>1368.5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</row>
    <row r="21" spans="1:68" x14ac:dyDescent="0.25">
      <c r="A21" s="40" t="s">
        <v>67</v>
      </c>
      <c r="B21" s="50">
        <f t="shared" si="0"/>
        <v>20</v>
      </c>
      <c r="C21" s="51">
        <v>4</v>
      </c>
      <c r="D21" s="52">
        <v>2022</v>
      </c>
      <c r="E21" s="27">
        <f>'FS Sayan April 2022'!E31</f>
        <v>0</v>
      </c>
      <c r="F21" s="47">
        <v>0</v>
      </c>
      <c r="G21" s="41">
        <f>'FS Sayan April 2022'!G31</f>
        <v>0</v>
      </c>
      <c r="H21" s="47">
        <v>0</v>
      </c>
      <c r="I21" s="27">
        <f>'FS Sayan April 2022'!I31</f>
        <v>0</v>
      </c>
      <c r="J21" s="47">
        <v>0</v>
      </c>
      <c r="K21" s="27">
        <f>'FS Sayan April 2022'!E31</f>
        <v>0</v>
      </c>
      <c r="L21" s="47">
        <v>0</v>
      </c>
      <c r="M21" s="47">
        <v>0</v>
      </c>
      <c r="N21" s="47">
        <v>0</v>
      </c>
      <c r="O21" s="41">
        <f>'FS Sayan April 2022'!U31</f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2">
        <f>'FS Sayan April 2022'!Y31</f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3">
        <f>'FS Sayan April 2022'!AI31</f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</row>
    <row r="22" spans="1:68" x14ac:dyDescent="0.25">
      <c r="A22" s="40" t="s">
        <v>67</v>
      </c>
      <c r="B22" s="50">
        <f t="shared" si="0"/>
        <v>21</v>
      </c>
      <c r="C22" s="51">
        <v>4</v>
      </c>
      <c r="D22" s="52">
        <v>2022</v>
      </c>
      <c r="E22" s="27">
        <f>'FS Sayan April 2022'!E32</f>
        <v>11</v>
      </c>
      <c r="F22" s="47">
        <v>0</v>
      </c>
      <c r="G22" s="41">
        <f>'FS Sayan April 2022'!G32</f>
        <v>11.5</v>
      </c>
      <c r="H22" s="47">
        <v>0</v>
      </c>
      <c r="I22" s="27">
        <f>'FS Sayan April 2022'!I32</f>
        <v>7.2</v>
      </c>
      <c r="J22" s="47">
        <v>0</v>
      </c>
      <c r="K22" s="27">
        <f>'FS Sayan April 2022'!E32</f>
        <v>11</v>
      </c>
      <c r="L22" s="47">
        <v>0</v>
      </c>
      <c r="M22" s="47">
        <v>0</v>
      </c>
      <c r="N22" s="47">
        <v>0</v>
      </c>
      <c r="O22" s="41">
        <f>'FS Sayan April 2022'!U32</f>
        <v>6.2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2">
        <f>'FS Sayan April 2022'!Y32</f>
        <v>214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3">
        <f>'FS Sayan April 2022'!AI32</f>
        <v>1498.5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</row>
    <row r="23" spans="1:68" x14ac:dyDescent="0.25">
      <c r="A23" s="40" t="s">
        <v>67</v>
      </c>
      <c r="B23" s="50">
        <f t="shared" si="0"/>
        <v>22</v>
      </c>
      <c r="C23" s="51">
        <v>4</v>
      </c>
      <c r="D23" s="52">
        <v>2022</v>
      </c>
      <c r="E23" s="27">
        <f>'FS Sayan April 2022'!E33</f>
        <v>0</v>
      </c>
      <c r="F23" s="47">
        <v>0</v>
      </c>
      <c r="G23" s="41">
        <f>'FS Sayan April 2022'!G33</f>
        <v>0</v>
      </c>
      <c r="H23" s="47">
        <v>0</v>
      </c>
      <c r="I23" s="27">
        <f>'FS Sayan April 2022'!I33</f>
        <v>0</v>
      </c>
      <c r="J23" s="47">
        <v>0</v>
      </c>
      <c r="K23" s="27">
        <f>'FS Sayan April 2022'!E33</f>
        <v>0</v>
      </c>
      <c r="L23" s="47">
        <v>0</v>
      </c>
      <c r="M23" s="47">
        <v>0</v>
      </c>
      <c r="N23" s="47">
        <v>0</v>
      </c>
      <c r="O23" s="41">
        <f>'FS Sayan April 2022'!U33</f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2">
        <f>'FS Sayan April 2022'!Y33</f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3">
        <f>'FS Sayan April 2022'!AI33</f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</row>
    <row r="24" spans="1:68" x14ac:dyDescent="0.25">
      <c r="A24" s="40" t="s">
        <v>67</v>
      </c>
      <c r="B24" s="50">
        <f t="shared" si="0"/>
        <v>23</v>
      </c>
      <c r="C24" s="51">
        <v>4</v>
      </c>
      <c r="D24" s="52">
        <v>2022</v>
      </c>
      <c r="E24" s="27">
        <f>'FS Sayan April 2022'!E34</f>
        <v>9</v>
      </c>
      <c r="F24" s="47">
        <v>0</v>
      </c>
      <c r="G24" s="41">
        <f>'FS Sayan April 2022'!G34</f>
        <v>9.8999999999999986</v>
      </c>
      <c r="H24" s="47">
        <v>0</v>
      </c>
      <c r="I24" s="27">
        <f>'FS Sayan April 2022'!I34</f>
        <v>3.4</v>
      </c>
      <c r="J24" s="47">
        <v>0</v>
      </c>
      <c r="K24" s="27">
        <f>'FS Sayan April 2022'!E34</f>
        <v>9</v>
      </c>
      <c r="L24" s="47">
        <v>0</v>
      </c>
      <c r="M24" s="47">
        <v>0</v>
      </c>
      <c r="N24" s="47">
        <v>0</v>
      </c>
      <c r="O24" s="41">
        <f>'FS Sayan April 2022'!U34</f>
        <v>6.7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2">
        <f>'FS Sayan April 2022'!Y34</f>
        <v>295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3">
        <f>'FS Sayan April 2022'!AI34</f>
        <v>1339.5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</row>
    <row r="25" spans="1:68" x14ac:dyDescent="0.25">
      <c r="A25" s="40" t="s">
        <v>67</v>
      </c>
      <c r="B25" s="50">
        <f t="shared" si="0"/>
        <v>24</v>
      </c>
      <c r="C25" s="51">
        <v>4</v>
      </c>
      <c r="D25" s="52">
        <v>2022</v>
      </c>
      <c r="E25" s="27">
        <f>'FS Sayan April 2022'!E35</f>
        <v>0</v>
      </c>
      <c r="F25" s="47">
        <v>0</v>
      </c>
      <c r="G25" s="41">
        <f>'FS Sayan April 2022'!G35</f>
        <v>0</v>
      </c>
      <c r="H25" s="47">
        <v>0</v>
      </c>
      <c r="I25" s="27">
        <f>'FS Sayan April 2022'!I35</f>
        <v>0</v>
      </c>
      <c r="J25" s="47">
        <v>0</v>
      </c>
      <c r="K25" s="27">
        <f>'FS Sayan April 2022'!E35</f>
        <v>0</v>
      </c>
      <c r="L25" s="47">
        <v>0</v>
      </c>
      <c r="M25" s="47">
        <v>0</v>
      </c>
      <c r="N25" s="47">
        <v>0</v>
      </c>
      <c r="O25" s="41">
        <f>'FS Sayan April 2022'!U35</f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2">
        <f>'FS Sayan April 2022'!Y35</f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3">
        <f>'FS Sayan April 2022'!AI35</f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</row>
    <row r="26" spans="1:68" x14ac:dyDescent="0.25">
      <c r="A26" s="40" t="s">
        <v>67</v>
      </c>
      <c r="B26" s="50">
        <f>B25+1</f>
        <v>25</v>
      </c>
      <c r="C26" s="51">
        <v>4</v>
      </c>
      <c r="D26" s="52">
        <v>2022</v>
      </c>
      <c r="E26" s="27">
        <f>'FS Sayan April 2022'!E36</f>
        <v>9</v>
      </c>
      <c r="F26" s="47">
        <v>0</v>
      </c>
      <c r="G26" s="41">
        <f>'FS Sayan April 2022'!G36</f>
        <v>9.3999999999999986</v>
      </c>
      <c r="H26" s="47">
        <v>0</v>
      </c>
      <c r="I26" s="27">
        <f>'FS Sayan April 2022'!I36</f>
        <v>4.2</v>
      </c>
      <c r="J26" s="47">
        <v>0</v>
      </c>
      <c r="K26" s="27">
        <f>'FS Sayan April 2022'!E36</f>
        <v>9</v>
      </c>
      <c r="L26" s="47">
        <v>0</v>
      </c>
      <c r="M26" s="47">
        <v>0</v>
      </c>
      <c r="N26" s="47">
        <v>0</v>
      </c>
      <c r="O26" s="41">
        <f>'FS Sayan April 2022'!U36</f>
        <v>5.2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2">
        <f>'FS Sayan April 2022'!Y36</f>
        <v>304.5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3">
        <f>'FS Sayan April 2022'!AI36</f>
        <v>1098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</row>
    <row r="27" spans="1:68" x14ac:dyDescent="0.25">
      <c r="A27" s="40" t="s">
        <v>67</v>
      </c>
      <c r="B27" s="50">
        <f t="shared" si="0"/>
        <v>26</v>
      </c>
      <c r="C27" s="51">
        <v>4</v>
      </c>
      <c r="D27" s="52">
        <v>2022</v>
      </c>
      <c r="E27" s="27">
        <f>'FS Sayan April 2022'!E37</f>
        <v>0</v>
      </c>
      <c r="F27" s="47">
        <v>0</v>
      </c>
      <c r="G27" s="41">
        <f>'FS Sayan April 2022'!G37</f>
        <v>0</v>
      </c>
      <c r="H27" s="47">
        <v>0</v>
      </c>
      <c r="I27" s="27">
        <f>'FS Sayan April 2022'!I37</f>
        <v>0</v>
      </c>
      <c r="J27" s="47">
        <v>0</v>
      </c>
      <c r="K27" s="27">
        <f>'FS Sayan April 2022'!E37</f>
        <v>0</v>
      </c>
      <c r="L27" s="47">
        <v>0</v>
      </c>
      <c r="M27" s="47">
        <v>0</v>
      </c>
      <c r="N27" s="47">
        <v>0</v>
      </c>
      <c r="O27" s="41">
        <f>'FS Sayan April 2022'!U37</f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2">
        <f>'FS Sayan April 2022'!Y37</f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3">
        <f>'FS Sayan April 2022'!AI37</f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</row>
    <row r="28" spans="1:68" x14ac:dyDescent="0.25">
      <c r="A28" s="40" t="s">
        <v>67</v>
      </c>
      <c r="B28" s="50">
        <f t="shared" si="0"/>
        <v>27</v>
      </c>
      <c r="C28" s="51">
        <v>4</v>
      </c>
      <c r="D28" s="52">
        <v>2022</v>
      </c>
      <c r="E28" s="27">
        <f>'FS Sayan April 2022'!E38</f>
        <v>13</v>
      </c>
      <c r="F28" s="47">
        <v>0</v>
      </c>
      <c r="G28" s="41">
        <f>'FS Sayan April 2022'!G38</f>
        <v>9.6999999999999993</v>
      </c>
      <c r="H28" s="47">
        <v>0</v>
      </c>
      <c r="I28" s="27">
        <f>'FS Sayan April 2022'!I38</f>
        <v>6.9</v>
      </c>
      <c r="J28" s="47">
        <v>0</v>
      </c>
      <c r="K28" s="27">
        <f>'FS Sayan April 2022'!E38</f>
        <v>13</v>
      </c>
      <c r="L28" s="47">
        <v>0</v>
      </c>
      <c r="M28" s="47">
        <v>0</v>
      </c>
      <c r="N28" s="47">
        <v>0</v>
      </c>
      <c r="O28" s="41">
        <f>'FS Sayan April 2022'!U38</f>
        <v>7.3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2">
        <f>'FS Sayan April 2022'!Y38</f>
        <v>316.39999999999998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3">
        <f>'FS Sayan April 2022'!AI38</f>
        <v>1220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</row>
    <row r="29" spans="1:68" x14ac:dyDescent="0.25">
      <c r="A29" s="40" t="s">
        <v>67</v>
      </c>
      <c r="B29" s="50">
        <f t="shared" si="0"/>
        <v>28</v>
      </c>
      <c r="C29" s="51">
        <v>4</v>
      </c>
      <c r="D29" s="52">
        <v>2022</v>
      </c>
      <c r="E29" s="27">
        <f>'FS Sayan April 2022'!E39</f>
        <v>0</v>
      </c>
      <c r="F29" s="47">
        <v>0</v>
      </c>
      <c r="G29" s="41">
        <f>'FS Sayan April 2022'!G39</f>
        <v>0</v>
      </c>
      <c r="H29" s="47">
        <v>0</v>
      </c>
      <c r="I29" s="27">
        <f>'FS Sayan April 2022'!I39</f>
        <v>0</v>
      </c>
      <c r="J29" s="47">
        <v>0</v>
      </c>
      <c r="K29" s="27">
        <f>'FS Sayan April 2022'!E39</f>
        <v>0</v>
      </c>
      <c r="L29" s="47">
        <v>0</v>
      </c>
      <c r="M29" s="47">
        <v>0</v>
      </c>
      <c r="N29" s="47">
        <v>0</v>
      </c>
      <c r="O29" s="41">
        <f>'FS Sayan April 2022'!U39</f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2">
        <f>'FS Sayan April 2022'!Y39</f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3">
        <f>'FS Sayan April 2022'!AI39</f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</row>
    <row r="30" spans="1:68" x14ac:dyDescent="0.25">
      <c r="A30" s="40" t="s">
        <v>67</v>
      </c>
      <c r="B30" s="50">
        <f t="shared" si="0"/>
        <v>29</v>
      </c>
      <c r="C30" s="51">
        <v>4</v>
      </c>
      <c r="D30" s="52">
        <v>2022</v>
      </c>
      <c r="E30" s="27">
        <f>'FS Sayan April 2022'!E40</f>
        <v>10</v>
      </c>
      <c r="F30" s="47">
        <v>0</v>
      </c>
      <c r="G30" s="41">
        <f>'FS Sayan April 2022'!G40</f>
        <v>12.3</v>
      </c>
      <c r="H30" s="47">
        <v>0</v>
      </c>
      <c r="I30" s="27">
        <f>'FS Sayan April 2022'!I40</f>
        <v>4.5</v>
      </c>
      <c r="J30" s="47">
        <v>0</v>
      </c>
      <c r="K30" s="27">
        <f>'FS Sayan April 2022'!E40</f>
        <v>10</v>
      </c>
      <c r="L30" s="47">
        <v>0</v>
      </c>
      <c r="M30" s="47">
        <v>0</v>
      </c>
      <c r="N30" s="47">
        <v>0</v>
      </c>
      <c r="O30" s="41">
        <f>'FS Sayan April 2022'!U40</f>
        <v>7.5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2">
        <f>'FS Sayan April 2022'!Y40</f>
        <v>328.1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3">
        <f>'FS Sayan April 2022'!AI40</f>
        <v>1330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</row>
    <row r="31" spans="1:68" x14ac:dyDescent="0.25">
      <c r="A31" s="40" t="s">
        <v>67</v>
      </c>
      <c r="B31" s="50">
        <f t="shared" si="0"/>
        <v>30</v>
      </c>
      <c r="C31" s="51">
        <v>4</v>
      </c>
      <c r="D31" s="52">
        <v>2022</v>
      </c>
      <c r="E31" s="27">
        <f>'FS Sayan April 2022'!E41</f>
        <v>6.7</v>
      </c>
      <c r="F31" s="47">
        <v>0</v>
      </c>
      <c r="G31" s="41">
        <f>'FS Sayan April 2022'!G41</f>
        <v>3.1</v>
      </c>
      <c r="H31" s="47">
        <v>0</v>
      </c>
      <c r="I31" s="27">
        <f>'FS Sayan April 2022'!I41</f>
        <v>0</v>
      </c>
      <c r="J31" s="47">
        <v>0</v>
      </c>
      <c r="K31" s="27">
        <f>'FS Sayan April 2022'!E41</f>
        <v>6.7</v>
      </c>
      <c r="L31" s="47">
        <v>0</v>
      </c>
      <c r="M31" s="47">
        <v>0</v>
      </c>
      <c r="N31" s="47">
        <v>0</v>
      </c>
      <c r="O31" s="41">
        <f>'FS Sayan April 2022'!U41</f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2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3">
        <f>'FS Sayan April 2022'!AI41</f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</row>
    <row r="32" spans="1:68" x14ac:dyDescent="0.25">
      <c r="E32" s="47">
        <f>SUM(E2:E31)</f>
        <v>135.69999999999999</v>
      </c>
      <c r="F32" s="47">
        <f t="shared" ref="F32:BP32" si="1">SUM(F2:F31)</f>
        <v>0</v>
      </c>
      <c r="G32" s="47">
        <f t="shared" si="1"/>
        <v>144.1</v>
      </c>
      <c r="H32" s="47">
        <f t="shared" si="1"/>
        <v>0</v>
      </c>
      <c r="I32" s="27">
        <f>SUM(I2:I31)</f>
        <v>69.000000000000014</v>
      </c>
      <c r="J32" s="47">
        <f t="shared" si="1"/>
        <v>0</v>
      </c>
      <c r="K32" s="47">
        <f t="shared" si="1"/>
        <v>135.69999999999999</v>
      </c>
      <c r="L32" s="47">
        <f t="shared" si="1"/>
        <v>0</v>
      </c>
      <c r="M32" s="47">
        <f t="shared" si="1"/>
        <v>0</v>
      </c>
      <c r="N32" s="47">
        <f t="shared" si="1"/>
        <v>0</v>
      </c>
      <c r="O32" s="47">
        <f t="shared" si="1"/>
        <v>89.7</v>
      </c>
      <c r="P32" s="47">
        <f t="shared" si="1"/>
        <v>0</v>
      </c>
      <c r="Q32" s="47">
        <f t="shared" si="1"/>
        <v>0</v>
      </c>
      <c r="R32" s="47">
        <f t="shared" si="1"/>
        <v>0</v>
      </c>
      <c r="S32" s="47">
        <f t="shared" si="1"/>
        <v>0</v>
      </c>
      <c r="T32" s="47">
        <f t="shared" si="1"/>
        <v>0</v>
      </c>
      <c r="U32" s="47">
        <f t="shared" si="1"/>
        <v>0</v>
      </c>
      <c r="V32" s="47">
        <f t="shared" si="1"/>
        <v>0</v>
      </c>
      <c r="W32" s="47">
        <f>SUM(W2:W31)</f>
        <v>3688.5</v>
      </c>
      <c r="X32" s="47">
        <f t="shared" si="1"/>
        <v>8800000</v>
      </c>
      <c r="Y32" s="47">
        <f t="shared" si="1"/>
        <v>0</v>
      </c>
      <c r="Z32" s="47">
        <f t="shared" si="1"/>
        <v>0</v>
      </c>
      <c r="AA32" s="47">
        <f t="shared" si="1"/>
        <v>0</v>
      </c>
      <c r="AB32" s="47">
        <f t="shared" si="1"/>
        <v>0</v>
      </c>
      <c r="AC32" s="47">
        <f t="shared" si="1"/>
        <v>0</v>
      </c>
      <c r="AD32" s="47">
        <f t="shared" si="1"/>
        <v>0</v>
      </c>
      <c r="AE32" s="47">
        <f t="shared" si="1"/>
        <v>0</v>
      </c>
      <c r="AF32" s="47">
        <f t="shared" si="1"/>
        <v>0</v>
      </c>
      <c r="AG32" s="47">
        <f t="shared" si="1"/>
        <v>0</v>
      </c>
      <c r="AH32" s="47">
        <f t="shared" si="1"/>
        <v>0</v>
      </c>
      <c r="AI32" s="47">
        <f t="shared" si="1"/>
        <v>0</v>
      </c>
      <c r="AJ32" s="47">
        <f t="shared" si="1"/>
        <v>0</v>
      </c>
      <c r="AK32" s="47">
        <f t="shared" si="1"/>
        <v>0</v>
      </c>
      <c r="AL32" s="47">
        <f t="shared" si="1"/>
        <v>0</v>
      </c>
      <c r="AM32" s="47">
        <f t="shared" si="1"/>
        <v>0</v>
      </c>
      <c r="AN32" s="47">
        <f t="shared" si="1"/>
        <v>0</v>
      </c>
      <c r="AO32" s="47">
        <f t="shared" si="1"/>
        <v>0</v>
      </c>
      <c r="AP32" s="47">
        <f t="shared" si="1"/>
        <v>0</v>
      </c>
      <c r="AQ32" s="47">
        <f t="shared" si="1"/>
        <v>0</v>
      </c>
      <c r="AR32" s="47">
        <f t="shared" si="1"/>
        <v>0</v>
      </c>
      <c r="AS32" s="47">
        <f t="shared" si="1"/>
        <v>0</v>
      </c>
      <c r="AT32" s="47">
        <f t="shared" si="1"/>
        <v>0</v>
      </c>
      <c r="AU32" s="47">
        <f t="shared" si="1"/>
        <v>0</v>
      </c>
      <c r="AV32" s="47">
        <f t="shared" si="1"/>
        <v>0</v>
      </c>
      <c r="AW32" s="47">
        <f t="shared" si="1"/>
        <v>0</v>
      </c>
      <c r="AX32" s="47">
        <f t="shared" si="1"/>
        <v>0</v>
      </c>
      <c r="AY32" s="47">
        <f t="shared" si="1"/>
        <v>0</v>
      </c>
      <c r="AZ32" s="47">
        <f t="shared" si="1"/>
        <v>0</v>
      </c>
      <c r="BA32" s="47">
        <f t="shared" si="1"/>
        <v>0</v>
      </c>
      <c r="BB32" s="47">
        <f t="shared" si="1"/>
        <v>0</v>
      </c>
      <c r="BC32" s="47">
        <f t="shared" si="1"/>
        <v>19488.3</v>
      </c>
      <c r="BD32" s="47">
        <f t="shared" si="1"/>
        <v>0</v>
      </c>
      <c r="BE32" s="47">
        <f t="shared" si="1"/>
        <v>0</v>
      </c>
      <c r="BF32" s="47">
        <f t="shared" si="1"/>
        <v>0</v>
      </c>
      <c r="BG32" s="47">
        <f t="shared" si="1"/>
        <v>0</v>
      </c>
      <c r="BH32" s="47">
        <f t="shared" si="1"/>
        <v>0</v>
      </c>
      <c r="BI32" s="47">
        <f t="shared" si="1"/>
        <v>0</v>
      </c>
      <c r="BJ32" s="47">
        <f t="shared" si="1"/>
        <v>0</v>
      </c>
      <c r="BK32" s="47">
        <f t="shared" si="1"/>
        <v>0</v>
      </c>
      <c r="BL32" s="47">
        <f t="shared" si="1"/>
        <v>0</v>
      </c>
      <c r="BM32" s="47">
        <f t="shared" si="1"/>
        <v>0</v>
      </c>
      <c r="BN32" s="47">
        <f t="shared" si="1"/>
        <v>0</v>
      </c>
      <c r="BO32" s="47">
        <f t="shared" si="1"/>
        <v>0</v>
      </c>
      <c r="BP32" s="47">
        <f t="shared" si="1"/>
        <v>0</v>
      </c>
    </row>
    <row r="33" spans="5:68" x14ac:dyDescent="0.25"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</row>
    <row r="34" spans="5:68" x14ac:dyDescent="0.25"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</row>
    <row r="35" spans="5:68" x14ac:dyDescent="0.25"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</row>
    <row r="36" spans="5:68" x14ac:dyDescent="0.25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</row>
    <row r="37" spans="5:68" x14ac:dyDescent="0.25"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</row>
    <row r="38" spans="5:68" x14ac:dyDescent="0.25"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</row>
    <row r="39" spans="5:68" x14ac:dyDescent="0.25"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</row>
    <row r="40" spans="5:68" x14ac:dyDescent="0.25"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</row>
    <row r="41" spans="5:68" x14ac:dyDescent="0.25"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</row>
    <row r="42" spans="5:68" x14ac:dyDescent="0.25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</row>
    <row r="43" spans="5:68" x14ac:dyDescent="0.25"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</row>
    <row r="44" spans="5:68" x14ac:dyDescent="0.25"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5:68" x14ac:dyDescent="0.25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</row>
    <row r="46" spans="5:68" x14ac:dyDescent="0.25"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</row>
    <row r="47" spans="5:68" x14ac:dyDescent="0.25"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</row>
    <row r="48" spans="5:68" x14ac:dyDescent="0.25"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5:68" x14ac:dyDescent="0.25"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5"/>
  <sheetViews>
    <sheetView zoomScale="85" zoomScaleNormal="85" workbookViewId="0">
      <pane xSplit="4" ySplit="10" topLeftCell="O11" activePane="bottomRight" state="frozen"/>
      <selection pane="topRight" activeCell="E1" sqref="E1"/>
      <selection pane="bottomLeft" activeCell="A11" sqref="A11"/>
      <selection pane="bottomRight" activeCell="X13" sqref="X13"/>
    </sheetView>
  </sheetViews>
  <sheetFormatPr defaultRowHeight="15" x14ac:dyDescent="0.2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6" width="14.28515625" style="22" customWidth="1"/>
    <col min="7" max="7" width="9.5703125" style="22" customWidth="1"/>
    <col min="8" max="8" width="9.42578125" style="22" customWidth="1"/>
    <col min="9" max="9" width="10" style="22" customWidth="1"/>
    <col min="10" max="68" width="14.28515625" style="22" customWidth="1"/>
  </cols>
  <sheetData>
    <row r="1" spans="1:68" x14ac:dyDescent="0.25">
      <c r="A1" s="71"/>
      <c r="B1" s="71"/>
      <c r="C1" s="72"/>
      <c r="D1" s="73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</row>
    <row r="2" spans="1:68" s="73" customFormat="1" x14ac:dyDescent="0.25">
      <c r="A2" s="71"/>
      <c r="B2" s="71"/>
      <c r="C2" s="72"/>
      <c r="E2" s="74"/>
      <c r="F2" s="74"/>
      <c r="G2" s="74"/>
      <c r="H2" s="74"/>
      <c r="I2" s="74"/>
      <c r="J2" s="74"/>
      <c r="K2" s="74"/>
      <c r="L2" s="74"/>
      <c r="M2" s="74"/>
      <c r="N2" s="74"/>
      <c r="O2" s="88"/>
      <c r="P2" s="89"/>
      <c r="Q2" s="89"/>
      <c r="R2" s="88"/>
      <c r="S2" s="88"/>
      <c r="T2" s="88"/>
      <c r="U2" s="74"/>
      <c r="V2" s="74"/>
      <c r="W2" s="74"/>
      <c r="X2" s="74"/>
      <c r="Y2" s="74"/>
      <c r="Z2" s="74"/>
      <c r="AA2" s="74"/>
      <c r="AB2" s="74"/>
      <c r="AC2" s="90"/>
      <c r="AD2" s="89"/>
      <c r="AE2" s="89"/>
      <c r="AF2" s="88"/>
      <c r="AG2" s="88"/>
      <c r="AH2" s="88"/>
      <c r="AI2" s="74"/>
      <c r="AJ2" s="74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</row>
    <row r="3" spans="1:68" s="73" customFormat="1" x14ac:dyDescent="0.25">
      <c r="A3" s="71"/>
      <c r="B3" s="71"/>
      <c r="C3" s="72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</row>
    <row r="4" spans="1:68" s="73" customFormat="1" x14ac:dyDescent="0.25">
      <c r="A4" s="71"/>
      <c r="B4" s="71"/>
      <c r="C4" s="72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</row>
    <row r="6" spans="1:68" s="6" customFormat="1" ht="19.5" thickBot="1" x14ac:dyDescent="0.35">
      <c r="B6" s="6" t="s">
        <v>71</v>
      </c>
      <c r="C6" s="10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</row>
    <row r="7" spans="1:68" s="4" customFormat="1" ht="16.5" thickBot="1" x14ac:dyDescent="0.3">
      <c r="A7" s="8"/>
      <c r="B7" s="91" t="s">
        <v>72</v>
      </c>
      <c r="C7" s="92"/>
      <c r="D7" s="92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</row>
    <row r="8" spans="1:68" s="7" customFormat="1" ht="15.75" customHeight="1" x14ac:dyDescent="0.25">
      <c r="A8" s="15"/>
      <c r="B8" s="93" t="s">
        <v>73</v>
      </c>
      <c r="C8" s="96" t="s">
        <v>74</v>
      </c>
      <c r="D8" s="99" t="s">
        <v>75</v>
      </c>
      <c r="E8" s="105" t="s">
        <v>76</v>
      </c>
      <c r="F8" s="105"/>
      <c r="G8" s="107" t="s">
        <v>77</v>
      </c>
      <c r="H8" s="108"/>
      <c r="I8" s="108"/>
      <c r="J8" s="108"/>
      <c r="K8" s="108"/>
      <c r="L8" s="108"/>
      <c r="M8" s="106" t="s">
        <v>78</v>
      </c>
      <c r="N8" s="106"/>
      <c r="O8" s="106"/>
      <c r="P8" s="106"/>
      <c r="Q8" s="106"/>
      <c r="R8" s="106"/>
      <c r="S8" s="106"/>
      <c r="T8" s="106"/>
      <c r="U8" s="101" t="s">
        <v>79</v>
      </c>
      <c r="V8" s="101"/>
      <c r="W8" s="101"/>
      <c r="X8" s="101"/>
      <c r="Y8" s="102" t="s">
        <v>80</v>
      </c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3" t="s">
        <v>81</v>
      </c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 t="s">
        <v>82</v>
      </c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</row>
    <row r="9" spans="1:68" s="16" customFormat="1" ht="15" customHeight="1" x14ac:dyDescent="0.25">
      <c r="A9" s="7"/>
      <c r="B9" s="94"/>
      <c r="C9" s="97"/>
      <c r="D9" s="100"/>
      <c r="E9" s="105"/>
      <c r="F9" s="105"/>
      <c r="G9" s="107"/>
      <c r="H9" s="108"/>
      <c r="I9" s="108"/>
      <c r="J9" s="108"/>
      <c r="K9" s="108"/>
      <c r="L9" s="108"/>
      <c r="M9" s="106"/>
      <c r="N9" s="106"/>
      <c r="O9" s="106"/>
      <c r="P9" s="106"/>
      <c r="Q9" s="106"/>
      <c r="R9" s="106"/>
      <c r="S9" s="106"/>
      <c r="T9" s="106"/>
      <c r="U9" s="101"/>
      <c r="V9" s="101"/>
      <c r="W9" s="101"/>
      <c r="X9" s="101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</row>
    <row r="10" spans="1:68" s="16" customFormat="1" ht="61.5" customHeight="1" thickBot="1" x14ac:dyDescent="0.3">
      <c r="A10" s="7"/>
      <c r="B10" s="95"/>
      <c r="C10" s="98"/>
      <c r="D10" s="100"/>
      <c r="E10" s="20" t="s">
        <v>69</v>
      </c>
      <c r="F10" s="20" t="s">
        <v>70</v>
      </c>
      <c r="G10" s="20" t="s">
        <v>47</v>
      </c>
      <c r="H10" s="20" t="s">
        <v>48</v>
      </c>
      <c r="I10" s="20" t="s">
        <v>5</v>
      </c>
      <c r="J10" s="20" t="s">
        <v>6</v>
      </c>
      <c r="K10" s="20" t="s">
        <v>7</v>
      </c>
      <c r="L10" s="20" t="s">
        <v>8</v>
      </c>
      <c r="M10" s="21" t="s">
        <v>3</v>
      </c>
      <c r="N10" s="21" t="s">
        <v>4</v>
      </c>
      <c r="O10" s="21" t="s">
        <v>49</v>
      </c>
      <c r="P10" s="21" t="s">
        <v>50</v>
      </c>
      <c r="Q10" s="21" t="s">
        <v>65</v>
      </c>
      <c r="R10" s="21" t="s">
        <v>66</v>
      </c>
      <c r="S10" s="21" t="s">
        <v>11</v>
      </c>
      <c r="T10" s="21" t="s">
        <v>12</v>
      </c>
      <c r="U10" s="21" t="s">
        <v>13</v>
      </c>
      <c r="V10" s="21" t="s">
        <v>14</v>
      </c>
      <c r="W10" s="21" t="s">
        <v>51</v>
      </c>
      <c r="X10" s="21" t="s">
        <v>84</v>
      </c>
      <c r="Y10" s="21" t="s">
        <v>21</v>
      </c>
      <c r="Z10" s="21" t="s">
        <v>22</v>
      </c>
      <c r="AA10" s="21" t="s">
        <v>23</v>
      </c>
      <c r="AB10" s="21" t="s">
        <v>24</v>
      </c>
      <c r="AC10" s="21" t="s">
        <v>25</v>
      </c>
      <c r="AD10" s="21" t="s">
        <v>26</v>
      </c>
      <c r="AE10" s="21" t="s">
        <v>27</v>
      </c>
      <c r="AF10" s="21" t="s">
        <v>28</v>
      </c>
      <c r="AG10" s="21" t="s">
        <v>29</v>
      </c>
      <c r="AH10" s="21" t="s">
        <v>30</v>
      </c>
      <c r="AI10" s="21" t="s">
        <v>53</v>
      </c>
      <c r="AJ10" s="21" t="s">
        <v>54</v>
      </c>
      <c r="AK10" s="21" t="s">
        <v>55</v>
      </c>
      <c r="AL10" s="21" t="s">
        <v>56</v>
      </c>
      <c r="AM10" s="21" t="s">
        <v>57</v>
      </c>
      <c r="AN10" s="21" t="s">
        <v>58</v>
      </c>
      <c r="AO10" s="21" t="s">
        <v>59</v>
      </c>
      <c r="AP10" s="21" t="s">
        <v>60</v>
      </c>
      <c r="AQ10" s="21" t="s">
        <v>61</v>
      </c>
      <c r="AR10" s="21" t="s">
        <v>62</v>
      </c>
      <c r="AS10" s="21" t="s">
        <v>63</v>
      </c>
      <c r="AT10" s="21" t="s">
        <v>64</v>
      </c>
      <c r="AU10" s="21" t="s">
        <v>31</v>
      </c>
      <c r="AV10" s="21" t="s">
        <v>32</v>
      </c>
      <c r="AW10" s="21" t="s">
        <v>33</v>
      </c>
      <c r="AX10" s="21" t="s">
        <v>34</v>
      </c>
      <c r="AY10" s="21" t="s">
        <v>35</v>
      </c>
      <c r="AZ10" s="21" t="s">
        <v>36</v>
      </c>
      <c r="BA10" s="21" t="s">
        <v>37</v>
      </c>
      <c r="BB10" s="21" t="s">
        <v>38</v>
      </c>
      <c r="BC10" s="21" t="s">
        <v>41</v>
      </c>
      <c r="BD10" s="21" t="s">
        <v>42</v>
      </c>
      <c r="BE10" s="21" t="s">
        <v>15</v>
      </c>
      <c r="BF10" s="21" t="s">
        <v>16</v>
      </c>
      <c r="BG10" s="21" t="s">
        <v>17</v>
      </c>
      <c r="BH10" s="21" t="s">
        <v>18</v>
      </c>
      <c r="BI10" s="21" t="s">
        <v>19</v>
      </c>
      <c r="BJ10" s="21" t="s">
        <v>20</v>
      </c>
      <c r="BK10" s="21" t="s">
        <v>39</v>
      </c>
      <c r="BL10" s="21" t="s">
        <v>40</v>
      </c>
      <c r="BM10" s="21" t="s">
        <v>43</v>
      </c>
      <c r="BN10" s="21" t="s">
        <v>44</v>
      </c>
      <c r="BO10" s="21" t="s">
        <v>45</v>
      </c>
      <c r="BP10" s="21" t="s">
        <v>46</v>
      </c>
    </row>
    <row r="11" spans="1:68" x14ac:dyDescent="0.25">
      <c r="A11" s="7"/>
      <c r="B11" s="11"/>
      <c r="C11" s="12"/>
      <c r="D11" s="14"/>
      <c r="M11" s="27"/>
      <c r="N11" s="27"/>
      <c r="O11" s="69"/>
      <c r="P11" s="27"/>
      <c r="Q11" s="27"/>
      <c r="R11" s="27"/>
      <c r="S11" s="27"/>
      <c r="T11" s="27"/>
      <c r="U11" s="69"/>
      <c r="V11" s="27"/>
      <c r="W11" s="27"/>
      <c r="X11" s="27"/>
      <c r="Y11" s="69"/>
      <c r="Z11" s="27"/>
      <c r="AA11" s="27"/>
      <c r="AB11" s="27"/>
      <c r="AC11" s="27"/>
      <c r="AD11" s="27"/>
      <c r="AE11" s="27"/>
      <c r="AF11" s="27"/>
      <c r="AG11" s="27"/>
      <c r="AH11" s="27"/>
      <c r="AI11" s="69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</row>
    <row r="12" spans="1:68" x14ac:dyDescent="0.25">
      <c r="A12" s="9"/>
      <c r="B12" s="34">
        <v>1</v>
      </c>
      <c r="C12" s="35"/>
      <c r="D12" s="35"/>
      <c r="E12" s="64">
        <v>6</v>
      </c>
      <c r="F12" s="28">
        <v>0</v>
      </c>
      <c r="G12" s="61">
        <v>7.6</v>
      </c>
      <c r="H12" s="27">
        <v>0</v>
      </c>
      <c r="I12" s="61">
        <v>3.7</v>
      </c>
      <c r="J12" s="27">
        <v>0</v>
      </c>
      <c r="K12" s="63">
        <f>I12+G12</f>
        <v>11.3</v>
      </c>
      <c r="L12" s="27">
        <v>0</v>
      </c>
      <c r="M12" s="27">
        <v>0</v>
      </c>
      <c r="N12" s="28">
        <v>0</v>
      </c>
      <c r="O12" s="65">
        <v>2.7</v>
      </c>
      <c r="P12" s="67">
        <v>0</v>
      </c>
      <c r="Q12" s="25">
        <v>0</v>
      </c>
      <c r="R12" s="27">
        <v>0</v>
      </c>
      <c r="S12" s="26">
        <v>0</v>
      </c>
      <c r="T12" s="28">
        <v>0</v>
      </c>
      <c r="U12" s="77">
        <v>4.0999999999999996</v>
      </c>
      <c r="V12" s="67">
        <v>0</v>
      </c>
      <c r="W12" s="27">
        <v>0</v>
      </c>
      <c r="X12" s="28">
        <v>0</v>
      </c>
      <c r="Y12" s="81">
        <v>210.39999999999998</v>
      </c>
      <c r="Z12" s="67">
        <v>8800000</v>
      </c>
      <c r="AA12" s="25">
        <v>0</v>
      </c>
      <c r="AB12" s="27">
        <v>0</v>
      </c>
      <c r="AC12" s="25">
        <v>0</v>
      </c>
      <c r="AD12" s="27">
        <v>0</v>
      </c>
      <c r="AE12" s="27">
        <v>0</v>
      </c>
      <c r="AF12" s="27">
        <v>0</v>
      </c>
      <c r="AG12" s="27">
        <v>0</v>
      </c>
      <c r="AH12" s="28">
        <v>0</v>
      </c>
      <c r="AI12" s="65">
        <v>1055</v>
      </c>
      <c r="AJ12" s="67">
        <v>0</v>
      </c>
      <c r="AK12" s="25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</row>
    <row r="13" spans="1:68" x14ac:dyDescent="0.25">
      <c r="A13" s="9"/>
      <c r="B13" s="34">
        <v>2</v>
      </c>
      <c r="C13" s="35"/>
      <c r="D13" s="35"/>
      <c r="E13" s="64">
        <v>0</v>
      </c>
      <c r="F13" s="28">
        <v>0</v>
      </c>
      <c r="G13" s="61">
        <v>0</v>
      </c>
      <c r="H13" s="27">
        <v>0</v>
      </c>
      <c r="I13" s="61"/>
      <c r="J13" s="27">
        <v>0</v>
      </c>
      <c r="K13" s="63">
        <f t="shared" ref="K13:K41" si="0">I13+G13</f>
        <v>0</v>
      </c>
      <c r="L13" s="27">
        <v>0</v>
      </c>
      <c r="M13" s="27">
        <v>0</v>
      </c>
      <c r="N13" s="28">
        <v>0</v>
      </c>
      <c r="O13" s="65">
        <v>0</v>
      </c>
      <c r="P13" s="67">
        <v>0</v>
      </c>
      <c r="Q13" s="25">
        <v>0</v>
      </c>
      <c r="R13" s="27">
        <v>0</v>
      </c>
      <c r="S13" s="26">
        <v>0</v>
      </c>
      <c r="T13" s="28">
        <v>0</v>
      </c>
      <c r="U13" s="77"/>
      <c r="V13" s="67">
        <v>0</v>
      </c>
      <c r="W13" s="27">
        <v>0</v>
      </c>
      <c r="X13" s="28">
        <v>0</v>
      </c>
      <c r="Y13" s="81">
        <v>0</v>
      </c>
      <c r="Z13" s="67">
        <v>0</v>
      </c>
      <c r="AA13" s="25">
        <v>0</v>
      </c>
      <c r="AB13" s="27">
        <v>0</v>
      </c>
      <c r="AC13" s="25">
        <v>0</v>
      </c>
      <c r="AD13" s="27">
        <v>0</v>
      </c>
      <c r="AE13" s="27">
        <v>0</v>
      </c>
      <c r="AF13" s="27">
        <v>0</v>
      </c>
      <c r="AG13" s="27">
        <v>0</v>
      </c>
      <c r="AH13" s="28">
        <v>0</v>
      </c>
      <c r="AI13" s="65">
        <v>0</v>
      </c>
      <c r="AJ13" s="67">
        <v>0</v>
      </c>
      <c r="AK13" s="25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  <c r="BI13" s="27">
        <v>0</v>
      </c>
      <c r="BJ13" s="27">
        <v>0</v>
      </c>
      <c r="BK13" s="27">
        <v>0</v>
      </c>
      <c r="BL13" s="27">
        <v>0</v>
      </c>
      <c r="BM13" s="27">
        <v>0</v>
      </c>
      <c r="BN13" s="27">
        <v>0</v>
      </c>
      <c r="BO13" s="27">
        <v>0</v>
      </c>
      <c r="BP13" s="27">
        <v>0</v>
      </c>
    </row>
    <row r="14" spans="1:68" x14ac:dyDescent="0.25">
      <c r="A14" s="9"/>
      <c r="B14" s="34">
        <v>3</v>
      </c>
      <c r="C14" s="35"/>
      <c r="D14" s="35"/>
      <c r="E14" s="64">
        <v>7</v>
      </c>
      <c r="F14" s="28">
        <v>0</v>
      </c>
      <c r="G14" s="61">
        <v>9.6999999999999993</v>
      </c>
      <c r="H14" s="27">
        <v>0</v>
      </c>
      <c r="I14" s="61">
        <v>4.4000000000000004</v>
      </c>
      <c r="J14" s="27">
        <v>0</v>
      </c>
      <c r="K14" s="63">
        <f t="shared" si="0"/>
        <v>14.1</v>
      </c>
      <c r="L14" s="27">
        <v>0</v>
      </c>
      <c r="M14" s="27">
        <v>0</v>
      </c>
      <c r="N14" s="28">
        <v>0</v>
      </c>
      <c r="O14" s="65">
        <v>4</v>
      </c>
      <c r="P14" s="67">
        <v>0</v>
      </c>
      <c r="Q14" s="25">
        <v>0</v>
      </c>
      <c r="R14" s="27">
        <v>0</v>
      </c>
      <c r="S14" s="26">
        <v>0</v>
      </c>
      <c r="T14" s="28">
        <v>0</v>
      </c>
      <c r="U14" s="77">
        <v>6.2</v>
      </c>
      <c r="V14" s="67">
        <v>0</v>
      </c>
      <c r="W14" s="27">
        <v>0</v>
      </c>
      <c r="X14" s="28">
        <v>0</v>
      </c>
      <c r="Y14" s="81">
        <v>225.39999999999998</v>
      </c>
      <c r="Z14" s="67">
        <v>0</v>
      </c>
      <c r="AA14" s="25">
        <v>0</v>
      </c>
      <c r="AB14" s="27">
        <v>0</v>
      </c>
      <c r="AC14" s="25">
        <v>0</v>
      </c>
      <c r="AD14" s="27">
        <v>0</v>
      </c>
      <c r="AE14" s="27">
        <v>0</v>
      </c>
      <c r="AF14" s="27">
        <v>0</v>
      </c>
      <c r="AG14" s="27">
        <v>0</v>
      </c>
      <c r="AH14" s="28">
        <v>0</v>
      </c>
      <c r="AI14" s="65">
        <v>1406</v>
      </c>
      <c r="AJ14" s="67">
        <v>0</v>
      </c>
      <c r="AK14" s="25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</row>
    <row r="15" spans="1:68" x14ac:dyDescent="0.25">
      <c r="A15" s="9"/>
      <c r="B15" s="34">
        <v>4</v>
      </c>
      <c r="C15" s="35"/>
      <c r="D15" s="35"/>
      <c r="E15" s="64">
        <v>0</v>
      </c>
      <c r="F15" s="28">
        <v>0</v>
      </c>
      <c r="G15" s="61">
        <v>0</v>
      </c>
      <c r="H15" s="27">
        <v>0</v>
      </c>
      <c r="I15" s="61"/>
      <c r="J15" s="27">
        <v>0</v>
      </c>
      <c r="K15" s="63">
        <f t="shared" si="0"/>
        <v>0</v>
      </c>
      <c r="L15" s="27">
        <v>0</v>
      </c>
      <c r="M15" s="27">
        <v>0</v>
      </c>
      <c r="N15" s="28">
        <v>0</v>
      </c>
      <c r="O15" s="65">
        <v>0</v>
      </c>
      <c r="P15" s="67">
        <v>0</v>
      </c>
      <c r="Q15" s="25">
        <v>0</v>
      </c>
      <c r="R15" s="27">
        <v>0</v>
      </c>
      <c r="S15" s="26">
        <v>0</v>
      </c>
      <c r="T15" s="28">
        <v>0</v>
      </c>
      <c r="U15" s="77"/>
      <c r="V15" s="67">
        <v>0</v>
      </c>
      <c r="W15" s="27">
        <v>0</v>
      </c>
      <c r="X15" s="28">
        <v>0</v>
      </c>
      <c r="Y15" s="81">
        <v>0</v>
      </c>
      <c r="Z15" s="67">
        <v>0</v>
      </c>
      <c r="AA15" s="25">
        <v>0</v>
      </c>
      <c r="AB15" s="27">
        <v>0</v>
      </c>
      <c r="AC15" s="25">
        <v>0</v>
      </c>
      <c r="AD15" s="27">
        <v>0</v>
      </c>
      <c r="AE15" s="27">
        <v>0</v>
      </c>
      <c r="AF15" s="27">
        <v>0</v>
      </c>
      <c r="AG15" s="27">
        <v>0</v>
      </c>
      <c r="AH15" s="28">
        <v>0</v>
      </c>
      <c r="AI15" s="65">
        <v>0</v>
      </c>
      <c r="AJ15" s="67">
        <v>0</v>
      </c>
      <c r="AK15" s="25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</row>
    <row r="16" spans="1:68" x14ac:dyDescent="0.25">
      <c r="A16" s="9"/>
      <c r="B16" s="34">
        <v>5</v>
      </c>
      <c r="C16" s="35"/>
      <c r="D16" s="35"/>
      <c r="E16" s="64">
        <v>7</v>
      </c>
      <c r="F16" s="28">
        <v>0</v>
      </c>
      <c r="G16" s="61">
        <v>11.5</v>
      </c>
      <c r="H16" s="27">
        <v>0</v>
      </c>
      <c r="I16" s="61">
        <v>3.4</v>
      </c>
      <c r="J16" s="27">
        <v>0</v>
      </c>
      <c r="K16" s="63">
        <f t="shared" si="0"/>
        <v>14.9</v>
      </c>
      <c r="L16" s="27">
        <v>0</v>
      </c>
      <c r="M16" s="27">
        <v>0</v>
      </c>
      <c r="N16" s="28">
        <v>0</v>
      </c>
      <c r="O16" s="65">
        <v>1.4</v>
      </c>
      <c r="P16" s="67">
        <v>0</v>
      </c>
      <c r="Q16" s="25">
        <v>0</v>
      </c>
      <c r="R16" s="27">
        <v>0</v>
      </c>
      <c r="S16" s="26">
        <v>0</v>
      </c>
      <c r="T16" s="28">
        <v>0</v>
      </c>
      <c r="U16" s="77">
        <v>4.2</v>
      </c>
      <c r="V16" s="67">
        <v>0</v>
      </c>
      <c r="W16" s="27">
        <v>0</v>
      </c>
      <c r="X16" s="28">
        <v>0</v>
      </c>
      <c r="Y16" s="81">
        <v>211.5</v>
      </c>
      <c r="Z16" s="67">
        <v>0</v>
      </c>
      <c r="AA16" s="25">
        <v>0</v>
      </c>
      <c r="AB16" s="27">
        <v>0</v>
      </c>
      <c r="AC16" s="25">
        <v>0</v>
      </c>
      <c r="AD16" s="27">
        <v>0</v>
      </c>
      <c r="AE16" s="27">
        <v>0</v>
      </c>
      <c r="AF16" s="27">
        <v>0</v>
      </c>
      <c r="AG16" s="27">
        <v>0</v>
      </c>
      <c r="AH16" s="28">
        <v>0</v>
      </c>
      <c r="AI16" s="65">
        <v>1169</v>
      </c>
      <c r="AJ16" s="67">
        <v>0</v>
      </c>
      <c r="AK16" s="25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</row>
    <row r="17" spans="1:68" x14ac:dyDescent="0.25">
      <c r="A17" s="9"/>
      <c r="B17" s="34">
        <v>6</v>
      </c>
      <c r="C17" s="35"/>
      <c r="D17" s="35"/>
      <c r="E17" s="64">
        <v>0</v>
      </c>
      <c r="F17" s="28">
        <v>0</v>
      </c>
      <c r="G17" s="61">
        <v>0</v>
      </c>
      <c r="H17" s="27">
        <v>0</v>
      </c>
      <c r="I17" s="61"/>
      <c r="J17" s="27">
        <v>0</v>
      </c>
      <c r="K17" s="63">
        <f t="shared" si="0"/>
        <v>0</v>
      </c>
      <c r="L17" s="27">
        <v>0</v>
      </c>
      <c r="M17" s="27">
        <v>0</v>
      </c>
      <c r="N17" s="28">
        <v>0</v>
      </c>
      <c r="O17" s="65">
        <v>0</v>
      </c>
      <c r="P17" s="67">
        <v>0</v>
      </c>
      <c r="Q17" s="25">
        <v>0</v>
      </c>
      <c r="R17" s="27">
        <v>0</v>
      </c>
      <c r="S17" s="26">
        <v>0</v>
      </c>
      <c r="T17" s="28">
        <v>0</v>
      </c>
      <c r="U17" s="77"/>
      <c r="V17" s="67">
        <v>0</v>
      </c>
      <c r="W17" s="27">
        <v>0</v>
      </c>
      <c r="X17" s="28">
        <v>0</v>
      </c>
      <c r="Y17" s="81">
        <v>0</v>
      </c>
      <c r="Z17" s="67">
        <v>0</v>
      </c>
      <c r="AA17" s="25">
        <v>0</v>
      </c>
      <c r="AB17" s="27">
        <v>0</v>
      </c>
      <c r="AC17" s="25">
        <v>0</v>
      </c>
      <c r="AD17" s="27">
        <v>0</v>
      </c>
      <c r="AE17" s="27">
        <v>0</v>
      </c>
      <c r="AF17" s="27">
        <v>0</v>
      </c>
      <c r="AG17" s="27">
        <v>0</v>
      </c>
      <c r="AH17" s="28">
        <v>0</v>
      </c>
      <c r="AI17" s="65">
        <v>0</v>
      </c>
      <c r="AJ17" s="67">
        <v>0</v>
      </c>
      <c r="AK17" s="25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P17" s="27">
        <v>0</v>
      </c>
    </row>
    <row r="18" spans="1:68" x14ac:dyDescent="0.25">
      <c r="A18" s="9"/>
      <c r="B18" s="34">
        <v>7</v>
      </c>
      <c r="C18" s="35"/>
      <c r="D18" s="35"/>
      <c r="E18" s="64">
        <v>7</v>
      </c>
      <c r="F18" s="28">
        <v>0</v>
      </c>
      <c r="G18" s="61">
        <v>10.6</v>
      </c>
      <c r="H18" s="27">
        <v>0</v>
      </c>
      <c r="I18" s="61">
        <v>5.2</v>
      </c>
      <c r="J18" s="27">
        <v>0</v>
      </c>
      <c r="K18" s="63">
        <f t="shared" si="0"/>
        <v>15.8</v>
      </c>
      <c r="L18" s="27">
        <v>0</v>
      </c>
      <c r="M18" s="27">
        <v>0</v>
      </c>
      <c r="N18" s="28">
        <v>0</v>
      </c>
      <c r="O18" s="65">
        <v>2.6</v>
      </c>
      <c r="P18" s="67">
        <v>0</v>
      </c>
      <c r="Q18" s="25">
        <v>0</v>
      </c>
      <c r="R18" s="27">
        <v>0</v>
      </c>
      <c r="S18" s="26">
        <v>0</v>
      </c>
      <c r="T18" s="28">
        <v>0</v>
      </c>
      <c r="U18" s="77">
        <v>6.1</v>
      </c>
      <c r="V18" s="67">
        <v>0</v>
      </c>
      <c r="W18" s="27">
        <v>0</v>
      </c>
      <c r="X18" s="28">
        <v>0</v>
      </c>
      <c r="Y18" s="81">
        <v>202.4</v>
      </c>
      <c r="Z18" s="67">
        <v>0</v>
      </c>
      <c r="AA18" s="25">
        <v>0</v>
      </c>
      <c r="AB18" s="27">
        <v>0</v>
      </c>
      <c r="AC18" s="25">
        <v>0</v>
      </c>
      <c r="AD18" s="27">
        <v>0</v>
      </c>
      <c r="AE18" s="27">
        <v>0</v>
      </c>
      <c r="AF18" s="27">
        <v>0</v>
      </c>
      <c r="AG18" s="27">
        <v>0</v>
      </c>
      <c r="AH18" s="28">
        <v>0</v>
      </c>
      <c r="AI18" s="65">
        <v>1417</v>
      </c>
      <c r="AJ18" s="67">
        <v>0</v>
      </c>
      <c r="AK18" s="25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</row>
    <row r="19" spans="1:68" x14ac:dyDescent="0.25">
      <c r="A19" s="9"/>
      <c r="B19" s="34">
        <v>8</v>
      </c>
      <c r="C19" s="35"/>
      <c r="D19" s="35"/>
      <c r="E19" s="64">
        <v>0</v>
      </c>
      <c r="F19" s="28">
        <v>0</v>
      </c>
      <c r="G19" s="61">
        <v>0</v>
      </c>
      <c r="H19" s="27">
        <v>0</v>
      </c>
      <c r="I19" s="61"/>
      <c r="J19" s="27">
        <v>0</v>
      </c>
      <c r="K19" s="63">
        <f t="shared" si="0"/>
        <v>0</v>
      </c>
      <c r="L19" s="27">
        <v>0</v>
      </c>
      <c r="M19" s="27">
        <v>0</v>
      </c>
      <c r="N19" s="28">
        <v>0</v>
      </c>
      <c r="O19" s="65">
        <v>0</v>
      </c>
      <c r="P19" s="67">
        <v>0</v>
      </c>
      <c r="Q19" s="25">
        <v>0</v>
      </c>
      <c r="R19" s="27">
        <v>0</v>
      </c>
      <c r="S19" s="26">
        <v>0</v>
      </c>
      <c r="T19" s="28">
        <v>0</v>
      </c>
      <c r="U19" s="77"/>
      <c r="V19" s="67">
        <v>0</v>
      </c>
      <c r="W19" s="27">
        <v>0</v>
      </c>
      <c r="X19" s="28">
        <v>0</v>
      </c>
      <c r="Y19" s="81">
        <v>0</v>
      </c>
      <c r="Z19" s="67">
        <v>0</v>
      </c>
      <c r="AA19" s="25">
        <v>0</v>
      </c>
      <c r="AB19" s="27">
        <v>0</v>
      </c>
      <c r="AC19" s="25">
        <v>0</v>
      </c>
      <c r="AD19" s="27">
        <v>0</v>
      </c>
      <c r="AE19" s="27">
        <v>0</v>
      </c>
      <c r="AF19" s="27">
        <v>0</v>
      </c>
      <c r="AG19" s="27">
        <v>0</v>
      </c>
      <c r="AH19" s="28">
        <v>0</v>
      </c>
      <c r="AI19" s="65">
        <v>0</v>
      </c>
      <c r="AJ19" s="67">
        <v>0</v>
      </c>
      <c r="AK19" s="25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P19" s="27">
        <v>0</v>
      </c>
    </row>
    <row r="20" spans="1:68" x14ac:dyDescent="0.25">
      <c r="A20" s="9"/>
      <c r="B20" s="34">
        <v>9</v>
      </c>
      <c r="C20" s="35"/>
      <c r="D20" s="35"/>
      <c r="E20" s="64">
        <v>9</v>
      </c>
      <c r="F20" s="28">
        <v>0</v>
      </c>
      <c r="G20" s="61">
        <v>8.3000000000000007</v>
      </c>
      <c r="H20" s="27">
        <v>0</v>
      </c>
      <c r="I20" s="61">
        <v>5.0999999999999996</v>
      </c>
      <c r="J20" s="27">
        <v>0</v>
      </c>
      <c r="K20" s="63">
        <f t="shared" si="0"/>
        <v>13.4</v>
      </c>
      <c r="L20" s="27">
        <v>0</v>
      </c>
      <c r="M20" s="27">
        <v>0</v>
      </c>
      <c r="N20" s="28">
        <v>0</v>
      </c>
      <c r="O20" s="65">
        <v>3.6</v>
      </c>
      <c r="P20" s="67">
        <v>0</v>
      </c>
      <c r="Q20" s="25">
        <v>0</v>
      </c>
      <c r="R20" s="27">
        <v>0</v>
      </c>
      <c r="S20" s="26">
        <v>0</v>
      </c>
      <c r="T20" s="28">
        <v>0</v>
      </c>
      <c r="U20" s="77">
        <v>7.2</v>
      </c>
      <c r="V20" s="67">
        <v>0</v>
      </c>
      <c r="W20" s="27">
        <v>0</v>
      </c>
      <c r="X20" s="28">
        <v>0</v>
      </c>
      <c r="Y20" s="81">
        <v>203.29999999999998</v>
      </c>
      <c r="Z20" s="67">
        <v>0</v>
      </c>
      <c r="AA20" s="25">
        <v>0</v>
      </c>
      <c r="AB20" s="27">
        <v>0</v>
      </c>
      <c r="AC20" s="25">
        <v>0</v>
      </c>
      <c r="AD20" s="27">
        <v>0</v>
      </c>
      <c r="AE20" s="27">
        <v>0</v>
      </c>
      <c r="AF20" s="27">
        <v>0</v>
      </c>
      <c r="AG20" s="27">
        <v>0</v>
      </c>
      <c r="AH20" s="28">
        <v>0</v>
      </c>
      <c r="AI20" s="65">
        <v>1356</v>
      </c>
      <c r="AJ20" s="67">
        <v>0</v>
      </c>
      <c r="AK20" s="25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</row>
    <row r="21" spans="1:68" x14ac:dyDescent="0.25">
      <c r="A21" s="9"/>
      <c r="B21" s="34">
        <v>10</v>
      </c>
      <c r="C21" s="35"/>
      <c r="D21" s="35"/>
      <c r="E21" s="64">
        <v>0</v>
      </c>
      <c r="F21" s="28">
        <v>0</v>
      </c>
      <c r="G21" s="61">
        <v>0</v>
      </c>
      <c r="H21" s="27">
        <v>0</v>
      </c>
      <c r="I21" s="61"/>
      <c r="J21" s="27">
        <v>0</v>
      </c>
      <c r="K21" s="63">
        <f t="shared" si="0"/>
        <v>0</v>
      </c>
      <c r="L21" s="27">
        <v>0</v>
      </c>
      <c r="M21" s="27">
        <v>0</v>
      </c>
      <c r="N21" s="28">
        <v>0</v>
      </c>
      <c r="O21" s="65">
        <v>0</v>
      </c>
      <c r="P21" s="67">
        <v>0</v>
      </c>
      <c r="Q21" s="25">
        <v>0</v>
      </c>
      <c r="R21" s="27">
        <v>0</v>
      </c>
      <c r="S21" s="26">
        <v>0</v>
      </c>
      <c r="T21" s="28">
        <v>0</v>
      </c>
      <c r="U21" s="78"/>
      <c r="V21" s="67">
        <v>0</v>
      </c>
      <c r="W21" s="27">
        <v>0</v>
      </c>
      <c r="X21" s="28">
        <v>0</v>
      </c>
      <c r="Y21" s="81">
        <v>0</v>
      </c>
      <c r="Z21" s="67">
        <v>0</v>
      </c>
      <c r="AA21" s="25">
        <v>0</v>
      </c>
      <c r="AB21" s="27">
        <v>0</v>
      </c>
      <c r="AC21" s="25">
        <v>0</v>
      </c>
      <c r="AD21" s="27">
        <v>0</v>
      </c>
      <c r="AE21" s="27">
        <v>0</v>
      </c>
      <c r="AF21" s="27">
        <v>0</v>
      </c>
      <c r="AG21" s="27">
        <v>0</v>
      </c>
      <c r="AH21" s="28">
        <v>0</v>
      </c>
      <c r="AI21" s="65">
        <v>0</v>
      </c>
      <c r="AJ21" s="67">
        <v>0</v>
      </c>
      <c r="AK21" s="25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0</v>
      </c>
      <c r="BI21" s="27">
        <v>0</v>
      </c>
      <c r="BJ21" s="27">
        <v>0</v>
      </c>
      <c r="BK21" s="27">
        <v>0</v>
      </c>
      <c r="BL21" s="27">
        <v>0</v>
      </c>
      <c r="BM21" s="27">
        <v>0</v>
      </c>
      <c r="BN21" s="27">
        <v>0</v>
      </c>
      <c r="BO21" s="27">
        <v>0</v>
      </c>
      <c r="BP21" s="27">
        <v>0</v>
      </c>
    </row>
    <row r="22" spans="1:68" x14ac:dyDescent="0.25">
      <c r="A22" s="9"/>
      <c r="B22" s="34">
        <v>11</v>
      </c>
      <c r="C22" s="35"/>
      <c r="D22" s="35"/>
      <c r="E22" s="64">
        <v>5.5</v>
      </c>
      <c r="F22" s="28">
        <v>0</v>
      </c>
      <c r="G22" s="61">
        <v>6.6</v>
      </c>
      <c r="H22" s="27">
        <v>0</v>
      </c>
      <c r="I22" s="61">
        <v>3.1</v>
      </c>
      <c r="J22" s="27">
        <v>0</v>
      </c>
      <c r="K22" s="63">
        <f t="shared" si="0"/>
        <v>9.6999999999999993</v>
      </c>
      <c r="L22" s="27">
        <v>0</v>
      </c>
      <c r="M22" s="27">
        <v>0</v>
      </c>
      <c r="N22" s="28">
        <v>0</v>
      </c>
      <c r="O22" s="65">
        <v>2.5</v>
      </c>
      <c r="P22" s="67">
        <v>0</v>
      </c>
      <c r="Q22" s="25">
        <v>0</v>
      </c>
      <c r="R22" s="27">
        <v>0</v>
      </c>
      <c r="S22" s="26">
        <v>0</v>
      </c>
      <c r="T22" s="28">
        <v>0</v>
      </c>
      <c r="U22" s="79">
        <v>4.2</v>
      </c>
      <c r="V22" s="67">
        <v>0</v>
      </c>
      <c r="W22" s="27">
        <v>0</v>
      </c>
      <c r="X22" s="28">
        <v>0</v>
      </c>
      <c r="Y22" s="81">
        <v>214</v>
      </c>
      <c r="Z22" s="67">
        <v>0</v>
      </c>
      <c r="AA22" s="25">
        <v>0</v>
      </c>
      <c r="AB22" s="27">
        <v>0</v>
      </c>
      <c r="AC22" s="25">
        <v>0</v>
      </c>
      <c r="AD22" s="27">
        <v>0</v>
      </c>
      <c r="AE22" s="27">
        <v>0</v>
      </c>
      <c r="AF22" s="27">
        <v>0</v>
      </c>
      <c r="AG22" s="27">
        <v>0</v>
      </c>
      <c r="AH22" s="28">
        <v>0</v>
      </c>
      <c r="AI22" s="65">
        <v>1349</v>
      </c>
      <c r="AJ22" s="67">
        <v>0</v>
      </c>
      <c r="AK22" s="25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</row>
    <row r="23" spans="1:68" x14ac:dyDescent="0.25">
      <c r="A23" s="9"/>
      <c r="B23" s="34">
        <v>12</v>
      </c>
      <c r="C23" s="35"/>
      <c r="D23" s="35"/>
      <c r="E23" s="64">
        <v>0</v>
      </c>
      <c r="F23" s="28">
        <v>0</v>
      </c>
      <c r="G23" s="61">
        <v>0</v>
      </c>
      <c r="H23" s="27">
        <v>0</v>
      </c>
      <c r="I23" s="61"/>
      <c r="J23" s="27">
        <v>0</v>
      </c>
      <c r="K23" s="63">
        <f t="shared" si="0"/>
        <v>0</v>
      </c>
      <c r="L23" s="27">
        <v>0</v>
      </c>
      <c r="M23" s="27">
        <v>0</v>
      </c>
      <c r="N23" s="28">
        <v>0</v>
      </c>
      <c r="O23" s="65">
        <v>0</v>
      </c>
      <c r="P23" s="67">
        <v>0</v>
      </c>
      <c r="Q23" s="25">
        <v>0</v>
      </c>
      <c r="R23" s="27">
        <v>0</v>
      </c>
      <c r="S23" s="26">
        <v>0</v>
      </c>
      <c r="T23" s="28">
        <v>0</v>
      </c>
      <c r="U23" s="79"/>
      <c r="V23" s="67">
        <v>0</v>
      </c>
      <c r="W23" s="27">
        <v>0</v>
      </c>
      <c r="X23" s="28">
        <v>0</v>
      </c>
      <c r="Y23" s="81">
        <v>0</v>
      </c>
      <c r="Z23" s="67">
        <v>0</v>
      </c>
      <c r="AA23" s="25">
        <v>0</v>
      </c>
      <c r="AB23" s="27">
        <v>0</v>
      </c>
      <c r="AC23" s="25">
        <v>0</v>
      </c>
      <c r="AD23" s="27">
        <v>0</v>
      </c>
      <c r="AE23" s="27">
        <v>0</v>
      </c>
      <c r="AF23" s="27">
        <v>0</v>
      </c>
      <c r="AG23" s="27">
        <v>0</v>
      </c>
      <c r="AH23" s="28">
        <v>0</v>
      </c>
      <c r="AI23" s="65">
        <v>0</v>
      </c>
      <c r="AJ23" s="67">
        <v>0</v>
      </c>
      <c r="AK23" s="25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</row>
    <row r="24" spans="1:68" x14ac:dyDescent="0.25">
      <c r="A24" s="9"/>
      <c r="B24" s="34">
        <v>13</v>
      </c>
      <c r="C24" s="35"/>
      <c r="D24" s="35"/>
      <c r="E24" s="64">
        <v>9</v>
      </c>
      <c r="F24" s="28">
        <v>0</v>
      </c>
      <c r="G24" s="61">
        <v>8.6</v>
      </c>
      <c r="H24" s="27">
        <v>0</v>
      </c>
      <c r="I24" s="61">
        <v>2.5</v>
      </c>
      <c r="J24" s="27">
        <v>0</v>
      </c>
      <c r="K24" s="63">
        <f t="shared" si="0"/>
        <v>11.1</v>
      </c>
      <c r="L24" s="27">
        <v>0</v>
      </c>
      <c r="M24" s="27">
        <v>0</v>
      </c>
      <c r="N24" s="28">
        <v>0</v>
      </c>
      <c r="O24" s="65">
        <v>2.2000000000000002</v>
      </c>
      <c r="P24" s="67">
        <v>0</v>
      </c>
      <c r="Q24" s="25">
        <v>0</v>
      </c>
      <c r="R24" s="27">
        <v>0</v>
      </c>
      <c r="S24" s="26">
        <v>0</v>
      </c>
      <c r="T24" s="28">
        <v>0</v>
      </c>
      <c r="U24" s="78">
        <v>5.2</v>
      </c>
      <c r="V24" s="67">
        <v>0</v>
      </c>
      <c r="W24" s="27">
        <v>0</v>
      </c>
      <c r="X24" s="28">
        <v>0</v>
      </c>
      <c r="Y24" s="81">
        <v>220.9</v>
      </c>
      <c r="Z24" s="67">
        <v>0</v>
      </c>
      <c r="AA24" s="25">
        <v>0</v>
      </c>
      <c r="AB24" s="27">
        <v>0</v>
      </c>
      <c r="AC24" s="25">
        <v>0</v>
      </c>
      <c r="AD24" s="27">
        <v>0</v>
      </c>
      <c r="AE24" s="27">
        <v>0</v>
      </c>
      <c r="AF24" s="27">
        <v>0</v>
      </c>
      <c r="AG24" s="27">
        <v>0</v>
      </c>
      <c r="AH24" s="28">
        <v>0</v>
      </c>
      <c r="AI24" s="65">
        <v>1352</v>
      </c>
      <c r="AJ24" s="67">
        <v>0</v>
      </c>
      <c r="AK24" s="25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</row>
    <row r="25" spans="1:68" x14ac:dyDescent="0.25">
      <c r="A25" s="9"/>
      <c r="B25" s="34">
        <v>14</v>
      </c>
      <c r="C25" s="35"/>
      <c r="D25" s="35"/>
      <c r="E25" s="64">
        <v>0</v>
      </c>
      <c r="F25" s="28">
        <v>0</v>
      </c>
      <c r="G25" s="61">
        <v>0</v>
      </c>
      <c r="H25" s="27">
        <v>0</v>
      </c>
      <c r="I25" s="61"/>
      <c r="J25" s="27">
        <v>0</v>
      </c>
      <c r="K25" s="63">
        <f t="shared" si="0"/>
        <v>0</v>
      </c>
      <c r="L25" s="27">
        <v>0</v>
      </c>
      <c r="M25" s="27">
        <v>0</v>
      </c>
      <c r="N25" s="28">
        <v>0</v>
      </c>
      <c r="O25" s="65">
        <v>0</v>
      </c>
      <c r="P25" s="67">
        <v>0</v>
      </c>
      <c r="Q25" s="25">
        <v>0</v>
      </c>
      <c r="R25" s="27">
        <v>0</v>
      </c>
      <c r="S25" s="26">
        <v>0</v>
      </c>
      <c r="T25" s="28">
        <v>0</v>
      </c>
      <c r="U25" s="78"/>
      <c r="V25" s="67">
        <v>0</v>
      </c>
      <c r="W25" s="27">
        <v>0</v>
      </c>
      <c r="X25" s="28">
        <v>0</v>
      </c>
      <c r="Y25" s="81">
        <v>0</v>
      </c>
      <c r="Z25" s="67">
        <v>0</v>
      </c>
      <c r="AA25" s="25">
        <v>0</v>
      </c>
      <c r="AB25" s="27">
        <v>0</v>
      </c>
      <c r="AC25" s="25">
        <v>0</v>
      </c>
      <c r="AD25" s="27">
        <v>0</v>
      </c>
      <c r="AE25" s="27">
        <v>0</v>
      </c>
      <c r="AF25" s="27">
        <v>0</v>
      </c>
      <c r="AG25" s="27">
        <v>0</v>
      </c>
      <c r="AH25" s="28">
        <v>0</v>
      </c>
      <c r="AI25" s="65">
        <v>0</v>
      </c>
      <c r="AJ25" s="67">
        <v>0</v>
      </c>
      <c r="AK25" s="25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0</v>
      </c>
      <c r="BN25" s="27">
        <v>0</v>
      </c>
      <c r="BO25" s="27">
        <v>0</v>
      </c>
      <c r="BP25" s="27">
        <v>0</v>
      </c>
    </row>
    <row r="26" spans="1:68" x14ac:dyDescent="0.25">
      <c r="A26" s="9"/>
      <c r="B26" s="34">
        <v>15</v>
      </c>
      <c r="C26" s="35"/>
      <c r="D26" s="35"/>
      <c r="E26" s="64">
        <v>9.5</v>
      </c>
      <c r="F26" s="28">
        <v>0</v>
      </c>
      <c r="G26" s="61">
        <v>7.8</v>
      </c>
      <c r="H26" s="27">
        <v>0</v>
      </c>
      <c r="I26" s="61">
        <v>5.5</v>
      </c>
      <c r="J26" s="27">
        <v>0</v>
      </c>
      <c r="K26" s="63">
        <f t="shared" si="0"/>
        <v>13.3</v>
      </c>
      <c r="L26" s="27">
        <v>0</v>
      </c>
      <c r="M26" s="27">
        <v>0</v>
      </c>
      <c r="N26" s="28">
        <v>0</v>
      </c>
      <c r="O26" s="65">
        <v>1.5</v>
      </c>
      <c r="P26" s="67">
        <v>0</v>
      </c>
      <c r="Q26" s="25">
        <v>0</v>
      </c>
      <c r="R26" s="27">
        <v>0</v>
      </c>
      <c r="S26" s="26">
        <v>0</v>
      </c>
      <c r="T26" s="28">
        <v>0</v>
      </c>
      <c r="U26" s="78">
        <v>8.1</v>
      </c>
      <c r="V26" s="67">
        <v>0</v>
      </c>
      <c r="W26" s="27">
        <v>0</v>
      </c>
      <c r="X26" s="28">
        <v>0</v>
      </c>
      <c r="Y26" s="81">
        <v>235.5</v>
      </c>
      <c r="Z26" s="67">
        <v>0</v>
      </c>
      <c r="AA26" s="25">
        <v>0</v>
      </c>
      <c r="AB26" s="27">
        <v>0</v>
      </c>
      <c r="AC26" s="25">
        <v>0</v>
      </c>
      <c r="AD26" s="27">
        <v>0</v>
      </c>
      <c r="AE26" s="27">
        <v>0</v>
      </c>
      <c r="AF26" s="27">
        <v>0</v>
      </c>
      <c r="AG26" s="27">
        <v>0</v>
      </c>
      <c r="AH26" s="28">
        <v>0</v>
      </c>
      <c r="AI26" s="65">
        <v>1173.5</v>
      </c>
      <c r="AJ26" s="67">
        <v>0</v>
      </c>
      <c r="AK26" s="25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</row>
    <row r="27" spans="1:68" x14ac:dyDescent="0.25">
      <c r="A27" s="9"/>
      <c r="B27" s="34">
        <v>16</v>
      </c>
      <c r="C27" s="35"/>
      <c r="D27" s="35"/>
      <c r="E27" s="64">
        <v>0</v>
      </c>
      <c r="F27" s="28">
        <v>0</v>
      </c>
      <c r="G27" s="61">
        <v>0</v>
      </c>
      <c r="H27" s="27">
        <v>0</v>
      </c>
      <c r="I27" s="62"/>
      <c r="J27" s="27">
        <v>0</v>
      </c>
      <c r="K27" s="63">
        <f t="shared" si="0"/>
        <v>0</v>
      </c>
      <c r="L27" s="27">
        <v>0</v>
      </c>
      <c r="M27" s="27">
        <v>0</v>
      </c>
      <c r="N27" s="28">
        <v>0</v>
      </c>
      <c r="O27" s="65">
        <v>0</v>
      </c>
      <c r="P27" s="67">
        <v>0</v>
      </c>
      <c r="Q27" s="25">
        <v>0</v>
      </c>
      <c r="R27" s="27">
        <v>0</v>
      </c>
      <c r="S27" s="26">
        <v>0</v>
      </c>
      <c r="T27" s="28">
        <v>0</v>
      </c>
      <c r="U27" s="77"/>
      <c r="V27" s="67">
        <v>0</v>
      </c>
      <c r="W27" s="27">
        <v>0</v>
      </c>
      <c r="X27" s="28">
        <v>0</v>
      </c>
      <c r="Y27" s="81">
        <v>0</v>
      </c>
      <c r="Z27" s="67">
        <v>0</v>
      </c>
      <c r="AA27" s="25">
        <v>0</v>
      </c>
      <c r="AB27" s="27">
        <v>0</v>
      </c>
      <c r="AC27" s="25">
        <v>0</v>
      </c>
      <c r="AD27" s="27">
        <v>0</v>
      </c>
      <c r="AE27" s="27">
        <v>0</v>
      </c>
      <c r="AF27" s="27">
        <v>0</v>
      </c>
      <c r="AG27" s="27">
        <v>0</v>
      </c>
      <c r="AH27" s="28">
        <v>0</v>
      </c>
      <c r="AI27" s="65">
        <v>0</v>
      </c>
      <c r="AJ27" s="67">
        <v>0</v>
      </c>
      <c r="AK27" s="25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P27" s="27">
        <v>0</v>
      </c>
    </row>
    <row r="28" spans="1:68" x14ac:dyDescent="0.25">
      <c r="A28" s="9"/>
      <c r="B28" s="34">
        <v>17</v>
      </c>
      <c r="C28" s="35"/>
      <c r="D28" s="35"/>
      <c r="E28" s="64">
        <v>7</v>
      </c>
      <c r="F28" s="28">
        <v>0</v>
      </c>
      <c r="G28" s="61">
        <v>9.3000000000000007</v>
      </c>
      <c r="H28" s="27">
        <v>0</v>
      </c>
      <c r="I28" s="61">
        <v>3.5</v>
      </c>
      <c r="J28" s="27">
        <v>0</v>
      </c>
      <c r="K28" s="63">
        <f t="shared" si="0"/>
        <v>12.8</v>
      </c>
      <c r="L28" s="27">
        <v>0</v>
      </c>
      <c r="M28" s="27">
        <v>0</v>
      </c>
      <c r="N28" s="28">
        <v>0</v>
      </c>
      <c r="O28" s="65">
        <v>1.4</v>
      </c>
      <c r="P28" s="67">
        <v>0</v>
      </c>
      <c r="Q28" s="25">
        <v>0</v>
      </c>
      <c r="R28" s="27">
        <v>0</v>
      </c>
      <c r="S28" s="26">
        <v>0</v>
      </c>
      <c r="T28" s="28">
        <v>0</v>
      </c>
      <c r="U28" s="77">
        <v>6.2</v>
      </c>
      <c r="V28" s="67">
        <v>0</v>
      </c>
      <c r="W28" s="27">
        <v>0</v>
      </c>
      <c r="X28" s="28">
        <v>0</v>
      </c>
      <c r="Y28" s="81">
        <v>270</v>
      </c>
      <c r="Z28" s="67">
        <v>0</v>
      </c>
      <c r="AA28" s="25">
        <v>0</v>
      </c>
      <c r="AB28" s="27">
        <v>0</v>
      </c>
      <c r="AC28" s="25">
        <v>0</v>
      </c>
      <c r="AD28" s="27">
        <v>0</v>
      </c>
      <c r="AE28" s="27">
        <v>0</v>
      </c>
      <c r="AF28" s="27">
        <v>0</v>
      </c>
      <c r="AG28" s="27">
        <v>0</v>
      </c>
      <c r="AH28" s="28">
        <v>0</v>
      </c>
      <c r="AI28" s="65">
        <v>1356.3</v>
      </c>
      <c r="AJ28" s="67">
        <v>0</v>
      </c>
      <c r="AK28" s="25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</row>
    <row r="29" spans="1:68" x14ac:dyDescent="0.25">
      <c r="A29" s="9"/>
      <c r="B29" s="34">
        <v>18</v>
      </c>
      <c r="C29" s="35"/>
      <c r="D29" s="35"/>
      <c r="E29" s="64">
        <v>0</v>
      </c>
      <c r="F29" s="28">
        <v>0</v>
      </c>
      <c r="G29" s="61">
        <v>0</v>
      </c>
      <c r="H29" s="27">
        <v>0</v>
      </c>
      <c r="I29" s="61"/>
      <c r="J29" s="27">
        <v>0</v>
      </c>
      <c r="K29" s="63">
        <f t="shared" si="0"/>
        <v>0</v>
      </c>
      <c r="L29" s="27">
        <v>0</v>
      </c>
      <c r="M29" s="27">
        <v>0</v>
      </c>
      <c r="N29" s="28">
        <v>0</v>
      </c>
      <c r="O29" s="65">
        <v>0</v>
      </c>
      <c r="P29" s="67">
        <v>0</v>
      </c>
      <c r="Q29" s="25">
        <v>0</v>
      </c>
      <c r="R29" s="27">
        <v>0</v>
      </c>
      <c r="S29" s="26">
        <v>0</v>
      </c>
      <c r="T29" s="28">
        <v>0</v>
      </c>
      <c r="U29" s="77"/>
      <c r="V29" s="67">
        <v>0</v>
      </c>
      <c r="W29" s="27">
        <v>0</v>
      </c>
      <c r="X29" s="28">
        <v>0</v>
      </c>
      <c r="Y29" s="81">
        <v>0</v>
      </c>
      <c r="Z29" s="67">
        <v>0</v>
      </c>
      <c r="AA29" s="25">
        <v>0</v>
      </c>
      <c r="AB29" s="27">
        <v>0</v>
      </c>
      <c r="AC29" s="25">
        <v>0</v>
      </c>
      <c r="AD29" s="27">
        <v>0</v>
      </c>
      <c r="AE29" s="27">
        <v>0</v>
      </c>
      <c r="AF29" s="27">
        <v>0</v>
      </c>
      <c r="AG29" s="27">
        <v>0</v>
      </c>
      <c r="AH29" s="28">
        <v>0</v>
      </c>
      <c r="AI29" s="65">
        <v>0</v>
      </c>
      <c r="AJ29" s="67">
        <v>0</v>
      </c>
      <c r="AK29" s="25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0</v>
      </c>
      <c r="BL29" s="27">
        <v>0</v>
      </c>
      <c r="BM29" s="27">
        <v>0</v>
      </c>
      <c r="BN29" s="27">
        <v>0</v>
      </c>
      <c r="BO29" s="27">
        <v>0</v>
      </c>
      <c r="BP29" s="27">
        <v>0</v>
      </c>
    </row>
    <row r="30" spans="1:68" x14ac:dyDescent="0.25">
      <c r="A30" s="9"/>
      <c r="B30" s="34">
        <v>19</v>
      </c>
      <c r="C30" s="35"/>
      <c r="D30" s="35"/>
      <c r="E30" s="64">
        <v>10</v>
      </c>
      <c r="F30" s="28">
        <v>0</v>
      </c>
      <c r="G30" s="61">
        <v>8.1999999999999993</v>
      </c>
      <c r="H30" s="27">
        <v>0</v>
      </c>
      <c r="I30" s="61">
        <v>6.4</v>
      </c>
      <c r="J30" s="27">
        <v>0</v>
      </c>
      <c r="K30" s="63">
        <f t="shared" si="0"/>
        <v>14.6</v>
      </c>
      <c r="L30" s="27">
        <v>0</v>
      </c>
      <c r="M30" s="27">
        <v>0</v>
      </c>
      <c r="N30" s="28">
        <v>0</v>
      </c>
      <c r="O30" s="65">
        <v>2.8</v>
      </c>
      <c r="P30" s="67">
        <v>0</v>
      </c>
      <c r="Q30" s="25">
        <v>0</v>
      </c>
      <c r="R30" s="27">
        <v>0</v>
      </c>
      <c r="S30" s="26">
        <v>0</v>
      </c>
      <c r="T30" s="28">
        <v>0</v>
      </c>
      <c r="U30" s="77">
        <v>5.3</v>
      </c>
      <c r="V30" s="67">
        <v>0</v>
      </c>
      <c r="W30" s="27">
        <v>0</v>
      </c>
      <c r="X30" s="28">
        <v>0</v>
      </c>
      <c r="Y30" s="81">
        <v>237.1</v>
      </c>
      <c r="Z30" s="67">
        <v>0</v>
      </c>
      <c r="AA30" s="25">
        <v>0</v>
      </c>
      <c r="AB30" s="27">
        <v>0</v>
      </c>
      <c r="AC30" s="25">
        <v>0</v>
      </c>
      <c r="AD30" s="27">
        <v>0</v>
      </c>
      <c r="AE30" s="27">
        <v>0</v>
      </c>
      <c r="AF30" s="27">
        <v>0</v>
      </c>
      <c r="AG30" s="27">
        <v>0</v>
      </c>
      <c r="AH30" s="28">
        <v>0</v>
      </c>
      <c r="AI30" s="65">
        <v>1368.5</v>
      </c>
      <c r="AJ30" s="67">
        <v>0</v>
      </c>
      <c r="AK30" s="25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</row>
    <row r="31" spans="1:68" x14ac:dyDescent="0.25">
      <c r="A31" s="9"/>
      <c r="B31" s="34">
        <v>20</v>
      </c>
      <c r="C31" s="35"/>
      <c r="D31" s="35"/>
      <c r="E31" s="64">
        <v>0</v>
      </c>
      <c r="F31" s="28">
        <v>0</v>
      </c>
      <c r="G31" s="61">
        <v>0</v>
      </c>
      <c r="H31" s="27">
        <v>0</v>
      </c>
      <c r="I31" s="61"/>
      <c r="J31" s="27">
        <v>0</v>
      </c>
      <c r="K31" s="63">
        <f t="shared" si="0"/>
        <v>0</v>
      </c>
      <c r="L31" s="27">
        <v>0</v>
      </c>
      <c r="M31" s="27">
        <v>0</v>
      </c>
      <c r="N31" s="28">
        <v>0</v>
      </c>
      <c r="O31" s="65">
        <v>0</v>
      </c>
      <c r="P31" s="67">
        <v>0</v>
      </c>
      <c r="Q31" s="25">
        <v>0</v>
      </c>
      <c r="R31" s="27">
        <v>0</v>
      </c>
      <c r="S31" s="26">
        <v>0</v>
      </c>
      <c r="T31" s="28">
        <v>0</v>
      </c>
      <c r="U31" s="77"/>
      <c r="V31" s="67">
        <v>0</v>
      </c>
      <c r="W31" s="27">
        <v>0</v>
      </c>
      <c r="X31" s="28">
        <v>0</v>
      </c>
      <c r="Y31" s="81">
        <v>0</v>
      </c>
      <c r="Z31" s="67">
        <v>0</v>
      </c>
      <c r="AA31" s="25">
        <v>0</v>
      </c>
      <c r="AB31" s="27">
        <v>0</v>
      </c>
      <c r="AC31" s="25">
        <v>0</v>
      </c>
      <c r="AD31" s="27">
        <v>0</v>
      </c>
      <c r="AE31" s="27">
        <v>0</v>
      </c>
      <c r="AF31" s="27">
        <v>0</v>
      </c>
      <c r="AG31" s="27">
        <v>0</v>
      </c>
      <c r="AH31" s="28">
        <v>0</v>
      </c>
      <c r="AI31" s="65">
        <v>0</v>
      </c>
      <c r="AJ31" s="67">
        <v>0</v>
      </c>
      <c r="AK31" s="25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0</v>
      </c>
      <c r="BL31" s="27">
        <v>0</v>
      </c>
      <c r="BM31" s="27">
        <v>0</v>
      </c>
      <c r="BN31" s="27">
        <v>0</v>
      </c>
      <c r="BO31" s="27">
        <v>0</v>
      </c>
      <c r="BP31" s="27">
        <v>0</v>
      </c>
    </row>
    <row r="32" spans="1:68" x14ac:dyDescent="0.25">
      <c r="A32" s="9"/>
      <c r="B32" s="34">
        <v>21</v>
      </c>
      <c r="C32" s="35"/>
      <c r="D32" s="35"/>
      <c r="E32" s="64">
        <v>11</v>
      </c>
      <c r="F32" s="28">
        <v>0</v>
      </c>
      <c r="G32" s="61">
        <v>11.5</v>
      </c>
      <c r="H32" s="27">
        <v>0</v>
      </c>
      <c r="I32" s="61">
        <v>7.2</v>
      </c>
      <c r="J32" s="27">
        <v>0</v>
      </c>
      <c r="K32" s="63">
        <f t="shared" si="0"/>
        <v>18.7</v>
      </c>
      <c r="L32" s="27">
        <v>0</v>
      </c>
      <c r="M32" s="27">
        <v>0</v>
      </c>
      <c r="N32" s="28">
        <v>0</v>
      </c>
      <c r="O32" s="65">
        <v>1.5</v>
      </c>
      <c r="P32" s="67">
        <v>0</v>
      </c>
      <c r="Q32" s="25">
        <v>0</v>
      </c>
      <c r="R32" s="27">
        <v>0</v>
      </c>
      <c r="S32" s="26">
        <v>0</v>
      </c>
      <c r="T32" s="28">
        <v>0</v>
      </c>
      <c r="U32" s="77">
        <v>6.2</v>
      </c>
      <c r="V32" s="67">
        <v>0</v>
      </c>
      <c r="W32" s="27">
        <v>0</v>
      </c>
      <c r="X32" s="28">
        <v>0</v>
      </c>
      <c r="Y32" s="81">
        <v>214</v>
      </c>
      <c r="Z32" s="67">
        <v>0</v>
      </c>
      <c r="AA32" s="25">
        <v>0</v>
      </c>
      <c r="AB32" s="27">
        <v>0</v>
      </c>
      <c r="AC32" s="25">
        <v>0</v>
      </c>
      <c r="AD32" s="27">
        <v>0</v>
      </c>
      <c r="AE32" s="27">
        <v>0</v>
      </c>
      <c r="AF32" s="27">
        <v>0</v>
      </c>
      <c r="AG32" s="27">
        <v>0</v>
      </c>
      <c r="AH32" s="28">
        <v>0</v>
      </c>
      <c r="AI32" s="65">
        <v>1498.5</v>
      </c>
      <c r="AJ32" s="67">
        <v>0</v>
      </c>
      <c r="AK32" s="25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</row>
    <row r="33" spans="1:68" x14ac:dyDescent="0.25">
      <c r="A33" s="9"/>
      <c r="B33" s="34">
        <v>22</v>
      </c>
      <c r="C33" s="35"/>
      <c r="D33" s="35"/>
      <c r="E33" s="64">
        <v>0</v>
      </c>
      <c r="F33" s="28">
        <v>0</v>
      </c>
      <c r="G33" s="61">
        <v>0</v>
      </c>
      <c r="H33" s="27">
        <v>0</v>
      </c>
      <c r="I33" s="61"/>
      <c r="J33" s="27">
        <v>0</v>
      </c>
      <c r="K33" s="63">
        <f t="shared" si="0"/>
        <v>0</v>
      </c>
      <c r="L33" s="27">
        <v>0</v>
      </c>
      <c r="M33" s="27">
        <v>0</v>
      </c>
      <c r="N33" s="28">
        <v>0</v>
      </c>
      <c r="O33" s="65">
        <v>0</v>
      </c>
      <c r="P33" s="67">
        <v>0</v>
      </c>
      <c r="Q33" s="25">
        <v>0</v>
      </c>
      <c r="R33" s="27">
        <v>0</v>
      </c>
      <c r="S33" s="26">
        <v>0</v>
      </c>
      <c r="T33" s="28">
        <v>0</v>
      </c>
      <c r="U33" s="77"/>
      <c r="V33" s="67">
        <v>0</v>
      </c>
      <c r="W33" s="27">
        <v>0</v>
      </c>
      <c r="X33" s="28">
        <v>0</v>
      </c>
      <c r="Y33" s="81">
        <v>0</v>
      </c>
      <c r="Z33" s="67">
        <v>0</v>
      </c>
      <c r="AA33" s="25">
        <v>0</v>
      </c>
      <c r="AB33" s="27">
        <v>0</v>
      </c>
      <c r="AC33" s="25">
        <v>0</v>
      </c>
      <c r="AD33" s="27">
        <v>0</v>
      </c>
      <c r="AE33" s="27">
        <v>0</v>
      </c>
      <c r="AF33" s="27">
        <v>0</v>
      </c>
      <c r="AG33" s="27">
        <v>0</v>
      </c>
      <c r="AH33" s="28">
        <v>0</v>
      </c>
      <c r="AI33" s="65">
        <v>0</v>
      </c>
      <c r="AJ33" s="67">
        <v>0</v>
      </c>
      <c r="AK33" s="25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</row>
    <row r="34" spans="1:68" x14ac:dyDescent="0.25">
      <c r="A34" s="9"/>
      <c r="B34" s="34">
        <v>23</v>
      </c>
      <c r="C34" s="35"/>
      <c r="D34" s="35"/>
      <c r="E34" s="64">
        <v>9</v>
      </c>
      <c r="F34" s="28">
        <v>0</v>
      </c>
      <c r="G34" s="61">
        <v>9.8999999999999986</v>
      </c>
      <c r="H34" s="27">
        <v>0</v>
      </c>
      <c r="I34" s="61">
        <v>3.4</v>
      </c>
      <c r="J34" s="27">
        <v>0</v>
      </c>
      <c r="K34" s="63">
        <f t="shared" si="0"/>
        <v>13.299999999999999</v>
      </c>
      <c r="L34" s="27">
        <v>0</v>
      </c>
      <c r="M34" s="27">
        <v>0</v>
      </c>
      <c r="N34" s="28">
        <v>0</v>
      </c>
      <c r="O34" s="65">
        <v>2.2000000000000002</v>
      </c>
      <c r="P34" s="67">
        <v>0</v>
      </c>
      <c r="Q34" s="25">
        <v>0</v>
      </c>
      <c r="R34" s="27">
        <v>0</v>
      </c>
      <c r="S34" s="26">
        <v>0</v>
      </c>
      <c r="T34" s="28">
        <v>0</v>
      </c>
      <c r="U34" s="77">
        <v>6.7</v>
      </c>
      <c r="V34" s="67">
        <v>0</v>
      </c>
      <c r="W34" s="27">
        <v>0</v>
      </c>
      <c r="X34" s="28">
        <v>0</v>
      </c>
      <c r="Y34" s="81">
        <v>295</v>
      </c>
      <c r="Z34" s="67">
        <v>0</v>
      </c>
      <c r="AA34" s="25">
        <v>0</v>
      </c>
      <c r="AB34" s="27">
        <v>0</v>
      </c>
      <c r="AC34" s="25">
        <v>0</v>
      </c>
      <c r="AD34" s="27">
        <v>0</v>
      </c>
      <c r="AE34" s="27">
        <v>0</v>
      </c>
      <c r="AF34" s="27">
        <v>0</v>
      </c>
      <c r="AG34" s="27">
        <v>0</v>
      </c>
      <c r="AH34" s="28">
        <v>0</v>
      </c>
      <c r="AI34" s="65">
        <v>1339.5</v>
      </c>
      <c r="AJ34" s="67">
        <v>0</v>
      </c>
      <c r="AK34" s="25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</row>
    <row r="35" spans="1:68" x14ac:dyDescent="0.25">
      <c r="A35" s="9"/>
      <c r="B35" s="34">
        <v>24</v>
      </c>
      <c r="C35" s="35"/>
      <c r="D35" s="35"/>
      <c r="E35" s="64">
        <v>0</v>
      </c>
      <c r="F35" s="28">
        <v>0</v>
      </c>
      <c r="G35" s="61">
        <v>0</v>
      </c>
      <c r="H35" s="27">
        <v>0</v>
      </c>
      <c r="I35" s="61"/>
      <c r="J35" s="27">
        <v>0</v>
      </c>
      <c r="K35" s="63">
        <f t="shared" si="0"/>
        <v>0</v>
      </c>
      <c r="L35" s="27">
        <v>0</v>
      </c>
      <c r="M35" s="27">
        <v>0</v>
      </c>
      <c r="N35" s="28">
        <v>0</v>
      </c>
      <c r="O35" s="65">
        <v>0</v>
      </c>
      <c r="P35" s="67">
        <v>0</v>
      </c>
      <c r="Q35" s="25">
        <v>0</v>
      </c>
      <c r="R35" s="27">
        <v>0</v>
      </c>
      <c r="S35" s="26">
        <v>0</v>
      </c>
      <c r="T35" s="28">
        <v>0</v>
      </c>
      <c r="U35" s="80"/>
      <c r="V35" s="67">
        <v>0</v>
      </c>
      <c r="W35" s="27">
        <v>0</v>
      </c>
      <c r="X35" s="28">
        <v>0</v>
      </c>
      <c r="Y35" s="81">
        <v>0</v>
      </c>
      <c r="Z35" s="67">
        <v>0</v>
      </c>
      <c r="AA35" s="25">
        <v>0</v>
      </c>
      <c r="AB35" s="27">
        <v>0</v>
      </c>
      <c r="AC35" s="25">
        <v>0</v>
      </c>
      <c r="AD35" s="27">
        <v>0</v>
      </c>
      <c r="AE35" s="27">
        <v>0</v>
      </c>
      <c r="AF35" s="27">
        <v>0</v>
      </c>
      <c r="AG35" s="27">
        <v>0</v>
      </c>
      <c r="AH35" s="28">
        <v>0</v>
      </c>
      <c r="AI35" s="65">
        <v>0</v>
      </c>
      <c r="AJ35" s="67">
        <v>0</v>
      </c>
      <c r="AK35" s="25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</row>
    <row r="36" spans="1:68" x14ac:dyDescent="0.25">
      <c r="A36" s="9"/>
      <c r="B36" s="34">
        <v>25</v>
      </c>
      <c r="C36" s="35"/>
      <c r="D36" s="35"/>
      <c r="E36" s="64">
        <v>9</v>
      </c>
      <c r="F36" s="28">
        <v>0</v>
      </c>
      <c r="G36" s="61">
        <v>9.3999999999999986</v>
      </c>
      <c r="H36" s="27">
        <v>0</v>
      </c>
      <c r="I36" s="61">
        <v>4.2</v>
      </c>
      <c r="J36" s="27">
        <v>0</v>
      </c>
      <c r="K36" s="63">
        <f t="shared" si="0"/>
        <v>13.599999999999998</v>
      </c>
      <c r="L36" s="27">
        <v>0</v>
      </c>
      <c r="M36" s="27">
        <v>0</v>
      </c>
      <c r="N36" s="28">
        <v>0</v>
      </c>
      <c r="O36" s="65">
        <v>3.1</v>
      </c>
      <c r="P36" s="67">
        <v>0</v>
      </c>
      <c r="Q36" s="25">
        <v>0</v>
      </c>
      <c r="R36" s="27">
        <v>0</v>
      </c>
      <c r="S36" s="26">
        <v>0</v>
      </c>
      <c r="T36" s="28">
        <v>0</v>
      </c>
      <c r="U36" s="79">
        <v>5.2</v>
      </c>
      <c r="V36" s="67">
        <v>0</v>
      </c>
      <c r="W36" s="27">
        <v>0</v>
      </c>
      <c r="X36" s="28">
        <v>0</v>
      </c>
      <c r="Y36" s="81">
        <v>304.5</v>
      </c>
      <c r="Z36" s="67">
        <v>0</v>
      </c>
      <c r="AA36" s="25">
        <v>0</v>
      </c>
      <c r="AB36" s="27">
        <v>0</v>
      </c>
      <c r="AC36" s="25">
        <v>0</v>
      </c>
      <c r="AD36" s="27">
        <v>0</v>
      </c>
      <c r="AE36" s="27">
        <v>0</v>
      </c>
      <c r="AF36" s="27">
        <v>0</v>
      </c>
      <c r="AG36" s="27">
        <v>0</v>
      </c>
      <c r="AH36" s="28">
        <v>0</v>
      </c>
      <c r="AI36" s="65">
        <v>1098</v>
      </c>
      <c r="AJ36" s="67">
        <v>0</v>
      </c>
      <c r="AK36" s="25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</row>
    <row r="37" spans="1:68" x14ac:dyDescent="0.25">
      <c r="A37" s="9"/>
      <c r="B37" s="34">
        <v>26</v>
      </c>
      <c r="C37" s="35"/>
      <c r="D37" s="35"/>
      <c r="E37" s="64">
        <v>0</v>
      </c>
      <c r="F37" s="28">
        <v>0</v>
      </c>
      <c r="G37" s="61">
        <v>0</v>
      </c>
      <c r="H37" s="27">
        <v>0</v>
      </c>
      <c r="I37" s="61"/>
      <c r="J37" s="27">
        <v>0</v>
      </c>
      <c r="K37" s="63">
        <f t="shared" si="0"/>
        <v>0</v>
      </c>
      <c r="L37" s="27">
        <v>0</v>
      </c>
      <c r="M37" s="27">
        <v>0</v>
      </c>
      <c r="N37" s="28">
        <v>0</v>
      </c>
      <c r="O37" s="65">
        <v>0</v>
      </c>
      <c r="P37" s="67">
        <v>0</v>
      </c>
      <c r="Q37" s="25">
        <v>0</v>
      </c>
      <c r="R37" s="27">
        <v>0</v>
      </c>
      <c r="S37" s="26">
        <v>0</v>
      </c>
      <c r="T37" s="28">
        <v>0</v>
      </c>
      <c r="U37" s="79"/>
      <c r="V37" s="67">
        <v>0</v>
      </c>
      <c r="W37" s="27">
        <v>0</v>
      </c>
      <c r="X37" s="28">
        <v>0</v>
      </c>
      <c r="Y37" s="81">
        <v>0</v>
      </c>
      <c r="Z37" s="67">
        <v>0</v>
      </c>
      <c r="AA37" s="25">
        <v>0</v>
      </c>
      <c r="AB37" s="27">
        <v>0</v>
      </c>
      <c r="AC37" s="25">
        <v>0</v>
      </c>
      <c r="AD37" s="27">
        <v>0</v>
      </c>
      <c r="AE37" s="27">
        <v>0</v>
      </c>
      <c r="AF37" s="27">
        <v>0</v>
      </c>
      <c r="AG37" s="27">
        <v>0</v>
      </c>
      <c r="AH37" s="28">
        <v>0</v>
      </c>
      <c r="AI37" s="65">
        <v>0</v>
      </c>
      <c r="AJ37" s="67">
        <v>0</v>
      </c>
      <c r="AK37" s="25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</row>
    <row r="38" spans="1:68" x14ac:dyDescent="0.25">
      <c r="A38" s="9"/>
      <c r="B38" s="34">
        <v>27</v>
      </c>
      <c r="C38" s="35"/>
      <c r="D38" s="35"/>
      <c r="E38" s="64">
        <v>13</v>
      </c>
      <c r="F38" s="28">
        <v>0</v>
      </c>
      <c r="G38" s="61">
        <v>9.6999999999999993</v>
      </c>
      <c r="H38" s="27">
        <v>0</v>
      </c>
      <c r="I38" s="61">
        <v>6.9</v>
      </c>
      <c r="J38" s="27">
        <v>0</v>
      </c>
      <c r="K38" s="63">
        <f t="shared" si="0"/>
        <v>16.600000000000001</v>
      </c>
      <c r="L38" s="27">
        <v>0</v>
      </c>
      <c r="M38" s="27">
        <v>0</v>
      </c>
      <c r="N38" s="28">
        <v>0</v>
      </c>
      <c r="O38" s="65">
        <v>3.3</v>
      </c>
      <c r="P38" s="67">
        <v>0</v>
      </c>
      <c r="Q38" s="25">
        <v>0</v>
      </c>
      <c r="R38" s="27">
        <v>0</v>
      </c>
      <c r="S38" s="26">
        <v>0</v>
      </c>
      <c r="T38" s="28">
        <v>0</v>
      </c>
      <c r="U38" s="78">
        <v>7.3</v>
      </c>
      <c r="V38" s="67">
        <v>0</v>
      </c>
      <c r="W38" s="27">
        <v>0</v>
      </c>
      <c r="X38" s="28">
        <v>0</v>
      </c>
      <c r="Y38" s="81">
        <v>316.39999999999998</v>
      </c>
      <c r="Z38" s="67">
        <v>0</v>
      </c>
      <c r="AA38" s="25">
        <v>0</v>
      </c>
      <c r="AB38" s="27">
        <v>0</v>
      </c>
      <c r="AC38" s="25">
        <v>0</v>
      </c>
      <c r="AD38" s="27">
        <v>0</v>
      </c>
      <c r="AE38" s="27">
        <v>0</v>
      </c>
      <c r="AF38" s="27">
        <v>0</v>
      </c>
      <c r="AG38" s="27">
        <v>0</v>
      </c>
      <c r="AH38" s="28">
        <v>0</v>
      </c>
      <c r="AI38" s="65">
        <v>1220</v>
      </c>
      <c r="AJ38" s="67">
        <v>0</v>
      </c>
      <c r="AK38" s="25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</row>
    <row r="39" spans="1:68" x14ac:dyDescent="0.25">
      <c r="A39" s="9"/>
      <c r="B39" s="34">
        <v>28</v>
      </c>
      <c r="C39" s="35"/>
      <c r="D39" s="35"/>
      <c r="E39" s="64">
        <v>0</v>
      </c>
      <c r="F39" s="28">
        <v>0</v>
      </c>
      <c r="G39" s="61">
        <v>0</v>
      </c>
      <c r="H39" s="27">
        <v>0</v>
      </c>
      <c r="I39" s="61"/>
      <c r="J39" s="27">
        <v>0</v>
      </c>
      <c r="K39" s="63">
        <f t="shared" si="0"/>
        <v>0</v>
      </c>
      <c r="L39" s="27">
        <v>0</v>
      </c>
      <c r="M39" s="27">
        <v>0</v>
      </c>
      <c r="N39" s="28">
        <v>0</v>
      </c>
      <c r="O39" s="65">
        <v>0</v>
      </c>
      <c r="P39" s="67">
        <v>0</v>
      </c>
      <c r="Q39" s="25">
        <v>0</v>
      </c>
      <c r="R39" s="27">
        <v>0</v>
      </c>
      <c r="S39" s="26">
        <v>0</v>
      </c>
      <c r="T39" s="28">
        <v>0</v>
      </c>
      <c r="U39" s="78"/>
      <c r="V39" s="67">
        <v>0</v>
      </c>
      <c r="W39" s="27">
        <v>0</v>
      </c>
      <c r="X39" s="28">
        <v>0</v>
      </c>
      <c r="Y39" s="81">
        <v>0</v>
      </c>
      <c r="Z39" s="67">
        <v>0</v>
      </c>
      <c r="AA39" s="25">
        <v>0</v>
      </c>
      <c r="AB39" s="27">
        <v>0</v>
      </c>
      <c r="AC39" s="25">
        <v>0</v>
      </c>
      <c r="AD39" s="27">
        <v>0</v>
      </c>
      <c r="AE39" s="27">
        <v>0</v>
      </c>
      <c r="AF39" s="27">
        <v>0</v>
      </c>
      <c r="AG39" s="27">
        <v>0</v>
      </c>
      <c r="AH39" s="28">
        <v>0</v>
      </c>
      <c r="AI39" s="65">
        <v>0</v>
      </c>
      <c r="AJ39" s="67">
        <v>0</v>
      </c>
      <c r="AK39" s="25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0</v>
      </c>
    </row>
    <row r="40" spans="1:68" x14ac:dyDescent="0.25">
      <c r="A40" s="9"/>
      <c r="B40" s="34">
        <v>29</v>
      </c>
      <c r="C40" s="35"/>
      <c r="D40" s="35"/>
      <c r="E40" s="64">
        <v>10</v>
      </c>
      <c r="F40" s="28">
        <v>0</v>
      </c>
      <c r="G40" s="61">
        <v>12.3</v>
      </c>
      <c r="H40" s="27">
        <v>0</v>
      </c>
      <c r="I40" s="61">
        <v>4.5</v>
      </c>
      <c r="J40" s="27">
        <v>0</v>
      </c>
      <c r="K40" s="63">
        <f t="shared" si="0"/>
        <v>16.8</v>
      </c>
      <c r="L40" s="27">
        <v>0</v>
      </c>
      <c r="M40" s="27">
        <v>0</v>
      </c>
      <c r="N40" s="28">
        <v>0</v>
      </c>
      <c r="O40" s="65">
        <v>1.2</v>
      </c>
      <c r="P40" s="67">
        <v>0</v>
      </c>
      <c r="Q40" s="25">
        <v>0</v>
      </c>
      <c r="R40" s="27">
        <v>0</v>
      </c>
      <c r="S40" s="26">
        <v>0</v>
      </c>
      <c r="T40" s="28">
        <v>0</v>
      </c>
      <c r="U40" s="78">
        <v>7.5</v>
      </c>
      <c r="V40" s="67">
        <v>0</v>
      </c>
      <c r="W40" s="27">
        <v>0</v>
      </c>
      <c r="X40" s="28">
        <v>0</v>
      </c>
      <c r="Y40" s="65">
        <v>328.1</v>
      </c>
      <c r="Z40" s="67">
        <v>0</v>
      </c>
      <c r="AA40" s="25">
        <v>0</v>
      </c>
      <c r="AB40" s="27">
        <v>0</v>
      </c>
      <c r="AC40" s="25">
        <v>0</v>
      </c>
      <c r="AD40" s="27">
        <v>0</v>
      </c>
      <c r="AE40" s="27">
        <v>0</v>
      </c>
      <c r="AF40" s="27">
        <v>0</v>
      </c>
      <c r="AG40" s="27">
        <v>0</v>
      </c>
      <c r="AH40" s="28">
        <v>0</v>
      </c>
      <c r="AI40" s="65">
        <v>1330</v>
      </c>
      <c r="AJ40" s="67">
        <v>0</v>
      </c>
      <c r="AK40" s="25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</row>
    <row r="41" spans="1:68" ht="17.25" customHeight="1" x14ac:dyDescent="0.25">
      <c r="A41" s="9"/>
      <c r="B41" s="34">
        <v>30</v>
      </c>
      <c r="C41" s="35"/>
      <c r="D41" s="35"/>
      <c r="E41" s="27">
        <v>6.7</v>
      </c>
      <c r="F41" s="28">
        <v>0</v>
      </c>
      <c r="G41" s="39">
        <v>3.1</v>
      </c>
      <c r="H41" s="27">
        <v>0</v>
      </c>
      <c r="I41" s="27">
        <v>0</v>
      </c>
      <c r="J41" s="27">
        <v>0</v>
      </c>
      <c r="K41" s="63">
        <f t="shared" si="0"/>
        <v>3.1</v>
      </c>
      <c r="L41" s="27">
        <v>0</v>
      </c>
      <c r="M41" s="27">
        <v>0</v>
      </c>
      <c r="N41" s="28">
        <v>0</v>
      </c>
      <c r="O41" s="65">
        <v>0</v>
      </c>
      <c r="P41" s="67">
        <v>0</v>
      </c>
      <c r="Q41" s="26">
        <v>0</v>
      </c>
      <c r="R41" s="27">
        <v>0</v>
      </c>
      <c r="S41" s="26">
        <v>0</v>
      </c>
      <c r="T41" s="28">
        <v>0</v>
      </c>
      <c r="U41" s="77"/>
      <c r="V41" s="67">
        <v>0</v>
      </c>
      <c r="W41" s="27">
        <v>0</v>
      </c>
      <c r="X41" s="28">
        <v>0</v>
      </c>
      <c r="Y41" s="82">
        <v>0</v>
      </c>
      <c r="Z41" s="67">
        <v>0</v>
      </c>
      <c r="AA41" s="25">
        <v>0</v>
      </c>
      <c r="AB41" s="27">
        <v>0</v>
      </c>
      <c r="AC41" s="25">
        <v>0</v>
      </c>
      <c r="AD41" s="27">
        <v>0</v>
      </c>
      <c r="AE41" s="27">
        <v>0</v>
      </c>
      <c r="AF41" s="27">
        <v>0</v>
      </c>
      <c r="AG41" s="27">
        <v>0</v>
      </c>
      <c r="AH41" s="28">
        <v>0</v>
      </c>
      <c r="AI41" s="65">
        <v>0</v>
      </c>
      <c r="AJ41" s="67">
        <v>0</v>
      </c>
      <c r="AK41" s="25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27">
        <v>0</v>
      </c>
      <c r="BD41" s="27">
        <v>0</v>
      </c>
      <c r="BE41" s="27">
        <v>0</v>
      </c>
      <c r="BF41" s="27">
        <v>0</v>
      </c>
      <c r="BG41" s="27">
        <v>0</v>
      </c>
      <c r="BH41" s="27">
        <v>0</v>
      </c>
      <c r="BI41" s="27">
        <v>0</v>
      </c>
      <c r="BJ41" s="27">
        <v>0</v>
      </c>
      <c r="BK41" s="27">
        <v>0</v>
      </c>
      <c r="BL41" s="27">
        <v>0</v>
      </c>
      <c r="BM41" s="27">
        <v>0</v>
      </c>
      <c r="BN41" s="27">
        <v>0</v>
      </c>
      <c r="BO41" s="27">
        <v>0</v>
      </c>
      <c r="BP41" s="27">
        <v>0</v>
      </c>
    </row>
    <row r="42" spans="1:68" s="3" customFormat="1" ht="13.5" customHeight="1" x14ac:dyDescent="0.25">
      <c r="B42" s="17"/>
      <c r="C42" s="17"/>
      <c r="D42" s="17"/>
      <c r="E42" s="17"/>
      <c r="F42" s="17"/>
      <c r="G42" s="17"/>
      <c r="H42" s="17"/>
      <c r="I42" s="17"/>
      <c r="J42" s="17"/>
      <c r="L42" s="17"/>
      <c r="M42" s="17"/>
      <c r="N42" s="66"/>
      <c r="O42" s="65">
        <v>0</v>
      </c>
      <c r="P42" s="68"/>
      <c r="Q42" s="17"/>
      <c r="R42" s="17"/>
      <c r="S42" s="17"/>
      <c r="T42" s="66"/>
      <c r="U42" s="77"/>
      <c r="V42" s="68"/>
      <c r="W42" s="17"/>
      <c r="X42" s="66"/>
      <c r="Y42" s="83"/>
      <c r="Z42" s="68"/>
      <c r="AA42" s="17"/>
      <c r="AB42" s="17"/>
      <c r="AC42" s="17"/>
      <c r="AD42" s="17"/>
      <c r="AE42" s="17"/>
      <c r="AF42" s="17"/>
      <c r="AG42" s="17"/>
      <c r="AH42" s="66"/>
      <c r="AI42" s="65">
        <v>0</v>
      </c>
      <c r="AJ42" s="68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</row>
    <row r="43" spans="1:68" s="3" customFormat="1" x14ac:dyDescent="0.25">
      <c r="B43" s="29"/>
      <c r="C43" s="29"/>
      <c r="D43" s="29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70"/>
      <c r="P43" s="32"/>
      <c r="Q43" s="32"/>
      <c r="R43" s="32"/>
      <c r="S43" s="32"/>
      <c r="T43" s="32"/>
      <c r="U43" s="70"/>
      <c r="V43" s="32"/>
      <c r="W43" s="32"/>
      <c r="X43" s="85"/>
      <c r="Y43" s="84"/>
      <c r="Z43" s="86"/>
      <c r="AA43" s="32"/>
      <c r="AB43" s="32"/>
      <c r="AC43" s="32"/>
      <c r="AD43" s="32"/>
      <c r="AE43" s="32"/>
      <c r="AF43" s="32"/>
      <c r="AG43" s="32"/>
      <c r="AH43" s="32"/>
      <c r="AI43" s="70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</row>
    <row r="44" spans="1:68" x14ac:dyDescent="0.25">
      <c r="A44" s="5"/>
      <c r="B44" s="30"/>
      <c r="C44" s="31"/>
      <c r="D44" s="31"/>
      <c r="E44" s="33">
        <f>SUM(E12:E41)</f>
        <v>135.69999999999999</v>
      </c>
      <c r="F44" s="33">
        <f t="shared" ref="F44:BP44" si="1">SUM(F12:F41)</f>
        <v>0</v>
      </c>
      <c r="G44" s="33">
        <f t="shared" si="1"/>
        <v>144.1</v>
      </c>
      <c r="H44" s="33">
        <f t="shared" si="1"/>
        <v>0</v>
      </c>
      <c r="I44" s="33">
        <f t="shared" si="1"/>
        <v>69.000000000000014</v>
      </c>
      <c r="J44" s="33">
        <f t="shared" si="1"/>
        <v>0</v>
      </c>
      <c r="K44" s="33">
        <f t="shared" si="1"/>
        <v>213.1</v>
      </c>
      <c r="L44" s="33">
        <f t="shared" si="1"/>
        <v>0</v>
      </c>
      <c r="M44" s="33">
        <f t="shared" si="1"/>
        <v>0</v>
      </c>
      <c r="N44" s="33">
        <f t="shared" si="1"/>
        <v>0</v>
      </c>
      <c r="O44" s="33">
        <f t="shared" si="1"/>
        <v>36</v>
      </c>
      <c r="P44" s="33">
        <f t="shared" si="1"/>
        <v>0</v>
      </c>
      <c r="Q44" s="33">
        <f t="shared" si="1"/>
        <v>0</v>
      </c>
      <c r="R44" s="33">
        <f t="shared" si="1"/>
        <v>0</v>
      </c>
      <c r="S44" s="33">
        <f t="shared" si="1"/>
        <v>0</v>
      </c>
      <c r="T44" s="33">
        <f t="shared" si="1"/>
        <v>0</v>
      </c>
      <c r="U44" s="33">
        <f t="shared" si="1"/>
        <v>89.7</v>
      </c>
      <c r="V44" s="33">
        <f t="shared" si="1"/>
        <v>0</v>
      </c>
      <c r="W44" s="33">
        <f t="shared" si="1"/>
        <v>0</v>
      </c>
      <c r="X44" s="33">
        <f t="shared" si="1"/>
        <v>0</v>
      </c>
      <c r="Y44" s="87">
        <f t="shared" si="1"/>
        <v>3688.5</v>
      </c>
      <c r="Z44" s="33">
        <f t="shared" si="1"/>
        <v>8800000</v>
      </c>
      <c r="AA44" s="33">
        <f t="shared" si="1"/>
        <v>0</v>
      </c>
      <c r="AB44" s="33">
        <f t="shared" si="1"/>
        <v>0</v>
      </c>
      <c r="AC44" s="33">
        <f t="shared" si="1"/>
        <v>0</v>
      </c>
      <c r="AD44" s="33">
        <f t="shared" si="1"/>
        <v>0</v>
      </c>
      <c r="AE44" s="33">
        <f t="shared" si="1"/>
        <v>0</v>
      </c>
      <c r="AF44" s="33">
        <f t="shared" si="1"/>
        <v>0</v>
      </c>
      <c r="AG44" s="33">
        <f t="shared" si="1"/>
        <v>0</v>
      </c>
      <c r="AH44" s="33">
        <f t="shared" si="1"/>
        <v>0</v>
      </c>
      <c r="AI44" s="33">
        <f t="shared" si="1"/>
        <v>19488.3</v>
      </c>
      <c r="AJ44" s="33">
        <f t="shared" si="1"/>
        <v>0</v>
      </c>
      <c r="AK44" s="33">
        <f t="shared" si="1"/>
        <v>0</v>
      </c>
      <c r="AL44" s="33">
        <f t="shared" si="1"/>
        <v>0</v>
      </c>
      <c r="AM44" s="33">
        <f t="shared" si="1"/>
        <v>0</v>
      </c>
      <c r="AN44" s="33">
        <f t="shared" si="1"/>
        <v>0</v>
      </c>
      <c r="AO44" s="33">
        <f t="shared" si="1"/>
        <v>0</v>
      </c>
      <c r="AP44" s="33">
        <f t="shared" si="1"/>
        <v>0</v>
      </c>
      <c r="AQ44" s="33">
        <f t="shared" si="1"/>
        <v>0</v>
      </c>
      <c r="AR44" s="33">
        <f t="shared" si="1"/>
        <v>0</v>
      </c>
      <c r="AS44" s="33">
        <f t="shared" si="1"/>
        <v>0</v>
      </c>
      <c r="AT44" s="33">
        <f t="shared" si="1"/>
        <v>0</v>
      </c>
      <c r="AU44" s="33">
        <f t="shared" si="1"/>
        <v>0</v>
      </c>
      <c r="AV44" s="33">
        <f t="shared" si="1"/>
        <v>0</v>
      </c>
      <c r="AW44" s="33">
        <f t="shared" si="1"/>
        <v>0</v>
      </c>
      <c r="AX44" s="33">
        <f t="shared" si="1"/>
        <v>0</v>
      </c>
      <c r="AY44" s="33">
        <f t="shared" si="1"/>
        <v>0</v>
      </c>
      <c r="AZ44" s="33">
        <f t="shared" si="1"/>
        <v>0</v>
      </c>
      <c r="BA44" s="33">
        <f t="shared" si="1"/>
        <v>0</v>
      </c>
      <c r="BB44" s="33">
        <f t="shared" si="1"/>
        <v>0</v>
      </c>
      <c r="BC44" s="33">
        <f t="shared" si="1"/>
        <v>0</v>
      </c>
      <c r="BD44" s="33">
        <f t="shared" si="1"/>
        <v>0</v>
      </c>
      <c r="BE44" s="33">
        <f t="shared" si="1"/>
        <v>0</v>
      </c>
      <c r="BF44" s="33">
        <f t="shared" si="1"/>
        <v>0</v>
      </c>
      <c r="BG44" s="33">
        <f t="shared" si="1"/>
        <v>0</v>
      </c>
      <c r="BH44" s="33">
        <f t="shared" si="1"/>
        <v>0</v>
      </c>
      <c r="BI44" s="33">
        <f t="shared" si="1"/>
        <v>0</v>
      </c>
      <c r="BJ44" s="33">
        <f t="shared" si="1"/>
        <v>0</v>
      </c>
      <c r="BK44" s="33">
        <f t="shared" si="1"/>
        <v>0</v>
      </c>
      <c r="BL44" s="33">
        <f t="shared" si="1"/>
        <v>0</v>
      </c>
      <c r="BM44" s="33">
        <f t="shared" si="1"/>
        <v>0</v>
      </c>
      <c r="BN44" s="33">
        <f t="shared" si="1"/>
        <v>0</v>
      </c>
      <c r="BO44" s="33">
        <f t="shared" si="1"/>
        <v>0</v>
      </c>
      <c r="BP44" s="33">
        <f t="shared" si="1"/>
        <v>0</v>
      </c>
    </row>
    <row r="45" spans="1:68" x14ac:dyDescent="0.25">
      <c r="A45" s="5"/>
      <c r="B45" s="5"/>
      <c r="C45" s="18"/>
      <c r="D45" s="19"/>
    </row>
  </sheetData>
  <mergeCells count="11">
    <mergeCell ref="Y8:AL9"/>
    <mergeCell ref="AM8:BD9"/>
    <mergeCell ref="BE8:BP9"/>
    <mergeCell ref="E8:F9"/>
    <mergeCell ref="M8:T9"/>
    <mergeCell ref="G8:L9"/>
    <mergeCell ref="B7:D7"/>
    <mergeCell ref="B8:B10"/>
    <mergeCell ref="C8:C10"/>
    <mergeCell ref="D8:D10"/>
    <mergeCell ref="U8:X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H38" sqref="H38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6" t="s">
        <v>71</v>
      </c>
    </row>
    <row r="2" spans="1:3" ht="18.75" x14ac:dyDescent="0.3">
      <c r="A2" s="109">
        <v>44652</v>
      </c>
      <c r="B2" s="110"/>
      <c r="C2" s="110"/>
    </row>
    <row r="3" spans="1:3" ht="15" customHeight="1" x14ac:dyDescent="0.25">
      <c r="A3" s="114" t="s">
        <v>73</v>
      </c>
      <c r="B3" s="111" t="s">
        <v>74</v>
      </c>
      <c r="C3" s="111" t="s">
        <v>75</v>
      </c>
    </row>
    <row r="4" spans="1:3" x14ac:dyDescent="0.25">
      <c r="A4" s="115"/>
      <c r="B4" s="112"/>
      <c r="C4" s="112"/>
    </row>
    <row r="5" spans="1:3" x14ac:dyDescent="0.25">
      <c r="A5" s="116"/>
      <c r="B5" s="113"/>
      <c r="C5" s="113"/>
    </row>
    <row r="6" spans="1:3" x14ac:dyDescent="0.25">
      <c r="A6" s="34">
        <v>1</v>
      </c>
      <c r="B6" s="35"/>
      <c r="C6" s="35"/>
    </row>
    <row r="7" spans="1:3" x14ac:dyDescent="0.25">
      <c r="A7" s="34">
        <v>2</v>
      </c>
      <c r="B7" s="35"/>
      <c r="C7" s="35"/>
    </row>
    <row r="8" spans="1:3" x14ac:dyDescent="0.25">
      <c r="A8" s="34">
        <v>3</v>
      </c>
      <c r="B8" s="35"/>
      <c r="C8" s="35"/>
    </row>
    <row r="9" spans="1:3" x14ac:dyDescent="0.25">
      <c r="A9" s="34">
        <v>4</v>
      </c>
      <c r="B9" s="35"/>
      <c r="C9" s="35"/>
    </row>
    <row r="10" spans="1:3" x14ac:dyDescent="0.25">
      <c r="A10" s="34">
        <v>5</v>
      </c>
      <c r="B10" s="35"/>
      <c r="C10" s="35"/>
    </row>
    <row r="11" spans="1:3" x14ac:dyDescent="0.25">
      <c r="A11" s="34">
        <v>6</v>
      </c>
      <c r="B11" s="35"/>
      <c r="C11" s="35"/>
    </row>
    <row r="12" spans="1:3" x14ac:dyDescent="0.25">
      <c r="A12" s="34">
        <v>7</v>
      </c>
      <c r="B12" s="35"/>
      <c r="C12" s="35"/>
    </row>
    <row r="13" spans="1:3" x14ac:dyDescent="0.25">
      <c r="A13" s="34">
        <v>8</v>
      </c>
      <c r="B13" s="35"/>
      <c r="C13" s="35"/>
    </row>
    <row r="14" spans="1:3" x14ac:dyDescent="0.25">
      <c r="A14" s="34">
        <v>9</v>
      </c>
      <c r="B14" s="35"/>
      <c r="C14" s="35"/>
    </row>
    <row r="15" spans="1:3" x14ac:dyDescent="0.25">
      <c r="A15" s="34">
        <v>10</v>
      </c>
      <c r="B15" s="35"/>
      <c r="C15" s="35"/>
    </row>
    <row r="16" spans="1:3" x14ac:dyDescent="0.25">
      <c r="A16" s="34">
        <v>11</v>
      </c>
      <c r="B16" s="35"/>
      <c r="C16" s="35"/>
    </row>
    <row r="17" spans="1:3" x14ac:dyDescent="0.25">
      <c r="A17" s="34">
        <v>12</v>
      </c>
      <c r="B17" s="35"/>
      <c r="C17" s="35"/>
    </row>
    <row r="18" spans="1:3" x14ac:dyDescent="0.25">
      <c r="A18" s="34">
        <v>13</v>
      </c>
      <c r="B18" s="35"/>
      <c r="C18" s="35"/>
    </row>
    <row r="19" spans="1:3" x14ac:dyDescent="0.25">
      <c r="A19" s="34">
        <v>14</v>
      </c>
      <c r="B19" s="35"/>
      <c r="C19" s="35"/>
    </row>
    <row r="20" spans="1:3" x14ac:dyDescent="0.25">
      <c r="A20" s="34">
        <v>15</v>
      </c>
      <c r="B20" s="35"/>
      <c r="C20" s="35"/>
    </row>
    <row r="21" spans="1:3" x14ac:dyDescent="0.25">
      <c r="A21" s="34">
        <v>16</v>
      </c>
      <c r="B21" s="35"/>
      <c r="C21" s="35"/>
    </row>
    <row r="22" spans="1:3" x14ac:dyDescent="0.25">
      <c r="A22" s="34">
        <v>17</v>
      </c>
      <c r="B22" s="35"/>
      <c r="C22" s="35"/>
    </row>
    <row r="23" spans="1:3" x14ac:dyDescent="0.25">
      <c r="A23" s="34">
        <v>18</v>
      </c>
      <c r="B23" s="35"/>
      <c r="C23" s="35"/>
    </row>
    <row r="24" spans="1:3" x14ac:dyDescent="0.25">
      <c r="A24" s="34">
        <v>19</v>
      </c>
      <c r="B24" s="35"/>
      <c r="C24" s="35"/>
    </row>
    <row r="25" spans="1:3" x14ac:dyDescent="0.25">
      <c r="A25" s="34">
        <v>20</v>
      </c>
      <c r="B25" s="35"/>
      <c r="C25" s="35"/>
    </row>
    <row r="26" spans="1:3" x14ac:dyDescent="0.25">
      <c r="A26" s="34">
        <v>21</v>
      </c>
      <c r="B26" s="35"/>
      <c r="C26" s="35"/>
    </row>
    <row r="27" spans="1:3" x14ac:dyDescent="0.25">
      <c r="A27" s="34">
        <v>22</v>
      </c>
      <c r="B27" s="35"/>
      <c r="C27" s="35"/>
    </row>
    <row r="28" spans="1:3" x14ac:dyDescent="0.25">
      <c r="A28" s="34">
        <v>23</v>
      </c>
      <c r="B28" s="35"/>
      <c r="C28" s="35"/>
    </row>
    <row r="29" spans="1:3" x14ac:dyDescent="0.25">
      <c r="A29" s="34">
        <v>24</v>
      </c>
      <c r="B29" s="35"/>
      <c r="C29" s="35"/>
    </row>
    <row r="30" spans="1:3" x14ac:dyDescent="0.25">
      <c r="A30" s="34">
        <v>25</v>
      </c>
      <c r="B30" s="35"/>
      <c r="C30" s="35"/>
    </row>
    <row r="31" spans="1:3" x14ac:dyDescent="0.25">
      <c r="A31" s="34">
        <v>26</v>
      </c>
      <c r="B31" s="35"/>
      <c r="C31" s="35"/>
    </row>
    <row r="32" spans="1:3" x14ac:dyDescent="0.25">
      <c r="A32" s="34">
        <v>27</v>
      </c>
      <c r="B32" s="35"/>
      <c r="C32" s="35"/>
    </row>
    <row r="33" spans="1:3" x14ac:dyDescent="0.25">
      <c r="A33" s="34">
        <v>28</v>
      </c>
      <c r="B33" s="35"/>
      <c r="C33" s="35"/>
    </row>
    <row r="34" spans="1:3" x14ac:dyDescent="0.25">
      <c r="A34" s="34">
        <v>29</v>
      </c>
      <c r="B34" s="35"/>
      <c r="C34" s="35"/>
    </row>
    <row r="35" spans="1:3" x14ac:dyDescent="0.25">
      <c r="A35" s="34">
        <v>30</v>
      </c>
      <c r="B35" s="35"/>
      <c r="C35" s="35"/>
    </row>
    <row r="36" spans="1:3" x14ac:dyDescent="0.25">
      <c r="A36" s="36"/>
      <c r="B36" s="37"/>
      <c r="C36" s="38"/>
    </row>
    <row r="37" spans="1:3" x14ac:dyDescent="0.25">
      <c r="B37" s="2"/>
      <c r="C37" s="2"/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00B199-2EB5-479B-B9B5-E8030B03D2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Sayan April 2022</vt:lpstr>
      <vt:lpstr>RNs &amp; Covers April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