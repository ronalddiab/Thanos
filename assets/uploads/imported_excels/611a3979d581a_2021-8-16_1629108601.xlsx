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77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</sheets>
  <externalReferences>
    <externalReference r:id="rId39"/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24519"/>
</workbook>
</file>

<file path=xl/calcChain.xml><?xml version="1.0" encoding="utf-8"?>
<calcChain xmlns="http://schemas.openxmlformats.org/spreadsheetml/2006/main">
  <c r="G15" i="16"/>
  <c r="E7" i="15"/>
  <c r="G176" i="14"/>
  <c r="G175"/>
  <c r="G174"/>
  <c r="J91" i="13"/>
  <c r="E36" i="12"/>
  <c r="E37"/>
  <c r="E38"/>
  <c r="E39"/>
  <c r="E40"/>
  <c r="E41"/>
  <c r="E42"/>
  <c r="E43"/>
  <c r="E44"/>
  <c r="E45"/>
  <c r="E46"/>
  <c r="E36" i="11"/>
  <c r="E37"/>
  <c r="E38"/>
  <c r="E39"/>
  <c r="E40"/>
  <c r="E41"/>
  <c r="E42"/>
  <c r="E43"/>
  <c r="E44"/>
  <c r="E45"/>
  <c r="E63" i="10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AZ10" i="44"/>
  <c r="AZ11"/>
  <c r="AZ9"/>
  <c r="E4" i="45" l="1"/>
  <c r="F4"/>
  <c r="G4"/>
  <c r="H4"/>
  <c r="I4"/>
  <c r="J4"/>
  <c r="D4"/>
  <c r="K25"/>
  <c r="E8" i="9"/>
  <c r="E9"/>
  <c r="E10"/>
  <c r="E11"/>
  <c r="E12"/>
  <c r="F166" i="7"/>
  <c r="F167"/>
  <c r="F168"/>
  <c r="F169"/>
  <c r="F170"/>
  <c r="F171"/>
  <c r="F172"/>
  <c r="F165"/>
  <c r="E105" i="33"/>
  <c r="E8"/>
  <c r="E7"/>
  <c r="G60" i="5"/>
  <c r="G7"/>
  <c r="G93"/>
  <c r="E174"/>
  <c r="E175"/>
  <c r="E173"/>
  <c r="E175" i="4"/>
  <c r="E176"/>
  <c r="E174"/>
  <c r="E175" i="3"/>
  <c r="E176"/>
  <c r="E174"/>
  <c r="E166"/>
  <c r="E42"/>
  <c r="E24"/>
  <c r="E18"/>
  <c r="E30" i="2" l="1"/>
  <c r="E31"/>
  <c r="G13"/>
  <c r="F15" i="31"/>
  <c r="B23" i="48"/>
  <c r="G132" i="27" l="1"/>
  <c r="G134"/>
  <c r="G135"/>
  <c r="G140"/>
  <c r="E132"/>
  <c r="E133"/>
  <c r="G133" s="1"/>
  <c r="E134"/>
  <c r="E135"/>
  <c r="E136"/>
  <c r="G136" s="1"/>
  <c r="E137"/>
  <c r="G137" s="1"/>
  <c r="E138"/>
  <c r="G138" s="1"/>
  <c r="E139"/>
  <c r="G139" s="1"/>
  <c r="E140"/>
  <c r="E141"/>
  <c r="G141" s="1"/>
  <c r="G177" i="28"/>
  <c r="G176"/>
  <c r="G175"/>
  <c r="G174"/>
  <c r="E162" i="40"/>
  <c r="E163"/>
  <c r="E164"/>
  <c r="E165"/>
  <c r="E166"/>
  <c r="E167"/>
  <c r="E168"/>
  <c r="E169"/>
  <c r="E170"/>
  <c r="E171"/>
  <c r="E172"/>
  <c r="E173"/>
  <c r="E174"/>
  <c r="E175"/>
  <c r="G175" s="1"/>
  <c r="E176"/>
  <c r="G176" s="1"/>
  <c r="G174"/>
  <c r="E162" i="25"/>
  <c r="E163"/>
  <c r="E164"/>
  <c r="E165"/>
  <c r="E166"/>
  <c r="E167"/>
  <c r="E168"/>
  <c r="E169"/>
  <c r="E170"/>
  <c r="E171"/>
  <c r="E172"/>
  <c r="E36"/>
  <c r="E37"/>
  <c r="E38"/>
  <c r="E39"/>
  <c r="E40"/>
  <c r="E41"/>
  <c r="E42"/>
  <c r="E43"/>
  <c r="E44"/>
  <c r="E45"/>
  <c r="E46"/>
  <c r="E175" i="21"/>
  <c r="E176"/>
  <c r="E174"/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E176"/>
  <c r="E177"/>
  <c r="G177" s="1"/>
  <c r="E175"/>
  <c r="G175" s="1"/>
  <c r="E107"/>
  <c r="E175" i="18"/>
  <c r="E176"/>
  <c r="G176" s="1"/>
  <c r="E174"/>
  <c r="G174" s="1"/>
  <c r="E180" i="17"/>
  <c r="G180" s="1"/>
  <c r="E179"/>
  <c r="G179" s="1"/>
  <c r="E178"/>
  <c r="G178" s="1"/>
  <c r="E93"/>
  <c r="E96"/>
  <c r="E97"/>
  <c r="G179" i="16"/>
  <c r="G180"/>
  <c r="G178"/>
  <c r="E106" i="15"/>
  <c r="G175" i="18"/>
  <c r="G176" i="19"/>
  <c r="G180" i="22"/>
  <c r="E180"/>
  <c r="G179"/>
  <c r="E179"/>
  <c r="G178"/>
  <c r="E178"/>
  <c r="G180" i="31"/>
  <c r="E180"/>
  <c r="G179"/>
  <c r="E179"/>
  <c r="G178"/>
  <c r="E178"/>
  <c r="G175" i="15"/>
  <c r="G174"/>
  <c r="G173"/>
  <c r="E41"/>
  <c r="E79" i="13"/>
  <c r="E76"/>
  <c r="E75"/>
  <c r="E73"/>
  <c r="E84"/>
  <c r="E84" i="12"/>
  <c r="E78"/>
  <c r="E75"/>
  <c r="E72"/>
  <c r="E174" i="13"/>
  <c r="G174" s="1"/>
  <c r="E175"/>
  <c r="G175" s="1"/>
  <c r="E173"/>
  <c r="G173" s="1"/>
  <c r="G174" i="12"/>
  <c r="E105"/>
  <c r="G175" i="11"/>
  <c r="G174"/>
  <c r="G173"/>
  <c r="G175" i="10"/>
  <c r="G174"/>
  <c r="G173"/>
  <c r="E82" i="4"/>
  <c r="E73" i="3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E174"/>
  <c r="G174" s="1"/>
  <c r="E175"/>
  <c r="G175" s="1"/>
  <c r="E173"/>
  <c r="G173" s="1"/>
  <c r="E9"/>
  <c r="G175" i="5" l="1"/>
  <c r="G174"/>
  <c r="G173"/>
  <c r="G18" i="4"/>
  <c r="G176"/>
  <c r="G175"/>
  <c r="G174"/>
  <c r="F168"/>
  <c r="G174" i="3"/>
  <c r="G175"/>
  <c r="G176"/>
  <c r="E140"/>
  <c r="G9" i="2"/>
  <c r="G7" l="1"/>
  <c r="E29"/>
  <c r="G24"/>
  <c r="G23"/>
  <c r="G18"/>
  <c r="G133"/>
  <c r="H133" s="1"/>
  <c r="J133" s="1"/>
  <c r="G134"/>
  <c r="H134" s="1"/>
  <c r="J134" s="1"/>
  <c r="G135"/>
  <c r="H135" s="1"/>
  <c r="J135" s="1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2"/>
  <c r="B24"/>
  <c r="B25"/>
  <c r="B26"/>
  <c r="B27"/>
  <c r="B28"/>
  <c r="B29"/>
  <c r="B30"/>
  <c r="B31"/>
  <c r="B32"/>
  <c r="B2"/>
  <c r="E111" i="28"/>
  <c r="E112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G177"/>
  <c r="G176"/>
  <c r="G175"/>
  <c r="G174"/>
  <c r="G2" i="48"/>
  <c r="J20"/>
  <c r="K2"/>
  <c r="E2"/>
  <c r="B33" l="1"/>
  <c r="G176" i="25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4"/>
  <c r="G174" s="1"/>
  <c r="E175" i="23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33" i="19"/>
  <c r="G133" s="1"/>
  <c r="F168" i="18"/>
  <c r="E87"/>
  <c r="E97"/>
  <c r="E93"/>
  <c r="E50" i="17"/>
  <c r="G174" i="16"/>
  <c r="G173"/>
  <c r="E50" i="13" l="1"/>
  <c r="E51"/>
  <c r="E52"/>
  <c r="E53"/>
  <c r="E54"/>
  <c r="E55"/>
  <c r="E56"/>
  <c r="E57"/>
  <c r="E58"/>
  <c r="G58" s="1"/>
  <c r="E162" i="12" l="1"/>
  <c r="G162" s="1"/>
  <c r="E163"/>
  <c r="G163" s="1"/>
  <c r="E164"/>
  <c r="G164" s="1"/>
  <c r="E165"/>
  <c r="G165" s="1"/>
  <c r="E166"/>
  <c r="G166" s="1"/>
  <c r="E171"/>
  <c r="G171" s="1"/>
  <c r="G173"/>
  <c r="G175"/>
  <c r="E97"/>
  <c r="E98"/>
  <c r="E99"/>
  <c r="E100"/>
  <c r="E101"/>
  <c r="E94"/>
  <c r="E87"/>
  <c r="E88"/>
  <c r="E89"/>
  <c r="E90"/>
  <c r="E91"/>
  <c r="E73"/>
  <c r="E74"/>
  <c r="E76"/>
  <c r="E77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9"/>
  <c r="E10"/>
  <c r="E11"/>
  <c r="E12"/>
  <c r="E132" i="11"/>
  <c r="E133"/>
  <c r="E134"/>
  <c r="E135"/>
  <c r="E136"/>
  <c r="E137"/>
  <c r="E138"/>
  <c r="E139"/>
  <c r="E140"/>
  <c r="E141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AZ34" i="1" l="1"/>
  <c r="AS34"/>
  <c r="E162" i="43"/>
  <c r="E163"/>
  <c r="E164"/>
  <c r="E10"/>
  <c r="E11"/>
  <c r="E12"/>
  <c r="E98" i="27"/>
  <c r="E34" i="1"/>
  <c r="F34"/>
  <c r="T34"/>
  <c r="V34" s="1"/>
  <c r="AM34"/>
  <c r="F168" i="40"/>
  <c r="F169"/>
  <c r="F170"/>
  <c r="F171"/>
  <c r="F172"/>
  <c r="E24" i="25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G78" s="1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8"/>
  <c r="J91" s="1"/>
  <c r="H91" i="22"/>
  <c r="J91" s="1"/>
  <c r="E10" i="40"/>
  <c r="E135" i="25"/>
  <c r="E134"/>
  <c r="G174" i="21"/>
  <c r="G174" i="20"/>
  <c r="E46" i="11"/>
  <c r="E105"/>
  <c r="G105" s="1"/>
  <c r="E93" i="9"/>
  <c r="E83"/>
  <c r="H114" i="3"/>
  <c r="H114" i="4" s="1"/>
  <c r="H114" i="5" s="1"/>
  <c r="H109" i="3"/>
  <c r="H109" i="4" s="1"/>
  <c r="H109" i="5" s="1"/>
  <c r="H91" i="23" l="1"/>
  <c r="H91" i="24" s="1"/>
  <c r="J91" s="1"/>
  <c r="H91" i="31"/>
  <c r="J91" s="1"/>
  <c r="E77" i="7"/>
  <c r="E11"/>
  <c r="E12"/>
  <c r="E12" i="3"/>
  <c r="E11"/>
  <c r="E23"/>
  <c r="E22"/>
  <c r="E162" i="5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9" i="3"/>
  <c r="E9" i="4" s="1"/>
  <c r="E9" i="5" s="1"/>
  <c r="E10" i="3"/>
  <c r="E8"/>
  <c r="E8" i="4" s="1"/>
  <c r="E8" i="5" s="1"/>
  <c r="I23" s="1"/>
  <c r="G8" s="1"/>
  <c r="E7" i="3"/>
  <c r="E7" i="4" s="1"/>
  <c r="G19" l="1"/>
  <c r="E19" i="5"/>
  <c r="E15"/>
  <c r="E7"/>
  <c r="J91" i="23"/>
  <c r="E12" i="11"/>
  <c r="E11"/>
  <c r="E29" i="5"/>
  <c r="F33" i="1"/>
  <c r="E33"/>
  <c r="D33"/>
  <c r="T33"/>
  <c r="V33" s="1"/>
  <c r="I22" i="5" l="1"/>
  <c r="N41" i="3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 i="10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29" s="1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H7" i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47" s="1"/>
  <c r="G60" s="1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1" i="2"/>
  <c r="E171" i="3" s="1"/>
  <c r="E170"/>
  <c r="E169"/>
  <c r="G165" i="2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G12"/>
  <c r="H12" s="1"/>
  <c r="J12" s="1"/>
  <c r="G11"/>
  <c r="H11" s="1"/>
  <c r="J11" s="1"/>
  <c r="G10"/>
  <c r="H10" s="1"/>
  <c r="J10" s="1"/>
  <c r="G8"/>
  <c r="H4" i="1"/>
  <c r="D5" i="44" l="1"/>
  <c r="E28" i="2"/>
  <c r="G47" i="5"/>
  <c r="I4" i="1"/>
  <c r="K4" s="1"/>
  <c r="E27" i="2"/>
  <c r="G27" s="1"/>
  <c r="H27" s="1"/>
  <c r="J27" s="1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I13" i="2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H7" i="3" l="1"/>
  <c r="H7" i="4" s="1"/>
  <c r="H7" i="5" s="1"/>
  <c r="J7" s="1"/>
  <c r="H94" i="3"/>
  <c r="J94" s="1"/>
  <c r="H143" i="2"/>
  <c r="J143" s="1"/>
  <c r="J137" i="3"/>
  <c r="H140" i="4"/>
  <c r="H140" i="5" s="1"/>
  <c r="J140" s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43"/>
  <c r="J69"/>
  <c r="J138"/>
  <c r="J82"/>
  <c r="H98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152"/>
  <c r="G150"/>
  <c r="G152" i="4"/>
  <c r="G148"/>
  <c r="G154"/>
  <c r="G146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7" i="3" l="1"/>
  <c r="J7" i="4"/>
  <c r="H94"/>
  <c r="H94" i="5" s="1"/>
  <c r="J94" s="1"/>
  <c r="J140" i="4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H95" i="4"/>
  <c r="H95" i="5" s="1"/>
  <c r="J95" s="1"/>
  <c r="J110" i="3"/>
  <c r="H110" i="4"/>
  <c r="J99"/>
  <c r="J67"/>
  <c r="J58"/>
  <c r="H147"/>
  <c r="J147" s="1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J94" i="4" l="1"/>
  <c r="H60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K31" i="47" l="1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E172" i="12" s="1"/>
  <c r="F171" i="11"/>
  <c r="F170"/>
  <c r="E170" i="12" s="1"/>
  <c r="F169" i="11"/>
  <c r="E169" i="12" s="1"/>
  <c r="F168" i="11"/>
  <c r="E168" i="12" s="1"/>
  <c r="G168" s="1"/>
  <c r="F167" i="11"/>
  <c r="E167" i="12" s="1"/>
  <c r="G167" s="1"/>
  <c r="F166" i="11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E172" i="8"/>
  <c r="E171"/>
  <c r="E170"/>
  <c r="E169"/>
  <c r="E168"/>
  <c r="E167"/>
  <c r="E166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2" i="12" l="1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I19" i="24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G164" i="40"/>
  <c r="G163"/>
  <c r="G162"/>
  <c r="E161"/>
  <c r="G161" s="1"/>
  <c r="G164" i="25"/>
  <c r="G163"/>
  <c r="G162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3" l="1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G76"/>
  <c r="G85" s="1"/>
  <c r="G118"/>
  <c r="I137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G79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L32" i="49"/>
  <c r="E28" i="31"/>
  <c r="G28" s="1"/>
  <c r="E31"/>
  <c r="G31" s="1"/>
  <c r="AH14" i="45"/>
  <c r="AH15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47" i="31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O34" i="1" l="1"/>
  <c r="G32" i="47"/>
  <c r="AT35" i="44"/>
  <c r="AT32" i="49"/>
  <c r="BB32"/>
  <c r="AS32"/>
  <c r="BA32"/>
  <c r="N28" i="31"/>
  <c r="G173"/>
  <c r="G121"/>
  <c r="G60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29" i="13" l="1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AS17" i="49" l="1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E27" i="10"/>
  <c r="G27" s="1"/>
  <c r="J115" i="8"/>
  <c r="H115" i="9"/>
  <c r="N7" i="28"/>
  <c r="G8" i="11" l="1"/>
  <c r="E8" i="13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E8" i="15" l="1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G8" i="15"/>
  <c r="G18" i="21"/>
  <c r="E8" i="17" l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E8" i="19" l="1"/>
  <c r="G8" i="18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8" i="20"/>
  <c r="G8" i="19"/>
  <c r="N8" s="1"/>
  <c r="I20" i="1"/>
  <c r="K20" s="1"/>
  <c r="C21" i="44"/>
  <c r="N11" i="18"/>
  <c r="E27"/>
  <c r="G27" s="1"/>
  <c r="G20" i="1"/>
  <c r="E8" i="21" l="1"/>
  <c r="G8" i="20"/>
  <c r="I21" i="1"/>
  <c r="K21" s="1"/>
  <c r="E27" i="19"/>
  <c r="G27" s="1"/>
  <c r="C22" i="44"/>
  <c r="G21" i="1"/>
  <c r="E49" i="8"/>
  <c r="E8" i="22" l="1"/>
  <c r="G8" i="21"/>
  <c r="I22" i="1"/>
  <c r="K22" s="1"/>
  <c r="G27" i="20"/>
  <c r="C23" i="44"/>
  <c r="G22" i="1"/>
  <c r="E72" i="8"/>
  <c r="E8" i="23" l="1"/>
  <c r="G8" i="22"/>
  <c r="E27" i="21"/>
  <c r="G27" s="1"/>
  <c r="I23" i="1"/>
  <c r="K23" s="1"/>
  <c r="C24" i="44"/>
  <c r="G23" i="1"/>
  <c r="E94" i="7"/>
  <c r="G8" i="23" l="1"/>
  <c r="E8" i="24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G166" s="1"/>
  <c r="E64"/>
  <c r="G167" s="1"/>
  <c r="E65"/>
  <c r="G168" s="1"/>
  <c r="E66"/>
  <c r="G169" s="1"/>
  <c r="E67"/>
  <c r="G170" s="1"/>
  <c r="E68"/>
  <c r="G171" s="1"/>
  <c r="E69"/>
  <c r="G172" s="1"/>
  <c r="E62"/>
  <c r="G165" s="1"/>
  <c r="E50"/>
  <c r="G50" s="1"/>
  <c r="E51"/>
  <c r="E52"/>
  <c r="E53"/>
  <c r="E54"/>
  <c r="E55"/>
  <c r="E56"/>
  <c r="E57"/>
  <c r="E49"/>
  <c r="E35"/>
  <c r="E23"/>
  <c r="G23" s="1"/>
  <c r="E22"/>
  <c r="G22" s="1"/>
  <c r="E18"/>
  <c r="I25" i="1" l="1"/>
  <c r="K25" s="1"/>
  <c r="C26" i="44"/>
  <c r="E27" i="23"/>
  <c r="G27" s="1"/>
  <c r="G25" i="1"/>
  <c r="G8" i="24"/>
  <c r="E8" i="25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8"/>
  <c r="G10"/>
  <c r="E27" l="1"/>
  <c r="G27" s="1"/>
  <c r="I27" i="1"/>
  <c r="K27" s="1"/>
  <c r="C28" i="44"/>
  <c r="G27" i="1"/>
  <c r="G8" i="40"/>
  <c r="E8" i="27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G120" i="25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E27" i="40" l="1"/>
  <c r="G27" s="1"/>
  <c r="C29" i="44"/>
  <c r="I28" i="1"/>
  <c r="K28" s="1"/>
  <c r="G28"/>
  <c r="G8" i="27"/>
  <c r="E8" i="28"/>
  <c r="AA31" i="45"/>
  <c r="G60" i="25"/>
  <c r="E124" i="30"/>
  <c r="E35" i="28"/>
  <c r="G35" s="1"/>
  <c r="E27" i="27" l="1"/>
  <c r="G27" s="1"/>
  <c r="C30" i="44"/>
  <c r="I29" i="1"/>
  <c r="K29" s="1"/>
  <c r="G29"/>
  <c r="E8" i="29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8" i="29" l="1"/>
  <c r="E8" i="30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8"/>
  <c r="G10"/>
  <c r="AV30" i="44"/>
  <c r="AD29" i="1"/>
  <c r="AB29"/>
  <c r="AA29"/>
  <c r="E131" i="27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G56"/>
  <c r="G55"/>
  <c r="N55" s="1"/>
  <c r="G54"/>
  <c r="N54" s="1"/>
  <c r="G53"/>
  <c r="G52"/>
  <c r="N52" s="1"/>
  <c r="G51"/>
  <c r="G50"/>
  <c r="E49"/>
  <c r="G46"/>
  <c r="G45"/>
  <c r="N45" s="1"/>
  <c r="G44"/>
  <c r="G43"/>
  <c r="N43" s="1"/>
  <c r="G42"/>
  <c r="G41"/>
  <c r="G38"/>
  <c r="G36"/>
  <c r="E35"/>
  <c r="G35" s="1"/>
  <c r="E24"/>
  <c r="E22"/>
  <c r="G22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19" i="7" l="1"/>
  <c r="N44" i="19"/>
  <c r="BD21" i="1"/>
  <c r="N53" i="19"/>
  <c r="BA17" i="1"/>
  <c r="G59" i="15"/>
  <c r="AW21" i="1"/>
  <c r="AP18" i="44"/>
  <c r="BI15" i="49" s="1"/>
  <c r="G125" i="15"/>
  <c r="AU21" i="1"/>
  <c r="N40" i="19"/>
  <c r="BB21" i="1"/>
  <c r="N51" i="19"/>
  <c r="Y22" i="44"/>
  <c r="X19" i="49" s="1"/>
  <c r="N58" i="19"/>
  <c r="N10"/>
  <c r="N41"/>
  <c r="N38"/>
  <c r="N50"/>
  <c r="BH21" i="1"/>
  <c r="N36" i="19"/>
  <c r="N35"/>
  <c r="BG21" i="1"/>
  <c r="N46" i="19"/>
  <c r="G8" i="43"/>
  <c r="N8"/>
  <c r="E8" i="31"/>
  <c r="F8" s="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N12" s="1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M5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G166" i="40"/>
  <c r="G67"/>
  <c r="AJ29" i="44" s="1"/>
  <c r="AI26" i="49" s="1"/>
  <c r="G170" i="40"/>
  <c r="G62"/>
  <c r="AE29" i="44" s="1"/>
  <c r="AD26" i="49" s="1"/>
  <c r="G165" i="40"/>
  <c r="G66"/>
  <c r="AI29" i="44" s="1"/>
  <c r="AH26" i="49" s="1"/>
  <c r="G169" i="40"/>
  <c r="G65"/>
  <c r="AH29" i="44" s="1"/>
  <c r="AG26" i="49" s="1"/>
  <c r="G168" i="40"/>
  <c r="G69"/>
  <c r="AL29" i="44" s="1"/>
  <c r="AK26" i="49" s="1"/>
  <c r="G172" i="40"/>
  <c r="G64"/>
  <c r="AG29" i="44" s="1"/>
  <c r="AF26" i="49" s="1"/>
  <c r="G167" i="40"/>
  <c r="G68"/>
  <c r="AK29" i="44" s="1"/>
  <c r="AJ26" i="49" s="1"/>
  <c r="G171" i="40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AI13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BF24" i="1"/>
  <c r="Y10"/>
  <c r="J11" i="45"/>
  <c r="AQ8" i="49" s="1"/>
  <c r="G64" i="12"/>
  <c r="AJ14" i="1"/>
  <c r="AX15" i="44"/>
  <c r="AH12" i="1"/>
  <c r="X19"/>
  <c r="S10" i="45"/>
  <c r="E31" i="33"/>
  <c r="G31" s="1"/>
  <c r="H5" i="45"/>
  <c r="AH18" i="1"/>
  <c r="G31" i="7"/>
  <c r="I5" i="45"/>
  <c r="E31" i="12"/>
  <c r="G31" s="1"/>
  <c r="N5" i="45"/>
  <c r="E31" i="15"/>
  <c r="G31" s="1"/>
  <c r="Q5" i="45"/>
  <c r="X8" i="1"/>
  <c r="H10" i="45"/>
  <c r="AH11" i="1"/>
  <c r="X12"/>
  <c r="L10" i="45"/>
  <c r="X14" i="1"/>
  <c r="N10" i="45"/>
  <c r="X16" i="1"/>
  <c r="P10" i="45"/>
  <c r="AH16" i="1"/>
  <c r="X18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25"/>
  <c r="BE32" i="49" s="1"/>
  <c r="AG9" i="45"/>
  <c r="E31" i="30"/>
  <c r="G31" s="1"/>
  <c r="AF5" i="45"/>
  <c r="AX34" i="44"/>
  <c r="AW34"/>
  <c r="AG11" i="45"/>
  <c r="AQ31" i="49" s="1"/>
  <c r="AG10" i="45"/>
  <c r="AJ31" i="1"/>
  <c r="AX32" i="44"/>
  <c r="Y31" i="1"/>
  <c r="AE11" i="45"/>
  <c r="AQ29" i="49" s="1"/>
  <c r="X31" i="1"/>
  <c r="AE10" i="45"/>
  <c r="BF31" i="1"/>
  <c r="AJ30"/>
  <c r="AX31" i="44"/>
  <c r="AI30" i="1"/>
  <c r="AW31" i="44"/>
  <c r="Y30" i="1"/>
  <c r="AD11" i="45"/>
  <c r="BF30" i="1"/>
  <c r="BF29"/>
  <c r="BC30"/>
  <c r="AJ29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s="1"/>
  <c r="Y5" i="45"/>
  <c r="E31" i="24"/>
  <c r="G31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20" i="25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20" i="16"/>
  <c r="G120"/>
  <c r="H120" s="1"/>
  <c r="J120" s="1"/>
  <c r="G120" i="9"/>
  <c r="G120" i="11"/>
  <c r="F120" i="17"/>
  <c r="G120"/>
  <c r="H120" s="1"/>
  <c r="J120" s="1"/>
  <c r="F120" i="8"/>
  <c r="G120"/>
  <c r="F120" i="18"/>
  <c r="G120" i="33"/>
  <c r="F120" i="7"/>
  <c r="G120"/>
  <c r="G120" i="24"/>
  <c r="H120" s="1"/>
  <c r="J120" s="1"/>
  <c r="G120" i="28"/>
  <c r="H120" s="1"/>
  <c r="J120" s="1"/>
  <c r="F120" i="21"/>
  <c r="G120"/>
  <c r="G120" i="30"/>
  <c r="F120" i="15"/>
  <c r="G120"/>
  <c r="H120" s="1"/>
  <c r="J120" s="1"/>
  <c r="G120" i="14"/>
  <c r="H120" s="1"/>
  <c r="J120" s="1"/>
  <c r="F120"/>
  <c r="G120" i="22"/>
  <c r="F120"/>
  <c r="G120" i="29"/>
  <c r="H120" s="1"/>
  <c r="J120" s="1"/>
  <c r="G120" i="12"/>
  <c r="F120" i="19"/>
  <c r="G120"/>
  <c r="H120" s="1"/>
  <c r="J120" s="1"/>
  <c r="F120" i="23"/>
  <c r="F120" i="20"/>
  <c r="G120"/>
  <c r="G120" i="27"/>
  <c r="H120" s="1"/>
  <c r="J120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/>
  <c r="V9"/>
  <c r="V8"/>
  <c r="G95" i="11"/>
  <c r="G149" i="16"/>
  <c r="G95" i="28"/>
  <c r="G149" i="43"/>
  <c r="AT4" i="1"/>
  <c r="G147" i="29"/>
  <c r="G149" i="28"/>
  <c r="AJ27" i="1"/>
  <c r="AJ28"/>
  <c r="G153" i="43"/>
  <c r="BB36" i="1"/>
  <c r="BF36"/>
  <c r="G95" i="27"/>
  <c r="G153" i="24"/>
  <c r="G151" i="40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AT27"/>
  <c r="BG17"/>
  <c r="G145" i="15"/>
  <c r="AZ26" i="1"/>
  <c r="G151" i="24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AE16"/>
  <c r="G147" i="14"/>
  <c r="I139" i="12"/>
  <c r="G95" i="13"/>
  <c r="G85"/>
  <c r="G149"/>
  <c r="BC15" i="1"/>
  <c r="V13"/>
  <c r="AO12"/>
  <c r="I134" i="11"/>
  <c r="G85"/>
  <c r="G143"/>
  <c r="W11" i="1"/>
  <c r="BK12"/>
  <c r="AV12"/>
  <c r="BK1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151" i="15"/>
  <c r="I134"/>
  <c r="I139" i="20"/>
  <c r="V24" i="1"/>
  <c r="V15"/>
  <c r="V22"/>
  <c r="I134" i="24"/>
  <c r="G153" i="7"/>
  <c r="G47" i="16"/>
  <c r="AE19" i="1"/>
  <c r="G102" i="22"/>
  <c r="G143" i="14"/>
  <c r="G95"/>
  <c r="G85" i="20"/>
  <c r="G149" i="23"/>
  <c r="N36" i="1"/>
  <c r="G85" i="14"/>
  <c r="I139" i="13"/>
  <c r="G145" i="17"/>
  <c r="G47" i="27"/>
  <c r="G13" i="11"/>
  <c r="AD36" i="1"/>
  <c r="I139" i="15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G143" i="30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G95"/>
  <c r="G85"/>
  <c r="G145"/>
  <c r="G59"/>
  <c r="G47"/>
  <c r="G147"/>
  <c r="Y32" i="1"/>
  <c r="BK31"/>
  <c r="AP31"/>
  <c r="G102" i="29"/>
  <c r="X32" i="1"/>
  <c r="G102" i="30"/>
  <c r="W32" i="1"/>
  <c r="G85" i="29"/>
  <c r="G85" i="30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G60" i="15" l="1"/>
  <c r="BA36" i="1"/>
  <c r="G19" i="33"/>
  <c r="E19" i="8"/>
  <c r="BA21" i="1"/>
  <c r="N49" i="19"/>
  <c r="N11"/>
  <c r="N39"/>
  <c r="N57"/>
  <c r="N42"/>
  <c r="G60" i="17"/>
  <c r="N8" i="31"/>
  <c r="G8"/>
  <c r="G60" i="33"/>
  <c r="I33" i="1"/>
  <c r="K33" s="1"/>
  <c r="G33"/>
  <c r="E27" i="43"/>
  <c r="G27" s="1"/>
  <c r="C34" i="44"/>
  <c r="AZ5"/>
  <c r="BH6" i="49"/>
  <c r="BH3"/>
  <c r="AZ6" i="44"/>
  <c r="BH5" i="49"/>
  <c r="AZ8" i="44"/>
  <c r="BH4" i="49"/>
  <c r="AZ7" i="44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G152" i="33"/>
  <c r="E24" i="45"/>
  <c r="BD3" i="49" s="1"/>
  <c r="F24" i="45"/>
  <c r="BD4" i="49" s="1"/>
  <c r="AV36" i="44"/>
  <c r="G24" i="45"/>
  <c r="BD5" i="49" s="1"/>
  <c r="S2"/>
  <c r="T36" i="44"/>
  <c r="BJ2" i="49"/>
  <c r="AQ36" i="44"/>
  <c r="T2" i="49"/>
  <c r="U36" i="44"/>
  <c r="AE2" i="49"/>
  <c r="AF2"/>
  <c r="B9" i="44"/>
  <c r="K2" i="49"/>
  <c r="L36" i="44"/>
  <c r="AX36"/>
  <c r="Y2" i="49"/>
  <c r="Z36" i="44"/>
  <c r="AJ2" i="49"/>
  <c r="H2"/>
  <c r="V2"/>
  <c r="W36" i="44"/>
  <c r="U2" i="49"/>
  <c r="V36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W2"/>
  <c r="X36" i="44"/>
  <c r="Q2" i="49"/>
  <c r="R36" i="44"/>
  <c r="I2" i="49"/>
  <c r="R2"/>
  <c r="S36" i="44"/>
  <c r="BK2" i="49"/>
  <c r="AR36" i="44"/>
  <c r="M2" i="49"/>
  <c r="N36" i="44"/>
  <c r="G95" i="30"/>
  <c r="AQ17" i="49"/>
  <c r="AH2"/>
  <c r="AI2"/>
  <c r="F31"/>
  <c r="BG2"/>
  <c r="BI2"/>
  <c r="AP36" i="44"/>
  <c r="BH2" i="49"/>
  <c r="AO36" i="44"/>
  <c r="AD2" i="49"/>
  <c r="AW36" i="44"/>
  <c r="M36"/>
  <c r="AL36" i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G31" i="1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G60" i="30"/>
  <c r="G147" i="19"/>
  <c r="G147" i="18"/>
  <c r="X36" i="1"/>
  <c r="AK20"/>
  <c r="Q25" i="45"/>
  <c r="BE15" i="49" s="1"/>
  <c r="H120" i="13"/>
  <c r="J120" s="1"/>
  <c r="Z5" i="1"/>
  <c r="K11" i="35"/>
  <c r="AN6" i="44"/>
  <c r="BG3" i="49" s="1"/>
  <c r="AY5" i="44"/>
  <c r="AK18" i="1"/>
  <c r="Z17"/>
  <c r="AY18" i="44"/>
  <c r="AY17"/>
  <c r="AK11" i="1"/>
  <c r="G60" i="12"/>
  <c r="H120"/>
  <c r="J120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Z19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BP7"/>
  <c r="P6"/>
  <c r="I4" i="47" s="1"/>
  <c r="AK4" i="1"/>
  <c r="BP27"/>
  <c r="BQ27" s="1"/>
  <c r="G60" i="27"/>
  <c r="Z16" i="1"/>
  <c r="BP30"/>
  <c r="BQ30" s="1"/>
  <c r="Z11"/>
  <c r="AC36"/>
  <c r="G60" i="28"/>
  <c r="G60" i="16"/>
  <c r="AR36" i="1"/>
  <c r="BG36"/>
  <c r="G60" i="40"/>
  <c r="AK28" i="1"/>
  <c r="V36"/>
  <c r="AF17"/>
  <c r="AG17" s="1"/>
  <c r="G60" i="14"/>
  <c r="BP15" i="1"/>
  <c r="BP12"/>
  <c r="BQ12" s="1"/>
  <c r="G60" i="9"/>
  <c r="AE10" i="1"/>
  <c r="AF10"/>
  <c r="W36"/>
  <c r="G60" i="23"/>
  <c r="AF29" i="1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Z32"/>
  <c r="AK32"/>
  <c r="AF32"/>
  <c r="BP32"/>
  <c r="G60" i="29"/>
  <c r="G19" i="7" l="1"/>
  <c r="G119" s="1"/>
  <c r="G119" i="33"/>
  <c r="H6" i="45"/>
  <c r="H24" s="1"/>
  <c r="BD6" i="49" s="1"/>
  <c r="E30" i="33"/>
  <c r="G30" s="1"/>
  <c r="H30" s="1"/>
  <c r="F119"/>
  <c r="G20"/>
  <c r="G19" i="8"/>
  <c r="E19" i="9"/>
  <c r="G60" i="18"/>
  <c r="N59" i="19"/>
  <c r="N47"/>
  <c r="BA35" i="1"/>
  <c r="BQ4"/>
  <c r="E27" i="31"/>
  <c r="G27" s="1"/>
  <c r="I34" i="1"/>
  <c r="G34"/>
  <c r="G35" s="1"/>
  <c r="C35" i="44"/>
  <c r="C36" s="1"/>
  <c r="G144" i="7"/>
  <c r="H9" i="1"/>
  <c r="BN16"/>
  <c r="BM16"/>
  <c r="BL16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G15"/>
  <c r="E15" i="9"/>
  <c r="G15" i="8"/>
  <c r="G9" i="16"/>
  <c r="G13" s="1"/>
  <c r="I60" s="1"/>
  <c r="K9" i="17"/>
  <c r="G9"/>
  <c r="G13" s="1"/>
  <c r="I60" s="1"/>
  <c r="E9" i="18"/>
  <c r="I60" i="12"/>
  <c r="BQ33" i="1"/>
  <c r="AG33"/>
  <c r="AA35"/>
  <c r="AG34"/>
  <c r="BQ34"/>
  <c r="O31" i="45"/>
  <c r="AO36" i="1"/>
  <c r="L8"/>
  <c r="I60" i="15"/>
  <c r="Y31" i="45"/>
  <c r="G29" i="9"/>
  <c r="AU36" i="44"/>
  <c r="BM8" i="1"/>
  <c r="AH36" i="44"/>
  <c r="BL8" i="1"/>
  <c r="N31" i="45"/>
  <c r="K36" i="44"/>
  <c r="AF36"/>
  <c r="BN8" i="1"/>
  <c r="J118" i="43"/>
  <c r="F36" i="44"/>
  <c r="AG36"/>
  <c r="AY36"/>
  <c r="AE36"/>
  <c r="AI36"/>
  <c r="AL36"/>
  <c r="BQ23" i="1"/>
  <c r="AG31" i="45"/>
  <c r="J36" i="44"/>
  <c r="G36"/>
  <c r="AJ36"/>
  <c r="AK36"/>
  <c r="BM2" i="49"/>
  <c r="I36" i="44"/>
  <c r="H111" i="31"/>
  <c r="N111" s="1"/>
  <c r="J116" i="43"/>
  <c r="H107" i="31"/>
  <c r="N107" s="1"/>
  <c r="H108"/>
  <c r="N108" s="1"/>
  <c r="J113" i="43"/>
  <c r="J121"/>
  <c r="J110"/>
  <c r="J106"/>
  <c r="J105"/>
  <c r="AF31" i="45"/>
  <c r="D31"/>
  <c r="H117" i="31"/>
  <c r="J117" s="1"/>
  <c r="J112" i="43"/>
  <c r="J120" i="30"/>
  <c r="H120" i="43"/>
  <c r="BF17" i="49"/>
  <c r="BF2"/>
  <c r="BE17"/>
  <c r="BE2"/>
  <c r="M31" i="45"/>
  <c r="G3" i="47"/>
  <c r="K9" i="35"/>
  <c r="K13"/>
  <c r="J112" i="31"/>
  <c r="AG23" i="1"/>
  <c r="AL35"/>
  <c r="H120" i="21"/>
  <c r="H120" i="22" s="1"/>
  <c r="J120" s="1"/>
  <c r="AT6" i="44"/>
  <c r="BM3" i="49" s="1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V4" i="1"/>
  <c r="V35" s="1"/>
  <c r="T35"/>
  <c r="AM35"/>
  <c r="BC35"/>
  <c r="BR4"/>
  <c r="AE35"/>
  <c r="BG35"/>
  <c r="AT35"/>
  <c r="Z35"/>
  <c r="S7"/>
  <c r="M5" i="47"/>
  <c r="S6" i="1"/>
  <c r="M4" i="47"/>
  <c r="S5" i="1"/>
  <c r="S4"/>
  <c r="M2" i="47"/>
  <c r="O5" i="1"/>
  <c r="BL15"/>
  <c r="J121" i="31"/>
  <c r="AG21" i="1"/>
  <c r="J113" i="31"/>
  <c r="J105"/>
  <c r="J118"/>
  <c r="G60" i="20"/>
  <c r="BQ21" i="1"/>
  <c r="G60" i="19"/>
  <c r="N60" s="1"/>
  <c r="Z36" i="1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R6"/>
  <c r="BO6" s="1"/>
  <c r="H139" i="33"/>
  <c r="H134"/>
  <c r="H134" i="7" s="1"/>
  <c r="H134" i="8" s="1"/>
  <c r="I60" i="14"/>
  <c r="AF36" i="1"/>
  <c r="AG18"/>
  <c r="AG36" s="1"/>
  <c r="I60" i="9"/>
  <c r="AG10" i="1"/>
  <c r="H24" i="7"/>
  <c r="J24" i="33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I6" i="45" l="1"/>
  <c r="I24" s="1"/>
  <c r="BD7" i="49" s="1"/>
  <c r="F119" i="7"/>
  <c r="E30"/>
  <c r="G30" s="1"/>
  <c r="G20"/>
  <c r="E10" i="44" s="1"/>
  <c r="G119" i="8"/>
  <c r="F119"/>
  <c r="J6" i="45"/>
  <c r="J24" s="1"/>
  <c r="BD8" i="49" s="1"/>
  <c r="E30" i="8"/>
  <c r="G30" s="1"/>
  <c r="G20"/>
  <c r="E19" i="10"/>
  <c r="E9" i="44"/>
  <c r="P8" i="1"/>
  <c r="P9"/>
  <c r="K34"/>
  <c r="L34"/>
  <c r="E32" i="47"/>
  <c r="BN34" i="1"/>
  <c r="BL34"/>
  <c r="BM34"/>
  <c r="G152" i="8"/>
  <c r="H10" i="1"/>
  <c r="B11" i="44"/>
  <c r="G146" i="8"/>
  <c r="L10" i="1"/>
  <c r="G150" i="8"/>
  <c r="G7" i="9"/>
  <c r="I13" s="1"/>
  <c r="I59" i="8"/>
  <c r="G144"/>
  <c r="G6" i="47"/>
  <c r="O8" i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129"/>
  <c r="AN11" i="44"/>
  <c r="M10" i="1"/>
  <c r="D10" i="44"/>
  <c r="E28" i="7"/>
  <c r="G28" s="1"/>
  <c r="G32" s="1"/>
  <c r="AN10" i="44"/>
  <c r="M9" i="1"/>
  <c r="G129" i="7"/>
  <c r="E9" i="19"/>
  <c r="E7" i="11"/>
  <c r="J111" i="31"/>
  <c r="J107"/>
  <c r="J108"/>
  <c r="J120" i="21"/>
  <c r="N117" i="31"/>
  <c r="H120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BO4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32" i="8" l="1"/>
  <c r="I6" i="47"/>
  <c r="M6" s="1"/>
  <c r="R8" i="1"/>
  <c r="BO8" s="1"/>
  <c r="S8"/>
  <c r="I7" i="47"/>
  <c r="S9" i="1"/>
  <c r="R9"/>
  <c r="E11" i="44"/>
  <c r="P10" i="1"/>
  <c r="G19" i="9"/>
  <c r="G19" i="10"/>
  <c r="E19" i="11"/>
  <c r="E7" i="12"/>
  <c r="G7" s="1"/>
  <c r="B12" i="44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s="1"/>
  <c r="E9" i="20"/>
  <c r="G9" i="19"/>
  <c r="E9" i="47"/>
  <c r="L11" i="1"/>
  <c r="BL11"/>
  <c r="BN11"/>
  <c r="BM11"/>
  <c r="G7" i="10"/>
  <c r="H12" i="1" s="1"/>
  <c r="J120" i="31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G7" i="11" l="1"/>
  <c r="H13" i="1" s="1"/>
  <c r="M7" i="47"/>
  <c r="I8"/>
  <c r="M8" s="1"/>
  <c r="S10" i="1"/>
  <c r="R10"/>
  <c r="BO10" s="1"/>
  <c r="K6" i="45"/>
  <c r="K24" s="1"/>
  <c r="BD9" i="49" s="1"/>
  <c r="G119" i="9"/>
  <c r="H119" s="1"/>
  <c r="E30"/>
  <c r="G30" s="1"/>
  <c r="F119"/>
  <c r="G20"/>
  <c r="F119" i="10"/>
  <c r="G119"/>
  <c r="G20"/>
  <c r="E30"/>
  <c r="G30" s="1"/>
  <c r="L6" i="45"/>
  <c r="L24" s="1"/>
  <c r="BD10" i="49" s="1"/>
  <c r="E19" i="12"/>
  <c r="E7" i="14"/>
  <c r="G13" i="19"/>
  <c r="N13" s="1"/>
  <c r="N9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E28" i="9"/>
  <c r="G28" s="1"/>
  <c r="AN12" i="44"/>
  <c r="AT12" s="1"/>
  <c r="BM9" i="49" s="1"/>
  <c r="D12" i="44"/>
  <c r="E15" i="12"/>
  <c r="BM7" i="49"/>
  <c r="BO9" i="1"/>
  <c r="B13" i="44"/>
  <c r="G146" i="10"/>
  <c r="G144"/>
  <c r="G154"/>
  <c r="I13"/>
  <c r="G150"/>
  <c r="G152"/>
  <c r="G148"/>
  <c r="I59"/>
  <c r="I60" i="18"/>
  <c r="I60" i="19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G154" i="11" l="1"/>
  <c r="B14" i="44"/>
  <c r="I59" i="11"/>
  <c r="G150"/>
  <c r="G146"/>
  <c r="G144"/>
  <c r="G148"/>
  <c r="I13"/>
  <c r="G152"/>
  <c r="G19"/>
  <c r="F119" s="1"/>
  <c r="E12" i="44"/>
  <c r="P11" i="1"/>
  <c r="E19" i="13"/>
  <c r="G32" i="9"/>
  <c r="E13" i="44"/>
  <c r="P12" i="1"/>
  <c r="G7" i="13"/>
  <c r="G144" s="1"/>
  <c r="M12" i="1"/>
  <c r="O12" s="1"/>
  <c r="D13" i="44"/>
  <c r="E28" i="10"/>
  <c r="G28" s="1"/>
  <c r="G32" s="1"/>
  <c r="G129"/>
  <c r="G9" i="47"/>
  <c r="G15" i="11"/>
  <c r="E28" s="1"/>
  <c r="G28" s="1"/>
  <c r="G9" i="20"/>
  <c r="G13" s="1"/>
  <c r="I60" s="1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E30" i="11" l="1"/>
  <c r="G30" s="1"/>
  <c r="G32" s="1"/>
  <c r="G148" i="13"/>
  <c r="G19" i="12"/>
  <c r="G119" s="1"/>
  <c r="H119" s="1"/>
  <c r="J119" s="1"/>
  <c r="F195" i="11"/>
  <c r="G119"/>
  <c r="H119" s="1"/>
  <c r="J119" s="1"/>
  <c r="G20"/>
  <c r="P13" i="1" s="1"/>
  <c r="M6" i="45"/>
  <c r="M24" s="1"/>
  <c r="BD11" i="49" s="1"/>
  <c r="G146" i="13"/>
  <c r="G152"/>
  <c r="G7" i="14"/>
  <c r="H16" i="1" s="1"/>
  <c r="I9" i="47"/>
  <c r="M9" s="1"/>
  <c r="S11" i="1"/>
  <c r="R11"/>
  <c r="F119" i="12"/>
  <c r="F19" i="13"/>
  <c r="E19" i="14" s="1"/>
  <c r="I10" i="47"/>
  <c r="S12" i="1"/>
  <c r="R12"/>
  <c r="BO12" s="1"/>
  <c r="I59" i="13"/>
  <c r="H15" i="1"/>
  <c r="I13" i="13"/>
  <c r="B16" i="44"/>
  <c r="G7" i="15"/>
  <c r="G150" i="13"/>
  <c r="G154"/>
  <c r="E15" i="14"/>
  <c r="H28" i="10"/>
  <c r="J28" s="1"/>
  <c r="G10" i="47"/>
  <c r="D14" i="44"/>
  <c r="AN14"/>
  <c r="BG11" i="49" s="1"/>
  <c r="G129" i="11"/>
  <c r="M13" i="1"/>
  <c r="O13" s="1"/>
  <c r="G9" i="21"/>
  <c r="G13" s="1"/>
  <c r="I60" s="1"/>
  <c r="G15" i="12"/>
  <c r="D15" i="44" s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J12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N6" i="45" l="1"/>
  <c r="N24" s="1"/>
  <c r="BD12" i="49" s="1"/>
  <c r="E14" i="44"/>
  <c r="G150" i="14"/>
  <c r="G19" i="13"/>
  <c r="F119" s="1"/>
  <c r="E30" i="12"/>
  <c r="G30" s="1"/>
  <c r="G20"/>
  <c r="E15" i="44" s="1"/>
  <c r="G146" i="14"/>
  <c r="I13"/>
  <c r="I59"/>
  <c r="B17" i="44"/>
  <c r="G152" i="14"/>
  <c r="E7" i="16"/>
  <c r="G7" s="1"/>
  <c r="G148" i="14"/>
  <c r="G144"/>
  <c r="G154"/>
  <c r="N7"/>
  <c r="M10" i="47"/>
  <c r="I11"/>
  <c r="R13" i="1"/>
  <c r="S13"/>
  <c r="BO11"/>
  <c r="E19" i="15"/>
  <c r="BO13" i="1"/>
  <c r="G15" i="13"/>
  <c r="D16" i="44" s="1"/>
  <c r="G146" i="15"/>
  <c r="B18" i="44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E28" i="12"/>
  <c r="G28" s="1"/>
  <c r="AN15" i="44"/>
  <c r="AT15" s="1"/>
  <c r="BM12" i="49" s="1"/>
  <c r="G129" i="12"/>
  <c r="M14" i="1"/>
  <c r="G12" i="47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P14" i="1" l="1"/>
  <c r="I12" i="47" s="1"/>
  <c r="M12" s="1"/>
  <c r="M11"/>
  <c r="O6" i="45"/>
  <c r="O24" s="1"/>
  <c r="BD13" i="49" s="1"/>
  <c r="E30" i="13"/>
  <c r="G30" s="1"/>
  <c r="G20"/>
  <c r="P15" i="1" s="1"/>
  <c r="G119" i="13"/>
  <c r="H119" s="1"/>
  <c r="J119" s="1"/>
  <c r="G19" i="14"/>
  <c r="P6" i="45" s="1"/>
  <c r="P24" s="1"/>
  <c r="BD14" i="49" s="1"/>
  <c r="G32" i="12"/>
  <c r="E7" i="17"/>
  <c r="F7" s="1"/>
  <c r="G7" s="1"/>
  <c r="E19" i="16"/>
  <c r="M15" i="1"/>
  <c r="E28" i="13"/>
  <c r="G28" s="1"/>
  <c r="AN16" i="44"/>
  <c r="G129" i="13"/>
  <c r="H18" i="1"/>
  <c r="G154" i="16"/>
  <c r="B19" i="44"/>
  <c r="G144" i="16"/>
  <c r="G146"/>
  <c r="G150"/>
  <c r="I13"/>
  <c r="G152"/>
  <c r="I59"/>
  <c r="G148"/>
  <c r="D17" i="44"/>
  <c r="M16" i="1"/>
  <c r="E28" i="14"/>
  <c r="G28" s="1"/>
  <c r="AN17" i="44"/>
  <c r="G129" i="14"/>
  <c r="E15" i="16"/>
  <c r="G15" i="15"/>
  <c r="O14" i="1"/>
  <c r="H28" i="12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R14" i="1" l="1"/>
  <c r="BO14" s="1"/>
  <c r="S14"/>
  <c r="E16" i="44"/>
  <c r="G32" i="13"/>
  <c r="G19" i="15"/>
  <c r="G119" s="1"/>
  <c r="H119" s="1"/>
  <c r="J119" s="1"/>
  <c r="F119" i="14"/>
  <c r="G119"/>
  <c r="H119" s="1"/>
  <c r="J119" s="1"/>
  <c r="E30"/>
  <c r="G30" s="1"/>
  <c r="G32" s="1"/>
  <c r="G20"/>
  <c r="P16" i="1" s="1"/>
  <c r="H28" i="13"/>
  <c r="H28" i="14" s="1"/>
  <c r="E7" i="18"/>
  <c r="F7" s="1"/>
  <c r="E7" i="19" s="1"/>
  <c r="F7" s="1"/>
  <c r="K7" i="17"/>
  <c r="Q6" i="45"/>
  <c r="Q24" s="1"/>
  <c r="BD15" i="49" s="1"/>
  <c r="E19" i="17"/>
  <c r="I13" i="47"/>
  <c r="R15" i="1"/>
  <c r="S15"/>
  <c r="E15" i="17"/>
  <c r="F15" s="1"/>
  <c r="O15" i="1"/>
  <c r="G13" i="47"/>
  <c r="BG13" i="49"/>
  <c r="AT16" i="44"/>
  <c r="BM13" i="49" s="1"/>
  <c r="H19" i="1"/>
  <c r="G146" i="17"/>
  <c r="B20" i="44"/>
  <c r="I13" i="17"/>
  <c r="G150"/>
  <c r="I59"/>
  <c r="G154"/>
  <c r="G148"/>
  <c r="G152"/>
  <c r="G144"/>
  <c r="G14" i="47"/>
  <c r="O16" i="1"/>
  <c r="BG14" i="49"/>
  <c r="AT17" i="44"/>
  <c r="AN18"/>
  <c r="M17" i="1"/>
  <c r="G129" i="15"/>
  <c r="D18" i="44"/>
  <c r="E28" i="15"/>
  <c r="G28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BO15" i="1" l="1"/>
  <c r="J28" i="13"/>
  <c r="E17" i="44"/>
  <c r="G20" i="15"/>
  <c r="P17" i="1" s="1"/>
  <c r="E30" i="15"/>
  <c r="G30" s="1"/>
  <c r="G32" s="1"/>
  <c r="G7" i="18"/>
  <c r="G148" s="1"/>
  <c r="F19" i="17"/>
  <c r="E19" i="18" s="1"/>
  <c r="M13" i="47"/>
  <c r="I14"/>
  <c r="M14" s="1"/>
  <c r="R16" i="1"/>
  <c r="BO16" s="1"/>
  <c r="S16"/>
  <c r="G19" i="16"/>
  <c r="G129"/>
  <c r="G7" i="19"/>
  <c r="E7" i="20"/>
  <c r="F7" s="1"/>
  <c r="BM14" i="49"/>
  <c r="BA17" i="44"/>
  <c r="G15" i="17"/>
  <c r="AT18" i="44"/>
  <c r="BG15" i="49"/>
  <c r="O17" i="1"/>
  <c r="G15" i="47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N7" i="19" l="1"/>
  <c r="E18" i="44"/>
  <c r="G152" i="18"/>
  <c r="H20" i="1"/>
  <c r="G146" i="18"/>
  <c r="G154"/>
  <c r="B21" i="44"/>
  <c r="G150" i="18"/>
  <c r="I13"/>
  <c r="I59"/>
  <c r="G144"/>
  <c r="I15" i="47"/>
  <c r="M15" s="1"/>
  <c r="R17" i="1"/>
  <c r="BO17" s="1"/>
  <c r="S17"/>
  <c r="G19" i="17"/>
  <c r="F19" i="18"/>
  <c r="E19" i="19" s="1"/>
  <c r="G119" i="16"/>
  <c r="H119" s="1"/>
  <c r="J119" s="1"/>
  <c r="F119"/>
  <c r="R6" i="45"/>
  <c r="R24" s="1"/>
  <c r="BD16" i="49" s="1"/>
  <c r="G20" i="16"/>
  <c r="E30"/>
  <c r="G30" s="1"/>
  <c r="E28"/>
  <c r="G28" s="1"/>
  <c r="D19" i="44"/>
  <c r="AN19"/>
  <c r="AT19" s="1"/>
  <c r="G7" i="20"/>
  <c r="E7" i="21"/>
  <c r="F7" s="1"/>
  <c r="H21" i="1"/>
  <c r="I59" i="19"/>
  <c r="G144"/>
  <c r="G154"/>
  <c r="G148"/>
  <c r="G150"/>
  <c r="B22" i="44"/>
  <c r="G146" i="19"/>
  <c r="I13"/>
  <c r="G152"/>
  <c r="M18" i="1"/>
  <c r="G16" i="47" s="1"/>
  <c r="BM15" i="49"/>
  <c r="BA18" i="44"/>
  <c r="BG16" i="49"/>
  <c r="AN20" i="44"/>
  <c r="M19" i="1"/>
  <c r="E28" i="17"/>
  <c r="G28" s="1"/>
  <c r="G129"/>
  <c r="H129" s="1"/>
  <c r="J129" s="1"/>
  <c r="D20" i="44"/>
  <c r="E15" i="18"/>
  <c r="F15" s="1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G19" i="18" l="1"/>
  <c r="F119" s="1"/>
  <c r="G32" i="16"/>
  <c r="G119" i="17"/>
  <c r="H119" s="1"/>
  <c r="J119" s="1"/>
  <c r="S6" i="45"/>
  <c r="S24" s="1"/>
  <c r="BD17" i="49" s="1"/>
  <c r="F119" i="17"/>
  <c r="E30"/>
  <c r="G30" s="1"/>
  <c r="G32" s="1"/>
  <c r="G20"/>
  <c r="F19" i="19"/>
  <c r="E19" i="20" s="1"/>
  <c r="P18" i="1"/>
  <c r="E19" i="44"/>
  <c r="H28" i="16"/>
  <c r="J28" s="1"/>
  <c r="H22" i="1"/>
  <c r="G152" i="20"/>
  <c r="G148"/>
  <c r="B23" i="44"/>
  <c r="G146" i="20"/>
  <c r="G150"/>
  <c r="G144"/>
  <c r="G154"/>
  <c r="I13"/>
  <c r="I59"/>
  <c r="E7" i="22"/>
  <c r="F7" s="1"/>
  <c r="G7" i="21"/>
  <c r="O18" i="1"/>
  <c r="M36"/>
  <c r="AT20" i="44"/>
  <c r="BG17" i="49"/>
  <c r="O19" i="1"/>
  <c r="G17" i="47"/>
  <c r="BA19" i="44"/>
  <c r="BM16" i="49"/>
  <c r="E15" i="19"/>
  <c r="F15" s="1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G20" i="18" l="1"/>
  <c r="P20" i="1" s="1"/>
  <c r="G119" i="18"/>
  <c r="H119" s="1"/>
  <c r="J119" s="1"/>
  <c r="T6" i="45"/>
  <c r="T24" s="1"/>
  <c r="BD18" i="49" s="1"/>
  <c r="E30" i="18"/>
  <c r="G30" s="1"/>
  <c r="G19" i="19"/>
  <c r="U6" i="45" s="1"/>
  <c r="U24" s="1"/>
  <c r="BD19" i="49" s="1"/>
  <c r="F19" i="20"/>
  <c r="E19" i="21" s="1"/>
  <c r="I16" i="47"/>
  <c r="M16" s="1"/>
  <c r="S18" i="1"/>
  <c r="S36" s="1"/>
  <c r="P36"/>
  <c r="R18"/>
  <c r="R36" s="1"/>
  <c r="E20" i="44"/>
  <c r="P19" i="1"/>
  <c r="H32" i="16"/>
  <c r="J32" s="1"/>
  <c r="J32" i="15"/>
  <c r="H28" i="17"/>
  <c r="J28" s="1"/>
  <c r="O36" i="1"/>
  <c r="E7" i="23"/>
  <c r="F7" s="1"/>
  <c r="G7" i="22"/>
  <c r="H23" i="1"/>
  <c r="L7" i="21"/>
  <c r="I13"/>
  <c r="B24" i="44"/>
  <c r="I59" i="21"/>
  <c r="G148"/>
  <c r="G152"/>
  <c r="G150"/>
  <c r="G144"/>
  <c r="G154"/>
  <c r="G146"/>
  <c r="E15" i="20"/>
  <c r="F15" s="1"/>
  <c r="G15" i="19"/>
  <c r="BA20" i="44"/>
  <c r="BM17" i="49"/>
  <c r="D21" i="44"/>
  <c r="AN21"/>
  <c r="M20" i="1"/>
  <c r="E28" i="18"/>
  <c r="G28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E21" i="44" l="1"/>
  <c r="G32" i="18"/>
  <c r="E30" i="19"/>
  <c r="G30" s="1"/>
  <c r="G20"/>
  <c r="P21" i="1" s="1"/>
  <c r="F119" i="19"/>
  <c r="G119"/>
  <c r="H119" s="1"/>
  <c r="J119" s="1"/>
  <c r="I17" i="47"/>
  <c r="M17" s="1"/>
  <c r="S19" i="1"/>
  <c r="R19"/>
  <c r="BO19" s="1"/>
  <c r="G19" i="20"/>
  <c r="F19" i="21"/>
  <c r="E19" i="22" s="1"/>
  <c r="I18" i="47"/>
  <c r="S20" i="1"/>
  <c r="R20"/>
  <c r="BO18"/>
  <c r="BO36" s="1"/>
  <c r="G7" i="23"/>
  <c r="E7" i="24"/>
  <c r="F7" s="1"/>
  <c r="H28" i="18"/>
  <c r="J28" s="1"/>
  <c r="G146" i="22"/>
  <c r="I13"/>
  <c r="G152"/>
  <c r="I59"/>
  <c r="G150"/>
  <c r="H24" i="1"/>
  <c r="B25" i="44"/>
  <c r="G144" i="22"/>
  <c r="L7"/>
  <c r="G154"/>
  <c r="G148"/>
  <c r="G15" i="20"/>
  <c r="E15" i="21"/>
  <c r="F15" s="1"/>
  <c r="E28" i="19"/>
  <c r="G28" s="1"/>
  <c r="D22" i="44"/>
  <c r="G129" i="19"/>
  <c r="H129" s="1"/>
  <c r="J129" s="1"/>
  <c r="M21" i="1"/>
  <c r="AN22" i="44"/>
  <c r="BG18" i="49"/>
  <c r="AT21" i="44"/>
  <c r="O20" i="1"/>
  <c r="G18" i="47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G19" i="21" l="1"/>
  <c r="F119" s="1"/>
  <c r="G32" i="19"/>
  <c r="E22" i="44"/>
  <c r="I19" i="47"/>
  <c r="R21" i="1"/>
  <c r="S21"/>
  <c r="G119" i="20"/>
  <c r="H119" s="1"/>
  <c r="V6" i="45"/>
  <c r="V24" s="1"/>
  <c r="BD20" i="49" s="1"/>
  <c r="F119" i="20"/>
  <c r="G20"/>
  <c r="E30"/>
  <c r="G30" s="1"/>
  <c r="BO20" i="1"/>
  <c r="G20" i="21"/>
  <c r="F19" i="22"/>
  <c r="E19" i="23" s="1"/>
  <c r="M18" i="47"/>
  <c r="H25" i="1"/>
  <c r="G150" i="23"/>
  <c r="G146"/>
  <c r="G148"/>
  <c r="I59"/>
  <c r="G154"/>
  <c r="G152"/>
  <c r="G144"/>
  <c r="I13"/>
  <c r="B26" i="44"/>
  <c r="G7" i="24"/>
  <c r="E7" i="25"/>
  <c r="F7" s="1"/>
  <c r="E28" i="20"/>
  <c r="G28" s="1"/>
  <c r="M22" i="1"/>
  <c r="G129" i="20"/>
  <c r="H129" s="1"/>
  <c r="J129" s="1"/>
  <c r="AN23" i="44"/>
  <c r="D23"/>
  <c r="BA21"/>
  <c r="BM18" i="49"/>
  <c r="E15" i="22"/>
  <c r="F15" s="1"/>
  <c r="G15" i="21"/>
  <c r="O21" i="1"/>
  <c r="G19" i="47"/>
  <c r="H28" i="19"/>
  <c r="J28" s="1"/>
  <c r="BG19" i="49"/>
  <c r="AT22" i="44"/>
  <c r="H31" i="22"/>
  <c r="J31" i="21"/>
  <c r="I60" i="30"/>
  <c r="E27" i="47"/>
  <c r="BL29" i="1"/>
  <c r="BM29"/>
  <c r="BN29"/>
  <c r="L29"/>
  <c r="E9" i="43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BO21" i="1" l="1"/>
  <c r="E30" i="21"/>
  <c r="G30" s="1"/>
  <c r="M19" i="47"/>
  <c r="G119" i="21"/>
  <c r="H119" s="1"/>
  <c r="J119" s="1"/>
  <c r="W6" i="45"/>
  <c r="W24" s="1"/>
  <c r="BD21" i="49" s="1"/>
  <c r="G32" i="20"/>
  <c r="G19" i="22"/>
  <c r="G119" s="1"/>
  <c r="E24" i="44"/>
  <c r="P23" i="1"/>
  <c r="J119" i="20"/>
  <c r="F19" i="23"/>
  <c r="E19" i="24" s="1"/>
  <c r="F19" s="1"/>
  <c r="E23" i="44"/>
  <c r="P22" i="1"/>
  <c r="H26"/>
  <c r="B27" i="44"/>
  <c r="I13" i="24"/>
  <c r="G148"/>
  <c r="I59"/>
  <c r="G152"/>
  <c r="G154"/>
  <c r="G150"/>
  <c r="G144"/>
  <c r="G146"/>
  <c r="E7" i="40"/>
  <c r="F7" s="1"/>
  <c r="G7" i="25"/>
  <c r="O22" i="1"/>
  <c r="G20" i="47"/>
  <c r="AN24" i="44"/>
  <c r="G129" i="21"/>
  <c r="H129" s="1"/>
  <c r="J129" s="1"/>
  <c r="D24" i="44"/>
  <c r="M23" i="1"/>
  <c r="E28" i="21"/>
  <c r="G28" s="1"/>
  <c r="AT23" i="44"/>
  <c r="BG20" i="49"/>
  <c r="BM19"/>
  <c r="BA22" i="44"/>
  <c r="H28" i="20"/>
  <c r="E15" i="23"/>
  <c r="F15" s="1"/>
  <c r="G15" i="22"/>
  <c r="H31" i="23"/>
  <c r="J31" i="22"/>
  <c r="N9" i="43"/>
  <c r="E9" i="31"/>
  <c r="F9" s="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G32" i="21" l="1"/>
  <c r="E30" i="22"/>
  <c r="G30" s="1"/>
  <c r="X6" i="45"/>
  <c r="X24" s="1"/>
  <c r="BD22" i="49" s="1"/>
  <c r="G19" i="23"/>
  <c r="G20" s="1"/>
  <c r="G20" i="22"/>
  <c r="P24" i="1" s="1"/>
  <c r="F119" i="22"/>
  <c r="I21" i="47"/>
  <c r="R23" i="1"/>
  <c r="S23"/>
  <c r="H119" i="22"/>
  <c r="J119" s="1"/>
  <c r="I20" i="47"/>
  <c r="M20" s="1"/>
  <c r="R22" i="1"/>
  <c r="BO22" s="1"/>
  <c r="S22"/>
  <c r="G119" i="23"/>
  <c r="H119" s="1"/>
  <c r="J119" s="1"/>
  <c r="Y6" i="45"/>
  <c r="Y24" s="1"/>
  <c r="BD23" i="49" s="1"/>
  <c r="N20" i="24"/>
  <c r="E19" i="25"/>
  <c r="F19" s="1"/>
  <c r="G19" i="24"/>
  <c r="H28" i="21"/>
  <c r="J28" s="1"/>
  <c r="J28" i="20"/>
  <c r="G7" i="40"/>
  <c r="E7" i="27"/>
  <c r="F7" s="1"/>
  <c r="B28" i="44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F15" s="1"/>
  <c r="G15" i="23"/>
  <c r="O23" i="1"/>
  <c r="G21" i="47"/>
  <c r="M24" i="1"/>
  <c r="D25" i="44"/>
  <c r="G129" i="22"/>
  <c r="H129" s="1"/>
  <c r="J129" s="1"/>
  <c r="E28"/>
  <c r="G28" s="1"/>
  <c r="AN25" i="44"/>
  <c r="H31" i="24"/>
  <c r="H31" i="25" s="1"/>
  <c r="H31" i="40" s="1"/>
  <c r="H31" i="27" s="1"/>
  <c r="H31" i="28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F119" i="23" l="1"/>
  <c r="G32" i="22"/>
  <c r="E30" i="23"/>
  <c r="G30" s="1"/>
  <c r="E25" i="44"/>
  <c r="BO23" i="1"/>
  <c r="G19" i="25"/>
  <c r="E19" i="40"/>
  <c r="G20" i="24"/>
  <c r="G119"/>
  <c r="H119" s="1"/>
  <c r="J119" s="1"/>
  <c r="Z6" i="45"/>
  <c r="Z24" s="1"/>
  <c r="BD24" i="49" s="1"/>
  <c r="E30" i="24"/>
  <c r="G30" s="1"/>
  <c r="I22" i="47"/>
  <c r="R24" i="1"/>
  <c r="S24"/>
  <c r="M21" i="47"/>
  <c r="E26" i="44"/>
  <c r="P25" i="1"/>
  <c r="H31" i="29"/>
  <c r="J31" s="1"/>
  <c r="J31" i="28"/>
  <c r="H28" i="1"/>
  <c r="G152" i="40"/>
  <c r="G154"/>
  <c r="G150"/>
  <c r="G144"/>
  <c r="N7"/>
  <c r="N11" s="1"/>
  <c r="I13"/>
  <c r="B29" i="44"/>
  <c r="I59" i="40"/>
  <c r="G148"/>
  <c r="G146"/>
  <c r="E7" i="28"/>
  <c r="F7" s="1"/>
  <c r="G7" i="27"/>
  <c r="O24" i="1"/>
  <c r="G22" i="47"/>
  <c r="BA24" i="44"/>
  <c r="BM21" i="49"/>
  <c r="BG22"/>
  <c r="AT25" i="44"/>
  <c r="E15" i="25"/>
  <c r="F15" s="1"/>
  <c r="G15" i="24"/>
  <c r="H28" i="22"/>
  <c r="J28" s="1"/>
  <c r="M25" i="1"/>
  <c r="D26" i="44"/>
  <c r="G129" i="23"/>
  <c r="H129" s="1"/>
  <c r="J129" s="1"/>
  <c r="AN26" i="44"/>
  <c r="E28" i="23"/>
  <c r="G28" s="1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G32" i="23" l="1"/>
  <c r="BO24" i="1"/>
  <c r="F19" i="40"/>
  <c r="E19" i="27" s="1"/>
  <c r="E30" i="25"/>
  <c r="G30" s="1"/>
  <c r="G20"/>
  <c r="G119"/>
  <c r="H119" s="1"/>
  <c r="J119" s="1"/>
  <c r="AA6" i="45"/>
  <c r="AA24" s="1"/>
  <c r="BD25" i="49" s="1"/>
  <c r="E27" i="44"/>
  <c r="P26" i="1"/>
  <c r="S25"/>
  <c r="R25"/>
  <c r="I23" i="47"/>
  <c r="M22"/>
  <c r="H31" i="30"/>
  <c r="H28" i="23"/>
  <c r="J28" s="1"/>
  <c r="G7" i="28"/>
  <c r="E7" i="29"/>
  <c r="F7" s="1"/>
  <c r="G152" i="27"/>
  <c r="G150"/>
  <c r="G146"/>
  <c r="B30" i="44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F15" s="1"/>
  <c r="G15" i="25"/>
  <c r="O25" i="1"/>
  <c r="BO25" s="1"/>
  <c r="G23" i="47"/>
  <c r="M23" s="1"/>
  <c r="AT26" i="44"/>
  <c r="BG23" i="49"/>
  <c r="BA25" i="44"/>
  <c r="BM22" i="49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G19" i="40" l="1"/>
  <c r="G119" s="1"/>
  <c r="H119" s="1"/>
  <c r="J119" s="1"/>
  <c r="F19" i="27"/>
  <c r="E19" i="28" s="1"/>
  <c r="E28" i="44"/>
  <c r="P27" i="1"/>
  <c r="I24" i="47"/>
  <c r="S26" i="1"/>
  <c r="R26"/>
  <c r="H31" i="43"/>
  <c r="J31" i="30"/>
  <c r="B31" i="44"/>
  <c r="I59" i="28"/>
  <c r="G146"/>
  <c r="G152"/>
  <c r="H30" i="1"/>
  <c r="G154" i="28"/>
  <c r="G144"/>
  <c r="I13"/>
  <c r="G150"/>
  <c r="G148"/>
  <c r="E7" i="30"/>
  <c r="F7" s="1"/>
  <c r="G7" i="29"/>
  <c r="BA26" i="44"/>
  <c r="BM23" i="49"/>
  <c r="BG24"/>
  <c r="AT27" i="44"/>
  <c r="O26" i="1"/>
  <c r="G24" i="47"/>
  <c r="E15" i="27"/>
  <c r="F15" s="1"/>
  <c r="G15" i="40"/>
  <c r="H28" i="24"/>
  <c r="J28" s="1"/>
  <c r="G129" i="25"/>
  <c r="H129" s="1"/>
  <c r="J129" s="1"/>
  <c r="M27" i="1"/>
  <c r="AN28" i="44"/>
  <c r="E28" i="25"/>
  <c r="G28" s="1"/>
  <c r="G32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s="1"/>
  <c r="G20" i="40"/>
  <c r="P28" i="1" s="1"/>
  <c r="AB6" i="45"/>
  <c r="AB24" s="1"/>
  <c r="BD26" i="49" s="1"/>
  <c r="E30" i="40"/>
  <c r="G30" s="1"/>
  <c r="H30" s="1"/>
  <c r="BO26" i="1"/>
  <c r="M24" i="47"/>
  <c r="F19" i="28"/>
  <c r="E19" i="29" s="1"/>
  <c r="S27" i="1"/>
  <c r="R27"/>
  <c r="I25" i="47"/>
  <c r="J31" i="43"/>
  <c r="H31" i="31"/>
  <c r="J31" s="1"/>
  <c r="E7" i="43"/>
  <c r="F7" s="1"/>
  <c r="G7" i="30"/>
  <c r="I59" i="29"/>
  <c r="B32" i="44"/>
  <c r="G150" i="29"/>
  <c r="H31" i="1"/>
  <c r="G152" i="29"/>
  <c r="G154"/>
  <c r="G146"/>
  <c r="G148"/>
  <c r="I13"/>
  <c r="G144"/>
  <c r="E28" i="40"/>
  <c r="G28" s="1"/>
  <c r="G129"/>
  <c r="H129" s="1"/>
  <c r="J129" s="1"/>
  <c r="AN29" i="44"/>
  <c r="M28" i="1"/>
  <c r="D29" i="44"/>
  <c r="O27" i="1"/>
  <c r="G25" i="47"/>
  <c r="BA27" i="44"/>
  <c r="BM24" i="49"/>
  <c r="H28" i="25"/>
  <c r="J28" s="1"/>
  <c r="BG25" i="49"/>
  <c r="AT28" i="44"/>
  <c r="E15" i="28"/>
  <c r="F15" s="1"/>
  <c r="G15" i="27"/>
  <c r="H153" i="24"/>
  <c r="J153" i="23"/>
  <c r="J30" i="24"/>
  <c r="J29" i="23"/>
  <c r="H29" i="24"/>
  <c r="H128" i="25"/>
  <c r="J128" s="1"/>
  <c r="J128" i="24"/>
  <c r="J27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32" i="40" l="1"/>
  <c r="G19" i="28"/>
  <c r="G119" s="1"/>
  <c r="H119" s="1"/>
  <c r="J119" s="1"/>
  <c r="G119" i="27"/>
  <c r="H119" s="1"/>
  <c r="J119" s="1"/>
  <c r="AC6" i="45"/>
  <c r="AC24" s="1"/>
  <c r="BD27" i="49" s="1"/>
  <c r="E30" i="27"/>
  <c r="G30" s="1"/>
  <c r="H30" s="1"/>
  <c r="M25" i="47"/>
  <c r="E29" i="44"/>
  <c r="F19" i="29"/>
  <c r="E19" i="30" s="1"/>
  <c r="I26" i="47"/>
  <c r="R28" i="1"/>
  <c r="S28"/>
  <c r="E30" i="44"/>
  <c r="P29" i="1"/>
  <c r="E7" i="31"/>
  <c r="F7" s="1"/>
  <c r="N7" i="43"/>
  <c r="H32" i="1"/>
  <c r="G152" i="30"/>
  <c r="B33" i="44"/>
  <c r="I13" i="30"/>
  <c r="G144"/>
  <c r="G150"/>
  <c r="G148"/>
  <c r="G154"/>
  <c r="G146"/>
  <c r="I59"/>
  <c r="AT29" i="44"/>
  <c r="BG26" i="49"/>
  <c r="G26" i="47"/>
  <c r="O28" i="1"/>
  <c r="BA28" i="44"/>
  <c r="BM25" i="49"/>
  <c r="BO27" i="1"/>
  <c r="E15" i="29"/>
  <c r="F15" s="1"/>
  <c r="G15" i="28"/>
  <c r="AN30" i="44"/>
  <c r="M29" i="1"/>
  <c r="D30" i="44"/>
  <c r="G129" i="27"/>
  <c r="H129" s="1"/>
  <c r="J129" s="1"/>
  <c r="E28"/>
  <c r="G28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20" i="28" l="1"/>
  <c r="E31" i="44" s="1"/>
  <c r="G32" i="27"/>
  <c r="AD6" i="45"/>
  <c r="AD24" s="1"/>
  <c r="BD28" i="49" s="1"/>
  <c r="E30" i="28"/>
  <c r="G30" s="1"/>
  <c r="H30" s="1"/>
  <c r="BO28" i="1"/>
  <c r="M26" i="47"/>
  <c r="G19" i="29"/>
  <c r="G119" s="1"/>
  <c r="H119" s="1"/>
  <c r="J119" s="1"/>
  <c r="F19" i="30"/>
  <c r="G19" s="1"/>
  <c r="I27" i="47"/>
  <c r="S29" i="1"/>
  <c r="R29"/>
  <c r="G7" i="31"/>
  <c r="N7"/>
  <c r="E28" i="28"/>
  <c r="G28" s="1"/>
  <c r="G32" s="1"/>
  <c r="AN31" i="44"/>
  <c r="M30" i="1"/>
  <c r="G129" i="28"/>
  <c r="H129" s="1"/>
  <c r="J129" s="1"/>
  <c r="D31" i="44"/>
  <c r="E15" i="30"/>
  <c r="F15" s="1"/>
  <c r="G15" i="29"/>
  <c r="BG27" i="49"/>
  <c r="AT30" i="44"/>
  <c r="H28" i="27"/>
  <c r="J28" s="1"/>
  <c r="O29" i="1"/>
  <c r="G27" i="47"/>
  <c r="BA29" i="44"/>
  <c r="BM26" i="49"/>
  <c r="J153" i="25"/>
  <c r="H153" i="40"/>
  <c r="H29"/>
  <c r="J29" i="25"/>
  <c r="H32"/>
  <c r="J32" i="24"/>
  <c r="J27" i="40"/>
  <c r="H27" i="27"/>
  <c r="J30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P30" i="1" l="1"/>
  <c r="S30" s="1"/>
  <c r="M27" i="47"/>
  <c r="G20" i="29"/>
  <c r="E32" i="44" s="1"/>
  <c r="AE6" i="45"/>
  <c r="AE24" s="1"/>
  <c r="BD29" i="49" s="1"/>
  <c r="E30" i="29"/>
  <c r="G30" s="1"/>
  <c r="H30" s="1"/>
  <c r="G20" i="30"/>
  <c r="G119"/>
  <c r="H119" s="1"/>
  <c r="J119" s="1"/>
  <c r="AF6" i="45"/>
  <c r="AF24" s="1"/>
  <c r="BD30" i="49" s="1"/>
  <c r="E30" i="30"/>
  <c r="G30" s="1"/>
  <c r="E19" i="43"/>
  <c r="H34" i="1"/>
  <c r="B35" i="44"/>
  <c r="G154" i="31"/>
  <c r="G146"/>
  <c r="G152"/>
  <c r="G148"/>
  <c r="G150"/>
  <c r="G144"/>
  <c r="I59"/>
  <c r="I13"/>
  <c r="BA30" i="44"/>
  <c r="BM27" i="49"/>
  <c r="AT31" i="44"/>
  <c r="BG28" i="49"/>
  <c r="BO29" i="1"/>
  <c r="O30"/>
  <c r="G28" i="47"/>
  <c r="G15" i="30"/>
  <c r="E15" i="43"/>
  <c r="F15" s="1"/>
  <c r="H28" i="28"/>
  <c r="J28" s="1"/>
  <c r="D32" i="44"/>
  <c r="E28" i="29"/>
  <c r="G28" s="1"/>
  <c r="M31" i="1"/>
  <c r="G129" i="29"/>
  <c r="AN32" i="44"/>
  <c r="J153" i="40"/>
  <c r="H153" i="27"/>
  <c r="J29" i="40"/>
  <c r="H29" i="27"/>
  <c r="H32" i="40"/>
  <c r="J32" i="25"/>
  <c r="J27" i="27"/>
  <c r="H27" i="28"/>
  <c r="J30"/>
  <c r="H24" i="30"/>
  <c r="J24" i="29"/>
  <c r="H23" i="28"/>
  <c r="J23" i="27"/>
  <c r="J22" i="30"/>
  <c r="H22" i="43"/>
  <c r="H22" i="31" s="1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R30" i="1" l="1"/>
  <c r="BO30" s="1"/>
  <c r="G32" i="29"/>
  <c r="I28" i="47"/>
  <c r="P31" i="1"/>
  <c r="S31" s="1"/>
  <c r="E33" i="44"/>
  <c r="P32" i="1"/>
  <c r="M28" i="47"/>
  <c r="F19" i="43"/>
  <c r="G19" s="1"/>
  <c r="H28" i="29"/>
  <c r="J28" s="1"/>
  <c r="AT32" i="44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I29" i="47" l="1"/>
  <c r="M29" s="1"/>
  <c r="R31" i="1"/>
  <c r="I30" i="47"/>
  <c r="S32" i="1"/>
  <c r="R32"/>
  <c r="G119" i="43"/>
  <c r="H119" s="1"/>
  <c r="J119" s="1"/>
  <c r="G20"/>
  <c r="AG6" i="45"/>
  <c r="AG24" s="1"/>
  <c r="BD31" i="49" s="1"/>
  <c r="E30" i="43"/>
  <c r="G30" s="1"/>
  <c r="H30" s="1"/>
  <c r="N19"/>
  <c r="E19" i="31"/>
  <c r="F19" s="1"/>
  <c r="H28" i="30"/>
  <c r="J28" s="1"/>
  <c r="BA32" i="44"/>
  <c r="BM29" i="49"/>
  <c r="D34" i="44"/>
  <c r="D36" s="1"/>
  <c r="M33" i="1"/>
  <c r="AN34" i="44"/>
  <c r="E28" i="43"/>
  <c r="G28" s="1"/>
  <c r="G129"/>
  <c r="O32" i="1"/>
  <c r="G30" i="47"/>
  <c r="BO31" i="1"/>
  <c r="BG30" i="49"/>
  <c r="AT33" i="44"/>
  <c r="J153" i="28"/>
  <c r="H153" i="29"/>
  <c r="J29" i="28"/>
  <c r="H29" i="29"/>
  <c r="H32" i="28"/>
  <c r="J32" i="27"/>
  <c r="J27" i="29"/>
  <c r="H27" i="30"/>
  <c r="J30"/>
  <c r="J24" i="43"/>
  <c r="J23" i="29"/>
  <c r="H23" i="30"/>
  <c r="J95"/>
  <c r="H95" i="43"/>
  <c r="H95" i="31" s="1"/>
  <c r="J18" i="29"/>
  <c r="J56" i="28"/>
  <c r="H56" i="29"/>
  <c r="J131"/>
  <c r="H131" i="30"/>
  <c r="H132" i="43"/>
  <c r="J132" i="30"/>
  <c r="H138"/>
  <c r="J138" i="29"/>
  <c r="H137" i="30"/>
  <c r="J137" i="29"/>
  <c r="J93"/>
  <c r="H93" i="30"/>
  <c r="J77"/>
  <c r="H77" i="43"/>
  <c r="H77" i="31" s="1"/>
  <c r="J68" i="30"/>
  <c r="H68" i="43"/>
  <c r="H68" i="31" s="1"/>
  <c r="J62" i="29"/>
  <c r="H62" i="30"/>
  <c r="H64"/>
  <c r="J64" i="29"/>
  <c r="H57" i="43"/>
  <c r="H57" i="31" s="1"/>
  <c r="J57" i="30"/>
  <c r="J50" i="28"/>
  <c r="H50" i="29"/>
  <c r="J36" i="28"/>
  <c r="H36" i="29"/>
  <c r="H37"/>
  <c r="J37" i="28"/>
  <c r="J38" i="29"/>
  <c r="H38" i="30"/>
  <c r="H44" i="29"/>
  <c r="J44" i="28"/>
  <c r="J45" i="30"/>
  <c r="H45" i="43"/>
  <c r="H45" i="31" s="1"/>
  <c r="H35" i="30"/>
  <c r="J35" i="29"/>
  <c r="J40"/>
  <c r="H40" i="30"/>
  <c r="H20" i="28"/>
  <c r="J20" i="27"/>
  <c r="J11" i="30"/>
  <c r="H11" i="43"/>
  <c r="H9" i="30"/>
  <c r="J9" i="29"/>
  <c r="H19" i="43"/>
  <c r="J19" i="30"/>
  <c r="J141"/>
  <c r="H141" i="43"/>
  <c r="J140" i="28"/>
  <c r="H140" i="29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J81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G32" i="43" l="1"/>
  <c r="BO32" i="1"/>
  <c r="N19" i="31"/>
  <c r="G19"/>
  <c r="H19" s="1"/>
  <c r="J19" s="1"/>
  <c r="M30" i="47"/>
  <c r="P33" i="1"/>
  <c r="E34" i="44"/>
  <c r="H28" i="43"/>
  <c r="J28" s="1"/>
  <c r="O33" i="1"/>
  <c r="O35" s="1"/>
  <c r="G31" i="47"/>
  <c r="M35" i="1"/>
  <c r="BA33" i="44"/>
  <c r="BM30" i="49"/>
  <c r="AT34" i="44"/>
  <c r="AT36" s="1"/>
  <c r="BG31" i="49"/>
  <c r="AN36" i="44"/>
  <c r="H12" i="31"/>
  <c r="J12" s="1"/>
  <c r="H132"/>
  <c r="J132" s="1"/>
  <c r="H11"/>
  <c r="J11" s="1"/>
  <c r="H139"/>
  <c r="J139" s="1"/>
  <c r="H141"/>
  <c r="J141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H27" i="31" s="1"/>
  <c r="J27" i="30"/>
  <c r="J30" i="43"/>
  <c r="H23"/>
  <c r="H23" i="31" s="1"/>
  <c r="J23" s="1"/>
  <c r="J23" i="30"/>
  <c r="J95" i="43"/>
  <c r="J18" i="30"/>
  <c r="J56" i="29"/>
  <c r="H56" i="30"/>
  <c r="H138" i="43"/>
  <c r="J138" i="30"/>
  <c r="H131" i="43"/>
  <c r="J131" i="30"/>
  <c r="H137" i="43"/>
  <c r="J137" i="30"/>
  <c r="J132" i="43"/>
  <c r="H93"/>
  <c r="H93" i="31" s="1"/>
  <c r="J93" i="30"/>
  <c r="J77" i="43"/>
  <c r="H64"/>
  <c r="H64" i="31" s="1"/>
  <c r="J64" i="30"/>
  <c r="H62" i="43"/>
  <c r="H62" i="31" s="1"/>
  <c r="J62" i="30"/>
  <c r="J68" i="43"/>
  <c r="H50" i="30"/>
  <c r="J50" i="29"/>
  <c r="J57" i="43"/>
  <c r="J36" i="29"/>
  <c r="H36" i="30"/>
  <c r="J37" i="29"/>
  <c r="H37" i="30"/>
  <c r="H38" i="43"/>
  <c r="J38" i="30"/>
  <c r="J40"/>
  <c r="H40" i="43"/>
  <c r="J45"/>
  <c r="H44" i="30"/>
  <c r="J44" i="29"/>
  <c r="J35" i="30"/>
  <c r="H35" i="43"/>
  <c r="H20" i="29"/>
  <c r="J20" i="28"/>
  <c r="J11" i="43"/>
  <c r="H9"/>
  <c r="J9" i="30"/>
  <c r="J19" i="43"/>
  <c r="J141"/>
  <c r="J140" i="29"/>
  <c r="H140" i="30"/>
  <c r="J139" i="43"/>
  <c r="J136" i="30"/>
  <c r="H136" i="43"/>
  <c r="H135" i="30"/>
  <c r="J135" i="29"/>
  <c r="H133" i="43"/>
  <c r="J133" i="30"/>
  <c r="J126"/>
  <c r="H126" i="43"/>
  <c r="H126" i="31" s="1"/>
  <c r="H128" i="43"/>
  <c r="H128" i="31" s="1"/>
  <c r="J128" i="30"/>
  <c r="H127" i="43"/>
  <c r="H127" i="31" s="1"/>
  <c r="J127" i="30"/>
  <c r="J125"/>
  <c r="H125" i="43"/>
  <c r="H125" i="31" s="1"/>
  <c r="J124" i="30"/>
  <c r="H124" i="43"/>
  <c r="H124" i="31" s="1"/>
  <c r="H101" i="43"/>
  <c r="H101" i="31" s="1"/>
  <c r="J101" i="30"/>
  <c r="J100"/>
  <c r="H100" i="43"/>
  <c r="H100" i="31" s="1"/>
  <c r="H99" i="43"/>
  <c r="H99" i="31" s="1"/>
  <c r="J99" i="30"/>
  <c r="H98" i="43"/>
  <c r="H98" i="31" s="1"/>
  <c r="J98" i="30"/>
  <c r="H97" i="43"/>
  <c r="H97" i="31" s="1"/>
  <c r="J97" i="30"/>
  <c r="J102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/>
  <c r="H66" i="43"/>
  <c r="H66" i="31" s="1"/>
  <c r="J65" i="30"/>
  <c r="H65" i="43"/>
  <c r="H65" i="31" s="1"/>
  <c r="H63" i="43"/>
  <c r="H63" i="31" s="1"/>
  <c r="J63" i="30"/>
  <c r="J58"/>
  <c r="H58" i="43"/>
  <c r="J55" i="29"/>
  <c r="H55" i="30"/>
  <c r="J54" i="29"/>
  <c r="H54" i="30"/>
  <c r="H53" i="43"/>
  <c r="H53" i="31" s="1"/>
  <c r="J53" i="30"/>
  <c r="H149"/>
  <c r="J149" i="29"/>
  <c r="H52" i="43"/>
  <c r="H52" i="31" s="1"/>
  <c r="J52" i="30"/>
  <c r="H51" i="43"/>
  <c r="H51" i="31" s="1"/>
  <c r="J51" i="30"/>
  <c r="H49" i="43"/>
  <c r="H49" i="31" s="1"/>
  <c r="J49" i="30"/>
  <c r="J59"/>
  <c r="H59" i="43"/>
  <c r="H59" i="31" s="1"/>
  <c r="H46" i="43"/>
  <c r="H46" i="31" s="1"/>
  <c r="J46" i="30"/>
  <c r="H143" i="43"/>
  <c r="J143" i="30"/>
  <c r="J43" i="43"/>
  <c r="H42" i="30"/>
  <c r="J42" i="29"/>
  <c r="J145" i="30"/>
  <c r="H145" i="43"/>
  <c r="J41" i="29"/>
  <c r="H41" i="30"/>
  <c r="H60" i="28"/>
  <c r="J60" i="27"/>
  <c r="J147" i="29"/>
  <c r="H147" i="30"/>
  <c r="J39"/>
  <c r="H39" i="43"/>
  <c r="J47" i="28"/>
  <c r="H151" i="43"/>
  <c r="J151" i="30"/>
  <c r="J15" i="29"/>
  <c r="I16" s="1"/>
  <c r="H15" i="30"/>
  <c r="J12" i="43"/>
  <c r="H10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E30" i="31" l="1"/>
  <c r="G30" s="1"/>
  <c r="G119"/>
  <c r="H119" s="1"/>
  <c r="G20"/>
  <c r="AH6" i="45"/>
  <c r="AH24" s="1"/>
  <c r="BD32" i="49" s="1"/>
  <c r="I31" i="47"/>
  <c r="S33" i="1"/>
  <c r="R33"/>
  <c r="H28" i="3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J75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6" i="43"/>
  <c r="H56" i="31" s="1"/>
  <c r="J137" i="43"/>
  <c r="J138"/>
  <c r="J131"/>
  <c r="J93"/>
  <c r="J64"/>
  <c r="J62"/>
  <c r="H50"/>
  <c r="H50" i="31" s="1"/>
  <c r="J50" i="30"/>
  <c r="J36"/>
  <c r="H37" i="43"/>
  <c r="J37" i="30"/>
  <c r="J35" i="43"/>
  <c r="J40"/>
  <c r="H44"/>
  <c r="H44" i="31" s="1"/>
  <c r="J44" i="30"/>
  <c r="J38" i="43"/>
  <c r="H20" i="30"/>
  <c r="H20" i="43" s="1"/>
  <c r="H20" i="31" s="1"/>
  <c r="J20" i="29"/>
  <c r="J9" i="43"/>
  <c r="H140"/>
  <c r="J140" i="30"/>
  <c r="J136" i="43"/>
  <c r="J135" i="30"/>
  <c r="H135" i="43"/>
  <c r="H135" i="31" s="1"/>
  <c r="J133" i="43"/>
  <c r="J126"/>
  <c r="J128"/>
  <c r="J127"/>
  <c r="J125"/>
  <c r="J124"/>
  <c r="J101"/>
  <c r="J100"/>
  <c r="J99"/>
  <c r="J98"/>
  <c r="J97"/>
  <c r="J96" i="30"/>
  <c r="H96" i="43"/>
  <c r="H96" i="31" s="1"/>
  <c r="J102" i="43"/>
  <c r="H94"/>
  <c r="H94" i="31" s="1"/>
  <c r="J94" i="30"/>
  <c r="H84" i="43"/>
  <c r="H84" i="31" s="1"/>
  <c r="J84" i="30"/>
  <c r="J85"/>
  <c r="H85" i="43"/>
  <c r="H85" i="31" s="1"/>
  <c r="J83" i="43"/>
  <c r="J82"/>
  <c r="J80"/>
  <c r="J78"/>
  <c r="J79"/>
  <c r="J76"/>
  <c r="J75"/>
  <c r="J74"/>
  <c r="J73" i="30"/>
  <c r="H73" i="43"/>
  <c r="H73" i="31" s="1"/>
  <c r="J72" i="30"/>
  <c r="H72" i="43"/>
  <c r="H72" i="31" s="1"/>
  <c r="H69" i="43"/>
  <c r="H69" i="31" s="1"/>
  <c r="J69" i="30"/>
  <c r="J67" i="43"/>
  <c r="J66"/>
  <c r="J65"/>
  <c r="J63"/>
  <c r="J58"/>
  <c r="H55"/>
  <c r="H55" i="31" s="1"/>
  <c r="J55" i="30"/>
  <c r="J54"/>
  <c r="H54" i="43"/>
  <c r="H54" i="31" s="1"/>
  <c r="J53" i="43"/>
  <c r="H149"/>
  <c r="J149" i="30"/>
  <c r="J52" i="43"/>
  <c r="J51"/>
  <c r="J49"/>
  <c r="J59"/>
  <c r="J46"/>
  <c r="J143"/>
  <c r="J42" i="30"/>
  <c r="H42" i="43"/>
  <c r="H42" i="31" s="1"/>
  <c r="J145" i="43"/>
  <c r="J41" i="30"/>
  <c r="H41" i="43"/>
  <c r="H41" i="31" s="1"/>
  <c r="J39" i="43"/>
  <c r="J47" i="29"/>
  <c r="H47" i="30"/>
  <c r="H147" i="43"/>
  <c r="J147" i="30"/>
  <c r="H60" i="29"/>
  <c r="J60" i="28"/>
  <c r="J151" i="43"/>
  <c r="J15" i="30"/>
  <c r="I16" s="1"/>
  <c r="H15" i="43"/>
  <c r="J10"/>
  <c r="J13" i="30"/>
  <c r="H13" i="43"/>
  <c r="J144" i="30"/>
  <c r="J146"/>
  <c r="J148"/>
  <c r="J150"/>
  <c r="J7"/>
  <c r="I9" s="1"/>
  <c r="N119" i="31" l="1"/>
  <c r="J119"/>
  <c r="P34" i="1"/>
  <c r="E35" i="44"/>
  <c r="E36" s="1"/>
  <c r="G32" i="31"/>
  <c r="H30"/>
  <c r="J30" s="1"/>
  <c r="H15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J56"/>
  <c r="J50"/>
  <c r="J36"/>
  <c r="J37"/>
  <c r="J44"/>
  <c r="J20" i="30"/>
  <c r="J20" i="3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7" i="43"/>
  <c r="H47" i="31" s="1"/>
  <c r="J15" i="43"/>
  <c r="I16" s="1"/>
  <c r="J13"/>
  <c r="I32" i="47" l="1"/>
  <c r="R34" i="1"/>
  <c r="S34"/>
  <c r="S35" s="1"/>
  <c r="P35"/>
  <c r="H32" i="31"/>
  <c r="J32" s="1"/>
  <c r="J47"/>
  <c r="N47"/>
  <c r="J32" i="43"/>
  <c r="J20"/>
  <c r="J60" i="30"/>
  <c r="H60" i="43"/>
  <c r="H60" i="31" s="1"/>
  <c r="J47" i="43"/>
  <c r="R35" i="1" l="1"/>
  <c r="BO34"/>
  <c r="J60" i="3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9" l="1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Ramesh.Kadam</author>
  </authors>
  <commentList>
    <comment ref="E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3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<sst xmlns="http://schemas.openxmlformats.org/spreadsheetml/2006/main" count="10076" uniqueCount="383">
  <si>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</si>
  <si>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</si>
  <si>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</si>
  <si>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</si>
  <si>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</si>
  <si>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</si>
  <si>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</si>
  <si>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</si>
  <si>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</si>
  <si>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</si>
  <si>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</si>
  <si>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</si>
  <si>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</si>
  <si>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</si>
  <si>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</si>
  <si>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</si>
  <si>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</si>
  <si>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</si>
  <si>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</si>
  <si>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</si>
  <si>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</si>
  <si>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</si>
  <si>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</si>
  <si>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</si>
  <si>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</si>
  <si>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</si>
  <si>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</si>
  <si>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</si>
  <si>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</si>
  <si>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</si>
  <si>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</si>
  <si>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</si>
  <si>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</si>
  <si>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</si>
  <si>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</si>
  <si>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</si>
  <si>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</si>
  <si>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</si>
  <si>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</si>
  <si>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</si>
  <si>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</si>
  <si>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</si>
  <si>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</si>
  <si>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</si>
  <si>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</si>
  <si>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</si>
  <si>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</si>
  <si>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</si>
  <si>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</si>
  <si>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</si>
  <si>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</si>
  <si>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</si>
  <si>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</si>
  <si>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</si>
  <si>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</si>
  <si>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</si>
  <si>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</si>
  <si>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</si>
  <si>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</si>
  <si>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</si>
  <si>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</si>
  <si>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</si>
  <si>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</si>
  <si>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</si>
  <si>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</si>
  <si>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</si>
  <si>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</si>
  <si>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</si>
  <si>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</si>
  <si>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</si>
  <si>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</si>
  <si>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</si>
  <si>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</si>
  <si>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</si>
  <si>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</si>
  <si>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</si>
  <si>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</si>
  <si>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</si>
  <si>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</si>
  <si>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</si>
  <si>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</si>
  <si>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</si>
  <si>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</si>
  <si>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</si>
  <si>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</si>
  <si>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</si>
  <si>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</si>
  <si>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</si>
  <si>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</si>
  <si>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</si>
  <si>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</si>
  <si>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</si>
  <si>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</si>
  <si>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</si>
  <si>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</si>
  <si>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</si>
  <si>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</si>
  <si>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</si>
  <si>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</si>
  <si>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</si>
  <si>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</si>
  <si>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</si>
  <si>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</si>
  <si>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</si>
  <si>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</si>
  <si>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</si>
  <si>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</si>
  <si>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</si>
  <si>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</si>
  <si>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</si>
  <si>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</si>
  <si>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</si>
  <si>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</si>
  <si>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</si>
  <si>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</si>
  <si>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</si>
  <si>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</si>
  <si>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</si>
  <si>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</si>
  <si>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</si>
  <si>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</si>
  <si>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</si>
  <si>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</si>
  <si>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</si>
  <si>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</si>
  <si>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</si>
  <si>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</si>
  <si>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</si>
  <si>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</si>
  <si>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</si>
  <si>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</si>
  <si>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</si>
  <si>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</si>
  <si>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</si>
  <si>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</si>
  <si>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</si>
  <si>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</si>
  <si>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</si>
  <si>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</si>
  <si>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</si>
  <si>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</si>
  <si>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</si>
  <si>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</si>
  <si>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</si>
  <si>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</si>
  <si>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</si>
  <si>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</si>
  <si>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</si>
  <si>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</si>
  <si>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</si>
  <si>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</si>
  <si>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</si>
  <si>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</si>
  <si>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</si>
  <si>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</si>
  <si>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</si>
  <si>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</si>
  <si>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</si>
  <si>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</si>
  <si>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</si>
  <si>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</si>
  <si>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</si>
  <si>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</si>
  <si>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</si>
  <si>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</si>
  <si>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</si>
  <si>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</si>
  <si>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</si>
  <si>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</si>
  <si>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</si>
  <si>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</si>
  <si>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</si>
  <si>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</si>
  <si>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</si>
  <si>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</si>
  <si>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</si>
  <si>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</si>
  <si>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</si>
  <si>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</si>
  <si>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</si>
  <si>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</si>
  <si>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</si>
  <si>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</si>
  <si>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</si>
  <si>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</si>
  <si>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</si>
  <si>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</si>
  <si>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</si>
  <si>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</si>
  <si>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</si>
  <si>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</si>
  <si>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</si>
  <si>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</si>
  <si>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</si>
  <si>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</si>
  <si>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</si>
  <si>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</si>
  <si>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</si>
  <si>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</si>
  <si>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</si>
  <si>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</si>
  <si>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</si>
  <si>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</si>
  <si>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</si>
  <si>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</si>
  <si>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</si>
  <si>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</si>
  <si>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</si>
  <si>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</si>
  <si>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</si>
  <si>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</si>
  <si>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</si>
  <si>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</si>
  <si>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</si>
  <si>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</si>
  <si>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</si>
  <si>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</si>
  <si>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</si>
  <si>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</si>
  <si>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</si>
  <si>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</si>
  <si>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</si>
  <si>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</si>
  <si>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</si>
  <si>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</si>
  <si>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</si>
  <si>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</si>
  <si>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</si>
  <si>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</si>
  <si>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</si>
  <si>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</si>
  <si>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</si>
  <si>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</si>
  <si>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</si>
  <si>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</si>
  <si>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</si>
  <si>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</si>
  <si>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</si>
  <si>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</si>
  <si>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</si>
  <si>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</si>
  <si>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</si>
  <si>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</si>
  <si>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</si>
  <si>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</si>
  <si>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</si>
  <si>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</si>
  <si>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</si>
  <si>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</si>
  <si>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</si>
  <si>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</si>
  <si>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</si>
  <si>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</si>
  <si>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</si>
  <si>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</si>
  <si>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</si>
  <si>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</si>
  <si>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</si>
  <si>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</si>
  <si>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</si>
  <si>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</si>
  <si>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</si>
  <si>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</si>
  <si>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</si>
  <si>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</si>
  <si>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</si>
  <si>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</si>
  <si>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</si>
  <si>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</si>
  <si>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</si>
  <si>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</si>
  <si>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</si>
  <si>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</si>
  <si>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</si>
  <si>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\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</si>
  <si>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</si>
  <si>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</si>
  <si>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</si>
  <si>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</si>
  <si>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</si>
  <si>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</si>
  <si>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</si>
  <si>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</si>
  <si>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</si>
  <si>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</si>
  <si>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</si>
  <si>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</si>
  <si>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</si>
  <si>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</si>
  <si>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</si>
  <si>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</si>
  <si>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</si>
  <si>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</si>
  <si>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</si>
  <si>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</si>
  <si>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</si>
  <si>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</si>
  <si>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</si>
  <si>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</si>
  <si>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</si>
  <si>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</si>
  <si>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</si>
  <si>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</si>
  <si>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</si>
  <si>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</si>
  <si>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</si>
  <si>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</si>
  <si>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</si>
  <si>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</si>
  <si>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</si>
  <si>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</si>
  <si>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</si>
  <si>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</si>
  <si>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</si>
  <si>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</si>
  <si>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</si>
  <si>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</si>
  <si>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</si>
  <si>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</si>
  <si>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</si>
  <si>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</si>
  <si>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</si>
  <si>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</si>
  <si>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</si>
  <si>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</si>
  <si>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</si>
  <si>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</si>
  <si>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</si>
  <si>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</si>
  <si>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</si>
  <si>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</si>
  <si>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</si>
  <si>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</si>
  <si>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</si>
  <si>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</si>
  <si>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</si>
  <si>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</si>
  <si>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</si>
  <si>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</si>
  <si>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</si>
  <si>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</si>
  <si>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</si>
  <si>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</si>
  <si>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</si>
  <si>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</si>
  <si>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</si>
  <si>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</si>
  <si>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</si>
  <si>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</si>
  <si>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</si>
  <si>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</si>
  <si>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</si>
  <si>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</si>
  <si>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</si>
  <si>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</si>
  <si>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</si>
  <si>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</si>
  <si>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</si>
  <si>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</si>
  <si>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by------- Nilesh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</si>
  <si>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</si>
  <si>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</si>
  <si>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</si>
  <si>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</si>
  <si>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Prepaired by - Nilesh</t>
  </si>
  <si>
    <t>kwh-812265</t>
  </si>
  <si>
    <t>kvah-821222</t>
  </si>
  <si>
    <t>Prepaired by ---Nilesh</t>
  </si>
  <si>
    <t>kwh- 833849</t>
  </si>
  <si>
    <t>kvah- 842889</t>
  </si>
  <si>
    <t>meter reading</t>
  </si>
  <si>
    <t>Prepaired by-- Nilesh</t>
  </si>
  <si>
    <t>kwh-855485</t>
  </si>
  <si>
    <t>kvah-864602</t>
  </si>
  <si>
    <t>kvah-887655</t>
  </si>
  <si>
    <t>kwh-878014</t>
  </si>
  <si>
    <t>kwh-901059</t>
  </si>
  <si>
    <t>kvah-910406</t>
  </si>
  <si>
    <t>Prepaired by- Devendra</t>
  </si>
  <si>
    <t>kwh-921819</t>
  </si>
  <si>
    <t>kvah-931220</t>
  </si>
  <si>
    <t>kwh-943273</t>
  </si>
  <si>
    <t>kvah-952770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</si>
</sst>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1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63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36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4" fillId="0" borderId="1" xfId="1" applyFont="1" applyBorder="1" applyAlignment="1">
      <alignment vertical="center" wrapText="1"/>
    </xf>
    <xf numFmtId="0" fontId="8" fillId="12" borderId="1" xfId="1" applyFont="1" applyFill="1" applyBorder="1" applyAlignment="1">
      <alignment horizontal="center" vertical="center" wrapText="1"/>
    </xf>
    <xf numFmtId="0" fontId="13" fillId="12" borderId="1" xfId="1" applyFont="1" applyFill="1" applyBorder="1" applyAlignment="1">
      <alignment vertical="top" wrapText="1"/>
    </xf>
    <xf numFmtId="1" fontId="4" fillId="12" borderId="0" xfId="1" applyNumberFormat="1" applyFont="1" applyFill="1"/>
    <xf numFmtId="0" fontId="0" fillId="12" borderId="0" xfId="0" applyFill="1"/>
    <xf numFmtId="0" fontId="7" fillId="12" borderId="1" xfId="1" applyFont="1" applyFill="1" applyBorder="1" applyAlignment="1">
      <alignment horizontal="center" vertical="center" wrapText="1"/>
    </xf>
    <xf numFmtId="1" fontId="13" fillId="12" borderId="1" xfId="1" applyNumberFormat="1" applyFont="1" applyFill="1" applyBorder="1" applyAlignment="1">
      <alignment vertical="top" wrapText="1"/>
    </xf>
    <xf numFmtId="0" fontId="13" fillId="12" borderId="1" xfId="1" applyFont="1" applyFill="1" applyBorder="1" applyAlignment="1">
      <alignment horizontal="center"/>
    </xf>
    <xf numFmtId="164" fontId="13" fillId="12" borderId="1" xfId="1" applyNumberFormat="1" applyFont="1" applyFill="1" applyBorder="1" applyAlignment="1">
      <alignment horizontal="center"/>
    </xf>
    <xf numFmtId="2" fontId="13" fillId="12" borderId="1" xfId="1" applyNumberFormat="1" applyFont="1" applyFill="1" applyBorder="1" applyAlignment="1">
      <alignment vertical="top" wrapText="1"/>
    </xf>
    <xf numFmtId="1" fontId="13" fillId="12" borderId="1" xfId="1" applyNumberFormat="1" applyFont="1" applyFill="1" applyBorder="1" applyAlignment="1">
      <alignment horizontal="center" vertical="top" wrapText="1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16" xfId="1" applyFont="1" applyFill="1" applyBorder="1" applyAlignment="1">
      <alignment vertical="top" wrapText="1"/>
    </xf>
    <xf numFmtId="0" fontId="10" fillId="0" borderId="12" xfId="1" applyFont="1" applyFill="1" applyBorder="1" applyAlignment="1">
      <alignment vertical="top" wrapText="1"/>
    </xf>
    <xf numFmtId="1" fontId="13" fillId="2" borderId="16" xfId="1" applyNumberFormat="1" applyFont="1" applyFill="1" applyBorder="1" applyAlignment="1">
      <alignment vertical="center" wrapText="1"/>
    </xf>
    <xf numFmtId="1" fontId="13" fillId="2" borderId="12" xfId="1" applyNumberFormat="1" applyFont="1" applyFill="1" applyBorder="1" applyAlignment="1">
      <alignment vertical="center" wrapText="1"/>
    </xf>
    <xf numFmtId="0" fontId="22" fillId="0" borderId="0" xfId="0" applyFont="1"/>
    <xf numFmtId="0" fontId="22" fillId="0" borderId="0" xfId="0" applyFont="1" applyBorder="1"/>
    <xf numFmtId="0" fontId="24" fillId="0" borderId="1" xfId="4" applyFont="1" applyBorder="1" applyAlignment="1">
      <alignment horizontal="center"/>
    </xf>
    <xf numFmtId="164" fontId="21" fillId="2" borderId="0" xfId="5" applyNumberFormat="1" applyFont="1" applyFill="1" applyBorder="1" applyAlignment="1" applyProtection="1">
      <alignment horizontal="center"/>
    </xf>
    <xf numFmtId="1" fontId="22" fillId="0" borderId="0" xfId="0" applyNumberFormat="1" applyFont="1"/>
    <xf numFmtId="1" fontId="13" fillId="2" borderId="3" xfId="1" applyNumberFormat="1" applyFont="1" applyFill="1" applyBorder="1" applyAlignment="1">
      <alignment vertical="center" wrapText="1"/>
    </xf>
    <xf numFmtId="0" fontId="23" fillId="2" borderId="0" xfId="3" applyFont="1" applyFill="1" applyBorder="1" applyAlignment="1">
      <alignment horizontal="center" vertical="center"/>
    </xf>
    <xf numFmtId="164" fontId="23" fillId="2" borderId="0" xfId="3" applyNumberFormat="1" applyFont="1" applyFill="1" applyBorder="1" applyAlignment="1">
      <alignment horizontal="center"/>
    </xf>
    <xf numFmtId="1" fontId="21" fillId="2" borderId="0" xfId="5" applyNumberFormat="1" applyFont="1" applyFill="1" applyBorder="1" applyAlignment="1" applyProtection="1">
      <alignment horizontal="center"/>
    </xf>
    <xf numFmtId="0" fontId="21" fillId="2" borderId="0" xfId="3" applyFont="1" applyFill="1" applyBorder="1" applyAlignment="1">
      <alignment horizontal="center"/>
    </xf>
    <xf numFmtId="0" fontId="25" fillId="0" borderId="0" xfId="0" applyFont="1"/>
    <xf numFmtId="0" fontId="25" fillId="0" borderId="0" xfId="0" applyFont="1" applyBorder="1"/>
    <xf numFmtId="0" fontId="27" fillId="0" borderId="0" xfId="0" applyFont="1" applyBorder="1"/>
    <xf numFmtId="0" fontId="27" fillId="0" borderId="0" xfId="0" applyFont="1"/>
    <xf numFmtId="164" fontId="26" fillId="2" borderId="0" xfId="5" applyNumberFormat="1" applyFont="1" applyFill="1" applyBorder="1" applyAlignment="1" applyProtection="1">
      <alignment horizontal="center"/>
    </xf>
    <xf numFmtId="0" fontId="29" fillId="0" borderId="0" xfId="4" applyFont="1"/>
    <xf numFmtId="1" fontId="25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2" fontId="27" fillId="8" borderId="1" xfId="3" applyNumberFormat="1" applyFont="1" applyFill="1" applyBorder="1" applyAlignment="1">
      <alignment horizontal="center"/>
    </xf>
    <xf numFmtId="164" fontId="26" fillId="2" borderId="0" xfId="3" applyNumberFormat="1" applyFont="1" applyFill="1" applyBorder="1" applyAlignment="1">
      <alignment horizontal="center" vertical="center" wrapText="1" shrinkToFit="1"/>
    </xf>
    <xf numFmtId="0" fontId="26" fillId="2" borderId="0" xfId="3" applyFont="1" applyFill="1" applyBorder="1" applyAlignment="1">
      <alignment horizontal="center" vertical="center"/>
    </xf>
    <xf numFmtId="1" fontId="26" fillId="2" borderId="0" xfId="5" applyNumberFormat="1" applyFont="1" applyFill="1" applyBorder="1" applyAlignment="1" applyProtection="1">
      <alignment horizontal="center"/>
    </xf>
    <xf numFmtId="0" fontId="26" fillId="2" borderId="0" xfId="3" applyFont="1" applyFill="1" applyBorder="1" applyAlignment="1">
      <alignment horizontal="center"/>
    </xf>
    <xf numFmtId="2" fontId="26" fillId="2" borderId="0" xfId="5" applyNumberFormat="1" applyFont="1" applyFill="1" applyBorder="1" applyAlignment="1" applyProtection="1">
      <alignment horizontal="center"/>
    </xf>
    <xf numFmtId="165" fontId="26" fillId="2" borderId="0" xfId="6" applyNumberFormat="1" applyFont="1" applyFill="1" applyBorder="1" applyAlignment="1">
      <alignment horizontal="center"/>
    </xf>
    <xf numFmtId="164" fontId="26" fillId="2" borderId="0" xfId="3" applyNumberFormat="1" applyFont="1" applyFill="1" applyBorder="1" applyAlignment="1">
      <alignment horizontal="center"/>
    </xf>
    <xf numFmtId="0" fontId="31" fillId="0" borderId="23" xfId="4" applyFont="1" applyBorder="1" applyAlignment="1">
      <alignment vertical="center" wrapText="1"/>
    </xf>
    <xf numFmtId="0" fontId="31" fillId="0" borderId="19" xfId="4" applyFont="1" applyBorder="1" applyAlignment="1">
      <alignment vertical="center" wrapText="1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32" fillId="2" borderId="1" xfId="1" applyNumberFormat="1" applyFont="1" applyFill="1" applyBorder="1" applyAlignment="1">
      <alignment vertical="center" wrapText="1"/>
    </xf>
    <xf numFmtId="2" fontId="25" fillId="0" borderId="0" xfId="0" applyNumberFormat="1" applyFont="1"/>
    <xf numFmtId="0" fontId="25" fillId="0" borderId="0" xfId="0" applyFont="1" applyFill="1"/>
    <xf numFmtId="0" fontId="35" fillId="0" borderId="0" xfId="0" applyFont="1"/>
    <xf numFmtId="0" fontId="35" fillId="0" borderId="0" xfId="0" applyFont="1" applyBorder="1"/>
    <xf numFmtId="1" fontId="35" fillId="0" borderId="0" xfId="0" applyNumberFormat="1" applyFont="1"/>
    <xf numFmtId="0" fontId="35" fillId="0" borderId="0" xfId="0" applyFont="1" applyFill="1"/>
    <xf numFmtId="0" fontId="34" fillId="0" borderId="0" xfId="0" applyFont="1" applyFill="1"/>
    <xf numFmtId="1" fontId="35" fillId="0" borderId="0" xfId="0" applyNumberFormat="1" applyFont="1" applyFill="1"/>
    <xf numFmtId="0" fontId="33" fillId="0" borderId="1" xfId="0" applyFont="1" applyBorder="1"/>
    <xf numFmtId="9" fontId="33" fillId="0" borderId="1" xfId="0" applyNumberFormat="1" applyFont="1" applyBorder="1"/>
    <xf numFmtId="1" fontId="33" fillId="0" borderId="1" xfId="0" applyNumberFormat="1" applyFont="1" applyBorder="1"/>
    <xf numFmtId="0" fontId="0" fillId="0" borderId="0" xfId="0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6" fillId="13" borderId="1" xfId="3" applyFont="1" applyFill="1" applyBorder="1" applyAlignment="1"/>
    <xf numFmtId="0" fontId="42" fillId="0" borderId="0" xfId="0" applyFont="1"/>
    <xf numFmtId="2" fontId="43" fillId="8" borderId="1" xfId="3" applyNumberFormat="1" applyFont="1" applyFill="1" applyBorder="1" applyAlignment="1">
      <alignment horizontal="center"/>
    </xf>
    <xf numFmtId="0" fontId="46" fillId="0" borderId="0" xfId="0" applyFont="1"/>
    <xf numFmtId="0" fontId="44" fillId="0" borderId="0" xfId="0" applyFont="1"/>
    <xf numFmtId="0" fontId="36" fillId="13" borderId="1" xfId="3" applyFont="1" applyFill="1" applyBorder="1" applyAlignment="1">
      <alignment horizontal="center" vertical="center"/>
    </xf>
    <xf numFmtId="0" fontId="36" fillId="8" borderId="1" xfId="3" applyFont="1" applyFill="1" applyBorder="1" applyAlignment="1">
      <alignment horizontal="center" vertical="center"/>
    </xf>
    <xf numFmtId="1" fontId="43" fillId="8" borderId="1" xfId="3" applyNumberFormat="1" applyFont="1" applyFill="1" applyBorder="1" applyAlignment="1">
      <alignment horizontal="center"/>
    </xf>
    <xf numFmtId="0" fontId="37" fillId="9" borderId="1" xfId="3" applyFont="1" applyFill="1" applyBorder="1" applyAlignment="1">
      <alignment horizontal="center" vertical="center"/>
    </xf>
    <xf numFmtId="10" fontId="37" fillId="9" borderId="1" xfId="3" applyNumberFormat="1" applyFont="1" applyFill="1" applyBorder="1" applyAlignment="1">
      <alignment horizontal="center"/>
    </xf>
    <xf numFmtId="1" fontId="37" fillId="9" borderId="1" xfId="3" applyNumberFormat="1" applyFont="1" applyFill="1" applyBorder="1" applyAlignment="1">
      <alignment horizontal="center"/>
    </xf>
    <xf numFmtId="2" fontId="37" fillId="9" borderId="1" xfId="3" applyNumberFormat="1" applyFont="1" applyFill="1" applyBorder="1" applyAlignment="1">
      <alignment horizontal="center"/>
    </xf>
    <xf numFmtId="9" fontId="37" fillId="9" borderId="1" xfId="3" applyNumberFormat="1" applyFont="1" applyFill="1" applyBorder="1" applyAlignment="1">
      <alignment horizontal="center"/>
    </xf>
    <xf numFmtId="0" fontId="45" fillId="0" borderId="0" xfId="0" applyFont="1"/>
    <xf numFmtId="2" fontId="43" fillId="2" borderId="1" xfId="3" applyNumberFormat="1" applyFont="1" applyFill="1" applyBorder="1" applyAlignment="1">
      <alignment horizontal="center" vertical="center"/>
    </xf>
    <xf numFmtId="164" fontId="43" fillId="8" borderId="1" xfId="3" applyNumberFormat="1" applyFont="1" applyFill="1" applyBorder="1" applyAlignment="1">
      <alignment horizontal="center" wrapText="1" shrinkToFit="1"/>
    </xf>
    <xf numFmtId="2" fontId="43" fillId="8" borderId="1" xfId="3" applyNumberFormat="1" applyFont="1" applyFill="1" applyBorder="1" applyAlignment="1">
      <alignment horizontal="center" vertical="center"/>
    </xf>
    <xf numFmtId="1" fontId="43" fillId="8" borderId="1" xfId="3" applyNumberFormat="1" applyFont="1" applyFill="1" applyBorder="1" applyAlignment="1">
      <alignment horizontal="center" vertical="center"/>
    </xf>
    <xf numFmtId="0" fontId="43" fillId="13" borderId="1" xfId="3" applyFont="1" applyFill="1" applyBorder="1" applyAlignment="1">
      <alignment horizontal="center" vertical="center"/>
    </xf>
    <xf numFmtId="0" fontId="43" fillId="13" borderId="1" xfId="3" applyFont="1" applyFill="1" applyBorder="1" applyAlignment="1">
      <alignment horizontal="center"/>
    </xf>
    <xf numFmtId="1" fontId="43" fillId="2" borderId="1" xfId="5" applyNumberFormat="1" applyFont="1" applyFill="1" applyBorder="1" applyAlignment="1">
      <alignment horizontal="center" vertical="center"/>
    </xf>
    <xf numFmtId="0" fontId="43" fillId="2" borderId="1" xfId="3" applyNumberFormat="1" applyFont="1" applyFill="1" applyBorder="1" applyAlignment="1">
      <alignment horizontal="center"/>
    </xf>
    <xf numFmtId="2" fontId="43" fillId="8" borderId="7" xfId="3" applyNumberFormat="1" applyFont="1" applyFill="1" applyBorder="1" applyAlignment="1">
      <alignment horizontal="center"/>
    </xf>
    <xf numFmtId="1" fontId="43" fillId="2" borderId="6" xfId="5" applyNumberFormat="1" applyFont="1" applyFill="1" applyBorder="1" applyAlignment="1">
      <alignment horizontal="center" vertical="center"/>
    </xf>
    <xf numFmtId="1" fontId="43" fillId="2" borderId="7" xfId="3" applyNumberFormat="1" applyFont="1" applyFill="1" applyBorder="1" applyAlignment="1">
      <alignment horizontal="center"/>
    </xf>
    <xf numFmtId="0" fontId="43" fillId="0" borderId="1" xfId="4" applyFont="1" applyBorder="1" applyAlignment="1">
      <alignment horizontal="center"/>
    </xf>
    <xf numFmtId="1" fontId="43" fillId="11" borderId="1" xfId="3" applyNumberFormat="1" applyFont="1" applyFill="1" applyBorder="1" applyAlignment="1">
      <alignment horizontal="center"/>
    </xf>
    <xf numFmtId="2" fontId="43" fillId="8" borderId="1" xfId="3" applyNumberFormat="1" applyFont="1" applyFill="1" applyBorder="1" applyAlignment="1">
      <alignment horizontal="right"/>
    </xf>
    <xf numFmtId="1" fontId="43" fillId="8" borderId="1" xfId="5" applyNumberFormat="1" applyFont="1" applyFill="1" applyBorder="1" applyAlignment="1">
      <alignment horizontal="center" vertical="center"/>
    </xf>
    <xf numFmtId="2" fontId="43" fillId="2" borderId="1" xfId="3" applyNumberFormat="1" applyFont="1" applyFill="1" applyBorder="1" applyAlignment="1">
      <alignment horizontal="center"/>
    </xf>
    <xf numFmtId="0" fontId="48" fillId="13" borderId="1" xfId="3" applyFont="1" applyFill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43" fillId="2" borderId="1" xfId="4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2" fontId="43" fillId="11" borderId="1" xfId="3" applyNumberFormat="1" applyFont="1" applyFill="1" applyBorder="1" applyAlignment="1">
      <alignment horizontal="center"/>
    </xf>
    <xf numFmtId="1" fontId="48" fillId="13" borderId="1" xfId="3" applyNumberFormat="1" applyFont="1" applyFill="1" applyBorder="1" applyAlignment="1">
      <alignment horizontal="center"/>
    </xf>
    <xf numFmtId="0" fontId="43" fillId="0" borderId="1" xfId="4" applyFont="1" applyBorder="1"/>
    <xf numFmtId="0" fontId="50" fillId="8" borderId="1" xfId="3" applyFont="1" applyFill="1" applyBorder="1" applyAlignment="1">
      <alignment horizontal="center"/>
    </xf>
    <xf numFmtId="164" fontId="50" fillId="8" borderId="1" xfId="5" applyNumberFormat="1" applyFont="1" applyFill="1" applyBorder="1" applyAlignment="1">
      <alignment horizontal="center" vertical="center"/>
    </xf>
    <xf numFmtId="1" fontId="43" fillId="11" borderId="1" xfId="5" applyNumberFormat="1" applyFont="1" applyFill="1" applyBorder="1" applyAlignment="1" applyProtection="1">
      <alignment horizontal="center"/>
    </xf>
    <xf numFmtId="0" fontId="50" fillId="2" borderId="1" xfId="4" applyFont="1" applyFill="1" applyBorder="1" applyAlignment="1">
      <alignment horizontal="center"/>
    </xf>
    <xf numFmtId="0" fontId="48" fillId="13" borderId="1" xfId="3" applyFont="1" applyFill="1" applyBorder="1" applyAlignment="1">
      <alignment horizontal="center" vertical="center"/>
    </xf>
    <xf numFmtId="1" fontId="43" fillId="13" borderId="1" xfId="3" applyNumberFormat="1" applyFont="1" applyFill="1" applyBorder="1" applyAlignment="1">
      <alignment horizontal="center" vertical="center"/>
    </xf>
    <xf numFmtId="0" fontId="51" fillId="13" borderId="1" xfId="3" applyFont="1" applyFill="1" applyBorder="1" applyAlignment="1">
      <alignment horizontal="center" vertical="center"/>
    </xf>
    <xf numFmtId="2" fontId="52" fillId="8" borderId="1" xfId="3" applyNumberFormat="1" applyFont="1" applyFill="1" applyBorder="1" applyAlignment="1">
      <alignment horizontal="center"/>
    </xf>
    <xf numFmtId="164" fontId="48" fillId="8" borderId="1" xfId="3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52" fillId="8" borderId="1" xfId="5" applyNumberFormat="1" applyFont="1" applyFill="1" applyBorder="1" applyAlignment="1">
      <alignment horizontal="center" vertical="center"/>
    </xf>
    <xf numFmtId="2" fontId="43" fillId="8" borderId="1" xfId="9" applyNumberFormat="1" applyFont="1" applyFill="1" applyBorder="1" applyAlignment="1">
      <alignment horizontal="center"/>
    </xf>
    <xf numFmtId="168" fontId="48" fillId="8" borderId="1" xfId="5" applyNumberFormat="1" applyFont="1" applyFill="1" applyBorder="1" applyAlignment="1" applyProtection="1">
      <alignment horizontal="center" vertical="center"/>
    </xf>
    <xf numFmtId="164" fontId="51" fillId="8" borderId="1" xfId="5" applyNumberFormat="1" applyFont="1" applyFill="1" applyBorder="1" applyAlignment="1" applyProtection="1">
      <alignment horizontal="center"/>
    </xf>
    <xf numFmtId="1" fontId="52" fillId="0" borderId="1" xfId="4" applyNumberFormat="1" applyFont="1" applyBorder="1" applyAlignment="1">
      <alignment horizontal="center"/>
    </xf>
    <xf numFmtId="2" fontId="51" fillId="8" borderId="1" xfId="3" applyNumberFormat="1" applyFont="1" applyFill="1" applyBorder="1" applyAlignment="1">
      <alignment horizontal="right"/>
    </xf>
    <xf numFmtId="1" fontId="52" fillId="8" borderId="1" xfId="3" applyNumberFormat="1" applyFont="1" applyFill="1" applyBorder="1" applyAlignment="1">
      <alignment horizontal="center" vertical="center"/>
    </xf>
    <xf numFmtId="0" fontId="50" fillId="2" borderId="1" xfId="3" applyFont="1" applyFill="1" applyBorder="1" applyAlignment="1">
      <alignment horizontal="center"/>
    </xf>
    <xf numFmtId="169" fontId="50" fillId="8" borderId="1" xfId="5" applyNumberFormat="1" applyFont="1" applyFill="1" applyBorder="1" applyAlignment="1" applyProtection="1">
      <alignment horizontal="center" vertical="center"/>
    </xf>
    <xf numFmtId="1" fontId="50" fillId="2" borderId="1" xfId="3" applyNumberFormat="1" applyFont="1" applyFill="1" applyBorder="1" applyAlignment="1">
      <alignment horizontal="center" vertical="top"/>
    </xf>
    <xf numFmtId="0" fontId="43" fillId="0" borderId="1" xfId="4" applyFont="1" applyBorder="1" applyAlignment="1">
      <alignment horizontal="center" vertical="center"/>
    </xf>
    <xf numFmtId="0" fontId="43" fillId="8" borderId="1" xfId="3" applyFont="1" applyFill="1" applyBorder="1" applyAlignment="1">
      <alignment horizontal="center" vertical="center"/>
    </xf>
    <xf numFmtId="0" fontId="43" fillId="13" borderId="1" xfId="3" applyFont="1" applyFill="1" applyBorder="1" applyAlignment="1">
      <alignment vertical="center"/>
    </xf>
    <xf numFmtId="0" fontId="43" fillId="13" borderId="1" xfId="3" applyFont="1" applyFill="1" applyBorder="1" applyAlignment="1"/>
    <xf numFmtId="1" fontId="43" fillId="2" borderId="1" xfId="3" applyNumberFormat="1" applyFont="1" applyFill="1" applyBorder="1" applyAlignment="1">
      <alignment horizontal="center" vertical="center"/>
    </xf>
    <xf numFmtId="164" fontId="43" fillId="2" borderId="1" xfId="5" applyNumberFormat="1" applyFont="1" applyFill="1" applyBorder="1" applyAlignment="1" applyProtection="1">
      <alignment horizontal="center" vertical="center"/>
    </xf>
    <xf numFmtId="164" fontId="43" fillId="8" borderId="1" xfId="5" applyNumberFormat="1" applyFont="1" applyFill="1" applyBorder="1" applyAlignment="1" applyProtection="1">
      <alignment horizontal="center" vertical="top"/>
    </xf>
    <xf numFmtId="0" fontId="43" fillId="2" borderId="1" xfId="4" applyFont="1" applyFill="1" applyBorder="1" applyAlignment="1">
      <alignment horizontal="left"/>
    </xf>
    <xf numFmtId="0" fontId="43" fillId="2" borderId="1" xfId="4" applyFont="1" applyFill="1" applyBorder="1" applyAlignment="1"/>
    <xf numFmtId="0" fontId="49" fillId="2" borderId="1" xfId="4" applyFont="1" applyFill="1" applyBorder="1" applyAlignment="1">
      <alignment horizontal="center" wrapText="1"/>
    </xf>
    <xf numFmtId="0" fontId="49" fillId="0" borderId="1" xfId="4" applyFont="1" applyFill="1" applyBorder="1" applyAlignment="1">
      <alignment horizontal="center" wrapText="1"/>
    </xf>
    <xf numFmtId="0" fontId="49" fillId="0" borderId="1" xfId="4" applyFont="1" applyBorder="1" applyAlignment="1">
      <alignment horizontal="center" wrapText="1"/>
    </xf>
    <xf numFmtId="0" fontId="49" fillId="2" borderId="1" xfId="4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1" fontId="48" fillId="2" borderId="1" xfId="3" applyNumberFormat="1" applyFont="1" applyFill="1" applyBorder="1" applyAlignment="1">
      <alignment horizontal="center"/>
    </xf>
    <xf numFmtId="43" fontId="43" fillId="8" borderId="1" xfId="7" applyFont="1" applyFill="1" applyBorder="1" applyAlignment="1">
      <alignment horizontal="right" wrapText="1"/>
    </xf>
    <xf numFmtId="2" fontId="43" fillId="10" borderId="19" xfId="3" applyNumberFormat="1" applyFont="1" applyFill="1" applyBorder="1" applyAlignment="1">
      <alignment horizontal="center" vertical="center"/>
    </xf>
    <xf numFmtId="0" fontId="49" fillId="10" borderId="19" xfId="4" applyFont="1" applyFill="1" applyBorder="1" applyAlignment="1">
      <alignment horizontal="center" vertical="center"/>
    </xf>
    <xf numFmtId="1" fontId="43" fillId="10" borderId="19" xfId="5" applyNumberFormat="1" applyFont="1" applyFill="1" applyBorder="1" applyAlignment="1">
      <alignment horizontal="center" vertical="center"/>
    </xf>
    <xf numFmtId="1" fontId="43" fillId="10" borderId="19" xfId="3" applyNumberFormat="1" applyFont="1" applyFill="1" applyBorder="1" applyAlignment="1">
      <alignment horizontal="center" vertical="center"/>
    </xf>
    <xf numFmtId="0" fontId="48" fillId="10" borderId="0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1" fontId="48" fillId="0" borderId="1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0" fontId="48" fillId="0" borderId="1" xfId="0" applyFont="1" applyFill="1" applyBorder="1"/>
    <xf numFmtId="1" fontId="48" fillId="0" borderId="1" xfId="0" applyNumberFormat="1" applyFont="1" applyFill="1" applyBorder="1" applyAlignment="1">
      <alignment horizontal="center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1" fontId="43" fillId="13" borderId="1" xfId="5" applyNumberFormat="1" applyFont="1" applyFill="1" applyBorder="1" applyAlignment="1">
      <alignment horizontal="center"/>
    </xf>
    <xf numFmtId="0" fontId="49" fillId="0" borderId="1" xfId="4" applyFont="1" applyFill="1" applyBorder="1" applyAlignment="1">
      <alignment horizontal="center"/>
    </xf>
    <xf numFmtId="0" fontId="48" fillId="0" borderId="1" xfId="0" applyFont="1" applyBorder="1"/>
    <xf numFmtId="9" fontId="43" fillId="8" borderId="1" xfId="6" applyNumberFormat="1" applyFont="1" applyFill="1" applyBorder="1" applyAlignment="1">
      <alignment horizontal="center"/>
    </xf>
    <xf numFmtId="165" fontId="43" fillId="0" borderId="1" xfId="6" applyNumberFormat="1" applyFont="1" applyFill="1" applyBorder="1" applyAlignment="1"/>
    <xf numFmtId="1" fontId="43" fillId="8" borderId="1" xfId="5" applyNumberFormat="1" applyFont="1" applyFill="1" applyBorder="1" applyAlignment="1">
      <alignment horizontal="right"/>
    </xf>
    <xf numFmtId="0" fontId="53" fillId="0" borderId="0" xfId="0" applyFont="1"/>
    <xf numFmtId="1" fontId="53" fillId="0" borderId="0" xfId="0" applyNumberFormat="1" applyFont="1" applyAlignment="1">
      <alignment horizontal="center"/>
    </xf>
    <xf numFmtId="1" fontId="53" fillId="0" borderId="0" xfId="0" applyNumberFormat="1" applyFont="1"/>
    <xf numFmtId="2" fontId="20" fillId="8" borderId="9" xfId="3" applyNumberFormat="1" applyFont="1" applyFill="1" applyBorder="1" applyAlignment="1">
      <alignment horizontal="center"/>
    </xf>
    <xf numFmtId="164" fontId="43" fillId="8" borderId="12" xfId="3" applyNumberFormat="1" applyFont="1" applyFill="1" applyBorder="1" applyAlignment="1">
      <alignment horizontal="center" wrapText="1" shrinkToFit="1"/>
    </xf>
    <xf numFmtId="0" fontId="43" fillId="13" borderId="12" xfId="3" applyFont="1" applyFill="1" applyBorder="1" applyAlignment="1">
      <alignment horizontal="center"/>
    </xf>
    <xf numFmtId="1" fontId="43" fillId="8" borderId="12" xfId="5" applyNumberFormat="1" applyFont="1" applyFill="1" applyBorder="1" applyAlignment="1" applyProtection="1">
      <alignment horizontal="center"/>
    </xf>
    <xf numFmtId="1" fontId="43" fillId="2" borderId="12" xfId="5" applyNumberFormat="1" applyFont="1" applyFill="1" applyBorder="1" applyAlignment="1" applyProtection="1">
      <alignment horizontal="center"/>
    </xf>
    <xf numFmtId="1" fontId="43" fillId="13" borderId="12" xfId="3" applyNumberFormat="1" applyFont="1" applyFill="1" applyBorder="1" applyAlignment="1">
      <alignment horizontal="center" vertical="center"/>
    </xf>
    <xf numFmtId="0" fontId="43" fillId="13" borderId="12" xfId="3" applyFont="1" applyFill="1" applyBorder="1" applyAlignment="1"/>
    <xf numFmtId="0" fontId="43" fillId="2" borderId="12" xfId="4" applyFont="1" applyFill="1" applyBorder="1" applyAlignment="1"/>
    <xf numFmtId="1" fontId="43" fillId="10" borderId="24" xfId="5" applyNumberFormat="1" applyFont="1" applyFill="1" applyBorder="1" applyAlignment="1" applyProtection="1">
      <alignment horizontal="center" vertical="center"/>
    </xf>
    <xf numFmtId="1" fontId="48" fillId="0" borderId="12" xfId="0" applyNumberFormat="1" applyFont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1" fontId="48" fillId="0" borderId="28" xfId="0" applyNumberFormat="1" applyFont="1" applyBorder="1"/>
    <xf numFmtId="0" fontId="48" fillId="13" borderId="12" xfId="3" applyFont="1" applyFill="1" applyBorder="1" applyAlignment="1">
      <alignment horizontal="center"/>
    </xf>
    <xf numFmtId="1" fontId="43" fillId="13" borderId="12" xfId="5" applyNumberFormat="1" applyFont="1" applyFill="1" applyBorder="1" applyAlignment="1">
      <alignment horizontal="center"/>
    </xf>
    <xf numFmtId="2" fontId="43" fillId="8" borderId="6" xfId="3" applyNumberFormat="1" applyFont="1" applyFill="1" applyBorder="1" applyAlignment="1">
      <alignment horizontal="center"/>
    </xf>
    <xf numFmtId="9" fontId="43" fillId="8" borderId="6" xfId="6" applyNumberFormat="1" applyFont="1" applyFill="1" applyBorder="1" applyAlignment="1">
      <alignment horizontal="center"/>
    </xf>
    <xf numFmtId="1" fontId="43" fillId="8" borderId="6" xfId="3" applyNumberFormat="1" applyFont="1" applyFill="1" applyBorder="1" applyAlignment="1">
      <alignment horizontal="center"/>
    </xf>
    <xf numFmtId="2" fontId="43" fillId="8" borderId="6" xfId="3" applyNumberFormat="1" applyFont="1" applyFill="1" applyBorder="1" applyAlignment="1">
      <alignment horizontal="right"/>
    </xf>
    <xf numFmtId="1" fontId="43" fillId="8" borderId="18" xfId="5" applyNumberFormat="1" applyFont="1" applyFill="1" applyBorder="1" applyAlignment="1" applyProtection="1">
      <alignment horizontal="center"/>
    </xf>
    <xf numFmtId="9" fontId="37" fillId="9" borderId="16" xfId="3" applyNumberFormat="1" applyFont="1" applyFill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40" fillId="14" borderId="1" xfId="0" applyFont="1" applyFill="1" applyBorder="1"/>
    <xf numFmtId="0" fontId="42" fillId="0" borderId="0" xfId="0" applyFont="1" applyBorder="1"/>
    <xf numFmtId="0" fontId="45" fillId="0" borderId="1" xfId="0" applyFont="1" applyFill="1" applyBorder="1" applyAlignment="1">
      <alignment horizontal="left"/>
    </xf>
    <xf numFmtId="166" fontId="37" fillId="9" borderId="16" xfId="3" applyNumberFormat="1" applyFont="1" applyFill="1" applyBorder="1" applyAlignment="1">
      <alignment horizontal="left"/>
    </xf>
    <xf numFmtId="0" fontId="37" fillId="9" borderId="16" xfId="3" applyFont="1" applyFill="1" applyBorder="1"/>
    <xf numFmtId="0" fontId="37" fillId="8" borderId="16" xfId="3" applyFont="1" applyFill="1" applyBorder="1" applyAlignment="1">
      <alignment horizontal="center" vertical="center"/>
    </xf>
    <xf numFmtId="0" fontId="37" fillId="8" borderId="16" xfId="3" applyFont="1" applyFill="1" applyBorder="1" applyAlignment="1">
      <alignment horizontal="left" vertical="center"/>
    </xf>
    <xf numFmtId="0" fontId="36" fillId="8" borderId="1" xfId="3" applyFont="1" applyFill="1" applyBorder="1" applyAlignment="1">
      <alignment horizontal="left" vertical="center"/>
    </xf>
    <xf numFmtId="0" fontId="37" fillId="8" borderId="21" xfId="3" applyFont="1" applyFill="1" applyBorder="1" applyAlignment="1">
      <alignment horizontal="left" vertical="center"/>
    </xf>
    <xf numFmtId="0" fontId="37" fillId="8" borderId="5" xfId="3" applyFont="1" applyFill="1" applyBorder="1" applyAlignment="1">
      <alignment horizontal="left" vertical="center"/>
    </xf>
    <xf numFmtId="0" fontId="37" fillId="8" borderId="10" xfId="3" applyFont="1" applyFill="1" applyBorder="1" applyAlignment="1">
      <alignment horizontal="left" vertical="center"/>
    </xf>
    <xf numFmtId="167" fontId="37" fillId="8" borderId="16" xfId="3" applyNumberFormat="1" applyFont="1" applyFill="1" applyBorder="1" applyAlignment="1">
      <alignment vertical="center"/>
    </xf>
    <xf numFmtId="167" fontId="36" fillId="8" borderId="1" xfId="3" applyNumberFormat="1" applyFont="1" applyFill="1" applyBorder="1" applyAlignment="1">
      <alignment vertical="center"/>
    </xf>
    <xf numFmtId="0" fontId="37" fillId="14" borderId="16" xfId="3" applyFont="1" applyFill="1" applyBorder="1" applyAlignment="1">
      <alignment horizontal="center"/>
    </xf>
    <xf numFmtId="0" fontId="36" fillId="14" borderId="1" xfId="3" applyFont="1" applyFill="1" applyBorder="1" applyAlignment="1">
      <alignment horizontal="center"/>
    </xf>
    <xf numFmtId="0" fontId="37" fillId="2" borderId="16" xfId="3" applyFont="1" applyFill="1" applyBorder="1" applyAlignment="1">
      <alignment horizontal="left" vertical="center"/>
    </xf>
    <xf numFmtId="0" fontId="36" fillId="2" borderId="1" xfId="3" applyFont="1" applyFill="1" applyBorder="1" applyAlignment="1">
      <alignment horizontal="left" vertical="center"/>
    </xf>
    <xf numFmtId="0" fontId="36" fillId="8" borderId="1" xfId="3" applyFont="1" applyFill="1" applyBorder="1" applyAlignment="1">
      <alignment horizontal="left"/>
    </xf>
    <xf numFmtId="0" fontId="37" fillId="14" borderId="16" xfId="3" applyFont="1" applyFill="1" applyBorder="1" applyAlignment="1">
      <alignment horizontal="center" vertical="center"/>
    </xf>
    <xf numFmtId="0" fontId="36" fillId="14" borderId="1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0" fontId="47" fillId="14" borderId="13" xfId="3" applyFont="1" applyFill="1" applyBorder="1" applyAlignment="1">
      <alignment horizontal="center"/>
    </xf>
    <xf numFmtId="0" fontId="47" fillId="14" borderId="3" xfId="3" applyFont="1" applyFill="1" applyBorder="1" applyAlignment="1">
      <alignment horizontal="center"/>
    </xf>
    <xf numFmtId="0" fontId="47" fillId="14" borderId="4" xfId="3" applyFont="1" applyFill="1" applyBorder="1" applyAlignment="1">
      <alignment horizontal="center"/>
    </xf>
    <xf numFmtId="0" fontId="37" fillId="13" borderId="16" xfId="3" applyFont="1" applyFill="1" applyBorder="1" applyAlignment="1">
      <alignment horizontal="left"/>
    </xf>
    <xf numFmtId="2" fontId="37" fillId="8" borderId="16" xfId="3" applyNumberFormat="1" applyFont="1" applyFill="1" applyBorder="1" applyAlignment="1">
      <alignment horizontal="left" vertical="center"/>
    </xf>
    <xf numFmtId="2" fontId="36" fillId="8" borderId="1" xfId="3" applyNumberFormat="1" applyFont="1" applyFill="1" applyBorder="1" applyAlignment="1">
      <alignment horizontal="left" vertical="center"/>
    </xf>
    <xf numFmtId="0" fontId="36" fillId="8" borderId="1" xfId="3" applyFont="1" applyFill="1" applyBorder="1" applyAlignment="1">
      <alignment horizontal="left" vertical="justify"/>
    </xf>
    <xf numFmtId="0" fontId="37" fillId="13" borderId="16" xfId="3" applyFont="1" applyFill="1" applyBorder="1" applyAlignment="1"/>
    <xf numFmtId="0" fontId="37" fillId="0" borderId="16" xfId="4" applyFont="1" applyBorder="1" applyAlignment="1">
      <alignment vertical="center"/>
    </xf>
    <xf numFmtId="0" fontId="36" fillId="0" borderId="1" xfId="4" applyFont="1" applyBorder="1" applyAlignment="1">
      <alignment vertical="center"/>
    </xf>
    <xf numFmtId="0" fontId="39" fillId="14" borderId="16" xfId="4" applyFont="1" applyFill="1" applyBorder="1"/>
    <xf numFmtId="0" fontId="37" fillId="13" borderId="16" xfId="3" applyFont="1" applyFill="1" applyBorder="1" applyAlignment="1">
      <alignment horizontal="center"/>
    </xf>
    <xf numFmtId="0" fontId="37" fillId="10" borderId="26" xfId="3" applyFont="1" applyFill="1" applyBorder="1" applyAlignment="1">
      <alignment horizontal="center" vertical="center"/>
    </xf>
    <xf numFmtId="0" fontId="37" fillId="10" borderId="0" xfId="3" applyFont="1" applyFill="1" applyBorder="1" applyAlignment="1">
      <alignment horizontal="center" vertical="center"/>
    </xf>
    <xf numFmtId="0" fontId="37" fillId="0" borderId="16" xfId="4" applyFont="1" applyBorder="1"/>
    <xf numFmtId="0" fontId="37" fillId="13" borderId="16" xfId="3" applyFont="1" applyFill="1" applyBorder="1" applyAlignment="1">
      <alignment horizontal="center" vertical="center"/>
    </xf>
    <xf numFmtId="9" fontId="43" fillId="9" borderId="1" xfId="4" applyNumberFormat="1" applyFont="1" applyFill="1" applyBorder="1"/>
    <xf numFmtId="0" fontId="43" fillId="9" borderId="1" xfId="3" applyFont="1" applyFill="1" applyBorder="1" applyAlignment="1"/>
    <xf numFmtId="1" fontId="37" fillId="9" borderId="12" xfId="3" applyNumberFormat="1" applyFont="1" applyFill="1" applyBorder="1" applyAlignment="1">
      <alignment horizontal="center" vertical="center"/>
    </xf>
    <xf numFmtId="0" fontId="37" fillId="9" borderId="1" xfId="3" applyFont="1" applyFill="1" applyBorder="1" applyAlignment="1">
      <alignment horizontal="left"/>
    </xf>
    <xf numFmtId="1" fontId="37" fillId="9" borderId="12" xfId="3" applyNumberFormat="1" applyFont="1" applyFill="1" applyBorder="1" applyAlignment="1">
      <alignment horizontal="center"/>
    </xf>
    <xf numFmtId="9" fontId="37" fillId="9" borderId="1" xfId="3" applyNumberFormat="1" applyFont="1" applyFill="1" applyBorder="1" applyAlignment="1">
      <alignment horizontal="left"/>
    </xf>
    <xf numFmtId="0" fontId="43" fillId="8" borderId="7" xfId="3" applyFont="1" applyFill="1" applyBorder="1" applyAlignment="1">
      <alignment horizontal="center"/>
    </xf>
    <xf numFmtId="44" fontId="52" fillId="8" borderId="1" xfId="8" applyFont="1" applyFill="1" applyBorder="1" applyAlignment="1">
      <alignment horizontal="center"/>
    </xf>
    <xf numFmtId="0" fontId="52" fillId="8" borderId="1" xfId="3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 vertical="center"/>
    </xf>
    <xf numFmtId="0" fontId="43" fillId="10" borderId="25" xfId="3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53" fillId="0" borderId="4" xfId="0" applyFont="1" applyFill="1" applyBorder="1"/>
    <xf numFmtId="0" fontId="48" fillId="0" borderId="4" xfId="0" applyFont="1" applyFill="1" applyBorder="1" applyAlignment="1">
      <alignment horizontal="center"/>
    </xf>
    <xf numFmtId="0" fontId="43" fillId="8" borderId="6" xfId="3" applyFont="1" applyFill="1" applyBorder="1" applyAlignment="1">
      <alignment horizontal="center"/>
    </xf>
    <xf numFmtId="0" fontId="43" fillId="11" borderId="1" xfId="4" applyFont="1" applyFill="1" applyBorder="1" applyAlignment="1">
      <alignment horizontal="center"/>
    </xf>
    <xf numFmtId="0" fontId="43" fillId="0" borderId="1" xfId="3" applyFont="1" applyFill="1" applyBorder="1" applyAlignment="1">
      <alignment horizontal="center"/>
    </xf>
    <xf numFmtId="1" fontId="57" fillId="11" borderId="0" xfId="0" applyNumberFormat="1" applyFont="1" applyFill="1"/>
    <xf numFmtId="1" fontId="57" fillId="0" borderId="0" xfId="0" applyNumberFormat="1" applyFont="1"/>
    <xf numFmtId="0" fontId="42" fillId="9" borderId="1" xfId="3" applyFont="1" applyFill="1" applyBorder="1" applyAlignment="1">
      <alignment horizontal="center" vertical="center"/>
    </xf>
    <xf numFmtId="2" fontId="42" fillId="9" borderId="1" xfId="3" applyNumberFormat="1" applyFont="1" applyFill="1" applyBorder="1" applyAlignment="1">
      <alignment horizontal="center"/>
    </xf>
    <xf numFmtId="2" fontId="48" fillId="2" borderId="1" xfId="3" applyNumberFormat="1" applyFont="1" applyFill="1" applyBorder="1" applyAlignment="1">
      <alignment horizontal="center" vertical="center"/>
    </xf>
    <xf numFmtId="2" fontId="48" fillId="8" borderId="1" xfId="3" applyNumberFormat="1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8" fillId="2" borderId="1" xfId="4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0" fontId="48" fillId="2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 vertical="center"/>
    </xf>
    <xf numFmtId="2" fontId="48" fillId="8" borderId="1" xfId="3" applyNumberFormat="1" applyFont="1" applyFill="1" applyBorder="1" applyAlignment="1">
      <alignment horizontal="center" vertical="center"/>
    </xf>
    <xf numFmtId="0" fontId="48" fillId="8" borderId="1" xfId="3" applyFont="1" applyFill="1" applyBorder="1" applyAlignment="1">
      <alignment horizontal="center" vertical="center"/>
    </xf>
    <xf numFmtId="0" fontId="48" fillId="0" borderId="1" xfId="4" applyFont="1" applyFill="1" applyBorder="1" applyAlignment="1">
      <alignment horizontal="center" vertical="center"/>
    </xf>
    <xf numFmtId="0" fontId="48" fillId="13" borderId="1" xfId="3" applyFont="1" applyFill="1" applyBorder="1" applyAlignment="1">
      <alignment vertical="center"/>
    </xf>
    <xf numFmtId="1" fontId="48" fillId="2" borderId="1" xfId="3" applyNumberFormat="1" applyFont="1" applyFill="1" applyBorder="1" applyAlignment="1">
      <alignment horizontal="center" vertical="center"/>
    </xf>
    <xf numFmtId="0" fontId="48" fillId="2" borderId="1" xfId="4" applyFont="1" applyFill="1" applyBorder="1" applyAlignment="1"/>
    <xf numFmtId="0" fontId="48" fillId="0" borderId="1" xfId="4" applyFont="1" applyFill="1" applyBorder="1" applyAlignment="1">
      <alignment horizontal="center" wrapText="1"/>
    </xf>
    <xf numFmtId="0" fontId="48" fillId="0" borderId="1" xfId="3" applyFont="1" applyFill="1" applyBorder="1" applyAlignment="1">
      <alignment horizontal="center"/>
    </xf>
    <xf numFmtId="0" fontId="48" fillId="10" borderId="19" xfId="4" applyFont="1" applyFill="1" applyBorder="1" applyAlignment="1">
      <alignment horizontal="center" vertical="center"/>
    </xf>
    <xf numFmtId="0" fontId="48" fillId="11" borderId="1" xfId="4" applyFont="1" applyFill="1" applyBorder="1" applyAlignment="1">
      <alignment horizontal="center"/>
    </xf>
    <xf numFmtId="2" fontId="48" fillId="8" borderId="6" xfId="3" applyNumberFormat="1" applyFont="1" applyFill="1" applyBorder="1" applyAlignment="1">
      <alignment horizontal="center"/>
    </xf>
    <xf numFmtId="0" fontId="43" fillId="0" borderId="1" xfId="4" applyFont="1" applyFill="1" applyBorder="1" applyAlignment="1">
      <alignment horizontal="center"/>
    </xf>
    <xf numFmtId="1" fontId="43" fillId="0" borderId="1" xfId="5" applyNumberFormat="1" applyFont="1" applyFill="1" applyBorder="1" applyAlignment="1">
      <alignment horizontal="center" vertical="center"/>
    </xf>
    <xf numFmtId="0" fontId="43" fillId="0" borderId="1" xfId="4" applyFont="1" applyFill="1" applyBorder="1" applyAlignment="1">
      <alignment horizontal="center" vertical="center"/>
    </xf>
    <xf numFmtId="0" fontId="43" fillId="2" borderId="1" xfId="4" applyFont="1" applyFill="1" applyBorder="1" applyAlignment="1">
      <alignment horizontal="center" wrapText="1"/>
    </xf>
    <xf numFmtId="0" fontId="43" fillId="0" borderId="1" xfId="4" applyFont="1" applyFill="1" applyBorder="1" applyAlignment="1">
      <alignment horizontal="center" wrapText="1"/>
    </xf>
    <xf numFmtId="0" fontId="43" fillId="0" borderId="1" xfId="4" applyFont="1" applyBorder="1" applyAlignment="1">
      <alignment horizontal="center" wrapText="1"/>
    </xf>
    <xf numFmtId="0" fontId="43" fillId="10" borderId="19" xfId="4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 applyBorder="1"/>
    <xf numFmtId="0" fontId="58" fillId="0" borderId="0" xfId="0" applyFont="1"/>
    <xf numFmtId="0" fontId="43" fillId="0" borderId="0" xfId="0" applyFont="1"/>
    <xf numFmtId="1" fontId="59" fillId="18" borderId="1" xfId="5" applyNumberFormat="1" applyFont="1" applyFill="1" applyBorder="1" applyAlignment="1">
      <alignment horizontal="center" vertical="center"/>
    </xf>
    <xf numFmtId="0" fontId="55" fillId="19" borderId="16" xfId="3" applyFont="1" applyFill="1" applyBorder="1" applyAlignment="1">
      <alignment horizontal="left"/>
    </xf>
    <xf numFmtId="0" fontId="54" fillId="19" borderId="1" xfId="3" applyFont="1" applyFill="1" applyBorder="1" applyAlignment="1">
      <alignment horizontal="left"/>
    </xf>
    <xf numFmtId="0" fontId="59" fillId="19" borderId="1" xfId="3" applyFont="1" applyFill="1" applyBorder="1" applyAlignment="1">
      <alignment horizontal="center"/>
    </xf>
    <xf numFmtId="0" fontId="59" fillId="19" borderId="1" xfId="4" applyFont="1" applyFill="1" applyBorder="1" applyAlignment="1">
      <alignment horizontal="center"/>
    </xf>
    <xf numFmtId="1" fontId="59" fillId="19" borderId="1" xfId="5" applyNumberFormat="1" applyFont="1" applyFill="1" applyBorder="1" applyAlignment="1">
      <alignment horizontal="center" vertical="center"/>
    </xf>
    <xf numFmtId="1" fontId="59" fillId="19" borderId="1" xfId="3" applyNumberFormat="1" applyFont="1" applyFill="1" applyBorder="1" applyAlignment="1">
      <alignment horizontal="center"/>
    </xf>
    <xf numFmtId="0" fontId="59" fillId="19" borderId="1" xfId="3" applyNumberFormat="1" applyFont="1" applyFill="1" applyBorder="1" applyAlignment="1">
      <alignment horizontal="center"/>
    </xf>
    <xf numFmtId="1" fontId="59" fillId="19" borderId="12" xfId="5" applyNumberFormat="1" applyFont="1" applyFill="1" applyBorder="1" applyAlignment="1" applyProtection="1">
      <alignment horizontal="center"/>
    </xf>
    <xf numFmtId="0" fontId="55" fillId="19" borderId="16" xfId="3" applyFont="1" applyFill="1" applyBorder="1" applyAlignment="1">
      <alignment horizontal="left" vertical="center"/>
    </xf>
    <xf numFmtId="0" fontId="54" fillId="19" borderId="1" xfId="3" applyFont="1" applyFill="1" applyBorder="1" applyAlignment="1">
      <alignment horizontal="left" vertical="center"/>
    </xf>
    <xf numFmtId="2" fontId="59" fillId="19" borderId="1" xfId="3" applyNumberFormat="1" applyFont="1" applyFill="1" applyBorder="1" applyAlignment="1">
      <alignment horizontal="center"/>
    </xf>
    <xf numFmtId="0" fontId="42" fillId="8" borderId="16" xfId="3" applyFont="1" applyFill="1" applyBorder="1" applyAlignment="1">
      <alignment horizontal="left" vertical="center"/>
    </xf>
    <xf numFmtId="0" fontId="44" fillId="8" borderId="1" xfId="3" applyFont="1" applyFill="1" applyBorder="1" applyAlignment="1">
      <alignment horizontal="left" vertical="center"/>
    </xf>
    <xf numFmtId="1" fontId="48" fillId="18" borderId="1" xfId="5" applyNumberFormat="1" applyFont="1" applyFill="1" applyBorder="1" applyAlignment="1">
      <alignment horizontal="center" vertical="center"/>
    </xf>
    <xf numFmtId="1" fontId="48" fillId="8" borderId="1" xfId="3" applyNumberFormat="1" applyFont="1" applyFill="1" applyBorder="1" applyAlignment="1">
      <alignment horizontal="center"/>
    </xf>
    <xf numFmtId="0" fontId="48" fillId="2" borderId="1" xfId="3" applyNumberFormat="1" applyFont="1" applyFill="1" applyBorder="1" applyAlignment="1">
      <alignment horizontal="center"/>
    </xf>
    <xf numFmtId="1" fontId="48" fillId="8" borderId="12" xfId="5" applyNumberFormat="1" applyFont="1" applyFill="1" applyBorder="1" applyAlignment="1" applyProtection="1">
      <alignment horizontal="center"/>
    </xf>
    <xf numFmtId="0" fontId="42" fillId="8" borderId="21" xfId="3" applyFont="1" applyFill="1" applyBorder="1" applyAlignment="1">
      <alignment horizontal="left" vertical="center"/>
    </xf>
    <xf numFmtId="0" fontId="42" fillId="8" borderId="5" xfId="3" applyFont="1" applyFill="1" applyBorder="1" applyAlignment="1">
      <alignment horizontal="left" vertical="center"/>
    </xf>
    <xf numFmtId="0" fontId="42" fillId="8" borderId="10" xfId="3" applyFont="1" applyFill="1" applyBorder="1" applyAlignment="1">
      <alignment horizontal="left" vertical="center"/>
    </xf>
    <xf numFmtId="0" fontId="48" fillId="8" borderId="7" xfId="3" applyFont="1" applyFill="1" applyBorder="1" applyAlignment="1">
      <alignment horizontal="center"/>
    </xf>
    <xf numFmtId="1" fontId="48" fillId="2" borderId="7" xfId="3" applyNumberFormat="1" applyFont="1" applyFill="1" applyBorder="1" applyAlignment="1">
      <alignment horizontal="center"/>
    </xf>
    <xf numFmtId="167" fontId="42" fillId="8" borderId="16" xfId="3" applyNumberFormat="1" applyFont="1" applyFill="1" applyBorder="1" applyAlignment="1">
      <alignment vertical="center"/>
    </xf>
    <xf numFmtId="167" fontId="44" fillId="8" borderId="1" xfId="3" applyNumberFormat="1" applyFont="1" applyFill="1" applyBorder="1" applyAlignment="1">
      <alignment vertical="center"/>
    </xf>
    <xf numFmtId="1" fontId="48" fillId="2" borderId="1" xfId="5" applyNumberFormat="1" applyFont="1" applyFill="1" applyBorder="1" applyAlignment="1">
      <alignment horizontal="center" vertical="center"/>
    </xf>
    <xf numFmtId="1" fontId="48" fillId="11" borderId="1" xfId="3" applyNumberFormat="1" applyFont="1" applyFill="1" applyBorder="1" applyAlignment="1">
      <alignment horizontal="center"/>
    </xf>
    <xf numFmtId="2" fontId="48" fillId="8" borderId="1" xfId="3" applyNumberFormat="1" applyFont="1" applyFill="1" applyBorder="1" applyAlignment="1">
      <alignment horizontal="right"/>
    </xf>
    <xf numFmtId="0" fontId="42" fillId="14" borderId="16" xfId="3" applyFont="1" applyFill="1" applyBorder="1" applyAlignment="1">
      <alignment horizontal="center"/>
    </xf>
    <xf numFmtId="0" fontId="44" fillId="14" borderId="1" xfId="3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2" fontId="48" fillId="2" borderId="1" xfId="3" applyNumberFormat="1" applyFont="1" applyFill="1" applyBorder="1" applyAlignment="1">
      <alignment horizontal="center"/>
    </xf>
    <xf numFmtId="0" fontId="48" fillId="0" borderId="1" xfId="4" applyFont="1" applyBorder="1"/>
    <xf numFmtId="164" fontId="48" fillId="18" borderId="1" xfId="5" applyNumberFormat="1" applyFont="1" applyFill="1" applyBorder="1" applyAlignment="1">
      <alignment horizontal="center" vertical="center"/>
    </xf>
    <xf numFmtId="1" fontId="48" fillId="11" borderId="1" xfId="5" applyNumberFormat="1" applyFont="1" applyFill="1" applyBorder="1" applyAlignment="1" applyProtection="1">
      <alignment horizontal="center"/>
    </xf>
    <xf numFmtId="1" fontId="43" fillId="8" borderId="1" xfId="9" applyNumberFormat="1" applyFont="1" applyFill="1" applyBorder="1" applyAlignment="1">
      <alignment horizontal="center"/>
    </xf>
    <xf numFmtId="0" fontId="43" fillId="19" borderId="1" xfId="4" applyFont="1" applyFill="1" applyBorder="1" applyAlignment="1">
      <alignment horizontal="center"/>
    </xf>
    <xf numFmtId="0" fontId="49" fillId="11" borderId="1" xfId="4" applyFont="1" applyFill="1" applyBorder="1" applyAlignment="1">
      <alignment horizontal="center"/>
    </xf>
    <xf numFmtId="1" fontId="48" fillId="2" borderId="7" xfId="5" applyNumberFormat="1" applyFont="1" applyFill="1" applyBorder="1" applyAlignment="1">
      <alignment horizontal="center" vertical="center"/>
    </xf>
    <xf numFmtId="171" fontId="25" fillId="0" borderId="0" xfId="0" applyNumberFormat="1" applyFont="1"/>
    <xf numFmtId="1" fontId="57" fillId="0" borderId="5" xfId="0" applyNumberFormat="1" applyFont="1" applyBorder="1"/>
    <xf numFmtId="1" fontId="43" fillId="0" borderId="1" xfId="3" applyNumberFormat="1" applyFont="1" applyFill="1" applyBorder="1" applyAlignment="1">
      <alignment horizontal="center"/>
    </xf>
    <xf numFmtId="2" fontId="43" fillId="0" borderId="1" xfId="3" applyNumberFormat="1" applyFont="1" applyFill="1" applyBorder="1" applyAlignment="1">
      <alignment horizontal="center"/>
    </xf>
    <xf numFmtId="1" fontId="43" fillId="0" borderId="12" xfId="5" applyNumberFormat="1" applyFont="1" applyFill="1" applyBorder="1" applyAlignment="1" applyProtection="1">
      <alignment horizontal="center"/>
    </xf>
    <xf numFmtId="172" fontId="25" fillId="0" borderId="0" xfId="0" applyNumberFormat="1" applyFont="1"/>
    <xf numFmtId="0" fontId="43" fillId="11" borderId="1" xfId="3" applyFont="1" applyFill="1" applyBorder="1" applyAlignment="1">
      <alignment horizontal="center"/>
    </xf>
    <xf numFmtId="0" fontId="22" fillId="0" borderId="0" xfId="0" applyFont="1" applyFill="1"/>
    <xf numFmtId="172" fontId="25" fillId="0" borderId="0" xfId="0" applyNumberFormat="1" applyFont="1" applyFill="1"/>
    <xf numFmtId="171" fontId="25" fillId="0" borderId="0" xfId="0" applyNumberFormat="1" applyFont="1" applyFill="1"/>
    <xf numFmtId="1" fontId="25" fillId="0" borderId="0" xfId="0" applyNumberFormat="1" applyFont="1" applyFill="1"/>
    <xf numFmtId="1" fontId="57" fillId="0" borderId="0" xfId="0" applyNumberFormat="1" applyFont="1" applyFill="1"/>
    <xf numFmtId="1" fontId="57" fillId="0" borderId="5" xfId="0" applyNumberFormat="1" applyFont="1" applyFill="1" applyBorder="1"/>
    <xf numFmtId="0" fontId="60" fillId="0" borderId="0" xfId="0" applyFont="1" applyFill="1" applyAlignment="1">
      <alignment horizontal="center"/>
    </xf>
    <xf numFmtId="0" fontId="61" fillId="0" borderId="0" xfId="0" applyFont="1" applyFill="1" applyAlignment="1">
      <alignment horizontal="center"/>
    </xf>
    <xf numFmtId="1" fontId="60" fillId="0" borderId="0" xfId="0" applyNumberFormat="1" applyFont="1" applyFill="1" applyAlignment="1">
      <alignment horizontal="center"/>
    </xf>
    <xf numFmtId="1" fontId="62" fillId="0" borderId="0" xfId="0" applyNumberFormat="1" applyFont="1" applyFill="1" applyAlignment="1">
      <alignment horizontal="center"/>
    </xf>
    <xf numFmtId="1" fontId="62" fillId="0" borderId="5" xfId="0" applyNumberFormat="1" applyFont="1" applyFill="1" applyBorder="1" applyAlignment="1">
      <alignment horizontal="center"/>
    </xf>
    <xf numFmtId="1" fontId="25" fillId="11" borderId="0" xfId="0" applyNumberFormat="1" applyFont="1" applyFill="1"/>
    <xf numFmtId="1" fontId="60" fillId="11" borderId="0" xfId="0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73" fontId="25" fillId="0" borderId="0" xfId="0" applyNumberFormat="1" applyFont="1" applyAlignment="1">
      <alignment horizontal="center"/>
    </xf>
    <xf numFmtId="173" fontId="25" fillId="11" borderId="0" xfId="0" applyNumberFormat="1" applyFont="1" applyFill="1" applyAlignment="1">
      <alignment horizontal="center"/>
    </xf>
    <xf numFmtId="173" fontId="25" fillId="0" borderId="0" xfId="0" applyNumberFormat="1" applyFont="1" applyFill="1" applyAlignment="1">
      <alignment horizontal="center"/>
    </xf>
    <xf numFmtId="172" fontId="25" fillId="11" borderId="0" xfId="0" applyNumberFormat="1" applyFont="1" applyFill="1"/>
    <xf numFmtId="172" fontId="60" fillId="11" borderId="0" xfId="0" applyNumberFormat="1" applyFont="1" applyFill="1" applyAlignment="1">
      <alignment horizontal="center"/>
    </xf>
    <xf numFmtId="0" fontId="39" fillId="0" borderId="16" xfId="4" applyFont="1" applyFill="1" applyBorder="1"/>
    <xf numFmtId="0" fontId="40" fillId="0" borderId="1" xfId="0" applyFont="1" applyFill="1" applyBorder="1"/>
    <xf numFmtId="0" fontId="43" fillId="0" borderId="1" xfId="4" applyFont="1" applyFill="1" applyBorder="1"/>
    <xf numFmtId="164" fontId="26" fillId="0" borderId="0" xfId="5" applyNumberFormat="1" applyFont="1" applyFill="1" applyBorder="1" applyAlignment="1" applyProtection="1">
      <alignment horizontal="center"/>
    </xf>
    <xf numFmtId="0" fontId="27" fillId="0" borderId="0" xfId="0" applyFont="1" applyFill="1" applyBorder="1"/>
    <xf numFmtId="0" fontId="27" fillId="0" borderId="0" xfId="0" applyFont="1" applyFill="1"/>
    <xf numFmtId="1" fontId="37" fillId="9" borderId="1" xfId="3" applyNumberFormat="1" applyFont="1" applyFill="1" applyBorder="1" applyAlignment="1">
      <alignment horizontal="center" vertical="center"/>
    </xf>
    <xf numFmtId="1" fontId="43" fillId="0" borderId="1" xfId="4" applyNumberFormat="1" applyFont="1" applyBorder="1" applyAlignment="1">
      <alignment horizontal="center"/>
    </xf>
    <xf numFmtId="1" fontId="43" fillId="13" borderId="1" xfId="3" applyNumberFormat="1" applyFont="1" applyFill="1" applyBorder="1" applyAlignment="1">
      <alignment horizontal="center"/>
    </xf>
    <xf numFmtId="1" fontId="43" fillId="19" borderId="1" xfId="4" applyNumberFormat="1" applyFont="1" applyFill="1" applyBorder="1" applyAlignment="1">
      <alignment horizontal="center"/>
    </xf>
    <xf numFmtId="1" fontId="43" fillId="2" borderId="1" xfId="4" applyNumberFormat="1" applyFont="1" applyFill="1" applyBorder="1" applyAlignment="1">
      <alignment horizontal="center"/>
    </xf>
    <xf numFmtId="1" fontId="43" fillId="0" borderId="1" xfId="4" applyNumberFormat="1" applyFont="1" applyBorder="1" applyAlignment="1">
      <alignment horizontal="center" vertical="center"/>
    </xf>
    <xf numFmtId="1" fontId="43" fillId="0" borderId="1" xfId="4" applyNumberFormat="1" applyFont="1" applyFill="1" applyBorder="1" applyAlignment="1">
      <alignment horizontal="center" vertical="center"/>
    </xf>
    <xf numFmtId="1" fontId="43" fillId="13" borderId="1" xfId="3" applyNumberFormat="1" applyFont="1" applyFill="1" applyBorder="1" applyAlignment="1">
      <alignment vertical="center"/>
    </xf>
    <xf numFmtId="1" fontId="43" fillId="0" borderId="1" xfId="4" applyNumberFormat="1" applyFont="1" applyFill="1" applyBorder="1" applyAlignment="1">
      <alignment horizontal="center"/>
    </xf>
    <xf numFmtId="1" fontId="43" fillId="2" borderId="1" xfId="4" applyNumberFormat="1" applyFont="1" applyFill="1" applyBorder="1" applyAlignment="1"/>
    <xf numFmtId="1" fontId="43" fillId="2" borderId="1" xfId="4" applyNumberFormat="1" applyFont="1" applyFill="1" applyBorder="1" applyAlignment="1">
      <alignment horizontal="center" wrapText="1"/>
    </xf>
    <xf numFmtId="1" fontId="43" fillId="0" borderId="1" xfId="4" applyNumberFormat="1" applyFont="1" applyFill="1" applyBorder="1" applyAlignment="1">
      <alignment horizontal="center" wrapText="1"/>
    </xf>
    <xf numFmtId="1" fontId="43" fillId="0" borderId="1" xfId="4" applyNumberFormat="1" applyFont="1" applyBorder="1" applyAlignment="1">
      <alignment horizontal="center" wrapText="1"/>
    </xf>
    <xf numFmtId="1" fontId="48" fillId="0" borderId="1" xfId="3" applyNumberFormat="1" applyFont="1" applyFill="1" applyBorder="1" applyAlignment="1">
      <alignment horizontal="center"/>
    </xf>
    <xf numFmtId="1" fontId="43" fillId="10" borderId="19" xfId="4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/>
    </xf>
    <xf numFmtId="1" fontId="43" fillId="0" borderId="0" xfId="0" applyNumberFormat="1" applyFont="1" applyBorder="1"/>
    <xf numFmtId="1" fontId="43" fillId="11" borderId="1" xfId="4" applyNumberFormat="1" applyFont="1" applyFill="1" applyBorder="1" applyAlignment="1">
      <alignment horizontal="center"/>
    </xf>
    <xf numFmtId="1" fontId="58" fillId="0" borderId="0" xfId="0" applyNumberFormat="1" applyFont="1"/>
    <xf numFmtId="1" fontId="43" fillId="0" borderId="0" xfId="0" applyNumberFormat="1" applyFont="1"/>
    <xf numFmtId="1" fontId="59" fillId="19" borderId="1" xfId="4" applyNumberFormat="1" applyFont="1" applyFill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0" borderId="1" xfId="4" applyNumberFormat="1" applyFont="1" applyBorder="1" applyAlignment="1">
      <alignment horizontal="center"/>
    </xf>
    <xf numFmtId="1" fontId="50" fillId="2" borderId="1" xfId="4" applyNumberFormat="1" applyFont="1" applyFill="1" applyBorder="1" applyAlignment="1">
      <alignment horizontal="center"/>
    </xf>
    <xf numFmtId="1" fontId="52" fillId="8" borderId="1" xfId="3" applyNumberFormat="1" applyFont="1" applyFill="1" applyBorder="1" applyAlignment="1">
      <alignment horizontal="center"/>
    </xf>
    <xf numFmtId="1" fontId="50" fillId="2" borderId="1" xfId="3" applyNumberFormat="1" applyFont="1" applyFill="1" applyBorder="1" applyAlignment="1">
      <alignment horizontal="center"/>
    </xf>
    <xf numFmtId="1" fontId="49" fillId="2" borderId="1" xfId="4" applyNumberFormat="1" applyFont="1" applyFill="1" applyBorder="1" applyAlignment="1">
      <alignment horizontal="center" wrapText="1"/>
    </xf>
    <xf numFmtId="1" fontId="49" fillId="2" borderId="1" xfId="4" applyNumberFormat="1" applyFont="1" applyFill="1" applyBorder="1" applyAlignment="1">
      <alignment horizontal="center"/>
    </xf>
    <xf numFmtId="1" fontId="49" fillId="10" borderId="19" xfId="4" applyNumberFormat="1" applyFont="1" applyFill="1" applyBorder="1" applyAlignment="1">
      <alignment horizontal="center" vertical="center"/>
    </xf>
    <xf numFmtId="1" fontId="48" fillId="0" borderId="0" xfId="0" applyNumberFormat="1" applyFont="1" applyBorder="1"/>
    <xf numFmtId="1" fontId="49" fillId="0" borderId="1" xfId="4" applyNumberFormat="1" applyFont="1" applyFill="1" applyBorder="1" applyAlignment="1">
      <alignment horizontal="center"/>
    </xf>
    <xf numFmtId="1" fontId="49" fillId="11" borderId="1" xfId="4" applyNumberFormat="1" applyFont="1" applyFill="1" applyBorder="1" applyAlignment="1">
      <alignment horizontal="center"/>
    </xf>
    <xf numFmtId="0" fontId="64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63" fillId="0" borderId="0" xfId="16" applyAlignment="1" applyProtection="1"/>
    <xf numFmtId="1" fontId="15" fillId="0" borderId="0" xfId="2" applyNumberFormat="1" applyAlignment="1" applyProtection="1"/>
    <xf numFmtId="1" fontId="43" fillId="11" borderId="1" xfId="5" applyNumberFormat="1" applyFont="1" applyFill="1" applyBorder="1" applyAlignment="1">
      <alignment horizontal="center" vertical="center"/>
    </xf>
    <xf numFmtId="1" fontId="43" fillId="11" borderId="12" xfId="5" applyNumberFormat="1" applyFont="1" applyFill="1" applyBorder="1" applyAlignment="1" applyProtection="1">
      <alignment horizontal="center"/>
    </xf>
    <xf numFmtId="0" fontId="25" fillId="11" borderId="0" xfId="0" applyFont="1" applyFill="1"/>
    <xf numFmtId="1" fontId="27" fillId="0" borderId="0" xfId="0" applyNumberFormat="1" applyFont="1"/>
    <xf numFmtId="1" fontId="27" fillId="0" borderId="0" xfId="0" applyNumberFormat="1" applyFont="1" applyFill="1"/>
    <xf numFmtId="1" fontId="34" fillId="0" borderId="0" xfId="0" applyNumberFormat="1" applyFont="1" applyFill="1"/>
    <xf numFmtId="1" fontId="51" fillId="11" borderId="1" xfId="5" applyNumberFormat="1" applyFont="1" applyFill="1" applyBorder="1" applyAlignment="1">
      <alignment horizontal="center" vertical="center"/>
    </xf>
    <xf numFmtId="0" fontId="48" fillId="0" borderId="4" xfId="0" applyFont="1" applyFill="1" applyBorder="1"/>
    <xf numFmtId="1" fontId="66" fillId="0" borderId="1" xfId="0" applyNumberFormat="1" applyFont="1" applyFill="1" applyBorder="1" applyAlignment="1">
      <alignment horizontal="center" wrapText="1"/>
    </xf>
    <xf numFmtId="0" fontId="49" fillId="11" borderId="1" xfId="4" applyFont="1" applyFill="1" applyBorder="1" applyAlignment="1">
      <alignment horizontal="center" wrapText="1"/>
    </xf>
    <xf numFmtId="0" fontId="43" fillId="11" borderId="1" xfId="0" applyFont="1" applyFill="1" applyBorder="1" applyAlignment="1">
      <alignment horizontal="center"/>
    </xf>
    <xf numFmtId="0" fontId="42" fillId="0" borderId="1" xfId="0" applyFont="1" applyBorder="1"/>
    <xf numFmtId="0" fontId="44" fillId="0" borderId="1" xfId="0" applyFont="1" applyBorder="1"/>
    <xf numFmtId="0" fontId="37" fillId="0" borderId="1" xfId="4" applyFont="1" applyBorder="1" applyAlignment="1">
      <alignment vertical="center"/>
    </xf>
    <xf numFmtId="0" fontId="54" fillId="2" borderId="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center"/>
    </xf>
    <xf numFmtId="0" fontId="59" fillId="2" borderId="1" xfId="4" applyFont="1" applyFill="1" applyBorder="1" applyAlignment="1">
      <alignment horizontal="center"/>
    </xf>
    <xf numFmtId="0" fontId="55" fillId="2" borderId="16" xfId="3" applyFont="1" applyFill="1" applyBorder="1" applyAlignment="1">
      <alignment horizontal="left" vertical="center"/>
    </xf>
    <xf numFmtId="0" fontId="54" fillId="2" borderId="1" xfId="3" applyFont="1" applyFill="1" applyBorder="1" applyAlignment="1">
      <alignment horizontal="left" vertical="center"/>
    </xf>
    <xf numFmtId="0" fontId="37" fillId="2" borderId="16" xfId="3" applyFont="1" applyFill="1" applyBorder="1" applyAlignment="1">
      <alignment horizontal="left"/>
    </xf>
    <xf numFmtId="0" fontId="36" fillId="2" borderId="1" xfId="3" applyFont="1" applyFill="1" applyBorder="1" applyAlignment="1">
      <alignment horizontal="left"/>
    </xf>
    <xf numFmtId="0" fontId="42" fillId="2" borderId="1" xfId="0" applyFont="1" applyFill="1" applyBorder="1"/>
    <xf numFmtId="0" fontId="44" fillId="2" borderId="1" xfId="0" applyFont="1" applyFill="1" applyBorder="1"/>
    <xf numFmtId="0" fontId="37" fillId="2" borderId="1" xfId="4" applyFont="1" applyFill="1" applyBorder="1" applyAlignment="1">
      <alignment vertical="center"/>
    </xf>
    <xf numFmtId="0" fontId="36" fillId="2" borderId="1" xfId="4" applyFont="1" applyFill="1" applyBorder="1" applyAlignment="1">
      <alignment vertical="center"/>
    </xf>
    <xf numFmtId="0" fontId="42" fillId="2" borderId="0" xfId="0" applyFont="1" applyFill="1"/>
    <xf numFmtId="0" fontId="44" fillId="2" borderId="0" xfId="0" applyFont="1" applyFill="1"/>
    <xf numFmtId="0" fontId="48" fillId="2" borderId="0" xfId="0" applyFont="1" applyFill="1"/>
    <xf numFmtId="0" fontId="43" fillId="2" borderId="0" xfId="0" applyFont="1" applyFill="1"/>
    <xf numFmtId="1" fontId="48" fillId="2" borderId="0" xfId="0" applyNumberFormat="1" applyFont="1" applyFill="1"/>
    <xf numFmtId="0" fontId="43" fillId="2" borderId="1" xfId="0" applyFont="1" applyFill="1" applyBorder="1" applyAlignment="1">
      <alignment horizontal="center"/>
    </xf>
    <xf numFmtId="1" fontId="25" fillId="0" borderId="0" xfId="0" applyNumberFormat="1" applyFont="1" applyBorder="1"/>
    <xf numFmtId="0" fontId="68" fillId="0" borderId="0" xfId="0" applyFont="1"/>
    <xf numFmtId="166" fontId="69" fillId="9" borderId="16" xfId="3" applyNumberFormat="1" applyFont="1" applyFill="1" applyBorder="1" applyAlignment="1">
      <alignment horizontal="left"/>
    </xf>
    <xf numFmtId="0" fontId="69" fillId="9" borderId="1" xfId="3" applyFont="1" applyFill="1" applyBorder="1" applyAlignment="1">
      <alignment horizont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>
      <alignment horizontal="center" vertical="center"/>
    </xf>
    <xf numFmtId="1" fontId="69" fillId="9" borderId="12" xfId="3" applyNumberFormat="1" applyFont="1" applyFill="1" applyBorder="1" applyAlignment="1">
      <alignment horizontal="center" vertical="center"/>
    </xf>
    <xf numFmtId="9" fontId="69" fillId="9" borderId="16" xfId="3" applyNumberFormat="1" applyFont="1" applyFill="1" applyBorder="1" applyAlignment="1">
      <alignment horizontal="left"/>
    </xf>
    <xf numFmtId="0" fontId="69" fillId="9" borderId="1" xfId="3" applyFont="1" applyFill="1" applyBorder="1" applyAlignment="1">
      <alignment horizontal="left"/>
    </xf>
    <xf numFmtId="0" fontId="69" fillId="9" borderId="1" xfId="3" applyFont="1" applyFill="1" applyBorder="1" applyAlignment="1"/>
    <xf numFmtId="10" fontId="69" fillId="9" borderId="1" xfId="3" applyNumberFormat="1" applyFont="1" applyFill="1" applyBorder="1" applyAlignment="1">
      <alignment horizontal="center"/>
    </xf>
    <xf numFmtId="1" fontId="69" fillId="9" borderId="1" xfId="3" applyNumberFormat="1" applyFont="1" applyFill="1" applyBorder="1" applyAlignment="1">
      <alignment horizontal="center"/>
    </xf>
    <xf numFmtId="1" fontId="69" fillId="9" borderId="12" xfId="3" applyNumberFormat="1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0" borderId="0" xfId="0" applyFont="1" applyBorder="1"/>
    <xf numFmtId="0" fontId="69" fillId="9" borderId="16" xfId="3" applyFont="1" applyFill="1" applyBorder="1"/>
    <xf numFmtId="9" fontId="69" fillId="9" borderId="1" xfId="3" applyNumberFormat="1" applyFont="1" applyFill="1" applyBorder="1" applyAlignment="1">
      <alignment horizontal="left"/>
    </xf>
    <xf numFmtId="2" fontId="69" fillId="9" borderId="1" xfId="3" applyNumberFormat="1" applyFont="1" applyFill="1" applyBorder="1" applyAlignment="1">
      <alignment horizontal="center"/>
    </xf>
    <xf numFmtId="9" fontId="69" fillId="9" borderId="1" xfId="3" applyNumberFormat="1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0" fontId="69" fillId="8" borderId="16" xfId="3" applyFont="1" applyFill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 vertical="center"/>
    </xf>
    <xf numFmtId="164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164" fontId="69" fillId="8" borderId="12" xfId="3" applyNumberFormat="1" applyFont="1" applyFill="1" applyBorder="1" applyAlignment="1">
      <alignment horizontal="center" wrapText="1" shrinkToFit="1"/>
    </xf>
    <xf numFmtId="164" fontId="71" fillId="2" borderId="0" xfId="3" applyNumberFormat="1" applyFont="1" applyFill="1" applyBorder="1" applyAlignment="1">
      <alignment horizontal="center" vertical="center" wrapText="1" shrinkToFit="1"/>
    </xf>
    <xf numFmtId="0" fontId="69" fillId="13" borderId="1" xfId="3" applyFont="1" applyFill="1" applyBorder="1" applyAlignment="1">
      <alignment horizontal="center" vertical="center"/>
    </xf>
    <xf numFmtId="0" fontId="69" fillId="13" borderId="1" xfId="3" applyFont="1" applyFill="1" applyBorder="1" applyAlignment="1">
      <alignment horizontal="center"/>
    </xf>
    <xf numFmtId="0" fontId="69" fillId="13" borderId="12" xfId="3" applyFont="1" applyFill="1" applyBorder="1" applyAlignment="1">
      <alignment horizontal="center"/>
    </xf>
    <xf numFmtId="0" fontId="71" fillId="2" borderId="0" xfId="3" applyFont="1" applyFill="1" applyBorder="1" applyAlignment="1">
      <alignment horizontal="center" vertical="center"/>
    </xf>
    <xf numFmtId="0" fontId="69" fillId="8" borderId="16" xfId="3" applyFont="1" applyFill="1" applyBorder="1" applyAlignment="1">
      <alignment horizontal="left" vertical="center"/>
    </xf>
    <xf numFmtId="0" fontId="69" fillId="8" borderId="1" xfId="3" applyFont="1" applyFill="1" applyBorder="1" applyAlignment="1">
      <alignment horizontal="left" vertical="center"/>
    </xf>
    <xf numFmtId="0" fontId="69" fillId="8" borderId="1" xfId="3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9" fillId="2" borderId="1" xfId="3" applyNumberFormat="1" applyFont="1" applyFill="1" applyBorder="1" applyAlignment="1">
      <alignment horizontal="center"/>
    </xf>
    <xf numFmtId="1" fontId="69" fillId="8" borderId="12" xfId="5" applyNumberFormat="1" applyFont="1" applyFill="1" applyBorder="1" applyAlignment="1" applyProtection="1">
      <alignment horizontal="center"/>
    </xf>
    <xf numFmtId="2" fontId="73" fillId="8" borderId="9" xfId="3" applyNumberFormat="1" applyFont="1" applyFill="1" applyBorder="1" applyAlignment="1">
      <alignment horizontal="center"/>
    </xf>
    <xf numFmtId="1" fontId="68" fillId="0" borderId="0" xfId="0" applyNumberFormat="1" applyFont="1"/>
    <xf numFmtId="0" fontId="69" fillId="8" borderId="21" xfId="3" applyFont="1" applyFill="1" applyBorder="1" applyAlignment="1">
      <alignment horizontal="left" vertical="center"/>
    </xf>
    <xf numFmtId="0" fontId="69" fillId="8" borderId="5" xfId="3" applyFont="1" applyFill="1" applyBorder="1" applyAlignment="1">
      <alignment horizontal="left" vertical="center"/>
    </xf>
    <xf numFmtId="0" fontId="69" fillId="8" borderId="10" xfId="3" applyFont="1" applyFill="1" applyBorder="1" applyAlignment="1">
      <alignment horizontal="left" vertical="center"/>
    </xf>
    <xf numFmtId="0" fontId="69" fillId="8" borderId="7" xfId="3" applyFont="1" applyFill="1" applyBorder="1" applyAlignment="1">
      <alignment horizontal="center"/>
    </xf>
    <xf numFmtId="1" fontId="69" fillId="2" borderId="6" xfId="5" applyNumberFormat="1" applyFont="1" applyFill="1" applyBorder="1" applyAlignment="1">
      <alignment horizontal="center" vertical="center"/>
    </xf>
    <xf numFmtId="1" fontId="69" fillId="2" borderId="7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center"/>
    </xf>
    <xf numFmtId="2" fontId="68" fillId="0" borderId="0" xfId="0" applyNumberFormat="1" applyFont="1"/>
    <xf numFmtId="167" fontId="69" fillId="8" borderId="16" xfId="3" applyNumberFormat="1" applyFont="1" applyFill="1" applyBorder="1" applyAlignment="1">
      <alignment vertical="center"/>
    </xf>
    <xf numFmtId="167" fontId="69" fillId="8" borderId="1" xfId="3" applyNumberFormat="1" applyFont="1" applyFill="1" applyBorder="1" applyAlignment="1">
      <alignment vertical="center"/>
    </xf>
    <xf numFmtId="0" fontId="69" fillId="0" borderId="1" xfId="4" applyFont="1" applyBorder="1" applyAlignment="1">
      <alignment horizontal="center"/>
    </xf>
    <xf numFmtId="1" fontId="69" fillId="11" borderId="1" xfId="3" applyNumberFormat="1" applyFont="1" applyFill="1" applyBorder="1" applyAlignment="1">
      <alignment horizontal="center"/>
    </xf>
    <xf numFmtId="1" fontId="71" fillId="2" borderId="0" xfId="5" applyNumberFormat="1" applyFont="1" applyFill="1" applyBorder="1" applyAlignment="1" applyProtection="1">
      <alignment horizontal="center"/>
    </xf>
    <xf numFmtId="2" fontId="69" fillId="8" borderId="1" xfId="3" applyNumberFormat="1" applyFont="1" applyFill="1" applyBorder="1" applyAlignment="1">
      <alignment horizontal="right"/>
    </xf>
    <xf numFmtId="0" fontId="69" fillId="14" borderId="16" xfId="3" applyFont="1" applyFill="1" applyBorder="1" applyAlignment="1">
      <alignment horizontal="center"/>
    </xf>
    <xf numFmtId="0" fontId="69" fillId="14" borderId="1" xfId="3" applyFont="1" applyFill="1" applyBorder="1" applyAlignment="1">
      <alignment horizontal="center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3" borderId="1" xfId="3" applyFont="1" applyFill="1" applyBorder="1" applyAlignment="1">
      <alignment horizontal="center"/>
    </xf>
    <xf numFmtId="0" fontId="71" fillId="2" borderId="0" xfId="3" applyFont="1" applyFill="1" applyBorder="1" applyAlignment="1">
      <alignment horizontal="center"/>
    </xf>
    <xf numFmtId="0" fontId="69" fillId="8" borderId="16" xfId="3" applyFont="1" applyFill="1" applyBorder="1" applyAlignment="1">
      <alignment horizontal="left"/>
    </xf>
    <xf numFmtId="0" fontId="69" fillId="8" borderId="1" xfId="3" applyFont="1" applyFill="1" applyBorder="1" applyAlignment="1">
      <alignment horizontal="left"/>
    </xf>
    <xf numFmtId="0" fontId="75" fillId="0" borderId="1" xfId="4" applyFont="1" applyBorder="1" applyAlignment="1">
      <alignment horizontal="center"/>
    </xf>
    <xf numFmtId="0" fontId="69" fillId="2" borderId="16" xfId="3" applyFont="1" applyFill="1" applyBorder="1" applyAlignment="1">
      <alignment horizontal="left" vertical="center"/>
    </xf>
    <xf numFmtId="0" fontId="69" fillId="2" borderId="1" xfId="3" applyFont="1" applyFill="1" applyBorder="1" applyAlignment="1">
      <alignment horizontal="left" vertical="center"/>
    </xf>
    <xf numFmtId="0" fontId="69" fillId="2" borderId="1" xfId="3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1" borderId="1" xfId="3" applyNumberFormat="1" applyFont="1" applyFill="1" applyBorder="1" applyAlignment="1">
      <alignment horizontal="center"/>
    </xf>
    <xf numFmtId="1" fontId="69" fillId="2" borderId="12" xfId="5" applyNumberFormat="1" applyFont="1" applyFill="1" applyBorder="1" applyAlignment="1" applyProtection="1">
      <alignment horizontal="center"/>
    </xf>
    <xf numFmtId="1" fontId="74" fillId="13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4" fontId="76" fillId="8" borderId="1" xfId="5" applyNumberFormat="1" applyFont="1" applyFill="1" applyBorder="1" applyAlignment="1">
      <alignment horizontal="center" vertical="center"/>
    </xf>
    <xf numFmtId="1" fontId="69" fillId="11" borderId="1" xfId="5" applyNumberFormat="1" applyFont="1" applyFill="1" applyBorder="1" applyAlignment="1" applyProtection="1">
      <alignment horizontal="center"/>
    </xf>
    <xf numFmtId="0" fontId="69" fillId="14" borderId="16" xfId="3" applyFont="1" applyFill="1" applyBorder="1" applyAlignment="1">
      <alignment horizontal="center" vertical="center"/>
    </xf>
    <xf numFmtId="0" fontId="69" fillId="14" borderId="1" xfId="3" applyFont="1" applyFill="1" applyBorder="1" applyAlignment="1">
      <alignment horizontal="center" vertical="center"/>
    </xf>
    <xf numFmtId="0" fontId="76" fillId="2" borderId="1" xfId="4" applyFont="1" applyFill="1" applyBorder="1" applyAlignment="1">
      <alignment horizontal="center"/>
    </xf>
    <xf numFmtId="0" fontId="74" fillId="13" borderId="1" xfId="3" applyFont="1" applyFill="1" applyBorder="1" applyAlignment="1">
      <alignment horizontal="center" vertical="center"/>
    </xf>
    <xf numFmtId="1" fontId="69" fillId="13" borderId="1" xfId="3" applyNumberFormat="1" applyFont="1" applyFill="1" applyBorder="1" applyAlignment="1">
      <alignment horizontal="center" vertical="center"/>
    </xf>
    <xf numFmtId="0" fontId="77" fillId="13" borderId="1" xfId="3" applyFont="1" applyFill="1" applyBorder="1" applyAlignment="1">
      <alignment horizontal="center" vertical="center"/>
    </xf>
    <xf numFmtId="1" fontId="69" fillId="13" borderId="12" xfId="3" applyNumberFormat="1" applyFont="1" applyFill="1" applyBorder="1" applyAlignment="1">
      <alignment horizontal="center" vertical="center"/>
    </xf>
    <xf numFmtId="0" fontId="78" fillId="0" borderId="0" xfId="0" applyFont="1" applyBorder="1"/>
    <xf numFmtId="0" fontId="78" fillId="0" borderId="0" xfId="0" applyFont="1"/>
    <xf numFmtId="0" fontId="79" fillId="2" borderId="13" xfId="3" applyFont="1" applyFill="1" applyBorder="1" applyAlignment="1">
      <alignment horizontal="center"/>
    </xf>
    <xf numFmtId="0" fontId="79" fillId="2" borderId="3" xfId="3" applyFont="1" applyFill="1" applyBorder="1" applyAlignment="1">
      <alignment horizontal="center"/>
    </xf>
    <xf numFmtId="0" fontId="79" fillId="2" borderId="4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4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1" fontId="79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68" fontId="74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2" fontId="77" fillId="8" borderId="1" xfId="3" applyNumberFormat="1" applyFont="1" applyFill="1" applyBorder="1" applyAlignment="1">
      <alignment horizontal="right"/>
    </xf>
    <xf numFmtId="0" fontId="79" fillId="14" borderId="13" xfId="3" applyFont="1" applyFill="1" applyBorder="1" applyAlignment="1">
      <alignment horizontal="center"/>
    </xf>
    <xf numFmtId="0" fontId="79" fillId="14" borderId="3" xfId="3" applyFont="1" applyFill="1" applyBorder="1" applyAlignment="1">
      <alignment horizontal="center"/>
    </xf>
    <xf numFmtId="0" fontId="79" fillId="14" borderId="4" xfId="3" applyFont="1" applyFill="1" applyBorder="1" applyAlignment="1">
      <alignment horizontal="center"/>
    </xf>
    <xf numFmtId="0" fontId="76" fillId="2" borderId="1" xfId="3" applyFont="1" applyFill="1" applyBorder="1" applyAlignment="1">
      <alignment horizontal="center"/>
    </xf>
    <xf numFmtId="169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13" borderId="16" xfId="3" applyFont="1" applyFill="1" applyBorder="1" applyAlignment="1">
      <alignment horizontal="left"/>
    </xf>
    <xf numFmtId="0" fontId="69" fillId="13" borderId="1" xfId="3" applyFont="1" applyFill="1" applyBorder="1" applyAlignment="1">
      <alignment horizontal="left"/>
    </xf>
    <xf numFmtId="0" fontId="69" fillId="0" borderId="1" xfId="4" applyFont="1" applyBorder="1" applyAlignment="1">
      <alignment horizontal="center" vertical="center"/>
    </xf>
    <xf numFmtId="2" fontId="69" fillId="8" borderId="16" xfId="3" applyNumberFormat="1" applyFont="1" applyFill="1" applyBorder="1" applyAlignment="1">
      <alignment horizontal="left" vertical="center"/>
    </xf>
    <xf numFmtId="2" fontId="69" fillId="8" borderId="1" xfId="3" applyNumberFormat="1" applyFont="1" applyFill="1" applyBorder="1" applyAlignment="1">
      <alignment horizontal="left" vertical="center"/>
    </xf>
    <xf numFmtId="0" fontId="69" fillId="8" borderId="1" xfId="3" applyFont="1" applyFill="1" applyBorder="1" applyAlignment="1">
      <alignment horizontal="left" vertical="justify"/>
    </xf>
    <xf numFmtId="0" fontId="69" fillId="13" borderId="16" xfId="3" applyFont="1" applyFill="1" applyBorder="1" applyAlignment="1"/>
    <xf numFmtId="0" fontId="69" fillId="13" borderId="1" xfId="3" applyFont="1" applyFill="1" applyBorder="1" applyAlignment="1"/>
    <xf numFmtId="0" fontId="69" fillId="13" borderId="1" xfId="3" applyFont="1" applyFill="1" applyBorder="1" applyAlignment="1">
      <alignment vertical="center"/>
    </xf>
    <xf numFmtId="0" fontId="69" fillId="13" borderId="12" xfId="3" applyFont="1" applyFill="1" applyBorder="1" applyAlignment="1"/>
    <xf numFmtId="0" fontId="69" fillId="0" borderId="16" xfId="4" applyFont="1" applyBorder="1" applyAlignment="1">
      <alignment vertical="center"/>
    </xf>
    <xf numFmtId="0" fontId="69" fillId="0" borderId="1" xfId="4" applyFont="1" applyBorder="1" applyAlignment="1">
      <alignment vertical="center"/>
    </xf>
    <xf numFmtId="1" fontId="69" fillId="2" borderId="1" xfId="3" applyNumberFormat="1" applyFont="1" applyFill="1" applyBorder="1" applyAlignment="1">
      <alignment horizontal="center" vertical="center"/>
    </xf>
    <xf numFmtId="164" fontId="69" fillId="2" borderId="1" xfId="5" applyNumberFormat="1" applyFont="1" applyFill="1" applyBorder="1" applyAlignment="1" applyProtection="1">
      <alignment horizontal="center" vertical="center"/>
    </xf>
    <xf numFmtId="164" fontId="69" fillId="8" borderId="1" xfId="5" applyNumberFormat="1" applyFont="1" applyFill="1" applyBorder="1" applyAlignment="1" applyProtection="1">
      <alignment horizontal="center" vertical="top"/>
    </xf>
    <xf numFmtId="2" fontId="71" fillId="2" borderId="0" xfId="5" applyNumberFormat="1" applyFont="1" applyFill="1" applyBorder="1" applyAlignment="1" applyProtection="1">
      <alignment horizontal="center"/>
    </xf>
    <xf numFmtId="165" fontId="71" fillId="2" borderId="0" xfId="6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69" fillId="2" borderId="12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69" fillId="0" borderId="16" xfId="4" applyFont="1" applyBorder="1" applyAlignment="1">
      <alignment horizontal="left"/>
    </xf>
    <xf numFmtId="0" fontId="75" fillId="2" borderId="1" xfId="4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75" fillId="0" borderId="16" xfId="4" applyFont="1" applyBorder="1" applyAlignment="1">
      <alignment horizontal="left"/>
    </xf>
    <xf numFmtId="0" fontId="75" fillId="0" borderId="1" xfId="4" applyFont="1" applyBorder="1" applyAlignment="1">
      <alignment horizontal="left"/>
    </xf>
    <xf numFmtId="0" fontId="69" fillId="0" borderId="1" xfId="3" applyFont="1" applyFill="1" applyBorder="1" applyAlignment="1">
      <alignment horizontal="center"/>
    </xf>
    <xf numFmtId="164" fontId="71" fillId="2" borderId="0" xfId="5" applyNumberFormat="1" applyFont="1" applyFill="1" applyBorder="1" applyAlignment="1" applyProtection="1">
      <alignment horizontal="center"/>
    </xf>
    <xf numFmtId="0" fontId="77" fillId="14" borderId="16" xfId="4" applyFont="1" applyFill="1" applyBorder="1"/>
    <xf numFmtId="0" fontId="77" fillId="14" borderId="1" xfId="0" applyFont="1" applyFill="1" applyBorder="1"/>
    <xf numFmtId="0" fontId="73" fillId="0" borderId="0" xfId="0" applyFont="1" applyBorder="1"/>
    <xf numFmtId="0" fontId="73" fillId="0" borderId="0" xfId="0" applyFont="1"/>
    <xf numFmtId="0" fontId="77" fillId="0" borderId="16" xfId="4" applyFont="1" applyFill="1" applyBorder="1"/>
    <xf numFmtId="0" fontId="77" fillId="0" borderId="1" xfId="0" applyFont="1" applyFill="1" applyBorder="1"/>
    <xf numFmtId="0" fontId="69" fillId="0" borderId="1" xfId="4" applyFont="1" applyFill="1" applyBorder="1"/>
    <xf numFmtId="0" fontId="74" fillId="0" borderId="1" xfId="3" applyFont="1" applyFill="1" applyBorder="1" applyAlignment="1">
      <alignment horizontal="center"/>
    </xf>
    <xf numFmtId="1" fontId="69" fillId="0" borderId="1" xfId="3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1" fontId="69" fillId="0" borderId="12" xfId="5" applyNumberFormat="1" applyFont="1" applyFill="1" applyBorder="1" applyAlignment="1" applyProtection="1">
      <alignment horizontal="center"/>
    </xf>
    <xf numFmtId="164" fontId="71" fillId="0" borderId="0" xfId="5" applyNumberFormat="1" applyFont="1" applyFill="1" applyBorder="1" applyAlignment="1" applyProtection="1">
      <alignment horizontal="center"/>
    </xf>
    <xf numFmtId="0" fontId="73" fillId="0" borderId="0" xfId="0" applyFont="1" applyFill="1" applyBorder="1"/>
    <xf numFmtId="0" fontId="73" fillId="0" borderId="0" xfId="0" applyFont="1" applyFill="1"/>
    <xf numFmtId="0" fontId="69" fillId="13" borderId="16" xfId="3" applyFont="1" applyFill="1" applyBorder="1" applyAlignment="1">
      <alignment horizontal="center"/>
    </xf>
    <xf numFmtId="164" fontId="71" fillId="2" borderId="0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43" fontId="69" fillId="8" borderId="1" xfId="7" applyFont="1" applyFill="1" applyBorder="1" applyAlignment="1">
      <alignment horizontal="right" wrapText="1"/>
    </xf>
    <xf numFmtId="0" fontId="69" fillId="10" borderId="26" xfId="3" applyFont="1" applyFill="1" applyBorder="1" applyAlignment="1">
      <alignment horizontal="center" vertical="center"/>
    </xf>
    <xf numFmtId="0" fontId="69" fillId="10" borderId="0" xfId="3" applyFont="1" applyFill="1" applyBorder="1" applyAlignment="1">
      <alignment horizontal="center" vertical="center"/>
    </xf>
    <xf numFmtId="0" fontId="69" fillId="10" borderId="25" xfId="3" applyFont="1" applyFill="1" applyBorder="1" applyAlignment="1">
      <alignment horizontal="center" vertical="center"/>
    </xf>
    <xf numFmtId="2" fontId="69" fillId="10" borderId="19" xfId="3" applyNumberFormat="1" applyFont="1" applyFill="1" applyBorder="1" applyAlignment="1">
      <alignment horizontal="center" vertical="center"/>
    </xf>
    <xf numFmtId="0" fontId="75" fillId="10" borderId="19" xfId="4" applyFont="1" applyFill="1" applyBorder="1" applyAlignment="1">
      <alignment horizontal="center" vertical="center"/>
    </xf>
    <xf numFmtId="1" fontId="69" fillId="10" borderId="19" xfId="5" applyNumberFormat="1" applyFont="1" applyFill="1" applyBorder="1" applyAlignment="1">
      <alignment horizontal="center" vertical="center"/>
    </xf>
    <xf numFmtId="1" fontId="69" fillId="10" borderId="19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1" fontId="69" fillId="10" borderId="24" xfId="5" applyNumberFormat="1" applyFont="1" applyFill="1" applyBorder="1" applyAlignment="1" applyProtection="1">
      <alignment horizontal="center" vertical="center"/>
    </xf>
    <xf numFmtId="0" fontId="74" fillId="0" borderId="0" xfId="0" applyFont="1" applyBorder="1"/>
    <xf numFmtId="0" fontId="74" fillId="0" borderId="4" xfId="0" applyFont="1" applyBorder="1" applyAlignment="1">
      <alignment horizont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1" fontId="74" fillId="0" borderId="12" xfId="0" applyNumberFormat="1" applyFont="1" applyBorder="1" applyAlignment="1">
      <alignment horizontal="center"/>
    </xf>
    <xf numFmtId="0" fontId="74" fillId="0" borderId="1" xfId="0" applyFont="1" applyBorder="1" applyAlignment="1">
      <alignment horizontal="left"/>
    </xf>
    <xf numFmtId="0" fontId="7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4" xfId="0" applyFont="1" applyFill="1" applyBorder="1"/>
    <xf numFmtId="0" fontId="78" fillId="0" borderId="0" xfId="0" applyFont="1" applyFill="1"/>
    <xf numFmtId="0" fontId="74" fillId="0" borderId="1" xfId="0" applyFont="1" applyFill="1" applyBorder="1" applyAlignment="1">
      <alignment horizontal="left"/>
    </xf>
    <xf numFmtId="0" fontId="74" fillId="0" borderId="4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74" fillId="0" borderId="12" xfId="0" applyNumberFormat="1" applyFont="1" applyFill="1" applyBorder="1" applyAlignment="1">
      <alignment horizontal="center"/>
    </xf>
    <xf numFmtId="1" fontId="74" fillId="0" borderId="0" xfId="0" applyNumberFormat="1" applyFont="1" applyBorder="1" applyAlignment="1">
      <alignment horizontal="center"/>
    </xf>
    <xf numFmtId="1" fontId="74" fillId="0" borderId="28" xfId="0" applyNumberFormat="1" applyFont="1" applyBorder="1"/>
    <xf numFmtId="0" fontId="74" fillId="13" borderId="12" xfId="3" applyFont="1" applyFill="1" applyBorder="1" applyAlignment="1">
      <alignment horizontal="center"/>
    </xf>
    <xf numFmtId="0" fontId="69" fillId="11" borderId="1" xfId="4" applyFont="1" applyFill="1" applyBorder="1" applyAlignment="1">
      <alignment horizontal="center"/>
    </xf>
    <xf numFmtId="0" fontId="69" fillId="0" borderId="16" xfId="4" applyFont="1" applyBorder="1"/>
    <xf numFmtId="0" fontId="69" fillId="13" borderId="16" xfId="3" applyFont="1" applyFill="1" applyBorder="1" applyAlignment="1">
      <alignment horizontal="center" vertical="center"/>
    </xf>
    <xf numFmtId="1" fontId="69" fillId="13" borderId="1" xfId="5" applyNumberFormat="1" applyFont="1" applyFill="1" applyBorder="1" applyAlignment="1">
      <alignment horizontal="center"/>
    </xf>
    <xf numFmtId="1" fontId="69" fillId="13" borderId="12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5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81" fillId="0" borderId="0" xfId="4" applyFont="1"/>
    <xf numFmtId="0" fontId="69" fillId="8" borderId="6" xfId="3" applyFont="1" applyFill="1" applyBorder="1" applyAlignment="1">
      <alignment horizontal="center"/>
    </xf>
    <xf numFmtId="2" fontId="69" fillId="8" borderId="6" xfId="3" applyNumberFormat="1" applyFont="1" applyFill="1" applyBorder="1" applyAlignment="1">
      <alignment horizontal="center"/>
    </xf>
    <xf numFmtId="9" fontId="69" fillId="8" borderId="6" xfId="6" applyNumberFormat="1" applyFont="1" applyFill="1" applyBorder="1" applyAlignment="1">
      <alignment horizontal="center"/>
    </xf>
    <xf numFmtId="2" fontId="69" fillId="8" borderId="6" xfId="3" applyNumberFormat="1" applyFont="1" applyFill="1" applyBorder="1" applyAlignment="1">
      <alignment horizontal="right"/>
    </xf>
    <xf numFmtId="1" fontId="69" fillId="8" borderId="18" xfId="5" applyNumberFormat="1" applyFont="1" applyFill="1" applyBorder="1" applyAlignment="1" applyProtection="1">
      <alignment horizontal="center"/>
    </xf>
    <xf numFmtId="0" fontId="65" fillId="0" borderId="0" xfId="0" applyFont="1"/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0" fontId="68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1" fontId="68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Fill="1" applyAlignment="1">
      <alignment horizontal="center" vertical="center"/>
    </xf>
    <xf numFmtId="1" fontId="73" fillId="0" borderId="0" xfId="0" applyNumberFormat="1" applyFont="1" applyFill="1" applyAlignment="1">
      <alignment horizontal="center" vertical="center"/>
    </xf>
    <xf numFmtId="0" fontId="78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11" borderId="1" xfId="5" applyNumberFormat="1" applyFont="1" applyFill="1" applyBorder="1" applyAlignment="1">
      <alignment horizontal="center" vertical="center"/>
    </xf>
    <xf numFmtId="174" fontId="73" fillId="0" borderId="0" xfId="0" applyNumberFormat="1" applyFont="1" applyFill="1" applyAlignment="1">
      <alignment horizontal="center" vertical="center"/>
    </xf>
    <xf numFmtId="171" fontId="68" fillId="0" borderId="0" xfId="0" applyNumberFormat="1" applyFont="1" applyAlignment="1">
      <alignment horizontal="center" vertical="center"/>
    </xf>
    <xf numFmtId="164" fontId="68" fillId="0" borderId="0" xfId="0" applyNumberFormat="1" applyFont="1" applyAlignment="1">
      <alignment horizontal="center" vertical="center"/>
    </xf>
    <xf numFmtId="9" fontId="69" fillId="9" borderId="1" xfId="4" applyNumberFormat="1" applyFont="1" applyFill="1" applyBorder="1" applyAlignment="1">
      <alignment horizontal="center"/>
    </xf>
    <xf numFmtId="164" fontId="50" fillId="11" borderId="1" xfId="5" applyNumberFormat="1" applyFont="1" applyFill="1" applyBorder="1" applyAlignment="1">
      <alignment horizontal="center" vertical="center"/>
    </xf>
    <xf numFmtId="2" fontId="48" fillId="8" borderId="0" xfId="3" applyNumberFormat="1" applyFont="1" applyFill="1" applyBorder="1" applyAlignment="1">
      <alignment horizontal="center"/>
    </xf>
    <xf numFmtId="2" fontId="25" fillId="0" borderId="0" xfId="0" applyNumberFormat="1" applyFont="1" applyBorder="1"/>
    <xf numFmtId="168" fontId="4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3" fillId="11" borderId="1" xfId="0" applyFont="1" applyFill="1" applyBorder="1"/>
    <xf numFmtId="1" fontId="57" fillId="0" borderId="0" xfId="0" applyNumberFormat="1" applyFont="1" applyBorder="1"/>
    <xf numFmtId="1" fontId="43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20" fillId="9" borderId="1" xfId="3" applyNumberFormat="1" applyFont="1" applyFill="1" applyBorder="1" applyAlignment="1">
      <alignment horizontal="center"/>
    </xf>
    <xf numFmtId="0" fontId="43" fillId="2" borderId="1" xfId="4" applyFont="1" applyFill="1" applyBorder="1" applyAlignment="1">
      <alignment horizontal="center" vertical="center"/>
    </xf>
    <xf numFmtId="164" fontId="50" fillId="2" borderId="1" xfId="5" applyNumberFormat="1" applyFont="1" applyFill="1" applyBorder="1" applyAlignment="1">
      <alignment horizontal="center" vertical="center"/>
    </xf>
    <xf numFmtId="1" fontId="59" fillId="2" borderId="1" xfId="5" applyNumberFormat="1" applyFont="1" applyFill="1" applyBorder="1" applyAlignment="1">
      <alignment horizontal="center" vertical="center"/>
    </xf>
    <xf numFmtId="0" fontId="83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83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84" fillId="0" borderId="1" xfId="0" applyNumberFormat="1" applyFont="1" applyFill="1" applyBorder="1" applyAlignment="1">
      <alignment horizontal="center" wrapText="1"/>
    </xf>
    <xf numFmtId="1" fontId="83" fillId="0" borderId="0" xfId="0" applyNumberFormat="1" applyFont="1"/>
    <xf numFmtId="1" fontId="83" fillId="0" borderId="0" xfId="0" applyNumberFormat="1" applyFont="1" applyFill="1"/>
    <xf numFmtId="0" fontId="48" fillId="2" borderId="1" xfId="0" applyFont="1" applyFill="1" applyBorder="1" applyAlignment="1">
      <alignment horizontal="center"/>
    </xf>
    <xf numFmtId="164" fontId="48" fillId="11" borderId="1" xfId="5" applyNumberFormat="1" applyFont="1" applyFill="1" applyBorder="1" applyAlignment="1">
      <alignment horizontal="center" vertical="center"/>
    </xf>
    <xf numFmtId="1" fontId="48" fillId="11" borderId="1" xfId="5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 wrapText="1"/>
    </xf>
    <xf numFmtId="1" fontId="84" fillId="0" borderId="1" xfId="0" applyNumberFormat="1" applyFont="1" applyBorder="1" applyAlignment="1">
      <alignment horizontal="center" wrapText="1"/>
    </xf>
    <xf numFmtId="1" fontId="59" fillId="2" borderId="1" xfId="3" applyNumberFormat="1" applyFont="1" applyFill="1" applyBorder="1" applyAlignment="1">
      <alignment horizontal="center"/>
    </xf>
    <xf numFmtId="1" fontId="59" fillId="2" borderId="12" xfId="5" applyNumberFormat="1" applyFont="1" applyFill="1" applyBorder="1" applyAlignment="1" applyProtection="1">
      <alignment horizontal="center"/>
    </xf>
    <xf numFmtId="169" fontId="50" fillId="8" borderId="1" xfId="5" applyNumberFormat="1" applyFont="1" applyFill="1" applyBorder="1" applyAlignment="1" applyProtection="1">
      <alignment vertical="center"/>
    </xf>
    <xf numFmtId="1" fontId="43" fillId="20" borderId="1" xfId="5" applyNumberFormat="1" applyFont="1" applyFill="1" applyBorder="1" applyAlignment="1">
      <alignment horizontal="center" vertical="center"/>
    </xf>
    <xf numFmtId="0" fontId="43" fillId="11" borderId="1" xfId="4" applyFont="1" applyFill="1" applyBorder="1" applyAlignment="1">
      <alignment horizontal="center" vertical="center"/>
    </xf>
    <xf numFmtId="0" fontId="43" fillId="10" borderId="1" xfId="4" applyFont="1" applyFill="1" applyBorder="1" applyAlignment="1">
      <alignment horizontal="center"/>
    </xf>
    <xf numFmtId="1" fontId="43" fillId="10" borderId="1" xfId="5" applyNumberFormat="1" applyFont="1" applyFill="1" applyBorder="1" applyAlignment="1">
      <alignment horizontal="center" vertical="center"/>
    </xf>
    <xf numFmtId="1" fontId="43" fillId="15" borderId="1" xfId="5" applyNumberFormat="1" applyFont="1" applyFill="1" applyBorder="1" applyAlignment="1">
      <alignment horizontal="center" vertical="center"/>
    </xf>
    <xf numFmtId="0" fontId="49" fillId="10" borderId="1" xfId="4" applyFont="1" applyFill="1" applyBorder="1" applyAlignment="1">
      <alignment horizontal="center"/>
    </xf>
    <xf numFmtId="0" fontId="49" fillId="20" borderId="1" xfId="4" applyFont="1" applyFill="1" applyBorder="1" applyAlignment="1">
      <alignment horizontal="center"/>
    </xf>
    <xf numFmtId="0" fontId="43" fillId="20" borderId="1" xfId="4" applyFont="1" applyFill="1" applyBorder="1" applyAlignment="1">
      <alignment horizontal="center"/>
    </xf>
    <xf numFmtId="0" fontId="43" fillId="15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left" vertical="justify"/>
    </xf>
    <xf numFmtId="0" fontId="43" fillId="11" borderId="1" xfId="3" applyNumberFormat="1" applyFont="1" applyFill="1" applyBorder="1" applyAlignment="1">
      <alignment horizontal="center"/>
    </xf>
    <xf numFmtId="1" fontId="66" fillId="2" borderId="1" xfId="0" applyNumberFormat="1" applyFont="1" applyFill="1" applyBorder="1" applyAlignment="1">
      <alignment horizontal="center" wrapText="1"/>
    </xf>
    <xf numFmtId="1" fontId="66" fillId="11" borderId="1" xfId="0" applyNumberFormat="1" applyFont="1" applyFill="1" applyBorder="1" applyAlignment="1">
      <alignment horizontal="center" wrapText="1"/>
    </xf>
    <xf numFmtId="0" fontId="33" fillId="0" borderId="1" xfId="0" applyFont="1" applyFill="1" applyBorder="1" applyAlignment="1">
      <alignment vertical="center" wrapText="1"/>
    </xf>
    <xf numFmtId="0" fontId="33" fillId="0" borderId="1" xfId="0" applyFont="1" applyFill="1" applyBorder="1"/>
    <xf numFmtId="0" fontId="37" fillId="0" borderId="16" xfId="3" applyFont="1" applyFill="1" applyBorder="1" applyAlignment="1">
      <alignment horizontal="left"/>
    </xf>
    <xf numFmtId="0" fontId="37" fillId="0" borderId="1" xfId="3" applyFont="1" applyFill="1" applyBorder="1" applyAlignment="1">
      <alignment horizontal="left"/>
    </xf>
    <xf numFmtId="2" fontId="43" fillId="0" borderId="1" xfId="3" applyNumberFormat="1" applyFont="1" applyFill="1" applyBorder="1" applyAlignment="1">
      <alignment horizontal="right"/>
    </xf>
    <xf numFmtId="1" fontId="85" fillId="0" borderId="0" xfId="0" applyNumberFormat="1" applyFont="1"/>
    <xf numFmtId="1" fontId="86" fillId="0" borderId="0" xfId="0" applyNumberFormat="1" applyFont="1"/>
    <xf numFmtId="49" fontId="74" fillId="0" borderId="0" xfId="0" applyNumberFormat="1" applyFont="1"/>
    <xf numFmtId="1" fontId="87" fillId="0" borderId="1" xfId="0" applyNumberFormat="1" applyFont="1" applyFill="1" applyBorder="1" applyAlignment="1">
      <alignment horizontal="center" wrapText="1"/>
    </xf>
    <xf numFmtId="170" fontId="73" fillId="9" borderId="1" xfId="3" applyNumberFormat="1" applyFont="1" applyFill="1" applyBorder="1" applyAlignment="1">
      <alignment horizontal="center"/>
    </xf>
    <xf numFmtId="1" fontId="17" fillId="13" borderId="1" xfId="0" applyNumberFormat="1" applyFont="1" applyFill="1" applyBorder="1" applyAlignment="1">
      <alignment horizontal="center" wrapText="1"/>
    </xf>
    <xf numFmtId="0" fontId="83" fillId="13" borderId="0" xfId="0" applyFont="1" applyFill="1"/>
    <xf numFmtId="1" fontId="83" fillId="13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83" fillId="0" borderId="0" xfId="0" applyFont="1" applyBorder="1"/>
    <xf numFmtId="0" fontId="89" fillId="0" borderId="1" xfId="0" applyFont="1" applyBorder="1"/>
    <xf numFmtId="0" fontId="83" fillId="0" borderId="1" xfId="0" applyFont="1" applyBorder="1"/>
    <xf numFmtId="0" fontId="83" fillId="20" borderId="1" xfId="0" applyFont="1" applyFill="1" applyBorder="1"/>
    <xf numFmtId="0" fontId="88" fillId="0" borderId="1" xfId="0" applyFont="1" applyBorder="1"/>
    <xf numFmtId="1" fontId="90" fillId="19" borderId="1" xfId="3" applyNumberFormat="1" applyFont="1" applyFill="1" applyBorder="1" applyAlignment="1">
      <alignment horizontal="center"/>
    </xf>
    <xf numFmtId="0" fontId="90" fillId="19" borderId="1" xfId="3" applyNumberFormat="1" applyFont="1" applyFill="1" applyBorder="1" applyAlignment="1">
      <alignment horizontal="center"/>
    </xf>
    <xf numFmtId="1" fontId="90" fillId="19" borderId="12" xfId="5" applyNumberFormat="1" applyFont="1" applyFill="1" applyBorder="1" applyAlignment="1" applyProtection="1">
      <alignment horizontal="center"/>
    </xf>
    <xf numFmtId="2" fontId="90" fillId="19" borderId="1" xfId="3" applyNumberFormat="1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2" fontId="90" fillId="2" borderId="1" xfId="3" applyNumberFormat="1" applyFont="1" applyFill="1" applyBorder="1" applyAlignment="1">
      <alignment horizontal="center"/>
    </xf>
    <xf numFmtId="1" fontId="90" fillId="8" borderId="12" xfId="5" applyNumberFormat="1" applyFont="1" applyFill="1" applyBorder="1" applyAlignment="1" applyProtection="1">
      <alignment horizontal="center"/>
    </xf>
    <xf numFmtId="0" fontId="90" fillId="13" borderId="1" xfId="3" applyFont="1" applyFill="1" applyBorder="1" applyAlignment="1">
      <alignment horizontal="center"/>
    </xf>
    <xf numFmtId="0" fontId="90" fillId="13" borderId="12" xfId="3" applyFont="1" applyFill="1" applyBorder="1" applyAlignment="1">
      <alignment horizontal="center"/>
    </xf>
    <xf numFmtId="0" fontId="90" fillId="2" borderId="1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1" fontId="90" fillId="13" borderId="1" xfId="3" applyNumberFormat="1" applyFont="1" applyFill="1" applyBorder="1" applyAlignment="1">
      <alignment horizontal="center"/>
    </xf>
    <xf numFmtId="0" fontId="90" fillId="19" borderId="1" xfId="3" applyFont="1" applyFill="1" applyBorder="1" applyAlignment="1">
      <alignment horizontal="center"/>
    </xf>
    <xf numFmtId="1" fontId="90" fillId="19" borderId="1" xfId="4" applyNumberFormat="1" applyFont="1" applyFill="1" applyBorder="1" applyAlignment="1">
      <alignment horizontal="center"/>
    </xf>
    <xf numFmtId="0" fontId="91" fillId="0" borderId="0" xfId="2" applyFont="1" applyAlignment="1" applyProtection="1"/>
    <xf numFmtId="2" fontId="91" fillId="0" borderId="0" xfId="2" applyNumberFormat="1" applyFont="1" applyAlignment="1" applyProtection="1"/>
    <xf numFmtId="0" fontId="37" fillId="0" borderId="16" xfId="3" applyFont="1" applyFill="1" applyBorder="1" applyAlignment="1">
      <alignment horizontal="left" vertical="center"/>
    </xf>
    <xf numFmtId="0" fontId="36" fillId="0" borderId="1" xfId="3" applyFont="1" applyFill="1" applyBorder="1" applyAlignment="1">
      <alignment horizontal="left" vertical="justify"/>
    </xf>
    <xf numFmtId="1" fontId="26" fillId="0" borderId="0" xfId="5" applyNumberFormat="1" applyFont="1" applyFill="1" applyBorder="1" applyAlignment="1" applyProtection="1">
      <alignment horizontal="center"/>
    </xf>
    <xf numFmtId="0" fontId="25" fillId="0" borderId="0" xfId="0" applyFont="1" applyFill="1" applyBorder="1"/>
    <xf numFmtId="0" fontId="36" fillId="0" borderId="1" xfId="3" applyFont="1" applyFill="1" applyBorder="1" applyAlignment="1">
      <alignment horizontal="left" vertical="center"/>
    </xf>
    <xf numFmtId="1" fontId="43" fillId="0" borderId="1" xfId="3" applyNumberFormat="1" applyFont="1" applyFill="1" applyBorder="1" applyAlignment="1">
      <alignment horizontal="center" vertical="center"/>
    </xf>
    <xf numFmtId="2" fontId="37" fillId="0" borderId="16" xfId="3" applyNumberFormat="1" applyFont="1" applyFill="1" applyBorder="1" applyAlignment="1">
      <alignment horizontal="left" vertical="center"/>
    </xf>
    <xf numFmtId="2" fontId="36" fillId="0" borderId="1" xfId="3" applyNumberFormat="1" applyFont="1" applyFill="1" applyBorder="1" applyAlignment="1">
      <alignment horizontal="left" vertical="center"/>
    </xf>
    <xf numFmtId="0" fontId="26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3" fillId="15" borderId="5" xfId="0" applyFont="1" applyFill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69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92" fillId="0" borderId="29" xfId="17" applyFont="1" applyBorder="1" applyAlignment="1">
      <alignment horizontal="center"/>
    </xf>
    <xf numFmtId="0" fontId="93" fillId="0" borderId="29" xfId="17" applyFont="1" applyBorder="1" applyAlignment="1">
      <alignment horizontal="center"/>
    </xf>
    <xf numFmtId="1" fontId="93" fillId="0" borderId="29" xfId="17" applyNumberFormat="1" applyFont="1" applyBorder="1" applyAlignment="1">
      <alignment horizontal="center"/>
    </xf>
    <xf numFmtId="1" fontId="92" fillId="0" borderId="29" xfId="17" applyNumberFormat="1" applyFont="1" applyBorder="1" applyAlignment="1">
      <alignment horizontal="center" wrapText="1"/>
    </xf>
    <xf numFmtId="0" fontId="92" fillId="0" borderId="29" xfId="17" applyFont="1" applyBorder="1" applyAlignment="1">
      <alignment horizontal="center" wrapText="1"/>
    </xf>
    <xf numFmtId="0" fontId="92" fillId="0" borderId="0" xfId="17" applyFont="1" applyAlignment="1">
      <alignment wrapText="1"/>
    </xf>
    <xf numFmtId="0" fontId="92" fillId="0" borderId="0" xfId="17" applyFont="1"/>
    <xf numFmtId="0" fontId="17" fillId="0" borderId="0" xfId="17" applyFont="1" applyAlignment="1">
      <alignment horizontal="center"/>
    </xf>
    <xf numFmtId="0" fontId="66" fillId="0" borderId="0" xfId="17" applyFont="1" applyAlignment="1">
      <alignment horizontal="center"/>
    </xf>
    <xf numFmtId="1" fontId="66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96" fillId="19" borderId="1" xfId="3" applyFont="1" applyFill="1" applyBorder="1" applyAlignment="1">
      <alignment horizontal="center"/>
    </xf>
    <xf numFmtId="0" fontId="96" fillId="19" borderId="1" xfId="4" applyFont="1" applyFill="1" applyBorder="1" applyAlignment="1">
      <alignment horizontal="center"/>
    </xf>
    <xf numFmtId="1" fontId="28" fillId="2" borderId="0" xfId="5" applyNumberFormat="1" applyFont="1" applyFill="1" applyBorder="1" applyAlignment="1" applyProtection="1">
      <alignment horizontal="center"/>
    </xf>
    <xf numFmtId="0" fontId="97" fillId="0" borderId="0" xfId="0" applyFont="1" applyBorder="1"/>
    <xf numFmtId="0" fontId="97" fillId="0" borderId="0" xfId="0" applyFont="1"/>
    <xf numFmtId="1" fontId="97" fillId="0" borderId="0" xfId="0" applyNumberFormat="1" applyFont="1"/>
    <xf numFmtId="0" fontId="94" fillId="19" borderId="16" xfId="3" applyFont="1" applyFill="1" applyBorder="1" applyAlignment="1">
      <alignment horizontal="left" vertical="center"/>
    </xf>
    <xf numFmtId="0" fontId="95" fillId="19" borderId="1" xfId="3" applyFont="1" applyFill="1" applyBorder="1" applyAlignment="1">
      <alignment horizontal="left" vertical="center"/>
    </xf>
    <xf numFmtId="1" fontId="98" fillId="19" borderId="1" xfId="3" applyNumberFormat="1" applyFont="1" applyFill="1" applyBorder="1" applyAlignment="1">
      <alignment horizontal="center"/>
    </xf>
    <xf numFmtId="0" fontId="98" fillId="19" borderId="1" xfId="3" applyNumberFormat="1" applyFont="1" applyFill="1" applyBorder="1" applyAlignment="1">
      <alignment horizontal="center"/>
    </xf>
    <xf numFmtId="1" fontId="98" fillId="19" borderId="12" xfId="5" applyNumberFormat="1" applyFont="1" applyFill="1" applyBorder="1" applyAlignment="1" applyProtection="1">
      <alignment horizontal="center"/>
    </xf>
    <xf numFmtId="1" fontId="98" fillId="19" borderId="1" xfId="5" applyNumberFormat="1" applyFont="1" applyFill="1" applyBorder="1" applyAlignment="1">
      <alignment horizontal="center" vertical="center"/>
    </xf>
    <xf numFmtId="2" fontId="98" fillId="19" borderId="1" xfId="3" applyNumberFormat="1" applyFont="1" applyFill="1" applyBorder="1" applyAlignment="1">
      <alignment horizontal="center"/>
    </xf>
    <xf numFmtId="0" fontId="42" fillId="19" borderId="16" xfId="3" applyFont="1" applyFill="1" applyBorder="1" applyAlignment="1">
      <alignment horizontal="left"/>
    </xf>
    <xf numFmtId="0" fontId="44" fillId="19" borderId="1" xfId="3" applyFont="1" applyFill="1" applyBorder="1" applyAlignment="1">
      <alignment horizontal="left"/>
    </xf>
    <xf numFmtId="0" fontId="48" fillId="19" borderId="1" xfId="3" applyFont="1" applyFill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37" fillId="0" borderId="1" xfId="4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2" fontId="26" fillId="11" borderId="0" xfId="5" applyNumberFormat="1" applyFont="1" applyFill="1" applyBorder="1" applyAlignment="1" applyProtection="1">
      <alignment horizontal="center"/>
    </xf>
    <xf numFmtId="0" fontId="25" fillId="11" borderId="0" xfId="0" applyFont="1" applyFill="1" applyBorder="1"/>
    <xf numFmtId="0" fontId="37" fillId="13" borderId="12" xfId="3" applyFont="1" applyFill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1" fontId="43" fillId="11" borderId="1" xfId="3" applyNumberFormat="1" applyFont="1" applyFill="1" applyBorder="1" applyAlignment="1">
      <alignment horizontal="center" vertical="center"/>
    </xf>
    <xf numFmtId="0" fontId="75" fillId="11" borderId="1" xfId="4" applyFont="1" applyFill="1" applyBorder="1" applyAlignment="1">
      <alignment horizontal="center" wrapText="1"/>
    </xf>
    <xf numFmtId="1" fontId="43" fillId="2" borderId="1" xfId="4" applyNumberFormat="1" applyFont="1" applyFill="1" applyBorder="1" applyAlignment="1">
      <alignment horizontal="center" vertical="center"/>
    </xf>
    <xf numFmtId="1" fontId="92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99" fillId="0" borderId="1" xfId="0" applyNumberFormat="1" applyFont="1" applyBorder="1" applyAlignment="1">
      <alignment horizontal="center"/>
    </xf>
    <xf numFmtId="0" fontId="37" fillId="2" borderId="1" xfId="3" applyFont="1" applyFill="1" applyBorder="1" applyAlignment="1">
      <alignment horizontal="left"/>
    </xf>
    <xf numFmtId="2" fontId="43" fillId="2" borderId="1" xfId="3" applyNumberFormat="1" applyFont="1" applyFill="1" applyBorder="1" applyAlignment="1">
      <alignment horizontal="right"/>
    </xf>
    <xf numFmtId="0" fontId="90" fillId="0" borderId="1" xfId="4" applyFont="1" applyBorder="1" applyAlignment="1">
      <alignment horizontal="center" vertical="center"/>
    </xf>
    <xf numFmtId="2" fontId="90" fillId="8" borderId="1" xfId="3" applyNumberFormat="1" applyFont="1" applyFill="1" applyBorder="1" applyAlignment="1">
      <alignment horizontal="center" vertical="center"/>
    </xf>
    <xf numFmtId="0" fontId="90" fillId="8" borderId="1" xfId="3" applyFont="1" applyFill="1" applyBorder="1" applyAlignment="1">
      <alignment horizontal="center" vertical="center"/>
    </xf>
    <xf numFmtId="0" fontId="90" fillId="13" borderId="1" xfId="3" applyFont="1" applyFill="1" applyBorder="1" applyAlignment="1">
      <alignment horizontal="center" vertical="center"/>
    </xf>
    <xf numFmtId="0" fontId="90" fillId="0" borderId="1" xfId="4" applyFont="1" applyFill="1" applyBorder="1" applyAlignment="1">
      <alignment horizontal="center" vertical="center"/>
    </xf>
    <xf numFmtId="0" fontId="90" fillId="13" borderId="1" xfId="3" applyFont="1" applyFill="1" applyBorder="1" applyAlignment="1">
      <alignment vertical="center"/>
    </xf>
    <xf numFmtId="1" fontId="90" fillId="2" borderId="1" xfId="3" applyNumberFormat="1" applyFont="1" applyFill="1" applyBorder="1" applyAlignment="1">
      <alignment horizontal="center" vertical="center"/>
    </xf>
    <xf numFmtId="0" fontId="90" fillId="0" borderId="1" xfId="4" applyFont="1" applyBorder="1" applyAlignment="1">
      <alignment horizontal="center"/>
    </xf>
    <xf numFmtId="0" fontId="90" fillId="0" borderId="1" xfId="4" applyFont="1" applyFill="1" applyBorder="1" applyAlignment="1">
      <alignment horizontal="center"/>
    </xf>
    <xf numFmtId="0" fontId="90" fillId="2" borderId="1" xfId="4" applyFont="1" applyFill="1" applyBorder="1" applyAlignment="1"/>
    <xf numFmtId="2" fontId="90" fillId="8" borderId="1" xfId="3" applyNumberFormat="1" applyFont="1" applyFill="1" applyBorder="1" applyAlignment="1">
      <alignment horizontal="center"/>
    </xf>
    <xf numFmtId="2" fontId="90" fillId="8" borderId="7" xfId="3" applyNumberFormat="1" applyFont="1" applyFill="1" applyBorder="1" applyAlignment="1">
      <alignment horizontal="center"/>
    </xf>
    <xf numFmtId="0" fontId="90" fillId="21" borderId="1" xfId="4" applyFont="1" applyFill="1" applyBorder="1" applyAlignment="1">
      <alignment horizontal="center" vertical="center"/>
    </xf>
    <xf numFmtId="0" fontId="90" fillId="2" borderId="1" xfId="4" applyFont="1" applyFill="1" applyBorder="1" applyAlignment="1">
      <alignment horizontal="center"/>
    </xf>
    <xf numFmtId="1" fontId="90" fillId="2" borderId="1" xfId="5" applyNumberFormat="1" applyFont="1" applyFill="1" applyBorder="1" applyAlignment="1">
      <alignment horizontal="center" vertical="center"/>
    </xf>
    <xf numFmtId="1" fontId="90" fillId="2" borderId="1" xfId="3" applyNumberFormat="1" applyFont="1" applyFill="1" applyBorder="1" applyAlignment="1">
      <alignment horizontal="center"/>
    </xf>
    <xf numFmtId="1" fontId="90" fillId="2" borderId="12" xfId="5" applyNumberFormat="1" applyFont="1" applyFill="1" applyBorder="1" applyAlignment="1" applyProtection="1">
      <alignment horizontal="center"/>
    </xf>
    <xf numFmtId="0" fontId="90" fillId="2" borderId="1" xfId="3" applyFont="1" applyFill="1" applyBorder="1" applyAlignment="1">
      <alignment horizontal="center"/>
    </xf>
    <xf numFmtId="164" fontId="90" fillId="2" borderId="1" xfId="5" applyNumberFormat="1" applyFont="1" applyFill="1" applyBorder="1" applyAlignment="1">
      <alignment horizontal="center" vertical="center"/>
    </xf>
    <xf numFmtId="0" fontId="90" fillId="2" borderId="1" xfId="4" applyFont="1" applyFill="1" applyBorder="1" applyAlignment="1">
      <alignment horizontal="center" wrapText="1"/>
    </xf>
    <xf numFmtId="0" fontId="90" fillId="0" borderId="1" xfId="4" applyFont="1" applyFill="1" applyBorder="1" applyAlignment="1">
      <alignment horizontal="center" wrapText="1"/>
    </xf>
    <xf numFmtId="0" fontId="90" fillId="0" borderId="1" xfId="4" applyFont="1" applyBorder="1" applyAlignment="1">
      <alignment horizontal="center" wrapText="1"/>
    </xf>
    <xf numFmtId="0" fontId="90" fillId="0" borderId="1" xfId="3" applyFont="1" applyFill="1" applyBorder="1" applyAlignment="1">
      <alignment horizontal="center"/>
    </xf>
    <xf numFmtId="0" fontId="90" fillId="10" borderId="19" xfId="4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/>
    </xf>
    <xf numFmtId="0" fontId="90" fillId="0" borderId="1" xfId="0" applyFont="1" applyFill="1" applyBorder="1" applyAlignment="1">
      <alignment horizontal="center"/>
    </xf>
    <xf numFmtId="1" fontId="90" fillId="0" borderId="1" xfId="0" applyNumberFormat="1" applyFont="1" applyFill="1" applyBorder="1" applyAlignment="1">
      <alignment horizontal="center"/>
    </xf>
    <xf numFmtId="0" fontId="90" fillId="0" borderId="0" xfId="0" applyFont="1" applyBorder="1"/>
    <xf numFmtId="0" fontId="90" fillId="11" borderId="1" xfId="4" applyFont="1" applyFill="1" applyBorder="1" applyAlignment="1">
      <alignment horizontal="center"/>
    </xf>
    <xf numFmtId="2" fontId="90" fillId="8" borderId="6" xfId="3" applyNumberFormat="1" applyFont="1" applyFill="1" applyBorder="1" applyAlignment="1">
      <alignment horizontal="center"/>
    </xf>
    <xf numFmtId="0" fontId="90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5" fillId="11" borderId="1" xfId="4" applyFont="1" applyFill="1" applyBorder="1" applyAlignment="1">
      <alignment horizontal="center"/>
    </xf>
    <xf numFmtId="0" fontId="69" fillId="11" borderId="1" xfId="3" applyFont="1" applyFill="1" applyBorder="1" applyAlignment="1">
      <alignment horizontal="center" vertical="center"/>
    </xf>
    <xf numFmtId="0" fontId="74" fillId="11" borderId="1" xfId="0" applyFont="1" applyFill="1" applyBorder="1" applyAlignment="1">
      <alignment horizontal="center"/>
    </xf>
    <xf numFmtId="0" fontId="92" fillId="0" borderId="5" xfId="18" applyFont="1" applyBorder="1"/>
    <xf numFmtId="0" fontId="93" fillId="0" borderId="5" xfId="18" applyFont="1" applyBorder="1" applyAlignment="1">
      <alignment horizontal="center"/>
    </xf>
    <xf numFmtId="0" fontId="92" fillId="0" borderId="0" xfId="18" applyFont="1"/>
    <xf numFmtId="0" fontId="17" fillId="0" borderId="0" xfId="19" applyFont="1" applyAlignment="1">
      <alignment horizontal="center"/>
    </xf>
    <xf numFmtId="0" fontId="63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74" fillId="11" borderId="1" xfId="3" applyFont="1" applyFill="1" applyBorder="1" applyAlignment="1">
      <alignment horizontal="center"/>
    </xf>
    <xf numFmtId="1" fontId="59" fillId="22" borderId="12" xfId="5" applyNumberFormat="1" applyFont="1" applyFill="1" applyBorder="1" applyAlignment="1" applyProtection="1">
      <alignment horizontal="center"/>
    </xf>
    <xf numFmtId="0" fontId="83" fillId="17" borderId="5" xfId="0" applyFont="1" applyFill="1" applyBorder="1" applyAlignment="1">
      <alignment horizontal="center"/>
    </xf>
    <xf numFmtId="0" fontId="4" fillId="0" borderId="21" xfId="1" applyFont="1" applyFill="1" applyBorder="1" applyAlignment="1">
      <alignment horizontal="center" vertical="center" wrapText="1"/>
    </xf>
    <xf numFmtId="0" fontId="4" fillId="0" borderId="30" xfId="1" applyFont="1" applyFill="1" applyBorder="1" applyAlignment="1">
      <alignment horizontal="center" vertical="center" wrapText="1"/>
    </xf>
    <xf numFmtId="0" fontId="83" fillId="17" borderId="0" xfId="0" applyFont="1" applyFill="1" applyBorder="1" applyAlignment="1">
      <alignment horizontal="center"/>
    </xf>
    <xf numFmtId="0" fontId="106" fillId="0" borderId="16" xfId="1" applyFont="1" applyFill="1" applyBorder="1" applyAlignment="1">
      <alignment vertical="top" wrapText="1"/>
    </xf>
    <xf numFmtId="0" fontId="106" fillId="0" borderId="1" xfId="1" applyFont="1" applyFill="1" applyBorder="1" applyAlignment="1">
      <alignment horizontal="center" vertical="top" wrapText="1"/>
    </xf>
    <xf numFmtId="0" fontId="106" fillId="0" borderId="12" xfId="1" applyFont="1" applyFill="1" applyBorder="1" applyAlignment="1">
      <alignment horizontal="center" vertical="top" wrapText="1"/>
    </xf>
    <xf numFmtId="1" fontId="100" fillId="0" borderId="5" xfId="18" applyNumberFormat="1" applyFont="1" applyFill="1" applyBorder="1" applyAlignment="1">
      <alignment horizontal="center" wrapText="1"/>
    </xf>
    <xf numFmtId="1" fontId="101" fillId="0" borderId="5" xfId="18" applyNumberFormat="1" applyFont="1" applyFill="1" applyBorder="1" applyAlignment="1">
      <alignment horizontal="center" wrapText="1"/>
    </xf>
    <xf numFmtId="1" fontId="102" fillId="0" borderId="5" xfId="18" applyNumberFormat="1" applyFont="1" applyFill="1" applyBorder="1" applyAlignment="1">
      <alignment horizontal="center" wrapText="1"/>
    </xf>
    <xf numFmtId="1" fontId="103" fillId="0" borderId="0" xfId="18" applyNumberFormat="1" applyFont="1" applyFill="1" applyAlignment="1">
      <alignment horizontal="center"/>
    </xf>
    <xf numFmtId="1" fontId="104" fillId="0" borderId="0" xfId="18" applyNumberFormat="1" applyFont="1" applyFill="1" applyAlignment="1">
      <alignment horizontal="center"/>
    </xf>
    <xf numFmtId="1" fontId="105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0" fontId="43" fillId="11" borderId="1" xfId="4" applyFont="1" applyFill="1" applyBorder="1" applyAlignment="1">
      <alignment horizontal="center" wrapText="1"/>
    </xf>
    <xf numFmtId="0" fontId="43" fillId="11" borderId="1" xfId="3" applyFont="1" applyFill="1" applyBorder="1" applyAlignment="1">
      <alignment horizontal="center" vertical="center"/>
    </xf>
    <xf numFmtId="0" fontId="26" fillId="11" borderId="0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2" fontId="26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175" fontId="37" fillId="9" borderId="1" xfId="3" applyNumberFormat="1" applyFont="1" applyFill="1" applyBorder="1" applyAlignment="1">
      <alignment horizontal="center" vertical="center"/>
    </xf>
    <xf numFmtId="175" fontId="37" fillId="9" borderId="1" xfId="3" applyNumberFormat="1" applyFont="1" applyFill="1" applyBorder="1" applyAlignment="1">
      <alignment horizontal="center"/>
    </xf>
    <xf numFmtId="175" fontId="43" fillId="8" borderId="1" xfId="3" applyNumberFormat="1" applyFont="1" applyFill="1" applyBorder="1" applyAlignment="1">
      <alignment horizontal="center" wrapText="1" shrinkToFit="1"/>
    </xf>
    <xf numFmtId="175" fontId="43" fillId="13" borderId="1" xfId="3" applyNumberFormat="1" applyFont="1" applyFill="1" applyBorder="1" applyAlignment="1">
      <alignment horizontal="center" vertical="center"/>
    </xf>
    <xf numFmtId="175" fontId="43" fillId="2" borderId="1" xfId="5" applyNumberFormat="1" applyFont="1" applyFill="1" applyBorder="1" applyAlignment="1">
      <alignment horizontal="center" vertical="center"/>
    </xf>
    <xf numFmtId="175" fontId="43" fillId="2" borderId="6" xfId="5" applyNumberFormat="1" applyFont="1" applyFill="1" applyBorder="1" applyAlignment="1">
      <alignment horizontal="center" vertical="center"/>
    </xf>
    <xf numFmtId="175" fontId="43" fillId="8" borderId="1" xfId="5" applyNumberFormat="1" applyFont="1" applyFill="1" applyBorder="1" applyAlignment="1">
      <alignment horizontal="center" vertical="center"/>
    </xf>
    <xf numFmtId="175" fontId="48" fillId="13" borderId="1" xfId="3" applyNumberFormat="1" applyFont="1" applyFill="1" applyBorder="1" applyAlignment="1">
      <alignment horizontal="center"/>
    </xf>
    <xf numFmtId="175" fontId="51" fillId="11" borderId="1" xfId="5" applyNumberFormat="1" applyFont="1" applyFill="1" applyBorder="1" applyAlignment="1">
      <alignment horizontal="center" vertical="center"/>
    </xf>
    <xf numFmtId="175" fontId="50" fillId="8" borderId="1" xfId="5" applyNumberFormat="1" applyFont="1" applyFill="1" applyBorder="1" applyAlignment="1">
      <alignment horizontal="center" vertical="center"/>
    </xf>
    <xf numFmtId="175" fontId="48" fillId="13" borderId="1" xfId="3" applyNumberFormat="1" applyFont="1" applyFill="1" applyBorder="1" applyAlignment="1">
      <alignment horizontal="center" vertical="center"/>
    </xf>
    <xf numFmtId="175" fontId="48" fillId="8" borderId="1" xfId="3" applyNumberFormat="1" applyFont="1" applyFill="1" applyBorder="1" applyAlignment="1">
      <alignment horizontal="center"/>
    </xf>
    <xf numFmtId="175" fontId="48" fillId="8" borderId="1" xfId="5" applyNumberFormat="1" applyFont="1" applyFill="1" applyBorder="1" applyAlignment="1" applyProtection="1">
      <alignment horizontal="center" vertical="center"/>
    </xf>
    <xf numFmtId="175" fontId="50" fillId="8" borderId="1" xfId="5" applyNumberFormat="1" applyFont="1" applyFill="1" applyBorder="1" applyAlignment="1" applyProtection="1">
      <alignment horizontal="center" vertical="center"/>
    </xf>
    <xf numFmtId="175" fontId="43" fillId="13" borderId="1" xfId="3" applyNumberFormat="1" applyFont="1" applyFill="1" applyBorder="1" applyAlignment="1">
      <alignment horizontal="center"/>
    </xf>
    <xf numFmtId="175" fontId="43" fillId="13" borderId="1" xfId="3" applyNumberFormat="1" applyFont="1" applyFill="1" applyBorder="1" applyAlignment="1"/>
    <xf numFmtId="175" fontId="43" fillId="2" borderId="1" xfId="4" applyNumberFormat="1" applyFont="1" applyFill="1" applyBorder="1" applyAlignment="1"/>
    <xf numFmtId="175" fontId="43" fillId="8" borderId="1" xfId="3" applyNumberFormat="1" applyFont="1" applyFill="1" applyBorder="1" applyAlignment="1">
      <alignment horizontal="center"/>
    </xf>
    <xf numFmtId="175" fontId="43" fillId="0" borderId="1" xfId="3" applyNumberFormat="1" applyFont="1" applyFill="1" applyBorder="1" applyAlignment="1">
      <alignment horizontal="center"/>
    </xf>
    <xf numFmtId="175" fontId="48" fillId="2" borderId="1" xfId="3" applyNumberFormat="1" applyFont="1" applyFill="1" applyBorder="1" applyAlignment="1">
      <alignment horizontal="center"/>
    </xf>
    <xf numFmtId="175" fontId="43" fillId="10" borderId="19" xfId="5" applyNumberFormat="1" applyFont="1" applyFill="1" applyBorder="1" applyAlignment="1">
      <alignment horizontal="center" vertical="center"/>
    </xf>
    <xf numFmtId="175" fontId="48" fillId="0" borderId="1" xfId="0" applyNumberFormat="1" applyFont="1" applyBorder="1" applyAlignment="1">
      <alignment horizontal="center"/>
    </xf>
    <xf numFmtId="175" fontId="48" fillId="0" borderId="1" xfId="0" applyNumberFormat="1" applyFont="1" applyFill="1" applyBorder="1" applyAlignment="1">
      <alignment horizontal="center"/>
    </xf>
    <xf numFmtId="175" fontId="48" fillId="0" borderId="0" xfId="0" applyNumberFormat="1" applyFont="1" applyBorder="1"/>
    <xf numFmtId="175" fontId="43" fillId="13" borderId="1" xfId="5" applyNumberFormat="1" applyFont="1" applyFill="1" applyBorder="1" applyAlignment="1">
      <alignment horizontal="center"/>
    </xf>
    <xf numFmtId="175" fontId="43" fillId="0" borderId="1" xfId="5" applyNumberFormat="1" applyFont="1" applyFill="1" applyBorder="1" applyAlignment="1">
      <alignment horizontal="center" vertical="center"/>
    </xf>
    <xf numFmtId="175" fontId="43" fillId="8" borderId="1" xfId="6" applyNumberFormat="1" applyFont="1" applyFill="1" applyBorder="1" applyAlignment="1">
      <alignment horizontal="center"/>
    </xf>
    <xf numFmtId="175" fontId="43" fillId="8" borderId="6" xfId="6" applyNumberFormat="1" applyFont="1" applyFill="1" applyBorder="1" applyAlignment="1">
      <alignment horizontal="center"/>
    </xf>
    <xf numFmtId="175" fontId="53" fillId="0" borderId="0" xfId="0" applyNumberFormat="1" applyFont="1"/>
    <xf numFmtId="175" fontId="48" fillId="0" borderId="0" xfId="0" applyNumberFormat="1" applyFont="1"/>
    <xf numFmtId="0" fontId="26" fillId="0" borderId="0" xfId="3" applyFont="1" applyFill="1" applyBorder="1" applyAlignment="1">
      <alignment horizontal="center" vertical="center"/>
    </xf>
    <xf numFmtId="0" fontId="37" fillId="0" borderId="1" xfId="4" applyFont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37" fillId="0" borderId="16" xfId="4" applyFont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center"/>
    </xf>
    <xf numFmtId="1" fontId="101" fillId="11" borderId="5" xfId="18" applyNumberFormat="1" applyFont="1" applyFill="1" applyBorder="1" applyAlignment="1">
      <alignment horizontal="center" wrapText="1"/>
    </xf>
    <xf numFmtId="1" fontId="104" fillId="11" borderId="0" xfId="18" applyNumberFormat="1" applyFont="1" applyFill="1" applyAlignment="1">
      <alignment horizontal="center"/>
    </xf>
    <xf numFmtId="0" fontId="2" fillId="11" borderId="0" xfId="18" applyFill="1"/>
    <xf numFmtId="1" fontId="75" fillId="23" borderId="1" xfId="4" applyNumberFormat="1" applyFont="1" applyFill="1" applyBorder="1" applyAlignment="1">
      <alignment horizontal="center"/>
    </xf>
    <xf numFmtId="1" fontId="69" fillId="23" borderId="1" xfId="5" applyNumberFormat="1" applyFont="1" applyFill="1" applyBorder="1" applyAlignment="1">
      <alignment horizontal="center" vertical="center"/>
    </xf>
    <xf numFmtId="1" fontId="68" fillId="0" borderId="1" xfId="0" applyNumberFormat="1" applyFont="1" applyBorder="1"/>
    <xf numFmtId="166" fontId="43" fillId="9" borderId="16" xfId="3" applyNumberFormat="1" applyFont="1" applyFill="1" applyBorder="1" applyAlignment="1">
      <alignment horizontal="left"/>
    </xf>
    <xf numFmtId="0" fontId="84" fillId="0" borderId="4" xfId="0" applyFont="1" applyBorder="1" applyAlignment="1">
      <alignment horizontal="center" vertical="top" wrapText="1"/>
    </xf>
    <xf numFmtId="0" fontId="43" fillId="24" borderId="1" xfId="4" applyFont="1" applyFill="1" applyBorder="1" applyAlignment="1">
      <alignment horizontal="center"/>
    </xf>
    <xf numFmtId="1" fontId="43" fillId="24" borderId="1" xfId="5" applyNumberFormat="1" applyFont="1" applyFill="1" applyBorder="1" applyAlignment="1">
      <alignment horizontal="center" vertical="center"/>
    </xf>
    <xf numFmtId="0" fontId="37" fillId="0" borderId="1" xfId="3" applyFont="1" applyFill="1" applyBorder="1" applyAlignment="1">
      <alignment horizontal="center" vertical="center"/>
    </xf>
    <xf numFmtId="1" fontId="37" fillId="0" borderId="12" xfId="3" applyNumberFormat="1" applyFont="1" applyFill="1" applyBorder="1" applyAlignment="1">
      <alignment horizontal="center" vertical="center"/>
    </xf>
    <xf numFmtId="10" fontId="37" fillId="0" borderId="1" xfId="3" applyNumberFormat="1" applyFont="1" applyFill="1" applyBorder="1" applyAlignment="1">
      <alignment horizontal="center"/>
    </xf>
    <xf numFmtId="1" fontId="37" fillId="0" borderId="1" xfId="3" applyNumberFormat="1" applyFont="1" applyFill="1" applyBorder="1" applyAlignment="1">
      <alignment horizontal="center"/>
    </xf>
    <xf numFmtId="1" fontId="37" fillId="0" borderId="12" xfId="3" applyNumberFormat="1" applyFont="1" applyFill="1" applyBorder="1" applyAlignment="1">
      <alignment horizontal="center"/>
    </xf>
    <xf numFmtId="2" fontId="37" fillId="0" borderId="1" xfId="3" applyNumberFormat="1" applyFont="1" applyFill="1" applyBorder="1" applyAlignment="1">
      <alignment horizontal="center"/>
    </xf>
    <xf numFmtId="9" fontId="37" fillId="0" borderId="1" xfId="3" applyNumberFormat="1" applyFont="1" applyFill="1" applyBorder="1" applyAlignment="1">
      <alignment horizontal="center"/>
    </xf>
    <xf numFmtId="2" fontId="43" fillId="0" borderId="1" xfId="3" applyNumberFormat="1" applyFont="1" applyFill="1" applyBorder="1" applyAlignment="1">
      <alignment horizontal="center" vertical="center"/>
    </xf>
    <xf numFmtId="164" fontId="43" fillId="0" borderId="1" xfId="3" applyNumberFormat="1" applyFont="1" applyFill="1" applyBorder="1" applyAlignment="1">
      <alignment horizontal="center" wrapText="1" shrinkToFit="1"/>
    </xf>
    <xf numFmtId="164" fontId="43" fillId="0" borderId="12" xfId="3" applyNumberFormat="1" applyFont="1" applyFill="1" applyBorder="1" applyAlignment="1">
      <alignment horizontal="center" wrapText="1" shrinkToFit="1"/>
    </xf>
    <xf numFmtId="0" fontId="43" fillId="0" borderId="1" xfId="3" applyFont="1" applyFill="1" applyBorder="1" applyAlignment="1">
      <alignment horizontal="center" vertical="center"/>
    </xf>
    <xf numFmtId="0" fontId="43" fillId="0" borderId="12" xfId="3" applyFont="1" applyFill="1" applyBorder="1" applyAlignment="1">
      <alignment horizontal="center"/>
    </xf>
    <xf numFmtId="2" fontId="48" fillId="0" borderId="1" xfId="3" applyNumberFormat="1" applyFont="1" applyFill="1" applyBorder="1" applyAlignment="1">
      <alignment horizontal="center"/>
    </xf>
    <xf numFmtId="1" fontId="48" fillId="0" borderId="1" xfId="5" applyNumberFormat="1" applyFont="1" applyFill="1" applyBorder="1" applyAlignment="1">
      <alignment horizontal="center" vertical="center"/>
    </xf>
    <xf numFmtId="0" fontId="48" fillId="0" borderId="1" xfId="3" applyNumberFormat="1" applyFont="1" applyFill="1" applyBorder="1" applyAlignment="1">
      <alignment horizontal="center"/>
    </xf>
    <xf numFmtId="1" fontId="48" fillId="0" borderId="12" xfId="5" applyNumberFormat="1" applyFont="1" applyFill="1" applyBorder="1" applyAlignment="1" applyProtection="1">
      <alignment horizontal="center"/>
    </xf>
    <xf numFmtId="1" fontId="48" fillId="0" borderId="7" xfId="3" applyNumberFormat="1" applyFont="1" applyFill="1" applyBorder="1" applyAlignment="1">
      <alignment horizontal="center"/>
    </xf>
    <xf numFmtId="1" fontId="48" fillId="0" borderId="7" xfId="5" applyNumberFormat="1" applyFont="1" applyFill="1" applyBorder="1" applyAlignment="1">
      <alignment horizontal="center" vertical="center"/>
    </xf>
    <xf numFmtId="2" fontId="48" fillId="0" borderId="1" xfId="3" applyNumberFormat="1" applyFont="1" applyFill="1" applyBorder="1" applyAlignment="1">
      <alignment horizontal="right"/>
    </xf>
    <xf numFmtId="1" fontId="59" fillId="0" borderId="1" xfId="5" applyNumberFormat="1" applyFont="1" applyFill="1" applyBorder="1" applyAlignment="1">
      <alignment horizontal="center" vertical="center"/>
    </xf>
    <xf numFmtId="0" fontId="43" fillId="0" borderId="1" xfId="3" applyNumberFormat="1" applyFont="1" applyFill="1" applyBorder="1" applyAlignment="1">
      <alignment horizontal="center"/>
    </xf>
    <xf numFmtId="0" fontId="48" fillId="0" borderId="1" xfId="4" applyFont="1" applyFill="1" applyBorder="1"/>
    <xf numFmtId="164" fontId="48" fillId="0" borderId="1" xfId="5" applyNumberFormat="1" applyFont="1" applyFill="1" applyBorder="1" applyAlignment="1">
      <alignment horizontal="center" vertical="center"/>
    </xf>
    <xf numFmtId="1" fontId="48" fillId="0" borderId="1" xfId="5" applyNumberFormat="1" applyFont="1" applyFill="1" applyBorder="1" applyAlignment="1" applyProtection="1">
      <alignment horizontal="center"/>
    </xf>
    <xf numFmtId="0" fontId="50" fillId="0" borderId="1" xfId="4" applyFont="1" applyFill="1" applyBorder="1" applyAlignment="1">
      <alignment horizontal="center"/>
    </xf>
    <xf numFmtId="0" fontId="48" fillId="0" borderId="1" xfId="3" applyFont="1" applyFill="1" applyBorder="1" applyAlignment="1">
      <alignment horizontal="center" vertical="center"/>
    </xf>
    <xf numFmtId="0" fontId="51" fillId="0" borderId="1" xfId="3" applyFont="1" applyFill="1" applyBorder="1" applyAlignment="1">
      <alignment horizontal="center" vertical="center"/>
    </xf>
    <xf numFmtId="1" fontId="43" fillId="0" borderId="12" xfId="3" applyNumberFormat="1" applyFont="1" applyFill="1" applyBorder="1" applyAlignment="1">
      <alignment horizontal="center" vertical="center"/>
    </xf>
    <xf numFmtId="2" fontId="52" fillId="0" borderId="1" xfId="3" applyNumberFormat="1" applyFont="1" applyFill="1" applyBorder="1" applyAlignment="1">
      <alignment horizontal="center"/>
    </xf>
    <xf numFmtId="164" fontId="48" fillId="0" borderId="1" xfId="3" applyNumberFormat="1" applyFont="1" applyFill="1" applyBorder="1" applyAlignment="1">
      <alignment horizontal="center"/>
    </xf>
    <xf numFmtId="1" fontId="51" fillId="0" borderId="1" xfId="3" applyNumberFormat="1" applyFont="1" applyFill="1" applyBorder="1" applyAlignment="1">
      <alignment horizontal="center"/>
    </xf>
    <xf numFmtId="1" fontId="43" fillId="0" borderId="1" xfId="9" applyNumberFormat="1" applyFont="1" applyFill="1" applyBorder="1" applyAlignment="1">
      <alignment horizontal="center"/>
    </xf>
    <xf numFmtId="2" fontId="43" fillId="0" borderId="1" xfId="9" applyNumberFormat="1" applyFont="1" applyFill="1" applyBorder="1" applyAlignment="1">
      <alignment horizontal="center"/>
    </xf>
    <xf numFmtId="168" fontId="48" fillId="0" borderId="1" xfId="5" applyNumberFormat="1" applyFont="1" applyFill="1" applyBorder="1" applyAlignment="1" applyProtection="1">
      <alignment horizontal="center" vertical="center"/>
    </xf>
    <xf numFmtId="164" fontId="51" fillId="0" borderId="1" xfId="5" applyNumberFormat="1" applyFont="1" applyFill="1" applyBorder="1" applyAlignment="1" applyProtection="1">
      <alignment horizontal="center"/>
    </xf>
    <xf numFmtId="2" fontId="51" fillId="0" borderId="1" xfId="3" applyNumberFormat="1" applyFont="1" applyFill="1" applyBorder="1" applyAlignment="1">
      <alignment horizontal="right"/>
    </xf>
    <xf numFmtId="0" fontId="50" fillId="0" borderId="1" xfId="3" applyFont="1" applyFill="1" applyBorder="1" applyAlignment="1">
      <alignment horizontal="center"/>
    </xf>
    <xf numFmtId="169" fontId="50" fillId="0" borderId="1" xfId="5" applyNumberFormat="1" applyFont="1" applyFill="1" applyBorder="1" applyAlignment="1" applyProtection="1">
      <alignment horizontal="center" vertical="center"/>
    </xf>
    <xf numFmtId="1" fontId="50" fillId="0" borderId="1" xfId="3" applyNumberFormat="1" applyFont="1" applyFill="1" applyBorder="1" applyAlignment="1">
      <alignment horizontal="center" vertical="top"/>
    </xf>
    <xf numFmtId="0" fontId="43" fillId="0" borderId="1" xfId="3" applyFont="1" applyFill="1" applyBorder="1" applyAlignment="1">
      <alignment vertical="center"/>
    </xf>
    <xf numFmtId="0" fontId="43" fillId="0" borderId="1" xfId="3" applyFont="1" applyFill="1" applyBorder="1" applyAlignment="1"/>
    <xf numFmtId="0" fontId="43" fillId="0" borderId="12" xfId="3" applyFont="1" applyFill="1" applyBorder="1" applyAlignment="1"/>
    <xf numFmtId="164" fontId="43" fillId="0" borderId="1" xfId="5" applyNumberFormat="1" applyFont="1" applyFill="1" applyBorder="1" applyAlignment="1" applyProtection="1">
      <alignment horizontal="center" vertical="center"/>
    </xf>
    <xf numFmtId="164" fontId="43" fillId="0" borderId="1" xfId="5" applyNumberFormat="1" applyFont="1" applyFill="1" applyBorder="1" applyAlignment="1" applyProtection="1">
      <alignment horizontal="center" vertical="top"/>
    </xf>
    <xf numFmtId="0" fontId="43" fillId="0" borderId="1" xfId="4" applyFont="1" applyFill="1" applyBorder="1" applyAlignment="1"/>
    <xf numFmtId="0" fontId="43" fillId="0" borderId="12" xfId="4" applyFont="1" applyFill="1" applyBorder="1" applyAlignment="1"/>
    <xf numFmtId="43" fontId="43" fillId="0" borderId="1" xfId="7" applyFont="1" applyFill="1" applyBorder="1" applyAlignment="1">
      <alignment horizontal="right" wrapText="1"/>
    </xf>
    <xf numFmtId="0" fontId="43" fillId="0" borderId="19" xfId="4" applyFont="1" applyFill="1" applyBorder="1" applyAlignment="1">
      <alignment horizontal="center" vertical="center"/>
    </xf>
    <xf numFmtId="1" fontId="43" fillId="0" borderId="19" xfId="5" applyNumberFormat="1" applyFont="1" applyFill="1" applyBorder="1" applyAlignment="1">
      <alignment horizontal="center" vertical="center"/>
    </xf>
    <xf numFmtId="1" fontId="43" fillId="0" borderId="19" xfId="3" applyNumberFormat="1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1" fontId="43" fillId="0" borderId="24" xfId="5" applyNumberFormat="1" applyFont="1" applyFill="1" applyBorder="1" applyAlignment="1" applyProtection="1">
      <alignment horizontal="center" vertical="center"/>
    </xf>
    <xf numFmtId="0" fontId="48" fillId="0" borderId="0" xfId="0" applyFont="1" applyFill="1" applyBorder="1"/>
    <xf numFmtId="0" fontId="43" fillId="0" borderId="0" xfId="0" applyFont="1" applyFill="1" applyBorder="1"/>
    <xf numFmtId="1" fontId="48" fillId="0" borderId="0" xfId="0" applyNumberFormat="1" applyFont="1" applyFill="1" applyBorder="1" applyAlignment="1">
      <alignment horizontal="center"/>
    </xf>
    <xf numFmtId="1" fontId="48" fillId="0" borderId="28" xfId="0" applyNumberFormat="1" applyFont="1" applyFill="1" applyBorder="1"/>
    <xf numFmtId="0" fontId="48" fillId="0" borderId="12" xfId="3" applyFont="1" applyFill="1" applyBorder="1" applyAlignment="1">
      <alignment horizontal="center"/>
    </xf>
    <xf numFmtId="1" fontId="43" fillId="0" borderId="1" xfId="5" applyNumberFormat="1" applyFont="1" applyFill="1" applyBorder="1" applyAlignment="1">
      <alignment horizontal="center"/>
    </xf>
    <xf numFmtId="1" fontId="43" fillId="0" borderId="12" xfId="5" applyNumberFormat="1" applyFont="1" applyFill="1" applyBorder="1" applyAlignment="1">
      <alignment horizontal="center"/>
    </xf>
    <xf numFmtId="9" fontId="43" fillId="0" borderId="1" xfId="6" applyNumberFormat="1" applyFont="1" applyFill="1" applyBorder="1" applyAlignment="1">
      <alignment horizontal="center"/>
    </xf>
    <xf numFmtId="1" fontId="43" fillId="0" borderId="1" xfId="5" applyNumberFormat="1" applyFont="1" applyFill="1" applyBorder="1" applyAlignment="1">
      <alignment horizontal="right"/>
    </xf>
    <xf numFmtId="2" fontId="43" fillId="0" borderId="6" xfId="3" applyNumberFormat="1" applyFont="1" applyFill="1" applyBorder="1" applyAlignment="1">
      <alignment horizontal="center"/>
    </xf>
    <xf numFmtId="9" fontId="43" fillId="0" borderId="6" xfId="6" applyNumberFormat="1" applyFont="1" applyFill="1" applyBorder="1" applyAlignment="1">
      <alignment horizontal="center"/>
    </xf>
    <xf numFmtId="2" fontId="43" fillId="0" borderId="6" xfId="3" applyNumberFormat="1" applyFont="1" applyFill="1" applyBorder="1" applyAlignment="1">
      <alignment horizontal="right"/>
    </xf>
    <xf numFmtId="1" fontId="43" fillId="0" borderId="18" xfId="5" applyNumberFormat="1" applyFont="1" applyFill="1" applyBorder="1" applyAlignment="1" applyProtection="1">
      <alignment horizontal="center"/>
    </xf>
    <xf numFmtId="0" fontId="53" fillId="0" borderId="0" xfId="0" applyFont="1" applyFill="1"/>
    <xf numFmtId="0" fontId="58" fillId="0" borderId="0" xfId="0" applyFont="1" applyFill="1"/>
    <xf numFmtId="1" fontId="53" fillId="0" borderId="0" xfId="0" applyNumberFormat="1" applyFont="1" applyFill="1" applyAlignment="1">
      <alignment horizontal="center"/>
    </xf>
    <xf numFmtId="1" fontId="53" fillId="0" borderId="0" xfId="0" applyNumberFormat="1" applyFont="1" applyFill="1"/>
    <xf numFmtId="0" fontId="48" fillId="0" borderId="0" xfId="0" applyFont="1" applyFill="1"/>
    <xf numFmtId="0" fontId="43" fillId="0" borderId="0" xfId="0" applyFont="1" applyFill="1"/>
    <xf numFmtId="1" fontId="48" fillId="0" borderId="0" xfId="0" applyNumberFormat="1" applyFont="1" applyFill="1" applyAlignment="1">
      <alignment horizontal="center"/>
    </xf>
    <xf numFmtId="1" fontId="48" fillId="0" borderId="0" xfId="0" applyNumberFormat="1" applyFont="1" applyFill="1"/>
    <xf numFmtId="1" fontId="107" fillId="2" borderId="16" xfId="1" applyNumberFormat="1" applyFont="1" applyFill="1" applyBorder="1" applyAlignment="1">
      <alignment vertical="center" wrapText="1"/>
    </xf>
    <xf numFmtId="1" fontId="108" fillId="0" borderId="1" xfId="0" applyNumberFormat="1" applyFont="1" applyBorder="1" applyAlignment="1">
      <alignment horizontal="center" wrapText="1"/>
    </xf>
    <xf numFmtId="0" fontId="69" fillId="11" borderId="1" xfId="4" applyFont="1" applyFill="1" applyBorder="1" applyAlignment="1">
      <alignment horizontal="center" vertical="center"/>
    </xf>
    <xf numFmtId="2" fontId="69" fillId="0" borderId="1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 vertical="center"/>
    </xf>
    <xf numFmtId="0" fontId="17" fillId="0" borderId="19" xfId="0" applyNumberFormat="1" applyFont="1" applyBorder="1" applyAlignment="1">
      <alignment horizontal="center" wrapText="1"/>
    </xf>
    <xf numFmtId="0" fontId="83" fillId="0" borderId="0" xfId="0" applyNumberFormat="1" applyFont="1"/>
    <xf numFmtId="1" fontId="17" fillId="0" borderId="19" xfId="0" applyNumberFormat="1" applyFont="1" applyBorder="1" applyAlignment="1">
      <alignment horizontal="center" wrapText="1"/>
    </xf>
    <xf numFmtId="1" fontId="32" fillId="2" borderId="16" xfId="1" applyNumberFormat="1" applyFont="1" applyFill="1" applyBorder="1" applyAlignment="1">
      <alignment vertical="center" wrapText="1"/>
    </xf>
    <xf numFmtId="1" fontId="43" fillId="19" borderId="1" xfId="3" applyNumberFormat="1" applyFont="1" applyFill="1" applyBorder="1" applyAlignment="1">
      <alignment horizontal="center"/>
    </xf>
    <xf numFmtId="0" fontId="43" fillId="19" borderId="1" xfId="3" applyNumberFormat="1" applyFont="1" applyFill="1" applyBorder="1" applyAlignment="1">
      <alignment horizontal="center"/>
    </xf>
    <xf numFmtId="1" fontId="43" fillId="19" borderId="12" xfId="5" applyNumberFormat="1" applyFont="1" applyFill="1" applyBorder="1" applyAlignment="1" applyProtection="1">
      <alignment horizontal="center"/>
    </xf>
    <xf numFmtId="0" fontId="48" fillId="11" borderId="1" xfId="3" applyFont="1" applyFill="1" applyBorder="1" applyAlignment="1">
      <alignment horizontal="center"/>
    </xf>
    <xf numFmtId="175" fontId="48" fillId="0" borderId="0" xfId="0" applyNumberFormat="1" applyFont="1" applyAlignment="1">
      <alignment horizontal="center"/>
    </xf>
    <xf numFmtId="175" fontId="48" fillId="2" borderId="1" xfId="5" applyNumberFormat="1" applyFont="1" applyFill="1" applyBorder="1" applyAlignment="1">
      <alignment horizontal="center" vertical="center"/>
    </xf>
    <xf numFmtId="175" fontId="48" fillId="0" borderId="1" xfId="5" applyNumberFormat="1" applyFont="1" applyFill="1" applyBorder="1" applyAlignment="1">
      <alignment horizontal="center" vertical="center"/>
    </xf>
    <xf numFmtId="0" fontId="77" fillId="11" borderId="16" xfId="4" applyFont="1" applyFill="1" applyBorder="1"/>
    <xf numFmtId="0" fontId="77" fillId="11" borderId="1" xfId="0" applyFont="1" applyFill="1" applyBorder="1"/>
    <xf numFmtId="0" fontId="69" fillId="11" borderId="1" xfId="4" applyFont="1" applyFill="1" applyBorder="1"/>
    <xf numFmtId="1" fontId="69" fillId="11" borderId="12" xfId="5" applyNumberFormat="1" applyFont="1" applyFill="1" applyBorder="1" applyAlignment="1" applyProtection="1">
      <alignment horizontal="center"/>
    </xf>
    <xf numFmtId="164" fontId="71" fillId="11" borderId="0" xfId="5" applyNumberFormat="1" applyFont="1" applyFill="1" applyBorder="1" applyAlignment="1" applyProtection="1">
      <alignment horizontal="center"/>
    </xf>
    <xf numFmtId="0" fontId="73" fillId="11" borderId="0" xfId="0" applyFont="1" applyFill="1" applyBorder="1"/>
    <xf numFmtId="0" fontId="73" fillId="11" borderId="0" xfId="0" applyFont="1" applyFill="1"/>
    <xf numFmtId="1" fontId="73" fillId="11" borderId="0" xfId="0" applyNumberFormat="1" applyFont="1" applyFill="1"/>
    <xf numFmtId="1" fontId="68" fillId="11" borderId="0" xfId="0" applyNumberFormat="1" applyFont="1" applyFill="1"/>
    <xf numFmtId="0" fontId="69" fillId="0" borderId="1" xfId="3" applyFont="1" applyFill="1" applyBorder="1" applyAlignment="1">
      <alignment horizontal="center" vertical="center"/>
    </xf>
    <xf numFmtId="2" fontId="69" fillId="0" borderId="1" xfId="3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/>
    </xf>
    <xf numFmtId="0" fontId="76" fillId="0" borderId="1" xfId="3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2" fontId="79" fillId="0" borderId="1" xfId="3" applyNumberFormat="1" applyFont="1" applyFill="1" applyBorder="1" applyAlignment="1">
      <alignment horizontal="center"/>
    </xf>
    <xf numFmtId="2" fontId="69" fillId="0" borderId="1" xfId="9" applyNumberFormat="1" applyFont="1" applyFill="1" applyBorder="1" applyAlignment="1">
      <alignment horizontal="center"/>
    </xf>
    <xf numFmtId="0" fontId="69" fillId="0" borderId="1" xfId="3" applyFont="1" applyFill="1" applyBorder="1" applyAlignment="1">
      <alignment vertical="center"/>
    </xf>
    <xf numFmtId="1" fontId="69" fillId="0" borderId="1" xfId="3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/>
    <xf numFmtId="0" fontId="75" fillId="0" borderId="19" xfId="4" applyFont="1" applyFill="1" applyBorder="1" applyAlignment="1">
      <alignment horizontal="center" vertical="center"/>
    </xf>
    <xf numFmtId="0" fontId="74" fillId="0" borderId="0" xfId="0" applyFont="1" applyFill="1" applyBorder="1"/>
    <xf numFmtId="2" fontId="69" fillId="0" borderId="6" xfId="3" applyNumberFormat="1" applyFont="1" applyFill="1" applyBorder="1" applyAlignment="1">
      <alignment horizontal="center"/>
    </xf>
    <xf numFmtId="0" fontId="65" fillId="0" borderId="0" xfId="0" applyFont="1" applyFill="1"/>
    <xf numFmtId="1" fontId="69" fillId="0" borderId="1" xfId="0" applyNumberFormat="1" applyFont="1" applyFill="1" applyBorder="1" applyAlignment="1">
      <alignment horizontal="center"/>
    </xf>
    <xf numFmtId="0" fontId="74" fillId="0" borderId="0" xfId="0" applyFont="1" applyFill="1"/>
    <xf numFmtId="1" fontId="92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8" fillId="0" borderId="0" xfId="0" applyFont="1" applyAlignment="1">
      <alignment horizontal="center"/>
    </xf>
    <xf numFmtId="0" fontId="37" fillId="8" borderId="1" xfId="3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1" fontId="37" fillId="2" borderId="1" xfId="5" applyNumberFormat="1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/>
    </xf>
    <xf numFmtId="1" fontId="42" fillId="0" borderId="0" xfId="0" applyNumberFormat="1" applyFont="1"/>
    <xf numFmtId="0" fontId="42" fillId="11" borderId="1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1" fontId="48" fillId="19" borderId="1" xfId="4" applyNumberFormat="1" applyFont="1" applyFill="1" applyBorder="1" applyAlignment="1">
      <alignment horizontal="center"/>
    </xf>
    <xf numFmtId="0" fontId="37" fillId="0" borderId="4" xfId="4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45" fillId="0" borderId="1" xfId="0" applyFont="1" applyBorder="1"/>
    <xf numFmtId="0" fontId="113" fillId="8" borderId="1" xfId="3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114" fillId="0" borderId="1" xfId="0" applyFont="1" applyBorder="1"/>
    <xf numFmtId="1" fontId="58" fillId="2" borderId="1" xfId="5" applyNumberFormat="1" applyFont="1" applyFill="1" applyBorder="1" applyAlignment="1">
      <alignment horizontal="center" vertical="center"/>
    </xf>
    <xf numFmtId="0" fontId="37" fillId="8" borderId="16" xfId="3" applyFont="1" applyFill="1" applyBorder="1" applyAlignment="1">
      <alignment horizontal="left"/>
    </xf>
    <xf numFmtId="0" fontId="114" fillId="0" borderId="1" xfId="0" applyFont="1" applyBorder="1" applyAlignment="1">
      <alignment horizontal="center"/>
    </xf>
    <xf numFmtId="0" fontId="37" fillId="0" borderId="1" xfId="4" applyFont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115" fillId="0" borderId="0" xfId="0" applyFont="1" applyBorder="1"/>
    <xf numFmtId="0" fontId="115" fillId="0" borderId="0" xfId="0" applyFont="1"/>
    <xf numFmtId="1" fontId="115" fillId="0" borderId="0" xfId="0" applyNumberFormat="1" applyFont="1"/>
    <xf numFmtId="164" fontId="60" fillId="11" borderId="0" xfId="0" applyNumberFormat="1" applyFont="1" applyFill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0" fontId="69" fillId="19" borderId="1" xfId="4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2" borderId="0" xfId="0" applyFont="1" applyFill="1" applyBorder="1" applyAlignment="1">
      <alignment horizontal="center"/>
    </xf>
    <xf numFmtId="0" fontId="37" fillId="0" borderId="4" xfId="4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2" fontId="43" fillId="0" borderId="1" xfId="4" applyNumberFormat="1" applyFont="1" applyFill="1" applyBorder="1" applyAlignment="1">
      <alignment horizontal="center"/>
    </xf>
    <xf numFmtId="2" fontId="43" fillId="0" borderId="1" xfId="4" applyNumberFormat="1" applyFont="1" applyBorder="1" applyAlignment="1">
      <alignment horizontal="center"/>
    </xf>
    <xf numFmtId="1" fontId="43" fillId="2" borderId="0" xfId="3" applyNumberFormat="1" applyFont="1" applyFill="1" applyBorder="1" applyAlignment="1">
      <alignment horizontal="center" vertical="center"/>
    </xf>
    <xf numFmtId="0" fontId="25" fillId="0" borderId="1" xfId="0" applyFont="1" applyBorder="1"/>
    <xf numFmtId="0" fontId="51" fillId="11" borderId="1" xfId="0" applyFont="1" applyFill="1" applyBorder="1" applyAlignment="1">
      <alignment horizontal="center"/>
    </xf>
    <xf numFmtId="0" fontId="2" fillId="2" borderId="0" xfId="18" applyFill="1"/>
    <xf numFmtId="0" fontId="17" fillId="0" borderId="0" xfId="9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83" fillId="14" borderId="5" xfId="0" applyFont="1" applyFill="1" applyBorder="1" applyAlignment="1">
      <alignment horizontal="center"/>
    </xf>
    <xf numFmtId="0" fontId="83" fillId="15" borderId="5" xfId="0" applyFont="1" applyFill="1" applyBorder="1" applyAlignment="1">
      <alignment horizontal="center"/>
    </xf>
    <xf numFmtId="0" fontId="83" fillId="17" borderId="5" xfId="0" applyFont="1" applyFill="1" applyBorder="1" applyAlignment="1">
      <alignment horizontal="center"/>
    </xf>
    <xf numFmtId="0" fontId="1" fillId="0" borderId="14" xfId="1" applyFont="1" applyFill="1" applyBorder="1" applyAlignment="1">
      <alignment horizontal="center" vertical="center" wrapText="1"/>
    </xf>
    <xf numFmtId="0" fontId="83" fillId="15" borderId="3" xfId="0" applyFont="1" applyFill="1" applyBorder="1" applyAlignment="1">
      <alignment horizontal="center"/>
    </xf>
    <xf numFmtId="0" fontId="83" fillId="14" borderId="3" xfId="0" applyFont="1" applyFill="1" applyBorder="1" applyAlignment="1">
      <alignment horizontal="center"/>
    </xf>
    <xf numFmtId="0" fontId="37" fillId="0" borderId="13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41" fillId="0" borderId="13" xfId="4" applyFont="1" applyBorder="1" applyAlignment="1">
      <alignment horizontal="left"/>
    </xf>
    <xf numFmtId="0" fontId="41" fillId="0" borderId="3" xfId="4" applyFont="1" applyBorder="1" applyAlignment="1">
      <alignment horizontal="left"/>
    </xf>
    <xf numFmtId="0" fontId="41" fillId="0" borderId="4" xfId="4" applyFont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42" fillId="0" borderId="13" xfId="0" applyFont="1" applyFill="1" applyBorder="1" applyAlignment="1">
      <alignment horizontal="left"/>
    </xf>
    <xf numFmtId="0" fontId="42" fillId="0" borderId="4" xfId="0" applyFont="1" applyFill="1" applyBorder="1" applyAlignment="1">
      <alignment horizontal="left"/>
    </xf>
    <xf numFmtId="0" fontId="42" fillId="0" borderId="13" xfId="0" applyFont="1" applyBorder="1" applyAlignment="1">
      <alignment horizontal="left"/>
    </xf>
    <xf numFmtId="0" fontId="42" fillId="0" borderId="4" xfId="0" applyFont="1" applyBorder="1" applyAlignment="1">
      <alignment horizontal="left"/>
    </xf>
    <xf numFmtId="0" fontId="45" fillId="0" borderId="13" xfId="0" applyFont="1" applyBorder="1" applyAlignment="1">
      <alignment horizontal="left"/>
    </xf>
    <xf numFmtId="0" fontId="45" fillId="0" borderId="4" xfId="0" applyFont="1" applyBorder="1" applyAlignment="1">
      <alignment horizontal="left"/>
    </xf>
    <xf numFmtId="0" fontId="45" fillId="16" borderId="13" xfId="0" applyFont="1" applyFill="1" applyBorder="1" applyAlignment="1">
      <alignment horizontal="left"/>
    </xf>
    <xf numFmtId="0" fontId="45" fillId="16" borderId="4" xfId="0" applyFont="1" applyFill="1" applyBorder="1" applyAlignment="1">
      <alignment horizontal="left"/>
    </xf>
    <xf numFmtId="0" fontId="42" fillId="16" borderId="13" xfId="0" applyFont="1" applyFill="1" applyBorder="1" applyAlignment="1">
      <alignment horizontal="left"/>
    </xf>
    <xf numFmtId="0" fontId="42" fillId="16" borderId="4" xfId="0" applyFont="1" applyFill="1" applyBorder="1" applyAlignment="1">
      <alignment horizontal="left"/>
    </xf>
    <xf numFmtId="0" fontId="45" fillId="15" borderId="13" xfId="0" applyFont="1" applyFill="1" applyBorder="1" applyAlignment="1">
      <alignment horizontal="left"/>
    </xf>
    <xf numFmtId="0" fontId="45" fillId="15" borderId="4" xfId="0" applyFont="1" applyFill="1" applyBorder="1" applyAlignment="1">
      <alignment horizontal="left"/>
    </xf>
    <xf numFmtId="0" fontId="37" fillId="8" borderId="13" xfId="3" applyFont="1" applyFill="1" applyBorder="1" applyAlignment="1">
      <alignment horizontal="left"/>
    </xf>
    <xf numFmtId="0" fontId="37" fillId="8" borderId="3" xfId="3" applyFont="1" applyFill="1" applyBorder="1" applyAlignment="1">
      <alignment horizontal="left"/>
    </xf>
    <xf numFmtId="0" fontId="37" fillId="8" borderId="4" xfId="3" applyFont="1" applyFill="1" applyBorder="1" applyAlignment="1">
      <alignment horizontal="left"/>
    </xf>
    <xf numFmtId="0" fontId="36" fillId="13" borderId="13" xfId="3" applyFont="1" applyFill="1" applyBorder="1" applyAlignment="1">
      <alignment horizontal="center"/>
    </xf>
    <xf numFmtId="0" fontId="36" fillId="13" borderId="4" xfId="3" applyFont="1" applyFill="1" applyBorder="1" applyAlignment="1">
      <alignment horizontal="center"/>
    </xf>
    <xf numFmtId="0" fontId="56" fillId="8" borderId="14" xfId="3" applyFont="1" applyFill="1" applyBorder="1" applyAlignment="1">
      <alignment horizontal="center"/>
    </xf>
    <xf numFmtId="0" fontId="56" fillId="8" borderId="11" xfId="3" applyFont="1" applyFill="1" applyBorder="1" applyAlignment="1">
      <alignment horizontal="center"/>
    </xf>
    <xf numFmtId="0" fontId="56" fillId="8" borderId="15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54" fillId="13" borderId="13" xfId="3" applyFont="1" applyFill="1" applyBorder="1" applyAlignment="1">
      <alignment horizontal="center"/>
    </xf>
    <xf numFmtId="0" fontId="54" fillId="13" borderId="3" xfId="3" applyFont="1" applyFill="1" applyBorder="1" applyAlignment="1">
      <alignment horizontal="center"/>
    </xf>
    <xf numFmtId="0" fontId="54" fillId="13" borderId="4" xfId="3" applyFont="1" applyFill="1" applyBorder="1" applyAlignment="1">
      <alignment horizontal="center"/>
    </xf>
    <xf numFmtId="0" fontId="37" fillId="9" borderId="2" xfId="3" applyFont="1" applyFill="1" applyBorder="1" applyAlignment="1">
      <alignment horizontal="center"/>
    </xf>
    <xf numFmtId="0" fontId="37" fillId="9" borderId="4" xfId="3" applyFont="1" applyFill="1" applyBorder="1" applyAlignment="1">
      <alignment horizontal="center"/>
    </xf>
    <xf numFmtId="0" fontId="55" fillId="13" borderId="13" xfId="3" applyFont="1" applyFill="1" applyBorder="1" applyAlignment="1">
      <alignment horizontal="center" vertical="center"/>
    </xf>
    <xf numFmtId="0" fontId="55" fillId="13" borderId="3" xfId="3" applyFont="1" applyFill="1" applyBorder="1" applyAlignment="1">
      <alignment horizontal="center" vertical="center"/>
    </xf>
    <xf numFmtId="0" fontId="55" fillId="13" borderId="4" xfId="3" applyFont="1" applyFill="1" applyBorder="1" applyAlignment="1">
      <alignment horizontal="center" vertical="center"/>
    </xf>
    <xf numFmtId="0" fontId="26" fillId="2" borderId="13" xfId="3" applyFont="1" applyFill="1" applyBorder="1" applyAlignment="1">
      <alignment horizontal="center" vertical="justify"/>
    </xf>
    <xf numFmtId="0" fontId="26" fillId="2" borderId="3" xfId="3" applyFont="1" applyFill="1" applyBorder="1" applyAlignment="1">
      <alignment horizontal="center" vertical="justify"/>
    </xf>
    <xf numFmtId="0" fontId="26" fillId="2" borderId="22" xfId="3" applyFont="1" applyFill="1" applyBorder="1" applyAlignment="1">
      <alignment horizontal="center" vertical="justify"/>
    </xf>
    <xf numFmtId="0" fontId="37" fillId="2" borderId="13" xfId="4" applyFont="1" applyFill="1" applyBorder="1" applyAlignment="1">
      <alignment horizontal="left"/>
    </xf>
    <xf numFmtId="0" fontId="37" fillId="2" borderId="3" xfId="4" applyFont="1" applyFill="1" applyBorder="1" applyAlignment="1">
      <alignment horizontal="left"/>
    </xf>
    <xf numFmtId="0" fontId="37" fillId="2" borderId="4" xfId="4" applyFont="1" applyFill="1" applyBorder="1" applyAlignment="1">
      <alignment horizontal="left"/>
    </xf>
    <xf numFmtId="0" fontId="30" fillId="13" borderId="13" xfId="4" applyFont="1" applyFill="1" applyBorder="1" applyAlignment="1">
      <alignment horizontal="left"/>
    </xf>
    <xf numFmtId="0" fontId="30" fillId="13" borderId="3" xfId="4" applyFont="1" applyFill="1" applyBorder="1" applyAlignment="1">
      <alignment horizontal="left"/>
    </xf>
    <xf numFmtId="0" fontId="30" fillId="13" borderId="22" xfId="4" applyFont="1" applyFill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36" fillId="13" borderId="13" xfId="3" applyFont="1" applyFill="1" applyBorder="1" applyAlignment="1">
      <alignment horizontal="left"/>
    </xf>
    <xf numFmtId="0" fontId="36" fillId="13" borderId="3" xfId="3" applyFont="1" applyFill="1" applyBorder="1" applyAlignment="1">
      <alignment horizontal="left"/>
    </xf>
    <xf numFmtId="0" fontId="36" fillId="13" borderId="4" xfId="3" applyFont="1" applyFill="1" applyBorder="1" applyAlignment="1">
      <alignment horizontal="left"/>
    </xf>
    <xf numFmtId="0" fontId="36" fillId="14" borderId="13" xfId="3" applyFont="1" applyFill="1" applyBorder="1" applyAlignment="1">
      <alignment horizontal="left"/>
    </xf>
    <xf numFmtId="0" fontId="36" fillId="14" borderId="3" xfId="3" applyFont="1" applyFill="1" applyBorder="1" applyAlignment="1">
      <alignment horizontal="left"/>
    </xf>
    <xf numFmtId="0" fontId="36" fillId="14" borderId="4" xfId="3" applyFont="1" applyFill="1" applyBorder="1" applyAlignment="1">
      <alignment horizontal="left"/>
    </xf>
    <xf numFmtId="0" fontId="37" fillId="15" borderId="21" xfId="0" applyFont="1" applyFill="1" applyBorder="1" applyAlignment="1">
      <alignment horizontal="center"/>
    </xf>
    <xf numFmtId="0" fontId="37" fillId="15" borderId="5" xfId="0" applyFont="1" applyFill="1" applyBorder="1" applyAlignment="1">
      <alignment horizontal="center"/>
    </xf>
    <xf numFmtId="0" fontId="45" fillId="0" borderId="3" xfId="0" applyFont="1" applyBorder="1" applyAlignment="1">
      <alignment horizontal="left"/>
    </xf>
    <xf numFmtId="0" fontId="37" fillId="8" borderId="20" xfId="3" applyFont="1" applyFill="1" applyBorder="1" applyAlignment="1">
      <alignment horizontal="left"/>
    </xf>
    <xf numFmtId="0" fontId="37" fillId="8" borderId="8" xfId="3" applyFont="1" applyFill="1" applyBorder="1" applyAlignment="1">
      <alignment horizontal="left"/>
    </xf>
    <xf numFmtId="0" fontId="37" fillId="8" borderId="9" xfId="3" applyFont="1" applyFill="1" applyBorder="1" applyAlignment="1">
      <alignment horizontal="left"/>
    </xf>
    <xf numFmtId="0" fontId="82" fillId="0" borderId="2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42" fillId="15" borderId="13" xfId="0" applyFont="1" applyFill="1" applyBorder="1" applyAlignment="1">
      <alignment horizontal="left"/>
    </xf>
    <xf numFmtId="0" fontId="42" fillId="15" borderId="4" xfId="0" applyFont="1" applyFill="1" applyBorder="1" applyAlignment="1">
      <alignment horizontal="left"/>
    </xf>
    <xf numFmtId="0" fontId="42" fillId="0" borderId="3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2" fillId="8" borderId="13" xfId="3" applyFont="1" applyFill="1" applyBorder="1" applyAlignment="1">
      <alignment horizontal="left"/>
    </xf>
    <xf numFmtId="0" fontId="42" fillId="8" borderId="3" xfId="3" applyFont="1" applyFill="1" applyBorder="1" applyAlignment="1">
      <alignment horizontal="left"/>
    </xf>
    <xf numFmtId="0" fontId="42" fillId="8" borderId="4" xfId="3" applyFont="1" applyFill="1" applyBorder="1" applyAlignment="1">
      <alignment horizontal="left"/>
    </xf>
    <xf numFmtId="0" fontId="37" fillId="0" borderId="2" xfId="3" applyFont="1" applyFill="1" applyBorder="1" applyAlignment="1">
      <alignment horizontal="center"/>
    </xf>
    <xf numFmtId="0" fontId="37" fillId="0" borderId="4" xfId="3" applyFont="1" applyFill="1" applyBorder="1" applyAlignment="1">
      <alignment horizontal="center"/>
    </xf>
    <xf numFmtId="0" fontId="37" fillId="2" borderId="1" xfId="4" applyFont="1" applyFill="1" applyBorder="1" applyAlignment="1">
      <alignment horizontal="left"/>
    </xf>
    <xf numFmtId="0" fontId="41" fillId="2" borderId="13" xfId="4" applyFont="1" applyFill="1" applyBorder="1" applyAlignment="1">
      <alignment horizontal="left"/>
    </xf>
    <xf numFmtId="0" fontId="41" fillId="2" borderId="3" xfId="4" applyFont="1" applyFill="1" applyBorder="1" applyAlignment="1">
      <alignment horizontal="left"/>
    </xf>
    <xf numFmtId="0" fontId="41" fillId="2" borderId="4" xfId="4" applyFont="1" applyFill="1" applyBorder="1" applyAlignment="1">
      <alignment horizontal="left"/>
    </xf>
    <xf numFmtId="0" fontId="41" fillId="11" borderId="13" xfId="4" applyFont="1" applyFill="1" applyBorder="1" applyAlignment="1">
      <alignment horizontal="left"/>
    </xf>
    <xf numFmtId="0" fontId="41" fillId="11" borderId="3" xfId="4" applyFont="1" applyFill="1" applyBorder="1" applyAlignment="1">
      <alignment horizontal="left"/>
    </xf>
    <xf numFmtId="0" fontId="41" fillId="11" borderId="4" xfId="4" applyFont="1" applyFill="1" applyBorder="1" applyAlignment="1">
      <alignment horizontal="left"/>
    </xf>
    <xf numFmtId="0" fontId="41" fillId="0" borderId="13" xfId="4" applyFont="1" applyFill="1" applyBorder="1" applyAlignment="1">
      <alignment horizontal="left"/>
    </xf>
    <xf numFmtId="0" fontId="41" fillId="0" borderId="3" xfId="4" applyFont="1" applyFill="1" applyBorder="1" applyAlignment="1">
      <alignment horizontal="left"/>
    </xf>
    <xf numFmtId="0" fontId="41" fillId="0" borderId="4" xfId="4" applyFont="1" applyFill="1" applyBorder="1" applyAlignment="1">
      <alignment horizontal="left"/>
    </xf>
    <xf numFmtId="0" fontId="37" fillId="11" borderId="13" xfId="4" applyFont="1" applyFill="1" applyBorder="1" applyAlignment="1">
      <alignment horizontal="left"/>
    </xf>
    <xf numFmtId="0" fontId="37" fillId="11" borderId="3" xfId="4" applyFont="1" applyFill="1" applyBorder="1" applyAlignment="1">
      <alignment horizontal="left"/>
    </xf>
    <xf numFmtId="0" fontId="37" fillId="11" borderId="4" xfId="4" applyFont="1" applyFill="1" applyBorder="1" applyAlignment="1">
      <alignment horizontal="left"/>
    </xf>
    <xf numFmtId="0" fontId="69" fillId="0" borderId="1" xfId="4" applyFont="1" applyBorder="1" applyAlignment="1">
      <alignment horizontal="left"/>
    </xf>
    <xf numFmtId="0" fontId="74" fillId="0" borderId="2" xfId="0" applyFont="1" applyBorder="1" applyAlignment="1">
      <alignment horizontal="left"/>
    </xf>
    <xf numFmtId="0" fontId="74" fillId="0" borderId="4" xfId="0" applyFont="1" applyBorder="1" applyAlignment="1">
      <alignment horizontal="left"/>
    </xf>
    <xf numFmtId="0" fontId="74" fillId="0" borderId="13" xfId="0" applyFont="1" applyFill="1" applyBorder="1" applyAlignment="1">
      <alignment horizontal="left"/>
    </xf>
    <xf numFmtId="0" fontId="74" fillId="0" borderId="4" xfId="0" applyFont="1" applyFill="1" applyBorder="1" applyAlignment="1">
      <alignment horizontal="left"/>
    </xf>
    <xf numFmtId="0" fontId="74" fillId="0" borderId="13" xfId="0" applyFont="1" applyBorder="1" applyAlignment="1">
      <alignment horizontal="left"/>
    </xf>
    <xf numFmtId="0" fontId="65" fillId="15" borderId="13" xfId="0" applyFont="1" applyFill="1" applyBorder="1" applyAlignment="1">
      <alignment horizontal="left"/>
    </xf>
    <xf numFmtId="0" fontId="65" fillId="15" borderId="4" xfId="0" applyFont="1" applyFill="1" applyBorder="1" applyAlignment="1">
      <alignment horizontal="left"/>
    </xf>
    <xf numFmtId="0" fontId="65" fillId="0" borderId="13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5" fillId="16" borderId="13" xfId="0" applyFont="1" applyFill="1" applyBorder="1" applyAlignment="1">
      <alignment horizontal="left"/>
    </xf>
    <xf numFmtId="0" fontId="65" fillId="16" borderId="4" xfId="0" applyFont="1" applyFill="1" applyBorder="1" applyAlignment="1">
      <alignment horizontal="left"/>
    </xf>
    <xf numFmtId="0" fontId="74" fillId="16" borderId="13" xfId="0" applyFont="1" applyFill="1" applyBorder="1" applyAlignment="1">
      <alignment horizontal="left"/>
    </xf>
    <xf numFmtId="0" fontId="74" fillId="16" borderId="4" xfId="0" applyFont="1" applyFill="1" applyBorder="1" applyAlignment="1">
      <alignment horizontal="left"/>
    </xf>
    <xf numFmtId="0" fontId="69" fillId="15" borderId="21" xfId="0" applyFont="1" applyFill="1" applyBorder="1" applyAlignment="1">
      <alignment horizontal="center"/>
    </xf>
    <xf numFmtId="0" fontId="69" fillId="15" borderId="5" xfId="0" applyFont="1" applyFill="1" applyBorder="1" applyAlignment="1">
      <alignment horizontal="center"/>
    </xf>
    <xf numFmtId="0" fontId="65" fillId="0" borderId="3" xfId="0" applyFont="1" applyBorder="1" applyAlignment="1">
      <alignment horizontal="left"/>
    </xf>
    <xf numFmtId="0" fontId="69" fillId="14" borderId="13" xfId="3" applyFont="1" applyFill="1" applyBorder="1" applyAlignment="1">
      <alignment horizontal="left"/>
    </xf>
    <xf numFmtId="0" fontId="69" fillId="14" borderId="3" xfId="3" applyFont="1" applyFill="1" applyBorder="1" applyAlignment="1">
      <alignment horizontal="left"/>
    </xf>
    <xf numFmtId="0" fontId="69" fillId="14" borderId="4" xfId="3" applyFont="1" applyFill="1" applyBorder="1" applyAlignment="1">
      <alignment horizontal="left"/>
    </xf>
    <xf numFmtId="0" fontId="69" fillId="13" borderId="13" xfId="3" applyFont="1" applyFill="1" applyBorder="1" applyAlignment="1">
      <alignment horizontal="left"/>
    </xf>
    <xf numFmtId="0" fontId="69" fillId="13" borderId="3" xfId="3" applyFont="1" applyFill="1" applyBorder="1" applyAlignment="1">
      <alignment horizontal="left"/>
    </xf>
    <xf numFmtId="0" fontId="69" fillId="13" borderId="4" xfId="3" applyFont="1" applyFill="1" applyBorder="1" applyAlignment="1">
      <alignment horizontal="left"/>
    </xf>
    <xf numFmtId="0" fontId="69" fillId="13" borderId="13" xfId="3" applyFont="1" applyFill="1" applyBorder="1" applyAlignment="1">
      <alignment horizontal="center"/>
    </xf>
    <xf numFmtId="0" fontId="69" fillId="13" borderId="4" xfId="3" applyFont="1" applyFill="1" applyBorder="1" applyAlignment="1">
      <alignment horizontal="center"/>
    </xf>
    <xf numFmtId="0" fontId="69" fillId="8" borderId="13" xfId="3" applyFont="1" applyFill="1" applyBorder="1" applyAlignment="1">
      <alignment horizontal="left"/>
    </xf>
    <xf numFmtId="0" fontId="69" fillId="8" borderId="3" xfId="3" applyFont="1" applyFill="1" applyBorder="1" applyAlignment="1">
      <alignment horizontal="left"/>
    </xf>
    <xf numFmtId="0" fontId="69" fillId="8" borderId="4" xfId="3" applyFont="1" applyFill="1" applyBorder="1" applyAlignment="1">
      <alignment horizontal="left"/>
    </xf>
    <xf numFmtId="0" fontId="69" fillId="8" borderId="20" xfId="3" applyFont="1" applyFill="1" applyBorder="1" applyAlignment="1">
      <alignment horizontal="left"/>
    </xf>
    <xf numFmtId="0" fontId="69" fillId="8" borderId="8" xfId="3" applyFont="1" applyFill="1" applyBorder="1" applyAlignment="1">
      <alignment horizontal="left"/>
    </xf>
    <xf numFmtId="0" fontId="69" fillId="8" borderId="9" xfId="3" applyFont="1" applyFill="1" applyBorder="1" applyAlignment="1">
      <alignment horizontal="left"/>
    </xf>
    <xf numFmtId="0" fontId="69" fillId="0" borderId="13" xfId="4" applyFont="1" applyBorder="1" applyAlignment="1">
      <alignment horizontal="left"/>
    </xf>
    <xf numFmtId="0" fontId="69" fillId="0" borderId="3" xfId="4" applyFont="1" applyBorder="1" applyAlignment="1">
      <alignment horizontal="left"/>
    </xf>
    <xf numFmtId="0" fontId="69" fillId="0" borderId="4" xfId="4" applyFont="1" applyBorder="1" applyAlignment="1">
      <alignment horizontal="left"/>
    </xf>
    <xf numFmtId="0" fontId="75" fillId="0" borderId="13" xfId="4" applyFont="1" applyBorder="1" applyAlignment="1">
      <alignment horizontal="left"/>
    </xf>
    <xf numFmtId="0" fontId="75" fillId="0" borderId="3" xfId="4" applyFont="1" applyBorder="1" applyAlignment="1">
      <alignment horizontal="left"/>
    </xf>
    <xf numFmtId="0" fontId="75" fillId="0" borderId="4" xfId="4" applyFont="1" applyBorder="1" applyAlignment="1">
      <alignment horizontal="left"/>
    </xf>
    <xf numFmtId="0" fontId="80" fillId="13" borderId="13" xfId="4" applyFont="1" applyFill="1" applyBorder="1" applyAlignment="1">
      <alignment horizontal="left"/>
    </xf>
    <xf numFmtId="0" fontId="80" fillId="13" borderId="3" xfId="4" applyFont="1" applyFill="1" applyBorder="1" applyAlignment="1">
      <alignment horizontal="left"/>
    </xf>
    <xf numFmtId="0" fontId="80" fillId="13" borderId="22" xfId="4" applyFont="1" applyFill="1" applyBorder="1" applyAlignment="1">
      <alignment horizontal="left"/>
    </xf>
    <xf numFmtId="0" fontId="69" fillId="2" borderId="13" xfId="4" applyFont="1" applyFill="1" applyBorder="1" applyAlignment="1">
      <alignment horizontal="left"/>
    </xf>
    <xf numFmtId="0" fontId="69" fillId="2" borderId="3" xfId="4" applyFont="1" applyFill="1" applyBorder="1" applyAlignment="1">
      <alignment horizontal="left"/>
    </xf>
    <xf numFmtId="0" fontId="69" fillId="2" borderId="4" xfId="4" applyFont="1" applyFill="1" applyBorder="1" applyAlignment="1">
      <alignment horizontal="left"/>
    </xf>
    <xf numFmtId="0" fontId="67" fillId="8" borderId="14" xfId="3" applyFont="1" applyFill="1" applyBorder="1" applyAlignment="1">
      <alignment horizontal="center"/>
    </xf>
    <xf numFmtId="0" fontId="67" fillId="8" borderId="11" xfId="3" applyFont="1" applyFill="1" applyBorder="1" applyAlignment="1">
      <alignment horizontal="center"/>
    </xf>
    <xf numFmtId="0" fontId="67" fillId="8" borderId="15" xfId="3" applyFont="1" applyFill="1" applyBorder="1" applyAlignment="1">
      <alignment horizontal="center"/>
    </xf>
    <xf numFmtId="0" fontId="72" fillId="13" borderId="13" xfId="3" applyFont="1" applyFill="1" applyBorder="1" applyAlignment="1">
      <alignment horizontal="center" vertical="center"/>
    </xf>
    <xf numFmtId="0" fontId="72" fillId="13" borderId="3" xfId="3" applyFont="1" applyFill="1" applyBorder="1" applyAlignment="1">
      <alignment horizontal="center" vertical="center"/>
    </xf>
    <xf numFmtId="0" fontId="72" fillId="13" borderId="4" xfId="3" applyFont="1" applyFill="1" applyBorder="1" applyAlignment="1">
      <alignment horizontal="center" vertical="center"/>
    </xf>
    <xf numFmtId="0" fontId="72" fillId="13" borderId="13" xfId="3" applyFont="1" applyFill="1" applyBorder="1" applyAlignment="1">
      <alignment horizontal="center"/>
    </xf>
    <xf numFmtId="0" fontId="72" fillId="13" borderId="3" xfId="3" applyFont="1" applyFill="1" applyBorder="1" applyAlignment="1">
      <alignment horizontal="center"/>
    </xf>
    <xf numFmtId="0" fontId="72" fillId="13" borderId="4" xfId="3" applyFont="1" applyFill="1" applyBorder="1" applyAlignment="1">
      <alignment horizontal="center"/>
    </xf>
    <xf numFmtId="0" fontId="69" fillId="9" borderId="2" xfId="3" applyFont="1" applyFill="1" applyBorder="1" applyAlignment="1">
      <alignment horizontal="center"/>
    </xf>
    <xf numFmtId="0" fontId="69" fillId="9" borderId="4" xfId="3" applyFont="1" applyFill="1" applyBorder="1" applyAlignment="1">
      <alignment horizontal="center"/>
    </xf>
    <xf numFmtId="0" fontId="71" fillId="2" borderId="13" xfId="3" applyFont="1" applyFill="1" applyBorder="1" applyAlignment="1">
      <alignment horizontal="center" vertical="justify"/>
    </xf>
    <xf numFmtId="0" fontId="71" fillId="2" borderId="3" xfId="3" applyFont="1" applyFill="1" applyBorder="1" applyAlignment="1">
      <alignment horizontal="center" vertical="justify"/>
    </xf>
    <xf numFmtId="0" fontId="71" fillId="2" borderId="22" xfId="3" applyFont="1" applyFill="1" applyBorder="1" applyAlignment="1">
      <alignment horizontal="center" vertical="justify"/>
    </xf>
    <xf numFmtId="0" fontId="45" fillId="16" borderId="16" xfId="0" applyFont="1" applyFill="1" applyBorder="1" applyAlignment="1">
      <alignment horizontal="left"/>
    </xf>
    <xf numFmtId="0" fontId="45" fillId="16" borderId="1" xfId="0" applyFont="1" applyFill="1" applyBorder="1" applyAlignment="1">
      <alignment horizontal="left"/>
    </xf>
    <xf numFmtId="0" fontId="42" fillId="0" borderId="16" xfId="0" applyFont="1" applyFill="1" applyBorder="1" applyAlignment="1">
      <alignment horizontal="left"/>
    </xf>
    <xf numFmtId="0" fontId="42" fillId="0" borderId="1" xfId="0" applyFont="1" applyFill="1" applyBorder="1" applyAlignment="1">
      <alignment horizontal="left"/>
    </xf>
    <xf numFmtId="0" fontId="42" fillId="0" borderId="16" xfId="0" applyFont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37" fillId="8" borderId="16" xfId="3" applyFont="1" applyFill="1" applyBorder="1" applyAlignment="1">
      <alignment horizontal="left"/>
    </xf>
    <xf numFmtId="0" fontId="37" fillId="8" borderId="1" xfId="3" applyFont="1" applyFill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3" borderId="16" xfId="3" applyFont="1" applyFill="1" applyBorder="1" applyAlignment="1">
      <alignment horizontal="center"/>
    </xf>
    <xf numFmtId="0" fontId="36" fillId="13" borderId="1" xfId="3" applyFont="1" applyFill="1" applyBorder="1" applyAlignment="1">
      <alignment horizontal="center"/>
    </xf>
    <xf numFmtId="0" fontId="45" fillId="0" borderId="16" xfId="0" applyFont="1" applyBorder="1" applyAlignment="1">
      <alignment horizontal="left"/>
    </xf>
    <xf numFmtId="0" fontId="37" fillId="8" borderId="17" xfId="3" applyFont="1" applyFill="1" applyBorder="1" applyAlignment="1">
      <alignment horizontal="left"/>
    </xf>
    <xf numFmtId="0" fontId="37" fillId="8" borderId="6" xfId="3" applyFont="1" applyFill="1" applyBorder="1" applyAlignment="1">
      <alignment horizontal="left"/>
    </xf>
    <xf numFmtId="0" fontId="37" fillId="9" borderId="1" xfId="3" applyFont="1" applyFill="1" applyBorder="1" applyAlignment="1">
      <alignment horizontal="center"/>
    </xf>
    <xf numFmtId="0" fontId="54" fillId="13" borderId="16" xfId="3" applyFont="1" applyFill="1" applyBorder="1" applyAlignment="1">
      <alignment horizontal="center" vertical="center"/>
    </xf>
    <xf numFmtId="0" fontId="54" fillId="13" borderId="1" xfId="3" applyFont="1" applyFill="1" applyBorder="1" applyAlignment="1">
      <alignment horizontal="center" vertical="center"/>
    </xf>
    <xf numFmtId="0" fontId="54" fillId="13" borderId="16" xfId="3" applyFont="1" applyFill="1" applyBorder="1" applyAlignment="1">
      <alignment horizontal="center"/>
    </xf>
    <xf numFmtId="0" fontId="54" fillId="13" borderId="1" xfId="3" applyFont="1" applyFill="1" applyBorder="1" applyAlignment="1">
      <alignment horizontal="center"/>
    </xf>
    <xf numFmtId="0" fontId="30" fillId="13" borderId="16" xfId="4" applyFont="1" applyFill="1" applyBorder="1" applyAlignment="1">
      <alignment horizontal="left"/>
    </xf>
    <xf numFmtId="0" fontId="30" fillId="13" borderId="1" xfId="4" applyFont="1" applyFill="1" applyBorder="1" applyAlignment="1">
      <alignment horizontal="left"/>
    </xf>
    <xf numFmtId="0" fontId="30" fillId="13" borderId="12" xfId="4" applyFont="1" applyFill="1" applyBorder="1" applyAlignment="1">
      <alignment horizontal="left"/>
    </xf>
    <xf numFmtId="0" fontId="26" fillId="2" borderId="16" xfId="3" applyFont="1" applyFill="1" applyBorder="1" applyAlignment="1">
      <alignment horizontal="center" vertical="justify"/>
    </xf>
    <xf numFmtId="0" fontId="26" fillId="2" borderId="1" xfId="3" applyFont="1" applyFill="1" applyBorder="1" applyAlignment="1">
      <alignment horizontal="center" vertical="justify"/>
    </xf>
    <xf numFmtId="0" fontId="26" fillId="2" borderId="12" xfId="3" applyFont="1" applyFill="1" applyBorder="1" applyAlignment="1">
      <alignment horizontal="center" vertical="justify"/>
    </xf>
    <xf numFmtId="0" fontId="37" fillId="2" borderId="16" xfId="4" applyFont="1" applyFill="1" applyBorder="1" applyAlignment="1">
      <alignment horizontal="left"/>
    </xf>
    <xf numFmtId="0" fontId="42" fillId="16" borderId="16" xfId="0" applyFont="1" applyFill="1" applyBorder="1" applyAlignment="1">
      <alignment horizontal="left"/>
    </xf>
    <xf numFmtId="0" fontId="42" fillId="16" borderId="1" xfId="0" applyFont="1" applyFill="1" applyBorder="1" applyAlignment="1">
      <alignment horizontal="left"/>
    </xf>
    <xf numFmtId="0" fontId="45" fillId="15" borderId="16" xfId="0" applyFont="1" applyFill="1" applyBorder="1" applyAlignment="1">
      <alignment horizontal="left"/>
    </xf>
    <xf numFmtId="0" fontId="45" fillId="15" borderId="1" xfId="0" applyFont="1" applyFill="1" applyBorder="1" applyAlignment="1">
      <alignment horizontal="left"/>
    </xf>
    <xf numFmtId="0" fontId="41" fillId="0" borderId="16" xfId="4" applyFont="1" applyBorder="1" applyAlignment="1">
      <alignment horizontal="left"/>
    </xf>
    <xf numFmtId="0" fontId="41" fillId="0" borderId="1" xfId="4" applyFont="1" applyBorder="1" applyAlignment="1">
      <alignment horizontal="left"/>
    </xf>
    <xf numFmtId="0" fontId="36" fillId="14" borderId="16" xfId="3" applyFont="1" applyFill="1" applyBorder="1" applyAlignment="1">
      <alignment horizontal="left"/>
    </xf>
    <xf numFmtId="0" fontId="36" fillId="14" borderId="1" xfId="3" applyFont="1" applyFill="1" applyBorder="1" applyAlignment="1">
      <alignment horizontal="left"/>
    </xf>
    <xf numFmtId="0" fontId="36" fillId="13" borderId="16" xfId="3" applyFont="1" applyFill="1" applyBorder="1" applyAlignment="1">
      <alignment horizontal="left"/>
    </xf>
    <xf numFmtId="0" fontId="36" fillId="13" borderId="1" xfId="3" applyFont="1" applyFill="1" applyBorder="1" applyAlignment="1">
      <alignment horizontal="left"/>
    </xf>
    <xf numFmtId="0" fontId="37" fillId="15" borderId="27" xfId="0" applyFont="1" applyFill="1" applyBorder="1" applyAlignment="1">
      <alignment horizontal="center"/>
    </xf>
    <xf numFmtId="0" fontId="37" fillId="15" borderId="0" xfId="0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30.370000000002278</c:v>
                </c:pt>
                <c:pt idx="1">
                  <c:v>30.37000000000387</c:v>
                </c:pt>
                <c:pt idx="2">
                  <c:v>27.989999999995575</c:v>
                </c:pt>
                <c:pt idx="3">
                  <c:v>37.30999999999824</c:v>
                </c:pt>
                <c:pt idx="4">
                  <c:v>34.640000000005557</c:v>
                </c:pt>
                <c:pt idx="5">
                  <c:v>35.39999999999884</c:v>
                </c:pt>
                <c:pt idx="6">
                  <c:v>39.599999999997067</c:v>
                </c:pt>
                <c:pt idx="7">
                  <c:v>31.620000000001482</c:v>
                </c:pt>
                <c:pt idx="8">
                  <c:v>24</c:v>
                </c:pt>
                <c:pt idx="9">
                  <c:v>31.430000000000291</c:v>
                </c:pt>
                <c:pt idx="10">
                  <c:v>31.569999999999709</c:v>
                </c:pt>
                <c:pt idx="11">
                  <c:v>36</c:v>
                </c:pt>
                <c:pt idx="12">
                  <c:v>32.94999999999709</c:v>
                </c:pt>
                <c:pt idx="13">
                  <c:v>25</c:v>
                </c:pt>
                <c:pt idx="14">
                  <c:v>27</c:v>
                </c:pt>
                <c:pt idx="15">
                  <c:v>-961.67000000000144</c:v>
                </c:pt>
                <c:pt idx="16">
                  <c:v>36.739999999996485</c:v>
                </c:pt>
                <c:pt idx="17">
                  <c:v>36.960000000003504</c:v>
                </c:pt>
                <c:pt idx="18">
                  <c:v>28.140000000001464</c:v>
                </c:pt>
                <c:pt idx="19">
                  <c:v>35.829999999997938</c:v>
                </c:pt>
                <c:pt idx="20">
                  <c:v>27.569999999999425</c:v>
                </c:pt>
                <c:pt idx="21">
                  <c:v>31.480000000010477</c:v>
                </c:pt>
                <c:pt idx="22">
                  <c:v>33.43999999999852</c:v>
                </c:pt>
                <c:pt idx="23">
                  <c:v>33.63999999999362</c:v>
                </c:pt>
                <c:pt idx="24">
                  <c:v>33.620000000000005</c:v>
                </c:pt>
                <c:pt idx="25">
                  <c:v>32</c:v>
                </c:pt>
                <c:pt idx="26">
                  <c:v>30</c:v>
                </c:pt>
                <c:pt idx="27">
                  <c:v>30</c:v>
                </c:pt>
                <c:pt idx="28">
                  <c:v>34</c:v>
                </c:pt>
                <c:pt idx="29">
                  <c:v>29</c:v>
                </c:pt>
                <c:pt idx="30">
                  <c:v>29</c:v>
                </c:pt>
                <c:pt idx="31">
                  <c:v>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97356800"/>
        <c:axId val="97366784"/>
      </c:lineChart>
      <c:catAx>
        <c:axId val="97356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6784"/>
        <c:crosses val="autoZero"/>
        <c:auto val="1"/>
        <c:lblAlgn val="ctr"/>
        <c:lblOffset val="100"/>
      </c:catAx>
      <c:valAx>
        <c:axId val="9736678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9735680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6.7899999999972351</c:v>
                </c:pt>
                <c:pt idx="1">
                  <c:v>9.8300000000017462</c:v>
                </c:pt>
                <c:pt idx="2">
                  <c:v>6.6530000000020664</c:v>
                </c:pt>
                <c:pt idx="3">
                  <c:v>10.586999999984982</c:v>
                </c:pt>
                <c:pt idx="4">
                  <c:v>6.9200000000055297</c:v>
                </c:pt>
                <c:pt idx="5">
                  <c:v>9.4799999999995634</c:v>
                </c:pt>
                <c:pt idx="6">
                  <c:v>7.9699999999975262</c:v>
                </c:pt>
                <c:pt idx="7">
                  <c:v>9.0400000000045111</c:v>
                </c:pt>
                <c:pt idx="8">
                  <c:v>6.9799999999995634</c:v>
                </c:pt>
                <c:pt idx="9">
                  <c:v>9.1399999999994179</c:v>
                </c:pt>
                <c:pt idx="10">
                  <c:v>7</c:v>
                </c:pt>
                <c:pt idx="11">
                  <c:v>9.7600000000020373</c:v>
                </c:pt>
                <c:pt idx="12">
                  <c:v>9.3499999999985448</c:v>
                </c:pt>
                <c:pt idx="13">
                  <c:v>15.250000000003638</c:v>
                </c:pt>
                <c:pt idx="14">
                  <c:v>8.6299999999973807</c:v>
                </c:pt>
                <c:pt idx="15">
                  <c:v>-254.43999999999505</c:v>
                </c:pt>
                <c:pt idx="16">
                  <c:v>9.1100000000005821</c:v>
                </c:pt>
                <c:pt idx="17">
                  <c:v>8.5399999999972351</c:v>
                </c:pt>
                <c:pt idx="18">
                  <c:v>9.4000000000014552</c:v>
                </c:pt>
                <c:pt idx="19">
                  <c:v>0.43999999999869033</c:v>
                </c:pt>
                <c:pt idx="20">
                  <c:v>10.069999999999709</c:v>
                </c:pt>
                <c:pt idx="21">
                  <c:v>5.7000000000007276</c:v>
                </c:pt>
                <c:pt idx="22">
                  <c:v>9.6700000000018917</c:v>
                </c:pt>
                <c:pt idx="23">
                  <c:v>8.1899999999914144</c:v>
                </c:pt>
                <c:pt idx="24">
                  <c:v>8.1899999999914144</c:v>
                </c:pt>
                <c:pt idx="25">
                  <c:v>7</c:v>
                </c:pt>
                <c:pt idx="26">
                  <c:v>8.5400000000045111</c:v>
                </c:pt>
                <c:pt idx="27">
                  <c:v>5.8200000000033469</c:v>
                </c:pt>
                <c:pt idx="28">
                  <c:v>11.149999999994179</c:v>
                </c:pt>
                <c:pt idx="29">
                  <c:v>9.1000000000058208</c:v>
                </c:pt>
                <c:pt idx="30">
                  <c:v>17.940000000005966</c:v>
                </c:pt>
                <c:pt idx="31">
                  <c:v>7.7999999999956344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97854592"/>
        <c:axId val="97856128"/>
      </c:lineChart>
      <c:catAx>
        <c:axId val="978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56128"/>
        <c:crosses val="autoZero"/>
        <c:auto val="1"/>
        <c:lblAlgn val="ctr"/>
        <c:lblOffset val="100"/>
      </c:catAx>
      <c:valAx>
        <c:axId val="9785612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545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457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243</c:v>
                </c:pt>
                <c:pt idx="1">
                  <c:v>244</c:v>
                </c:pt>
                <c:pt idx="2">
                  <c:v>196</c:v>
                </c:pt>
                <c:pt idx="3">
                  <c:v>191</c:v>
                </c:pt>
                <c:pt idx="4">
                  <c:v>242</c:v>
                </c:pt>
                <c:pt idx="5">
                  <c:v>261</c:v>
                </c:pt>
                <c:pt idx="6">
                  <c:v>225</c:v>
                </c:pt>
                <c:pt idx="7">
                  <c:v>275</c:v>
                </c:pt>
                <c:pt idx="8">
                  <c:v>224</c:v>
                </c:pt>
                <c:pt idx="9">
                  <c:v>197</c:v>
                </c:pt>
                <c:pt idx="10">
                  <c:v>224</c:v>
                </c:pt>
                <c:pt idx="11">
                  <c:v>240</c:v>
                </c:pt>
                <c:pt idx="12">
                  <c:v>251</c:v>
                </c:pt>
                <c:pt idx="13">
                  <c:v>223</c:v>
                </c:pt>
                <c:pt idx="14">
                  <c:v>254</c:v>
                </c:pt>
                <c:pt idx="15">
                  <c:v>170</c:v>
                </c:pt>
                <c:pt idx="16">
                  <c:v>200</c:v>
                </c:pt>
                <c:pt idx="17">
                  <c:v>230</c:v>
                </c:pt>
                <c:pt idx="18">
                  <c:v>260</c:v>
                </c:pt>
                <c:pt idx="19">
                  <c:v>140</c:v>
                </c:pt>
                <c:pt idx="20">
                  <c:v>160</c:v>
                </c:pt>
                <c:pt idx="21">
                  <c:v>180</c:v>
                </c:pt>
                <c:pt idx="22">
                  <c:v>160</c:v>
                </c:pt>
                <c:pt idx="23">
                  <c:v>170</c:v>
                </c:pt>
                <c:pt idx="24">
                  <c:v>220</c:v>
                </c:pt>
                <c:pt idx="25">
                  <c:v>180</c:v>
                </c:pt>
                <c:pt idx="26">
                  <c:v>170</c:v>
                </c:pt>
                <c:pt idx="27">
                  <c:v>120</c:v>
                </c:pt>
                <c:pt idx="28">
                  <c:v>200</c:v>
                </c:pt>
                <c:pt idx="29">
                  <c:v>210</c:v>
                </c:pt>
                <c:pt idx="30">
                  <c:v>120</c:v>
                </c:pt>
                <c:pt idx="31">
                  <c:v>6380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97889664"/>
        <c:axId val="97891456"/>
      </c:lineChart>
      <c:catAx>
        <c:axId val="9788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91456"/>
        <c:crosses val="autoZero"/>
        <c:auto val="1"/>
        <c:lblAlgn val="ctr"/>
        <c:lblOffset val="100"/>
      </c:catAx>
      <c:valAx>
        <c:axId val="9789145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8966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67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776</c:v>
                </c:pt>
                <c:pt idx="1">
                  <c:v>924.25</c:v>
                </c:pt>
                <c:pt idx="2">
                  <c:v>755.88500000000931</c:v>
                </c:pt>
                <c:pt idx="3">
                  <c:v>889.0570000000298</c:v>
                </c:pt>
                <c:pt idx="4">
                  <c:v>738.08799999998882</c:v>
                </c:pt>
                <c:pt idx="5">
                  <c:v>968.17999999993481</c:v>
                </c:pt>
                <c:pt idx="6">
                  <c:v>860.81000000005588</c:v>
                </c:pt>
                <c:pt idx="7">
                  <c:v>902.72999999998137</c:v>
                </c:pt>
                <c:pt idx="8">
                  <c:v>764</c:v>
                </c:pt>
                <c:pt idx="9">
                  <c:v>907</c:v>
                </c:pt>
                <c:pt idx="10">
                  <c:v>826</c:v>
                </c:pt>
                <c:pt idx="11">
                  <c:v>930</c:v>
                </c:pt>
                <c:pt idx="12">
                  <c:v>901</c:v>
                </c:pt>
                <c:pt idx="13">
                  <c:v>1092</c:v>
                </c:pt>
                <c:pt idx="14">
                  <c:v>920</c:v>
                </c:pt>
                <c:pt idx="15">
                  <c:v>950</c:v>
                </c:pt>
                <c:pt idx="16">
                  <c:v>950</c:v>
                </c:pt>
                <c:pt idx="17">
                  <c:v>950</c:v>
                </c:pt>
                <c:pt idx="18">
                  <c:v>950</c:v>
                </c:pt>
                <c:pt idx="19">
                  <c:v>950</c:v>
                </c:pt>
                <c:pt idx="20">
                  <c:v>950</c:v>
                </c:pt>
                <c:pt idx="21">
                  <c:v>950</c:v>
                </c:pt>
                <c:pt idx="22">
                  <c:v>950</c:v>
                </c:pt>
                <c:pt idx="23">
                  <c:v>950</c:v>
                </c:pt>
                <c:pt idx="24">
                  <c:v>950</c:v>
                </c:pt>
                <c:pt idx="25">
                  <c:v>950</c:v>
                </c:pt>
                <c:pt idx="26">
                  <c:v>950</c:v>
                </c:pt>
                <c:pt idx="27">
                  <c:v>950</c:v>
                </c:pt>
                <c:pt idx="28">
                  <c:v>950</c:v>
                </c:pt>
                <c:pt idx="29">
                  <c:v>950</c:v>
                </c:pt>
                <c:pt idx="30">
                  <c:v>950</c:v>
                </c:pt>
                <c:pt idx="31">
                  <c:v>28355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8505856"/>
        <c:axId val="98507392"/>
      </c:lineChart>
      <c:catAx>
        <c:axId val="9850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07392"/>
        <c:crosses val="autoZero"/>
        <c:auto val="1"/>
        <c:lblAlgn val="ctr"/>
        <c:lblOffset val="100"/>
      </c:catAx>
      <c:valAx>
        <c:axId val="9850739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0585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341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3756.9899999999907</c:v>
                </c:pt>
                <c:pt idx="1">
                  <c:v>3764.6800000000512</c:v>
                </c:pt>
                <c:pt idx="2">
                  <c:v>3726.2799999999115</c:v>
                </c:pt>
                <c:pt idx="3">
                  <c:v>3735.0500000000466</c:v>
                </c:pt>
                <c:pt idx="4">
                  <c:v>3761</c:v>
                </c:pt>
                <c:pt idx="5">
                  <c:v>3750</c:v>
                </c:pt>
                <c:pt idx="6">
                  <c:v>3772</c:v>
                </c:pt>
                <c:pt idx="7">
                  <c:v>3646</c:v>
                </c:pt>
                <c:pt idx="8">
                  <c:v>3904</c:v>
                </c:pt>
                <c:pt idx="9">
                  <c:v>3790</c:v>
                </c:pt>
                <c:pt idx="10">
                  <c:v>3773</c:v>
                </c:pt>
                <c:pt idx="11">
                  <c:v>4025</c:v>
                </c:pt>
                <c:pt idx="12">
                  <c:v>3617</c:v>
                </c:pt>
                <c:pt idx="13">
                  <c:v>3674</c:v>
                </c:pt>
                <c:pt idx="14">
                  <c:v>3671</c:v>
                </c:pt>
                <c:pt idx="15">
                  <c:v>-113041.09999999998</c:v>
                </c:pt>
                <c:pt idx="16">
                  <c:v>3718.5299999999697</c:v>
                </c:pt>
                <c:pt idx="17">
                  <c:v>3751.2399999999907</c:v>
                </c:pt>
                <c:pt idx="18">
                  <c:v>3770.3300000000163</c:v>
                </c:pt>
                <c:pt idx="19">
                  <c:v>3767.429999999993</c:v>
                </c:pt>
                <c:pt idx="20">
                  <c:v>3741.5200000000186</c:v>
                </c:pt>
                <c:pt idx="21">
                  <c:v>3759.0800000000163</c:v>
                </c:pt>
                <c:pt idx="22">
                  <c:v>3787.9599999999627</c:v>
                </c:pt>
                <c:pt idx="23">
                  <c:v>3817.0100000000093</c:v>
                </c:pt>
                <c:pt idx="24">
                  <c:v>3772</c:v>
                </c:pt>
                <c:pt idx="25">
                  <c:v>3750</c:v>
                </c:pt>
                <c:pt idx="26">
                  <c:v>3783</c:v>
                </c:pt>
                <c:pt idx="27">
                  <c:v>3785</c:v>
                </c:pt>
                <c:pt idx="28">
                  <c:v>3817</c:v>
                </c:pt>
                <c:pt idx="29">
                  <c:v>3848</c:v>
                </c:pt>
                <c:pt idx="30">
                  <c:v>-208538</c:v>
                </c:pt>
                <c:pt idx="31">
                  <c:v>-212345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7.9999999958090484E-2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8570240"/>
        <c:axId val="98571776"/>
      </c:lineChart>
      <c:catAx>
        <c:axId val="9857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1776"/>
        <c:crosses val="autoZero"/>
        <c:auto val="1"/>
        <c:lblAlgn val="ctr"/>
        <c:lblOffset val="100"/>
      </c:catAx>
      <c:valAx>
        <c:axId val="9857177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024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1.3000000000465661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-108109</c:v>
                </c:pt>
                <c:pt idx="31">
                  <c:v>-108108.30000000005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8617216"/>
        <c:axId val="98618752"/>
      </c:lineChart>
      <c:catAx>
        <c:axId val="986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18752"/>
        <c:crosses val="autoZero"/>
        <c:auto val="1"/>
        <c:lblAlgn val="ctr"/>
        <c:lblOffset val="100"/>
      </c:catAx>
      <c:valAx>
        <c:axId val="9861875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172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0.63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0.78710000000000002</c:v>
                </c:pt>
                <c:pt idx="5">
                  <c:v>0.9032</c:v>
                </c:pt>
                <c:pt idx="6">
                  <c:v>0.99470000000000003</c:v>
                </c:pt>
                <c:pt idx="7">
                  <c:v>0.78</c:v>
                </c:pt>
                <c:pt idx="8">
                  <c:v>0.62</c:v>
                </c:pt>
                <c:pt idx="9">
                  <c:v>0.88</c:v>
                </c:pt>
                <c:pt idx="10">
                  <c:v>0.94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0.67</c:v>
                </c:pt>
                <c:pt idx="20">
                  <c:v>0.66</c:v>
                </c:pt>
                <c:pt idx="21">
                  <c:v>0.8</c:v>
                </c:pt>
                <c:pt idx="22">
                  <c:v>0.85</c:v>
                </c:pt>
                <c:pt idx="23">
                  <c:v>1</c:v>
                </c:pt>
                <c:pt idx="24">
                  <c:v>0.74</c:v>
                </c:pt>
                <c:pt idx="25">
                  <c:v>0.75</c:v>
                </c:pt>
                <c:pt idx="26">
                  <c:v>0.64</c:v>
                </c:pt>
                <c:pt idx="27">
                  <c:v>0.56999999999999995</c:v>
                </c:pt>
                <c:pt idx="28">
                  <c:v>0.7</c:v>
                </c:pt>
                <c:pt idx="29">
                  <c:v>0.5</c:v>
                </c:pt>
                <c:pt idx="30">
                  <c:v>27</c:v>
                </c:pt>
                <c:pt idx="31">
                  <c:v>1.5475806451612903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8639232"/>
        <c:axId val="98653312"/>
      </c:lineChart>
      <c:catAx>
        <c:axId val="9863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53312"/>
        <c:crosses val="autoZero"/>
        <c:auto val="1"/>
        <c:lblAlgn val="ctr"/>
        <c:lblOffset val="100"/>
      </c:catAx>
      <c:valAx>
        <c:axId val="986533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86392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671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671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671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22540.069999999949</c:v>
                </c:pt>
                <c:pt idx="1">
                  <c:v>21861.680000000051</c:v>
                </c:pt>
                <c:pt idx="2">
                  <c:v>21488.819999999949</c:v>
                </c:pt>
                <c:pt idx="3">
                  <c:v>24881.140000000014</c:v>
                </c:pt>
                <c:pt idx="4">
                  <c:v>23183.280000000028</c:v>
                </c:pt>
                <c:pt idx="5">
                  <c:v>24216.640000000014</c:v>
                </c:pt>
                <c:pt idx="6">
                  <c:v>24405.680000000051</c:v>
                </c:pt>
                <c:pt idx="7">
                  <c:v>22435.689999999944</c:v>
                </c:pt>
                <c:pt idx="8">
                  <c:v>20612</c:v>
                </c:pt>
                <c:pt idx="9">
                  <c:v>21667</c:v>
                </c:pt>
                <c:pt idx="10">
                  <c:v>21713</c:v>
                </c:pt>
                <c:pt idx="11">
                  <c:v>23053</c:v>
                </c:pt>
                <c:pt idx="12">
                  <c:v>22751</c:v>
                </c:pt>
                <c:pt idx="13">
                  <c:v>20814</c:v>
                </c:pt>
                <c:pt idx="14">
                  <c:v>21550</c:v>
                </c:pt>
                <c:pt idx="15">
                  <c:v>-676966.61</c:v>
                </c:pt>
                <c:pt idx="16">
                  <c:v>24914.739999999991</c:v>
                </c:pt>
                <c:pt idx="17">
                  <c:v>25951.080000000016</c:v>
                </c:pt>
                <c:pt idx="18">
                  <c:v>21717.789999999979</c:v>
                </c:pt>
                <c:pt idx="19">
                  <c:v>22217.270000000019</c:v>
                </c:pt>
                <c:pt idx="20">
                  <c:v>21222.559999999998</c:v>
                </c:pt>
                <c:pt idx="21">
                  <c:v>21681.119999999995</c:v>
                </c:pt>
                <c:pt idx="22">
                  <c:v>22659.959999999963</c:v>
                </c:pt>
                <c:pt idx="23">
                  <c:v>22644.090000000026</c:v>
                </c:pt>
                <c:pt idx="24">
                  <c:v>23122</c:v>
                </c:pt>
                <c:pt idx="25">
                  <c:v>22721</c:v>
                </c:pt>
                <c:pt idx="26">
                  <c:v>21225</c:v>
                </c:pt>
                <c:pt idx="27">
                  <c:v>21058</c:v>
                </c:pt>
                <c:pt idx="28">
                  <c:v>23083</c:v>
                </c:pt>
                <c:pt idx="29">
                  <c:v>22284</c:v>
                </c:pt>
                <c:pt idx="30">
                  <c:v>21500</c:v>
                </c:pt>
                <c:pt idx="31">
                  <c:v>-1792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8694656"/>
        <c:axId val="98696192"/>
      </c:lineChart>
      <c:catAx>
        <c:axId val="9869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6192"/>
        <c:crosses val="autoZero"/>
        <c:auto val="1"/>
        <c:lblAlgn val="ctr"/>
        <c:lblOffset val="100"/>
      </c:catAx>
      <c:valAx>
        <c:axId val="9869619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465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9.6400000000003274</c:v>
                </c:pt>
                <c:pt idx="1">
                  <c:v>9.7999999999997272</c:v>
                </c:pt>
                <c:pt idx="2">
                  <c:v>9.3099999999999454</c:v>
                </c:pt>
                <c:pt idx="3">
                  <c:v>9.5900000000001455</c:v>
                </c:pt>
                <c:pt idx="4">
                  <c:v>9.5799999999999272</c:v>
                </c:pt>
                <c:pt idx="5">
                  <c:v>9.8200000000001637</c:v>
                </c:pt>
                <c:pt idx="6">
                  <c:v>9.819999999999709</c:v>
                </c:pt>
                <c:pt idx="7">
                  <c:v>9.5500000000001819</c:v>
                </c:pt>
                <c:pt idx="8">
                  <c:v>9.8400000000001455</c:v>
                </c:pt>
                <c:pt idx="9">
                  <c:v>10.159999999999854</c:v>
                </c:pt>
                <c:pt idx="10">
                  <c:v>10</c:v>
                </c:pt>
                <c:pt idx="11">
                  <c:v>10.7199999999998</c:v>
                </c:pt>
                <c:pt idx="12">
                  <c:v>10.200000000000273</c:v>
                </c:pt>
                <c:pt idx="13">
                  <c:v>9.8899999999998727</c:v>
                </c:pt>
                <c:pt idx="14">
                  <c:v>11.220000000000255</c:v>
                </c:pt>
                <c:pt idx="15">
                  <c:v>-291.15999999999985</c:v>
                </c:pt>
                <c:pt idx="16">
                  <c:v>10.059999999999491</c:v>
                </c:pt>
                <c:pt idx="17">
                  <c:v>10.289999999999964</c:v>
                </c:pt>
                <c:pt idx="18">
                  <c:v>9.4000000000005457</c:v>
                </c:pt>
                <c:pt idx="19">
                  <c:v>9.1499999999996362</c:v>
                </c:pt>
                <c:pt idx="20">
                  <c:v>9.4600000000000364</c:v>
                </c:pt>
                <c:pt idx="21">
                  <c:v>9.180000000000291</c:v>
                </c:pt>
                <c:pt idx="22">
                  <c:v>9.0399999999999636</c:v>
                </c:pt>
                <c:pt idx="23">
                  <c:v>8.8299999999999272</c:v>
                </c:pt>
                <c:pt idx="24">
                  <c:v>8.8299999999999272</c:v>
                </c:pt>
                <c:pt idx="25">
                  <c:v>9.2699999999999818</c:v>
                </c:pt>
                <c:pt idx="26">
                  <c:v>9.1599999999998545</c:v>
                </c:pt>
                <c:pt idx="27">
                  <c:v>9.7199999999997999</c:v>
                </c:pt>
                <c:pt idx="28">
                  <c:v>9.3099999999999454</c:v>
                </c:pt>
                <c:pt idx="29">
                  <c:v>8.8400000000001455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8749056"/>
        <c:axId val="98763136"/>
      </c:lineChart>
      <c:catAx>
        <c:axId val="9874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3136"/>
        <c:crosses val="autoZero"/>
        <c:auto val="1"/>
        <c:lblAlgn val="ctr"/>
        <c:lblOffset val="100"/>
      </c:catAx>
      <c:valAx>
        <c:axId val="9876313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90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4338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262.70299999997951</c:v>
                </c:pt>
                <c:pt idx="1">
                  <c:v>259.91700000001583</c:v>
                </c:pt>
                <c:pt idx="2">
                  <c:v>266.89000000001397</c:v>
                </c:pt>
                <c:pt idx="3">
                  <c:v>266.65000000002328</c:v>
                </c:pt>
                <c:pt idx="4">
                  <c:v>261.97999999998137</c:v>
                </c:pt>
                <c:pt idx="5">
                  <c:v>262</c:v>
                </c:pt>
                <c:pt idx="6">
                  <c:v>279</c:v>
                </c:pt>
                <c:pt idx="7">
                  <c:v>281</c:v>
                </c:pt>
                <c:pt idx="8">
                  <c:v>275</c:v>
                </c:pt>
                <c:pt idx="9">
                  <c:v>277</c:v>
                </c:pt>
                <c:pt idx="10">
                  <c:v>271</c:v>
                </c:pt>
                <c:pt idx="11">
                  <c:v>304</c:v>
                </c:pt>
                <c:pt idx="12">
                  <c:v>-8028.4899999999907</c:v>
                </c:pt>
                <c:pt idx="13">
                  <c:v>289.02000000001863</c:v>
                </c:pt>
                <c:pt idx="14">
                  <c:v>295.73999999999069</c:v>
                </c:pt>
                <c:pt idx="15">
                  <c:v>267.72999999998137</c:v>
                </c:pt>
                <c:pt idx="16">
                  <c:v>260.44999999995343</c:v>
                </c:pt>
                <c:pt idx="17">
                  <c:v>269.23000000009779</c:v>
                </c:pt>
                <c:pt idx="18">
                  <c:v>265</c:v>
                </c:pt>
                <c:pt idx="19">
                  <c:v>259.03999999992084</c:v>
                </c:pt>
                <c:pt idx="20">
                  <c:v>254.28000000002794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504.3640000000305</c:v>
                </c:pt>
                <c:pt idx="1">
                  <c:v>367.07099999997445</c:v>
                </c:pt>
                <c:pt idx="2">
                  <c:v>539.02999999993881</c:v>
                </c:pt>
                <c:pt idx="3">
                  <c:v>449.25000000000182</c:v>
                </c:pt>
                <c:pt idx="4">
                  <c:v>508.39000000002125</c:v>
                </c:pt>
                <c:pt idx="5">
                  <c:v>393.20000000000073</c:v>
                </c:pt>
                <c:pt idx="6">
                  <c:v>507.79999999999927</c:v>
                </c:pt>
                <c:pt idx="7">
                  <c:v>402</c:v>
                </c:pt>
                <c:pt idx="8">
                  <c:v>504.39999999999418</c:v>
                </c:pt>
                <c:pt idx="9">
                  <c:v>486</c:v>
                </c:pt>
                <c:pt idx="10">
                  <c:v>659.60000000000582</c:v>
                </c:pt>
                <c:pt idx="11">
                  <c:v>470</c:v>
                </c:pt>
                <c:pt idx="12">
                  <c:v>12891.359999999991</c:v>
                </c:pt>
                <c:pt idx="13">
                  <c:v>499.079999999969</c:v>
                </c:pt>
                <c:pt idx="14">
                  <c:v>496.46000000001914</c:v>
                </c:pt>
                <c:pt idx="15">
                  <c:v>582.10000000002037</c:v>
                </c:pt>
                <c:pt idx="16">
                  <c:v>569.62000000003536</c:v>
                </c:pt>
                <c:pt idx="17">
                  <c:v>554.79999999992651</c:v>
                </c:pt>
                <c:pt idx="18">
                  <c:v>557.20999999997002</c:v>
                </c:pt>
                <c:pt idx="19">
                  <c:v>568.84000000010747</c:v>
                </c:pt>
                <c:pt idx="20">
                  <c:v>553.92999999995482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75.590000000025611</c:v>
                </c:pt>
                <c:pt idx="1">
                  <c:v>71.399999999994179</c:v>
                </c:pt>
                <c:pt idx="2">
                  <c:v>107.75999999998021</c:v>
                </c:pt>
                <c:pt idx="3">
                  <c:v>96.310000000026776</c:v>
                </c:pt>
                <c:pt idx="4">
                  <c:v>95.35999999998603</c:v>
                </c:pt>
                <c:pt idx="5">
                  <c:v>76</c:v>
                </c:pt>
                <c:pt idx="6">
                  <c:v>84</c:v>
                </c:pt>
                <c:pt idx="7">
                  <c:v>91</c:v>
                </c:pt>
                <c:pt idx="8">
                  <c:v>80</c:v>
                </c:pt>
                <c:pt idx="9">
                  <c:v>101</c:v>
                </c:pt>
                <c:pt idx="10">
                  <c:v>110</c:v>
                </c:pt>
                <c:pt idx="11">
                  <c:v>86</c:v>
                </c:pt>
                <c:pt idx="12">
                  <c:v>-2565.4700000000012</c:v>
                </c:pt>
                <c:pt idx="13">
                  <c:v>114.20000000001164</c:v>
                </c:pt>
                <c:pt idx="14">
                  <c:v>107.79999999998836</c:v>
                </c:pt>
                <c:pt idx="15">
                  <c:v>68.470000000001164</c:v>
                </c:pt>
                <c:pt idx="16">
                  <c:v>81.230000000010477</c:v>
                </c:pt>
                <c:pt idx="17">
                  <c:v>85.069999999977881</c:v>
                </c:pt>
                <c:pt idx="18">
                  <c:v>82.090000000025611</c:v>
                </c:pt>
                <c:pt idx="19">
                  <c:v>78.819999999977881</c:v>
                </c:pt>
                <c:pt idx="20">
                  <c:v>87.790000000008149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99268480"/>
        <c:axId val="99270016"/>
      </c:lineChart>
      <c:catAx>
        <c:axId val="9926848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9270016"/>
        <c:crosses val="autoZero"/>
        <c:auto val="1"/>
        <c:lblAlgn val="ctr"/>
        <c:lblOffset val="100"/>
      </c:catAx>
      <c:valAx>
        <c:axId val="9927001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92684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68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34</c:v>
                </c:pt>
                <c:pt idx="1">
                  <c:v>68</c:v>
                </c:pt>
                <c:pt idx="2">
                  <c:v>62</c:v>
                </c:pt>
                <c:pt idx="3">
                  <c:v>91</c:v>
                </c:pt>
                <c:pt idx="4">
                  <c:v>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84</c:v>
                </c:pt>
                <c:pt idx="9">
                  <c:v>76</c:v>
                </c:pt>
                <c:pt idx="10">
                  <c:v>69</c:v>
                </c:pt>
                <c:pt idx="11">
                  <c:v>87</c:v>
                </c:pt>
                <c:pt idx="12">
                  <c:v>74</c:v>
                </c:pt>
                <c:pt idx="13">
                  <c:v>69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6503936"/>
        <c:axId val="16650547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6519552"/>
        <c:axId val="166521088"/>
      </c:lineChart>
      <c:catAx>
        <c:axId val="16650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5472"/>
        <c:crosses val="autoZero"/>
        <c:auto val="1"/>
        <c:lblAlgn val="ctr"/>
        <c:lblOffset val="100"/>
      </c:catAx>
      <c:valAx>
        <c:axId val="16650547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3936"/>
        <c:crosses val="autoZero"/>
        <c:crossBetween val="between"/>
        <c:minorUnit val="50"/>
      </c:valAx>
      <c:catAx>
        <c:axId val="166519552"/>
        <c:scaling>
          <c:orientation val="minMax"/>
        </c:scaling>
        <c:delete val="1"/>
        <c:axPos val="b"/>
        <c:tickLblPos val="none"/>
        <c:crossAx val="166521088"/>
        <c:crosses val="autoZero"/>
        <c:auto val="1"/>
        <c:lblAlgn val="ctr"/>
        <c:lblOffset val="100"/>
      </c:catAx>
      <c:valAx>
        <c:axId val="16652108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1955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6426880"/>
        <c:axId val="166428672"/>
      </c:lineChart>
      <c:catAx>
        <c:axId val="16642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8672"/>
        <c:crosses val="autoZero"/>
        <c:auto val="1"/>
        <c:lblAlgn val="ctr"/>
        <c:lblOffset val="100"/>
      </c:catAx>
      <c:valAx>
        <c:axId val="16642867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68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6453632"/>
        <c:axId val="166455168"/>
      </c:lineChart>
      <c:catAx>
        <c:axId val="1664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55168"/>
        <c:crosses val="autoZero"/>
        <c:auto val="1"/>
        <c:lblAlgn val="ctr"/>
        <c:lblOffset val="100"/>
      </c:catAx>
      <c:valAx>
        <c:axId val="16645516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536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576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6555008"/>
        <c:axId val="16656089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6562432"/>
        <c:axId val="166568320"/>
      </c:lineChart>
      <c:catAx>
        <c:axId val="16655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0896"/>
        <c:crosses val="autoZero"/>
        <c:auto val="1"/>
        <c:lblAlgn val="ctr"/>
        <c:lblOffset val="100"/>
      </c:catAx>
      <c:valAx>
        <c:axId val="16656089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55008"/>
        <c:crosses val="autoZero"/>
        <c:crossBetween val="between"/>
      </c:valAx>
      <c:catAx>
        <c:axId val="166562432"/>
        <c:scaling>
          <c:orientation val="minMax"/>
        </c:scaling>
        <c:delete val="1"/>
        <c:axPos val="b"/>
        <c:tickLblPos val="none"/>
        <c:crossAx val="166568320"/>
        <c:crosses val="autoZero"/>
        <c:auto val="1"/>
        <c:lblAlgn val="ctr"/>
        <c:lblOffset val="100"/>
      </c:catAx>
      <c:valAx>
        <c:axId val="1665683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2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325.52999999999884</c:v>
                </c:pt>
                <c:pt idx="1">
                  <c:v>318.47999999999593</c:v>
                </c:pt>
                <c:pt idx="2">
                  <c:v>310.1299999999901</c:v>
                </c:pt>
                <c:pt idx="3">
                  <c:v>299.06000000001222</c:v>
                </c:pt>
                <c:pt idx="4">
                  <c:v>0</c:v>
                </c:pt>
                <c:pt idx="5">
                  <c:v>329</c:v>
                </c:pt>
                <c:pt idx="6">
                  <c:v>332</c:v>
                </c:pt>
                <c:pt idx="7">
                  <c:v>306.19999999999709</c:v>
                </c:pt>
                <c:pt idx="8">
                  <c:v>324</c:v>
                </c:pt>
                <c:pt idx="9">
                  <c:v>323</c:v>
                </c:pt>
                <c:pt idx="10">
                  <c:v>322</c:v>
                </c:pt>
                <c:pt idx="11">
                  <c:v>335</c:v>
                </c:pt>
                <c:pt idx="12">
                  <c:v>308</c:v>
                </c:pt>
                <c:pt idx="13">
                  <c:v>303</c:v>
                </c:pt>
                <c:pt idx="14">
                  <c:v>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6636160"/>
        <c:axId val="16663795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6639488"/>
        <c:axId val="166641024"/>
      </c:lineChart>
      <c:catAx>
        <c:axId val="16663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37952"/>
        <c:crosses val="autoZero"/>
        <c:auto val="1"/>
        <c:lblAlgn val="ctr"/>
        <c:lblOffset val="100"/>
      </c:catAx>
      <c:valAx>
        <c:axId val="16663795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36160"/>
        <c:crosses val="autoZero"/>
        <c:crossBetween val="between"/>
        <c:majorUnit val="2"/>
      </c:valAx>
      <c:catAx>
        <c:axId val="166639488"/>
        <c:scaling>
          <c:orientation val="minMax"/>
        </c:scaling>
        <c:delete val="1"/>
        <c:axPos val="b"/>
        <c:tickLblPos val="none"/>
        <c:crossAx val="166641024"/>
        <c:crosses val="autoZero"/>
        <c:auto val="1"/>
        <c:lblAlgn val="ctr"/>
        <c:lblOffset val="100"/>
      </c:catAx>
      <c:valAx>
        <c:axId val="1666410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3948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108057</xdr:rowOff>
    </xdr:from>
    <xdr:to>
      <xdr:col>42</xdr:col>
      <xdr:colOff>313765</xdr:colOff>
      <xdr:row>59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L28" sqref="L28"/>
    </sheetView>
  </sheetViews>
  <sheetFormatPr defaultColWidth="9" defaultRowHeight="15"/>
  <cols>
    <col min="1" max="1" width="9.6640625" style="792" customWidth="1"/>
    <col min="2" max="3" width="9" style="786"/>
    <col min="4" max="4" width="10.44140625" style="787" customWidth="1"/>
    <col min="5" max="5" width="9.77734375" style="788" customWidth="1"/>
    <col min="6" max="6" width="9.77734375" style="792" customWidth="1"/>
    <col min="7" max="10" width="9" style="792"/>
    <col min="11" max="12" width="9" style="788"/>
    <col min="13" max="13" width="0" style="791" hidden="1" customWidth="1"/>
    <col min="14" max="256" width="9" style="791"/>
    <col min="257" max="257" width="9.6640625" style="791" customWidth="1"/>
    <col min="258" max="259" width="9" style="791"/>
    <col min="260" max="260" width="10.44140625" style="791" customWidth="1"/>
    <col min="261" max="262" width="9.77734375" style="791" customWidth="1"/>
    <col min="263" max="268" width="9" style="791"/>
    <col min="269" max="269" width="0" style="791" hidden="1" customWidth="1"/>
    <col min="270" max="512" width="9" style="791"/>
    <col min="513" max="513" width="9.6640625" style="791" customWidth="1"/>
    <col min="514" max="515" width="9" style="791"/>
    <col min="516" max="516" width="10.44140625" style="791" customWidth="1"/>
    <col min="517" max="518" width="9.77734375" style="791" customWidth="1"/>
    <col min="519" max="524" width="9" style="791"/>
    <col min="525" max="525" width="0" style="791" hidden="1" customWidth="1"/>
    <col min="526" max="768" width="9" style="791"/>
    <col min="769" max="769" width="9.6640625" style="791" customWidth="1"/>
    <col min="770" max="771" width="9" style="791"/>
    <col min="772" max="772" width="10.44140625" style="791" customWidth="1"/>
    <col min="773" max="774" width="9.77734375" style="791" customWidth="1"/>
    <col min="775" max="780" width="9" style="791"/>
    <col min="781" max="781" width="0" style="791" hidden="1" customWidth="1"/>
    <col min="782" max="1024" width="9" style="791"/>
    <col min="1025" max="1025" width="9.6640625" style="791" customWidth="1"/>
    <col min="1026" max="1027" width="9" style="791"/>
    <col min="1028" max="1028" width="10.44140625" style="791" customWidth="1"/>
    <col min="1029" max="1030" width="9.77734375" style="791" customWidth="1"/>
    <col min="1031" max="1036" width="9" style="791"/>
    <col min="1037" max="1037" width="0" style="791" hidden="1" customWidth="1"/>
    <col min="1038" max="1280" width="9" style="791"/>
    <col min="1281" max="1281" width="9.6640625" style="791" customWidth="1"/>
    <col min="1282" max="1283" width="9" style="791"/>
    <col min="1284" max="1284" width="10.44140625" style="791" customWidth="1"/>
    <col min="1285" max="1286" width="9.77734375" style="791" customWidth="1"/>
    <col min="1287" max="1292" width="9" style="791"/>
    <col min="1293" max="1293" width="0" style="791" hidden="1" customWidth="1"/>
    <col min="1294" max="1536" width="9" style="791"/>
    <col min="1537" max="1537" width="9.6640625" style="791" customWidth="1"/>
    <col min="1538" max="1539" width="9" style="791"/>
    <col min="1540" max="1540" width="10.44140625" style="791" customWidth="1"/>
    <col min="1541" max="1542" width="9.77734375" style="791" customWidth="1"/>
    <col min="1543" max="1548" width="9" style="791"/>
    <col min="1549" max="1549" width="0" style="791" hidden="1" customWidth="1"/>
    <col min="1550" max="1792" width="9" style="791"/>
    <col min="1793" max="1793" width="9.6640625" style="791" customWidth="1"/>
    <col min="1794" max="1795" width="9" style="791"/>
    <col min="1796" max="1796" width="10.44140625" style="791" customWidth="1"/>
    <col min="1797" max="1798" width="9.77734375" style="791" customWidth="1"/>
    <col min="1799" max="1804" width="9" style="791"/>
    <col min="1805" max="1805" width="0" style="791" hidden="1" customWidth="1"/>
    <col min="1806" max="2048" width="9" style="791"/>
    <col min="2049" max="2049" width="9.6640625" style="791" customWidth="1"/>
    <col min="2050" max="2051" width="9" style="791"/>
    <col min="2052" max="2052" width="10.44140625" style="791" customWidth="1"/>
    <col min="2053" max="2054" width="9.77734375" style="791" customWidth="1"/>
    <col min="2055" max="2060" width="9" style="791"/>
    <col min="2061" max="2061" width="0" style="791" hidden="1" customWidth="1"/>
    <col min="2062" max="2304" width="9" style="791"/>
    <col min="2305" max="2305" width="9.6640625" style="791" customWidth="1"/>
    <col min="2306" max="2307" width="9" style="791"/>
    <col min="2308" max="2308" width="10.44140625" style="791" customWidth="1"/>
    <col min="2309" max="2310" width="9.77734375" style="791" customWidth="1"/>
    <col min="2311" max="2316" width="9" style="791"/>
    <col min="2317" max="2317" width="0" style="791" hidden="1" customWidth="1"/>
    <col min="2318" max="2560" width="9" style="791"/>
    <col min="2561" max="2561" width="9.6640625" style="791" customWidth="1"/>
    <col min="2562" max="2563" width="9" style="791"/>
    <col min="2564" max="2564" width="10.44140625" style="791" customWidth="1"/>
    <col min="2565" max="2566" width="9.77734375" style="791" customWidth="1"/>
    <col min="2567" max="2572" width="9" style="791"/>
    <col min="2573" max="2573" width="0" style="791" hidden="1" customWidth="1"/>
    <col min="2574" max="2816" width="9" style="791"/>
    <col min="2817" max="2817" width="9.6640625" style="791" customWidth="1"/>
    <col min="2818" max="2819" width="9" style="791"/>
    <col min="2820" max="2820" width="10.44140625" style="791" customWidth="1"/>
    <col min="2821" max="2822" width="9.77734375" style="791" customWidth="1"/>
    <col min="2823" max="2828" width="9" style="791"/>
    <col min="2829" max="2829" width="0" style="791" hidden="1" customWidth="1"/>
    <col min="2830" max="3072" width="9" style="791"/>
    <col min="3073" max="3073" width="9.6640625" style="791" customWidth="1"/>
    <col min="3074" max="3075" width="9" style="791"/>
    <col min="3076" max="3076" width="10.44140625" style="791" customWidth="1"/>
    <col min="3077" max="3078" width="9.77734375" style="791" customWidth="1"/>
    <col min="3079" max="3084" width="9" style="791"/>
    <col min="3085" max="3085" width="0" style="791" hidden="1" customWidth="1"/>
    <col min="3086" max="3328" width="9" style="791"/>
    <col min="3329" max="3329" width="9.6640625" style="791" customWidth="1"/>
    <col min="3330" max="3331" width="9" style="791"/>
    <col min="3332" max="3332" width="10.44140625" style="791" customWidth="1"/>
    <col min="3333" max="3334" width="9.77734375" style="791" customWidth="1"/>
    <col min="3335" max="3340" width="9" style="791"/>
    <col min="3341" max="3341" width="0" style="791" hidden="1" customWidth="1"/>
    <col min="3342" max="3584" width="9" style="791"/>
    <col min="3585" max="3585" width="9.6640625" style="791" customWidth="1"/>
    <col min="3586" max="3587" width="9" style="791"/>
    <col min="3588" max="3588" width="10.44140625" style="791" customWidth="1"/>
    <col min="3589" max="3590" width="9.77734375" style="791" customWidth="1"/>
    <col min="3591" max="3596" width="9" style="791"/>
    <col min="3597" max="3597" width="0" style="791" hidden="1" customWidth="1"/>
    <col min="3598" max="3840" width="9" style="791"/>
    <col min="3841" max="3841" width="9.6640625" style="791" customWidth="1"/>
    <col min="3842" max="3843" width="9" style="791"/>
    <col min="3844" max="3844" width="10.44140625" style="791" customWidth="1"/>
    <col min="3845" max="3846" width="9.77734375" style="791" customWidth="1"/>
    <col min="3847" max="3852" width="9" style="791"/>
    <col min="3853" max="3853" width="0" style="791" hidden="1" customWidth="1"/>
    <col min="3854" max="4096" width="9" style="791"/>
    <col min="4097" max="4097" width="9.6640625" style="791" customWidth="1"/>
    <col min="4098" max="4099" width="9" style="791"/>
    <col min="4100" max="4100" width="10.44140625" style="791" customWidth="1"/>
    <col min="4101" max="4102" width="9.77734375" style="791" customWidth="1"/>
    <col min="4103" max="4108" width="9" style="791"/>
    <col min="4109" max="4109" width="0" style="791" hidden="1" customWidth="1"/>
    <col min="4110" max="4352" width="9" style="791"/>
    <col min="4353" max="4353" width="9.6640625" style="791" customWidth="1"/>
    <col min="4354" max="4355" width="9" style="791"/>
    <col min="4356" max="4356" width="10.44140625" style="791" customWidth="1"/>
    <col min="4357" max="4358" width="9.77734375" style="791" customWidth="1"/>
    <col min="4359" max="4364" width="9" style="791"/>
    <col min="4365" max="4365" width="0" style="791" hidden="1" customWidth="1"/>
    <col min="4366" max="4608" width="9" style="791"/>
    <col min="4609" max="4609" width="9.6640625" style="791" customWidth="1"/>
    <col min="4610" max="4611" width="9" style="791"/>
    <col min="4612" max="4612" width="10.44140625" style="791" customWidth="1"/>
    <col min="4613" max="4614" width="9.77734375" style="791" customWidth="1"/>
    <col min="4615" max="4620" width="9" style="791"/>
    <col min="4621" max="4621" width="0" style="791" hidden="1" customWidth="1"/>
    <col min="4622" max="4864" width="9" style="791"/>
    <col min="4865" max="4865" width="9.6640625" style="791" customWidth="1"/>
    <col min="4866" max="4867" width="9" style="791"/>
    <col min="4868" max="4868" width="10.44140625" style="791" customWidth="1"/>
    <col min="4869" max="4870" width="9.77734375" style="791" customWidth="1"/>
    <col min="4871" max="4876" width="9" style="791"/>
    <col min="4877" max="4877" width="0" style="791" hidden="1" customWidth="1"/>
    <col min="4878" max="5120" width="9" style="791"/>
    <col min="5121" max="5121" width="9.6640625" style="791" customWidth="1"/>
    <col min="5122" max="5123" width="9" style="791"/>
    <col min="5124" max="5124" width="10.44140625" style="791" customWidth="1"/>
    <col min="5125" max="5126" width="9.77734375" style="791" customWidth="1"/>
    <col min="5127" max="5132" width="9" style="791"/>
    <col min="5133" max="5133" width="0" style="791" hidden="1" customWidth="1"/>
    <col min="5134" max="5376" width="9" style="791"/>
    <col min="5377" max="5377" width="9.6640625" style="791" customWidth="1"/>
    <col min="5378" max="5379" width="9" style="791"/>
    <col min="5380" max="5380" width="10.44140625" style="791" customWidth="1"/>
    <col min="5381" max="5382" width="9.77734375" style="791" customWidth="1"/>
    <col min="5383" max="5388" width="9" style="791"/>
    <col min="5389" max="5389" width="0" style="791" hidden="1" customWidth="1"/>
    <col min="5390" max="5632" width="9" style="791"/>
    <col min="5633" max="5633" width="9.6640625" style="791" customWidth="1"/>
    <col min="5634" max="5635" width="9" style="791"/>
    <col min="5636" max="5636" width="10.44140625" style="791" customWidth="1"/>
    <col min="5637" max="5638" width="9.77734375" style="791" customWidth="1"/>
    <col min="5639" max="5644" width="9" style="791"/>
    <col min="5645" max="5645" width="0" style="791" hidden="1" customWidth="1"/>
    <col min="5646" max="5888" width="9" style="791"/>
    <col min="5889" max="5889" width="9.6640625" style="791" customWidth="1"/>
    <col min="5890" max="5891" width="9" style="791"/>
    <col min="5892" max="5892" width="10.44140625" style="791" customWidth="1"/>
    <col min="5893" max="5894" width="9.77734375" style="791" customWidth="1"/>
    <col min="5895" max="5900" width="9" style="791"/>
    <col min="5901" max="5901" width="0" style="791" hidden="1" customWidth="1"/>
    <col min="5902" max="6144" width="9" style="791"/>
    <col min="6145" max="6145" width="9.6640625" style="791" customWidth="1"/>
    <col min="6146" max="6147" width="9" style="791"/>
    <col min="6148" max="6148" width="10.44140625" style="791" customWidth="1"/>
    <col min="6149" max="6150" width="9.77734375" style="791" customWidth="1"/>
    <col min="6151" max="6156" width="9" style="791"/>
    <col min="6157" max="6157" width="0" style="791" hidden="1" customWidth="1"/>
    <col min="6158" max="6400" width="9" style="791"/>
    <col min="6401" max="6401" width="9.6640625" style="791" customWidth="1"/>
    <col min="6402" max="6403" width="9" style="791"/>
    <col min="6404" max="6404" width="10.44140625" style="791" customWidth="1"/>
    <col min="6405" max="6406" width="9.77734375" style="791" customWidth="1"/>
    <col min="6407" max="6412" width="9" style="791"/>
    <col min="6413" max="6413" width="0" style="791" hidden="1" customWidth="1"/>
    <col min="6414" max="6656" width="9" style="791"/>
    <col min="6657" max="6657" width="9.6640625" style="791" customWidth="1"/>
    <col min="6658" max="6659" width="9" style="791"/>
    <col min="6660" max="6660" width="10.44140625" style="791" customWidth="1"/>
    <col min="6661" max="6662" width="9.77734375" style="791" customWidth="1"/>
    <col min="6663" max="6668" width="9" style="791"/>
    <col min="6669" max="6669" width="0" style="791" hidden="1" customWidth="1"/>
    <col min="6670" max="6912" width="9" style="791"/>
    <col min="6913" max="6913" width="9.6640625" style="791" customWidth="1"/>
    <col min="6914" max="6915" width="9" style="791"/>
    <col min="6916" max="6916" width="10.44140625" style="791" customWidth="1"/>
    <col min="6917" max="6918" width="9.77734375" style="791" customWidth="1"/>
    <col min="6919" max="6924" width="9" style="791"/>
    <col min="6925" max="6925" width="0" style="791" hidden="1" customWidth="1"/>
    <col min="6926" max="7168" width="9" style="791"/>
    <col min="7169" max="7169" width="9.6640625" style="791" customWidth="1"/>
    <col min="7170" max="7171" width="9" style="791"/>
    <col min="7172" max="7172" width="10.44140625" style="791" customWidth="1"/>
    <col min="7173" max="7174" width="9.77734375" style="791" customWidth="1"/>
    <col min="7175" max="7180" width="9" style="791"/>
    <col min="7181" max="7181" width="0" style="791" hidden="1" customWidth="1"/>
    <col min="7182" max="7424" width="9" style="791"/>
    <col min="7425" max="7425" width="9.6640625" style="791" customWidth="1"/>
    <col min="7426" max="7427" width="9" style="791"/>
    <col min="7428" max="7428" width="10.44140625" style="791" customWidth="1"/>
    <col min="7429" max="7430" width="9.77734375" style="791" customWidth="1"/>
    <col min="7431" max="7436" width="9" style="791"/>
    <col min="7437" max="7437" width="0" style="791" hidden="1" customWidth="1"/>
    <col min="7438" max="7680" width="9" style="791"/>
    <col min="7681" max="7681" width="9.6640625" style="791" customWidth="1"/>
    <col min="7682" max="7683" width="9" style="791"/>
    <col min="7684" max="7684" width="10.44140625" style="791" customWidth="1"/>
    <col min="7685" max="7686" width="9.77734375" style="791" customWidth="1"/>
    <col min="7687" max="7692" width="9" style="791"/>
    <col min="7693" max="7693" width="0" style="791" hidden="1" customWidth="1"/>
    <col min="7694" max="7936" width="9" style="791"/>
    <col min="7937" max="7937" width="9.6640625" style="791" customWidth="1"/>
    <col min="7938" max="7939" width="9" style="791"/>
    <col min="7940" max="7940" width="10.44140625" style="791" customWidth="1"/>
    <col min="7941" max="7942" width="9.77734375" style="791" customWidth="1"/>
    <col min="7943" max="7948" width="9" style="791"/>
    <col min="7949" max="7949" width="0" style="791" hidden="1" customWidth="1"/>
    <col min="7950" max="8192" width="9" style="791"/>
    <col min="8193" max="8193" width="9.6640625" style="791" customWidth="1"/>
    <col min="8194" max="8195" width="9" style="791"/>
    <col min="8196" max="8196" width="10.44140625" style="791" customWidth="1"/>
    <col min="8197" max="8198" width="9.77734375" style="791" customWidth="1"/>
    <col min="8199" max="8204" width="9" style="791"/>
    <col min="8205" max="8205" width="0" style="791" hidden="1" customWidth="1"/>
    <col min="8206" max="8448" width="9" style="791"/>
    <col min="8449" max="8449" width="9.6640625" style="791" customWidth="1"/>
    <col min="8450" max="8451" width="9" style="791"/>
    <col min="8452" max="8452" width="10.44140625" style="791" customWidth="1"/>
    <col min="8453" max="8454" width="9.77734375" style="791" customWidth="1"/>
    <col min="8455" max="8460" width="9" style="791"/>
    <col min="8461" max="8461" width="0" style="791" hidden="1" customWidth="1"/>
    <col min="8462" max="8704" width="9" style="791"/>
    <col min="8705" max="8705" width="9.6640625" style="791" customWidth="1"/>
    <col min="8706" max="8707" width="9" style="791"/>
    <col min="8708" max="8708" width="10.44140625" style="791" customWidth="1"/>
    <col min="8709" max="8710" width="9.77734375" style="791" customWidth="1"/>
    <col min="8711" max="8716" width="9" style="791"/>
    <col min="8717" max="8717" width="0" style="791" hidden="1" customWidth="1"/>
    <col min="8718" max="8960" width="9" style="791"/>
    <col min="8961" max="8961" width="9.6640625" style="791" customWidth="1"/>
    <col min="8962" max="8963" width="9" style="791"/>
    <col min="8964" max="8964" width="10.44140625" style="791" customWidth="1"/>
    <col min="8965" max="8966" width="9.77734375" style="791" customWidth="1"/>
    <col min="8967" max="8972" width="9" style="791"/>
    <col min="8973" max="8973" width="0" style="791" hidden="1" customWidth="1"/>
    <col min="8974" max="9216" width="9" style="791"/>
    <col min="9217" max="9217" width="9.6640625" style="791" customWidth="1"/>
    <col min="9218" max="9219" width="9" style="791"/>
    <col min="9220" max="9220" width="10.44140625" style="791" customWidth="1"/>
    <col min="9221" max="9222" width="9.77734375" style="791" customWidth="1"/>
    <col min="9223" max="9228" width="9" style="791"/>
    <col min="9229" max="9229" width="0" style="791" hidden="1" customWidth="1"/>
    <col min="9230" max="9472" width="9" style="791"/>
    <col min="9473" max="9473" width="9.6640625" style="791" customWidth="1"/>
    <col min="9474" max="9475" width="9" style="791"/>
    <col min="9476" max="9476" width="10.44140625" style="791" customWidth="1"/>
    <col min="9477" max="9478" width="9.77734375" style="791" customWidth="1"/>
    <col min="9479" max="9484" width="9" style="791"/>
    <col min="9485" max="9485" width="0" style="791" hidden="1" customWidth="1"/>
    <col min="9486" max="9728" width="9" style="791"/>
    <col min="9729" max="9729" width="9.6640625" style="791" customWidth="1"/>
    <col min="9730" max="9731" width="9" style="791"/>
    <col min="9732" max="9732" width="10.44140625" style="791" customWidth="1"/>
    <col min="9733" max="9734" width="9.77734375" style="791" customWidth="1"/>
    <col min="9735" max="9740" width="9" style="791"/>
    <col min="9741" max="9741" width="0" style="791" hidden="1" customWidth="1"/>
    <col min="9742" max="9984" width="9" style="791"/>
    <col min="9985" max="9985" width="9.6640625" style="791" customWidth="1"/>
    <col min="9986" max="9987" width="9" style="791"/>
    <col min="9988" max="9988" width="10.44140625" style="791" customWidth="1"/>
    <col min="9989" max="9990" width="9.77734375" style="791" customWidth="1"/>
    <col min="9991" max="9996" width="9" style="791"/>
    <col min="9997" max="9997" width="0" style="791" hidden="1" customWidth="1"/>
    <col min="9998" max="10240" width="9" style="791"/>
    <col min="10241" max="10241" width="9.6640625" style="791" customWidth="1"/>
    <col min="10242" max="10243" width="9" style="791"/>
    <col min="10244" max="10244" width="10.44140625" style="791" customWidth="1"/>
    <col min="10245" max="10246" width="9.77734375" style="791" customWidth="1"/>
    <col min="10247" max="10252" width="9" style="791"/>
    <col min="10253" max="10253" width="0" style="791" hidden="1" customWidth="1"/>
    <col min="10254" max="10496" width="9" style="791"/>
    <col min="10497" max="10497" width="9.6640625" style="791" customWidth="1"/>
    <col min="10498" max="10499" width="9" style="791"/>
    <col min="10500" max="10500" width="10.44140625" style="791" customWidth="1"/>
    <col min="10501" max="10502" width="9.77734375" style="791" customWidth="1"/>
    <col min="10503" max="10508" width="9" style="791"/>
    <col min="10509" max="10509" width="0" style="791" hidden="1" customWidth="1"/>
    <col min="10510" max="10752" width="9" style="791"/>
    <col min="10753" max="10753" width="9.6640625" style="791" customWidth="1"/>
    <col min="10754" max="10755" width="9" style="791"/>
    <col min="10756" max="10756" width="10.44140625" style="791" customWidth="1"/>
    <col min="10757" max="10758" width="9.77734375" style="791" customWidth="1"/>
    <col min="10759" max="10764" width="9" style="791"/>
    <col min="10765" max="10765" width="0" style="791" hidden="1" customWidth="1"/>
    <col min="10766" max="11008" width="9" style="791"/>
    <col min="11009" max="11009" width="9.6640625" style="791" customWidth="1"/>
    <col min="11010" max="11011" width="9" style="791"/>
    <col min="11012" max="11012" width="10.44140625" style="791" customWidth="1"/>
    <col min="11013" max="11014" width="9.77734375" style="791" customWidth="1"/>
    <col min="11015" max="11020" width="9" style="791"/>
    <col min="11021" max="11021" width="0" style="791" hidden="1" customWidth="1"/>
    <col min="11022" max="11264" width="9" style="791"/>
    <col min="11265" max="11265" width="9.6640625" style="791" customWidth="1"/>
    <col min="11266" max="11267" width="9" style="791"/>
    <col min="11268" max="11268" width="10.44140625" style="791" customWidth="1"/>
    <col min="11269" max="11270" width="9.77734375" style="791" customWidth="1"/>
    <col min="11271" max="11276" width="9" style="791"/>
    <col min="11277" max="11277" width="0" style="791" hidden="1" customWidth="1"/>
    <col min="11278" max="11520" width="9" style="791"/>
    <col min="11521" max="11521" width="9.6640625" style="791" customWidth="1"/>
    <col min="11522" max="11523" width="9" style="791"/>
    <col min="11524" max="11524" width="10.44140625" style="791" customWidth="1"/>
    <col min="11525" max="11526" width="9.77734375" style="791" customWidth="1"/>
    <col min="11527" max="11532" width="9" style="791"/>
    <col min="11533" max="11533" width="0" style="791" hidden="1" customWidth="1"/>
    <col min="11534" max="11776" width="9" style="791"/>
    <col min="11777" max="11777" width="9.6640625" style="791" customWidth="1"/>
    <col min="11778" max="11779" width="9" style="791"/>
    <col min="11780" max="11780" width="10.44140625" style="791" customWidth="1"/>
    <col min="11781" max="11782" width="9.77734375" style="791" customWidth="1"/>
    <col min="11783" max="11788" width="9" style="791"/>
    <col min="11789" max="11789" width="0" style="791" hidden="1" customWidth="1"/>
    <col min="11790" max="12032" width="9" style="791"/>
    <col min="12033" max="12033" width="9.6640625" style="791" customWidth="1"/>
    <col min="12034" max="12035" width="9" style="791"/>
    <col min="12036" max="12036" width="10.44140625" style="791" customWidth="1"/>
    <col min="12037" max="12038" width="9.77734375" style="791" customWidth="1"/>
    <col min="12039" max="12044" width="9" style="791"/>
    <col min="12045" max="12045" width="0" style="791" hidden="1" customWidth="1"/>
    <col min="12046" max="12288" width="9" style="791"/>
    <col min="12289" max="12289" width="9.6640625" style="791" customWidth="1"/>
    <col min="12290" max="12291" width="9" style="791"/>
    <col min="12292" max="12292" width="10.44140625" style="791" customWidth="1"/>
    <col min="12293" max="12294" width="9.77734375" style="791" customWidth="1"/>
    <col min="12295" max="12300" width="9" style="791"/>
    <col min="12301" max="12301" width="0" style="791" hidden="1" customWidth="1"/>
    <col min="12302" max="12544" width="9" style="791"/>
    <col min="12545" max="12545" width="9.6640625" style="791" customWidth="1"/>
    <col min="12546" max="12547" width="9" style="791"/>
    <col min="12548" max="12548" width="10.44140625" style="791" customWidth="1"/>
    <col min="12549" max="12550" width="9.77734375" style="791" customWidth="1"/>
    <col min="12551" max="12556" width="9" style="791"/>
    <col min="12557" max="12557" width="0" style="791" hidden="1" customWidth="1"/>
    <col min="12558" max="12800" width="9" style="791"/>
    <col min="12801" max="12801" width="9.6640625" style="791" customWidth="1"/>
    <col min="12802" max="12803" width="9" style="791"/>
    <col min="12804" max="12804" width="10.44140625" style="791" customWidth="1"/>
    <col min="12805" max="12806" width="9.77734375" style="791" customWidth="1"/>
    <col min="12807" max="12812" width="9" style="791"/>
    <col min="12813" max="12813" width="0" style="791" hidden="1" customWidth="1"/>
    <col min="12814" max="13056" width="9" style="791"/>
    <col min="13057" max="13057" width="9.6640625" style="791" customWidth="1"/>
    <col min="13058" max="13059" width="9" style="791"/>
    <col min="13060" max="13060" width="10.44140625" style="791" customWidth="1"/>
    <col min="13061" max="13062" width="9.77734375" style="791" customWidth="1"/>
    <col min="13063" max="13068" width="9" style="791"/>
    <col min="13069" max="13069" width="0" style="791" hidden="1" customWidth="1"/>
    <col min="13070" max="13312" width="9" style="791"/>
    <col min="13313" max="13313" width="9.6640625" style="791" customWidth="1"/>
    <col min="13314" max="13315" width="9" style="791"/>
    <col min="13316" max="13316" width="10.44140625" style="791" customWidth="1"/>
    <col min="13317" max="13318" width="9.77734375" style="791" customWidth="1"/>
    <col min="13319" max="13324" width="9" style="791"/>
    <col min="13325" max="13325" width="0" style="791" hidden="1" customWidth="1"/>
    <col min="13326" max="13568" width="9" style="791"/>
    <col min="13569" max="13569" width="9.6640625" style="791" customWidth="1"/>
    <col min="13570" max="13571" width="9" style="791"/>
    <col min="13572" max="13572" width="10.44140625" style="791" customWidth="1"/>
    <col min="13573" max="13574" width="9.77734375" style="791" customWidth="1"/>
    <col min="13575" max="13580" width="9" style="791"/>
    <col min="13581" max="13581" width="0" style="791" hidden="1" customWidth="1"/>
    <col min="13582" max="13824" width="9" style="791"/>
    <col min="13825" max="13825" width="9.6640625" style="791" customWidth="1"/>
    <col min="13826" max="13827" width="9" style="791"/>
    <col min="13828" max="13828" width="10.44140625" style="791" customWidth="1"/>
    <col min="13829" max="13830" width="9.77734375" style="791" customWidth="1"/>
    <col min="13831" max="13836" width="9" style="791"/>
    <col min="13837" max="13837" width="0" style="791" hidden="1" customWidth="1"/>
    <col min="13838" max="14080" width="9" style="791"/>
    <col min="14081" max="14081" width="9.6640625" style="791" customWidth="1"/>
    <col min="14082" max="14083" width="9" style="791"/>
    <col min="14084" max="14084" width="10.44140625" style="791" customWidth="1"/>
    <col min="14085" max="14086" width="9.77734375" style="791" customWidth="1"/>
    <col min="14087" max="14092" width="9" style="791"/>
    <col min="14093" max="14093" width="0" style="791" hidden="1" customWidth="1"/>
    <col min="14094" max="14336" width="9" style="791"/>
    <col min="14337" max="14337" width="9.6640625" style="791" customWidth="1"/>
    <col min="14338" max="14339" width="9" style="791"/>
    <col min="14340" max="14340" width="10.44140625" style="791" customWidth="1"/>
    <col min="14341" max="14342" width="9.77734375" style="791" customWidth="1"/>
    <col min="14343" max="14348" width="9" style="791"/>
    <col min="14349" max="14349" width="0" style="791" hidden="1" customWidth="1"/>
    <col min="14350" max="14592" width="9" style="791"/>
    <col min="14593" max="14593" width="9.6640625" style="791" customWidth="1"/>
    <col min="14594" max="14595" width="9" style="791"/>
    <col min="14596" max="14596" width="10.44140625" style="791" customWidth="1"/>
    <col min="14597" max="14598" width="9.77734375" style="791" customWidth="1"/>
    <col min="14599" max="14604" width="9" style="791"/>
    <col min="14605" max="14605" width="0" style="791" hidden="1" customWidth="1"/>
    <col min="14606" max="14848" width="9" style="791"/>
    <col min="14849" max="14849" width="9.6640625" style="791" customWidth="1"/>
    <col min="14850" max="14851" width="9" style="791"/>
    <col min="14852" max="14852" width="10.44140625" style="791" customWidth="1"/>
    <col min="14853" max="14854" width="9.77734375" style="791" customWidth="1"/>
    <col min="14855" max="14860" width="9" style="791"/>
    <col min="14861" max="14861" width="0" style="791" hidden="1" customWidth="1"/>
    <col min="14862" max="15104" width="9" style="791"/>
    <col min="15105" max="15105" width="9.6640625" style="791" customWidth="1"/>
    <col min="15106" max="15107" width="9" style="791"/>
    <col min="15108" max="15108" width="10.44140625" style="791" customWidth="1"/>
    <col min="15109" max="15110" width="9.77734375" style="791" customWidth="1"/>
    <col min="15111" max="15116" width="9" style="791"/>
    <col min="15117" max="15117" width="0" style="791" hidden="1" customWidth="1"/>
    <col min="15118" max="15360" width="9" style="791"/>
    <col min="15361" max="15361" width="9.6640625" style="791" customWidth="1"/>
    <col min="15362" max="15363" width="9" style="791"/>
    <col min="15364" max="15364" width="10.44140625" style="791" customWidth="1"/>
    <col min="15365" max="15366" width="9.77734375" style="791" customWidth="1"/>
    <col min="15367" max="15372" width="9" style="791"/>
    <col min="15373" max="15373" width="0" style="791" hidden="1" customWidth="1"/>
    <col min="15374" max="15616" width="9" style="791"/>
    <col min="15617" max="15617" width="9.6640625" style="791" customWidth="1"/>
    <col min="15618" max="15619" width="9" style="791"/>
    <col min="15620" max="15620" width="10.44140625" style="791" customWidth="1"/>
    <col min="15621" max="15622" width="9.77734375" style="791" customWidth="1"/>
    <col min="15623" max="15628" width="9" style="791"/>
    <col min="15629" max="15629" width="0" style="791" hidden="1" customWidth="1"/>
    <col min="15630" max="15872" width="9" style="791"/>
    <col min="15873" max="15873" width="9.6640625" style="791" customWidth="1"/>
    <col min="15874" max="15875" width="9" style="791"/>
    <col min="15876" max="15876" width="10.44140625" style="791" customWidth="1"/>
    <col min="15877" max="15878" width="9.77734375" style="791" customWidth="1"/>
    <col min="15879" max="15884" width="9" style="791"/>
    <col min="15885" max="15885" width="0" style="791" hidden="1" customWidth="1"/>
    <col min="15886" max="16128" width="9" style="791"/>
    <col min="16129" max="16129" width="9.6640625" style="791" customWidth="1"/>
    <col min="16130" max="16131" width="9" style="791"/>
    <col min="16132" max="16132" width="10.44140625" style="791" customWidth="1"/>
    <col min="16133" max="16134" width="9.77734375" style="791" customWidth="1"/>
    <col min="16135" max="16140" width="9" style="791"/>
    <col min="16141" max="16141" width="0" style="791" hidden="1" customWidth="1"/>
    <col min="16142" max="16384" width="9" style="791"/>
  </cols>
  <sheetData>
    <row r="1" spans="1:13" s="784" customFormat="1" ht="60.75" thickBot="1">
      <c r="A1" s="778" t="s">
        <v>279</v>
      </c>
      <c r="B1" s="779" t="s">
        <v>280</v>
      </c>
      <c r="C1" s="779" t="s">
        <v>281</v>
      </c>
      <c r="D1" s="780" t="s">
        <v>282</v>
      </c>
      <c r="E1" s="781" t="s">
        <v>283</v>
      </c>
      <c r="F1" s="782" t="s">
        <v>284</v>
      </c>
      <c r="G1" s="781" t="s">
        <v>291</v>
      </c>
      <c r="H1" s="782" t="s">
        <v>292</v>
      </c>
      <c r="I1" s="782" t="s">
        <v>285</v>
      </c>
      <c r="J1" s="782" t="s">
        <v>286</v>
      </c>
      <c r="K1" s="781" t="s">
        <v>287</v>
      </c>
      <c r="L1" s="781" t="s">
        <v>288</v>
      </c>
      <c r="M1" s="783" t="s">
        <v>289</v>
      </c>
    </row>
    <row r="2" spans="1:13">
      <c r="A2" s="785" t="s">
        <v>290</v>
      </c>
      <c r="B2" s="786">
        <v>1</v>
      </c>
      <c r="C2" s="786">
        <v>8</v>
      </c>
      <c r="D2" s="787">
        <v>2021</v>
      </c>
      <c r="E2" s="788">
        <f>(IF('Daily HLP'!I4&gt;0,'Daily HLP'!I4,0))</f>
        <v>22540.069999999949</v>
      </c>
      <c r="F2" s="789">
        <v>9</v>
      </c>
      <c r="G2" s="789">
        <f>(IF('Daily HLP'!M4&gt;0,'Daily HLP'!M4,0))</f>
        <v>776</v>
      </c>
      <c r="H2" s="789">
        <v>52</v>
      </c>
      <c r="I2" s="789">
        <f>(IF('Daily HLP'!P4&gt;0,'Daily HLP'!P4,0))</f>
        <v>243</v>
      </c>
      <c r="J2" s="789">
        <v>118</v>
      </c>
      <c r="K2" s="863">
        <f>Occupancy!G2</f>
        <v>149</v>
      </c>
      <c r="L2" s="788">
        <f>Occupancy!F2</f>
        <v>519</v>
      </c>
      <c r="M2" s="790" t="e">
        <f>E2*F2+G2*H2+#REF!*#REF!+I2*J2</f>
        <v>#REF!</v>
      </c>
    </row>
    <row r="3" spans="1:13">
      <c r="A3" s="785" t="s">
        <v>290</v>
      </c>
      <c r="B3" s="786">
        <f>B2+1</f>
        <v>2</v>
      </c>
      <c r="C3" s="786">
        <v>8</v>
      </c>
      <c r="D3" s="787">
        <v>2021</v>
      </c>
      <c r="E3" s="788">
        <f>(IF('Daily HLP'!I5&gt;0,'Daily HLP'!I5,0))</f>
        <v>21861.680000000051</v>
      </c>
      <c r="F3" s="789">
        <v>9</v>
      </c>
      <c r="G3" s="789">
        <f>(IF('Daily HLP'!M5&gt;0,'Daily HLP'!M5,0))</f>
        <v>924.25</v>
      </c>
      <c r="H3" s="789">
        <v>52</v>
      </c>
      <c r="I3" s="789">
        <f>(IF('Daily HLP'!P5&gt;0,'Daily HLP'!P5,0))</f>
        <v>244</v>
      </c>
      <c r="J3" s="789">
        <v>118</v>
      </c>
      <c r="K3" s="863">
        <f>Occupancy!G3</f>
        <v>136</v>
      </c>
      <c r="L3" s="788">
        <f>Occupancy!F3</f>
        <v>427</v>
      </c>
      <c r="M3" s="790" t="e">
        <f>E3*F3+G3*H3+#REF!*#REF!+I3*J3</f>
        <v>#REF!</v>
      </c>
    </row>
    <row r="4" spans="1:13">
      <c r="A4" s="785" t="s">
        <v>290</v>
      </c>
      <c r="B4" s="786">
        <f t="shared" ref="B4:B32" si="0">B3+1</f>
        <v>3</v>
      </c>
      <c r="C4" s="786">
        <v>8</v>
      </c>
      <c r="D4" s="787">
        <v>2021</v>
      </c>
      <c r="E4" s="788">
        <f>(IF('Daily HLP'!I6&gt;0,'Daily HLP'!I6,0))</f>
        <v>21488.819999999949</v>
      </c>
      <c r="F4" s="789">
        <v>9</v>
      </c>
      <c r="G4" s="789">
        <f>(IF('Daily HLP'!M6&gt;0,'Daily HLP'!M6,0))</f>
        <v>755.88500000000931</v>
      </c>
      <c r="H4" s="789">
        <v>52</v>
      </c>
      <c r="I4" s="789">
        <f>(IF('Daily HLP'!P6&gt;0,'Daily HLP'!P6,0))</f>
        <v>196</v>
      </c>
      <c r="J4" s="789">
        <v>118</v>
      </c>
      <c r="K4" s="863">
        <f>Occupancy!G4</f>
        <v>153</v>
      </c>
      <c r="L4" s="788">
        <f>Occupancy!F4</f>
        <v>458</v>
      </c>
      <c r="M4" s="790" t="e">
        <f>E4*F4+G4*H4+#REF!*#REF!+I4*J4</f>
        <v>#REF!</v>
      </c>
    </row>
    <row r="5" spans="1:13">
      <c r="A5" s="785" t="s">
        <v>290</v>
      </c>
      <c r="B5" s="786">
        <f t="shared" si="0"/>
        <v>4</v>
      </c>
      <c r="C5" s="786">
        <v>8</v>
      </c>
      <c r="D5" s="787">
        <v>2021</v>
      </c>
      <c r="E5" s="788">
        <f>(IF('Daily HLP'!I7&gt;0,'Daily HLP'!I7,0))</f>
        <v>24881.140000000014</v>
      </c>
      <c r="F5" s="789">
        <v>9</v>
      </c>
      <c r="G5" s="789">
        <f>(IF('Daily HLP'!M7&gt;0,'Daily HLP'!M7,0))</f>
        <v>889.0570000000298</v>
      </c>
      <c r="H5" s="789">
        <v>52</v>
      </c>
      <c r="I5" s="789">
        <f>(IF('Daily HLP'!P7&gt;0,'Daily HLP'!P7,0))</f>
        <v>191</v>
      </c>
      <c r="J5" s="789">
        <v>118</v>
      </c>
      <c r="K5" s="863">
        <f>Occupancy!G5</f>
        <v>161</v>
      </c>
      <c r="L5" s="788">
        <f>Occupancy!F5</f>
        <v>632</v>
      </c>
      <c r="M5" s="790" t="e">
        <f>E5*F5+G5*H5+#REF!*#REF!+I5*J5</f>
        <v>#REF!</v>
      </c>
    </row>
    <row r="6" spans="1:13">
      <c r="A6" s="785" t="s">
        <v>290</v>
      </c>
      <c r="B6" s="786">
        <f t="shared" si="0"/>
        <v>5</v>
      </c>
      <c r="C6" s="786">
        <v>8</v>
      </c>
      <c r="D6" s="787">
        <v>2021</v>
      </c>
      <c r="E6" s="788">
        <f>(IF('Daily HLP'!I8&gt;0,'Daily HLP'!I8,0))</f>
        <v>23183.280000000028</v>
      </c>
      <c r="F6" s="789">
        <v>9</v>
      </c>
      <c r="G6" s="789">
        <f>(IF('Daily HLP'!M8&gt;0,'Daily HLP'!M8,0))</f>
        <v>738.08799999998882</v>
      </c>
      <c r="H6" s="789">
        <v>52</v>
      </c>
      <c r="I6" s="789">
        <f>(IF('Daily HLP'!P8&gt;0,'Daily HLP'!P8,0))</f>
        <v>242</v>
      </c>
      <c r="J6" s="789">
        <v>118</v>
      </c>
      <c r="K6" s="863">
        <f>Occupancy!G6</f>
        <v>182</v>
      </c>
      <c r="L6" s="788">
        <f>Occupancy!F6</f>
        <v>430</v>
      </c>
      <c r="M6" s="790" t="e">
        <f>E6*F6+G6*H6+#REF!*#REF!+I6*J6</f>
        <v>#REF!</v>
      </c>
    </row>
    <row r="7" spans="1:13">
      <c r="A7" s="785" t="s">
        <v>290</v>
      </c>
      <c r="B7" s="786">
        <f t="shared" si="0"/>
        <v>6</v>
      </c>
      <c r="C7" s="786">
        <v>8</v>
      </c>
      <c r="D7" s="787">
        <v>2021</v>
      </c>
      <c r="E7" s="788">
        <f>(IF('Daily HLP'!I9&gt;0,'Daily HLP'!I9,0))</f>
        <v>24216.640000000014</v>
      </c>
      <c r="F7" s="789">
        <v>9</v>
      </c>
      <c r="G7" s="789">
        <f>(IF('Daily HLP'!M9&gt;0,'Daily HLP'!M9,0))</f>
        <v>968.17999999993481</v>
      </c>
      <c r="H7" s="789">
        <v>52</v>
      </c>
      <c r="I7" s="789">
        <f>(IF('Daily HLP'!P9&gt;0,'Daily HLP'!P9,0))</f>
        <v>261</v>
      </c>
      <c r="J7" s="789">
        <v>118</v>
      </c>
      <c r="K7" s="863">
        <f>Occupancy!G7</f>
        <v>174</v>
      </c>
      <c r="L7" s="788">
        <f>Occupancy!F7</f>
        <v>586</v>
      </c>
      <c r="M7" s="790" t="e">
        <f>E7*F7+G7*H7+#REF!*#REF!+I7*J7</f>
        <v>#REF!</v>
      </c>
    </row>
    <row r="8" spans="1:13">
      <c r="A8" s="785" t="s">
        <v>290</v>
      </c>
      <c r="B8" s="786">
        <f t="shared" si="0"/>
        <v>7</v>
      </c>
      <c r="C8" s="786">
        <v>8</v>
      </c>
      <c r="D8" s="787">
        <v>2021</v>
      </c>
      <c r="E8" s="788">
        <f>(IF('Daily HLP'!I10&gt;0,'Daily HLP'!I10,0))</f>
        <v>24405.680000000051</v>
      </c>
      <c r="F8" s="789">
        <v>9</v>
      </c>
      <c r="G8" s="789">
        <f>(IF('Daily HLP'!M10&gt;0,'Daily HLP'!M10,0))</f>
        <v>860.81000000005588</v>
      </c>
      <c r="H8" s="789">
        <v>52</v>
      </c>
      <c r="I8" s="789">
        <f>(IF('Daily HLP'!P10&gt;0,'Daily HLP'!P10,0))</f>
        <v>225</v>
      </c>
      <c r="J8" s="789">
        <v>118</v>
      </c>
      <c r="K8" s="863">
        <f>Occupancy!G8</f>
        <v>188</v>
      </c>
      <c r="L8" s="788">
        <f>Occupancy!F8</f>
        <v>526</v>
      </c>
      <c r="M8" s="790" t="e">
        <f>E8*F8+G8*H8+#REF!*#REF!+I8*J8</f>
        <v>#REF!</v>
      </c>
    </row>
    <row r="9" spans="1:13">
      <c r="A9" s="785" t="s">
        <v>290</v>
      </c>
      <c r="B9" s="786">
        <f t="shared" si="0"/>
        <v>8</v>
      </c>
      <c r="C9" s="786">
        <v>8</v>
      </c>
      <c r="D9" s="787">
        <v>2021</v>
      </c>
      <c r="E9" s="788">
        <f>(IF('Daily HLP'!I11&gt;0,'Daily HLP'!I11,0))</f>
        <v>22435.689999999944</v>
      </c>
      <c r="F9" s="789">
        <v>9</v>
      </c>
      <c r="G9" s="789">
        <f>(IF('Daily HLP'!M11&gt;0,'Daily HLP'!M11,0))</f>
        <v>902.72999999998137</v>
      </c>
      <c r="H9" s="789">
        <v>52</v>
      </c>
      <c r="I9" s="789">
        <f>(IF('Daily HLP'!P11&gt;0,'Daily HLP'!P11,0))</f>
        <v>275</v>
      </c>
      <c r="J9" s="789">
        <v>118</v>
      </c>
      <c r="K9" s="863">
        <f>Occupancy!G9</f>
        <v>145</v>
      </c>
      <c r="L9" s="788">
        <f>Occupancy!F9</f>
        <v>436</v>
      </c>
      <c r="M9" s="790" t="e">
        <f>E9*F9+G9*H9+#REF!*#REF!+I9*J9</f>
        <v>#REF!</v>
      </c>
    </row>
    <row r="10" spans="1:13">
      <c r="A10" s="785" t="s">
        <v>290</v>
      </c>
      <c r="B10" s="786">
        <f t="shared" si="0"/>
        <v>9</v>
      </c>
      <c r="C10" s="786">
        <v>8</v>
      </c>
      <c r="D10" s="787">
        <v>2021</v>
      </c>
      <c r="E10" s="788">
        <f>(IF('Daily HLP'!I12&gt;0,'Daily HLP'!I12,0))</f>
        <v>20612</v>
      </c>
      <c r="F10" s="789">
        <v>9</v>
      </c>
      <c r="G10" s="789">
        <f>(IF('Daily HLP'!M12&gt;0,'Daily HLP'!M12,0))</f>
        <v>764</v>
      </c>
      <c r="H10" s="789">
        <v>52</v>
      </c>
      <c r="I10" s="789">
        <f>(IF('Daily HLP'!P12&gt;0,'Daily HLP'!P12,0))</f>
        <v>224</v>
      </c>
      <c r="J10" s="789">
        <v>118</v>
      </c>
      <c r="K10" s="863">
        <f>Occupancy!G10</f>
        <v>110</v>
      </c>
      <c r="L10" s="788">
        <f>Occupancy!F10</f>
        <v>313</v>
      </c>
      <c r="M10" s="790" t="e">
        <f>E10*F10+G10*H10+#REF!*#REF!+I10*J10</f>
        <v>#REF!</v>
      </c>
    </row>
    <row r="11" spans="1:13">
      <c r="A11" s="785" t="s">
        <v>290</v>
      </c>
      <c r="B11" s="786">
        <f t="shared" si="0"/>
        <v>10</v>
      </c>
      <c r="C11" s="786">
        <v>8</v>
      </c>
      <c r="D11" s="787">
        <v>2021</v>
      </c>
      <c r="E11" s="788">
        <f>(IF('Daily HLP'!I13&gt;0,'Daily HLP'!I13,0))</f>
        <v>21667</v>
      </c>
      <c r="F11" s="789">
        <v>9</v>
      </c>
      <c r="G11" s="789">
        <f>(IF('Daily HLP'!M13&gt;0,'Daily HLP'!M13,0))</f>
        <v>907</v>
      </c>
      <c r="H11" s="789">
        <v>52</v>
      </c>
      <c r="I11" s="789">
        <f>(IF('Daily HLP'!P13&gt;0,'Daily HLP'!P13,0))</f>
        <v>197</v>
      </c>
      <c r="J11" s="789">
        <v>118</v>
      </c>
      <c r="K11" s="863">
        <f>Occupancy!G11</f>
        <v>159</v>
      </c>
      <c r="L11" s="788">
        <f>Occupancy!F11</f>
        <v>340</v>
      </c>
      <c r="M11" s="790" t="e">
        <f>E11*F11+G11*H11+#REF!*#REF!+I11*J11</f>
        <v>#REF!</v>
      </c>
    </row>
    <row r="12" spans="1:13">
      <c r="A12" s="785" t="s">
        <v>290</v>
      </c>
      <c r="B12" s="786">
        <f t="shared" si="0"/>
        <v>11</v>
      </c>
      <c r="C12" s="786">
        <v>8</v>
      </c>
      <c r="D12" s="787">
        <v>2021</v>
      </c>
      <c r="E12" s="788">
        <f>(IF('Daily HLP'!I14&gt;0,'Daily HLP'!I14,0))</f>
        <v>21713</v>
      </c>
      <c r="F12" s="789">
        <v>9</v>
      </c>
      <c r="G12" s="789">
        <f>(IF('Daily HLP'!M14&gt;0,'Daily HLP'!M14,0))</f>
        <v>826</v>
      </c>
      <c r="H12" s="789">
        <v>52</v>
      </c>
      <c r="I12" s="789">
        <f>(IF('Daily HLP'!P14&gt;0,'Daily HLP'!P14,0))</f>
        <v>224</v>
      </c>
      <c r="J12" s="789">
        <v>118</v>
      </c>
      <c r="K12" s="863">
        <f>Occupancy!G12</f>
        <v>170</v>
      </c>
      <c r="L12" s="788">
        <f>Occupancy!F12</f>
        <v>469</v>
      </c>
      <c r="M12" s="790" t="e">
        <f>E12*F12+G12*H12+#REF!*#REF!+I12*J12</f>
        <v>#REF!</v>
      </c>
    </row>
    <row r="13" spans="1:13">
      <c r="A13" s="785" t="s">
        <v>290</v>
      </c>
      <c r="B13" s="786">
        <f t="shared" si="0"/>
        <v>12</v>
      </c>
      <c r="C13" s="786">
        <v>8</v>
      </c>
      <c r="D13" s="787">
        <v>2021</v>
      </c>
      <c r="E13" s="788">
        <f>(IF('Daily HLP'!I15&gt;0,'Daily HLP'!I15,0))</f>
        <v>23053</v>
      </c>
      <c r="F13" s="789">
        <v>9</v>
      </c>
      <c r="G13" s="789">
        <f>(IF('Daily HLP'!M15&gt;0,'Daily HLP'!M15,0))</f>
        <v>930</v>
      </c>
      <c r="H13" s="789">
        <v>52</v>
      </c>
      <c r="I13" s="789">
        <f>(IF('Daily HLP'!P15&gt;0,'Daily HLP'!P15,0))</f>
        <v>240</v>
      </c>
      <c r="J13" s="789">
        <v>118</v>
      </c>
      <c r="K13" s="863">
        <f>Occupancy!G13</f>
        <v>171</v>
      </c>
      <c r="L13" s="788">
        <f>Occupancy!F13</f>
        <v>638</v>
      </c>
      <c r="M13" s="790" t="e">
        <f>E13*F13+G13*H13+#REF!*#REF!+I13*J13</f>
        <v>#REF!</v>
      </c>
    </row>
    <row r="14" spans="1:13">
      <c r="A14" s="785" t="s">
        <v>290</v>
      </c>
      <c r="B14" s="786">
        <f t="shared" si="0"/>
        <v>13</v>
      </c>
      <c r="C14" s="786">
        <v>8</v>
      </c>
      <c r="D14" s="787">
        <v>2021</v>
      </c>
      <c r="E14" s="788">
        <f>(IF('Daily HLP'!I16&gt;0,'Daily HLP'!I16,0))</f>
        <v>22751</v>
      </c>
      <c r="F14" s="789">
        <v>9</v>
      </c>
      <c r="G14" s="789">
        <f>(IF('Daily HLP'!M16&gt;0,'Daily HLP'!M16,0))</f>
        <v>901</v>
      </c>
      <c r="H14" s="789">
        <v>52</v>
      </c>
      <c r="I14" s="789">
        <f>(IF('Daily HLP'!P16&gt;0,'Daily HLP'!P16,0))</f>
        <v>251</v>
      </c>
      <c r="J14" s="789">
        <v>118</v>
      </c>
      <c r="K14" s="863">
        <f>Occupancy!G14</f>
        <v>160</v>
      </c>
      <c r="L14" s="788">
        <f>Occupancy!F14</f>
        <v>496</v>
      </c>
      <c r="M14" s="790" t="e">
        <f>E14*F14+G14*H14+#REF!*#REF!+I14*J14</f>
        <v>#REF!</v>
      </c>
    </row>
    <row r="15" spans="1:13">
      <c r="A15" s="785" t="s">
        <v>290</v>
      </c>
      <c r="B15" s="786">
        <f t="shared" si="0"/>
        <v>14</v>
      </c>
      <c r="C15" s="786">
        <v>8</v>
      </c>
      <c r="D15" s="787">
        <v>2021</v>
      </c>
      <c r="E15" s="788">
        <f>(IF('Daily HLP'!I17&gt;0,'Daily HLP'!I17,0))</f>
        <v>20814</v>
      </c>
      <c r="F15" s="789">
        <v>9</v>
      </c>
      <c r="G15" s="789">
        <f>(IF('Daily HLP'!M17&gt;0,'Daily HLP'!M17,0))</f>
        <v>1092</v>
      </c>
      <c r="H15" s="789">
        <v>52</v>
      </c>
      <c r="I15" s="789">
        <f>(IF('Daily HLP'!P17&gt;0,'Daily HLP'!P17,0))</f>
        <v>223</v>
      </c>
      <c r="J15" s="789">
        <v>118</v>
      </c>
      <c r="K15" s="863">
        <f>Occupancy!G15</f>
        <v>184</v>
      </c>
      <c r="L15" s="788">
        <f>Occupancy!F15</f>
        <v>526</v>
      </c>
      <c r="M15" s="790" t="e">
        <f>E15*F15+G15*H15+#REF!*#REF!+I15*J15</f>
        <v>#REF!</v>
      </c>
    </row>
    <row r="16" spans="1:13">
      <c r="A16" s="785" t="s">
        <v>290</v>
      </c>
      <c r="B16" s="786">
        <f t="shared" si="0"/>
        <v>15</v>
      </c>
      <c r="C16" s="786">
        <v>8</v>
      </c>
      <c r="D16" s="787">
        <v>2021</v>
      </c>
      <c r="E16" s="788">
        <f>(IF('Daily HLP'!I18&gt;0,'Daily HLP'!I18,0))</f>
        <v>21550</v>
      </c>
      <c r="F16" s="789">
        <v>9</v>
      </c>
      <c r="G16" s="789">
        <f>(IF('Daily HLP'!M18&gt;0,'Daily HLP'!M18,0))</f>
        <v>920</v>
      </c>
      <c r="H16" s="789">
        <v>52</v>
      </c>
      <c r="I16" s="789">
        <f>(IF('Daily HLP'!P18&gt;0,'Daily HLP'!P18,0))</f>
        <v>254</v>
      </c>
      <c r="J16" s="789">
        <v>118</v>
      </c>
      <c r="K16" s="863">
        <f>Occupancy!G16</f>
        <v>140</v>
      </c>
      <c r="L16" s="788">
        <f>Occupancy!F16</f>
        <v>418</v>
      </c>
      <c r="M16" s="790" t="e">
        <f>E16*F16+G16*H16+#REF!*#REF!+I16*J16</f>
        <v>#REF!</v>
      </c>
    </row>
    <row r="17" spans="1:13">
      <c r="A17" s="785" t="s">
        <v>290</v>
      </c>
      <c r="B17" s="786">
        <f t="shared" si="0"/>
        <v>16</v>
      </c>
      <c r="C17" s="786">
        <v>8</v>
      </c>
      <c r="D17" s="787">
        <v>2021</v>
      </c>
      <c r="E17" s="788">
        <f>(IF('Daily HLP'!I19&gt;0,'Daily HLP'!I19,0))</f>
        <v>0</v>
      </c>
      <c r="F17" s="789">
        <v>9</v>
      </c>
      <c r="G17" s="789">
        <f>(IF('Daily HLP'!M19&gt;0,'Daily HLP'!M19,0))</f>
        <v>950</v>
      </c>
      <c r="H17" s="789">
        <v>52</v>
      </c>
      <c r="I17" s="789">
        <f>(IF('Daily HLP'!P19&gt;0,'Daily HLP'!P19,0))</f>
        <v>170</v>
      </c>
      <c r="J17" s="789">
        <v>118</v>
      </c>
      <c r="K17" s="863">
        <f>Occupancy!G17</f>
        <v>0</v>
      </c>
      <c r="L17" s="788">
        <f>Occupancy!F17</f>
        <v>0</v>
      </c>
      <c r="M17" s="790" t="e">
        <f>E17*F17+G17*H17+#REF!*#REF!+I17*J17</f>
        <v>#REF!</v>
      </c>
    </row>
    <row r="18" spans="1:13">
      <c r="A18" s="785" t="s">
        <v>290</v>
      </c>
      <c r="B18" s="786">
        <f t="shared" si="0"/>
        <v>17</v>
      </c>
      <c r="C18" s="786">
        <v>8</v>
      </c>
      <c r="D18" s="787">
        <v>2021</v>
      </c>
      <c r="E18" s="788">
        <f>(IF('Daily HLP'!I20&gt;0,'Daily HLP'!I20,0))</f>
        <v>24914.739999999991</v>
      </c>
      <c r="F18" s="789">
        <v>9</v>
      </c>
      <c r="G18" s="789">
        <f>(IF('Daily HLP'!M20&gt;0,'Daily HLP'!M20,0))</f>
        <v>950</v>
      </c>
      <c r="H18" s="789">
        <v>52</v>
      </c>
      <c r="I18" s="789">
        <f>(IF('Daily HLP'!P20&gt;0,'Daily HLP'!P20,0))</f>
        <v>200</v>
      </c>
      <c r="J18" s="789">
        <v>118</v>
      </c>
      <c r="K18" s="863">
        <f>Occupancy!G18</f>
        <v>0</v>
      </c>
      <c r="L18" s="788">
        <f>Occupancy!F18</f>
        <v>0</v>
      </c>
      <c r="M18" s="790" t="e">
        <f>E18*F18+G18*H18+#REF!*#REF!+I18*J18</f>
        <v>#REF!</v>
      </c>
    </row>
    <row r="19" spans="1:13">
      <c r="A19" s="785" t="s">
        <v>290</v>
      </c>
      <c r="B19" s="786">
        <f t="shared" si="0"/>
        <v>18</v>
      </c>
      <c r="C19" s="786">
        <v>8</v>
      </c>
      <c r="D19" s="787">
        <v>2021</v>
      </c>
      <c r="E19" s="788">
        <f>(IF('Daily HLP'!I21&gt;0,'Daily HLP'!I21,0))</f>
        <v>25951.080000000016</v>
      </c>
      <c r="F19" s="789">
        <v>9</v>
      </c>
      <c r="G19" s="789">
        <f>(IF('Daily HLP'!M21&gt;0,'Daily HLP'!M21,0))</f>
        <v>950</v>
      </c>
      <c r="H19" s="789">
        <v>52</v>
      </c>
      <c r="I19" s="789">
        <f>(IF('Daily HLP'!P21&gt;0,'Daily HLP'!P21,0))</f>
        <v>230</v>
      </c>
      <c r="J19" s="789">
        <v>118</v>
      </c>
      <c r="K19" s="863">
        <f>Occupancy!G19</f>
        <v>0</v>
      </c>
      <c r="L19" s="788">
        <f>Occupancy!F19</f>
        <v>0</v>
      </c>
      <c r="M19" s="790" t="e">
        <f>E19*F19+G19*H19+#REF!*#REF!+I19*J19</f>
        <v>#REF!</v>
      </c>
    </row>
    <row r="20" spans="1:13">
      <c r="A20" s="785" t="s">
        <v>290</v>
      </c>
      <c r="B20" s="786">
        <f t="shared" si="0"/>
        <v>19</v>
      </c>
      <c r="C20" s="786">
        <v>8</v>
      </c>
      <c r="D20" s="787">
        <v>2021</v>
      </c>
      <c r="E20" s="788">
        <f>(IF('Daily HLP'!I22&gt;0,'Daily HLP'!I22,0))</f>
        <v>21717.789999999979</v>
      </c>
      <c r="F20" s="789">
        <v>9</v>
      </c>
      <c r="G20" s="789">
        <f>(IF('Daily HLP'!M22&gt;0,'Daily HLP'!M22,0))</f>
        <v>950</v>
      </c>
      <c r="H20" s="789">
        <v>52</v>
      </c>
      <c r="I20" s="789">
        <f>(IF('Daily HLP'!P22&gt;0,'Daily HLP'!P22,0))</f>
        <v>260</v>
      </c>
      <c r="J20" s="789">
        <v>118</v>
      </c>
      <c r="K20" s="863">
        <f>Occupancy!G20</f>
        <v>0</v>
      </c>
      <c r="L20" s="788">
        <f>Occupancy!F20</f>
        <v>0</v>
      </c>
      <c r="M20" s="790" t="e">
        <f>E20*F20+G20*H20+#REF!*#REF!+I20*J20</f>
        <v>#REF!</v>
      </c>
    </row>
    <row r="21" spans="1:13">
      <c r="A21" s="785" t="s">
        <v>290</v>
      </c>
      <c r="B21" s="786">
        <f t="shared" si="0"/>
        <v>20</v>
      </c>
      <c r="C21" s="786">
        <v>8</v>
      </c>
      <c r="D21" s="787">
        <v>2021</v>
      </c>
      <c r="E21" s="788">
        <f>(IF('Daily HLP'!I23&gt;0,'Daily HLP'!I23,0))</f>
        <v>22217.270000000019</v>
      </c>
      <c r="F21" s="789">
        <v>9</v>
      </c>
      <c r="G21" s="789">
        <f>(IF('Daily HLP'!M23&gt;0,'Daily HLP'!M23,0))</f>
        <v>950</v>
      </c>
      <c r="H21" s="789">
        <v>52</v>
      </c>
      <c r="I21" s="789">
        <f>(IF('Daily HLP'!P23&gt;0,'Daily HLP'!P23,0))</f>
        <v>140</v>
      </c>
      <c r="J21" s="789">
        <v>118</v>
      </c>
      <c r="K21" s="863">
        <f>Occupancy!G21</f>
        <v>0</v>
      </c>
      <c r="L21" s="788">
        <f>Occupancy!F21</f>
        <v>0</v>
      </c>
      <c r="M21" s="790" t="e">
        <f>E21*F21+G21*H21+#REF!*#REF!+I21*J21</f>
        <v>#REF!</v>
      </c>
    </row>
    <row r="22" spans="1:13">
      <c r="A22" s="785" t="s">
        <v>290</v>
      </c>
      <c r="B22" s="786">
        <f t="shared" si="0"/>
        <v>21</v>
      </c>
      <c r="C22" s="786">
        <v>8</v>
      </c>
      <c r="D22" s="787">
        <v>2021</v>
      </c>
      <c r="E22" s="788">
        <f>(IF('Daily HLP'!I24&gt;0,'Daily HLP'!I24,0))</f>
        <v>21222.559999999998</v>
      </c>
      <c r="F22" s="789">
        <v>9</v>
      </c>
      <c r="G22" s="789">
        <f>(IF('Daily HLP'!M24&gt;0,'Daily HLP'!M24,0))</f>
        <v>950</v>
      </c>
      <c r="H22" s="789">
        <v>52</v>
      </c>
      <c r="I22" s="789">
        <f>(IF('Daily HLP'!P24&gt;0,'Daily HLP'!P24,0))</f>
        <v>160</v>
      </c>
      <c r="J22" s="789">
        <v>118</v>
      </c>
      <c r="K22" s="863">
        <f>Occupancy!G22</f>
        <v>0</v>
      </c>
      <c r="L22" s="788">
        <f>Occupancy!F22</f>
        <v>0</v>
      </c>
      <c r="M22" s="790" t="e">
        <f>E22*F22+G22*H22+#REF!*#REF!+I22*J22</f>
        <v>#REF!</v>
      </c>
    </row>
    <row r="23" spans="1:13">
      <c r="A23" s="785" t="s">
        <v>290</v>
      </c>
      <c r="B23" s="786">
        <f t="shared" si="0"/>
        <v>22</v>
      </c>
      <c r="C23" s="786">
        <v>8</v>
      </c>
      <c r="D23" s="787">
        <v>2021</v>
      </c>
      <c r="E23" s="788">
        <f>(IF('Daily HLP'!I25&gt;0,'Daily HLP'!I25,0))</f>
        <v>21681.119999999995</v>
      </c>
      <c r="F23" s="789">
        <v>9</v>
      </c>
      <c r="G23" s="789">
        <f>(IF('Daily HLP'!M25&gt;0,'Daily HLP'!M25,0))</f>
        <v>950</v>
      </c>
      <c r="H23" s="789">
        <v>52</v>
      </c>
      <c r="I23" s="789">
        <f>(IF('Daily HLP'!P25&gt;0,'Daily HLP'!P25,0))</f>
        <v>180</v>
      </c>
      <c r="J23" s="789">
        <v>118</v>
      </c>
      <c r="K23" s="863">
        <f>Occupancy!G23</f>
        <v>0</v>
      </c>
      <c r="L23" s="788">
        <f>Occupancy!F23</f>
        <v>0</v>
      </c>
      <c r="M23" s="790" t="e">
        <f>E23*F23+G23*H23+#REF!*#REF!+I23*J23</f>
        <v>#REF!</v>
      </c>
    </row>
    <row r="24" spans="1:13">
      <c r="A24" s="785" t="s">
        <v>290</v>
      </c>
      <c r="B24" s="786">
        <f t="shared" si="0"/>
        <v>23</v>
      </c>
      <c r="C24" s="786">
        <v>8</v>
      </c>
      <c r="D24" s="787">
        <v>2021</v>
      </c>
      <c r="E24" s="788">
        <f>(IF('Daily HLP'!I26&gt;0,'Daily HLP'!I26,0))</f>
        <v>22659.959999999963</v>
      </c>
      <c r="F24" s="789">
        <v>9</v>
      </c>
      <c r="G24" s="789">
        <f>(IF('Daily HLP'!M26&gt;0,'Daily HLP'!M26,0))</f>
        <v>950</v>
      </c>
      <c r="H24" s="789">
        <v>52</v>
      </c>
      <c r="I24" s="789">
        <f>(IF('Daily HLP'!P26&gt;0,'Daily HLP'!P26,0))</f>
        <v>160</v>
      </c>
      <c r="J24" s="789">
        <v>118</v>
      </c>
      <c r="K24" s="863">
        <f>Occupancy!G24</f>
        <v>0</v>
      </c>
      <c r="L24" s="788">
        <f>Occupancy!F24</f>
        <v>0</v>
      </c>
      <c r="M24" s="790" t="e">
        <f>E24*F24+G24*H24+#REF!*#REF!+I24*J24</f>
        <v>#REF!</v>
      </c>
    </row>
    <row r="25" spans="1:13">
      <c r="A25" s="785" t="s">
        <v>290</v>
      </c>
      <c r="B25" s="786">
        <f t="shared" si="0"/>
        <v>24</v>
      </c>
      <c r="C25" s="786">
        <v>8</v>
      </c>
      <c r="D25" s="787">
        <v>2021</v>
      </c>
      <c r="E25" s="788">
        <f>(IF('Daily HLP'!I27&gt;0,'Daily HLP'!I27,0))</f>
        <v>22644.090000000026</v>
      </c>
      <c r="F25" s="789">
        <v>9</v>
      </c>
      <c r="G25" s="789">
        <f>(IF('Daily HLP'!M27&gt;0,'Daily HLP'!M27,0))</f>
        <v>950</v>
      </c>
      <c r="H25" s="789">
        <v>52</v>
      </c>
      <c r="I25" s="789">
        <f>(IF('Daily HLP'!P27&gt;0,'Daily HLP'!P27,0))</f>
        <v>170</v>
      </c>
      <c r="J25" s="789">
        <v>118</v>
      </c>
      <c r="K25" s="863">
        <f>Occupancy!G25</f>
        <v>0</v>
      </c>
      <c r="L25" s="788">
        <f>Occupancy!F25</f>
        <v>0</v>
      </c>
      <c r="M25" s="790" t="e">
        <f>E25*F25+G25*H25+#REF!*#REF!+I25*J25</f>
        <v>#REF!</v>
      </c>
    </row>
    <row r="26" spans="1:13">
      <c r="A26" s="785" t="s">
        <v>290</v>
      </c>
      <c r="B26" s="786">
        <f>B25+1</f>
        <v>25</v>
      </c>
      <c r="C26" s="786">
        <v>8</v>
      </c>
      <c r="D26" s="787">
        <v>2021</v>
      </c>
      <c r="E26" s="788">
        <f>(IF('Daily HLP'!I28&gt;0,'Daily HLP'!I28,0))</f>
        <v>23122</v>
      </c>
      <c r="F26" s="789">
        <v>9</v>
      </c>
      <c r="G26" s="789">
        <f>(IF('Daily HLP'!M28&gt;0,'Daily HLP'!M28,0))</f>
        <v>950</v>
      </c>
      <c r="H26" s="789">
        <v>52</v>
      </c>
      <c r="I26" s="789">
        <f>(IF('Daily HLP'!P28&gt;0,'Daily HLP'!P28,0))</f>
        <v>220</v>
      </c>
      <c r="J26" s="789">
        <v>118</v>
      </c>
      <c r="K26" s="863">
        <f>Occupancy!G26</f>
        <v>0</v>
      </c>
      <c r="L26" s="788">
        <f>Occupancy!F26</f>
        <v>0</v>
      </c>
      <c r="M26" s="790" t="e">
        <f>E26*F26+G26*H26+#REF!*#REF!+I26*J26</f>
        <v>#REF!</v>
      </c>
    </row>
    <row r="27" spans="1:13">
      <c r="A27" s="785" t="s">
        <v>290</v>
      </c>
      <c r="B27" s="786">
        <f t="shared" si="0"/>
        <v>26</v>
      </c>
      <c r="C27" s="786">
        <v>8</v>
      </c>
      <c r="D27" s="787">
        <v>2021</v>
      </c>
      <c r="E27" s="788">
        <f>(IF('Daily HLP'!I29&gt;0,'Daily HLP'!I29,0))</f>
        <v>22721</v>
      </c>
      <c r="F27" s="789">
        <v>9</v>
      </c>
      <c r="G27" s="789">
        <f>(IF('Daily HLP'!M29&gt;0,'Daily HLP'!M29,0))</f>
        <v>950</v>
      </c>
      <c r="H27" s="789">
        <v>52</v>
      </c>
      <c r="I27" s="789">
        <f>(IF('Daily HLP'!P29&gt;0,'Daily HLP'!P29,0))</f>
        <v>180</v>
      </c>
      <c r="J27" s="789">
        <v>118</v>
      </c>
      <c r="K27" s="863">
        <f>Occupancy!G27</f>
        <v>0</v>
      </c>
      <c r="L27" s="788">
        <f>Occupancy!F27</f>
        <v>0</v>
      </c>
      <c r="M27" s="790" t="e">
        <f>E27*F27+G27*H27+#REF!*#REF!+I27*J27</f>
        <v>#REF!</v>
      </c>
    </row>
    <row r="28" spans="1:13">
      <c r="A28" s="785" t="s">
        <v>290</v>
      </c>
      <c r="B28" s="786">
        <f t="shared" si="0"/>
        <v>27</v>
      </c>
      <c r="C28" s="786">
        <v>8</v>
      </c>
      <c r="D28" s="787">
        <v>2021</v>
      </c>
      <c r="E28" s="788">
        <f>(IF('Daily HLP'!I30&gt;0,'Daily HLP'!I30,0))</f>
        <v>21225</v>
      </c>
      <c r="F28" s="789">
        <v>9</v>
      </c>
      <c r="G28" s="789">
        <f>(IF('Daily HLP'!M30&gt;0,'Daily HLP'!M30,0))</f>
        <v>950</v>
      </c>
      <c r="H28" s="789">
        <v>52</v>
      </c>
      <c r="I28" s="789">
        <f>(IF('Daily HLP'!P30&gt;0,'Daily HLP'!P30,0))</f>
        <v>170</v>
      </c>
      <c r="J28" s="789">
        <v>118</v>
      </c>
      <c r="K28" s="863">
        <f>Occupancy!G28</f>
        <v>0</v>
      </c>
      <c r="L28" s="788">
        <f>Occupancy!F28</f>
        <v>0</v>
      </c>
      <c r="M28" s="790" t="e">
        <f>E28*F28+G28*H28+#REF!*#REF!+I28*J28</f>
        <v>#REF!</v>
      </c>
    </row>
    <row r="29" spans="1:13">
      <c r="A29" s="785" t="s">
        <v>290</v>
      </c>
      <c r="B29" s="786">
        <f t="shared" si="0"/>
        <v>28</v>
      </c>
      <c r="C29" s="786">
        <v>8</v>
      </c>
      <c r="D29" s="787">
        <v>2021</v>
      </c>
      <c r="E29" s="788">
        <f>(IF('Daily HLP'!I31&gt;0,'Daily HLP'!I31,0))</f>
        <v>21058</v>
      </c>
      <c r="F29" s="789">
        <v>9</v>
      </c>
      <c r="G29" s="789">
        <f>(IF('Daily HLP'!M31&gt;0,'Daily HLP'!M31,0))</f>
        <v>950</v>
      </c>
      <c r="H29" s="789">
        <v>52</v>
      </c>
      <c r="I29" s="789">
        <f>(IF('Daily HLP'!P31&gt;0,'Daily HLP'!P31,0))</f>
        <v>120</v>
      </c>
      <c r="J29" s="789">
        <v>118</v>
      </c>
      <c r="K29" s="863">
        <f>Occupancy!G29</f>
        <v>0</v>
      </c>
      <c r="L29" s="788">
        <f>Occupancy!F29</f>
        <v>0</v>
      </c>
      <c r="M29" s="790" t="e">
        <f>E29*F29+G29*H29+#REF!*#REF!+I29*J29</f>
        <v>#REF!</v>
      </c>
    </row>
    <row r="30" spans="1:13">
      <c r="A30" s="785" t="s">
        <v>290</v>
      </c>
      <c r="B30" s="786">
        <f t="shared" si="0"/>
        <v>29</v>
      </c>
      <c r="C30" s="786">
        <v>8</v>
      </c>
      <c r="D30" s="787">
        <v>2021</v>
      </c>
      <c r="E30" s="788">
        <f>(IF('Daily HLP'!I32&gt;0,'Daily HLP'!I32,0))</f>
        <v>23083</v>
      </c>
      <c r="F30" s="789">
        <v>9</v>
      </c>
      <c r="G30" s="789">
        <f>(IF('Daily HLP'!M32&gt;0,'Daily HLP'!M32,0))</f>
        <v>950</v>
      </c>
      <c r="H30" s="789">
        <v>52</v>
      </c>
      <c r="I30" s="789">
        <f>(IF('Daily HLP'!P32&gt;0,'Daily HLP'!P32,0))</f>
        <v>200</v>
      </c>
      <c r="J30" s="789">
        <v>118</v>
      </c>
      <c r="K30" s="863">
        <f>Occupancy!G30</f>
        <v>0</v>
      </c>
      <c r="L30" s="788">
        <f>Occupancy!F30</f>
        <v>0</v>
      </c>
      <c r="M30" s="790" t="e">
        <f>E30*F30+G30*H30+#REF!*#REF!+I30*J30</f>
        <v>#REF!</v>
      </c>
    </row>
    <row r="31" spans="1:13">
      <c r="A31" s="785" t="s">
        <v>290</v>
      </c>
      <c r="B31" s="786">
        <f t="shared" si="0"/>
        <v>30</v>
      </c>
      <c r="C31" s="786">
        <v>8</v>
      </c>
      <c r="D31" s="787">
        <v>2021</v>
      </c>
      <c r="E31" s="788">
        <f>(IF('Daily HLP'!I33&gt;0,'Daily HLP'!I33,0))</f>
        <v>22284</v>
      </c>
      <c r="F31" s="789">
        <v>9</v>
      </c>
      <c r="G31" s="789">
        <f>(IF('Daily HLP'!M33&gt;0,'Daily HLP'!M33,0))</f>
        <v>950</v>
      </c>
      <c r="H31" s="789">
        <v>52</v>
      </c>
      <c r="I31" s="789">
        <f>(IF('Daily HLP'!P33&gt;0,'Daily HLP'!P33,0))</f>
        <v>210</v>
      </c>
      <c r="J31" s="789">
        <v>118</v>
      </c>
      <c r="K31" s="863">
        <f>Occupancy!G31</f>
        <v>0</v>
      </c>
      <c r="L31" s="788">
        <f>Occupancy!F31</f>
        <v>0</v>
      </c>
      <c r="M31" s="790" t="e">
        <f>E31*F31+G31*H31+#REF!*#REF!+I31*J31</f>
        <v>#REF!</v>
      </c>
    </row>
    <row r="32" spans="1:13" s="788" customFormat="1">
      <c r="A32" s="785" t="s">
        <v>290</v>
      </c>
      <c r="B32" s="786">
        <f t="shared" si="0"/>
        <v>31</v>
      </c>
      <c r="C32" s="786">
        <v>8</v>
      </c>
      <c r="D32" s="787">
        <v>2021</v>
      </c>
      <c r="E32" s="788">
        <f>(IF('Daily HLP'!I34&gt;0,'Daily HLP'!I34,0))</f>
        <v>21500</v>
      </c>
      <c r="F32" s="789">
        <v>9</v>
      </c>
      <c r="G32" s="789">
        <f>(IF('Daily HLP'!M34&gt;0,'Daily HLP'!M34,0))</f>
        <v>950</v>
      </c>
      <c r="H32" s="789">
        <v>52</v>
      </c>
      <c r="I32" s="789">
        <f>(IF('Daily HLP'!P34&gt;0,'Daily HLP'!P34,0))</f>
        <v>120</v>
      </c>
      <c r="J32" s="789">
        <v>118</v>
      </c>
      <c r="K32" s="863">
        <f>Occupancy!G32</f>
        <v>0</v>
      </c>
      <c r="L32" s="788">
        <f>Occupancy!F32</f>
        <v>0</v>
      </c>
      <c r="M32" s="791"/>
    </row>
    <row r="33" spans="1:13" s="788" customFormat="1">
      <c r="A33" s="792"/>
      <c r="B33" s="786"/>
      <c r="C33" s="786"/>
      <c r="D33" s="787"/>
      <c r="F33" s="789"/>
      <c r="G33" s="789"/>
      <c r="H33" s="789"/>
      <c r="I33" s="789"/>
      <c r="J33" s="789"/>
      <c r="M33" s="791"/>
    </row>
    <row r="34" spans="1:13" s="788" customFormat="1">
      <c r="A34" s="792"/>
      <c r="B34" s="786"/>
      <c r="C34" s="786"/>
      <c r="D34" s="787"/>
      <c r="F34" s="789"/>
      <c r="G34" s="789"/>
      <c r="H34" s="789"/>
      <c r="I34" s="789"/>
      <c r="J34" s="789"/>
      <c r="M34" s="791"/>
    </row>
    <row r="35" spans="1:13" s="788" customFormat="1">
      <c r="A35" s="792"/>
      <c r="B35" s="786"/>
      <c r="C35" s="786"/>
      <c r="D35" s="787"/>
      <c r="F35" s="789"/>
      <c r="G35" s="789"/>
      <c r="H35" s="789"/>
      <c r="I35" s="789"/>
      <c r="J35" s="789"/>
      <c r="M35" s="791"/>
    </row>
    <row r="36" spans="1:13" s="788" customFormat="1">
      <c r="A36" s="792"/>
      <c r="B36" s="786"/>
      <c r="C36" s="786"/>
      <c r="D36" s="787"/>
      <c r="F36" s="789"/>
      <c r="G36" s="789"/>
      <c r="H36" s="789"/>
      <c r="I36" s="789"/>
      <c r="J36" s="789"/>
      <c r="M36" s="791"/>
    </row>
    <row r="37" spans="1:13" s="788" customFormat="1">
      <c r="A37" s="792"/>
      <c r="B37" s="786"/>
      <c r="C37" s="786"/>
      <c r="D37" s="787"/>
      <c r="F37" s="789"/>
      <c r="G37" s="789"/>
      <c r="H37" s="789"/>
      <c r="I37" s="789"/>
      <c r="J37" s="789"/>
      <c r="M37" s="791"/>
    </row>
    <row r="38" spans="1:13" s="788" customFormat="1">
      <c r="A38" s="792"/>
      <c r="B38" s="786"/>
      <c r="C38" s="786"/>
      <c r="D38" s="787"/>
      <c r="F38" s="789"/>
      <c r="G38" s="789"/>
      <c r="H38" s="789"/>
      <c r="I38" s="789"/>
      <c r="J38" s="789"/>
      <c r="M38" s="79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S35" sqref="AS35"/>
    </sheetView>
  </sheetViews>
  <sheetFormatPr defaultColWidth="9" defaultRowHeight="15"/>
  <cols>
    <col min="1" max="1" width="17.109375" style="904" customWidth="1"/>
    <col min="2" max="3" width="9" style="908" customWidth="1"/>
    <col min="4" max="4" width="10.44140625" style="908" customWidth="1"/>
    <col min="5" max="29" width="9.77734375" style="924" customWidth="1"/>
    <col min="30" max="30" width="9" style="924"/>
    <col min="31" max="31" width="9" style="925"/>
    <col min="32" max="32" width="9" style="924"/>
    <col min="33" max="39" width="9" style="926"/>
    <col min="40" max="40" width="9" style="998"/>
    <col min="41" max="49" width="9" style="926"/>
    <col min="50" max="58" width="9" style="998"/>
    <col min="59" max="65" width="9" style="926"/>
    <col min="66" max="16384" width="9" style="907"/>
  </cols>
  <sheetData>
    <row r="1" spans="1:65" s="904" customFormat="1" ht="60" customHeight="1">
      <c r="A1" s="902" t="s">
        <v>279</v>
      </c>
      <c r="B1" s="903" t="s">
        <v>280</v>
      </c>
      <c r="C1" s="903" t="s">
        <v>281</v>
      </c>
      <c r="D1" s="903" t="s">
        <v>282</v>
      </c>
      <c r="E1" s="918" t="str">
        <f>'Section Load'!F4</f>
        <v>HVAC</v>
      </c>
      <c r="F1" s="918" t="str">
        <f>'Section Load'!G4</f>
        <v>Fire &amp; Emergency PP</v>
      </c>
      <c r="G1" s="918" t="str">
        <f>'Section Load'!H4</f>
        <v>Main PP</v>
      </c>
      <c r="H1" s="918" t="str">
        <f>'Section Load'!I4</f>
        <v>Lighting PP</v>
      </c>
      <c r="I1" s="918" t="str">
        <f>'Section Load'!J4</f>
        <v>CH-1+ CH2+CH3+CH4</v>
      </c>
      <c r="J1" s="918" t="str">
        <f>'Section Load'!K4</f>
        <v>Chilled water Pump</v>
      </c>
      <c r="K1" s="918" t="str">
        <f>'Section Load'!L4</f>
        <v>Ball Room-1</v>
      </c>
      <c r="L1" s="918" t="str">
        <f>'Section Load'!M4</f>
        <v>Ball Room-2</v>
      </c>
      <c r="M1" s="918" t="str">
        <f>'Section Load'!N4</f>
        <v>MK-1</v>
      </c>
      <c r="N1" s="918" t="str">
        <f>'Section Load'!O4</f>
        <v>MK-2</v>
      </c>
      <c r="O1" s="918" t="str">
        <f>'Section Load'!P4</f>
        <v>Prato</v>
      </c>
      <c r="P1" s="918" t="str">
        <f>'Section Load'!Q4</f>
        <v>San- Qi Indian</v>
      </c>
      <c r="Q1" s="918" t="str">
        <f>'Section Load'!R4</f>
        <v>San- Qi Japanese</v>
      </c>
      <c r="R1" s="918" t="str">
        <f>'Section Load'!S4</f>
        <v>The club</v>
      </c>
      <c r="S1" s="918" t="str">
        <f>'Section Load'!T4</f>
        <v>AER</v>
      </c>
      <c r="T1" s="918" t="str">
        <f>'Section Load'!U4</f>
        <v>COLD ROOM'S</v>
      </c>
      <c r="U1" s="918" t="str">
        <f>'Section Load'!V4</f>
        <v>Ball Room 1</v>
      </c>
      <c r="V1" s="918" t="str">
        <f>'Section Load'!W4</f>
        <v>Ball Room 2</v>
      </c>
      <c r="W1" s="918" t="str">
        <f>'Section Load'!X4</f>
        <v>B1 Laundry</v>
      </c>
      <c r="X1" s="918" t="str">
        <f>'Section Load'!Y4</f>
        <v>B2 Laundry</v>
      </c>
      <c r="Y1" s="918" t="str">
        <f>'Section Load'!Z4</f>
        <v>STP</v>
      </c>
      <c r="Z1" s="918" t="str">
        <f>'Section Load'!AA4</f>
        <v>MOCK Up Room</v>
      </c>
      <c r="AA1" s="918" t="str">
        <f>'Section Load'!AB4</f>
        <v>27th Floor</v>
      </c>
      <c r="AB1" s="918" t="str">
        <f>'Section Load'!AC4</f>
        <v>Physic57</v>
      </c>
      <c r="AC1" s="918" t="str">
        <f>'Section Load'!AD4</f>
        <v>Pinoor Legal- Power+lighting</v>
      </c>
      <c r="AD1" s="918" t="str">
        <f>'Section Load'!AE4</f>
        <v>2nd floor plant room</v>
      </c>
      <c r="AE1" s="918" t="str">
        <f>'Section Load'!AF4</f>
        <v>5th Floor</v>
      </c>
      <c r="AF1" s="918" t="str">
        <f>'Section Load'!AG4</f>
        <v>5th Floor</v>
      </c>
      <c r="AG1" s="918" t="str">
        <f>'Section Load'!AH4</f>
        <v>12th Floor</v>
      </c>
      <c r="AH1" s="918" t="str">
        <f>'Section Load'!AI4</f>
        <v>20th Floor</v>
      </c>
      <c r="AI1" s="918" t="str">
        <f>'Section Load'!AJ4</f>
        <v>27th Floor</v>
      </c>
      <c r="AJ1" s="918" t="str">
        <f>'Section Load'!AK4</f>
        <v>34th Floor</v>
      </c>
      <c r="AK1" s="918" t="str">
        <f>'Section Load'!AL4</f>
        <v>Sanqi</v>
      </c>
      <c r="AL1" s="918" t="str">
        <f>'Section Load'!AM4</f>
        <v>Cooling Tower</v>
      </c>
      <c r="AM1" s="919" t="s">
        <v>303</v>
      </c>
      <c r="AN1" s="996" t="s">
        <v>206</v>
      </c>
      <c r="AO1" s="919" t="s">
        <v>208</v>
      </c>
      <c r="AP1" s="919" t="s">
        <v>209</v>
      </c>
      <c r="AQ1" s="919" t="s">
        <v>210</v>
      </c>
      <c r="AR1" s="919" t="s">
        <v>211</v>
      </c>
      <c r="AS1" s="919" t="s">
        <v>212</v>
      </c>
      <c r="AT1" s="919" t="s">
        <v>213</v>
      </c>
      <c r="AU1" s="919" t="s">
        <v>218</v>
      </c>
      <c r="AV1" s="919" t="s">
        <v>76</v>
      </c>
      <c r="AW1" s="919" t="s">
        <v>77</v>
      </c>
      <c r="AX1" s="996" t="s">
        <v>219</v>
      </c>
      <c r="AY1" s="996" t="s">
        <v>220</v>
      </c>
      <c r="AZ1" s="996" t="s">
        <v>221</v>
      </c>
      <c r="BA1" s="996" t="s">
        <v>223</v>
      </c>
      <c r="BB1" s="996" t="s">
        <v>224</v>
      </c>
      <c r="BC1" s="996" t="s">
        <v>326</v>
      </c>
      <c r="BD1" s="996" t="s">
        <v>324</v>
      </c>
      <c r="BE1" s="996" t="s">
        <v>304</v>
      </c>
      <c r="BF1" s="996" t="s">
        <v>305</v>
      </c>
      <c r="BG1" s="920" t="str">
        <f>'Section Load'!AN4</f>
        <v>MGL</v>
      </c>
      <c r="BH1" s="920" t="str">
        <f>'Section Load'!AO4</f>
        <v>HWG</v>
      </c>
      <c r="BI1" s="920" t="str">
        <f>'Section Load'!AP4</f>
        <v>Prato</v>
      </c>
      <c r="BJ1" s="920" t="str">
        <f>'Section Load'!AQ4</f>
        <v>BR-1</v>
      </c>
      <c r="BK1" s="920" t="str">
        <f>'Section Load'!AR4</f>
        <v>SanQi IND</v>
      </c>
      <c r="BL1" s="920" t="str">
        <f>'Section Load'!AS4</f>
        <v>SanQi JPN</v>
      </c>
      <c r="BM1" s="920" t="str">
        <f>'Section Load'!AT4</f>
        <v>Boiler</v>
      </c>
    </row>
    <row r="2" spans="1:65" ht="15" customHeight="1">
      <c r="A2" s="905" t="s">
        <v>290</v>
      </c>
      <c r="B2" s="906">
        <v>1</v>
      </c>
      <c r="C2" s="906">
        <v>8</v>
      </c>
      <c r="D2" s="906">
        <v>2021</v>
      </c>
      <c r="E2" s="921">
        <f>(IF('Section Load'!F5&gt;0,'Section Load'!F5,0))</f>
        <v>3081.6699999999837</v>
      </c>
      <c r="F2" s="921">
        <f>(IF('Section Load'!G5&gt;0,'Section Load'!G5,0))</f>
        <v>1651.6000000000058</v>
      </c>
      <c r="G2" s="921">
        <f>(IF('Section Load'!H5&gt;0,'Section Load'!H5,0))</f>
        <v>1739.3699999999953</v>
      </c>
      <c r="H2" s="921">
        <f>(IF('Section Load'!I5&gt;0,'Section Load'!I5,0))</f>
        <v>3756.5800000000163</v>
      </c>
      <c r="I2" s="921">
        <f>(IF('Section Load'!J5&gt;0,'Section Load'!J5,0))</f>
        <v>6395.7400000000198</v>
      </c>
      <c r="J2" s="921">
        <f>(IF('Section Load'!K5&gt;0,'Section Load'!K5,0))</f>
        <v>2724.6999999999534</v>
      </c>
      <c r="K2" s="921">
        <f>(IF('Section Load'!L5&gt;0,'Section Load'!L5,0))</f>
        <v>1556.4699999999721</v>
      </c>
      <c r="L2" s="921">
        <f>(IF('Section Load'!M5&gt;0,'Section Load'!M5,0))</f>
        <v>732.59999999999854</v>
      </c>
      <c r="M2" s="921">
        <f>(IF('Section Load'!N5&gt;0,'Section Load'!N5,0))</f>
        <v>14</v>
      </c>
      <c r="N2" s="921">
        <f>(IF('Section Load'!O5&gt;0,'Section Load'!O5,0))</f>
        <v>1</v>
      </c>
      <c r="O2" s="921">
        <f>(IF('Section Load'!P5&gt;0,'Section Load'!P5,0))</f>
        <v>1</v>
      </c>
      <c r="P2" s="921">
        <f>(IF('Section Load'!Q5&gt;0,'Section Load'!Q5,0))</f>
        <v>161.63999999999942</v>
      </c>
      <c r="Q2" s="921">
        <f>(IF('Section Load'!R5&gt;0,'Section Load'!R5,0))</f>
        <v>59.6299999999992</v>
      </c>
      <c r="R2" s="921">
        <f>(IF('Section Load'!S5&gt;0,'Section Load'!S5,0))</f>
        <v>59</v>
      </c>
      <c r="S2" s="921">
        <f>(IF('Section Load'!T5&gt;0,'Section Load'!T5,0))</f>
        <v>144</v>
      </c>
      <c r="T2" s="921">
        <f>(IF('Section Load'!U5&gt;0,'Section Load'!U5,0))</f>
        <v>143</v>
      </c>
      <c r="U2" s="921">
        <f>(IF('Section Load'!V5&gt;0,'Section Load'!V5,0))</f>
        <v>461.31999999994878</v>
      </c>
      <c r="V2" s="921">
        <f>(IF('Section Load'!W5&gt;0,'Section Load'!W5,0))</f>
        <v>165.56000000005588</v>
      </c>
      <c r="W2" s="921">
        <f>(IF('Section Load'!X5&gt;0,'Section Load'!X5,0))</f>
        <v>13.279999999998836</v>
      </c>
      <c r="X2" s="921">
        <f>(IF('Section Load'!Y5&gt;0,'Section Load'!Y5,0))</f>
        <v>194.98999999999796</v>
      </c>
      <c r="Y2" s="921">
        <f>(IF('Section Load'!Z5&gt;0,'Section Load'!Z5,0))</f>
        <v>305</v>
      </c>
      <c r="Z2" s="921">
        <f>(IF('Section Load'!AA5&gt;0,'Section Load'!AA5,0))</f>
        <v>238</v>
      </c>
      <c r="AA2" s="921">
        <f>(IF('Section Load'!AB5&gt;0,'Section Load'!AB5,0))</f>
        <v>7.6999999999970896</v>
      </c>
      <c r="AB2" s="921">
        <f>(IF('Section Load'!AC5&gt;0,'Section Load'!AC5,0))</f>
        <v>0</v>
      </c>
      <c r="AC2" s="921">
        <f>(IF('Section Load'!AD5&gt;0,'Section Load'!AD5,0))</f>
        <v>18.899999999996908</v>
      </c>
      <c r="AD2" s="921">
        <f>(IF('Section Load'!AE5&gt;0,'Section Load'!AE5,0))</f>
        <v>0</v>
      </c>
      <c r="AE2" s="921">
        <f>(IF('Section Load'!AF5&gt;0,'Section Load'!AF5,0))</f>
        <v>0</v>
      </c>
      <c r="AF2" s="921">
        <f>(IF('Section Load'!AG5&gt;0,'Section Load'!AG5,0))</f>
        <v>393.69000000000233</v>
      </c>
      <c r="AG2" s="921">
        <f>(IF('Section Load'!AH5&gt;0,'Section Load'!AH5,0))</f>
        <v>379.01000000000931</v>
      </c>
      <c r="AH2" s="921">
        <f>(IF('Section Load'!AI5&gt;0,'Section Load'!AI5,0))</f>
        <v>405.22999999999593</v>
      </c>
      <c r="AI2" s="921">
        <f>(IF('Section Load'!AJ5&gt;0,'Section Load'!AJ5,0))</f>
        <v>501</v>
      </c>
      <c r="AJ2" s="921">
        <f>(IF('Section Load'!AK5&gt;0,'Section Load'!AK5,0))</f>
        <v>0</v>
      </c>
      <c r="AK2" s="921">
        <f>(IF('Section Load'!AL5&gt;0,'Section Load'!AL5,0))</f>
        <v>325.52999999999884</v>
      </c>
      <c r="AL2" s="921">
        <f>(IF('Section Load'!AM5&gt;0,'Section Load'!AM5,0))</f>
        <v>809</v>
      </c>
      <c r="AM2" s="922">
        <f>(IF('Water Report'!$D$7&gt;0,'Water Report'!$D$7,0))</f>
        <v>135</v>
      </c>
      <c r="AN2" s="922">
        <f>(IF('Water Report'!$D$8&gt;0,'Water Report'!$D$8,0))</f>
        <v>171</v>
      </c>
      <c r="AO2" s="922">
        <f>(IF('Water Report'!$D$9&gt;0,'Water Report'!$D$9,0))</f>
        <v>70</v>
      </c>
      <c r="AP2" s="922">
        <f>(IF('Water Report'!$D$10&gt;0,'Water Report'!$D$10,0))</f>
        <v>34</v>
      </c>
      <c r="AQ2" s="922">
        <f>(IF('Water Report'!$D$11&gt;0,'Water Report'!$D$11,0))</f>
        <v>43</v>
      </c>
      <c r="AR2" s="922">
        <f>(IF('Water Report'!$D$13&gt;0,'Water Report'!$D$13,0))</f>
        <v>6</v>
      </c>
      <c r="AS2" s="922">
        <f>(IF('Water Report'!$D$14&gt;0,'Water Report'!$D$14,0))</f>
        <v>28</v>
      </c>
      <c r="AT2" s="922">
        <f>(IF('Water Report'!$D$15&gt;0,'Water Report'!$D$15,0))</f>
        <v>16</v>
      </c>
      <c r="AU2" s="922">
        <f>(IF('Water Report'!$D$17&gt;0,'Water Report'!$D$17,0))</f>
        <v>0</v>
      </c>
      <c r="AV2" s="922">
        <f>(IF('Water Report'!$D$18&gt;0,'Water Report'!$D$18,0))</f>
        <v>11</v>
      </c>
      <c r="AW2" s="922">
        <f>(IF('Water Report'!$D$19&gt;0,'Water Report'!$D$19,0))</f>
        <v>4</v>
      </c>
      <c r="AX2" s="997">
        <f>(IF('Water Report'!$D$21&gt;0,'Water Report'!$D$21,0))</f>
        <v>71</v>
      </c>
      <c r="AY2" s="997">
        <f>(IF('Water Report'!$D$22&gt;0,'Water Report'!$D$22,0))</f>
        <v>0</v>
      </c>
      <c r="AZ2" s="997">
        <f>(IF('Water Report'!$D$23&gt;0,'Water Report'!$D$23,0))</f>
        <v>0</v>
      </c>
      <c r="BA2" s="997">
        <f>(IF('Water Report'!$D$14&gt;0,'Water Report'!$D$14,0))</f>
        <v>28</v>
      </c>
      <c r="BB2" s="997">
        <f>(IF('Water Report'!$D$15&gt;0,'Water Report'!$D$15,0))</f>
        <v>16</v>
      </c>
      <c r="BC2" s="997">
        <f>(IF('Water Report'!$D$13&gt;0,'Water Report'!$D$13,0))</f>
        <v>6</v>
      </c>
      <c r="BD2" s="997">
        <f>(IF('Water Report'!$D$24&gt;0,'Water Report'!$D$24,0))</f>
        <v>243</v>
      </c>
      <c r="BE2" s="997">
        <f>(IF('Water Report'!$D$25&gt;0,'Water Report'!$D$25,0))</f>
        <v>191</v>
      </c>
      <c r="BF2" s="997">
        <f>(IF('Water Report'!$D$27&gt;0,'Water Report'!$D$27,0))</f>
        <v>77</v>
      </c>
      <c r="BG2" s="923">
        <f>(IF('Section Load'!AN5&gt;0,'Section Load'!AN5,0))</f>
        <v>776</v>
      </c>
      <c r="BH2" s="923">
        <f>(IF('Section Load'!AO5&gt;0,'Section Load'!AO5,0))</f>
        <v>269.35999999998603</v>
      </c>
      <c r="BI2" s="923">
        <f>(IF('Section Load'!AP5&gt;0,'Section Load'!AP5,0))</f>
        <v>0</v>
      </c>
      <c r="BJ2" s="923">
        <f>(IF('Section Load'!AQ5&gt;0,'Section Load'!AQ5,0))</f>
        <v>77</v>
      </c>
      <c r="BK2" s="923">
        <f>(IF('Section Load'!AR5&gt;0,'Section Load'!AR5,0))</f>
        <v>46</v>
      </c>
      <c r="BL2" s="923">
        <f>(IF('Section Load'!AS5&gt;0,'Section Load'!AS5,0))</f>
        <v>2</v>
      </c>
      <c r="BM2" s="923">
        <f>(IF('Section Load'!AT5&gt;0,'Section Load'!AT5,0))</f>
        <v>381.64000000001397</v>
      </c>
    </row>
    <row r="3" spans="1:65">
      <c r="A3" s="905" t="s">
        <v>290</v>
      </c>
      <c r="B3" s="906">
        <f>B2+1</f>
        <v>2</v>
      </c>
      <c r="C3" s="906">
        <v>8</v>
      </c>
      <c r="D3" s="906">
        <v>2021</v>
      </c>
      <c r="E3" s="921">
        <f>(IF('Section Load'!F6&gt;0,'Section Load'!F6,0))</f>
        <v>3099.8800000000047</v>
      </c>
      <c r="F3" s="921">
        <f>(IF('Section Load'!G6&gt;0,'Section Load'!G6,0))</f>
        <v>1604.8199999999779</v>
      </c>
      <c r="G3" s="921">
        <f>(IF('Section Load'!H6&gt;0,'Section Load'!H6,0))</f>
        <v>1664.9200000000128</v>
      </c>
      <c r="H3" s="921">
        <f>(IF('Section Load'!I6&gt;0,'Section Load'!I6,0))</f>
        <v>3764.6800000000512</v>
      </c>
      <c r="I3" s="921">
        <f>(IF('Section Load'!J6&gt;0,'Section Load'!J6,0))</f>
        <v>6598.5900000000111</v>
      </c>
      <c r="J3" s="921">
        <f>(IF('Section Load'!K6&gt;0,'Section Load'!K6,0))</f>
        <v>2502.5</v>
      </c>
      <c r="K3" s="921">
        <f>(IF('Section Load'!L6&gt;0,'Section Load'!L6,0))</f>
        <v>1119.4799999999814</v>
      </c>
      <c r="L3" s="921">
        <f>(IF('Section Load'!M6&gt;0,'Section Load'!M6,0))</f>
        <v>549.29000000000087</v>
      </c>
      <c r="M3" s="921">
        <f>(IF('Section Load'!N6&gt;0,'Section Load'!N6,0))</f>
        <v>12</v>
      </c>
      <c r="N3" s="921">
        <f>(IF('Section Load'!O6&gt;0,'Section Load'!O6,0))</f>
        <v>2</v>
      </c>
      <c r="O3" s="921">
        <f>(IF('Section Load'!P6&gt;0,'Section Load'!P6,0))</f>
        <v>2</v>
      </c>
      <c r="P3" s="921">
        <f>(IF('Section Load'!Q6&gt;0,'Section Load'!Q6,0))</f>
        <v>157.72000000000116</v>
      </c>
      <c r="Q3" s="921">
        <f>(IF('Section Load'!R6&gt;0,'Section Load'!R6,0))</f>
        <v>56.510000000000218</v>
      </c>
      <c r="R3" s="921">
        <f>(IF('Section Load'!S6&gt;0,'Section Load'!S6,0))</f>
        <v>67</v>
      </c>
      <c r="S3" s="921">
        <f>(IF('Section Load'!T6&gt;0,'Section Load'!T6,0))</f>
        <v>104</v>
      </c>
      <c r="T3" s="921">
        <f>(IF('Section Load'!U6&gt;0,'Section Load'!U6,0))</f>
        <v>153</v>
      </c>
      <c r="U3" s="921">
        <f>(IF('Section Load'!V6&gt;0,'Section Load'!V6,0))</f>
        <v>390.68000000005122</v>
      </c>
      <c r="V3" s="921">
        <f>(IF('Section Load'!W6&gt;0,'Section Load'!W6,0))</f>
        <v>113.03999999992084</v>
      </c>
      <c r="W3" s="921">
        <f>(IF('Section Load'!X6&gt;0,'Section Load'!X6,0))</f>
        <v>26.119999999995343</v>
      </c>
      <c r="X3" s="921">
        <f>(IF('Section Load'!Y6&gt;0,'Section Load'!Y6,0))</f>
        <v>241.59999999999854</v>
      </c>
      <c r="Y3" s="921">
        <f>(IF('Section Load'!Z6&gt;0,'Section Load'!Z6,0))</f>
        <v>326</v>
      </c>
      <c r="Z3" s="921">
        <f>(IF('Section Load'!AA6&gt;0,'Section Load'!AA6,0))</f>
        <v>203</v>
      </c>
      <c r="AA3" s="921">
        <f>(IF('Section Load'!AB6&gt;0,'Section Load'!AB6,0))</f>
        <v>33.5</v>
      </c>
      <c r="AB3" s="921">
        <f>(IF('Section Load'!AC6&gt;0,'Section Load'!AC6,0))</f>
        <v>0</v>
      </c>
      <c r="AC3" s="921">
        <f>(IF('Section Load'!AD6&gt;0,'Section Load'!AD6,0))</f>
        <v>64.100000000009004</v>
      </c>
      <c r="AD3" s="921">
        <f>(IF('Section Load'!AE6&gt;0,'Section Load'!AE6,0))</f>
        <v>0</v>
      </c>
      <c r="AE3" s="921">
        <f>(IF('Section Load'!AF6&gt;0,'Section Load'!AF6,0))</f>
        <v>0</v>
      </c>
      <c r="AF3" s="921">
        <f>(IF('Section Load'!AG6&gt;0,'Section Load'!AG6,0))</f>
        <v>378.94000000000233</v>
      </c>
      <c r="AG3" s="921">
        <f>(IF('Section Load'!AH6&gt;0,'Section Load'!AH6,0))</f>
        <v>396.5</v>
      </c>
      <c r="AH3" s="921">
        <f>(IF('Section Load'!AI6&gt;0,'Section Load'!AI6,0))</f>
        <v>417.02999999999884</v>
      </c>
      <c r="AI3" s="921">
        <f>(IF('Section Load'!AJ6&gt;0,'Section Load'!AJ6,0))</f>
        <v>478.6699999999837</v>
      </c>
      <c r="AJ3" s="921">
        <f>(IF('Section Load'!AK6&gt;0,'Section Load'!AK6,0))</f>
        <v>0</v>
      </c>
      <c r="AK3" s="921">
        <f>(IF('Section Load'!AL6&gt;0,'Section Load'!AL6,0))</f>
        <v>318.47999999999593</v>
      </c>
      <c r="AL3" s="921">
        <f>(IF('Section Load'!AM6&gt;0,'Section Load'!AM6,0))</f>
        <v>782</v>
      </c>
      <c r="AM3" s="922">
        <f>(IF('Water Report'!$E$7&gt;0,'Water Report'!$E$7,0))</f>
        <v>82</v>
      </c>
      <c r="AN3" s="922">
        <f>(IF('Water Report'!$E$8&gt;0,'Water Report'!$E$8,0))</f>
        <v>195</v>
      </c>
      <c r="AO3" s="922">
        <f>(IF('Water Report'!$E$9&gt;0,'Water Report'!$E$9,0))</f>
        <v>68</v>
      </c>
      <c r="AP3" s="922">
        <f>(IF('Water Report'!$E$10&gt;0,'Water Report'!$E$10,0))</f>
        <v>26</v>
      </c>
      <c r="AQ3" s="922">
        <f>(IF('Water Report'!$E$11&gt;0,'Water Report'!$E$11,0))</f>
        <v>27</v>
      </c>
      <c r="AR3" s="922">
        <f>(IF('Water Report'!$E$13&gt;0,'Water Report'!$E$13,0))</f>
        <v>45</v>
      </c>
      <c r="AS3" s="922">
        <f>(IF('Water Report'!$E$14&gt;0,'Water Report'!$E$14,0))</f>
        <v>21</v>
      </c>
      <c r="AT3" s="922">
        <f>(IF('Water Report'!$E$15&gt;0,'Water Report'!$E$15,0))</f>
        <v>11</v>
      </c>
      <c r="AU3" s="922">
        <f>(IF('Water Report'!$E$17&gt;0,'Water Report'!$E$17,0))</f>
        <v>0</v>
      </c>
      <c r="AV3" s="922">
        <f>(IF('Water Report'!$E$18&gt;0,'Water Report'!$E$18,0))</f>
        <v>10</v>
      </c>
      <c r="AW3" s="922">
        <f>(IF('Water Report'!$E$19&gt;0,'Water Report'!$E$19,0))</f>
        <v>5</v>
      </c>
      <c r="AX3" s="997">
        <f>(IF('Water Report'!$E$21&gt;0,'Water Report'!$E$21,0))</f>
        <v>73</v>
      </c>
      <c r="AY3" s="997">
        <f>(IF('Water Report'!$E$22&gt;0,'Water Report'!$E$22,0))</f>
        <v>0</v>
      </c>
      <c r="AZ3" s="997">
        <f>(IF('Water Report'!$E$23&gt;0,'Water Report'!$E$23,0))</f>
        <v>37</v>
      </c>
      <c r="BA3" s="997">
        <f>(IF('Water Report'!$E$14&gt;0,'Water Report'!$E$14,0))</f>
        <v>21</v>
      </c>
      <c r="BB3" s="997">
        <f>(IF('Water Report'!$E$15&gt;0,'Water Report'!$E$15,0))</f>
        <v>11</v>
      </c>
      <c r="BC3" s="997">
        <f>(IF('Water Report'!$E$13&gt;0,'Water Report'!$E$13,0))</f>
        <v>45</v>
      </c>
      <c r="BD3" s="997">
        <f>(IF('Water Report'!$E$24&gt;0,'Water Report'!$E$24,0))</f>
        <v>244</v>
      </c>
      <c r="BE3" s="997">
        <f>(IF('Water Report'!$E$25&gt;0,'Water Report'!$E$25,0))</f>
        <v>153</v>
      </c>
      <c r="BF3" s="997">
        <f>(IF('Water Report'!$E$27&gt;0,'Water Report'!$E$27,0))</f>
        <v>155</v>
      </c>
      <c r="BG3" s="923">
        <f>(IF('Section Load'!AN6&gt;0,'Section Load'!AN6,0))</f>
        <v>924.25</v>
      </c>
      <c r="BH3" s="923">
        <f>(IF('Section Load'!AO6&gt;0,'Section Load'!AO6,0))</f>
        <v>267.59999999997672</v>
      </c>
      <c r="BI3" s="923">
        <f>(IF('Section Load'!AP6&gt;0,'Section Load'!AP6,0))</f>
        <v>0</v>
      </c>
      <c r="BJ3" s="923">
        <f>(IF('Section Load'!AQ6&gt;0,'Section Load'!AQ6,0))</f>
        <v>79.720000000001164</v>
      </c>
      <c r="BK3" s="923">
        <f>(IF('Section Load'!AR6&gt;0,'Section Load'!AR6,0))</f>
        <v>43.69999999999709</v>
      </c>
      <c r="BL3" s="923">
        <f>(IF('Section Load'!AS6&gt;0,'Section Load'!AS6,0))</f>
        <v>2.6000000000003638</v>
      </c>
      <c r="BM3" s="923">
        <f>(IF('Section Load'!AT6&gt;0,'Section Load'!AT6,0))</f>
        <v>530.63000000002467</v>
      </c>
    </row>
    <row r="4" spans="1:65">
      <c r="A4" s="905" t="s">
        <v>290</v>
      </c>
      <c r="B4" s="906">
        <f t="shared" ref="B4:B32" si="0">B3+1</f>
        <v>3</v>
      </c>
      <c r="C4" s="906">
        <v>8</v>
      </c>
      <c r="D4" s="906">
        <v>2021</v>
      </c>
      <c r="E4" s="921">
        <f>(IF('Section Load'!F7&gt;0,'Section Load'!F7,0))</f>
        <v>2964.9000000000233</v>
      </c>
      <c r="F4" s="921">
        <f>(IF('Section Load'!G7&gt;0,'Section Load'!G7,0))</f>
        <v>1599.1000000000058</v>
      </c>
      <c r="G4" s="921">
        <f>(IF('Section Load'!H7&gt;0,'Section Load'!H7,0))</f>
        <v>1612.3999999999942</v>
      </c>
      <c r="H4" s="921">
        <f>(IF('Section Load'!I7&gt;0,'Section Load'!I7,0))</f>
        <v>3726.2799999999115</v>
      </c>
      <c r="I4" s="921">
        <f>(IF('Section Load'!J7&gt;0,'Section Load'!J7,0))</f>
        <v>6845.9999999999272</v>
      </c>
      <c r="J4" s="921">
        <f>(IF('Section Load'!K7&gt;0,'Section Load'!K7,0))</f>
        <v>2671.6000000000931</v>
      </c>
      <c r="K4" s="921">
        <f>(IF('Section Load'!L7&gt;0,'Section Load'!L7,0))</f>
        <v>958.92000000004191</v>
      </c>
      <c r="L4" s="921">
        <f>(IF('Section Load'!M7&gt;0,'Section Load'!M7,0))</f>
        <v>802.79000000000087</v>
      </c>
      <c r="M4" s="921">
        <f>(IF('Section Load'!N7&gt;0,'Section Load'!N7,0))</f>
        <v>14</v>
      </c>
      <c r="N4" s="921">
        <f>(IF('Section Load'!O7&gt;0,'Section Load'!O7,0))</f>
        <v>1</v>
      </c>
      <c r="O4" s="921">
        <f>(IF('Section Load'!P7&gt;0,'Section Load'!P7,0))</f>
        <v>1.1999999999970896</v>
      </c>
      <c r="P4" s="921">
        <f>(IF('Section Load'!Q7&gt;0,'Section Load'!Q7,0))</f>
        <v>149.68000000000029</v>
      </c>
      <c r="Q4" s="921">
        <f>(IF('Section Load'!R7&gt;0,'Section Load'!R7,0))</f>
        <v>45.180000000000291</v>
      </c>
      <c r="R4" s="921">
        <f>(IF('Section Load'!S7&gt;0,'Section Load'!S7,0))</f>
        <v>67</v>
      </c>
      <c r="S4" s="921">
        <f>(IF('Section Load'!T7&gt;0,'Section Load'!T7,0))</f>
        <v>89</v>
      </c>
      <c r="T4" s="921">
        <f>(IF('Section Load'!U7&gt;0,'Section Load'!U7,0))</f>
        <v>148</v>
      </c>
      <c r="U4" s="921">
        <f>(IF('Section Load'!V7&gt;0,'Section Load'!V7,0))</f>
        <v>386.64000000001397</v>
      </c>
      <c r="V4" s="921">
        <f>(IF('Section Load'!W7&gt;0,'Section Load'!W7,0))</f>
        <v>132.20000000006985</v>
      </c>
      <c r="W4" s="921">
        <f>(IF('Section Load'!X7&gt;0,'Section Load'!X7,0))</f>
        <v>12.610000000000582</v>
      </c>
      <c r="X4" s="921">
        <f>(IF('Section Load'!Y7&gt;0,'Section Load'!Y7,0))</f>
        <v>206</v>
      </c>
      <c r="Y4" s="921">
        <f>(IF('Section Load'!Z7&gt;0,'Section Load'!Z7,0))</f>
        <v>328</v>
      </c>
      <c r="Z4" s="921">
        <f>(IF('Section Load'!AA7&gt;0,'Section Load'!AA7,0))</f>
        <v>6.5200000000186265</v>
      </c>
      <c r="AA4" s="921">
        <f>(IF('Section Load'!AB7&gt;0,'Section Load'!AB7,0))</f>
        <v>7.6999999999970896</v>
      </c>
      <c r="AB4" s="921">
        <f>(IF('Section Load'!AC7&gt;0,'Section Load'!AC7,0))</f>
        <v>0</v>
      </c>
      <c r="AC4" s="921">
        <f>(IF('Section Load'!AD7&gt;0,'Section Load'!AD7,0))</f>
        <v>37.49999999999136</v>
      </c>
      <c r="AD4" s="921">
        <f>(IF('Section Load'!AE7&gt;0,'Section Load'!AE7,0))</f>
        <v>0</v>
      </c>
      <c r="AE4" s="921">
        <f>(IF('Section Load'!AF7&gt;0,'Section Load'!AF7,0))</f>
        <v>0</v>
      </c>
      <c r="AF4" s="921">
        <f>(IF('Section Load'!AG7&gt;0,'Section Load'!AG7,0))</f>
        <v>349.69000000000233</v>
      </c>
      <c r="AG4" s="921">
        <f>(IF('Section Load'!AH7&gt;0,'Section Load'!AH7,0))</f>
        <v>401.57999999998719</v>
      </c>
      <c r="AH4" s="921">
        <f>(IF('Section Load'!AI7&gt;0,'Section Load'!AI7,0))</f>
        <v>396.05000000000291</v>
      </c>
      <c r="AI4" s="921">
        <f>(IF('Section Load'!AJ7&gt;0,'Section Load'!AJ7,0))</f>
        <v>468.44000000000233</v>
      </c>
      <c r="AJ4" s="921">
        <f>(IF('Section Load'!AK7&gt;0,'Section Load'!AK7,0))</f>
        <v>0</v>
      </c>
      <c r="AK4" s="921">
        <f>(IF('Section Load'!AL7&gt;0,'Section Load'!AL7,0))</f>
        <v>299.06000000001222</v>
      </c>
      <c r="AL4" s="921">
        <f>(IF('Section Load'!AM7&gt;0,'Section Load'!AM7,0))</f>
        <v>647</v>
      </c>
      <c r="AM4" s="922">
        <f>(IF('Water Report'!$F$7&gt;0,'Water Report'!$F$7,0))</f>
        <v>72</v>
      </c>
      <c r="AN4" s="922">
        <f>(IF('Water Report'!$F$8&gt;0,'Water Report'!$F$8,0))</f>
        <v>131</v>
      </c>
      <c r="AO4" s="922">
        <f>(IF('Water Report'!$F$9&gt;0,'Water Report'!$G$9,0))</f>
        <v>91</v>
      </c>
      <c r="AP4" s="922">
        <f>(IF('Water Report'!$F$10&gt;0,'Water Report'!$F$10,0))</f>
        <v>21</v>
      </c>
      <c r="AQ4" s="922">
        <f>(IF('Water Report'!$F$11&gt;0,'Water Report'!$F$11,0))</f>
        <v>23</v>
      </c>
      <c r="AR4" s="922">
        <f>(IF('Water Report'!$F$13&gt;0,'Water Report'!$F$13,0))</f>
        <v>7</v>
      </c>
      <c r="AS4" s="922">
        <f>(IF('Water Report'!$F$14&gt;0,'Water Report'!$F$14,0))</f>
        <v>15</v>
      </c>
      <c r="AT4" s="922">
        <f>(IF('Water Report'!$F$15&gt;0,'Water Report'!$F$15,0))</f>
        <v>10</v>
      </c>
      <c r="AU4" s="922">
        <f>(IF('Water Report'!$F$17&gt;0,'Water Report'!$F$17,0))</f>
        <v>0</v>
      </c>
      <c r="AV4" s="922">
        <f>(IF('Water Report'!$F$18&gt;0,'Water Report'!$F$18,0))</f>
        <v>10</v>
      </c>
      <c r="AW4" s="922">
        <f>(IF('Water Report'!$F$19&gt;0,'Water Report'!$F$19,0))</f>
        <v>6</v>
      </c>
      <c r="AX4" s="997">
        <f>(IF('Water Report'!$F$21&gt;0,'Water Report'!$F$21,0))</f>
        <v>76</v>
      </c>
      <c r="AY4" s="997">
        <f>(IF('Water Report'!$F$22&gt;0,'Water Report'!$F$22,0))</f>
        <v>0</v>
      </c>
      <c r="AZ4" s="997">
        <f>(IF('Water Report'!$F$23&gt;0,'Water Report'!$F$23,0))</f>
        <v>0</v>
      </c>
      <c r="BA4" s="997">
        <f>(IF('Water Report'!$F$14&gt;0,'Water Report'!$F$14,0))</f>
        <v>15</v>
      </c>
      <c r="BB4" s="997">
        <f>(IF('Water Report'!$F$15&gt;0,'Water Report'!$F$15,0))</f>
        <v>10</v>
      </c>
      <c r="BC4" s="997">
        <f>(IF('Water Report'!$F$13&gt;0,'Water Report'!$F$13,0))</f>
        <v>7</v>
      </c>
      <c r="BD4" s="997">
        <f>(IF('Water Report'!$F$24&gt;0,'Water Report'!$F$24,0))</f>
        <v>196</v>
      </c>
      <c r="BE4" s="997">
        <f>(IF('Water Report'!$F$25&gt;0,'Water Report'!$F$25,0))</f>
        <v>131</v>
      </c>
      <c r="BF4" s="997">
        <f>(IF('Water Report'!$F$27&gt;0,'Water Report'!$F$27,0))</f>
        <v>83</v>
      </c>
      <c r="BG4" s="923">
        <f>(IF('Section Load'!AN7&gt;0,'Section Load'!AN7,0))</f>
        <v>755.88500000000931</v>
      </c>
      <c r="BH4" s="923">
        <f>(IF('Section Load'!AO7&gt;0,'Section Load'!AO7,0))</f>
        <v>252.90000000002328</v>
      </c>
      <c r="BI4" s="923">
        <f>(IF('Section Load'!AP7&gt;0,'Section Load'!AP7,0))</f>
        <v>0</v>
      </c>
      <c r="BJ4" s="923">
        <f>(IF('Section Load'!AQ7&gt;0,'Section Load'!AQ7,0))</f>
        <v>84.85999999998603</v>
      </c>
      <c r="BK4" s="923">
        <f>(IF('Section Load'!AR7&gt;0,'Section Load'!AR7,0))</f>
        <v>42.100000000005821</v>
      </c>
      <c r="BL4" s="923">
        <f>(IF('Section Load'!AS7&gt;0,'Section Load'!AS7,0))</f>
        <v>1.3999999999996362</v>
      </c>
      <c r="BM4" s="923">
        <f>(IF('Section Load'!AT7&gt;0,'Section Load'!AT7,0))</f>
        <v>374.62499999999454</v>
      </c>
    </row>
    <row r="5" spans="1:65">
      <c r="A5" s="905" t="s">
        <v>290</v>
      </c>
      <c r="B5" s="906">
        <f t="shared" si="0"/>
        <v>4</v>
      </c>
      <c r="C5" s="906">
        <v>8</v>
      </c>
      <c r="D5" s="906">
        <v>2021</v>
      </c>
      <c r="E5" s="921">
        <f>(IF('Section Load'!F8&gt;0,'Section Load'!F8,0))</f>
        <v>3090.5499999999884</v>
      </c>
      <c r="F5" s="921">
        <f>(IF('Section Load'!G8&gt;0,'Section Load'!G8,0))</f>
        <v>1605.3500000000058</v>
      </c>
      <c r="G5" s="921">
        <f>(IF('Section Load'!H8&gt;0,'Section Load'!H8,0))</f>
        <v>1684.3799999999464</v>
      </c>
      <c r="H5" s="921">
        <f>(IF('Section Load'!I8&gt;0,'Section Load'!I8,0))</f>
        <v>3735.0500000000466</v>
      </c>
      <c r="I5" s="921">
        <f>(IF('Section Load'!J8&gt;0,'Section Load'!J8,0))</f>
        <v>7495.140000000014</v>
      </c>
      <c r="J5" s="921">
        <f>(IF('Section Load'!K8&gt;0,'Section Load'!K8,0))</f>
        <v>3000.1999999999534</v>
      </c>
      <c r="K5" s="921">
        <f>(IF('Section Load'!L8&gt;0,'Section Load'!L8,0))</f>
        <v>1093.1300000000047</v>
      </c>
      <c r="L5" s="921">
        <f>(IF('Section Load'!M8&gt;0,'Section Load'!M8,0))</f>
        <v>982.72000000000116</v>
      </c>
      <c r="M5" s="921">
        <f>(IF('Section Load'!N8&gt;0,'Section Load'!N8,0))</f>
        <v>14</v>
      </c>
      <c r="N5" s="921">
        <f>(IF('Section Load'!O8&gt;0,'Section Load'!O8,0))</f>
        <v>1</v>
      </c>
      <c r="O5" s="921">
        <f>(IF('Section Load'!P8&gt;0,'Section Load'!P8,0))</f>
        <v>1.3000000000029104</v>
      </c>
      <c r="P5" s="921">
        <f>(IF('Section Load'!Q8&gt;0,'Section Load'!Q8,0))</f>
        <v>159.65999999999985</v>
      </c>
      <c r="Q5" s="921">
        <f>(IF('Section Load'!R8&gt;0,'Section Load'!R8,0))</f>
        <v>52.880000000001019</v>
      </c>
      <c r="R5" s="921">
        <f>(IF('Section Load'!S8&gt;0,'Section Load'!S8,0))</f>
        <v>73</v>
      </c>
      <c r="S5" s="921">
        <f>(IF('Section Load'!T8&gt;0,'Section Load'!T8,0))</f>
        <v>118</v>
      </c>
      <c r="T5" s="921">
        <f>(IF('Section Load'!U8&gt;0,'Section Load'!U8,0))</f>
        <v>162</v>
      </c>
      <c r="U5" s="921">
        <f>(IF('Section Load'!V8&gt;0,'Section Load'!V8,0))</f>
        <v>386.19999999995343</v>
      </c>
      <c r="V5" s="921">
        <f>(IF('Section Load'!W8&gt;0,'Section Load'!W8,0))</f>
        <v>201.15999999991618</v>
      </c>
      <c r="W5" s="921">
        <f>(IF('Section Load'!X8&gt;0,'Section Load'!X8,0))</f>
        <v>24.990000000005239</v>
      </c>
      <c r="X5" s="921">
        <f>(IF('Section Load'!Y8&gt;0,'Section Load'!Y8,0))</f>
        <v>210.31000000000495</v>
      </c>
      <c r="Y5" s="921">
        <f>(IF('Section Load'!Z8&gt;0,'Section Load'!Z8,0))</f>
        <v>322</v>
      </c>
      <c r="Z5" s="921">
        <f>(IF('Section Load'!AA8&gt;0,'Section Load'!AA8,0))</f>
        <v>11.519999999960419</v>
      </c>
      <c r="AA5" s="921">
        <f>(IF('Section Load'!AB8&gt;0,'Section Load'!AB8,0))</f>
        <v>29.69999999999709</v>
      </c>
      <c r="AB5" s="921">
        <f>(IF('Section Load'!AC8&gt;0,'Section Load'!AC8,0))</f>
        <v>0</v>
      </c>
      <c r="AC5" s="921">
        <f>(IF('Section Load'!AD8&gt;0,'Section Load'!AD8,0))</f>
        <v>41.50000000000864</v>
      </c>
      <c r="AD5" s="921">
        <f>(IF('Section Load'!AE8&gt;0,'Section Load'!AE8,0))</f>
        <v>0</v>
      </c>
      <c r="AE5" s="921">
        <f>(IF('Section Load'!AF8&gt;0,'Section Load'!AF8,0))</f>
        <v>0</v>
      </c>
      <c r="AF5" s="921">
        <f>(IF('Section Load'!AG8&gt;0,'Section Load'!AG8,0))</f>
        <v>349.67999999999302</v>
      </c>
      <c r="AG5" s="921">
        <f>(IF('Section Load'!AH8&gt;0,'Section Load'!AH8,0))</f>
        <v>384.91000000000349</v>
      </c>
      <c r="AH5" s="921">
        <f>(IF('Section Load'!AI8&gt;0,'Section Load'!AI8,0))</f>
        <v>393.08999999999651</v>
      </c>
      <c r="AI5" s="921">
        <f>(IF('Section Load'!AJ8&gt;0,'Section Load'!AJ8,0))</f>
        <v>475.89000000001397</v>
      </c>
      <c r="AJ5" s="921">
        <f>(IF('Section Load'!AK8&gt;0,'Section Load'!AK8,0))</f>
        <v>0</v>
      </c>
      <c r="AK5" s="921">
        <f>(IF('Section Load'!AL8&gt;0,'Section Load'!AL8,0))</f>
        <v>310.1299999999901</v>
      </c>
      <c r="AL5" s="921">
        <f>(IF('Section Load'!AM8&gt;0,'Section Load'!AM8,0))</f>
        <v>687</v>
      </c>
      <c r="AM5" s="922">
        <f>(IF('Water Report'!$G$7&gt;0,'Water Report'!$F$7,0))</f>
        <v>72</v>
      </c>
      <c r="AN5" s="922">
        <f>(IF('Water Report'!$G$8&gt;0,'Water Report'!$F$8,0))</f>
        <v>131</v>
      </c>
      <c r="AO5" s="922">
        <f>(IF('Water Report'!$G$9&gt;0,'Water Report'!$H$9,0))</f>
        <v>125</v>
      </c>
      <c r="AP5" s="922">
        <f>(IF('Water Report'!$G$10&gt;0,'Water Report'!$G$10,0))</f>
        <v>22</v>
      </c>
      <c r="AQ5" s="922">
        <f>(IF('Water Report'!$G$11&gt;0,'Water Report'!$G$11,0))</f>
        <v>25</v>
      </c>
      <c r="AR5" s="922">
        <f>(IF('Water Report'!$G$13&gt;0,'Water Report'!$G$13,0))</f>
        <v>24</v>
      </c>
      <c r="AS5" s="922">
        <f>(IF('Water Report'!$G$14&gt;0,'Water Report'!$G$14,0))</f>
        <v>11</v>
      </c>
      <c r="AT5" s="922">
        <f>(IF('Water Report'!$G$15&gt;0,'Water Report'!$G$15,0))</f>
        <v>7</v>
      </c>
      <c r="AU5" s="922">
        <f>(IF('Water Report'!$G$17&gt;0,'Water Report'!$G$17,0))</f>
        <v>199</v>
      </c>
      <c r="AV5" s="922">
        <f>(IF('Water Report'!$G$18&gt;0,'Water Report'!$G$18,0))</f>
        <v>10</v>
      </c>
      <c r="AW5" s="922">
        <f>(IF('Water Report'!$G$19&gt;0,'Water Report'!$G$19,0))</f>
        <v>8</v>
      </c>
      <c r="AX5" s="997">
        <f>(IF('Water Report'!$G$21&gt;0,'Water Report'!$G$21,0))</f>
        <v>101</v>
      </c>
      <c r="AY5" s="997">
        <f>(IF('Water Report'!$G$22&gt;0,'Water Report'!$G$22,0))</f>
        <v>0</v>
      </c>
      <c r="AZ5" s="997">
        <f>(IF('Water Report'!$G$23&gt;0,'Water Report'!$G$23,0))</f>
        <v>5</v>
      </c>
      <c r="BA5" s="997">
        <f>(IF('Water Report'!$G$14&gt;0,'Water Report'!$G$14,0))</f>
        <v>11</v>
      </c>
      <c r="BB5" s="997">
        <f>(IF('Water Report'!$G$15&gt;0,'Water Report'!$G$15,0))</f>
        <v>7</v>
      </c>
      <c r="BC5" s="997">
        <f>(IF('Water Report'!$G$13&gt;0,'Water Report'!$G$13,0))</f>
        <v>24</v>
      </c>
      <c r="BD5" s="997">
        <f>(IF('Water Report'!$G$24&gt;0,'Water Report'!$G$24,0))</f>
        <v>191</v>
      </c>
      <c r="BE5" s="997">
        <f>(IF('Water Report'!$G$25&gt;0,'Water Report'!$G$25,0))</f>
        <v>156</v>
      </c>
      <c r="BF5" s="997">
        <f>(IF('Water Report'!$G$27&gt;0,'Water Report'!$G$27,0))</f>
        <v>130</v>
      </c>
      <c r="BG5" s="923">
        <f>(IF('Section Load'!AN8&gt;0,'Section Load'!AN8,0))</f>
        <v>889.0570000000298</v>
      </c>
      <c r="BH5" s="923">
        <f>(IF('Section Load'!AO8&gt;0,'Section Load'!AO8,0))</f>
        <v>262.70299999997951</v>
      </c>
      <c r="BI5" s="923">
        <f>(IF('Section Load'!AP8&gt;0,'Section Load'!AP8,0))</f>
        <v>0</v>
      </c>
      <c r="BJ5" s="923">
        <f>(IF('Section Load'!AQ8&gt;0,'Section Load'!AQ8,0))</f>
        <v>75.590000000025611</v>
      </c>
      <c r="BK5" s="923">
        <f>(IF('Section Load'!AR8&gt;0,'Section Load'!AR8,0))</f>
        <v>44.899999999994179</v>
      </c>
      <c r="BL5" s="923">
        <f>(IF('Section Load'!AS8&gt;0,'Section Load'!AS8,0))</f>
        <v>1.5</v>
      </c>
      <c r="BM5" s="923">
        <f>(IF('Section Load'!AT8&gt;0,'Section Load'!AT8,0))</f>
        <v>504.3640000000305</v>
      </c>
    </row>
    <row r="6" spans="1:65">
      <c r="A6" s="905" t="s">
        <v>290</v>
      </c>
      <c r="B6" s="906">
        <f t="shared" si="0"/>
        <v>5</v>
      </c>
      <c r="C6" s="906">
        <v>8</v>
      </c>
      <c r="D6" s="906">
        <v>2021</v>
      </c>
      <c r="E6" s="921">
        <f>(IF('Section Load'!F9&gt;0,'Section Load'!F9,0))</f>
        <v>3125</v>
      </c>
      <c r="F6" s="921">
        <f>(IF('Section Load'!G9&gt;0,'Section Load'!G9,0))</f>
        <v>1625</v>
      </c>
      <c r="G6" s="921">
        <f>(IF('Section Load'!H9&gt;0,'Section Load'!H9,0))</f>
        <v>1714</v>
      </c>
      <c r="H6" s="921">
        <f>(IF('Section Load'!I9&gt;0,'Section Load'!I9,0))</f>
        <v>3761</v>
      </c>
      <c r="I6" s="921">
        <f>(IF('Section Load'!J9&gt;0,'Section Load'!J9,0))</f>
        <v>7630</v>
      </c>
      <c r="J6" s="921">
        <f>(IF('Section Load'!K9&gt;0,'Section Load'!K9,0))</f>
        <v>2920</v>
      </c>
      <c r="K6" s="921">
        <f>(IF('Section Load'!L9&gt;0,'Section Load'!L9,0))</f>
        <v>1415</v>
      </c>
      <c r="L6" s="921">
        <f>(IF('Section Load'!M9&gt;0,'Section Load'!M9,0))</f>
        <v>758.23999999999796</v>
      </c>
      <c r="M6" s="921">
        <f>(IF('Section Load'!N9&gt;0,'Section Load'!N9,0))</f>
        <v>13</v>
      </c>
      <c r="N6" s="921">
        <f>(IF('Section Load'!O9&gt;0,'Section Load'!O9,0))</f>
        <v>2</v>
      </c>
      <c r="O6" s="921">
        <f>(IF('Section Load'!P9&gt;0,'Section Load'!P9,0))</f>
        <v>1.3000000000029104</v>
      </c>
      <c r="P6" s="921">
        <f>(IF('Section Load'!Q9&gt;0,'Section Load'!Q9,0))</f>
        <v>181.20000000000073</v>
      </c>
      <c r="Q6" s="921">
        <f>(IF('Section Load'!R9&gt;0,'Section Load'!R9,0))</f>
        <v>57</v>
      </c>
      <c r="R6" s="921">
        <f>(IF('Section Load'!S9&gt;0,'Section Load'!S9,0))</f>
        <v>64</v>
      </c>
      <c r="S6" s="921">
        <f>(IF('Section Load'!T9&gt;0,'Section Load'!T9,0))</f>
        <v>108</v>
      </c>
      <c r="T6" s="921">
        <f>(IF('Section Load'!U9&gt;0,'Section Load'!U9,0))</f>
        <v>151</v>
      </c>
      <c r="U6" s="921">
        <f>(IF('Section Load'!V9&gt;0,'Section Load'!V9,0))</f>
        <v>376.47999999998137</v>
      </c>
      <c r="V6" s="921">
        <f>(IF('Section Load'!W9&gt;0,'Section Load'!W9,0))</f>
        <v>197.35999999998603</v>
      </c>
      <c r="W6" s="921">
        <f>(IF('Section Load'!X9&gt;0,'Section Load'!X9,0))</f>
        <v>14</v>
      </c>
      <c r="X6" s="921">
        <f>(IF('Section Load'!Y9&gt;0,'Section Load'!Y9,0))</f>
        <v>196</v>
      </c>
      <c r="Y6" s="921">
        <f>(IF('Section Load'!Z9&gt;0,'Section Load'!Z9,0))</f>
        <v>286</v>
      </c>
      <c r="Z6" s="921">
        <f>(IF('Section Load'!AA9&gt;0,'Section Load'!AA9,0))</f>
        <v>17.360000000044238</v>
      </c>
      <c r="AA6" s="921">
        <f>(IF('Section Load'!AB9&gt;0,'Section Load'!AB9,0))</f>
        <v>34.900000000008731</v>
      </c>
      <c r="AB6" s="921">
        <f>(IF('Section Load'!AC9&gt;0,'Section Load'!AC9,0))</f>
        <v>0</v>
      </c>
      <c r="AC6" s="921">
        <f>(IF('Section Load'!AD9&gt;0,'Section Load'!AD9,0))</f>
        <v>39.69999999999709</v>
      </c>
      <c r="AD6" s="921">
        <f>(IF('Section Load'!AE9&gt;0,'Section Load'!AE9,0))</f>
        <v>0</v>
      </c>
      <c r="AE6" s="921">
        <f>(IF('Section Load'!AF9&gt;0,'Section Load'!AF9,0))</f>
        <v>0</v>
      </c>
      <c r="AF6" s="921">
        <f>(IF('Section Load'!AG9&gt;0,'Section Load'!AG9,0))</f>
        <v>377</v>
      </c>
      <c r="AG6" s="921">
        <f>(IF('Section Load'!AH9&gt;0,'Section Load'!AH9,0))</f>
        <v>389</v>
      </c>
      <c r="AH6" s="921">
        <f>(IF('Section Load'!AI9&gt;0,'Section Load'!AI9,0))</f>
        <v>392.70000000001164</v>
      </c>
      <c r="AI6" s="921">
        <f>(IF('Section Load'!AJ9&gt;0,'Section Load'!AJ9,0))</f>
        <v>485</v>
      </c>
      <c r="AJ6" s="921">
        <f>(IF('Section Load'!AK9&gt;0,'Section Load'!AK9,0))</f>
        <v>0</v>
      </c>
      <c r="AK6" s="921">
        <f>(IF('Section Load'!AL9&gt;0,'Section Load'!AL9,0))</f>
        <v>332.60000000000582</v>
      </c>
      <c r="AL6" s="921">
        <f>(IF('Section Load'!AM9&gt;0,'Section Load'!AM9,0))</f>
        <v>781</v>
      </c>
      <c r="AM6" s="922">
        <f>(IF('Water Report'!$H$7&gt;0,'Water Report'!$H$7,0))</f>
        <v>128</v>
      </c>
      <c r="AN6" s="922">
        <f>(IF('Water Report'!$H$8&gt;0,'Water Report'!$H$8,0))</f>
        <v>131</v>
      </c>
      <c r="AO6" s="922">
        <f>(IF('Water Report'!$H$9&gt;0,'Water Report'!$H$9,0))</f>
        <v>125</v>
      </c>
      <c r="AP6" s="922">
        <f>(IF('Water Report'!$H$10&gt;0,'Water Report'!$H$10,0))</f>
        <v>24</v>
      </c>
      <c r="AQ6" s="922">
        <f>(IF('Water Report'!$H$11&gt;0,'Water Report'!$H$11,0))</f>
        <v>30</v>
      </c>
      <c r="AR6" s="922">
        <f>(IF('Water Report'!$H$13&gt;0,'Water Report'!$H$13,0))</f>
        <v>21</v>
      </c>
      <c r="AS6" s="922">
        <f>(IF('Water Report'!$H$14&gt;0,'Water Report'!$H$14,0))</f>
        <v>17</v>
      </c>
      <c r="AT6" s="922">
        <f>(IF('Water Report'!$H$15&gt;0,'Water Report'!$H$15,0))</f>
        <v>16</v>
      </c>
      <c r="AU6" s="922">
        <f>(IF('Water Report'!$H$17&gt;0,'Water Report'!$H$17,0))</f>
        <v>101</v>
      </c>
      <c r="AV6" s="922">
        <f>(IF('Water Report'!$H$18&gt;0,'Water Report'!$H$18,0))</f>
        <v>10</v>
      </c>
      <c r="AW6" s="922">
        <f>(IF('Water Report'!$H$19&gt;0,'Water Report'!$H$19,0))</f>
        <v>6</v>
      </c>
      <c r="AX6" s="997">
        <f>(IF('Water Report'!$H$21&gt;0,'Water Report'!$H$21,0))</f>
        <v>75</v>
      </c>
      <c r="AY6" s="997">
        <f>(IF('Water Report'!$H$22&gt;0,'Water Report'!$H$22,0))</f>
        <v>0</v>
      </c>
      <c r="AZ6" s="997">
        <f>(IF('Water Report'!$H$23&gt;0,'Water Report'!$H$23,0))</f>
        <v>0</v>
      </c>
      <c r="BA6" s="997">
        <f>(IF('Water Report'!$H$14&gt;0,'Water Report'!$H$14,0))</f>
        <v>17</v>
      </c>
      <c r="BB6" s="997">
        <f>(IF('Water Report'!$H$15&gt;0,'Water Report'!$H$15,0))</f>
        <v>16</v>
      </c>
      <c r="BC6" s="997">
        <f>(IF('Water Report'!$H$13&gt;0,'Water Report'!$H$13,0))</f>
        <v>21</v>
      </c>
      <c r="BD6" s="997">
        <f>(IF('Water Report'!$H$24&gt;0,'Water Report'!$H$24,0))</f>
        <v>242</v>
      </c>
      <c r="BE6" s="997">
        <f>(IF('Water Report'!$H$25&gt;0,'Water Report'!$H$25,0))</f>
        <v>212</v>
      </c>
      <c r="BF6" s="997">
        <f>(IF('Water Report'!$H$27&gt;0,'Water Report'!$H$27,0))</f>
        <v>96</v>
      </c>
      <c r="BG6" s="923">
        <f>(IF('Section Load'!AN9&gt;0,'Section Load'!AN9,0))</f>
        <v>738.08799999998882</v>
      </c>
      <c r="BH6" s="923">
        <f>(IF('Section Load'!AO9&gt;0,'Section Load'!AO9,0))</f>
        <v>259.91700000001583</v>
      </c>
      <c r="BI6" s="923">
        <f>(IF('Section Load'!AP9&gt;0,'Section Load'!AP9,0))</f>
        <v>0</v>
      </c>
      <c r="BJ6" s="923">
        <f>(IF('Section Load'!AQ9&gt;0,'Section Load'!AQ9,0))</f>
        <v>71.399999999994179</v>
      </c>
      <c r="BK6" s="923">
        <f>(IF('Section Load'!AR9&gt;0,'Section Load'!AR9,0))</f>
        <v>38.700000000004366</v>
      </c>
      <c r="BL6" s="923">
        <f>(IF('Section Load'!AS9&gt;0,'Section Load'!AS9,0))</f>
        <v>1</v>
      </c>
      <c r="BM6" s="923">
        <f>(IF('Section Load'!AT9&gt;0,'Section Load'!AT9,0))</f>
        <v>367.07099999997445</v>
      </c>
    </row>
    <row r="7" spans="1:65">
      <c r="A7" s="905" t="s">
        <v>290</v>
      </c>
      <c r="B7" s="906">
        <f t="shared" si="0"/>
        <v>6</v>
      </c>
      <c r="C7" s="906">
        <v>8</v>
      </c>
      <c r="D7" s="906">
        <v>2021</v>
      </c>
      <c r="E7" s="921">
        <f>(IF('Section Load'!F10&gt;0,'Section Load'!F10,0))</f>
        <v>3208</v>
      </c>
      <c r="F7" s="921">
        <f>(IF('Section Load'!G10&gt;0,'Section Load'!G10,0))</f>
        <v>1613</v>
      </c>
      <c r="G7" s="921">
        <f>(IF('Section Load'!H10&gt;0,'Section Load'!H10,0))</f>
        <v>1713</v>
      </c>
      <c r="H7" s="921">
        <f>(IF('Section Load'!I10&gt;0,'Section Load'!I10,0))</f>
        <v>3750</v>
      </c>
      <c r="I7" s="921">
        <f>(IF('Section Load'!J10&gt;0,'Section Load'!J10,0))</f>
        <v>7934</v>
      </c>
      <c r="J7" s="921">
        <f>(IF('Section Load'!K10&gt;0,'Section Load'!K10,0))</f>
        <v>2980</v>
      </c>
      <c r="K7" s="921">
        <f>(IF('Section Load'!L10&gt;0,'Section Load'!L10,0))</f>
        <v>1519</v>
      </c>
      <c r="L7" s="921">
        <f>(IF('Section Load'!M10&gt;0,'Section Load'!M10,0))</f>
        <v>698.95999999999913</v>
      </c>
      <c r="M7" s="921">
        <f>(IF('Section Load'!N10&gt;0,'Section Load'!N10,0))</f>
        <v>12</v>
      </c>
      <c r="N7" s="921">
        <f>(IF('Section Load'!O10&gt;0,'Section Load'!O10,0))</f>
        <v>1</v>
      </c>
      <c r="O7" s="921">
        <f>(IF('Section Load'!P10&gt;0,'Section Load'!P10,0))</f>
        <v>1.1999999999970896</v>
      </c>
      <c r="P7" s="921">
        <f>(IF('Section Load'!Q10&gt;0,'Section Load'!Q10,0))</f>
        <v>183.69999999999709</v>
      </c>
      <c r="Q7" s="921">
        <f>(IF('Section Load'!R10&gt;0,'Section Load'!R10,0))</f>
        <v>55.799999999999272</v>
      </c>
      <c r="R7" s="921">
        <f>(IF('Section Load'!S10&gt;0,'Section Load'!S10,0))</f>
        <v>66</v>
      </c>
      <c r="S7" s="921">
        <f>(IF('Section Load'!T10&gt;0,'Section Load'!T10,0))</f>
        <v>103</v>
      </c>
      <c r="T7" s="921">
        <f>(IF('Section Load'!U10&gt;0,'Section Load'!U10,0))</f>
        <v>155</v>
      </c>
      <c r="U7" s="921">
        <f>(IF('Section Load'!V10&gt;0,'Section Load'!V10,0))</f>
        <v>378.48000000009779</v>
      </c>
      <c r="V7" s="921">
        <f>(IF('Section Load'!W10&gt;0,'Section Load'!W10,0))</f>
        <v>150.64000000001397</v>
      </c>
      <c r="W7" s="921">
        <f>(IF('Section Load'!X10&gt;0,'Section Load'!X10,0))</f>
        <v>27</v>
      </c>
      <c r="X7" s="921">
        <f>(IF('Section Load'!Y10&gt;0,'Section Load'!Y10,0))</f>
        <v>198.5</v>
      </c>
      <c r="Y7" s="921">
        <f>(IF('Section Load'!Z10&gt;0,'Section Load'!Z10,0))</f>
        <v>332</v>
      </c>
      <c r="Z7" s="921">
        <f>(IF('Section Load'!AA10&gt;0,'Section Load'!AA10,0))</f>
        <v>16.159999999974389</v>
      </c>
      <c r="AA7" s="921">
        <f>(IF('Section Load'!AB10&gt;0,'Section Load'!AB10,0))</f>
        <v>35.899999999994179</v>
      </c>
      <c r="AB7" s="921">
        <f>(IF('Section Load'!AC10&gt;0,'Section Load'!AC10,0))</f>
        <v>0</v>
      </c>
      <c r="AC7" s="921">
        <f>(IF('Section Load'!AD10&gt;0,'Section Load'!AD10,0))</f>
        <v>56.299999999999727</v>
      </c>
      <c r="AD7" s="921">
        <f>(IF('Section Load'!AE10&gt;0,'Section Load'!AE10,0))</f>
        <v>0</v>
      </c>
      <c r="AE7" s="921">
        <f>(IF('Section Load'!AF10&gt;0,'Section Load'!AF10,0))</f>
        <v>0</v>
      </c>
      <c r="AF7" s="921">
        <f>(IF('Section Load'!AG10&gt;0,'Section Load'!AG10,0))</f>
        <v>387</v>
      </c>
      <c r="AG7" s="921">
        <f>(IF('Section Load'!AH10&gt;0,'Section Load'!AH10,0))</f>
        <v>404</v>
      </c>
      <c r="AH7" s="921">
        <f>(IF('Section Load'!AI10&gt;0,'Section Load'!AI10,0))</f>
        <v>394.89999999999418</v>
      </c>
      <c r="AI7" s="921">
        <f>(IF('Section Load'!AJ10&gt;0,'Section Load'!AJ10,0))</f>
        <v>477</v>
      </c>
      <c r="AJ7" s="921">
        <f>(IF('Section Load'!AK10&gt;0,'Section Load'!AK10,0))</f>
        <v>0</v>
      </c>
      <c r="AK7" s="921">
        <f>(IF('Section Load'!AL10&gt;0,'Section Load'!AL10,0))</f>
        <v>329</v>
      </c>
      <c r="AL7" s="921">
        <f>(IF('Section Load'!AM10&gt;0,'Section Load'!AM10,0))</f>
        <v>841</v>
      </c>
      <c r="AM7" s="922">
        <f>(IF('Water Report'!$I$7&gt;0,'Water Report'!$I$7,0))</f>
        <v>114</v>
      </c>
      <c r="AN7" s="922">
        <f>(IF('Water Report'!$I$8&gt;0,'Water Report'!$I$8,0))</f>
        <v>150</v>
      </c>
      <c r="AO7" s="922">
        <f>(IF('Water Report'!$I$9&gt;0,'Water Report'!$I$9,0))</f>
        <v>74</v>
      </c>
      <c r="AP7" s="922">
        <f>(IF('Water Report'!$I$10&gt;0,'Water Report'!$I$10,0))</f>
        <v>23</v>
      </c>
      <c r="AQ7" s="922">
        <f>(IF('Water Report'!$I$11&gt;0,'Water Report'!$I$11,0))</f>
        <v>30</v>
      </c>
      <c r="AR7" s="922">
        <f>(IF('Water Report'!$I$13&gt;0,'Water Report'!$I$13,0))</f>
        <v>13</v>
      </c>
      <c r="AS7" s="922">
        <f>(IF('Water Report'!$I$14&gt;0,'Water Report'!$I$14,0))</f>
        <v>22</v>
      </c>
      <c r="AT7" s="922">
        <f>(IF('Water Report'!$I$15&gt;0,'Water Report'!$I$15,0))</f>
        <v>6</v>
      </c>
      <c r="AU7" s="922">
        <f>(IF('Water Report'!$I$17&gt;0,'Water Report'!$I$17,0))</f>
        <v>0</v>
      </c>
      <c r="AV7" s="922">
        <f>(IF('Water Report'!$I$18&gt;0,'Water Report'!$I$18,0))</f>
        <v>8</v>
      </c>
      <c r="AW7" s="922">
        <f>(IF('Water Report'!$I$19&gt;0,'Water Report'!$I$19,0))</f>
        <v>9</v>
      </c>
      <c r="AX7" s="997">
        <f>(IF('Water Report'!$I$21&gt;0,'Water Report'!$I$21,0))</f>
        <v>77</v>
      </c>
      <c r="AY7" s="997">
        <f>(IF('Water Report'!$I$22&gt;0,'Water Report'!$I$22,0))</f>
        <v>0</v>
      </c>
      <c r="AZ7" s="997">
        <f>(IF('Water Report'!$I$23&gt;0,'Water Report'!$I$23,0))</f>
        <v>13</v>
      </c>
      <c r="BA7" s="997">
        <f>(IF('Water Report'!$I$14&gt;0,'Water Report'!$I$14,0))</f>
        <v>22</v>
      </c>
      <c r="BB7" s="997">
        <f>(IF('Water Report'!$I$15&gt;0,'Water Report'!$I$15,0))</f>
        <v>6</v>
      </c>
      <c r="BC7" s="997">
        <f>(IF('Water Report'!$I$13&gt;0,'Water Report'!$I$13,0))</f>
        <v>13</v>
      </c>
      <c r="BD7" s="997">
        <f>(IF('Water Report'!$I$24&gt;0,'Water Report'!$I$24,0))</f>
        <v>261</v>
      </c>
      <c r="BE7" s="997">
        <f>(IF('Water Report'!$I$25&gt;0,'Water Report'!$I$25,0))</f>
        <v>155</v>
      </c>
      <c r="BF7" s="997">
        <f>(IF('Water Report'!$I$27&gt;0,'Water Report'!$I$27,0))</f>
        <v>103</v>
      </c>
      <c r="BG7" s="923">
        <f>(IF('Section Load'!AN10&gt;0,'Section Load'!AN10,0))</f>
        <v>968.17999999993481</v>
      </c>
      <c r="BH7" s="923">
        <f>(IF('Section Load'!AO10&gt;0,'Section Load'!AO10,0))</f>
        <v>266.89000000001397</v>
      </c>
      <c r="BI7" s="923">
        <f>(IF('Section Load'!AP10&gt;0,'Section Load'!AP10,0))</f>
        <v>0</v>
      </c>
      <c r="BJ7" s="923">
        <f>(IF('Section Load'!AQ10&gt;0,'Section Load'!AQ10,0))</f>
        <v>107.75999999998021</v>
      </c>
      <c r="BK7" s="923">
        <f>(IF('Section Load'!AR10&gt;0,'Section Load'!AR10,0))</f>
        <v>53.400000000001455</v>
      </c>
      <c r="BL7" s="923">
        <f>(IF('Section Load'!AS10&gt;0,'Section Load'!AS10,0))</f>
        <v>1.1000000000003638</v>
      </c>
      <c r="BM7" s="923">
        <f>(IF('Section Load'!AT10&gt;0,'Section Load'!AT10,0))</f>
        <v>539.02999999993881</v>
      </c>
    </row>
    <row r="8" spans="1:65">
      <c r="A8" s="905" t="s">
        <v>290</v>
      </c>
      <c r="B8" s="906">
        <f t="shared" si="0"/>
        <v>7</v>
      </c>
      <c r="C8" s="906">
        <v>8</v>
      </c>
      <c r="D8" s="906">
        <v>2021</v>
      </c>
      <c r="E8" s="921">
        <f>(IF('Section Load'!F11&gt;0,'Section Load'!F11,0))</f>
        <v>3068</v>
      </c>
      <c r="F8" s="921">
        <f>(IF('Section Load'!G11&gt;0,'Section Load'!G11,0))</f>
        <v>1651</v>
      </c>
      <c r="G8" s="921">
        <f>(IF('Section Load'!H11&gt;0,'Section Load'!H11,0))</f>
        <v>1801</v>
      </c>
      <c r="H8" s="921">
        <f>(IF('Section Load'!I11&gt;0,'Section Load'!I11,0))</f>
        <v>3772</v>
      </c>
      <c r="I8" s="921">
        <f>(IF('Section Load'!J11&gt;0,'Section Load'!J11,0))</f>
        <v>8272</v>
      </c>
      <c r="J8" s="921">
        <f>(IF('Section Load'!K11&gt;0,'Section Load'!K11,0))</f>
        <v>3030</v>
      </c>
      <c r="K8" s="921">
        <f>(IF('Section Load'!L11&gt;0,'Section Load'!L11,0))</f>
        <v>1147</v>
      </c>
      <c r="L8" s="921">
        <f>(IF('Section Load'!M11&gt;0,'Section Load'!M11,0))</f>
        <v>743.90000000000146</v>
      </c>
      <c r="M8" s="921">
        <f>(IF('Section Load'!N11&gt;0,'Section Load'!N11,0))</f>
        <v>15</v>
      </c>
      <c r="N8" s="921">
        <f>(IF('Section Load'!O11&gt;0,'Section Load'!O11,0))</f>
        <v>1</v>
      </c>
      <c r="O8" s="921">
        <f>(IF('Section Load'!P11&gt;0,'Section Load'!P11,0))</f>
        <v>1.5</v>
      </c>
      <c r="P8" s="921">
        <f>(IF('Section Load'!Q11&gt;0,'Section Load'!Q11,0))</f>
        <v>179.60000000000218</v>
      </c>
      <c r="Q8" s="921">
        <f>(IF('Section Load'!R11&gt;0,'Section Load'!R11,0))</f>
        <v>55.100000000000364</v>
      </c>
      <c r="R8" s="921">
        <f>(IF('Section Load'!S11&gt;0,'Section Load'!S11,0))</f>
        <v>96</v>
      </c>
      <c r="S8" s="921">
        <f>(IF('Section Load'!T11&gt;0,'Section Load'!T11,0))</f>
        <v>131</v>
      </c>
      <c r="T8" s="921">
        <f>(IF('Section Load'!U11&gt;0,'Section Load'!U11,0))</f>
        <v>154</v>
      </c>
      <c r="U8" s="921">
        <f>(IF('Section Load'!V11&gt;0,'Section Load'!V11,0))</f>
        <v>445.8399999999674</v>
      </c>
      <c r="V8" s="921">
        <f>(IF('Section Load'!W11&gt;0,'Section Load'!W11,0))</f>
        <v>209.35999999998603</v>
      </c>
      <c r="W8" s="921">
        <f>(IF('Section Load'!X11&gt;0,'Section Load'!X11,0))</f>
        <v>15</v>
      </c>
      <c r="X8" s="921">
        <f>(IF('Section Load'!Y11&gt;0,'Section Load'!Y11,0))</f>
        <v>210.5</v>
      </c>
      <c r="Y8" s="921">
        <f>(IF('Section Load'!Z11&gt;0,'Section Load'!Z11,0))</f>
        <v>343</v>
      </c>
      <c r="Z8" s="921">
        <f>(IF('Section Load'!AA11&gt;0,'Section Load'!AA11,0))</f>
        <v>12.479999999981374</v>
      </c>
      <c r="AA8" s="921">
        <f>(IF('Section Load'!AB11&gt;0,'Section Load'!AB11,0))</f>
        <v>35.5</v>
      </c>
      <c r="AB8" s="921">
        <f>(IF('Section Load'!AC11&gt;0,'Section Load'!AC11,0))</f>
        <v>0</v>
      </c>
      <c r="AC8" s="921">
        <f>(IF('Section Load'!AD11&gt;0,'Section Load'!AD11,0))</f>
        <v>48.899999999997362</v>
      </c>
      <c r="AD8" s="921">
        <f>(IF('Section Load'!AE11&gt;0,'Section Load'!AE11,0))</f>
        <v>0</v>
      </c>
      <c r="AE8" s="921">
        <f>(IF('Section Load'!AF11&gt;0,'Section Load'!AF11,0))</f>
        <v>0</v>
      </c>
      <c r="AF8" s="921">
        <f>(IF('Section Load'!AG11&gt;0,'Section Load'!AG11,0))</f>
        <v>360</v>
      </c>
      <c r="AG8" s="921">
        <f>(IF('Section Load'!AH11&gt;0,'Section Load'!AH11,0))</f>
        <v>405</v>
      </c>
      <c r="AH8" s="921">
        <f>(IF('Section Load'!AI11&gt;0,'Section Load'!AI11,0))</f>
        <v>425.5</v>
      </c>
      <c r="AI8" s="921">
        <f>(IF('Section Load'!AJ11&gt;0,'Section Load'!AJ11,0))</f>
        <v>504</v>
      </c>
      <c r="AJ8" s="921">
        <f>(IF('Section Load'!AK11&gt;0,'Section Load'!AK11,0))</f>
        <v>0</v>
      </c>
      <c r="AK8" s="921">
        <f>(IF('Section Load'!AL11&gt;0,'Section Load'!AL11,0))</f>
        <v>332</v>
      </c>
      <c r="AL8" s="921">
        <f>(IF('Section Load'!AM11&gt;0,'Section Load'!AM11,0))</f>
        <v>785</v>
      </c>
      <c r="AM8" s="922">
        <f>(IF('Water Report'!$J$7&gt;0,'Water Report'!$J$7,0))</f>
        <v>129</v>
      </c>
      <c r="AN8" s="922">
        <f>(IF('Water Report'!$J$8&gt;0,'Water Report'!$J$8,0))</f>
        <v>182</v>
      </c>
      <c r="AO8" s="922">
        <f>(IF('Water Report'!$J$9&gt;0,'Water Report'!$J$9,0))</f>
        <v>86</v>
      </c>
      <c r="AP8" s="922">
        <f>(IF('Water Report'!$J$10&gt;0,'Water Report'!$J$10,0))</f>
        <v>25</v>
      </c>
      <c r="AQ8" s="922">
        <f>(IF('Water Report'!$J$11&gt;0,'Water Report'!$J$11,0))</f>
        <v>36</v>
      </c>
      <c r="AR8" s="922">
        <f>(IF('Water Report'!$J$13&gt;0,'Water Report'!$J$13,0))</f>
        <v>36</v>
      </c>
      <c r="AS8" s="922">
        <f>(IF('Water Report'!$J$14&gt;0,'Water Report'!$J$14,0))</f>
        <v>36</v>
      </c>
      <c r="AT8" s="922">
        <f>(IF('Water Report'!$J$15&gt;0,'Water Report'!$J$15,0))</f>
        <v>1</v>
      </c>
      <c r="AU8" s="922">
        <f>(IF('Water Report'!$J$17&gt;0,'Water Report'!$J$17,0))</f>
        <v>0</v>
      </c>
      <c r="AV8" s="922">
        <f>(IF('Water Report'!$J$18&gt;0,'Water Report'!$J$18,0))</f>
        <v>11</v>
      </c>
      <c r="AW8" s="922">
        <f>(IF('Water Report'!$J$19&gt;0,'Water Report'!$J$19,0))</f>
        <v>7</v>
      </c>
      <c r="AX8" s="997">
        <f>(IF('Water Report'!$J$21&gt;0,'Water Report'!$J$21,0))</f>
        <v>79</v>
      </c>
      <c r="AY8" s="997">
        <f>(IF('Water Report'!$J$22&gt;0,'Water Report'!$J$22,0))</f>
        <v>0</v>
      </c>
      <c r="AZ8" s="997">
        <f>(IF('Water Report'!$J$23&gt;0,'Water Report'!$J$23,0))</f>
        <v>2</v>
      </c>
      <c r="BA8" s="997">
        <f>(IF('Water Report'!$J$14&gt;0,'Water Report'!$J$14,0))</f>
        <v>36</v>
      </c>
      <c r="BB8" s="997">
        <f>(IF('Water Report'!$J$15&gt;0,'Water Report'!$J$15,0))</f>
        <v>1</v>
      </c>
      <c r="BC8" s="997">
        <f>(IF('Water Report'!$J$13&gt;0,'Water Report'!$J$13,0))</f>
        <v>36</v>
      </c>
      <c r="BD8" s="997">
        <f>(IF('Water Report'!$J$24&gt;0,'Water Report'!$J$24,0))</f>
        <v>225</v>
      </c>
      <c r="BE8" s="997">
        <f>(IF('Water Report'!$J$25&gt;0,'Water Report'!$J$25,0))</f>
        <v>184</v>
      </c>
      <c r="BF8" s="997">
        <f>(IF('Water Report'!$J$27&gt;0,'Water Report'!$J$27,0))</f>
        <v>117</v>
      </c>
      <c r="BG8" s="923">
        <f>(IF('Section Load'!AN11&gt;0,'Section Load'!AN11,0))</f>
        <v>860.81000000005588</v>
      </c>
      <c r="BH8" s="923">
        <f>(IF('Section Load'!AO11&gt;0,'Section Load'!AO11,0))</f>
        <v>266.65000000002328</v>
      </c>
      <c r="BI8" s="923">
        <f>(IF('Section Load'!AP11&gt;0,'Section Load'!AP11,0))</f>
        <v>0</v>
      </c>
      <c r="BJ8" s="923">
        <f>(IF('Section Load'!AQ11&gt;0,'Section Load'!AQ11,0))</f>
        <v>96.310000000026776</v>
      </c>
      <c r="BK8" s="923">
        <f>(IF('Section Load'!AR11&gt;0,'Section Load'!AR11,0))</f>
        <v>45.099999999998545</v>
      </c>
      <c r="BL8" s="923">
        <f>(IF('Section Load'!AS11&gt;0,'Section Load'!AS11,0))</f>
        <v>3.8999999999996362</v>
      </c>
      <c r="BM8" s="923">
        <f>(IF('Section Load'!AT11&gt;0,'Section Load'!AT11,0))</f>
        <v>449.25000000000182</v>
      </c>
    </row>
    <row r="9" spans="1:65">
      <c r="A9" s="905" t="s">
        <v>290</v>
      </c>
      <c r="B9" s="906">
        <f t="shared" si="0"/>
        <v>8</v>
      </c>
      <c r="C9" s="906">
        <v>8</v>
      </c>
      <c r="D9" s="906">
        <v>2021</v>
      </c>
      <c r="E9" s="921">
        <f>(IF('Section Load'!F12&gt;0,'Section Load'!F12,0))</f>
        <v>2939.6999999999534</v>
      </c>
      <c r="F9" s="921">
        <f>(IF('Section Load'!G12&gt;0,'Section Load'!G12,0))</f>
        <v>1610</v>
      </c>
      <c r="G9" s="921">
        <f>(IF('Section Load'!H12&gt;0,'Section Load'!H12,0))</f>
        <v>1794</v>
      </c>
      <c r="H9" s="921">
        <f>(IF('Section Load'!I12&gt;0,'Section Load'!I12,0))</f>
        <v>3646.0799999999581</v>
      </c>
      <c r="I9" s="921">
        <f>(IF('Section Load'!J12&gt;0,'Section Load'!J12,0))</f>
        <v>6557.5300000000279</v>
      </c>
      <c r="J9" s="921">
        <f>(IF('Section Load'!K12&gt;0,'Section Load'!K12,0))</f>
        <v>2900</v>
      </c>
      <c r="K9" s="921">
        <f>(IF('Section Load'!L12&gt;0,'Section Load'!L12,0))</f>
        <v>1089</v>
      </c>
      <c r="L9" s="921">
        <f>(IF('Section Load'!M12&gt;0,'Section Load'!M12,0))</f>
        <v>688.5</v>
      </c>
      <c r="M9" s="921">
        <f>(IF('Section Load'!N12&gt;0,'Section Load'!N12,0))</f>
        <v>12</v>
      </c>
      <c r="N9" s="921">
        <f>(IF('Section Load'!O12&gt;0,'Section Load'!O12,0))</f>
        <v>1</v>
      </c>
      <c r="O9" s="921">
        <f>(IF('Section Load'!P12&gt;0,'Section Load'!P12,0))</f>
        <v>0</v>
      </c>
      <c r="P9" s="921">
        <f>(IF('Section Load'!Q12&gt;0,'Section Load'!Q12,0))</f>
        <v>162.79999999999927</v>
      </c>
      <c r="Q9" s="921">
        <f>(IF('Section Load'!R12&gt;0,'Section Load'!R12,0))</f>
        <v>45.899999999999636</v>
      </c>
      <c r="R9" s="921">
        <f>(IF('Section Load'!S12&gt;0,'Section Load'!S12,0))</f>
        <v>74</v>
      </c>
      <c r="S9" s="921">
        <f>(IF('Section Load'!T12&gt;0,'Section Load'!T12,0))</f>
        <v>182</v>
      </c>
      <c r="T9" s="921">
        <f>(IF('Section Load'!U12&gt;0,'Section Load'!U12,0))</f>
        <v>149</v>
      </c>
      <c r="U9" s="921">
        <f>(IF('Section Load'!V12&gt;0,'Section Load'!V12,0))</f>
        <v>404.35999999998603</v>
      </c>
      <c r="V9" s="921">
        <f>(IF('Section Load'!W12&gt;0,'Section Load'!W12,0))</f>
        <v>144.68000000005122</v>
      </c>
      <c r="W9" s="921">
        <f>(IF('Section Load'!X12&gt;0,'Section Load'!X12,0))</f>
        <v>26</v>
      </c>
      <c r="X9" s="921">
        <f>(IF('Section Load'!Y12&gt;0,'Section Load'!Y12,0))</f>
        <v>198.09999999999854</v>
      </c>
      <c r="Y9" s="921">
        <f>(IF('Section Load'!Z12&gt;0,'Section Load'!Z12,0))</f>
        <v>324</v>
      </c>
      <c r="Z9" s="921">
        <f>(IF('Section Load'!AA12&gt;0,'Section Load'!AA12,0))</f>
        <v>10.960000000020955</v>
      </c>
      <c r="AA9" s="921">
        <f>(IF('Section Load'!AB12&gt;0,'Section Load'!AB12,0))</f>
        <v>19</v>
      </c>
      <c r="AB9" s="921">
        <f>(IF('Section Load'!AC12&gt;0,'Section Load'!AC12,0))</f>
        <v>0</v>
      </c>
      <c r="AC9" s="921">
        <f>(IF('Section Load'!AD12&gt;0,'Section Load'!AD12,0))</f>
        <v>46.5</v>
      </c>
      <c r="AD9" s="921">
        <f>(IF('Section Load'!AE12&gt;0,'Section Load'!AE12,0))</f>
        <v>0</v>
      </c>
      <c r="AE9" s="921">
        <f>(IF('Section Load'!AF12&gt;0,'Section Load'!AF12,0))</f>
        <v>0</v>
      </c>
      <c r="AF9" s="921">
        <f>(IF('Section Load'!AG12&gt;0,'Section Load'!AG12,0))</f>
        <v>348</v>
      </c>
      <c r="AG9" s="921">
        <f>(IF('Section Load'!AH12&gt;0,'Section Load'!AH12,0))</f>
        <v>395</v>
      </c>
      <c r="AH9" s="921">
        <f>(IF('Section Load'!AI12&gt;0,'Section Load'!AI12,0))</f>
        <v>376.5</v>
      </c>
      <c r="AI9" s="921">
        <f>(IF('Section Load'!AJ12&gt;0,'Section Load'!AJ12,0))</f>
        <v>514</v>
      </c>
      <c r="AJ9" s="921">
        <f>(IF('Section Load'!AK12&gt;0,'Section Load'!AK12,0))</f>
        <v>0</v>
      </c>
      <c r="AK9" s="921">
        <f>(IF('Section Load'!AL12&gt;0,'Section Load'!AL12,0))</f>
        <v>306.19999999999709</v>
      </c>
      <c r="AL9" s="921">
        <f>(IF('Section Load'!AM12&gt;0,'Section Load'!AM12,0))</f>
        <v>775</v>
      </c>
      <c r="AM9" s="922">
        <f>(IF('Water Report'!$K$7&gt;0,'Water Report'!$K$7,0))</f>
        <v>129</v>
      </c>
      <c r="AN9" s="922">
        <f>(IF('Water Report'!$K$8&gt;0,'Water Report'!$K$8,0))</f>
        <v>189</v>
      </c>
      <c r="AO9" s="922">
        <f>(IF('Water Report'!$K$9&gt;0,'Water Report'!$K$9,0))</f>
        <v>74</v>
      </c>
      <c r="AP9" s="922">
        <f>(IF('Water Report'!$K$10&gt;0,'Water Report'!$K$10,0))</f>
        <v>35</v>
      </c>
      <c r="AQ9" s="922">
        <f>(IF('Water Report'!$K$11&gt;0,'Water Report'!$K$11,0))</f>
        <v>39</v>
      </c>
      <c r="AR9" s="922">
        <f>(IF('Water Report'!$K$13&gt;0,'Water Report'!$K$13,0))</f>
        <v>24</v>
      </c>
      <c r="AS9" s="922">
        <f>(IF('Water Report'!$K$14&gt;0,'Water Report'!$K$14,0))</f>
        <v>35</v>
      </c>
      <c r="AT9" s="922">
        <f>(IF('Water Report'!$K$15&gt;0,'Water Report'!$K$15,0))</f>
        <v>12</v>
      </c>
      <c r="AU9" s="922">
        <f>(IF('Water Report'!$K$17&gt;0,'Water Report'!$K$17,0))</f>
        <v>0</v>
      </c>
      <c r="AV9" s="922">
        <f>(IF('Water Report'!$K$18&gt;0,'Water Report'!$K$18,0))</f>
        <v>8</v>
      </c>
      <c r="AW9" s="922">
        <f>(IF('Water Report'!$K$19&gt;0,'Water Report'!$K$19,0))</f>
        <v>10</v>
      </c>
      <c r="AX9" s="997">
        <f>(IF('Water Report'!$K$21&gt;0,'Water Report'!$K$21,0))</f>
        <v>81</v>
      </c>
      <c r="AY9" s="997">
        <f>(IF('Water Report'!$K$22&gt;0,'Water Report'!$K$22,0))</f>
        <v>0</v>
      </c>
      <c r="AZ9" s="997">
        <f>(IF('Water Report'!$K$23&gt;0,'Water Report'!$K$23,0))</f>
        <v>0</v>
      </c>
      <c r="BA9" s="997">
        <f>(IF('Water Report'!$K$14&gt;0,'Water Report'!$K$14,0))</f>
        <v>35</v>
      </c>
      <c r="BB9" s="997">
        <f>(IF('Water Report'!$K$15&gt;0,'Water Report'!$K$15,0))</f>
        <v>12</v>
      </c>
      <c r="BC9" s="997">
        <f>(IF('Water Report'!$K$13&gt;0,'Water Report'!$K$13,0))</f>
        <v>24</v>
      </c>
      <c r="BD9" s="997">
        <f>(IF('Water Report'!$K$24&gt;0,'Water Report'!$K$24,0))</f>
        <v>275</v>
      </c>
      <c r="BE9" s="997">
        <f>(IF('Water Report'!$K$25&gt;0,'Water Report'!$K$25,0))</f>
        <v>195</v>
      </c>
      <c r="BF9" s="997">
        <f>(IF('Water Report'!$K$27&gt;0,'Water Report'!$K$27,0))</f>
        <v>105</v>
      </c>
      <c r="BG9" s="923">
        <f>(IF('Section Load'!AN12&gt;0,'Section Load'!AN12,0))</f>
        <v>902.72999999998137</v>
      </c>
      <c r="BH9" s="923">
        <f>(IF('Section Load'!AO12&gt;0,'Section Load'!AO12,0))</f>
        <v>261.97999999998137</v>
      </c>
      <c r="BI9" s="923">
        <f>(IF('Section Load'!AP12&gt;0,'Section Load'!AP12,0))</f>
        <v>0.39999999999417923</v>
      </c>
      <c r="BJ9" s="923">
        <f>(IF('Section Load'!AQ12&gt;0,'Section Load'!AQ12,0))</f>
        <v>95.35999999998603</v>
      </c>
      <c r="BK9" s="923">
        <f>(IF('Section Load'!AR12&gt;0,'Section Load'!AR12,0))</f>
        <v>35.099999999998545</v>
      </c>
      <c r="BL9" s="923">
        <f>(IF('Section Load'!AS12&gt;0,'Section Load'!AS12,0))</f>
        <v>1.5</v>
      </c>
      <c r="BM9" s="923">
        <f>(IF('Section Load'!AT12&gt;0,'Section Load'!AT12,0))</f>
        <v>508.39000000002125</v>
      </c>
    </row>
    <row r="10" spans="1:65">
      <c r="A10" s="905" t="s">
        <v>290</v>
      </c>
      <c r="B10" s="906">
        <f t="shared" si="0"/>
        <v>9</v>
      </c>
      <c r="C10" s="906">
        <v>8</v>
      </c>
      <c r="D10" s="906">
        <v>2021</v>
      </c>
      <c r="E10" s="921">
        <f>(IF('Section Load'!F13&gt;0,'Section Load'!F13,0))</f>
        <v>2734</v>
      </c>
      <c r="F10" s="921">
        <f>(IF('Section Load'!G13&gt;0,'Section Load'!G13,0))</f>
        <v>1498</v>
      </c>
      <c r="G10" s="921">
        <f>(IF('Section Load'!H13&gt;0,'Section Load'!H13,0))</f>
        <v>1606</v>
      </c>
      <c r="H10" s="921">
        <f>(IF('Section Load'!I13&gt;0,'Section Load'!I13,0))</f>
        <v>3904</v>
      </c>
      <c r="I10" s="921">
        <f>(IF('Section Load'!J13&gt;0,'Section Load'!J13,0))</f>
        <v>5620</v>
      </c>
      <c r="J10" s="921">
        <f>(IF('Section Load'!K13&gt;0,'Section Load'!K13,0))</f>
        <v>2570</v>
      </c>
      <c r="K10" s="921">
        <f>(IF('Section Load'!L13&gt;0,'Section Load'!L13,0))</f>
        <v>992</v>
      </c>
      <c r="L10" s="921">
        <f>(IF('Section Load'!M13&gt;0,'Section Load'!M13,0))</f>
        <v>659</v>
      </c>
      <c r="M10" s="921">
        <f>(IF('Section Load'!N13&gt;0,'Section Load'!N13,0))</f>
        <v>14</v>
      </c>
      <c r="N10" s="921">
        <f>(IF('Section Load'!O13&gt;0,'Section Load'!O13,0))</f>
        <v>1</v>
      </c>
      <c r="O10" s="921">
        <f>(IF('Section Load'!P13&gt;0,'Section Load'!P13,0))</f>
        <v>0</v>
      </c>
      <c r="P10" s="921">
        <f>(IF('Section Load'!Q13&gt;0,'Section Load'!Q13,0))</f>
        <v>157</v>
      </c>
      <c r="Q10" s="921">
        <f>(IF('Section Load'!R13&gt;0,'Section Load'!R13,0))</f>
        <v>49</v>
      </c>
      <c r="R10" s="921">
        <f>(IF('Section Load'!S13&gt;0,'Section Load'!S13,0))</f>
        <v>59</v>
      </c>
      <c r="S10" s="921">
        <f>(IF('Section Load'!T13&gt;0,'Section Load'!T13,0))</f>
        <v>143</v>
      </c>
      <c r="T10" s="921">
        <f>(IF('Section Load'!U13&gt;0,'Section Load'!U13,0))</f>
        <v>157</v>
      </c>
      <c r="U10" s="921">
        <f>(IF('Section Load'!V13&gt;0,'Section Load'!V13,0))</f>
        <v>400</v>
      </c>
      <c r="V10" s="921">
        <f>(IF('Section Load'!W13&gt;0,'Section Load'!W13,0))</f>
        <v>159</v>
      </c>
      <c r="W10" s="921">
        <f>(IF('Section Load'!X13&gt;0,'Section Load'!X13,0))</f>
        <v>9</v>
      </c>
      <c r="X10" s="921">
        <f>(IF('Section Load'!Y13&gt;0,'Section Load'!Y13,0))</f>
        <v>220</v>
      </c>
      <c r="Y10" s="921">
        <f>(IF('Section Load'!Z13&gt;0,'Section Load'!Z13,0))</f>
        <v>292</v>
      </c>
      <c r="Z10" s="921">
        <f>(IF('Section Load'!AA13&gt;0,'Section Load'!AA13,0))</f>
        <v>15</v>
      </c>
      <c r="AA10" s="921">
        <f>(IF('Section Load'!AB13&gt;0,'Section Load'!AB13,0))</f>
        <v>37.5</v>
      </c>
      <c r="AB10" s="921">
        <f>(IF('Section Load'!AC13&gt;0,'Section Load'!AC13,0))</f>
        <v>0</v>
      </c>
      <c r="AC10" s="921">
        <f>(IF('Section Load'!AD13&gt;0,'Section Load'!AD13,0))</f>
        <v>92.599999999999909</v>
      </c>
      <c r="AD10" s="921">
        <f>(IF('Section Load'!AE13&gt;0,'Section Load'!AE13,0))</f>
        <v>0</v>
      </c>
      <c r="AE10" s="921">
        <f>(IF('Section Load'!AF13&gt;0,'Section Load'!AF13,0))</f>
        <v>0</v>
      </c>
      <c r="AF10" s="921">
        <f>(IF('Section Load'!AG13&gt;0,'Section Load'!AG13,0))</f>
        <v>381</v>
      </c>
      <c r="AG10" s="921">
        <f>(IF('Section Load'!AH13&gt;0,'Section Load'!AH13,0))</f>
        <v>384</v>
      </c>
      <c r="AH10" s="921">
        <f>(IF('Section Load'!AI13&gt;0,'Section Load'!AI13,0))</f>
        <v>428</v>
      </c>
      <c r="AI10" s="921">
        <f>(IF('Section Load'!AJ13&gt;0,'Section Load'!AJ13,0))</f>
        <v>480</v>
      </c>
      <c r="AJ10" s="921">
        <f>(IF('Section Load'!AK13&gt;0,'Section Load'!AK13,0))</f>
        <v>0</v>
      </c>
      <c r="AK10" s="921">
        <f>(IF('Section Load'!AL13&gt;0,'Section Load'!AL13,0))</f>
        <v>324</v>
      </c>
      <c r="AL10" s="921">
        <f>(IF('Section Load'!AM13&gt;0,'Section Load'!AM13,0))</f>
        <v>781</v>
      </c>
      <c r="AM10" s="922">
        <f>(IF('Water Report'!$L$7&gt;0,'Water Report'!$L$7,0))</f>
        <v>92</v>
      </c>
      <c r="AN10" s="922">
        <f>(IF('Water Report'!$L$8&gt;0,'Water Report'!$L$8,0))</f>
        <v>158</v>
      </c>
      <c r="AO10" s="922">
        <f>(IF('Water Report'!$L$9&gt;0,'Water Report'!$L$9,0))</f>
        <v>84</v>
      </c>
      <c r="AP10" s="922">
        <f>(IF('Water Report'!$L$10&gt;0,'Water Report'!$L$10,0))</f>
        <v>29</v>
      </c>
      <c r="AQ10" s="922">
        <f>(IF('Water Report'!$L$11&gt;0,'Water Report'!$L$11,0))</f>
        <v>23</v>
      </c>
      <c r="AR10" s="922">
        <f>(IF('Water Report'!$L$13&gt;0,'Water Report'!$L$13,0))</f>
        <v>48</v>
      </c>
      <c r="AS10" s="922">
        <f>(IF('Water Report'!$L$14&gt;0,'Water Report'!$L$14,0))</f>
        <v>16</v>
      </c>
      <c r="AT10" s="922">
        <f>(IF('Water Report'!$L$15&gt;0,'Water Report'!$L$15,0))</f>
        <v>10</v>
      </c>
      <c r="AU10" s="922">
        <f>(IF('Water Report'!$L$17&gt;0,'Water Report'!$L$17,0))</f>
        <v>0</v>
      </c>
      <c r="AV10" s="922">
        <f>(IF('Water Report'!$L$18&gt;0,'Water Report'!$L$18,0))</f>
        <v>12</v>
      </c>
      <c r="AW10" s="922">
        <f>(IF('Water Report'!$L$19&gt;0,'Water Report'!$L$19,0))</f>
        <v>10</v>
      </c>
      <c r="AX10" s="997">
        <f>(IF('Water Report'!$L$21&gt;0,'Water Report'!$L$21,0))</f>
        <v>101</v>
      </c>
      <c r="AY10" s="997">
        <f>(IF('Water Report'!$L$22&gt;0,'Water Report'!$L$22,0))</f>
        <v>0</v>
      </c>
      <c r="AZ10" s="997">
        <f>(IF('Water Report'!$L$23&gt;0,'Water Report'!$L$23,0))</f>
        <v>5</v>
      </c>
      <c r="BA10" s="997">
        <f>(IF('Water Report'!$L$14&gt;0,'Water Report'!$L$14,0))</f>
        <v>16</v>
      </c>
      <c r="BB10" s="997">
        <f>(IF('Water Report'!$L$15&gt;0,'Water Report'!$L$15,0))</f>
        <v>10</v>
      </c>
      <c r="BC10" s="997">
        <f>(IF('Water Report'!$L$13&gt;0,'Water Report'!$L$13,0))</f>
        <v>48</v>
      </c>
      <c r="BD10" s="997">
        <f>(IF('Water Report'!$L$24&gt;0,'Water Report'!$L$24,0))</f>
        <v>224</v>
      </c>
      <c r="BE10" s="997">
        <f>(IF('Water Report'!$L$25&gt;0,'Water Report'!$L$25,0))</f>
        <v>162</v>
      </c>
      <c r="BF10" s="997">
        <f>(IF('Water Report'!$L$27&gt;0,'Water Report'!$L$27,0))</f>
        <v>154</v>
      </c>
      <c r="BG10" s="923">
        <f>(IF('Section Load'!AN13&gt;0,'Section Load'!AN13,0))</f>
        <v>764</v>
      </c>
      <c r="BH10" s="923">
        <f>(IF('Section Load'!AO13&gt;0,'Section Load'!AO13,0))</f>
        <v>262</v>
      </c>
      <c r="BI10" s="923">
        <f>(IF('Section Load'!AP13&gt;0,'Section Load'!AP13,0))</f>
        <v>0</v>
      </c>
      <c r="BJ10" s="923">
        <f>(IF('Section Load'!AQ13&gt;0,'Section Load'!AQ13,0))</f>
        <v>76</v>
      </c>
      <c r="BK10" s="923">
        <f>(IF('Section Load'!AR13&gt;0,'Section Load'!AR13,0))</f>
        <v>32</v>
      </c>
      <c r="BL10" s="923">
        <f>(IF('Section Load'!AS13&gt;0,'Section Load'!AS13,0))</f>
        <v>0.7999999999992724</v>
      </c>
      <c r="BM10" s="923">
        <f>(IF('Section Load'!AT13&gt;0,'Section Load'!AT13,0))</f>
        <v>393.20000000000073</v>
      </c>
    </row>
    <row r="11" spans="1:65">
      <c r="A11" s="905" t="s">
        <v>290</v>
      </c>
      <c r="B11" s="906">
        <f t="shared" si="0"/>
        <v>10</v>
      </c>
      <c r="C11" s="906">
        <v>8</v>
      </c>
      <c r="D11" s="906">
        <v>2021</v>
      </c>
      <c r="E11" s="921">
        <f>(IF('Section Load'!F14&gt;0,'Section Load'!F14,0))</f>
        <v>2950</v>
      </c>
      <c r="F11" s="921">
        <f>(IF('Section Load'!G14&gt;0,'Section Load'!G14,0))</f>
        <v>1555</v>
      </c>
      <c r="G11" s="921">
        <f>(IF('Section Load'!H14&gt;0,'Section Load'!H14,0))</f>
        <v>1654</v>
      </c>
      <c r="H11" s="921">
        <f>(IF('Section Load'!I14&gt;0,'Section Load'!I14,0))</f>
        <v>3790.3300000000163</v>
      </c>
      <c r="I11" s="921">
        <f>(IF('Section Load'!J14&gt;0,'Section Load'!J14,0))</f>
        <v>6540</v>
      </c>
      <c r="J11" s="921">
        <f>(IF('Section Load'!K14&gt;0,'Section Load'!K14,0))</f>
        <v>2950</v>
      </c>
      <c r="K11" s="921">
        <f>(IF('Section Load'!L14&gt;0,'Section Load'!L14,0))</f>
        <v>892</v>
      </c>
      <c r="L11" s="921">
        <f>(IF('Section Load'!M14&gt;0,'Section Load'!M14,0))</f>
        <v>714</v>
      </c>
      <c r="M11" s="921">
        <f>(IF('Section Load'!N14&gt;0,'Section Load'!N14,0))</f>
        <v>14</v>
      </c>
      <c r="N11" s="921">
        <f>(IF('Section Load'!O14&gt;0,'Section Load'!O14,0))</f>
        <v>1</v>
      </c>
      <c r="O11" s="921">
        <f>(IF('Section Load'!P14&gt;0,'Section Load'!P14,0))</f>
        <v>0</v>
      </c>
      <c r="P11" s="921">
        <f>(IF('Section Load'!Q14&gt;0,'Section Load'!Q14,0))</f>
        <v>163</v>
      </c>
      <c r="Q11" s="921">
        <f>(IF('Section Load'!R14&gt;0,'Section Load'!R14,0))</f>
        <v>54</v>
      </c>
      <c r="R11" s="921">
        <f>(IF('Section Load'!S14&gt;0,'Section Load'!S14,0))</f>
        <v>53</v>
      </c>
      <c r="S11" s="921">
        <f>(IF('Section Load'!T14&gt;0,'Section Load'!T14,0))</f>
        <v>62</v>
      </c>
      <c r="T11" s="921">
        <f>(IF('Section Load'!U14&gt;0,'Section Load'!U14,0))</f>
        <v>149</v>
      </c>
      <c r="U11" s="921">
        <f>(IF('Section Load'!V14&gt;0,'Section Load'!V14,0))</f>
        <v>393</v>
      </c>
      <c r="V11" s="921">
        <f>(IF('Section Load'!W14&gt;0,'Section Load'!W14,0))</f>
        <v>158</v>
      </c>
      <c r="W11" s="921">
        <f>(IF('Section Load'!X14&gt;0,'Section Load'!X14,0))</f>
        <v>26</v>
      </c>
      <c r="X11" s="921">
        <f>(IF('Section Load'!Y14&gt;0,'Section Load'!Y14,0))</f>
        <v>212</v>
      </c>
      <c r="Y11" s="921">
        <f>(IF('Section Load'!Z14&gt;0,'Section Load'!Z14,0))</f>
        <v>289</v>
      </c>
      <c r="Z11" s="921">
        <f>(IF('Section Load'!AA14&gt;0,'Section Load'!AA14,0))</f>
        <v>25</v>
      </c>
      <c r="AA11" s="921">
        <f>(IF('Section Load'!AB14&gt;0,'Section Load'!AB14,0))</f>
        <v>34.5</v>
      </c>
      <c r="AB11" s="921">
        <f>(IF('Section Load'!AC14&gt;0,'Section Load'!AC14,0))</f>
        <v>0</v>
      </c>
      <c r="AC11" s="921">
        <f>(IF('Section Load'!AD14&gt;0,'Section Load'!AD14,0))</f>
        <v>46.099999999999909</v>
      </c>
      <c r="AD11" s="921">
        <f>(IF('Section Load'!AE14&gt;0,'Section Load'!AE14,0))</f>
        <v>0</v>
      </c>
      <c r="AE11" s="921">
        <f>(IF('Section Load'!AF14&gt;0,'Section Load'!AF14,0))</f>
        <v>0</v>
      </c>
      <c r="AF11" s="921">
        <f>(IF('Section Load'!AG14&gt;0,'Section Load'!AG14,0))</f>
        <v>388</v>
      </c>
      <c r="AG11" s="921">
        <f>(IF('Section Load'!AH14&gt;0,'Section Load'!AH14,0))</f>
        <v>423</v>
      </c>
      <c r="AH11" s="921">
        <f>(IF('Section Load'!AI14&gt;0,'Section Load'!AI14,0))</f>
        <v>457</v>
      </c>
      <c r="AI11" s="921">
        <f>(IF('Section Load'!AJ14&gt;0,'Section Load'!AJ14,0))</f>
        <v>458</v>
      </c>
      <c r="AJ11" s="921">
        <f>(IF('Section Load'!AK14&gt;0,'Section Load'!AK14,0))</f>
        <v>0</v>
      </c>
      <c r="AK11" s="921">
        <f>(IF('Section Load'!AL14&gt;0,'Section Load'!AL14,0))</f>
        <v>323</v>
      </c>
      <c r="AL11" s="921">
        <f>(IF('Section Load'!AM14&gt;0,'Section Load'!AM14,0))</f>
        <v>749</v>
      </c>
      <c r="AM11" s="922">
        <f>(IF('Water Report'!$M$7&gt;0,'Water Report'!$M$7,0))</f>
        <v>87</v>
      </c>
      <c r="AN11" s="922">
        <f>(IF('Water Report'!$M$8&gt;0,'Water Report'!$M$8,0))</f>
        <v>185</v>
      </c>
      <c r="AO11" s="922">
        <f>(IF('Water Report'!$M$9&gt;0,'Water Report'!$M$9,0))</f>
        <v>76</v>
      </c>
      <c r="AP11" s="922">
        <f>(IF('Water Report'!$M$10&gt;0,'Water Report'!$M$10,0))</f>
        <v>23</v>
      </c>
      <c r="AQ11" s="922">
        <f>(IF('Water Report'!$M$11&gt;0,'Water Report'!$M$11,0))</f>
        <v>20</v>
      </c>
      <c r="AR11" s="922">
        <f>(IF('Water Report'!$M$13&gt;0,'Water Report'!$M$13,0))</f>
        <v>18</v>
      </c>
      <c r="AS11" s="922">
        <f>(IF('Water Report'!$M$14&gt;0,'Water Report'!$M$14,0))</f>
        <v>22</v>
      </c>
      <c r="AT11" s="922">
        <f>(IF('Water Report'!$M$15&gt;0,'Water Report'!$M$15,0))</f>
        <v>6</v>
      </c>
      <c r="AU11" s="922">
        <f>(IF('Water Report'!$M$17&gt;0,'Water Report'!$M$17,0))</f>
        <v>0</v>
      </c>
      <c r="AV11" s="922">
        <f>(IF('Water Report'!$M$18&gt;0,'Water Report'!$M$18,0))</f>
        <v>7</v>
      </c>
      <c r="AW11" s="922">
        <f>(IF('Water Report'!$M$19&gt;0,'Water Report'!$M$19,0))</f>
        <v>9</v>
      </c>
      <c r="AX11" s="997">
        <f>(IF('Water Report'!$M$21&gt;0,'Water Report'!$M$21,0))</f>
        <v>78</v>
      </c>
      <c r="AY11" s="997">
        <f>(IF('Water Report'!$M$22&gt;0,'Water Report'!$M$22,0))</f>
        <v>0</v>
      </c>
      <c r="AZ11" s="997">
        <f>(IF('Water Report'!$M$23&gt;0,'Water Report'!$M$23,0))</f>
        <v>3</v>
      </c>
      <c r="BA11" s="997">
        <f>(IF('Water Report'!$M$14&gt;0,'Water Report'!$M$14,0))</f>
        <v>22</v>
      </c>
      <c r="BB11" s="997">
        <f>(IF('Water Report'!$M$15&gt;0,'Water Report'!$M$15,0))</f>
        <v>6</v>
      </c>
      <c r="BC11" s="997">
        <f>(IF('Water Report'!$M$13&gt;0,'Water Report'!$M$13,0))</f>
        <v>18</v>
      </c>
      <c r="BD11" s="997">
        <f>(IF('Water Report'!$M$24&gt;0,'Water Report'!$M$24,0))</f>
        <v>197</v>
      </c>
      <c r="BE11" s="997">
        <f>(IF('Water Report'!$M$25&gt;0,'Water Report'!$M$25,0))</f>
        <v>147</v>
      </c>
      <c r="BF11" s="997">
        <f>(IF('Water Report'!$M$27&gt;0,'Water Report'!$M$27,0))</f>
        <v>99</v>
      </c>
      <c r="BG11" s="923">
        <f>(IF('Section Load'!AN14&gt;0,'Section Load'!AN14,0))</f>
        <v>907</v>
      </c>
      <c r="BH11" s="923">
        <f>(IF('Section Load'!AO14&gt;0,'Section Load'!AO14,0))</f>
        <v>279</v>
      </c>
      <c r="BI11" s="923">
        <f>(IF('Section Load'!AP14&gt;0,'Section Load'!AP14,0))</f>
        <v>0</v>
      </c>
      <c r="BJ11" s="923">
        <f>(IF('Section Load'!AQ14&gt;0,'Section Load'!AQ14,0))</f>
        <v>84</v>
      </c>
      <c r="BK11" s="923">
        <f>(IF('Section Load'!AR14&gt;0,'Section Load'!AR14,0))</f>
        <v>34</v>
      </c>
      <c r="BL11" s="923">
        <f>(IF('Section Load'!AS14&gt;0,'Section Load'!AS14,0))</f>
        <v>2.2000000000007276</v>
      </c>
      <c r="BM11" s="923">
        <f>(IF('Section Load'!AT14&gt;0,'Section Load'!AT14,0))</f>
        <v>507.79999999999927</v>
      </c>
    </row>
    <row r="12" spans="1:65">
      <c r="A12" s="905" t="s">
        <v>290</v>
      </c>
      <c r="B12" s="906">
        <f t="shared" si="0"/>
        <v>11</v>
      </c>
      <c r="C12" s="906">
        <v>8</v>
      </c>
      <c r="D12" s="906">
        <v>2021</v>
      </c>
      <c r="E12" s="921">
        <f>(IF('Section Load'!F15&gt;0,'Section Load'!F15,0))</f>
        <v>3073</v>
      </c>
      <c r="F12" s="921">
        <f>(IF('Section Load'!G15&gt;0,'Section Load'!G15,0))</f>
        <v>1551</v>
      </c>
      <c r="G12" s="921">
        <f>(IF('Section Load'!H15&gt;0,'Section Load'!H15,0))</f>
        <v>1631</v>
      </c>
      <c r="H12" s="921">
        <f>(IF('Section Load'!I15&gt;0,'Section Load'!I15,0))</f>
        <v>3772.5900000000256</v>
      </c>
      <c r="I12" s="921">
        <f>(IF('Section Load'!J15&gt;0,'Section Load'!J15,0))</f>
        <v>6303</v>
      </c>
      <c r="J12" s="921">
        <f>(IF('Section Load'!K15&gt;0,'Section Load'!K15,0))</f>
        <v>2940</v>
      </c>
      <c r="K12" s="921">
        <f>(IF('Section Load'!L15&gt;0,'Section Load'!L15,0))</f>
        <v>1053</v>
      </c>
      <c r="L12" s="921">
        <f>(IF('Section Load'!M15&gt;0,'Section Load'!M15,0))</f>
        <v>691</v>
      </c>
      <c r="M12" s="921">
        <f>(IF('Section Load'!N15&gt;0,'Section Load'!N15,0))</f>
        <v>12</v>
      </c>
      <c r="N12" s="921">
        <f>(IF('Section Load'!O15&gt;0,'Section Load'!O15,0))</f>
        <v>2</v>
      </c>
      <c r="O12" s="921">
        <f>(IF('Section Load'!P15&gt;0,'Section Load'!P15,0))</f>
        <v>3</v>
      </c>
      <c r="P12" s="921">
        <f>(IF('Section Load'!Q15&gt;0,'Section Load'!Q15,0))</f>
        <v>177</v>
      </c>
      <c r="Q12" s="921">
        <f>(IF('Section Load'!R15&gt;0,'Section Load'!R15,0))</f>
        <v>52</v>
      </c>
      <c r="R12" s="921">
        <f>(IF('Section Load'!S15&gt;0,'Section Load'!S15,0))</f>
        <v>55</v>
      </c>
      <c r="S12" s="921">
        <f>(IF('Section Load'!T15&gt;0,'Section Load'!T15,0))</f>
        <v>97</v>
      </c>
      <c r="T12" s="921">
        <f>(IF('Section Load'!U15&gt;0,'Section Load'!U15,0))</f>
        <v>153</v>
      </c>
      <c r="U12" s="921">
        <f>(IF('Section Load'!V15&gt;0,'Section Load'!V15,0))</f>
        <v>401</v>
      </c>
      <c r="V12" s="921">
        <f>(IF('Section Load'!W15&gt;0,'Section Load'!W15,0))</f>
        <v>171</v>
      </c>
      <c r="W12" s="921">
        <f>(IF('Section Load'!X15&gt;0,'Section Load'!X15,0))</f>
        <v>14</v>
      </c>
      <c r="X12" s="921">
        <f>(IF('Section Load'!Y15&gt;0,'Section Load'!Y15,0))</f>
        <v>188</v>
      </c>
      <c r="Y12" s="921">
        <f>(IF('Section Load'!Z15&gt;0,'Section Load'!Z15,0))</f>
        <v>259</v>
      </c>
      <c r="Z12" s="921">
        <f>(IF('Section Load'!AA15&gt;0,'Section Load'!AA15,0))</f>
        <v>28</v>
      </c>
      <c r="AA12" s="921">
        <f>(IF('Section Load'!AB15&gt;0,'Section Load'!AB15,0))</f>
        <v>35</v>
      </c>
      <c r="AB12" s="921">
        <f>(IF('Section Load'!AC15&gt;0,'Section Load'!AC15,0))</f>
        <v>0</v>
      </c>
      <c r="AC12" s="921">
        <f>(IF('Section Load'!AD15&gt;0,'Section Load'!AD15,0))</f>
        <v>42</v>
      </c>
      <c r="AD12" s="921">
        <f>(IF('Section Load'!AE15&gt;0,'Section Load'!AE15,0))</f>
        <v>0</v>
      </c>
      <c r="AE12" s="921">
        <f>(IF('Section Load'!AF15&gt;0,'Section Load'!AF15,0))</f>
        <v>0</v>
      </c>
      <c r="AF12" s="921">
        <f>(IF('Section Load'!AG15&gt;0,'Section Load'!AG15,0))</f>
        <v>412</v>
      </c>
      <c r="AG12" s="921">
        <f>(IF('Section Load'!AH15&gt;0,'Section Load'!AH15,0))</f>
        <v>413</v>
      </c>
      <c r="AH12" s="921">
        <f>(IF('Section Load'!AI15&gt;0,'Section Load'!AI15,0))</f>
        <v>379</v>
      </c>
      <c r="AI12" s="921">
        <f>(IF('Section Load'!AJ15&gt;0,'Section Load'!AJ15,0))</f>
        <v>462</v>
      </c>
      <c r="AJ12" s="921">
        <f>(IF('Section Load'!AK15&gt;0,'Section Load'!AK15,0))</f>
        <v>0</v>
      </c>
      <c r="AK12" s="921">
        <f>(IF('Section Load'!AL15&gt;0,'Section Load'!AL15,0))</f>
        <v>322</v>
      </c>
      <c r="AL12" s="921">
        <f>(IF('Section Load'!AM15&gt;0,'Section Load'!AM15,0))</f>
        <v>773</v>
      </c>
      <c r="AM12" s="922">
        <f>(IF('Water Report'!$N$7&gt;0,'Water Report'!$N$7,0))</f>
        <v>85</v>
      </c>
      <c r="AN12" s="922">
        <f>(IF('Water Report'!$N$8&gt;0,'Water Report'!$N$8,0))</f>
        <v>133</v>
      </c>
      <c r="AO12" s="922">
        <f>(IF('Water Report'!$N$9&gt;0,'Water Report'!$N$9,0))</f>
        <v>69</v>
      </c>
      <c r="AP12" s="922">
        <f>(IF('Water Report'!$N$10&gt;0,'Water Report'!$N$10,0))</f>
        <v>24</v>
      </c>
      <c r="AQ12" s="922">
        <f>(IF('Water Report'!$N$11&gt;0,'Water Report'!$N$11,0))</f>
        <v>24</v>
      </c>
      <c r="AR12" s="922">
        <f>(IF('Water Report'!$N$13&gt;0,'Water Report'!$N$13,0))</f>
        <v>20</v>
      </c>
      <c r="AS12" s="922">
        <f>(IF('Water Report'!$N$14&gt;0,'Water Report'!$N$14,0))</f>
        <v>17</v>
      </c>
      <c r="AT12" s="922">
        <f>(IF('Water Report'!$N$15&gt;0,'Water Report'!$N$15,0))</f>
        <v>15</v>
      </c>
      <c r="AU12" s="922">
        <f>(IF('Water Report'!$N$17&gt;0,'Water Report'!$N$17,0))</f>
        <v>0</v>
      </c>
      <c r="AV12" s="922">
        <f>(IF('Water Report'!$N$18&gt;0,'Water Report'!$N$18,0))</f>
        <v>8</v>
      </c>
      <c r="AW12" s="922">
        <f>(IF('Water Report'!$N$19&gt;0,'Water Report'!$N$19,0))</f>
        <v>7</v>
      </c>
      <c r="AX12" s="997">
        <f>(IF('Water Report'!$N$21&gt;0,'Water Report'!$N$21,0))</f>
        <v>77</v>
      </c>
      <c r="AY12" s="997">
        <f>(IF('Water Report'!$N$22&gt;0,'Water Report'!$N$22,0))</f>
        <v>0</v>
      </c>
      <c r="AZ12" s="997">
        <f>(IF('Water Report'!$N$23&gt;0,'Water Report'!$N$23,0))</f>
        <v>2</v>
      </c>
      <c r="BA12" s="997">
        <f>(IF('Water Report'!$N$14&gt;0,'Water Report'!$N$14,0))</f>
        <v>17</v>
      </c>
      <c r="BB12" s="997">
        <f>(IF('Water Report'!$N$15&gt;0,'Water Report'!$N$15,0))</f>
        <v>15</v>
      </c>
      <c r="BC12" s="997">
        <f>(IF('Water Report'!$N$13&gt;0,'Water Report'!$N$13,0))</f>
        <v>20</v>
      </c>
      <c r="BD12" s="997">
        <f>(IF('Water Report'!$N$24&gt;0,'Water Report'!$N$24,0))</f>
        <v>224</v>
      </c>
      <c r="BE12" s="997">
        <f>(IF('Water Report'!$N$25&gt;0,'Water Report'!$N$25,0))</f>
        <v>149</v>
      </c>
      <c r="BF12" s="997">
        <f>(IF('Water Report'!$N$27&gt;0,'Water Report'!$N$27,0))</f>
        <v>99</v>
      </c>
      <c r="BG12" s="923">
        <f>(IF('Section Load'!AN15&gt;0,'Section Load'!AN15,0))</f>
        <v>826</v>
      </c>
      <c r="BH12" s="923">
        <f>(IF('Section Load'!AO15&gt;0,'Section Load'!AO15,0))</f>
        <v>281</v>
      </c>
      <c r="BI12" s="923">
        <f>(IF('Section Load'!AP15&gt;0,'Section Load'!AP15,0))</f>
        <v>0</v>
      </c>
      <c r="BJ12" s="923">
        <f>(IF('Section Load'!AQ15&gt;0,'Section Load'!AQ15,0))</f>
        <v>91</v>
      </c>
      <c r="BK12" s="923">
        <f>(IF('Section Load'!AR15&gt;0,'Section Load'!AR15,0))</f>
        <v>50</v>
      </c>
      <c r="BL12" s="923">
        <f>(IF('Section Load'!AS15&gt;0,'Section Load'!AS15,0))</f>
        <v>2</v>
      </c>
      <c r="BM12" s="923">
        <f>(IF('Section Load'!AT15&gt;0,'Section Load'!AT15,0))</f>
        <v>402</v>
      </c>
    </row>
    <row r="13" spans="1:65">
      <c r="A13" s="905" t="s">
        <v>290</v>
      </c>
      <c r="B13" s="906">
        <f t="shared" si="0"/>
        <v>12</v>
      </c>
      <c r="C13" s="906">
        <v>8</v>
      </c>
      <c r="D13" s="906">
        <v>2021</v>
      </c>
      <c r="E13" s="921">
        <f>(IF('Section Load'!F16&gt;0,'Section Load'!F16,0))</f>
        <v>3146</v>
      </c>
      <c r="F13" s="921">
        <f>(IF('Section Load'!G16&gt;0,'Section Load'!G16,0))</f>
        <v>1629</v>
      </c>
      <c r="G13" s="921">
        <f>(IF('Section Load'!H16&gt;0,'Section Load'!H16,0))</f>
        <v>1686</v>
      </c>
      <c r="H13" s="921">
        <f>(IF('Section Load'!I16&gt;0,'Section Load'!I16,0))</f>
        <v>4025.4099999999744</v>
      </c>
      <c r="I13" s="921">
        <f>(IF('Section Load'!J16&gt;0,'Section Load'!J16,0))</f>
        <v>7375</v>
      </c>
      <c r="J13" s="921">
        <f>(IF('Section Load'!K16&gt;0,'Section Load'!K16,0))</f>
        <v>3210</v>
      </c>
      <c r="K13" s="921">
        <f>(IF('Section Load'!L16&gt;0,'Section Load'!L16,0))</f>
        <v>965</v>
      </c>
      <c r="L13" s="921">
        <f>(IF('Section Load'!M16&gt;0,'Section Load'!M16,0))</f>
        <v>837.69999999999709</v>
      </c>
      <c r="M13" s="921">
        <f>(IF('Section Load'!N16&gt;0,'Section Load'!N16,0))</f>
        <v>13</v>
      </c>
      <c r="N13" s="921">
        <f>(IF('Section Load'!O16&gt;0,'Section Load'!O16,0))</f>
        <v>1</v>
      </c>
      <c r="O13" s="921">
        <f>(IF('Section Load'!P16&gt;0,'Section Load'!P16,0))</f>
        <v>2.5</v>
      </c>
      <c r="P13" s="921">
        <f>(IF('Section Load'!Q16&gt;0,'Section Load'!Q16,0))</f>
        <v>184</v>
      </c>
      <c r="Q13" s="921">
        <f>(IF('Section Load'!R16&gt;0,'Section Load'!R16,0))</f>
        <v>54</v>
      </c>
      <c r="R13" s="921">
        <f>(IF('Section Load'!S16&gt;0,'Section Load'!S16,0))</f>
        <v>53</v>
      </c>
      <c r="S13" s="921">
        <f>(IF('Section Load'!T16&gt;0,'Section Load'!T16,0))</f>
        <v>100</v>
      </c>
      <c r="T13" s="921">
        <f>(IF('Section Load'!U16&gt;0,'Section Load'!U16,0))</f>
        <v>167</v>
      </c>
      <c r="U13" s="921">
        <f>(IF('Section Load'!V16&gt;0,'Section Load'!V16,0))</f>
        <v>404</v>
      </c>
      <c r="V13" s="921">
        <f>(IF('Section Load'!W16&gt;0,'Section Load'!W16,0))</f>
        <v>193</v>
      </c>
      <c r="W13" s="921">
        <f>(IF('Section Load'!X16&gt;0,'Section Load'!X16,0))</f>
        <v>24</v>
      </c>
      <c r="X13" s="921">
        <f>(IF('Section Load'!Y16&gt;0,'Section Load'!Y16,0))</f>
        <v>206</v>
      </c>
      <c r="Y13" s="921">
        <f>(IF('Section Load'!Z16&gt;0,'Section Load'!Z16,0))</f>
        <v>278</v>
      </c>
      <c r="Z13" s="921">
        <f>(IF('Section Load'!AA16&gt;0,'Section Load'!AA16,0))</f>
        <v>8</v>
      </c>
      <c r="AA13" s="921">
        <f>(IF('Section Load'!AB16&gt;0,'Section Load'!AB16,0))</f>
        <v>30</v>
      </c>
      <c r="AB13" s="921">
        <f>(IF('Section Load'!AC16&gt;0,'Section Load'!AC16,0))</f>
        <v>0</v>
      </c>
      <c r="AC13" s="921">
        <f>(IF('Section Load'!AD16&gt;0,'Section Load'!AD16,0))</f>
        <v>36</v>
      </c>
      <c r="AD13" s="921">
        <f>(IF('Section Load'!AE16&gt;0,'Section Load'!AE16,0))</f>
        <v>0</v>
      </c>
      <c r="AE13" s="921">
        <f>(IF('Section Load'!AF16&gt;0,'Section Load'!AF16,0))</f>
        <v>0</v>
      </c>
      <c r="AF13" s="921">
        <f>(IF('Section Load'!AG16&gt;0,'Section Load'!AG16,0))</f>
        <v>456</v>
      </c>
      <c r="AG13" s="921">
        <f>(IF('Section Load'!AH16&gt;0,'Section Load'!AH16,0))</f>
        <v>410</v>
      </c>
      <c r="AH13" s="921">
        <f>(IF('Section Load'!AI16&gt;0,'Section Load'!AI16,0))</f>
        <v>413</v>
      </c>
      <c r="AI13" s="921">
        <f>(IF('Section Load'!AJ16&gt;0,'Section Load'!AJ16,0))</f>
        <v>514</v>
      </c>
      <c r="AJ13" s="921">
        <f>(IF('Section Load'!AK16&gt;0,'Section Load'!AK16,0))</f>
        <v>0</v>
      </c>
      <c r="AK13" s="921">
        <f>(IF('Section Load'!AL16&gt;0,'Section Load'!AL16,0))</f>
        <v>335</v>
      </c>
      <c r="AL13" s="921">
        <f>(IF('Section Load'!AM16&gt;0,'Section Load'!AM16,0))</f>
        <v>746</v>
      </c>
      <c r="AM13" s="922">
        <f>(IF('Water Report'!$O$7&gt;0,'Water Report'!$O$7,0))</f>
        <v>94</v>
      </c>
      <c r="AN13" s="922">
        <f>(IF('Water Report'!$O$8&gt;0,'Water Report'!$O$8,0))</f>
        <v>93</v>
      </c>
      <c r="AO13" s="922">
        <f>(IF('Water Report'!$O$9&gt;0,'Water Report'!$O$9,0))</f>
        <v>87</v>
      </c>
      <c r="AP13" s="922">
        <f>(IF('Water Report'!$O$10&gt;0,'Water Report'!$O$10,0))</f>
        <v>24</v>
      </c>
      <c r="AQ13" s="922">
        <f>(IF('Water Report'!$O$11&gt;0,'Water Report'!$O$11,0))</f>
        <v>26</v>
      </c>
      <c r="AR13" s="922">
        <f>(IF('Water Report'!$O$13&gt;0,'Water Report'!$O$13,0))</f>
        <v>41</v>
      </c>
      <c r="AS13" s="922">
        <f>(IF('Water Report'!$O$14&gt;0,'Water Report'!$O$14,0))</f>
        <v>14</v>
      </c>
      <c r="AT13" s="922">
        <f>(IF('Water Report'!$O$15&gt;0,'Water Report'!$O$15,0))</f>
        <v>9</v>
      </c>
      <c r="AU13" s="922">
        <f>(IF('Water Report'!$O$17&gt;0,'Water Report'!$O$17,0))</f>
        <v>0</v>
      </c>
      <c r="AV13" s="922">
        <f>(IF('Water Report'!$O$18&gt;0,'Water Report'!$O$18,0))</f>
        <v>9</v>
      </c>
      <c r="AW13" s="922">
        <f>(IF('Water Report'!$O$19&gt;0,'Water Report'!$O$19,0))</f>
        <v>8</v>
      </c>
      <c r="AX13" s="997">
        <f>(IF('Water Report'!$O$21&gt;0,'Water Report'!$O$21,0))</f>
        <v>82</v>
      </c>
      <c r="AY13" s="997">
        <f>(IF('Water Report'!$O$22&gt;0,'Water Report'!$O$22,0))</f>
        <v>0</v>
      </c>
      <c r="AZ13" s="997">
        <f>(IF('Water Report'!$O$23&gt;0,'Water Report'!$O$23,0))</f>
        <v>0</v>
      </c>
      <c r="BA13" s="997">
        <f>(IF('Water Report'!$O$14&gt;0,'Water Report'!$O$14,0))</f>
        <v>14</v>
      </c>
      <c r="BB13" s="997">
        <f>(IF('Water Report'!$O$15&gt;0,'Water Report'!$O$15,0))</f>
        <v>9</v>
      </c>
      <c r="BC13" s="997">
        <f>(IF('Water Report'!$O$13&gt;0,'Water Report'!$O$13,0))</f>
        <v>41</v>
      </c>
      <c r="BD13" s="997">
        <f>(IF('Water Report'!$O$24&gt;0,'Water Report'!$O$24,0))</f>
        <v>240</v>
      </c>
      <c r="BE13" s="997">
        <f>(IF('Water Report'!$O$25&gt;0,'Water Report'!$O$25,0))</f>
        <v>160</v>
      </c>
      <c r="BF13" s="997">
        <f>(IF('Water Report'!$O$27&gt;0,'Water Report'!$O$27,0))</f>
        <v>123</v>
      </c>
      <c r="BG13" s="923">
        <f>(IF('Section Load'!AN16&gt;0,'Section Load'!AN16,0))</f>
        <v>930</v>
      </c>
      <c r="BH13" s="923">
        <f>(IF('Section Load'!AO16&gt;0,'Section Load'!AO16,0))</f>
        <v>275</v>
      </c>
      <c r="BI13" s="923">
        <f>(IF('Section Load'!AP16&gt;0,'Section Load'!AP16,0))</f>
        <v>0</v>
      </c>
      <c r="BJ13" s="923">
        <f>(IF('Section Load'!AQ16&gt;0,'Section Load'!AQ16,0))</f>
        <v>80</v>
      </c>
      <c r="BK13" s="923">
        <f>(IF('Section Load'!AR16&gt;0,'Section Load'!AR16,0))</f>
        <v>69</v>
      </c>
      <c r="BL13" s="923">
        <f>(IF('Section Load'!AS16&gt;0,'Section Load'!AS16,0))</f>
        <v>2</v>
      </c>
      <c r="BM13" s="923">
        <f>(IF('Section Load'!AT16&gt;0,'Section Load'!AT16,0))</f>
        <v>504.39999999999418</v>
      </c>
    </row>
    <row r="14" spans="1:65">
      <c r="A14" s="905" t="s">
        <v>290</v>
      </c>
      <c r="B14" s="906">
        <f t="shared" si="0"/>
        <v>13</v>
      </c>
      <c r="C14" s="906">
        <v>8</v>
      </c>
      <c r="D14" s="906">
        <v>2021</v>
      </c>
      <c r="E14" s="921">
        <f>(IF('Section Load'!F17&gt;0,'Section Load'!F17,0))</f>
        <v>3138</v>
      </c>
      <c r="F14" s="921">
        <f>(IF('Section Load'!G17&gt;0,'Section Load'!G17,0))</f>
        <v>1619</v>
      </c>
      <c r="G14" s="921">
        <f>(IF('Section Load'!H17&gt;0,'Section Load'!H17,0))</f>
        <v>1802</v>
      </c>
      <c r="H14" s="921">
        <f>(IF('Section Load'!I17&gt;0,'Section Load'!I17,0))</f>
        <v>3617</v>
      </c>
      <c r="I14" s="921">
        <f>(IF('Section Load'!J17&gt;0,'Section Load'!J17,0))</f>
        <v>6670</v>
      </c>
      <c r="J14" s="921">
        <f>(IF('Section Load'!K17&gt;0,'Section Load'!K17,0))</f>
        <v>2730.33</v>
      </c>
      <c r="K14" s="921">
        <f>(IF('Section Load'!L17&gt;0,'Section Load'!L17,0))</f>
        <v>1196</v>
      </c>
      <c r="L14" s="921">
        <f>(IF('Section Load'!M17&gt;0,'Section Load'!M17,0))</f>
        <v>726.90000000000146</v>
      </c>
      <c r="M14" s="921">
        <f>(IF('Section Load'!N17&gt;0,'Section Load'!N17,0))</f>
        <v>14</v>
      </c>
      <c r="N14" s="921">
        <f>(IF('Section Load'!O17&gt;0,'Section Load'!O17,0))</f>
        <v>1</v>
      </c>
      <c r="O14" s="921">
        <f>(IF('Section Load'!P17&gt;0,'Section Load'!P17,0))</f>
        <v>3</v>
      </c>
      <c r="P14" s="921">
        <f>(IF('Section Load'!Q17&gt;0,'Section Load'!Q17,0))</f>
        <v>170.70000000000073</v>
      </c>
      <c r="Q14" s="921">
        <f>(IF('Section Load'!R17&gt;0,'Section Load'!R17,0))</f>
        <v>49.100000000000364</v>
      </c>
      <c r="R14" s="921">
        <f>(IF('Section Load'!S17&gt;0,'Section Load'!S17,0))</f>
        <v>52</v>
      </c>
      <c r="S14" s="921">
        <f>(IF('Section Load'!T17&gt;0,'Section Load'!T17,0))</f>
        <v>137</v>
      </c>
      <c r="T14" s="921">
        <f>(IF('Section Load'!U17&gt;0,'Section Load'!U17,0))</f>
        <v>144</v>
      </c>
      <c r="U14" s="921">
        <f>(IF('Section Load'!V17&gt;0,'Section Load'!V17,0))</f>
        <v>411</v>
      </c>
      <c r="V14" s="921">
        <f>(IF('Section Load'!W17&gt;0,'Section Load'!W17,0))</f>
        <v>195</v>
      </c>
      <c r="W14" s="921">
        <f>(IF('Section Load'!X17&gt;0,'Section Load'!X17,0))</f>
        <v>13</v>
      </c>
      <c r="X14" s="921">
        <f>(IF('Section Load'!Y17&gt;0,'Section Load'!Y17,0))</f>
        <v>202.80000000000291</v>
      </c>
      <c r="Y14" s="921">
        <f>(IF('Section Load'!Z17&gt;0,'Section Load'!Z17,0))</f>
        <v>354</v>
      </c>
      <c r="Z14" s="921">
        <f>(IF('Section Load'!AA17&gt;0,'Section Load'!AA17,0))</f>
        <v>8</v>
      </c>
      <c r="AA14" s="921">
        <f>(IF('Section Load'!AB17&gt;0,'Section Load'!AB17,0))</f>
        <v>33</v>
      </c>
      <c r="AB14" s="921">
        <f>(IF('Section Load'!AC17&gt;0,'Section Load'!AC17,0))</f>
        <v>0</v>
      </c>
      <c r="AC14" s="921">
        <f>(IF('Section Load'!AD17&gt;0,'Section Load'!AD17,0))</f>
        <v>41</v>
      </c>
      <c r="AD14" s="921">
        <f>(IF('Section Load'!AE17&gt;0,'Section Load'!AE17,0))</f>
        <v>0</v>
      </c>
      <c r="AE14" s="921">
        <f>(IF('Section Load'!AF17&gt;0,'Section Load'!AF17,0))</f>
        <v>0</v>
      </c>
      <c r="AF14" s="921">
        <f>(IF('Section Load'!AG17&gt;0,'Section Load'!AG17,0))</f>
        <v>417</v>
      </c>
      <c r="AG14" s="921">
        <f>(IF('Section Load'!AH17&gt;0,'Section Load'!AH17,0))</f>
        <v>400</v>
      </c>
      <c r="AH14" s="921">
        <f>(IF('Section Load'!AI17&gt;0,'Section Load'!AI17,0))</f>
        <v>371</v>
      </c>
      <c r="AI14" s="921">
        <f>(IF('Section Load'!AJ17&gt;0,'Section Load'!AJ17,0))</f>
        <v>476</v>
      </c>
      <c r="AJ14" s="921">
        <f>(IF('Section Load'!AK17&gt;0,'Section Load'!AK17,0))</f>
        <v>0</v>
      </c>
      <c r="AK14" s="921">
        <f>(IF('Section Load'!AL17&gt;0,'Section Load'!AL17,0))</f>
        <v>308</v>
      </c>
      <c r="AL14" s="921">
        <f>(IF('Section Load'!AM17&gt;0,'Section Load'!AM17,0))</f>
        <v>804</v>
      </c>
      <c r="AM14" s="922">
        <f>(IF('Water Report'!$P$7&gt;0,'Water Report'!$P$7,0))</f>
        <v>105</v>
      </c>
      <c r="AN14" s="922">
        <f>(IF('Water Report'!$P$8&gt;0,'Water Report'!$P$8,0))</f>
        <v>164</v>
      </c>
      <c r="AO14" s="922">
        <f>(IF('Water Report'!$P$9&gt;0,'Water Report'!$P$9,0))</f>
        <v>74</v>
      </c>
      <c r="AP14" s="922">
        <f>(IF('Water Report'!$P$10&gt;0,'Water Report'!$P$10,0))</f>
        <v>25</v>
      </c>
      <c r="AQ14" s="922">
        <f>(IF('Water Report'!$P$11&gt;0,'Water Report'!$P$11,0))</f>
        <v>32</v>
      </c>
      <c r="AR14" s="922">
        <f>(IF('Water Report'!$P$13&gt;0,'Water Report'!$P$13,0))</f>
        <v>31</v>
      </c>
      <c r="AS14" s="922">
        <f>(IF('Water Report'!$P$14&gt;0,'Water Report'!$P$14,0))</f>
        <v>15</v>
      </c>
      <c r="AT14" s="922">
        <f>(IF('Water Report'!$P$15&gt;0,'Water Report'!$P$15,0))</f>
        <v>15</v>
      </c>
      <c r="AU14" s="922">
        <f>(IF('Water Report'!$P$17&gt;0,'Water Report'!$P$17,0))</f>
        <v>0</v>
      </c>
      <c r="AV14" s="922">
        <f>(IF('Water Report'!$P$18&gt;0,'Water Report'!$P$18,0))</f>
        <v>9</v>
      </c>
      <c r="AW14" s="922">
        <f>(IF('Water Report'!$P$19&gt;0,'Water Report'!$P$19,0))</f>
        <v>11</v>
      </c>
      <c r="AX14" s="997">
        <f>(IF('Water Report'!$P$21&gt;0,'Water Report'!$P$21,0))</f>
        <v>96</v>
      </c>
      <c r="AY14" s="997">
        <f>(IF('Water Report'!$P$22&gt;0,'Water Report'!$P$22,0))</f>
        <v>0</v>
      </c>
      <c r="AZ14" s="997">
        <f>(IF('Water Report'!$P$23&gt;0,'Water Report'!$P$23,0))</f>
        <v>3</v>
      </c>
      <c r="BA14" s="997">
        <f>(IF('Water Report'!$P$14&gt;0,'Water Report'!$P$14,0))</f>
        <v>15</v>
      </c>
      <c r="BB14" s="997">
        <f>(IF('Water Report'!$P$15&gt;0,'Water Report'!$P$15,0))</f>
        <v>15</v>
      </c>
      <c r="BC14" s="997">
        <f>(IF('Water Report'!$P$13&gt;0,'Water Report'!$P$13,0))</f>
        <v>31</v>
      </c>
      <c r="BD14" s="997">
        <f>(IF('Water Report'!$P$24&gt;0,'Water Report'!$P$24,0))</f>
        <v>251</v>
      </c>
      <c r="BE14" s="997">
        <f>(IF('Water Report'!$P$25&gt;0,'Water Report'!$P$25,0))</f>
        <v>161</v>
      </c>
      <c r="BF14" s="997">
        <f>(IF('Water Report'!$P$27&gt;0,'Water Report'!$P$27,0))</f>
        <v>130</v>
      </c>
      <c r="BG14" s="923">
        <f>(IF('Section Load'!AN17&gt;0,'Section Load'!AN17,0))</f>
        <v>901</v>
      </c>
      <c r="BH14" s="923">
        <f>(IF('Section Load'!AO17&gt;0,'Section Load'!AO17,0))</f>
        <v>277</v>
      </c>
      <c r="BI14" s="923">
        <f>(IF('Section Load'!AP17&gt;0,'Section Load'!AP17,0))</f>
        <v>0</v>
      </c>
      <c r="BJ14" s="923">
        <f>(IF('Section Load'!AQ17&gt;0,'Section Load'!AQ17,0))</f>
        <v>101</v>
      </c>
      <c r="BK14" s="923">
        <f>(IF('Section Load'!AR17&gt;0,'Section Load'!AR17,0))</f>
        <v>35</v>
      </c>
      <c r="BL14" s="923">
        <f>(IF('Section Load'!AS17&gt;0,'Section Load'!AS17,0))</f>
        <v>2</v>
      </c>
      <c r="BM14" s="923">
        <f>(IF('Section Load'!AT17&gt;0,'Section Load'!AT17,0))</f>
        <v>486</v>
      </c>
    </row>
    <row r="15" spans="1:65">
      <c r="A15" s="905" t="s">
        <v>290</v>
      </c>
      <c r="B15" s="906">
        <f t="shared" si="0"/>
        <v>14</v>
      </c>
      <c r="C15" s="906">
        <v>8</v>
      </c>
      <c r="D15" s="906">
        <v>2021</v>
      </c>
      <c r="E15" s="921">
        <f>(IF('Section Load'!F18&gt;0,'Section Load'!F18,0))</f>
        <v>3064</v>
      </c>
      <c r="F15" s="921">
        <f>(IF('Section Load'!G18&gt;0,'Section Load'!G18,0))</f>
        <v>1554</v>
      </c>
      <c r="G15" s="921">
        <f>(IF('Section Load'!H18&gt;0,'Section Load'!H18,0))</f>
        <v>1717</v>
      </c>
      <c r="H15" s="921">
        <f>(IF('Section Load'!I18&gt;0,'Section Load'!I18,0))</f>
        <v>3673.5900000000256</v>
      </c>
      <c r="I15" s="921">
        <f>(IF('Section Load'!J18&gt;0,'Section Load'!J18,0))</f>
        <v>6022</v>
      </c>
      <c r="J15" s="921">
        <f>(IF('Section Load'!K18&gt;0,'Section Load'!K18,0))</f>
        <v>2490</v>
      </c>
      <c r="K15" s="921">
        <f>(IF('Section Load'!L18&gt;0,'Section Load'!L18,0))</f>
        <v>986</v>
      </c>
      <c r="L15" s="921">
        <f>(IF('Section Load'!M18&gt;0,'Section Load'!M18,0))</f>
        <v>633.40000000000146</v>
      </c>
      <c r="M15" s="921">
        <f>(IF('Section Load'!N18&gt;0,'Section Load'!N18,0))</f>
        <v>12</v>
      </c>
      <c r="N15" s="921">
        <f>(IF('Section Load'!O18&gt;0,'Section Load'!O18,0))</f>
        <v>1</v>
      </c>
      <c r="O15" s="921">
        <f>(IF('Section Load'!P18&gt;0,'Section Load'!P18,0))</f>
        <v>72</v>
      </c>
      <c r="P15" s="921">
        <f>(IF('Section Load'!Q18&gt;0,'Section Load'!Q18,0))</f>
        <v>176.79999999999927</v>
      </c>
      <c r="Q15" s="921">
        <f>(IF('Section Load'!R18&gt;0,'Section Load'!R18,0))</f>
        <v>51.899999999999636</v>
      </c>
      <c r="R15" s="921">
        <f>(IF('Section Load'!S18&gt;0,'Section Load'!S18,0))</f>
        <v>51</v>
      </c>
      <c r="S15" s="921">
        <f>(IF('Section Load'!T18&gt;0,'Section Load'!T18,0))</f>
        <v>83</v>
      </c>
      <c r="T15" s="921">
        <f>(IF('Section Load'!U18&gt;0,'Section Load'!U18,0))</f>
        <v>166</v>
      </c>
      <c r="U15" s="921">
        <f>(IF('Section Load'!V18&gt;0,'Section Load'!V18,0))</f>
        <v>414</v>
      </c>
      <c r="V15" s="921">
        <f>(IF('Section Load'!W18&gt;0,'Section Load'!W18,0))</f>
        <v>172</v>
      </c>
      <c r="W15" s="921">
        <f>(IF('Section Load'!X18&gt;0,'Section Load'!X18,0))</f>
        <v>21</v>
      </c>
      <c r="X15" s="921">
        <f>(IF('Section Load'!Y18&gt;0,'Section Load'!Y18,0))</f>
        <v>197.89999999999418</v>
      </c>
      <c r="Y15" s="921">
        <f>(IF('Section Load'!Z18&gt;0,'Section Load'!Z18,0))</f>
        <v>297</v>
      </c>
      <c r="Z15" s="921">
        <f>(IF('Section Load'!AA18&gt;0,'Section Load'!AA18,0))</f>
        <v>8</v>
      </c>
      <c r="AA15" s="921">
        <f>(IF('Section Load'!AB18&gt;0,'Section Load'!AB18,0))</f>
        <v>24</v>
      </c>
      <c r="AB15" s="921">
        <f>(IF('Section Load'!AC18&gt;0,'Section Load'!AC18,0))</f>
        <v>0</v>
      </c>
      <c r="AC15" s="921">
        <f>(IF('Section Load'!AD18&gt;0,'Section Load'!AD18,0))</f>
        <v>25</v>
      </c>
      <c r="AD15" s="921">
        <f>(IF('Section Load'!AE18&gt;0,'Section Load'!AE18,0))</f>
        <v>0</v>
      </c>
      <c r="AE15" s="921">
        <f>(IF('Section Load'!AF18&gt;0,'Section Load'!AF18,0))</f>
        <v>0</v>
      </c>
      <c r="AF15" s="921">
        <f>(IF('Section Load'!AG18&gt;0,'Section Load'!AG18,0))</f>
        <v>359</v>
      </c>
      <c r="AG15" s="921">
        <f>(IF('Section Load'!AH18&gt;0,'Section Load'!AH18,0))</f>
        <v>26</v>
      </c>
      <c r="AH15" s="921">
        <f>(IF('Section Load'!AI18&gt;0,'Section Load'!AI18,0))</f>
        <v>408</v>
      </c>
      <c r="AI15" s="921">
        <f>(IF('Section Load'!AJ18&gt;0,'Section Load'!AJ18,0))</f>
        <v>466</v>
      </c>
      <c r="AJ15" s="921">
        <f>(IF('Section Load'!AK18&gt;0,'Section Load'!AK18,0))</f>
        <v>0</v>
      </c>
      <c r="AK15" s="921">
        <f>(IF('Section Load'!AL18&gt;0,'Section Load'!AL18,0))</f>
        <v>303</v>
      </c>
      <c r="AL15" s="921">
        <f>(IF('Section Load'!AM18&gt;0,'Section Load'!AM18,0))</f>
        <v>807</v>
      </c>
      <c r="AM15" s="922">
        <f>(IF('Water Report'!$Q$7&gt;0,'Water Report'!$Q$7,0))</f>
        <v>83</v>
      </c>
      <c r="AN15" s="922">
        <f>(IF('Water Report'!$Q$8&gt;0,'Water Report'!$Q$8,0))</f>
        <v>179</v>
      </c>
      <c r="AO15" s="922">
        <f>(IF('Water Report'!$Q$9&gt;0,'Water Report'!$Q$9,0))</f>
        <v>69</v>
      </c>
      <c r="AP15" s="922">
        <f>(IF('Water Report'!$Q$10&gt;0,'Water Report'!$Q$10,0))</f>
        <v>22</v>
      </c>
      <c r="AQ15" s="922">
        <f>(IF('Water Report'!$Q$11&gt;0,'Water Report'!$Q$11,0))</f>
        <v>36</v>
      </c>
      <c r="AR15" s="922">
        <f>(IF('Water Report'!$Q$13&gt;0,'Water Report'!$Q$13,0))</f>
        <v>11</v>
      </c>
      <c r="AS15" s="922">
        <f>(IF('Water Report'!$Q$14&gt;0,'Water Report'!$Q$14,0))</f>
        <v>15</v>
      </c>
      <c r="AT15" s="922">
        <f>(IF('Water Report'!$Q$15&gt;0,'Water Report'!$Q$15,0))</f>
        <v>9</v>
      </c>
      <c r="AU15" s="922">
        <f>(IF('Water Report'!$Q$17&gt;0,'Water Report'!$Q$17,0))</f>
        <v>15</v>
      </c>
      <c r="AV15" s="922">
        <f>(IF('Water Report'!$Q$18&gt;0,'Water Report'!$Q$18,0))</f>
        <v>8</v>
      </c>
      <c r="AW15" s="922">
        <f>(IF('Water Report'!$Q$19&gt;0,'Water Report'!$Q$19,0))</f>
        <v>11</v>
      </c>
      <c r="AX15" s="997">
        <f>(IF('Water Report'!$Q$21&gt;0,'Water Report'!$Q$21,0))</f>
        <v>71</v>
      </c>
      <c r="AY15" s="997">
        <f>(IF('Water Report'!$Q$22&gt;0,'Water Report'!$Q$22,0))</f>
        <v>0</v>
      </c>
      <c r="AZ15" s="997">
        <f>(IF('Water Report'!$Q$23&gt;0,'Water Report'!$Q$23,0))</f>
        <v>0</v>
      </c>
      <c r="BA15" s="997">
        <f>(IF('Water Report'!$Q$14&gt;0,'Water Report'!$Q$14,0))</f>
        <v>15</v>
      </c>
      <c r="BB15" s="997">
        <f>(IF('Water Report'!$Q$15&gt;0,'Water Report'!$Q$15,0))</f>
        <v>9</v>
      </c>
      <c r="BC15" s="997">
        <f>(IF('Water Report'!$Q$13&gt;0,'Water Report'!$Q$13,0))</f>
        <v>11</v>
      </c>
      <c r="BD15" s="997">
        <f>(IF('Water Report'!$Q$24&gt;0,'Water Report'!$Q$24,0))</f>
        <v>223</v>
      </c>
      <c r="BE15" s="997">
        <f>(IF('Water Report'!$Q$25&gt;0,'Water Report'!$Q$25,0))</f>
        <v>151</v>
      </c>
      <c r="BF15" s="997">
        <f>(IF('Water Report'!$Q$27&gt;0,'Water Report'!$Q$27,0))</f>
        <v>82</v>
      </c>
      <c r="BG15" s="923">
        <f>(IF('Section Load'!AN18&gt;0,'Section Load'!AN18,0))</f>
        <v>1092</v>
      </c>
      <c r="BH15" s="923">
        <f>(IF('Section Load'!AO18&gt;0,'Section Load'!AO18,0))</f>
        <v>271</v>
      </c>
      <c r="BI15" s="923">
        <f>(IF('Section Load'!AP18&gt;0,'Section Load'!AP18,0))</f>
        <v>0.39999999999417923</v>
      </c>
      <c r="BJ15" s="923">
        <f>(IF('Section Load'!AQ18&gt;0,'Section Load'!AQ18,0))</f>
        <v>110</v>
      </c>
      <c r="BK15" s="923">
        <f>(IF('Section Load'!AR18&gt;0,'Section Load'!AR18,0))</f>
        <v>47</v>
      </c>
      <c r="BL15" s="923">
        <f>(IF('Section Load'!AS18&gt;0,'Section Load'!AS18,0))</f>
        <v>4</v>
      </c>
      <c r="BM15" s="923">
        <f>(IF('Section Load'!AT18&gt;0,'Section Load'!AT18,0))</f>
        <v>659.60000000000582</v>
      </c>
    </row>
    <row r="16" spans="1:65">
      <c r="A16" s="905" t="s">
        <v>290</v>
      </c>
      <c r="B16" s="906">
        <f t="shared" si="0"/>
        <v>15</v>
      </c>
      <c r="C16" s="906">
        <v>8</v>
      </c>
      <c r="D16" s="906">
        <v>2021</v>
      </c>
      <c r="E16" s="921">
        <f>(IF('Section Load'!F19&gt;0,'Section Load'!F19,0))</f>
        <v>2975</v>
      </c>
      <c r="F16" s="921">
        <f>(IF('Section Load'!G19&gt;0,'Section Load'!G19,0))</f>
        <v>1554</v>
      </c>
      <c r="G16" s="921">
        <f>(IF('Section Load'!H19&gt;0,'Section Load'!H19,0))</f>
        <v>1841.9300000000512</v>
      </c>
      <c r="H16" s="921">
        <f>(IF('Section Load'!I19&gt;0,'Section Load'!I19,0))</f>
        <v>3671.4099999999744</v>
      </c>
      <c r="I16" s="921">
        <f>(IF('Section Load'!J19&gt;0,'Section Load'!J19,0))</f>
        <v>6209</v>
      </c>
      <c r="J16" s="921">
        <f>(IF('Section Load'!K19&gt;0,'Section Load'!K19,0))</f>
        <v>2580</v>
      </c>
      <c r="K16" s="921">
        <f>(IF('Section Load'!L19&gt;0,'Section Load'!L19,0))</f>
        <v>1206</v>
      </c>
      <c r="L16" s="921">
        <f>(IF('Section Load'!M19&gt;0,'Section Load'!M19,0))</f>
        <v>823</v>
      </c>
      <c r="M16" s="921">
        <f>(IF('Section Load'!N19&gt;0,'Section Load'!N19,0))</f>
        <v>10</v>
      </c>
      <c r="N16" s="921">
        <f>(IF('Section Load'!O19&gt;0,'Section Load'!O19,0))</f>
        <v>1</v>
      </c>
      <c r="O16" s="921">
        <f>(IF('Section Load'!P19&gt;0,'Section Load'!P19,0))</f>
        <v>1</v>
      </c>
      <c r="P16" s="921">
        <f>(IF('Section Load'!Q19&gt;0,'Section Load'!Q19,0))</f>
        <v>179</v>
      </c>
      <c r="Q16" s="921">
        <f>(IF('Section Load'!R19&gt;0,'Section Load'!R19,0))</f>
        <v>47</v>
      </c>
      <c r="R16" s="921">
        <f>(IF('Section Load'!S19&gt;0,'Section Load'!S19,0))</f>
        <v>44</v>
      </c>
      <c r="S16" s="921">
        <f>(IF('Section Load'!T19&gt;0,'Section Load'!T19,0))</f>
        <v>75</v>
      </c>
      <c r="T16" s="921">
        <f>(IF('Section Load'!U19&gt;0,'Section Load'!U19,0))</f>
        <v>154</v>
      </c>
      <c r="U16" s="921">
        <f>(IF('Section Load'!V19&gt;0,'Section Load'!V19,0))</f>
        <v>424</v>
      </c>
      <c r="V16" s="921">
        <f>(IF('Section Load'!W19&gt;0,'Section Load'!W19,0))</f>
        <v>210</v>
      </c>
      <c r="W16" s="921">
        <f>(IF('Section Load'!X19&gt;0,'Section Load'!X19,0))</f>
        <v>13</v>
      </c>
      <c r="X16" s="921">
        <f>(IF('Section Load'!Y19&gt;0,'Section Load'!Y19,0))</f>
        <v>212.30000000000291</v>
      </c>
      <c r="Y16" s="921">
        <f>(IF('Section Load'!Z19&gt;0,'Section Load'!Z19,0))</f>
        <v>390</v>
      </c>
      <c r="Z16" s="921">
        <f>(IF('Section Load'!AA19&gt;0,'Section Load'!AA19,0))</f>
        <v>8</v>
      </c>
      <c r="AA16" s="921">
        <f>(IF('Section Load'!AB19&gt;0,'Section Load'!AB19,0))</f>
        <v>26</v>
      </c>
      <c r="AB16" s="921">
        <f>(IF('Section Load'!AC19&gt;0,'Section Load'!AC19,0))</f>
        <v>0</v>
      </c>
      <c r="AC16" s="921">
        <f>(IF('Section Load'!AD19&gt;0,'Section Load'!AD19,0))</f>
        <v>27</v>
      </c>
      <c r="AD16" s="921">
        <f>(IF('Section Load'!AE19&gt;0,'Section Load'!AE19,0))</f>
        <v>0.18000000000029104</v>
      </c>
      <c r="AE16" s="921">
        <f>(IF('Section Load'!AF19&gt;0,'Section Load'!AF19,0))</f>
        <v>0</v>
      </c>
      <c r="AF16" s="921">
        <f>(IF('Section Load'!AG19&gt;0,'Section Load'!AG19,0))</f>
        <v>362</v>
      </c>
      <c r="AG16" s="921">
        <f>(IF('Section Load'!AH19&gt;0,'Section Load'!AH19,0))</f>
        <v>777</v>
      </c>
      <c r="AH16" s="921">
        <f>(IF('Section Load'!AI19&gt;0,'Section Load'!AI19,0))</f>
        <v>404</v>
      </c>
      <c r="AI16" s="921">
        <f>(IF('Section Load'!AJ19&gt;0,'Section Load'!AJ19,0))</f>
        <v>444</v>
      </c>
      <c r="AJ16" s="921">
        <f>(IF('Section Load'!AK19&gt;0,'Section Load'!AK19,0))</f>
        <v>0</v>
      </c>
      <c r="AK16" s="921">
        <f>(IF('Section Load'!AL19&gt;0,'Section Load'!AL19,0))</f>
        <v>292</v>
      </c>
      <c r="AL16" s="921">
        <f>(IF('Section Load'!AM19&gt;0,'Section Load'!AM19,0))</f>
        <v>837</v>
      </c>
      <c r="AM16" s="922">
        <f>(IF('Water Report'!$R$7&gt;0,'Water Report'!$R$7,0))</f>
        <v>130</v>
      </c>
      <c r="AN16" s="922">
        <f>(IF('Water Report'!$R$8&gt;0,'Water Report'!$R$8,0))</f>
        <v>168</v>
      </c>
      <c r="AO16" s="922">
        <f>(IF('Water Report'!$R$9&gt;0,'Water Report'!$R$9,0))</f>
        <v>78</v>
      </c>
      <c r="AP16" s="922">
        <f>(IF('Water Report'!$R$10&gt;0,'Water Report'!$R$10,0))</f>
        <v>38</v>
      </c>
      <c r="AQ16" s="922">
        <f>(IF('Water Report'!$R$11&gt;0,'Water Report'!$R$11,0))</f>
        <v>41</v>
      </c>
      <c r="AR16" s="922">
        <f>(IF('Water Report'!$R$13&gt;0,'Water Report'!$R$13,0))</f>
        <v>50</v>
      </c>
      <c r="AS16" s="922">
        <f>(IF('Water Report'!$R$14&gt;0,'Water Report'!$R$14,0))</f>
        <v>20</v>
      </c>
      <c r="AT16" s="922">
        <f>(IF('Water Report'!$R$15&gt;0,'Water Report'!$R$15,0))</f>
        <v>13</v>
      </c>
      <c r="AU16" s="922">
        <f>(IF('Water Report'!$R$17&gt;0,'Water Report'!$R$17,0))</f>
        <v>0</v>
      </c>
      <c r="AV16" s="922">
        <f>(IF('Water Report'!$R$18&gt;0,'Water Report'!$R$18,0))</f>
        <v>11</v>
      </c>
      <c r="AW16" s="922">
        <f>(IF('Water Report'!$R$19&gt;0,'Water Report'!$R$19,0))</f>
        <v>9</v>
      </c>
      <c r="AX16" s="997">
        <f>(IF('Water Report'!$R$21&gt;0,'Water Report'!$R$21,0))</f>
        <v>47</v>
      </c>
      <c r="AY16" s="997">
        <f>(IF('Water Report'!$R$22&gt;0,'Water Report'!$R$22,0))</f>
        <v>0</v>
      </c>
      <c r="AZ16" s="997">
        <f>(IF('Water Report'!$R$23&gt;0,'Water Report'!$R$23,0))</f>
        <v>0</v>
      </c>
      <c r="BA16" s="997">
        <f>(IF('Water Report'!$R$14&gt;0,'Water Report'!$R$14,0))</f>
        <v>20</v>
      </c>
      <c r="BB16" s="997">
        <f>(IF('Water Report'!$R$15&gt;0,'Water Report'!$R$15,0))</f>
        <v>13</v>
      </c>
      <c r="BC16" s="997">
        <f>(IF('Water Report'!$R$13&gt;0,'Water Report'!$R$13,0))</f>
        <v>50</v>
      </c>
      <c r="BD16" s="997">
        <f>(IF('Water Report'!$R$24&gt;0,'Water Report'!$R$24,0))</f>
        <v>254</v>
      </c>
      <c r="BE16" s="997">
        <f>(IF('Water Report'!$R$25&gt;0,'Water Report'!$R$25,0))</f>
        <v>190</v>
      </c>
      <c r="BF16" s="997">
        <f>(IF('Water Report'!$R$27&gt;0,'Water Report'!$R$27,0))</f>
        <v>97</v>
      </c>
      <c r="BG16" s="923">
        <f>(IF('Section Load'!AN19&gt;0,'Section Load'!AN19,0))</f>
        <v>920</v>
      </c>
      <c r="BH16" s="923">
        <f>(IF('Section Load'!AO19&gt;0,'Section Load'!AO19,0))</f>
        <v>304</v>
      </c>
      <c r="BI16" s="923">
        <f>(IF('Section Load'!AP19&gt;0,'Section Load'!AP19,0))</f>
        <v>0</v>
      </c>
      <c r="BJ16" s="923">
        <f>(IF('Section Load'!AQ19&gt;0,'Section Load'!AQ19,0))</f>
        <v>86</v>
      </c>
      <c r="BK16" s="923">
        <f>(IF('Section Load'!AR19&gt;0,'Section Load'!AR19,0))</f>
        <v>57</v>
      </c>
      <c r="BL16" s="923">
        <f>(IF('Section Load'!AS19&gt;0,'Section Load'!AS19,0))</f>
        <v>3</v>
      </c>
      <c r="BM16" s="923">
        <f>(IF('Section Load'!AT19&gt;0,'Section Load'!AT19,0))</f>
        <v>470</v>
      </c>
    </row>
    <row r="17" spans="1:65">
      <c r="A17" s="905" t="s">
        <v>290</v>
      </c>
      <c r="B17" s="906">
        <f t="shared" si="0"/>
        <v>16</v>
      </c>
      <c r="C17" s="906">
        <v>8</v>
      </c>
      <c r="D17" s="906">
        <v>2021</v>
      </c>
      <c r="E17" s="921">
        <f>(IF('Section Load'!F20&gt;0,'Section Load'!F20,0))</f>
        <v>0</v>
      </c>
      <c r="F17" s="921">
        <f>(IF('Section Load'!G20&gt;0,'Section Load'!G20,0))</f>
        <v>0</v>
      </c>
      <c r="G17" s="921">
        <f>(IF('Section Load'!H20&gt;0,'Section Load'!H20,0))</f>
        <v>0</v>
      </c>
      <c r="H17" s="921">
        <f>(IF('Section Load'!I20&gt;0,'Section Load'!I20,0))</f>
        <v>0</v>
      </c>
      <c r="I17" s="921">
        <f>(IF('Section Load'!J20&gt;0,'Section Load'!J20,0))</f>
        <v>0</v>
      </c>
      <c r="J17" s="921">
        <f>(IF('Section Load'!K20&gt;0,'Section Load'!K20,0))</f>
        <v>0</v>
      </c>
      <c r="K17" s="921">
        <f>(IF('Section Load'!L20&gt;0,'Section Load'!L20,0))</f>
        <v>0</v>
      </c>
      <c r="L17" s="921">
        <f>(IF('Section Load'!M20&gt;0,'Section Load'!M20,0))</f>
        <v>0</v>
      </c>
      <c r="M17" s="921">
        <f>(IF('Section Load'!N20&gt;0,'Section Load'!N20,0))</f>
        <v>0</v>
      </c>
      <c r="N17" s="921">
        <f>(IF('Section Load'!O20&gt;0,'Section Load'!O20,0))</f>
        <v>0</v>
      </c>
      <c r="O17" s="921">
        <f>(IF('Section Load'!P20&gt;0,'Section Load'!P20,0))</f>
        <v>0</v>
      </c>
      <c r="P17" s="921">
        <f>(IF('Section Load'!Q20&gt;0,'Section Load'!Q20,0))</f>
        <v>0</v>
      </c>
      <c r="Q17" s="921">
        <f>(IF('Section Load'!R20&gt;0,'Section Load'!R20,0))</f>
        <v>0</v>
      </c>
      <c r="R17" s="921">
        <f>(IF('Section Load'!S20&gt;0,'Section Load'!S20,0))</f>
        <v>0</v>
      </c>
      <c r="S17" s="921">
        <f>(IF('Section Load'!T20&gt;0,'Section Load'!T20,0))</f>
        <v>0</v>
      </c>
      <c r="T17" s="921">
        <f>(IF('Section Load'!U20&gt;0,'Section Load'!U20,0))</f>
        <v>0</v>
      </c>
      <c r="U17" s="921">
        <f>(IF('Section Load'!V20&gt;0,'Section Load'!V20,0))</f>
        <v>0</v>
      </c>
      <c r="V17" s="921">
        <f>(IF('Section Load'!W20&gt;0,'Section Load'!W20,0))</f>
        <v>0</v>
      </c>
      <c r="W17" s="921">
        <f>(IF('Section Load'!X20&gt;0,'Section Load'!X20,0))</f>
        <v>0</v>
      </c>
      <c r="X17" s="921">
        <f>(IF('Section Load'!Y20&gt;0,'Section Load'!Y20,0))</f>
        <v>0</v>
      </c>
      <c r="Y17" s="921">
        <f>(IF('Section Load'!Z20&gt;0,'Section Load'!Z20,0))</f>
        <v>0</v>
      </c>
      <c r="Z17" s="921">
        <f>(IF('Section Load'!AA20&gt;0,'Section Load'!AA20,0))</f>
        <v>0</v>
      </c>
      <c r="AA17" s="921">
        <f>(IF('Section Load'!AB20&gt;0,'Section Load'!AB20,0))</f>
        <v>0</v>
      </c>
      <c r="AB17" s="921">
        <f>(IF('Section Load'!AC20&gt;0,'Section Load'!AC20,0))</f>
        <v>0</v>
      </c>
      <c r="AC17" s="921">
        <f>(IF('Section Load'!AD20&gt;0,'Section Load'!AD20,0))</f>
        <v>0</v>
      </c>
      <c r="AD17" s="921">
        <f>(IF('Section Load'!AE20&gt;0,'Section Load'!AE20,0))</f>
        <v>0</v>
      </c>
      <c r="AE17" s="921">
        <f>(IF('Section Load'!AF20&gt;0,'Section Load'!AF20,0))</f>
        <v>0</v>
      </c>
      <c r="AF17" s="921">
        <f>(IF('Section Load'!AG20&gt;0,'Section Load'!AG20,0))</f>
        <v>0</v>
      </c>
      <c r="AG17" s="921">
        <f>(IF('Section Load'!AH20&gt;0,'Section Load'!AH20,0))</f>
        <v>0</v>
      </c>
      <c r="AH17" s="921">
        <f>(IF('Section Load'!AI20&gt;0,'Section Load'!AI20,0))</f>
        <v>0</v>
      </c>
      <c r="AI17" s="921">
        <f>(IF('Section Load'!AJ20&gt;0,'Section Load'!AJ20,0))</f>
        <v>0</v>
      </c>
      <c r="AJ17" s="921">
        <f>(IF('Section Load'!AK20&gt;0,'Section Load'!AK20,0))</f>
        <v>0</v>
      </c>
      <c r="AK17" s="921">
        <f>(IF('Section Load'!AL20&gt;0,'Section Load'!AL20,0))</f>
        <v>0</v>
      </c>
      <c r="AL17" s="921">
        <f>(IF('Section Load'!AM20&gt;0,'Section Load'!AM20,0))</f>
        <v>0</v>
      </c>
      <c r="AM17" s="922">
        <f>(IF('Water Report'!$S$7&gt;0,'Water Report'!$S$7,0))</f>
        <v>0</v>
      </c>
      <c r="AN17" s="922">
        <f>(IF('Water Report'!$S$8&gt;0,'Water Report'!$S$8,0))</f>
        <v>0</v>
      </c>
      <c r="AO17" s="922">
        <f>(IF('Water Report'!$S$9&gt;0,'Water Report'!$S$9,0))</f>
        <v>0</v>
      </c>
      <c r="AP17" s="922">
        <f>(IF('Water Report'!$S$10&gt;0,'Water Report'!$D$10,0))</f>
        <v>0</v>
      </c>
      <c r="AQ17" s="922">
        <f>(IF('Water Report'!$S$11&gt;0,'Water Report'!$D$11,0))</f>
        <v>0</v>
      </c>
      <c r="AR17" s="922">
        <f>(IF('Water Report'!$S$13&gt;0,'Water Report'!$D$13,0))</f>
        <v>0</v>
      </c>
      <c r="AS17" s="922">
        <f>(IF('Water Report'!$S$14&gt;0,'Water Report'!$D$14,0))</f>
        <v>0</v>
      </c>
      <c r="AT17" s="922">
        <f>(IF('Water Report'!$S$15&gt;0,'Water Report'!$D$15,0))</f>
        <v>0</v>
      </c>
      <c r="AU17" s="922">
        <f>(IF('Water Report'!$S$17&gt;0,'Water Report'!$D$17,0))</f>
        <v>0</v>
      </c>
      <c r="AV17" s="922">
        <f>(IF('Water Report'!$S$18&gt;0,'Water Report'!$D$18,0))</f>
        <v>0</v>
      </c>
      <c r="AW17" s="922">
        <f>(IF('Water Report'!$S$19&gt;0,'Water Report'!$D$19,0))</f>
        <v>0</v>
      </c>
      <c r="AX17" s="997">
        <f>(IF('Water Report'!$S$21&gt;0,'Water Report'!$D$21,0))</f>
        <v>0</v>
      </c>
      <c r="AY17" s="997">
        <f>(IF('Water Report'!$S$22&gt;0,'Water Report'!$D$22,0))</f>
        <v>0</v>
      </c>
      <c r="AZ17" s="997">
        <f>(IF('Water Report'!$S$23&gt;0,'Water Report'!$D$23,0))</f>
        <v>0</v>
      </c>
      <c r="BA17" s="997">
        <f>(IF('Water Report'!$S$14&gt;0,'Water Report'!$D$14,0))</f>
        <v>0</v>
      </c>
      <c r="BB17" s="997">
        <f>(IF('Water Report'!$S$15&gt;0,'Water Report'!$D$15,0))</f>
        <v>0</v>
      </c>
      <c r="BC17" s="997">
        <f>(IF('Water Report'!$S$13&gt;0,'Water Report'!$D$13,0))</f>
        <v>0</v>
      </c>
      <c r="BD17" s="997">
        <f>(IF('Water Report'!$S$24&gt;0,'Water Report'!$D$24,0))</f>
        <v>243</v>
      </c>
      <c r="BE17" s="997">
        <f>(IF('Water Report'!$S$25&gt;0,'Water Report'!$D$25,0))</f>
        <v>0</v>
      </c>
      <c r="BF17" s="997">
        <f>(IF('Water Report'!$S$27&gt;0,'Water Report'!$D$27,0))</f>
        <v>0</v>
      </c>
      <c r="BG17" s="923">
        <f>(IF('Section Load'!AN20&gt;0,'Section Load'!AN20,0))</f>
        <v>950</v>
      </c>
      <c r="BH17" s="923">
        <f>(IF('Section Load'!AO20&gt;0,'Section Load'!AO20,0))</f>
        <v>0</v>
      </c>
      <c r="BI17" s="923">
        <f>(IF('Section Load'!AP20&gt;0,'Section Load'!AP20,0))</f>
        <v>0</v>
      </c>
      <c r="BJ17" s="923">
        <f>(IF('Section Load'!AQ20&gt;0,'Section Load'!AQ20,0))</f>
        <v>0</v>
      </c>
      <c r="BK17" s="923">
        <f>(IF('Section Load'!AR20&gt;0,'Section Load'!AR20,0))</f>
        <v>0</v>
      </c>
      <c r="BL17" s="923">
        <f>(IF('Section Load'!AS20&gt;0,'Section Load'!AS20,0))</f>
        <v>0</v>
      </c>
      <c r="BM17" s="923">
        <f>(IF('Section Load'!AT20&gt;0,'Section Load'!AT20,0))</f>
        <v>12891.359999999991</v>
      </c>
    </row>
    <row r="18" spans="1:65">
      <c r="A18" s="905" t="s">
        <v>290</v>
      </c>
      <c r="B18" s="906">
        <f t="shared" si="0"/>
        <v>17</v>
      </c>
      <c r="C18" s="906">
        <v>8</v>
      </c>
      <c r="D18" s="906">
        <v>2021</v>
      </c>
      <c r="E18" s="921">
        <f>(IF('Section Load'!F21&gt;0,'Section Load'!F21,0))</f>
        <v>3270.4200000000419</v>
      </c>
      <c r="F18" s="921">
        <f>(IF('Section Load'!G21&gt;0,'Section Load'!G21,0))</f>
        <v>1656.5500000000175</v>
      </c>
      <c r="G18" s="921">
        <f>(IF('Section Load'!H21&gt;0,'Section Load'!H21,0))</f>
        <v>1759.9199999999837</v>
      </c>
      <c r="H18" s="921">
        <f>(IF('Section Load'!I21&gt;0,'Section Load'!I21,0))</f>
        <v>3718.9299999999348</v>
      </c>
      <c r="I18" s="921">
        <f>(IF('Section Load'!J21&gt;0,'Section Load'!J21,0))</f>
        <v>8133.399999999936</v>
      </c>
      <c r="J18" s="921">
        <f>(IF('Section Load'!K21&gt;0,'Section Load'!K21,0))</f>
        <v>3097.3999999999069</v>
      </c>
      <c r="K18" s="921">
        <f>(IF('Section Load'!L21&gt;0,'Section Load'!L21,0))</f>
        <v>1300.4399999999441</v>
      </c>
      <c r="L18" s="921">
        <f>(IF('Section Load'!M21&gt;0,'Section Load'!M21,0))</f>
        <v>1131.8199999999997</v>
      </c>
      <c r="M18" s="921">
        <f>(IF('Section Load'!N21&gt;0,'Section Load'!N21,0))</f>
        <v>15</v>
      </c>
      <c r="N18" s="921">
        <f>(IF('Section Load'!O21&gt;0,'Section Load'!O21,0))</f>
        <v>1</v>
      </c>
      <c r="O18" s="921">
        <f>(IF('Section Load'!P21&gt;0,'Section Load'!P21,0))</f>
        <v>1</v>
      </c>
      <c r="P18" s="921">
        <f>(IF('Section Load'!Q21&gt;0,'Section Load'!Q21,0))</f>
        <v>176.70999999999913</v>
      </c>
      <c r="Q18" s="921">
        <f>(IF('Section Load'!R21&gt;0,'Section Load'!R21,0))</f>
        <v>65.119999999998981</v>
      </c>
      <c r="R18" s="921">
        <f>(IF('Section Load'!S21&gt;0,'Section Load'!S21,0))</f>
        <v>65</v>
      </c>
      <c r="S18" s="921">
        <f>(IF('Section Load'!T21&gt;0,'Section Load'!T21,0))</f>
        <v>100</v>
      </c>
      <c r="T18" s="921">
        <f>(IF('Section Load'!U21&gt;0,'Section Load'!U21,0))</f>
        <v>199</v>
      </c>
      <c r="U18" s="921">
        <f>(IF('Section Load'!V21&gt;0,'Section Load'!V21,0))</f>
        <v>476.55999999993946</v>
      </c>
      <c r="V18" s="921">
        <f>(IF('Section Load'!W21&gt;0,'Section Load'!W21,0))</f>
        <v>231.20000000006985</v>
      </c>
      <c r="W18" s="921">
        <f>(IF('Section Load'!X21&gt;0,'Section Load'!X21,0))</f>
        <v>27.369999999995343</v>
      </c>
      <c r="X18" s="921">
        <f>(IF('Section Load'!Y21&gt;0,'Section Load'!Y21,0))</f>
        <v>192.36999999999534</v>
      </c>
      <c r="Y18" s="921">
        <f>(IF('Section Load'!Z21&gt;0,'Section Load'!Z21,0))</f>
        <v>276</v>
      </c>
      <c r="Z18" s="921">
        <f>(IF('Section Load'!AA21&gt;0,'Section Load'!AA21,0))</f>
        <v>17.960000000020955</v>
      </c>
      <c r="AA18" s="921">
        <f>(IF('Section Load'!AB21&gt;0,'Section Load'!AB21,0))</f>
        <v>19.600000000005821</v>
      </c>
      <c r="AB18" s="921">
        <f>(IF('Section Load'!AC21&gt;0,'Section Load'!AC21,0))</f>
        <v>121.05999999999767</v>
      </c>
      <c r="AC18" s="921">
        <f>(IF('Section Load'!AD21&gt;0,'Section Load'!AD21,0))</f>
        <v>21.70000000000573</v>
      </c>
      <c r="AD18" s="921">
        <f>(IF('Section Load'!AE21&gt;0,'Section Load'!AE21,0))</f>
        <v>0</v>
      </c>
      <c r="AE18" s="921">
        <f>(IF('Section Load'!AF21&gt;0,'Section Load'!AF21,0))</f>
        <v>0</v>
      </c>
      <c r="AF18" s="921">
        <f>(IF('Section Load'!AG21&gt;0,'Section Load'!AG21,0))</f>
        <v>365.26000000000931</v>
      </c>
      <c r="AG18" s="921">
        <f>(IF('Section Load'!AH21&gt;0,'Section Load'!AH21,0))</f>
        <v>386.53999999997905</v>
      </c>
      <c r="AH18" s="921">
        <f>(IF('Section Load'!AI21&gt;0,'Section Load'!AI21,0))</f>
        <v>390.9600000000064</v>
      </c>
      <c r="AI18" s="921">
        <f>(IF('Section Load'!AJ21&gt;0,'Section Load'!AJ21,0))</f>
        <v>477.85999999998603</v>
      </c>
      <c r="AJ18" s="921">
        <f>(IF('Section Load'!AK21&gt;0,'Section Load'!AK21,0))</f>
        <v>0</v>
      </c>
      <c r="AK18" s="921">
        <f>(IF('Section Load'!AL21&gt;0,'Section Load'!AL21,0))</f>
        <v>301.97000000000116</v>
      </c>
      <c r="AL18" s="921">
        <f>(IF('Section Load'!AM21&gt;0,'Section Load'!AM21,0))</f>
        <v>678</v>
      </c>
      <c r="AM18" s="922">
        <f>(IF('Water Report'!$T$7&gt;0,'Water Report'!$T$7,0))</f>
        <v>101</v>
      </c>
      <c r="AN18" s="922">
        <f>(IF('Water Report'!$T$8&gt;0,'Water Report'!$T$8,0))</f>
        <v>190</v>
      </c>
      <c r="AO18" s="922">
        <f>(IF('Water Report'!$T$9&gt;0,'Water Report'!$T$9,0))</f>
        <v>89</v>
      </c>
      <c r="AP18" s="922">
        <f>(IF('Water Report'!$T$10&gt;0,'Water Report'!$T$10,0))</f>
        <v>30</v>
      </c>
      <c r="AQ18" s="922">
        <f>(IF('Water Report'!$T$11&gt;0,'Water Report'!$T$11,0))</f>
        <v>30</v>
      </c>
      <c r="AR18" s="922">
        <f>(IF('Water Report'!$T$13&gt;0,'Water Report'!$T$13,0))</f>
        <v>23</v>
      </c>
      <c r="AS18" s="922">
        <f>(IF('Water Report'!$T$14&gt;0,'Water Report'!$T$14,0))</f>
        <v>16</v>
      </c>
      <c r="AT18" s="922">
        <f>(IF('Water Report'!$T$15&gt;0,'Water Report'!$T$15,0))</f>
        <v>8</v>
      </c>
      <c r="AU18" s="922">
        <f>(IF('Water Report'!$T$17&gt;0,'Water Report'!$T$17,0))</f>
        <v>0</v>
      </c>
      <c r="AV18" s="922">
        <f>(IF('Water Report'!$T$18&gt;0,'Water Report'!$T$18,0))</f>
        <v>11</v>
      </c>
      <c r="AW18" s="922">
        <f>(IF('Water Report'!$T$19&gt;0,'Water Report'!$T$19,0))</f>
        <v>4</v>
      </c>
      <c r="AX18" s="997">
        <f>(IF('Water Report'!$T$21&gt;0,'Water Report'!$T$21,0))</f>
        <v>66</v>
      </c>
      <c r="AY18" s="997">
        <f>(IF('Water Report'!$T$22&gt;0,'Water Report'!$T$22,0))</f>
        <v>26</v>
      </c>
      <c r="AZ18" s="997">
        <f>(IF('Water Report'!$T$23&gt;0,'Water Report'!$T$23,0))</f>
        <v>0</v>
      </c>
      <c r="BA18" s="997">
        <f>(IF('Water Report'!$T$14&gt;0,'Water Report'!$T$14,0))</f>
        <v>16</v>
      </c>
      <c r="BB18" s="997">
        <f>(IF('Water Report'!$T$15&gt;0,'Water Report'!$T$15,0))</f>
        <v>8</v>
      </c>
      <c r="BC18" s="997">
        <f>(IF('Water Report'!$T$13&gt;0,'Water Report'!$T$13,0))</f>
        <v>23</v>
      </c>
      <c r="BD18" s="997">
        <f>(IF('Water Report'!$T$24&gt;0,'Water Report'!$T$24,0))</f>
        <v>200</v>
      </c>
      <c r="BE18" s="997">
        <f>(IF('Water Report'!$T$25&gt;0,'Water Report'!$T$25,0))</f>
        <v>173</v>
      </c>
      <c r="BF18" s="997">
        <f>(IF('Water Report'!$T$27&gt;0,'Water Report'!$T$27,0))</f>
        <v>89</v>
      </c>
      <c r="BG18" s="923">
        <f>(IF('Section Load'!AN21&gt;0,'Section Load'!AN21,0))</f>
        <v>950</v>
      </c>
      <c r="BH18" s="923">
        <f>(IF('Section Load'!AO21&gt;0,'Section Load'!AO21,0))</f>
        <v>289.02000000001863</v>
      </c>
      <c r="BI18" s="923">
        <f>(IF('Section Load'!AP21&gt;0,'Section Load'!AP21,0))</f>
        <v>0</v>
      </c>
      <c r="BJ18" s="923">
        <f>(IF('Section Load'!AQ21&gt;0,'Section Load'!AQ21,0))</f>
        <v>114.20000000001164</v>
      </c>
      <c r="BK18" s="923">
        <f>(IF('Section Load'!AR21&gt;0,'Section Load'!AR21,0))</f>
        <v>41</v>
      </c>
      <c r="BL18" s="923">
        <f>(IF('Section Load'!AS21&gt;0,'Section Load'!AS21,0))</f>
        <v>6.7000000000007276</v>
      </c>
      <c r="BM18" s="923">
        <f>(IF('Section Load'!AT21&gt;0,'Section Load'!AT21,0))</f>
        <v>499.079999999969</v>
      </c>
    </row>
    <row r="19" spans="1:65">
      <c r="A19" s="905" t="s">
        <v>290</v>
      </c>
      <c r="B19" s="906">
        <f t="shared" si="0"/>
        <v>18</v>
      </c>
      <c r="C19" s="906">
        <v>8</v>
      </c>
      <c r="D19" s="906">
        <v>2021</v>
      </c>
      <c r="E19" s="921">
        <f>(IF('Section Load'!F22&gt;0,'Section Load'!F22,0))</f>
        <v>3484.8079999999609</v>
      </c>
      <c r="F19" s="921">
        <f>(IF('Section Load'!G22&gt;0,'Section Load'!G22,0))</f>
        <v>1846.5199999999895</v>
      </c>
      <c r="G19" s="921">
        <f>(IF('Section Load'!H22&gt;0,'Section Load'!H22,0))</f>
        <v>1840.9800000000105</v>
      </c>
      <c r="H19" s="921">
        <f>(IF('Section Load'!I22&gt;0,'Section Load'!I22,0))</f>
        <v>3750.8400000000256</v>
      </c>
      <c r="I19" s="921">
        <f>(IF('Section Load'!J22&gt;0,'Section Load'!J22,0))</f>
        <v>8129.570000000007</v>
      </c>
      <c r="J19" s="921">
        <f>(IF('Section Load'!K22&gt;0,'Section Load'!K22,0))</f>
        <v>3145.2000000001863</v>
      </c>
      <c r="K19" s="921">
        <f>(IF('Section Load'!L22&gt;0,'Section Load'!L22,0))</f>
        <v>1712.1999999999534</v>
      </c>
      <c r="L19" s="921">
        <f>(IF('Section Load'!M22&gt;0,'Section Load'!M22,0))</f>
        <v>1191.6299999999974</v>
      </c>
      <c r="M19" s="921">
        <f>(IF('Section Load'!N22&gt;0,'Section Load'!N22,0))</f>
        <v>15</v>
      </c>
      <c r="N19" s="921">
        <f>(IF('Section Load'!O22&gt;0,'Section Load'!O22,0))</f>
        <v>1</v>
      </c>
      <c r="O19" s="921">
        <f>(IF('Section Load'!P22&gt;0,'Section Load'!P22,0))</f>
        <v>0.5</v>
      </c>
      <c r="P19" s="921">
        <f>(IF('Section Load'!Q22&gt;0,'Section Load'!Q22,0))</f>
        <v>172.45000000000073</v>
      </c>
      <c r="Q19" s="921">
        <f>(IF('Section Load'!R22&gt;0,'Section Load'!R22,0))</f>
        <v>63.150000000001455</v>
      </c>
      <c r="R19" s="921">
        <f>(IF('Section Load'!S22&gt;0,'Section Load'!S22,0))</f>
        <v>86</v>
      </c>
      <c r="S19" s="921">
        <f>(IF('Section Load'!T22&gt;0,'Section Load'!T22,0))</f>
        <v>104</v>
      </c>
      <c r="T19" s="921">
        <f>(IF('Section Load'!U22&gt;0,'Section Load'!U22,0))</f>
        <v>157</v>
      </c>
      <c r="U19" s="921">
        <f>(IF('Section Load'!V22&gt;0,'Section Load'!V22,0))</f>
        <v>503.68000000005122</v>
      </c>
      <c r="V19" s="921">
        <f>(IF('Section Load'!W22&gt;0,'Section Load'!W22,0))</f>
        <v>226.23999999999069</v>
      </c>
      <c r="W19" s="921">
        <f>(IF('Section Load'!X22&gt;0,'Section Load'!X22,0))</f>
        <v>22.600000000005821</v>
      </c>
      <c r="X19" s="921">
        <f>(IF('Section Load'!Y22&gt;0,'Section Load'!Y22,0))</f>
        <v>191.56999999999971</v>
      </c>
      <c r="Y19" s="921">
        <f>(IF('Section Load'!Z22&gt;0,'Section Load'!Z22,0))</f>
        <v>229</v>
      </c>
      <c r="Z19" s="921">
        <f>(IF('Section Load'!AA22&gt;0,'Section Load'!AA22,0))</f>
        <v>8.1599999999743886</v>
      </c>
      <c r="AA19" s="921">
        <f>(IF('Section Load'!AB22&gt;0,'Section Load'!AB22,0))</f>
        <v>9.6000000000058208</v>
      </c>
      <c r="AB19" s="921">
        <f>(IF('Section Load'!AC22&gt;0,'Section Load'!AC22,0))</f>
        <v>75.279999999998836</v>
      </c>
      <c r="AC19" s="921">
        <f>(IF('Section Load'!AD22&gt;0,'Section Load'!AD22,0))</f>
        <v>10.600000000005821</v>
      </c>
      <c r="AD19" s="921">
        <f>(IF('Section Load'!AE22&gt;0,'Section Load'!AE22,0))</f>
        <v>0.18000000000029104</v>
      </c>
      <c r="AE19" s="921">
        <f>(IF('Section Load'!AF22&gt;0,'Section Load'!AF22,0))</f>
        <v>0</v>
      </c>
      <c r="AF19" s="921">
        <f>(IF('Section Load'!AG22&gt;0,'Section Load'!AG22,0))</f>
        <v>372.07999999998719</v>
      </c>
      <c r="AG19" s="921">
        <f>(IF('Section Load'!AH22&gt;0,'Section Load'!AH22,0))</f>
        <v>408.42000000001281</v>
      </c>
      <c r="AH19" s="921">
        <f>(IF('Section Load'!AI22&gt;0,'Section Load'!AI22,0))</f>
        <v>427.29999999998836</v>
      </c>
      <c r="AI19" s="921">
        <f>(IF('Section Load'!AJ22&gt;0,'Section Load'!AJ22,0))</f>
        <v>472.20000000001164</v>
      </c>
      <c r="AJ19" s="921">
        <f>(IF('Section Load'!AK22&gt;0,'Section Load'!AK22,0))</f>
        <v>0</v>
      </c>
      <c r="AK19" s="921">
        <f>(IF('Section Load'!AL22&gt;0,'Section Load'!AL22,0))</f>
        <v>307.29000000000815</v>
      </c>
      <c r="AL19" s="921">
        <f>(IF('Section Load'!AM22&gt;0,'Section Load'!AM22,0))</f>
        <v>823</v>
      </c>
      <c r="AM19" s="922">
        <f>(IF('Water Report'!$U$7&gt;0,'Water Report'!$U$7,0))</f>
        <v>163</v>
      </c>
      <c r="AN19" s="922">
        <f>(IF('Water Report'!$U$8&gt;0,'Water Report'!$U$8,0))</f>
        <v>160</v>
      </c>
      <c r="AO19" s="922">
        <f>(IF('Water Report'!$U$9&gt;0,'Water Report'!$U$9,0))</f>
        <v>90</v>
      </c>
      <c r="AP19" s="922">
        <f>(IF('Water Report'!$U$10&gt;0,'Water Report'!$U$10,0))</f>
        <v>30</v>
      </c>
      <c r="AQ19" s="922">
        <f>(IF('Water Report'!$U$11&gt;0,'Water Report'!$U$11,0))</f>
        <v>29</v>
      </c>
      <c r="AR19" s="922">
        <f>(IF('Water Report'!$U$13&gt;0,'Water Report'!$U$13,0))</f>
        <v>27</v>
      </c>
      <c r="AS19" s="922">
        <f>(IF('Water Report'!$U$14&gt;0,'Water Report'!$U$14,0))</f>
        <v>19</v>
      </c>
      <c r="AT19" s="922">
        <f>(IF('Water Report'!$U$15&gt;0,'Water Report'!$U$15,0))</f>
        <v>9</v>
      </c>
      <c r="AU19" s="922">
        <f>(IF('Water Report'!$U$17&gt;0,'Water Report'!$U$17,0))</f>
        <v>0</v>
      </c>
      <c r="AV19" s="922">
        <f>(IF('Water Report'!$U$18&gt;0,'Water Report'!$U$18,0))</f>
        <v>10</v>
      </c>
      <c r="AW19" s="922">
        <f>(IF('Water Report'!$U$19&gt;0,'Water Report'!$U$19,0))</f>
        <v>5</v>
      </c>
      <c r="AX19" s="997">
        <f>(IF('Water Report'!$U$21&gt;0,'Water Report'!$U$21,0))</f>
        <v>65</v>
      </c>
      <c r="AY19" s="997">
        <f>(IF('Water Report'!$U$22&gt;0,'Water Report'!$U$22,0))</f>
        <v>12</v>
      </c>
      <c r="AZ19" s="997">
        <f>(IF('Water Report'!$U$23&gt;0,'Water Report'!$U$23,0))</f>
        <v>0</v>
      </c>
      <c r="BA19" s="997">
        <f>(IF('Water Report'!$U$14&gt;0,'Water Report'!$U$14,0))</f>
        <v>19</v>
      </c>
      <c r="BB19" s="997">
        <f>(IF('Water Report'!$U$15&gt;0,'Water Report'!$U$15,0))</f>
        <v>9</v>
      </c>
      <c r="BC19" s="997">
        <f>(IF('Water Report'!$U$13&gt;0,'Water Report'!$U$13,0))</f>
        <v>27</v>
      </c>
      <c r="BD19" s="997">
        <f>(IF('Water Report'!$U$24&gt;0,'Water Report'!$U$24,0))</f>
        <v>230</v>
      </c>
      <c r="BE19" s="997">
        <f>(IF('Water Report'!$U$25&gt;0,'Water Report'!$U$25,0))</f>
        <v>177</v>
      </c>
      <c r="BF19" s="997">
        <f>(IF('Water Report'!$U$27&gt;0,'Water Report'!$U$27,0))</f>
        <v>92</v>
      </c>
      <c r="BG19" s="923">
        <f>(IF('Section Load'!AN22&gt;0,'Section Load'!AN22,0))</f>
        <v>950</v>
      </c>
      <c r="BH19" s="923">
        <f>(IF('Section Load'!AO22&gt;0,'Section Load'!AO22,0))</f>
        <v>295.73999999999069</v>
      </c>
      <c r="BI19" s="923">
        <f>(IF('Section Load'!AP22&gt;0,'Section Load'!AP22,0))</f>
        <v>0</v>
      </c>
      <c r="BJ19" s="923">
        <f>(IF('Section Load'!AQ22&gt;0,'Section Load'!AQ22,0))</f>
        <v>107.79999999998836</v>
      </c>
      <c r="BK19" s="923">
        <f>(IF('Section Load'!AR22&gt;0,'Section Load'!AR22,0))</f>
        <v>45.100000000002183</v>
      </c>
      <c r="BL19" s="923">
        <f>(IF('Section Load'!AS22&gt;0,'Section Load'!AS22,0))</f>
        <v>4.8999999999996362</v>
      </c>
      <c r="BM19" s="923">
        <f>(IF('Section Load'!AT22&gt;0,'Section Load'!AT22,0))</f>
        <v>496.46000000001914</v>
      </c>
    </row>
    <row r="20" spans="1:65">
      <c r="A20" s="905" t="s">
        <v>290</v>
      </c>
      <c r="B20" s="906">
        <f t="shared" si="0"/>
        <v>19</v>
      </c>
      <c r="C20" s="906">
        <v>8</v>
      </c>
      <c r="D20" s="906">
        <v>2021</v>
      </c>
      <c r="E20" s="921">
        <f>(IF('Section Load'!F23&gt;0,'Section Load'!F23,0))</f>
        <v>3252.3019999999669</v>
      </c>
      <c r="F20" s="921">
        <f>(IF('Section Load'!G23&gt;0,'Section Load'!G23,0))</f>
        <v>1591.1600000000035</v>
      </c>
      <c r="G20" s="921">
        <f>(IF('Section Load'!H23&gt;0,'Section Load'!H23,0))</f>
        <v>1606.4600000000501</v>
      </c>
      <c r="H20" s="921">
        <f>(IF('Section Load'!I23&gt;0,'Section Load'!I23,0))</f>
        <v>3770.3300000000163</v>
      </c>
      <c r="I20" s="921">
        <f>(IF('Section Load'!J23&gt;0,'Section Load'!J23,0))</f>
        <v>6446.2000000000407</v>
      </c>
      <c r="J20" s="921">
        <f>(IF('Section Load'!K23&gt;0,'Section Load'!K23,0))</f>
        <v>2549.5699999999069</v>
      </c>
      <c r="K20" s="921">
        <f>(IF('Section Load'!L23&gt;0,'Section Load'!L23,0))</f>
        <v>1093.9300000000512</v>
      </c>
      <c r="L20" s="921">
        <f>(IF('Section Load'!M23&gt;0,'Section Load'!M23,0))</f>
        <v>815.72000000000116</v>
      </c>
      <c r="M20" s="921">
        <f>(IF('Section Load'!N23&gt;0,'Section Load'!N23,0))</f>
        <v>14</v>
      </c>
      <c r="N20" s="921">
        <f>(IF('Section Load'!O23&gt;0,'Section Load'!O23,0))</f>
        <v>2</v>
      </c>
      <c r="O20" s="921">
        <f>(IF('Section Load'!P23&gt;0,'Section Load'!P23,0))</f>
        <v>0</v>
      </c>
      <c r="P20" s="921">
        <f>(IF('Section Load'!Q23&gt;0,'Section Load'!Q23,0))</f>
        <v>148.25</v>
      </c>
      <c r="Q20" s="921">
        <f>(IF('Section Load'!R23&gt;0,'Section Load'!R23,0))</f>
        <v>60.719999999999345</v>
      </c>
      <c r="R20" s="921">
        <f>(IF('Section Load'!S23&gt;0,'Section Load'!S23,0))</f>
        <v>68</v>
      </c>
      <c r="S20" s="921">
        <f>(IF('Section Load'!T23&gt;0,'Section Load'!T23,0))</f>
        <v>82</v>
      </c>
      <c r="T20" s="921">
        <f>(IF('Section Load'!U23&gt;0,'Section Load'!U23,0))</f>
        <v>155</v>
      </c>
      <c r="U20" s="921">
        <f>(IF('Section Load'!V23&gt;0,'Section Load'!V23,0))</f>
        <v>401</v>
      </c>
      <c r="V20" s="921">
        <f>(IF('Section Load'!W23&gt;0,'Section Load'!W23,0))</f>
        <v>219.47999999998137</v>
      </c>
      <c r="W20" s="921">
        <f>(IF('Section Load'!X23&gt;0,'Section Load'!X23,0))</f>
        <v>24.149999999994179</v>
      </c>
      <c r="X20" s="921">
        <f>(IF('Section Load'!Y23&gt;0,'Section Load'!Y23,0))</f>
        <v>217.87000000000262</v>
      </c>
      <c r="Y20" s="921">
        <f>(IF('Section Load'!Z23&gt;0,'Section Load'!Z23,0))</f>
        <v>272</v>
      </c>
      <c r="Z20" s="921">
        <f>(IF('Section Load'!AA23&gt;0,'Section Load'!AA23,0))</f>
        <v>17</v>
      </c>
      <c r="AA20" s="921">
        <f>(IF('Section Load'!AB23&gt;0,'Section Load'!AB23,0))</f>
        <v>30.399999999994179</v>
      </c>
      <c r="AB20" s="921">
        <f>(IF('Section Load'!AC23&gt;0,'Section Load'!AC23,0))</f>
        <v>126</v>
      </c>
      <c r="AC20" s="921">
        <f>(IF('Section Load'!AD23&gt;0,'Section Load'!AD23,0))</f>
        <v>33.399999999994179</v>
      </c>
      <c r="AD20" s="921">
        <f>(IF('Section Load'!AE23&gt;0,'Section Load'!AE23,0))</f>
        <v>2.0000000000436557E-2</v>
      </c>
      <c r="AE20" s="921">
        <f>(IF('Section Load'!AF23&gt;0,'Section Load'!AF23,0))</f>
        <v>0</v>
      </c>
      <c r="AF20" s="921">
        <f>(IF('Section Load'!AG23&gt;0,'Section Load'!AG23,0))</f>
        <v>374.85000000000582</v>
      </c>
      <c r="AG20" s="921">
        <f>(IF('Section Load'!AH23&gt;0,'Section Load'!AH23,0))</f>
        <v>395.97000000000116</v>
      </c>
      <c r="AH20" s="921">
        <f>(IF('Section Load'!AI23&gt;0,'Section Load'!AI23,0))</f>
        <v>429.10000000000582</v>
      </c>
      <c r="AI20" s="921">
        <f>(IF('Section Load'!AJ23&gt;0,'Section Load'!AJ23,0))</f>
        <v>481.89000000001397</v>
      </c>
      <c r="AJ20" s="921">
        <f>(IF('Section Load'!AK23&gt;0,'Section Load'!AK23,0))</f>
        <v>0</v>
      </c>
      <c r="AK20" s="921">
        <f>(IF('Section Load'!AL23&gt;0,'Section Load'!AL23,0))</f>
        <v>305.61999999999534</v>
      </c>
      <c r="AL20" s="921">
        <f>(IF('Section Load'!AM23&gt;0,'Section Load'!AM23,0))</f>
        <v>776</v>
      </c>
      <c r="AM20" s="922">
        <f>(IF('Water Report'!$V$7&gt;0,'Water Report'!$V$7,0))</f>
        <v>100</v>
      </c>
      <c r="AN20" s="922">
        <f>(IF('Water Report'!$V$8&gt;0,'Water Report'!$V$8,0))</f>
        <v>154</v>
      </c>
      <c r="AO20" s="922">
        <f>(IF('Water Report'!$V$9&gt;0,'Water Report'!$V$9,0))</f>
        <v>76</v>
      </c>
      <c r="AP20" s="922">
        <f>(IF('Water Report'!$V$10&gt;0,'Water Report'!$V$10,0))</f>
        <v>18</v>
      </c>
      <c r="AQ20" s="922">
        <f>(IF('Water Report'!$V$11&gt;0,'Water Report'!$V$11,0))</f>
        <v>23</v>
      </c>
      <c r="AR20" s="922">
        <f>(IF('Water Report'!$V$13&gt;0,'Water Report'!$V$13,0))</f>
        <v>35</v>
      </c>
      <c r="AS20" s="922">
        <f>(IF('Water Report'!$V$14&gt;0,'Water Report'!$V$14,0))</f>
        <v>11</v>
      </c>
      <c r="AT20" s="922">
        <f>(IF('Water Report'!$V$15&gt;0,'Water Report'!$V$15,0))</f>
        <v>6</v>
      </c>
      <c r="AU20" s="922">
        <f>(IF('Water Report'!$V$17&gt;0,'Water Report'!$V$17,0))</f>
        <v>0</v>
      </c>
      <c r="AV20" s="922">
        <f>(IF('Water Report'!$V$18&gt;0,'Water Report'!$V$18,0))</f>
        <v>10</v>
      </c>
      <c r="AW20" s="922">
        <f>(IF('Water Report'!$V$19&gt;0,'Water Report'!$V$19,0))</f>
        <v>6</v>
      </c>
      <c r="AX20" s="997">
        <f>(IF('Water Report'!$V$21&gt;0,'Water Report'!$V$21,0))</f>
        <v>66</v>
      </c>
      <c r="AY20" s="997">
        <f>(IF('Water Report'!$V$22&gt;0,'Water Report'!$V$22,0))</f>
        <v>40</v>
      </c>
      <c r="AZ20" s="997">
        <f>(IF('Water Report'!$V$23&gt;0,'Water Report'!$V$23,0))</f>
        <v>0</v>
      </c>
      <c r="BA20" s="997">
        <f>(IF('Water Report'!$V$14&gt;0,'Water Report'!$V$14,0))</f>
        <v>11</v>
      </c>
      <c r="BB20" s="997">
        <f>(IF('Water Report'!$V$15&gt;0,'Water Report'!$V$15,0))</f>
        <v>6</v>
      </c>
      <c r="BC20" s="997">
        <f>(IF('Water Report'!$V$13&gt;0,'Water Report'!$V$13,0))</f>
        <v>35</v>
      </c>
      <c r="BD20" s="997">
        <f>(IF('Water Report'!$V$24&gt;0,'Water Report'!$V$24,0))</f>
        <v>260</v>
      </c>
      <c r="BE20" s="997">
        <f>(IF('Water Report'!$V$25&gt;0,'Water Report'!$V$25,0))</f>
        <v>134</v>
      </c>
      <c r="BF20" s="997">
        <f>(IF('Water Report'!$V$27&gt;0,'Water Report'!$V$27,0))</f>
        <v>101</v>
      </c>
      <c r="BG20" s="923">
        <f>(IF('Section Load'!AN23&gt;0,'Section Load'!AN23,0))</f>
        <v>950</v>
      </c>
      <c r="BH20" s="923">
        <f>(IF('Section Load'!AO23&gt;0,'Section Load'!AO23,0))</f>
        <v>267.72999999998137</v>
      </c>
      <c r="BI20" s="923">
        <f>(IF('Section Load'!AP23&gt;0,'Section Load'!AP23,0))</f>
        <v>0</v>
      </c>
      <c r="BJ20" s="923">
        <f>(IF('Section Load'!AQ23&gt;0,'Section Load'!AQ23,0))</f>
        <v>68.470000000001164</v>
      </c>
      <c r="BK20" s="923">
        <f>(IF('Section Load'!AR23&gt;0,'Section Load'!AR23,0))</f>
        <v>31.69999999999709</v>
      </c>
      <c r="BL20" s="923">
        <f>(IF('Section Load'!AS23&gt;0,'Section Load'!AS23,0))</f>
        <v>0</v>
      </c>
      <c r="BM20" s="923">
        <f>(IF('Section Load'!AT23&gt;0,'Section Load'!AT23,0))</f>
        <v>582.10000000002037</v>
      </c>
    </row>
    <row r="21" spans="1:65">
      <c r="A21" s="905" t="s">
        <v>290</v>
      </c>
      <c r="B21" s="906">
        <f t="shared" si="0"/>
        <v>20</v>
      </c>
      <c r="C21" s="906">
        <v>8</v>
      </c>
      <c r="D21" s="906">
        <v>2021</v>
      </c>
      <c r="E21" s="921">
        <f>(IF('Section Load'!F24&gt;0,'Section Load'!F24,0))</f>
        <v>2573.210000000021</v>
      </c>
      <c r="F21" s="921">
        <f>(IF('Section Load'!G24&gt;0,'Section Load'!G24,0))</f>
        <v>1586.9700000000012</v>
      </c>
      <c r="G21" s="921">
        <f>(IF('Section Load'!H24&gt;0,'Section Load'!H24,0))</f>
        <v>1448.929999999993</v>
      </c>
      <c r="H21" s="921">
        <f>(IF('Section Load'!I24&gt;0,'Section Load'!I24,0))</f>
        <v>3767.429999999993</v>
      </c>
      <c r="I21" s="921">
        <f>(IF('Section Load'!J24&gt;0,'Section Load'!J24,0))</f>
        <v>7204.5400000000081</v>
      </c>
      <c r="J21" s="921">
        <f>(IF('Section Load'!K24&gt;0,'Section Load'!K24,0))</f>
        <v>2710.6999999999534</v>
      </c>
      <c r="K21" s="921">
        <f>(IF('Section Load'!L24&gt;0,'Section Load'!L24,0))</f>
        <v>1063.75</v>
      </c>
      <c r="L21" s="921">
        <f>(IF('Section Load'!M24&gt;0,'Section Load'!M24,0))</f>
        <v>1166.5199999999968</v>
      </c>
      <c r="M21" s="921">
        <f>(IF('Section Load'!N24&gt;0,'Section Load'!N24,0))</f>
        <v>13</v>
      </c>
      <c r="N21" s="921">
        <f>(IF('Section Load'!O24&gt;0,'Section Load'!O24,0))</f>
        <v>2</v>
      </c>
      <c r="O21" s="921">
        <f>(IF('Section Load'!P24&gt;0,'Section Load'!P24,0))</f>
        <v>3.3000000000029104</v>
      </c>
      <c r="P21" s="921">
        <f>(IF('Section Load'!Q24&gt;0,'Section Load'!Q24,0))</f>
        <v>166.63000000000102</v>
      </c>
      <c r="Q21" s="921">
        <f>(IF('Section Load'!R24&gt;0,'Section Load'!R24,0))</f>
        <v>63.899999999999636</v>
      </c>
      <c r="R21" s="921">
        <f>(IF('Section Load'!S24&gt;0,'Section Load'!S24,0))</f>
        <v>57</v>
      </c>
      <c r="S21" s="921">
        <f>(IF('Section Load'!T24&gt;0,'Section Load'!T24,0))</f>
        <v>90</v>
      </c>
      <c r="T21" s="921">
        <f>(IF('Section Load'!U24&gt;0,'Section Load'!U24,0))</f>
        <v>150</v>
      </c>
      <c r="U21" s="921">
        <f>(IF('Section Load'!V24&gt;0,'Section Load'!V24,0))</f>
        <v>428.28000000002794</v>
      </c>
      <c r="V21" s="921">
        <f>(IF('Section Load'!W24&gt;0,'Section Load'!W24,0))</f>
        <v>238.04000000003725</v>
      </c>
      <c r="W21" s="921">
        <f>(IF('Section Load'!X24&gt;0,'Section Load'!X24,0))</f>
        <v>13.070000000006985</v>
      </c>
      <c r="X21" s="921">
        <f>(IF('Section Load'!Y24&gt;0,'Section Load'!Y24,0))</f>
        <v>7.7399999999979627</v>
      </c>
      <c r="Y21" s="921">
        <f>(IF('Section Load'!Z24&gt;0,'Section Load'!Z24,0))</f>
        <v>238</v>
      </c>
      <c r="Z21" s="921">
        <f>(IF('Section Load'!AA24&gt;0,'Section Load'!AA24,0))</f>
        <v>23.35999999998603</v>
      </c>
      <c r="AA21" s="921">
        <f>(IF('Section Load'!AB24&gt;0,'Section Load'!AB24,0))</f>
        <v>38</v>
      </c>
      <c r="AB21" s="921">
        <f>(IF('Section Load'!AC24&gt;0,'Section Load'!AC24,0))</f>
        <v>168.45999999999185</v>
      </c>
      <c r="AC21" s="921">
        <f>(IF('Section Load'!AD24&gt;0,'Section Load'!AD24,0))</f>
        <v>43</v>
      </c>
      <c r="AD21" s="921">
        <f>(IF('Section Load'!AE24&gt;0,'Section Load'!AE24,0))</f>
        <v>0</v>
      </c>
      <c r="AE21" s="921">
        <f>(IF('Section Load'!AF24&gt;0,'Section Load'!AF24,0))</f>
        <v>0</v>
      </c>
      <c r="AF21" s="921">
        <f>(IF('Section Load'!AG24&gt;0,'Section Load'!AG24,0))</f>
        <v>363.47000000000116</v>
      </c>
      <c r="AG21" s="921">
        <f>(IF('Section Load'!AH24&gt;0,'Section Load'!AH24,0))</f>
        <v>386.08999999999651</v>
      </c>
      <c r="AH21" s="921">
        <f>(IF('Section Load'!AI24&gt;0,'Section Load'!AI24,0))</f>
        <v>428.92999999999302</v>
      </c>
      <c r="AI21" s="921">
        <f>(IF('Section Load'!AJ24&gt;0,'Section Load'!AJ24,0))</f>
        <v>501.6699999999837</v>
      </c>
      <c r="AJ21" s="921">
        <f>(IF('Section Load'!AK24&gt;0,'Section Load'!AK24,0))</f>
        <v>0</v>
      </c>
      <c r="AK21" s="921">
        <f>(IF('Section Load'!AL24&gt;0,'Section Load'!AL24,0))</f>
        <v>295.63000000000466</v>
      </c>
      <c r="AL21" s="921">
        <f>(IF('Section Load'!AM24&gt;0,'Section Load'!AM24,0))</f>
        <v>727</v>
      </c>
      <c r="AM21" s="922">
        <f>(IF('Water Report'!$W$7&gt;0,'Water Report'!$W$7,0))</f>
        <v>35</v>
      </c>
      <c r="AN21" s="922">
        <f>(IF('Water Report'!$W$8&gt;0,'Water Report'!$W$8,0))</f>
        <v>151</v>
      </c>
      <c r="AO21" s="922">
        <f>(IF('Water Report'!$W$9&gt;0,'Water Report'!$W$9,0))</f>
        <v>51</v>
      </c>
      <c r="AP21" s="922">
        <f>(IF('Water Report'!$W$10&gt;0,'Water Report'!$W$10,0))</f>
        <v>15</v>
      </c>
      <c r="AQ21" s="922">
        <f>(IF('Water Report'!$W$11&gt;0,'Water Report'!$W$11,0))</f>
        <v>17</v>
      </c>
      <c r="AR21" s="922">
        <f>(IF('Water Report'!$W$13&gt;0,'Water Report'!$W$13,0))</f>
        <v>10</v>
      </c>
      <c r="AS21" s="922">
        <f>(IF('Water Report'!$W$14&gt;0,'Water Report'!$W$14,0))</f>
        <v>15</v>
      </c>
      <c r="AT21" s="922">
        <f>(IF('Water Report'!$W$15&gt;0,'Water Report'!$W$15,0))</f>
        <v>4</v>
      </c>
      <c r="AU21" s="922">
        <f>(IF('Water Report'!$W$17&gt;0,'Water Report'!$W$17,0))</f>
        <v>0</v>
      </c>
      <c r="AV21" s="922">
        <f>(IF('Water Report'!$W$18&gt;0,'Water Report'!$W$18,0))</f>
        <v>0</v>
      </c>
      <c r="AW21" s="922">
        <f>(IF('Water Report'!$W$19&gt;0,'Water Report'!$W$19,0))</f>
        <v>0</v>
      </c>
      <c r="AX21" s="997">
        <f>(IF('Water Report'!$W$21&gt;0,'Water Report'!$W$21,0))</f>
        <v>66</v>
      </c>
      <c r="AY21" s="997">
        <f>(IF('Water Report'!$W$22&gt;0,'Water Report'!$W$22,0))</f>
        <v>33</v>
      </c>
      <c r="AZ21" s="997">
        <f>(IF('Water Report'!$W$23&gt;0,'Water Report'!$W$23,0))</f>
        <v>0</v>
      </c>
      <c r="BA21" s="997">
        <f>(IF('Water Report'!$W$14&gt;0,'Water Report'!$W$14,0))</f>
        <v>15</v>
      </c>
      <c r="BB21" s="997">
        <f>(IF('Water Report'!$W$15&gt;0,'Water Report'!$W$15,0))</f>
        <v>4</v>
      </c>
      <c r="BC21" s="997">
        <f>(IF('Water Report'!$W$13&gt;0,'Water Report'!$W$13,0))</f>
        <v>10</v>
      </c>
      <c r="BD21" s="997">
        <f>(IF('Water Report'!$W$24&gt;0,'Water Report'!$W$24,0))</f>
        <v>140</v>
      </c>
      <c r="BE21" s="997">
        <f>(IF('Water Report'!$W$25&gt;0,'Water Report'!$W$25,0))</f>
        <v>102</v>
      </c>
      <c r="BF21" s="997">
        <f>(IF('Water Report'!$W$27&gt;0,'Water Report'!$W$27,0))</f>
        <v>76</v>
      </c>
      <c r="BG21" s="923">
        <f>(IF('Section Load'!AN24&gt;0,'Section Load'!AN24,0))</f>
        <v>950</v>
      </c>
      <c r="BH21" s="923">
        <f>(IF('Section Load'!AO24&gt;0,'Section Load'!AO24,0))</f>
        <v>260.44999999995343</v>
      </c>
      <c r="BI21" s="923">
        <f>(IF('Section Load'!AP24&gt;0,'Section Load'!AP24,0))</f>
        <v>0</v>
      </c>
      <c r="BJ21" s="923">
        <f>(IF('Section Load'!AQ24&gt;0,'Section Load'!AQ24,0))</f>
        <v>81.230000000010477</v>
      </c>
      <c r="BK21" s="923">
        <f>(IF('Section Load'!AR24&gt;0,'Section Load'!AR24,0))</f>
        <v>37</v>
      </c>
      <c r="BL21" s="923">
        <f>(IF('Section Load'!AS24&gt;0,'Section Load'!AS24,0))</f>
        <v>1.7000000000007276</v>
      </c>
      <c r="BM21" s="923">
        <f>(IF('Section Load'!AT24&gt;0,'Section Load'!AT24,0))</f>
        <v>569.62000000003536</v>
      </c>
    </row>
    <row r="22" spans="1:65">
      <c r="A22" s="905" t="s">
        <v>290</v>
      </c>
      <c r="B22" s="906">
        <f t="shared" si="0"/>
        <v>21</v>
      </c>
      <c r="C22" s="906">
        <v>8</v>
      </c>
      <c r="D22" s="906">
        <v>2021</v>
      </c>
      <c r="E22" s="921">
        <f>(IF('Section Load'!F25&gt;0,'Section Load'!F25,0))</f>
        <v>2837.539999999979</v>
      </c>
      <c r="F22" s="921">
        <f>(IF('Section Load'!G25&gt;0,'Section Load'!G25,0))</f>
        <v>1602.9200000000128</v>
      </c>
      <c r="G22" s="921">
        <f>(IF('Section Load'!H25&gt;0,'Section Load'!H25,0))</f>
        <v>1578.0499999999593</v>
      </c>
      <c r="H22" s="921">
        <f>(IF('Section Load'!I25&gt;0,'Section Load'!I25,0))</f>
        <v>3741.5200000000186</v>
      </c>
      <c r="I22" s="921">
        <f>(IF('Section Load'!J25&gt;0,'Section Load'!J25,0))</f>
        <v>6289.1099999999278</v>
      </c>
      <c r="J22" s="921">
        <f>(IF('Section Load'!K25&gt;0,'Section Load'!K25,0))</f>
        <v>2552.6000000000931</v>
      </c>
      <c r="K22" s="921">
        <f>(IF('Section Load'!L25&gt;0,'Section Load'!L25,0))</f>
        <v>1014.9200000000419</v>
      </c>
      <c r="L22" s="921">
        <f>(IF('Section Load'!M25&gt;0,'Section Load'!M25,0))</f>
        <v>759.40000000000146</v>
      </c>
      <c r="M22" s="921">
        <f>(IF('Section Load'!N25&gt;0,'Section Load'!N25,0))</f>
        <v>13</v>
      </c>
      <c r="N22" s="921">
        <f>(IF('Section Load'!O25&gt;0,'Section Load'!O25,0))</f>
        <v>1</v>
      </c>
      <c r="O22" s="921">
        <f>(IF('Section Load'!P25&gt;0,'Section Load'!P25,0))</f>
        <v>1.3000000000029104</v>
      </c>
      <c r="P22" s="921">
        <f>(IF('Section Load'!Q25&gt;0,'Section Load'!Q25,0))</f>
        <v>153.25</v>
      </c>
      <c r="Q22" s="921">
        <f>(IF('Section Load'!R25&gt;0,'Section Load'!R25,0))</f>
        <v>69.450000000000728</v>
      </c>
      <c r="R22" s="921">
        <f>(IF('Section Load'!S25&gt;0,'Section Load'!S25,0))</f>
        <v>93</v>
      </c>
      <c r="S22" s="921">
        <f>(IF('Section Load'!T25&gt;0,'Section Load'!T25,0))</f>
        <v>126</v>
      </c>
      <c r="T22" s="921">
        <f>(IF('Section Load'!U25&gt;0,'Section Load'!U25,0))</f>
        <v>155</v>
      </c>
      <c r="U22" s="921">
        <f>(IF('Section Load'!V25&gt;0,'Section Load'!V25,0))</f>
        <v>421.71999999997206</v>
      </c>
      <c r="V22" s="921">
        <f>(IF('Section Load'!W25&gt;0,'Section Load'!W25,0))</f>
        <v>184.95999999996275</v>
      </c>
      <c r="W22" s="921">
        <f>(IF('Section Load'!X25&gt;0,'Section Load'!X25,0))</f>
        <v>26.44999999999709</v>
      </c>
      <c r="X22" s="921">
        <f>(IF('Section Load'!Y25&gt;0,'Section Load'!Y25,0))</f>
        <v>222.88999999999942</v>
      </c>
      <c r="Y22" s="921">
        <f>(IF('Section Load'!Z25&gt;0,'Section Load'!Z25,0))</f>
        <v>206</v>
      </c>
      <c r="Z22" s="921">
        <f>(IF('Section Load'!AA25&gt;0,'Section Load'!AA25,0))</f>
        <v>22.160000000032596</v>
      </c>
      <c r="AA22" s="921">
        <f>(IF('Section Load'!AB25&gt;0,'Section Load'!AB25,0))</f>
        <v>34.80000000000291</v>
      </c>
      <c r="AB22" s="921">
        <f>(IF('Section Load'!AC25&gt;0,'Section Load'!AC25,0))</f>
        <v>103.36999999999534</v>
      </c>
      <c r="AC22" s="921">
        <f>(IF('Section Load'!AD25&gt;0,'Section Load'!AD25,0))</f>
        <v>42.80000000000291</v>
      </c>
      <c r="AD22" s="921">
        <f>(IF('Section Load'!AE25&gt;0,'Section Load'!AE25,0))</f>
        <v>0</v>
      </c>
      <c r="AE22" s="921">
        <f>(IF('Section Load'!AF25&gt;0,'Section Load'!AF25,0))</f>
        <v>0</v>
      </c>
      <c r="AF22" s="921">
        <f>(IF('Section Load'!AG25&gt;0,'Section Load'!AG25,0))</f>
        <v>348.01999999998952</v>
      </c>
      <c r="AG22" s="921">
        <f>(IF('Section Load'!AH25&gt;0,'Section Load'!AH25,0))</f>
        <v>382.5</v>
      </c>
      <c r="AH22" s="921">
        <f>(IF('Section Load'!AI25&gt;0,'Section Load'!AI25,0))</f>
        <v>407.82000000000698</v>
      </c>
      <c r="AI22" s="921">
        <f>(IF('Section Load'!AJ25&gt;0,'Section Load'!AJ25,0))</f>
        <v>501.44000000000233</v>
      </c>
      <c r="AJ22" s="921">
        <f>(IF('Section Load'!AK25&gt;0,'Section Load'!AK25,0))</f>
        <v>0</v>
      </c>
      <c r="AK22" s="921">
        <f>(IF('Section Load'!AL25&gt;0,'Section Load'!AL25,0))</f>
        <v>284.54999999998836</v>
      </c>
      <c r="AL22" s="921">
        <f>(IF('Section Load'!AM25&gt;0,'Section Load'!AM25,0))</f>
        <v>697</v>
      </c>
      <c r="AM22" s="922">
        <f>(IF('Water Report'!$X$7&gt;0,'Water Report'!$X$7,0))</f>
        <v>79</v>
      </c>
      <c r="AN22" s="922">
        <f>(IF('Water Report'!$X$8&gt;0,'Water Report'!$X$8,0))</f>
        <v>118</v>
      </c>
      <c r="AO22" s="922">
        <f>(IF('Water Report'!$X$9&gt;0,'Water Report'!$X$9,0))</f>
        <v>79</v>
      </c>
      <c r="AP22" s="922">
        <f>(IF('Water Report'!$X$10&gt;0,'Water Report'!$X$10,0))</f>
        <v>18</v>
      </c>
      <c r="AQ22" s="922">
        <f>(IF('Water Report'!$X$11&gt;0,'Water Report'!$X$11,0))</f>
        <v>23</v>
      </c>
      <c r="AR22" s="922">
        <f>(IF('Water Report'!$X$13&gt;0,'Water Report'!$X$13,0))</f>
        <v>18</v>
      </c>
      <c r="AS22" s="922">
        <f>(IF('Water Report'!$X$14&gt;0,'Water Report'!$X$14,0))</f>
        <v>19</v>
      </c>
      <c r="AT22" s="922">
        <f>(IF('Water Report'!$X$15&gt;0,'Water Report'!$X$15,0))</f>
        <v>11</v>
      </c>
      <c r="AU22" s="922">
        <f>(IF('Water Report'!$X$17&gt;0,'Water Report'!$X$17,0))</f>
        <v>0</v>
      </c>
      <c r="AV22" s="922">
        <f>(IF('Water Report'!$X$18&gt;0,'Water Report'!$X$18,0))</f>
        <v>12</v>
      </c>
      <c r="AW22" s="922">
        <f>(IF('Water Report'!$X$19&gt;0,'Water Report'!$X$19,0))</f>
        <v>6</v>
      </c>
      <c r="AX22" s="997">
        <f>(IF('Water Report'!$X$21&gt;0,'Water Report'!$X$21,0))</f>
        <v>66</v>
      </c>
      <c r="AY22" s="997">
        <f>(IF('Water Report'!$X$22&gt;0,'Water Report'!$X$22,0))</f>
        <v>4</v>
      </c>
      <c r="AZ22" s="997">
        <f>(IF('Water Report'!$X$23&gt;0,'Water Report'!$X$23,0))</f>
        <v>0</v>
      </c>
      <c r="BA22" s="997">
        <f>(IF('Water Report'!$X$14&gt;0,'Water Report'!$X$14,0))</f>
        <v>19</v>
      </c>
      <c r="BB22" s="997">
        <f>(IF('Water Report'!$X$15&gt;0,'Water Report'!$X$15,0))</f>
        <v>11</v>
      </c>
      <c r="BC22" s="997">
        <f>(IF('Water Report'!$X$13&gt;0,'Water Report'!$X$13,0))</f>
        <v>18</v>
      </c>
      <c r="BD22" s="997">
        <f>(IF('Water Report'!$X$24&gt;0,'Water Report'!$X$24,0))</f>
        <v>160</v>
      </c>
      <c r="BE22" s="997">
        <f>(IF('Water Report'!$X$25&gt;0,'Water Report'!$X$25,0))</f>
        <v>150</v>
      </c>
      <c r="BF22" s="997">
        <f>(IF('Water Report'!$X$27&gt;0,'Water Report'!$X$27,0))</f>
        <v>84</v>
      </c>
      <c r="BG22" s="923">
        <f>(IF('Section Load'!AN25&gt;0,'Section Load'!AN25,0))</f>
        <v>950</v>
      </c>
      <c r="BH22" s="923">
        <f>(IF('Section Load'!AO25&gt;0,'Section Load'!AO25,0))</f>
        <v>269.23000000009779</v>
      </c>
      <c r="BI22" s="923">
        <f>(IF('Section Load'!AP25&gt;0,'Section Load'!AP25,0))</f>
        <v>0</v>
      </c>
      <c r="BJ22" s="923">
        <f>(IF('Section Load'!AQ25&gt;0,'Section Load'!AQ25,0))</f>
        <v>85.069999999977881</v>
      </c>
      <c r="BK22" s="923">
        <f>(IF('Section Load'!AR25&gt;0,'Section Load'!AR25,0))</f>
        <v>39.599999999998545</v>
      </c>
      <c r="BL22" s="923">
        <f>(IF('Section Load'!AS25&gt;0,'Section Load'!AS25,0))</f>
        <v>1.2999999999992724</v>
      </c>
      <c r="BM22" s="923">
        <f>(IF('Section Load'!AT25&gt;0,'Section Load'!AT25,0))</f>
        <v>554.79999999992651</v>
      </c>
    </row>
    <row r="23" spans="1:65">
      <c r="A23" s="905" t="s">
        <v>290</v>
      </c>
      <c r="B23" s="906">
        <f t="shared" si="0"/>
        <v>22</v>
      </c>
      <c r="C23" s="906">
        <v>8</v>
      </c>
      <c r="D23" s="906">
        <v>2021</v>
      </c>
      <c r="E23" s="921">
        <f>(IF('Section Load'!F26&gt;0,'Section Load'!F26,0))</f>
        <v>2925.7600000000093</v>
      </c>
      <c r="F23" s="921">
        <f>(IF('Section Load'!G26&gt;0,'Section Load'!G26,0))</f>
        <v>1618.9799999999814</v>
      </c>
      <c r="G23" s="921">
        <f>(IF('Section Load'!H26&gt;0,'Section Load'!H26,0))</f>
        <v>1490.7999999999884</v>
      </c>
      <c r="H23" s="921">
        <f>(IF('Section Load'!I26&gt;0,'Section Load'!I26,0))</f>
        <v>3759.0800000000163</v>
      </c>
      <c r="I23" s="921">
        <f>(IF('Section Load'!J26&gt;0,'Section Load'!J26,0))</f>
        <v>6891.7000000000116</v>
      </c>
      <c r="J23" s="921">
        <f>(IF('Section Load'!K26&gt;0,'Section Load'!K26,0))</f>
        <v>2641.5999999998603</v>
      </c>
      <c r="K23" s="921">
        <f>(IF('Section Load'!L26&gt;0,'Section Load'!L26,0))</f>
        <v>1079.5199999999022</v>
      </c>
      <c r="L23" s="921">
        <f>(IF('Section Load'!M26&gt;0,'Section Load'!M26,0))</f>
        <v>653.86000000000058</v>
      </c>
      <c r="M23" s="921">
        <f>(IF('Section Load'!N26&gt;0,'Section Load'!N26,0))</f>
        <v>11</v>
      </c>
      <c r="N23" s="921">
        <f>(IF('Section Load'!O26&gt;0,'Section Load'!O26,0))</f>
        <v>1</v>
      </c>
      <c r="O23" s="921">
        <f>(IF('Section Load'!P26&gt;0,'Section Load'!P26,0))</f>
        <v>1.3999999999941792</v>
      </c>
      <c r="P23" s="921">
        <f>(IF('Section Load'!Q26&gt;0,'Section Load'!Q26,0))</f>
        <v>149.95000000000073</v>
      </c>
      <c r="Q23" s="921">
        <f>(IF('Section Load'!R26&gt;0,'Section Load'!R26,0))</f>
        <v>65.600000000000364</v>
      </c>
      <c r="R23" s="921">
        <f>(IF('Section Load'!S26&gt;0,'Section Load'!S26,0))</f>
        <v>65</v>
      </c>
      <c r="S23" s="921">
        <f>(IF('Section Load'!T26&gt;0,'Section Load'!T26,0))</f>
        <v>100</v>
      </c>
      <c r="T23" s="921">
        <f>(IF('Section Load'!U26&gt;0,'Section Load'!U26,0))</f>
        <v>145</v>
      </c>
      <c r="U23" s="921">
        <f>(IF('Section Load'!V26&gt;0,'Section Load'!V26,0))</f>
        <v>386</v>
      </c>
      <c r="V23" s="921">
        <f>(IF('Section Load'!W26&gt;0,'Section Load'!W26,0))</f>
        <v>186</v>
      </c>
      <c r="W23" s="921">
        <f>(IF('Section Load'!X26&gt;0,'Section Load'!X26,0))</f>
        <v>12.69999999999709</v>
      </c>
      <c r="X23" s="921">
        <f>(IF('Section Load'!Y26&gt;0,'Section Load'!Y26,0))</f>
        <v>189.5</v>
      </c>
      <c r="Y23" s="921">
        <f>(IF('Section Load'!Z26&gt;0,'Section Load'!Z26,0))</f>
        <v>188</v>
      </c>
      <c r="Z23" s="921">
        <f>(IF('Section Load'!AA26&gt;0,'Section Load'!AA26,0))</f>
        <v>22.479999999981374</v>
      </c>
      <c r="AA23" s="921">
        <f>(IF('Section Load'!AB26&gt;0,'Section Load'!AB26,0))</f>
        <v>30.099999999991269</v>
      </c>
      <c r="AB23" s="921">
        <f>(IF('Section Load'!AC26&gt;0,'Section Load'!AC26,0))</f>
        <v>129.88000000000466</v>
      </c>
      <c r="AC23" s="921">
        <f>(IF('Section Load'!AD26&gt;0,'Section Load'!AD26,0))</f>
        <v>42.399999999991451</v>
      </c>
      <c r="AD23" s="921">
        <f>(IF('Section Load'!AE26&gt;0,'Section Load'!AE26,0))</f>
        <v>0</v>
      </c>
      <c r="AE23" s="921">
        <f>(IF('Section Load'!AF26&gt;0,'Section Load'!AF26,0))</f>
        <v>0</v>
      </c>
      <c r="AF23" s="921">
        <f>(IF('Section Load'!AG26&gt;0,'Section Load'!AG26,0))</f>
        <v>374.86000000001513</v>
      </c>
      <c r="AG23" s="921">
        <f>(IF('Section Load'!AH26&gt;0,'Section Load'!AH26,0))</f>
        <v>402</v>
      </c>
      <c r="AH23" s="921">
        <f>(IF('Section Load'!AI26&gt;0,'Section Load'!AI26,0))</f>
        <v>392.5399999999936</v>
      </c>
      <c r="AI23" s="921">
        <f>(IF('Section Load'!AJ26&gt;0,'Section Load'!AJ26,0))</f>
        <v>489.61999999999534</v>
      </c>
      <c r="AJ23" s="921">
        <f>(IF('Section Load'!AK26&gt;0,'Section Load'!AK26,0))</f>
        <v>0</v>
      </c>
      <c r="AK23" s="921">
        <f>(IF('Section Load'!AL26&gt;0,'Section Load'!AL26,0))</f>
        <v>300.81000000001222</v>
      </c>
      <c r="AL23" s="921">
        <f>(IF('Section Load'!AM26&gt;0,'Section Load'!AM26,0))</f>
        <v>700</v>
      </c>
      <c r="AM23" s="922">
        <f>(IF('Water Report'!$Y$7&gt;0,'Water Report'!$Y$7,0))</f>
        <v>81</v>
      </c>
      <c r="AN23" s="922">
        <f>(IF('Water Report'!$Y$8&gt;0,'Water Report'!$Y$8,0))</f>
        <v>30</v>
      </c>
      <c r="AO23" s="922">
        <f>(IF('Water Report'!$Y$9&gt;0,'Water Report'!$Y$9,0))</f>
        <v>73</v>
      </c>
      <c r="AP23" s="922">
        <f>(IF('Water Report'!$Y$10&gt;0,'Water Report'!$Y$10,0))</f>
        <v>22</v>
      </c>
      <c r="AQ23" s="922">
        <f>(IF('Water Report'!$Y$11&gt;0,'Water Report'!$Y$11,0))</f>
        <v>20</v>
      </c>
      <c r="AR23" s="922">
        <f>(IF('Water Report'!$Y$13&gt;0,'Water Report'!$Y$13,0))</f>
        <v>14</v>
      </c>
      <c r="AS23" s="922">
        <f>(IF('Water Report'!$Y$14&gt;0,'Water Report'!$Y$14,0))</f>
        <v>23</v>
      </c>
      <c r="AT23" s="922">
        <f>(IF('Water Report'!$Y$15&gt;0,'Water Report'!$Y$15,0))</f>
        <v>11</v>
      </c>
      <c r="AU23" s="922">
        <f>(IF('Water Report'!$Y$17&gt;0,'Water Report'!$Y$17,0))</f>
        <v>0</v>
      </c>
      <c r="AV23" s="922">
        <f>(IF('Water Report'!$Y$18&gt;0,'Water Report'!$Y$18,0))</f>
        <v>10</v>
      </c>
      <c r="AW23" s="922">
        <f>(IF('Water Report'!$Y$19&gt;0,'Water Report'!$Y$19,0))</f>
        <v>5</v>
      </c>
      <c r="AX23" s="997">
        <f>(IF('Water Report'!$Y$21&gt;0,'Water Report'!$Y$21,0))</f>
        <v>68</v>
      </c>
      <c r="AY23" s="997">
        <f>(IF('Water Report'!$Y$22&gt;0,'Water Report'!$Y$22,0))</f>
        <v>15</v>
      </c>
      <c r="AZ23" s="997">
        <f>(IF('Water Report'!$Y$23&gt;0,'Water Report'!$Y$23,0))</f>
        <v>0</v>
      </c>
      <c r="BA23" s="997">
        <f>(IF('Water Report'!$Y$14&gt;0,'Water Report'!$Y$14,0))</f>
        <v>23</v>
      </c>
      <c r="BB23" s="997">
        <f>(IF('Water Report'!$Y$15&gt;0,'Water Report'!$Y$15,0))</f>
        <v>11</v>
      </c>
      <c r="BC23" s="997">
        <f>(IF('Water Report'!$Y$13&gt;0,'Water Report'!$Y$13,0))</f>
        <v>14</v>
      </c>
      <c r="BD23" s="997">
        <f>(IF('Water Report'!$Y$24&gt;0,'Water Report'!$Y$24,0))</f>
        <v>180</v>
      </c>
      <c r="BE23" s="997">
        <f>(IF('Water Report'!$Y$25&gt;0,'Water Report'!$Y$25,0))</f>
        <v>149</v>
      </c>
      <c r="BF23" s="997">
        <f>(IF('Water Report'!$Y$27&gt;0,'Water Report'!$Y$27,0))</f>
        <v>82</v>
      </c>
      <c r="BG23" s="923">
        <f>(IF('Section Load'!AN26&gt;0,'Section Load'!AN26,0))</f>
        <v>950</v>
      </c>
      <c r="BH23" s="923">
        <f>(IF('Section Load'!AO26&gt;0,'Section Load'!AO26,0))</f>
        <v>265</v>
      </c>
      <c r="BI23" s="923">
        <f>(IF('Section Load'!AP26&gt;0,'Section Load'!AP26,0))</f>
        <v>0</v>
      </c>
      <c r="BJ23" s="923">
        <f>(IF('Section Load'!AQ26&gt;0,'Section Load'!AQ26,0))</f>
        <v>82.090000000025611</v>
      </c>
      <c r="BK23" s="923">
        <f>(IF('Section Load'!AR26&gt;0,'Section Load'!AR26,0))</f>
        <v>44.700000000004366</v>
      </c>
      <c r="BL23" s="923">
        <f>(IF('Section Load'!AS26&gt;0,'Section Load'!AS26,0))</f>
        <v>1</v>
      </c>
      <c r="BM23" s="923">
        <f>(IF('Section Load'!AT26&gt;0,'Section Load'!AT26,0))</f>
        <v>557.20999999997002</v>
      </c>
    </row>
    <row r="24" spans="1:65">
      <c r="A24" s="905" t="s">
        <v>290</v>
      </c>
      <c r="B24" s="906">
        <f t="shared" si="0"/>
        <v>23</v>
      </c>
      <c r="C24" s="906">
        <v>8</v>
      </c>
      <c r="D24" s="906">
        <v>2021</v>
      </c>
      <c r="E24" s="921">
        <f>(IF('Section Load'!F27&gt;0,'Section Load'!F27,0))</f>
        <v>3047.5800000000163</v>
      </c>
      <c r="F24" s="921">
        <f>(IF('Section Load'!G27&gt;0,'Section Load'!G27,0))</f>
        <v>1602.1600000000035</v>
      </c>
      <c r="G24" s="921">
        <f>(IF('Section Load'!H27&gt;0,'Section Load'!H27,0))</f>
        <v>1578.8600000000151</v>
      </c>
      <c r="H24" s="921">
        <f>(IF('Section Load'!I27&gt;0,'Section Load'!I27,0))</f>
        <v>3787.9599999999627</v>
      </c>
      <c r="I24" s="921">
        <f>(IF('Section Load'!J27&gt;0,'Section Load'!J27,0))</f>
        <v>7521.0500000000466</v>
      </c>
      <c r="J24" s="921">
        <f>(IF('Section Load'!K27&gt;0,'Section Load'!K27,0))</f>
        <v>2699.2000000001863</v>
      </c>
      <c r="K24" s="921">
        <f>(IF('Section Load'!L27&gt;0,'Section Load'!L27,0))</f>
        <v>996.76000000000931</v>
      </c>
      <c r="L24" s="921">
        <f>(IF('Section Load'!M27&gt;0,'Section Load'!M27,0))</f>
        <v>684.05999999999767</v>
      </c>
      <c r="M24" s="921">
        <f>(IF('Section Load'!N27&gt;0,'Section Load'!N27,0))</f>
        <v>12</v>
      </c>
      <c r="N24" s="921">
        <f>(IF('Section Load'!O27&gt;0,'Section Load'!O27,0))</f>
        <v>2</v>
      </c>
      <c r="O24" s="921">
        <f>(IF('Section Load'!P27&gt;0,'Section Load'!P27,0))</f>
        <v>1</v>
      </c>
      <c r="P24" s="921">
        <f>(IF('Section Load'!Q27&gt;0,'Section Load'!Q27,0))</f>
        <v>148.45999999999913</v>
      </c>
      <c r="Q24" s="921">
        <f>(IF('Section Load'!R27&gt;0,'Section Load'!R27,0))</f>
        <v>68.849999999998545</v>
      </c>
      <c r="R24" s="921">
        <f>(IF('Section Load'!S27&gt;0,'Section Load'!S27,0))</f>
        <v>52</v>
      </c>
      <c r="S24" s="921">
        <f>(IF('Section Load'!T27&gt;0,'Section Load'!T27,0))</f>
        <v>106</v>
      </c>
      <c r="T24" s="921">
        <f>(IF('Section Load'!U27&gt;0,'Section Load'!U27,0))</f>
        <v>149</v>
      </c>
      <c r="U24" s="921">
        <f>(IF('Section Load'!V27&gt;0,'Section Load'!V27,0))</f>
        <v>358.52000000001863</v>
      </c>
      <c r="V24" s="921">
        <f>(IF('Section Load'!W27&gt;0,'Section Load'!W27,0))</f>
        <v>186.1600000000326</v>
      </c>
      <c r="W24" s="921">
        <f>(IF('Section Load'!X27&gt;0,'Section Load'!X27,0))</f>
        <v>27.160000000003492</v>
      </c>
      <c r="X24" s="921">
        <f>(IF('Section Load'!Y27&gt;0,'Section Load'!Y27,0))</f>
        <v>209.9800000000032</v>
      </c>
      <c r="Y24" s="921">
        <f>(IF('Section Load'!Z27&gt;0,'Section Load'!Z27,0))</f>
        <v>241</v>
      </c>
      <c r="Z24" s="921">
        <f>(IF('Section Load'!AA27&gt;0,'Section Load'!AA27,0))</f>
        <v>12</v>
      </c>
      <c r="AA24" s="921">
        <f>(IF('Section Load'!AB27&gt;0,'Section Load'!AB27,0))</f>
        <v>32.80000000000291</v>
      </c>
      <c r="AB24" s="921">
        <f>(IF('Section Load'!AC27&gt;0,'Section Load'!AC27,0))</f>
        <v>131.08999999999651</v>
      </c>
      <c r="AC24" s="921">
        <f>(IF('Section Load'!AD27&gt;0,'Section Load'!AD27,0))</f>
        <v>50.500000000002728</v>
      </c>
      <c r="AD24" s="921">
        <f>(IF('Section Load'!AE27&gt;0,'Section Load'!AE27,0))</f>
        <v>0</v>
      </c>
      <c r="AE24" s="921">
        <f>(IF('Section Load'!AF27&gt;0,'Section Load'!AF27,0))</f>
        <v>0</v>
      </c>
      <c r="AF24" s="921">
        <f>(IF('Section Load'!AG27&gt;0,'Section Load'!AG27,0))</f>
        <v>370.27999999999884</v>
      </c>
      <c r="AG24" s="921">
        <f>(IF('Section Load'!AH27&gt;0,'Section Load'!AH27,0))</f>
        <v>415.05999999999767</v>
      </c>
      <c r="AH24" s="921">
        <f>(IF('Section Load'!AI27&gt;0,'Section Load'!AI27,0))</f>
        <v>396.06000000001222</v>
      </c>
      <c r="AI24" s="921">
        <f>(IF('Section Load'!AJ27&gt;0,'Section Load'!AJ27,0))</f>
        <v>512.54000000003725</v>
      </c>
      <c r="AJ24" s="921">
        <f>(IF('Section Load'!AK27&gt;0,'Section Load'!AK27,0))</f>
        <v>0</v>
      </c>
      <c r="AK24" s="921">
        <f>(IF('Section Load'!AL27&gt;0,'Section Load'!AL27,0))</f>
        <v>314.67999999999302</v>
      </c>
      <c r="AL24" s="921">
        <f>(IF('Section Load'!AM27&gt;0,'Section Load'!AM27,0))</f>
        <v>709</v>
      </c>
      <c r="AM24" s="922">
        <f>(IF('Water Report'!$Z$7&gt;0,'Water Report'!$Z$7,0))</f>
        <v>102</v>
      </c>
      <c r="AN24" s="922">
        <f>(IF('Water Report'!$Z$8&gt;0,'Water Report'!$Z$8,0))</f>
        <v>124</v>
      </c>
      <c r="AO24" s="922">
        <f>(IF('Water Report'!$Z$9&gt;0,'Water Report'!$Z$9,0))</f>
        <v>67</v>
      </c>
      <c r="AP24" s="922">
        <f>(IF('Water Report'!$Z$10&gt;0,'Water Report'!$Z$10,0))</f>
        <v>20</v>
      </c>
      <c r="AQ24" s="922">
        <f>(IF('Water Report'!$Z$11&gt;0,'Water Report'!$Z$11,0))</f>
        <v>21</v>
      </c>
      <c r="AR24" s="922">
        <f>(IF('Water Report'!$Z$13&gt;0,'Water Report'!$Z$13,0))</f>
        <v>49</v>
      </c>
      <c r="AS24" s="922">
        <f>(IF('Water Report'!$Z$14&gt;0,'Water Report'!$Z$14,0))</f>
        <v>12</v>
      </c>
      <c r="AT24" s="922">
        <f>(IF('Water Report'!$Z$15&gt;0,'Water Report'!$Z$15,0))</f>
        <v>8</v>
      </c>
      <c r="AU24" s="922">
        <f>(IF('Water Report'!$Z$17&gt;0,'Water Report'!$Z$17,0))</f>
        <v>0</v>
      </c>
      <c r="AV24" s="922">
        <f>(IF('Water Report'!$Z$18&gt;0,'Water Report'!$Z$18,0))</f>
        <v>9</v>
      </c>
      <c r="AW24" s="922">
        <f>(IF('Water Report'!$Z$19&gt;0,'Water Report'!$Z$19,0))</f>
        <v>5</v>
      </c>
      <c r="AX24" s="997">
        <f>(IF('Water Report'!$Z$21&gt;0,'Water Report'!$Z$21,0))</f>
        <v>71</v>
      </c>
      <c r="AY24" s="997">
        <f>(IF('Water Report'!$Z$22&gt;0,'Water Report'!$Z$22,0))</f>
        <v>26</v>
      </c>
      <c r="AZ24" s="997">
        <f>(IF('Water Report'!$Z$23&gt;0,'Water Report'!$Z$23,0))</f>
        <v>0</v>
      </c>
      <c r="BA24" s="997">
        <f>(IF('Water Report'!$Z$14&gt;0,'Water Report'!$Z$14,0))</f>
        <v>12</v>
      </c>
      <c r="BB24" s="997">
        <f>(IF('Water Report'!$Z$15&gt;0,'Water Report'!$Z$15,0))</f>
        <v>8</v>
      </c>
      <c r="BC24" s="997">
        <f>(IF('Water Report'!$Z$13&gt;0,'Water Report'!$Z$13,0))</f>
        <v>49</v>
      </c>
      <c r="BD24" s="997">
        <f>(IF('Water Report'!$Z$24&gt;0,'Water Report'!$Z$24,0))</f>
        <v>160</v>
      </c>
      <c r="BE24" s="997">
        <f>(IF('Water Report'!$Z$25&gt;0,'Water Report'!$Z$25,0))</f>
        <v>128</v>
      </c>
      <c r="BF24" s="997">
        <f>(IF('Water Report'!$Z$27&gt;0,'Water Report'!$Z$27,0))</f>
        <v>120</v>
      </c>
      <c r="BG24" s="923">
        <f>(IF('Section Load'!AN27&gt;0,'Section Load'!AN27,0))</f>
        <v>950</v>
      </c>
      <c r="BH24" s="923">
        <f>(IF('Section Load'!AO27&gt;0,'Section Load'!AO27,0))</f>
        <v>259.03999999992084</v>
      </c>
      <c r="BI24" s="923">
        <f>(IF('Section Load'!AP27&gt;0,'Section Load'!AP27,0))</f>
        <v>0</v>
      </c>
      <c r="BJ24" s="923">
        <f>(IF('Section Load'!AQ27&gt;0,'Section Load'!AQ27,0))</f>
        <v>78.819999999977881</v>
      </c>
      <c r="BK24" s="923">
        <f>(IF('Section Load'!AR27&gt;0,'Section Load'!AR27,0))</f>
        <v>41.399999999994179</v>
      </c>
      <c r="BL24" s="923">
        <f>(IF('Section Load'!AS27&gt;0,'Section Load'!AS27,0))</f>
        <v>1.8999999999996362</v>
      </c>
      <c r="BM24" s="923">
        <f>(IF('Section Load'!AT27&gt;0,'Section Load'!AT27,0))</f>
        <v>568.84000000010747</v>
      </c>
    </row>
    <row r="25" spans="1:65">
      <c r="A25" s="905" t="s">
        <v>290</v>
      </c>
      <c r="B25" s="906">
        <f t="shared" si="0"/>
        <v>24</v>
      </c>
      <c r="C25" s="906">
        <v>8</v>
      </c>
      <c r="D25" s="906">
        <v>2021</v>
      </c>
      <c r="E25" s="921">
        <f>(IF('Section Load'!F28&gt;0,'Section Load'!F28,0))</f>
        <v>3076.9099999999744</v>
      </c>
      <c r="F25" s="921">
        <f>(IF('Section Load'!G28&gt;0,'Section Load'!G28,0))</f>
        <v>1631.9700000000012</v>
      </c>
      <c r="G25" s="921">
        <f>(IF('Section Load'!H28&gt;0,'Section Load'!H28,0))</f>
        <v>1604.3600000000442</v>
      </c>
      <c r="H25" s="921">
        <f>(IF('Section Load'!I28&gt;0,'Section Load'!I28,0))</f>
        <v>3817.4199999999837</v>
      </c>
      <c r="I25" s="921">
        <f>(IF('Section Load'!J28&gt;0,'Section Load'!J28,0))</f>
        <v>7305.1499999999942</v>
      </c>
      <c r="J25" s="921">
        <f>(IF('Section Load'!K28&gt;0,'Section Load'!K28,0))</f>
        <v>2784.8999999999069</v>
      </c>
      <c r="K25" s="921">
        <f>(IF('Section Load'!L28&gt;0,'Section Load'!L28,0))</f>
        <v>988.05000000004657</v>
      </c>
      <c r="L25" s="921">
        <f>(IF('Section Load'!M28&gt;0,'Section Load'!M28,0))</f>
        <v>689.16000000000349</v>
      </c>
      <c r="M25" s="921">
        <f>(IF('Section Load'!N28&gt;0,'Section Load'!N28,0))</f>
        <v>14</v>
      </c>
      <c r="N25" s="921">
        <f>(IF('Section Load'!O28&gt;0,'Section Load'!O28,0))</f>
        <v>1</v>
      </c>
      <c r="O25" s="921">
        <f>(IF('Section Load'!P28&gt;0,'Section Load'!P28,0))</f>
        <v>0</v>
      </c>
      <c r="P25" s="921">
        <f>(IF('Section Load'!Q28&gt;0,'Section Load'!Q28,0))</f>
        <v>175.70999999999913</v>
      </c>
      <c r="Q25" s="921">
        <f>(IF('Section Load'!R28&gt;0,'Section Load'!R28,0))</f>
        <v>65.200000000000728</v>
      </c>
      <c r="R25" s="921">
        <f>(IF('Section Load'!S28&gt;0,'Section Load'!S28,0))</f>
        <v>54</v>
      </c>
      <c r="S25" s="921">
        <f>(IF('Section Load'!T28&gt;0,'Section Load'!T28,0))</f>
        <v>173</v>
      </c>
      <c r="T25" s="921">
        <f>(IF('Section Load'!U28&gt;0,'Section Load'!U28,0))</f>
        <v>159</v>
      </c>
      <c r="U25" s="921">
        <f>(IF('Section Load'!V28&gt;0,'Section Load'!V28,0))</f>
        <v>398.47999999998137</v>
      </c>
      <c r="V25" s="921">
        <f>(IF('Section Load'!W28&gt;0,'Section Load'!W28,0))</f>
        <v>186.8399999999674</v>
      </c>
      <c r="W25" s="921">
        <f>(IF('Section Load'!X28&gt;0,'Section Load'!X28,0))</f>
        <v>20.619999999995343</v>
      </c>
      <c r="X25" s="921">
        <f>(IF('Section Load'!Y28&gt;0,'Section Load'!Y28,0))</f>
        <v>207.88999999999942</v>
      </c>
      <c r="Y25" s="921">
        <f>(IF('Section Load'!Z28&gt;0,'Section Load'!Z28,0))</f>
        <v>190</v>
      </c>
      <c r="Z25" s="921">
        <f>(IF('Section Load'!AA28&gt;0,'Section Load'!AA28,0))</f>
        <v>9</v>
      </c>
      <c r="AA25" s="921">
        <f>(IF('Section Load'!AB28&gt;0,'Section Load'!AB28,0))</f>
        <v>22.30000000000291</v>
      </c>
      <c r="AB25" s="921">
        <f>(IF('Section Load'!AC28&gt;0,'Section Load'!AC28,0))</f>
        <v>75.200000000011642</v>
      </c>
      <c r="AC25" s="921">
        <f>(IF('Section Load'!AD28&gt;0,'Section Load'!AD28,0))</f>
        <v>26.600000000003092</v>
      </c>
      <c r="AD25" s="921">
        <f>(IF('Section Load'!AE28&gt;0,'Section Load'!AE28,0))</f>
        <v>0</v>
      </c>
      <c r="AE25" s="921">
        <f>(IF('Section Load'!AF28&gt;0,'Section Load'!AF28,0))</f>
        <v>0</v>
      </c>
      <c r="AF25" s="921">
        <f>(IF('Section Load'!AG28&gt;0,'Section Load'!AG28,0))</f>
        <v>339.36999999999534</v>
      </c>
      <c r="AG25" s="921">
        <f>(IF('Section Load'!AH28&gt;0,'Section Load'!AH28,0))</f>
        <v>404.35000000000582</v>
      </c>
      <c r="AH25" s="921">
        <f>(IF('Section Load'!AI28&gt;0,'Section Load'!AI28,0))</f>
        <v>409.64999999999418</v>
      </c>
      <c r="AI25" s="921">
        <f>(IF('Section Load'!AJ28&gt;0,'Section Load'!AJ28,0))</f>
        <v>551.72999999998137</v>
      </c>
      <c r="AJ25" s="921">
        <f>(IF('Section Load'!AK28&gt;0,'Section Load'!AK28,0))</f>
        <v>0</v>
      </c>
      <c r="AK25" s="921">
        <f>(IF('Section Load'!AL28&gt;0,'Section Load'!AL28,0))</f>
        <v>311.33000000000175</v>
      </c>
      <c r="AL25" s="921">
        <f>(IF('Section Load'!AM28&gt;0,'Section Load'!AM28,0))</f>
        <v>782</v>
      </c>
      <c r="AM25" s="922">
        <f>(IF('Water Report'!$AA$7&gt;0,'Water Report'!$AA$7,0))</f>
        <v>124</v>
      </c>
      <c r="AN25" s="922">
        <f>(IF('Water Report'!$AA$8&gt;0,'Water Report'!$AA$8,0))</f>
        <v>110</v>
      </c>
      <c r="AO25" s="922">
        <f>(IF('Water Report'!$AA$9&gt;0,'Water Report'!$AA$9,0))</f>
        <v>64</v>
      </c>
      <c r="AP25" s="922">
        <f>(IF('Water Report'!$AA$10&gt;0,'Water Report'!$AA$10,0))</f>
        <v>23</v>
      </c>
      <c r="AQ25" s="922">
        <f>(IF('Water Report'!$AA$11&gt;0,'Water Report'!$AA$11,0))</f>
        <v>34</v>
      </c>
      <c r="AR25" s="922">
        <f>(IF('Water Report'!$AA$13&gt;0,'Water Report'!$AA$13,0))</f>
        <v>6</v>
      </c>
      <c r="AS25" s="922">
        <f>(IF('Water Report'!$AA$14&gt;0,'Water Report'!$AA$14,0))</f>
        <v>12</v>
      </c>
      <c r="AT25" s="922">
        <f>(IF('Water Report'!$AA$15&gt;0,'Water Report'!$AA$15,0))</f>
        <v>6</v>
      </c>
      <c r="AU25" s="922">
        <f>(IF('Water Report'!$AA$17&gt;0,'Water Report'!$AA$17,0))</f>
        <v>0</v>
      </c>
      <c r="AV25" s="922">
        <f>(IF('Water Report'!$AA$18&gt;0,'Water Report'!$AA$18,0))</f>
        <v>10</v>
      </c>
      <c r="AW25" s="922">
        <f>(IF('Water Report'!$AA$19&gt;0,'Water Report'!$AA$19,0))</f>
        <v>5</v>
      </c>
      <c r="AX25" s="997">
        <f>(IF('Water Report'!$AA$21&gt;0,'Water Report'!$AA$21,0))</f>
        <v>72</v>
      </c>
      <c r="AY25" s="997">
        <f>(IF('Water Report'!$AA$22&gt;0,'Water Report'!$AA$22,0))</f>
        <v>31</v>
      </c>
      <c r="AZ25" s="997">
        <f>(IF('Water Report'!$AA$23&gt;0,'Water Report'!$AA$23,0))</f>
        <v>0</v>
      </c>
      <c r="BA25" s="997">
        <f>(IF('Water Report'!$AA$14&gt;0,'Water Report'!$AA$14,0))</f>
        <v>12</v>
      </c>
      <c r="BB25" s="997">
        <f>(IF('Water Report'!$AA$15&gt;0,'Water Report'!$AA$15,0))</f>
        <v>6</v>
      </c>
      <c r="BC25" s="997">
        <f>(IF('Water Report'!$AA$13&gt;0,'Water Report'!$AA$13,0))</f>
        <v>6</v>
      </c>
      <c r="BD25" s="997">
        <f>(IF('Water Report'!$AA$24&gt;0,'Water Report'!$AA$24,0))</f>
        <v>170</v>
      </c>
      <c r="BE25" s="997">
        <f>(IF('Water Report'!$AA$25&gt;0,'Water Report'!$AA$25,0))</f>
        <v>139</v>
      </c>
      <c r="BF25" s="997">
        <f>(IF('Water Report'!$AA$27&gt;0,'Water Report'!$AA$27,0))</f>
        <v>78</v>
      </c>
      <c r="BG25" s="923">
        <f>(IF('Section Load'!AN28&gt;0,'Section Load'!AN28,0))</f>
        <v>950</v>
      </c>
      <c r="BH25" s="923">
        <f>(IF('Section Load'!AO28&gt;0,'Section Load'!AO28,0))</f>
        <v>254.28000000002794</v>
      </c>
      <c r="BI25" s="923">
        <f>(IF('Section Load'!AP28&gt;0,'Section Load'!AP28,0))</f>
        <v>0</v>
      </c>
      <c r="BJ25" s="923">
        <f>(IF('Section Load'!AQ28&gt;0,'Section Load'!AQ28,0))</f>
        <v>87.790000000008149</v>
      </c>
      <c r="BK25" s="923">
        <f>(IF('Section Load'!AR28&gt;0,'Section Load'!AR28,0))</f>
        <v>50.30000000000291</v>
      </c>
      <c r="BL25" s="923">
        <f>(IF('Section Load'!AS28&gt;0,'Section Load'!AS28,0))</f>
        <v>4.1000000000003638</v>
      </c>
      <c r="BM25" s="923">
        <f>(IF('Section Load'!AT28&gt;0,'Section Load'!AT28,0))</f>
        <v>553.92999999995482</v>
      </c>
    </row>
    <row r="26" spans="1:65">
      <c r="A26" s="905" t="s">
        <v>290</v>
      </c>
      <c r="B26" s="906">
        <f>B25+1</f>
        <v>25</v>
      </c>
      <c r="C26" s="906">
        <v>8</v>
      </c>
      <c r="D26" s="906">
        <v>2021</v>
      </c>
      <c r="E26" s="921">
        <f>(IF('Section Load'!F29&gt;0,'Section Load'!F29,0))</f>
        <v>2993</v>
      </c>
      <c r="F26" s="921">
        <f>(IF('Section Load'!G29&gt;0,'Section Load'!G29,0))</f>
        <v>1677.8699999999953</v>
      </c>
      <c r="G26" s="921">
        <f>(IF('Section Load'!H29&gt;0,'Section Load'!H29,0))</f>
        <v>1682.0699999999488</v>
      </c>
      <c r="H26" s="921">
        <f>(IF('Section Load'!I29&gt;0,'Section Load'!I29,0))</f>
        <v>3772</v>
      </c>
      <c r="I26" s="921">
        <f>(IF('Section Load'!J29&gt;0,'Section Load'!J29,0))</f>
        <v>7467.4500000000116</v>
      </c>
      <c r="J26" s="921">
        <f>(IF('Section Load'!K29&gt;0,'Section Load'!K29,0))</f>
        <v>2870</v>
      </c>
      <c r="K26" s="921">
        <f>(IF('Section Load'!L29&gt;0,'Section Load'!L29,0))</f>
        <v>1138</v>
      </c>
      <c r="L26" s="921">
        <f>(IF('Section Load'!M29&gt;0,'Section Load'!M29,0))</f>
        <v>718</v>
      </c>
      <c r="M26" s="921">
        <f>(IF('Section Load'!N29&gt;0,'Section Load'!N29,0))</f>
        <v>10</v>
      </c>
      <c r="N26" s="921">
        <f>(IF('Section Load'!O29&gt;0,'Section Load'!O29,0))</f>
        <v>1</v>
      </c>
      <c r="O26" s="921">
        <f>(IF('Section Load'!P29&gt;0,'Section Load'!P29,0))</f>
        <v>0</v>
      </c>
      <c r="P26" s="921">
        <f>(IF('Section Load'!Q29&gt;0,'Section Load'!Q29,0))</f>
        <v>165</v>
      </c>
      <c r="Q26" s="921">
        <f>(IF('Section Load'!R29&gt;0,'Section Load'!R29,0))</f>
        <v>71</v>
      </c>
      <c r="R26" s="921">
        <f>(IF('Section Load'!S29&gt;0,'Section Load'!S29,0))</f>
        <v>55</v>
      </c>
      <c r="S26" s="921">
        <f>(IF('Section Load'!T29&gt;0,'Section Load'!T29,0))</f>
        <v>134</v>
      </c>
      <c r="T26" s="921">
        <f>(IF('Section Load'!U29&gt;0,'Section Load'!U29,0))</f>
        <v>142</v>
      </c>
      <c r="U26" s="921">
        <f>(IF('Section Load'!V29&gt;0,'Section Load'!V29,0))</f>
        <v>443</v>
      </c>
      <c r="V26" s="921">
        <f>(IF('Section Load'!W29&gt;0,'Section Load'!W29,0))</f>
        <v>224</v>
      </c>
      <c r="W26" s="921">
        <f>(IF('Section Load'!X29&gt;0,'Section Load'!X29,0))</f>
        <v>27</v>
      </c>
      <c r="X26" s="921">
        <f>(IF('Section Load'!Y29&gt;0,'Section Load'!Y29,0))</f>
        <v>236</v>
      </c>
      <c r="Y26" s="921">
        <f>(IF('Section Load'!Z29&gt;0,'Section Load'!Z29,0))</f>
        <v>674</v>
      </c>
      <c r="Z26" s="921">
        <f>(IF('Section Load'!AA29&gt;0,'Section Load'!AA29,0))</f>
        <v>9</v>
      </c>
      <c r="AA26" s="921">
        <f>(IF('Section Load'!AB29&gt;0,'Section Load'!AB29,0))</f>
        <v>17</v>
      </c>
      <c r="AB26" s="921">
        <f>(IF('Section Load'!AC29&gt;0,'Section Load'!AC29,0))</f>
        <v>18</v>
      </c>
      <c r="AC26" s="921">
        <f>(IF('Section Load'!AD29&gt;0,'Section Load'!AD29,0))</f>
        <v>19</v>
      </c>
      <c r="AD26" s="921">
        <f>(IF('Section Load'!AE29&gt;0,'Section Load'!AE29,0))</f>
        <v>0</v>
      </c>
      <c r="AE26" s="921">
        <f>(IF('Section Load'!AF29&gt;0,'Section Load'!AF29,0))</f>
        <v>0</v>
      </c>
      <c r="AF26" s="921">
        <f>(IF('Section Load'!AG29&gt;0,'Section Load'!AG29,0))</f>
        <v>349</v>
      </c>
      <c r="AG26" s="921">
        <f>(IF('Section Load'!AH29&gt;0,'Section Load'!AH29,0))</f>
        <v>390</v>
      </c>
      <c r="AH26" s="921">
        <f>(IF('Section Load'!AI29&gt;0,'Section Load'!AI29,0))</f>
        <v>399</v>
      </c>
      <c r="AI26" s="921">
        <f>(IF('Section Load'!AJ29&gt;0,'Section Load'!AJ29,0))</f>
        <v>497</v>
      </c>
      <c r="AJ26" s="921">
        <f>(IF('Section Load'!AK29&gt;0,'Section Load'!AK29,0))</f>
        <v>0</v>
      </c>
      <c r="AK26" s="921">
        <f>(IF('Section Load'!AL29&gt;0,'Section Load'!AL29,0))</f>
        <v>328</v>
      </c>
      <c r="AL26" s="921">
        <f>(IF('Section Load'!AM29&gt;0,'Section Load'!AM29,0))</f>
        <v>784</v>
      </c>
      <c r="AM26" s="922">
        <f>(IF('Water Report'!$AB$7&gt;0,'Water Report'!$AB$7,0))</f>
        <v>134</v>
      </c>
      <c r="AN26" s="922">
        <f>(IF('Water Report'!$AB$8&gt;0,'Water Report'!$AB$8,0))</f>
        <v>67</v>
      </c>
      <c r="AO26" s="922">
        <f>(IF('Water Report'!$AB$9&gt;0,'Water Report'!$AB$9,0))</f>
        <v>78</v>
      </c>
      <c r="AP26" s="922">
        <f>(IF('Water Report'!$AB$10&gt;0,'Water Report'!$AB$10,0))</f>
        <v>31</v>
      </c>
      <c r="AQ26" s="922">
        <f>(IF('Water Report'!$AB$11&gt;0,'Water Report'!$AB$11,0))</f>
        <v>39</v>
      </c>
      <c r="AR26" s="922">
        <f>(IF('Water Report'!$AB$13&gt;0,'Water Report'!$AB$13,0))</f>
        <v>35</v>
      </c>
      <c r="AS26" s="922">
        <f>(IF('Water Report'!$AB$14&gt;0,'Water Report'!$AB$14,0))</f>
        <v>19</v>
      </c>
      <c r="AT26" s="922">
        <f>(IF('Water Report'!$AB$15&gt;0,'Water Report'!$AB$15,0))</f>
        <v>15</v>
      </c>
      <c r="AU26" s="922">
        <f>(IF('Water Report'!$AB$17&gt;0,'Water Report'!$AB$17,0))</f>
        <v>0</v>
      </c>
      <c r="AV26" s="922">
        <f>(IF('Water Report'!$AB$18&gt;0,'Water Report'!$AB$18,0))</f>
        <v>10</v>
      </c>
      <c r="AW26" s="922">
        <f>(IF('Water Report'!$AB$19&gt;0,'Water Report'!$AB$19,0))</f>
        <v>5</v>
      </c>
      <c r="AX26" s="997">
        <f>(IF('Water Report'!$AB$21&gt;0,'Water Report'!$AB$21,0))</f>
        <v>72</v>
      </c>
      <c r="AY26" s="997">
        <f>(IF('Water Report'!$AB$22&gt;0,'Water Report'!$AB$22,0))</f>
        <v>37</v>
      </c>
      <c r="AZ26" s="997">
        <f>(IF('Water Report'!$AB$23&gt;0,'Water Report'!$AB$23,0))</f>
        <v>0</v>
      </c>
      <c r="BA26" s="997">
        <f>(IF('Water Report'!$AB$14&gt;0,'Water Report'!$AB$14,0))</f>
        <v>19</v>
      </c>
      <c r="BB26" s="997">
        <f>(IF('Water Report'!$AB$15&gt;0,'Water Report'!$AB$15,0))</f>
        <v>15</v>
      </c>
      <c r="BC26" s="997">
        <f>(IF('Water Report'!$AB$13&gt;0,'Water Report'!$AB$13,0))</f>
        <v>35</v>
      </c>
      <c r="BD26" s="997">
        <f>(IF('Water Report'!$AB$24&gt;0,'Water Report'!$AB$24,0))</f>
        <v>220</v>
      </c>
      <c r="BE26" s="997">
        <f>(IF('Water Report'!$AB$25&gt;0,'Water Report'!$AB$25,0))</f>
        <v>182</v>
      </c>
      <c r="BF26" s="997">
        <f>(IF('Water Report'!$AB$27&gt;0,'Water Report'!$AB$27,0))</f>
        <v>107</v>
      </c>
      <c r="BG26" s="923">
        <f>(IF('Section Load'!AN29&gt;0,'Section Load'!AN29,0))</f>
        <v>950</v>
      </c>
      <c r="BH26" s="923">
        <f>(IF('Section Load'!AO29&gt;0,'Section Load'!AO29,0))</f>
        <v>280</v>
      </c>
      <c r="BI26" s="923">
        <f>(IF('Section Load'!AP29&gt;0,'Section Load'!AP29,0))</f>
        <v>0</v>
      </c>
      <c r="BJ26" s="923">
        <f>(IF('Section Load'!AQ29&gt;0,'Section Load'!AQ29,0))</f>
        <v>73</v>
      </c>
      <c r="BK26" s="923">
        <f>(IF('Section Load'!AR29&gt;0,'Section Load'!AR29,0))</f>
        <v>40</v>
      </c>
      <c r="BL26" s="923">
        <f>(IF('Section Load'!AS29&gt;0,'Section Load'!AS29,0))</f>
        <v>4</v>
      </c>
      <c r="BM26" s="923">
        <f>(IF('Section Load'!AT29&gt;0,'Section Load'!AT29,0))</f>
        <v>553</v>
      </c>
    </row>
    <row r="27" spans="1:65">
      <c r="A27" s="905" t="s">
        <v>290</v>
      </c>
      <c r="B27" s="906">
        <f t="shared" si="0"/>
        <v>26</v>
      </c>
      <c r="C27" s="906">
        <v>8</v>
      </c>
      <c r="D27" s="906">
        <v>2021</v>
      </c>
      <c r="E27" s="921">
        <f>(IF('Section Load'!F30&gt;0,'Section Load'!F30,0))</f>
        <v>3145</v>
      </c>
      <c r="F27" s="921">
        <f>(IF('Section Load'!G30&gt;0,'Section Load'!G30,0))</f>
        <v>1663</v>
      </c>
      <c r="G27" s="921">
        <f>(IF('Section Load'!H30&gt;0,'Section Load'!H30,0))</f>
        <v>1573</v>
      </c>
      <c r="H27" s="921">
        <f>(IF('Section Load'!I30&gt;0,'Section Load'!I30,0))</f>
        <v>3750</v>
      </c>
      <c r="I27" s="921">
        <f>(IF('Section Load'!J30&gt;0,'Section Load'!J30,0))</f>
        <v>7309</v>
      </c>
      <c r="J27" s="921">
        <f>(IF('Section Load'!K30&gt;0,'Section Load'!K30,0))</f>
        <v>2794</v>
      </c>
      <c r="K27" s="921">
        <f>(IF('Section Load'!L30&gt;0,'Section Load'!L30,0))</f>
        <v>928</v>
      </c>
      <c r="L27" s="921">
        <f>(IF('Section Load'!M30&gt;0,'Section Load'!M30,0))</f>
        <v>755</v>
      </c>
      <c r="M27" s="921">
        <f>(IF('Section Load'!N30&gt;0,'Section Load'!N30,0))</f>
        <v>11</v>
      </c>
      <c r="N27" s="921">
        <f>(IF('Section Load'!O30&gt;0,'Section Load'!O30,0))</f>
        <v>1</v>
      </c>
      <c r="O27" s="921">
        <f>(IF('Section Load'!P30&gt;0,'Section Load'!P30,0))</f>
        <v>0</v>
      </c>
      <c r="P27" s="921">
        <f>(IF('Section Load'!Q30&gt;0,'Section Load'!Q30,0))</f>
        <v>145</v>
      </c>
      <c r="Q27" s="921">
        <f>(IF('Section Load'!R30&gt;0,'Section Load'!R30,0))</f>
        <v>81</v>
      </c>
      <c r="R27" s="921">
        <f>(IF('Section Load'!S30&gt;0,'Section Load'!S30,0))</f>
        <v>133</v>
      </c>
      <c r="S27" s="921">
        <f>(IF('Section Load'!T30&gt;0,'Section Load'!T30,0))</f>
        <v>89</v>
      </c>
      <c r="T27" s="921">
        <f>(IF('Section Load'!U30&gt;0,'Section Load'!U30,0))</f>
        <v>154</v>
      </c>
      <c r="U27" s="921">
        <f>(IF('Section Load'!V30&gt;0,'Section Load'!V30,0))</f>
        <v>408</v>
      </c>
      <c r="V27" s="921">
        <f>(IF('Section Load'!W30&gt;0,'Section Load'!W30,0))</f>
        <v>193</v>
      </c>
      <c r="W27" s="921">
        <f>(IF('Section Load'!X30&gt;0,'Section Load'!X30,0))</f>
        <v>14</v>
      </c>
      <c r="X27" s="921">
        <f>(IF('Section Load'!Y30&gt;0,'Section Load'!Y30,0))</f>
        <v>208</v>
      </c>
      <c r="Y27" s="921">
        <f>(IF('Section Load'!Z30&gt;0,'Section Load'!Z30,0))</f>
        <v>11</v>
      </c>
      <c r="Z27" s="921">
        <f>(IF('Section Load'!AA30&gt;0,'Section Load'!AA30,0))</f>
        <v>14</v>
      </c>
      <c r="AA27" s="921">
        <f>(IF('Section Load'!AB30&gt;0,'Section Load'!AB30,0))</f>
        <v>35</v>
      </c>
      <c r="AB27" s="921">
        <f>(IF('Section Load'!AC30&gt;0,'Section Load'!AC30,0))</f>
        <v>26</v>
      </c>
      <c r="AC27" s="921">
        <f>(IF('Section Load'!AD30&gt;0,'Section Load'!AD30,0))</f>
        <v>42</v>
      </c>
      <c r="AD27" s="921">
        <f>(IF('Section Load'!AE30&gt;0,'Section Load'!AE30,0))</f>
        <v>0</v>
      </c>
      <c r="AE27" s="921">
        <f>(IF('Section Load'!AF30&gt;0,'Section Load'!AF30,0))</f>
        <v>0</v>
      </c>
      <c r="AF27" s="921">
        <f>(IF('Section Load'!AG30&gt;0,'Section Load'!AG30,0))</f>
        <v>403</v>
      </c>
      <c r="AG27" s="921">
        <f>(IF('Section Load'!AH30&gt;0,'Section Load'!AH30,0))</f>
        <v>369</v>
      </c>
      <c r="AH27" s="921">
        <f>(IF('Section Load'!AI30&gt;0,'Section Load'!AI30,0))</f>
        <v>414</v>
      </c>
      <c r="AI27" s="921">
        <f>(IF('Section Load'!AJ30&gt;0,'Section Load'!AJ30,0))</f>
        <v>481</v>
      </c>
      <c r="AJ27" s="921">
        <f>(IF('Section Load'!AK30&gt;0,'Section Load'!AK30,0))</f>
        <v>0</v>
      </c>
      <c r="AK27" s="921">
        <f>(IF('Section Load'!AL30&gt;0,'Section Load'!AL30,0))</f>
        <v>352</v>
      </c>
      <c r="AL27" s="921">
        <f>(IF('Section Load'!AM30&gt;0,'Section Load'!AM30,0))</f>
        <v>829</v>
      </c>
      <c r="AM27" s="922">
        <f>(IF('Water Report'!$AC$7&gt;0,'Water Report'!$AC$7,0))</f>
        <v>82</v>
      </c>
      <c r="AN27" s="922">
        <f>(IF('Water Report'!$AC$8&gt;0,'Water Report'!$AC$8,0))</f>
        <v>108</v>
      </c>
      <c r="AO27" s="922">
        <f>(IF('Water Report'!$AC$9&gt;0,'Water Report'!$AC$9,0))</f>
        <v>69</v>
      </c>
      <c r="AP27" s="922">
        <f>(IF('Water Report'!$AC$10&gt;0,'Water Report'!$AC$10,0))</f>
        <v>24</v>
      </c>
      <c r="AQ27" s="922">
        <f>(IF('Water Report'!$AC$11&gt;0,'Water Report'!$AC$11,0))</f>
        <v>22</v>
      </c>
      <c r="AR27" s="922">
        <f>(IF('Water Report'!$AC$13&gt;0,'Water Report'!$AC$13,0))</f>
        <v>27</v>
      </c>
      <c r="AS27" s="922">
        <f>(IF('Water Report'!$AC$14&gt;0,'Water Report'!$AC$14,0))</f>
        <v>21</v>
      </c>
      <c r="AT27" s="922">
        <f>(IF('Water Report'!$AC$15&gt;0,'Water Report'!$AC$15,0))</f>
        <v>6</v>
      </c>
      <c r="AU27" s="922">
        <f>(IF('Water Report'!$AC$17&gt;0,'Water Report'!$AC$17,0))</f>
        <v>0</v>
      </c>
      <c r="AV27" s="922">
        <f>(IF('Water Report'!$AC$18&gt;0,'Water Report'!$AC$18,0))</f>
        <v>12</v>
      </c>
      <c r="AW27" s="922">
        <f>(IF('Water Report'!$AC$19&gt;0,'Water Report'!$AC$19,0))</f>
        <v>4</v>
      </c>
      <c r="AX27" s="997">
        <f>(IF('Water Report'!$AC$21&gt;0,'Water Report'!$AC$21,0))</f>
        <v>73</v>
      </c>
      <c r="AY27" s="997">
        <f>(IF('Water Report'!$AC$22&gt;0,'Water Report'!$AC$22,0))</f>
        <v>11</v>
      </c>
      <c r="AZ27" s="997">
        <f>(IF('Water Report'!$AC$23&gt;0,'Water Report'!$AC$23,0))</f>
        <v>0</v>
      </c>
      <c r="BA27" s="997">
        <f>(IF('Water Report'!$AC$14&gt;0,'Water Report'!$AC$14,0))</f>
        <v>21</v>
      </c>
      <c r="BB27" s="997">
        <f>(IF('Water Report'!$AC$15&gt;0,'Water Report'!$AC$15,0))</f>
        <v>6</v>
      </c>
      <c r="BC27" s="997">
        <f>(IF('Water Report'!$AC$13&gt;0,'Water Report'!$AC$13,0))</f>
        <v>27</v>
      </c>
      <c r="BD27" s="997">
        <f>(IF('Water Report'!$AC$24&gt;0,'Water Report'!$AC$24,0))</f>
        <v>180</v>
      </c>
      <c r="BE27" s="997">
        <f>(IF('Water Report'!$AC$25&gt;0,'Water Report'!$AC$25,0))</f>
        <v>142</v>
      </c>
      <c r="BF27" s="997">
        <f>(IF('Water Report'!$AC$27&gt;0,'Water Report'!$AC$27,0))</f>
        <v>100</v>
      </c>
      <c r="BG27" s="923">
        <f>(IF('Section Load'!AN30&gt;0,'Section Load'!AN30,0))</f>
        <v>950</v>
      </c>
      <c r="BH27" s="923">
        <f>(IF('Section Load'!AO30&gt;0,'Section Load'!AO30,0))</f>
        <v>252</v>
      </c>
      <c r="BI27" s="923">
        <f>(IF('Section Load'!AP30&gt;0,'Section Load'!AP30,0))</f>
        <v>0</v>
      </c>
      <c r="BJ27" s="923">
        <f>(IF('Section Load'!AQ30&gt;0,'Section Load'!AQ30,0))</f>
        <v>71</v>
      </c>
      <c r="BK27" s="923">
        <f>(IF('Section Load'!AR30&gt;0,'Section Load'!AR30,0))</f>
        <v>35</v>
      </c>
      <c r="BL27" s="923">
        <f>(IF('Section Load'!AS30&gt;0,'Section Load'!AS30,0))</f>
        <v>2</v>
      </c>
      <c r="BM27" s="923">
        <f>(IF('Section Load'!AT30&gt;0,'Section Load'!AT30,0))</f>
        <v>590</v>
      </c>
    </row>
    <row r="28" spans="1:65">
      <c r="A28" s="905" t="s">
        <v>290</v>
      </c>
      <c r="B28" s="906">
        <f t="shared" si="0"/>
        <v>27</v>
      </c>
      <c r="C28" s="906">
        <v>8</v>
      </c>
      <c r="D28" s="906">
        <v>2021</v>
      </c>
      <c r="E28" s="921">
        <f>(IF('Section Load'!F31&gt;0,'Section Load'!F31,0))</f>
        <v>2883</v>
      </c>
      <c r="F28" s="921">
        <f>(IF('Section Load'!G31&gt;0,'Section Load'!G31,0))</f>
        <v>1655.1300000000047</v>
      </c>
      <c r="G28" s="921">
        <f>(IF('Section Load'!H31&gt;0,'Section Load'!H31,0))</f>
        <v>1507.9300000000512</v>
      </c>
      <c r="H28" s="921">
        <f>(IF('Section Load'!I31&gt;0,'Section Load'!I31,0))</f>
        <v>3783</v>
      </c>
      <c r="I28" s="921">
        <f>(IF('Section Load'!J31&gt;0,'Section Load'!J31,0))</f>
        <v>6213</v>
      </c>
      <c r="J28" s="921">
        <f>(IF('Section Load'!K31&gt;0,'Section Load'!K31,0))</f>
        <v>2676</v>
      </c>
      <c r="K28" s="921">
        <f>(IF('Section Load'!L31&gt;0,'Section Load'!L31,0))</f>
        <v>988</v>
      </c>
      <c r="L28" s="921">
        <f>(IF('Section Load'!M31&gt;0,'Section Load'!M31,0))</f>
        <v>671</v>
      </c>
      <c r="M28" s="921">
        <f>(IF('Section Load'!N31&gt;0,'Section Load'!N31,0))</f>
        <v>13</v>
      </c>
      <c r="N28" s="921">
        <f>(IF('Section Load'!O31&gt;0,'Section Load'!O31,0))</f>
        <v>1</v>
      </c>
      <c r="O28" s="921">
        <f>(IF('Section Load'!P31&gt;0,'Section Load'!P31,0))</f>
        <v>3</v>
      </c>
      <c r="P28" s="921">
        <f>(IF('Section Load'!Q31&gt;0,'Section Load'!Q31,0))</f>
        <v>148</v>
      </c>
      <c r="Q28" s="921">
        <f>(IF('Section Load'!R31&gt;0,'Section Load'!R31,0))</f>
        <v>78</v>
      </c>
      <c r="R28" s="921">
        <f>(IF('Section Load'!S31&gt;0,'Section Load'!S31,0))</f>
        <v>113</v>
      </c>
      <c r="S28" s="921">
        <f>(IF('Section Load'!T31&gt;0,'Section Load'!T31,0))</f>
        <v>185</v>
      </c>
      <c r="T28" s="921">
        <f>(IF('Section Load'!U31&gt;0,'Section Load'!U31,0))</f>
        <v>144</v>
      </c>
      <c r="U28" s="921">
        <f>(IF('Section Load'!V31&gt;0,'Section Load'!V31,0))</f>
        <v>374</v>
      </c>
      <c r="V28" s="921">
        <f>(IF('Section Load'!W31&gt;0,'Section Load'!W31,0))</f>
        <v>185</v>
      </c>
      <c r="W28" s="921">
        <f>(IF('Section Load'!X31&gt;0,'Section Load'!X31,0))</f>
        <v>23</v>
      </c>
      <c r="X28" s="921">
        <f>(IF('Section Load'!Y31&gt;0,'Section Load'!Y31,0))</f>
        <v>192</v>
      </c>
      <c r="Y28" s="921">
        <f>(IF('Section Load'!Z31&gt;0,'Section Load'!Z31,0))</f>
        <v>29</v>
      </c>
      <c r="Z28" s="921">
        <f>(IF('Section Load'!AA31&gt;0,'Section Load'!AA31,0))</f>
        <v>79</v>
      </c>
      <c r="AA28" s="921">
        <f>(IF('Section Load'!AB31&gt;0,'Section Load'!AB31,0))</f>
        <v>30</v>
      </c>
      <c r="AB28" s="921">
        <f>(IF('Section Load'!AC31&gt;0,'Section Load'!AC31,0))</f>
        <v>34</v>
      </c>
      <c r="AC28" s="921">
        <f>(IF('Section Load'!AD31&gt;0,'Section Load'!AD31,0))</f>
        <v>35</v>
      </c>
      <c r="AD28" s="921">
        <f>(IF('Section Load'!AE31&gt;0,'Section Load'!AE31,0))</f>
        <v>0</v>
      </c>
      <c r="AE28" s="921">
        <f>(IF('Section Load'!AF31&gt;0,'Section Load'!AF31,0))</f>
        <v>0</v>
      </c>
      <c r="AF28" s="921">
        <f>(IF('Section Load'!AG31&gt;0,'Section Load'!AG31,0))</f>
        <v>351</v>
      </c>
      <c r="AG28" s="921">
        <f>(IF('Section Load'!AH31&gt;0,'Section Load'!AH31,0))</f>
        <v>358</v>
      </c>
      <c r="AH28" s="921">
        <f>(IF('Section Load'!AI31&gt;0,'Section Load'!AI31,0))</f>
        <v>402</v>
      </c>
      <c r="AI28" s="921">
        <f>(IF('Section Load'!AJ31&gt;0,'Section Load'!AJ31,0))</f>
        <v>529</v>
      </c>
      <c r="AJ28" s="921">
        <f>(IF('Section Load'!AK31&gt;0,'Section Load'!AK31,0))</f>
        <v>0</v>
      </c>
      <c r="AK28" s="921">
        <f>(IF('Section Load'!AL31&gt;0,'Section Load'!AL31,0))</f>
        <v>345</v>
      </c>
      <c r="AL28" s="921">
        <f>(IF('Section Load'!AM31&gt;0,'Section Load'!AM31,0))</f>
        <v>835</v>
      </c>
      <c r="AM28" s="922">
        <f>(IF('Water Report'!$AD$7&gt;0,'Water Report'!$AD$7,0))</f>
        <v>54</v>
      </c>
      <c r="AN28" s="922">
        <f>(IF('Water Report'!$AD$8&gt;0,'Water Report'!$AD$8,0))</f>
        <v>15</v>
      </c>
      <c r="AO28" s="922">
        <f>(IF('Water Report'!$AD$9&gt;0,'Water Report'!$AD$9,0))</f>
        <v>62</v>
      </c>
      <c r="AP28" s="922">
        <f>(IF('Water Report'!$AD$10&gt;0,'Water Report'!AD$10,0))</f>
        <v>19</v>
      </c>
      <c r="AQ28" s="922">
        <f>(IF('Water Report'!$AD$11&gt;0,'Water Report'!AE$11,0))</f>
        <v>24</v>
      </c>
      <c r="AR28" s="922">
        <f>(IF('Water Report'!$AD$13&gt;0,'Water Report'!AF$13,0))</f>
        <v>30</v>
      </c>
      <c r="AS28" s="922">
        <f>(IF('Water Report'!$AD$14&gt;0,'Water Report'!AG$14,0))</f>
        <v>18</v>
      </c>
      <c r="AT28" s="922">
        <f>(IF('Water Report'!$AD$15&gt;0,'Water Report'!AH$15,0))</f>
        <v>-499</v>
      </c>
      <c r="AU28" s="922">
        <f>(IF('Water Report'!$AD$17&gt;0,'Water Report'!AI$17,0))</f>
        <v>0</v>
      </c>
      <c r="AV28" s="922">
        <f>(IF('Water Report'!$AD$18&gt;0,'Water Report'!AJ$18,0))</f>
        <v>0</v>
      </c>
      <c r="AW28" s="922">
        <f>(IF('Water Report'!$AD$19&gt;0,'Water Report'!AK$19,0))</f>
        <v>0</v>
      </c>
      <c r="AX28" s="997">
        <f>(IF('Water Report'!$AD$21&gt;0,'Water Report'!AL$21,0))</f>
        <v>0</v>
      </c>
      <c r="AY28" s="997">
        <f>(IF('Water Report'!$AD$22&gt;0,'Water Report'!AM$22,0))</f>
        <v>0</v>
      </c>
      <c r="AZ28" s="997">
        <f>(IF('Water Report'!$AD$23&gt;0,'Water Report'!AN$23,0))</f>
        <v>0</v>
      </c>
      <c r="BA28" s="997">
        <f>(IF('Water Report'!$AD$14&gt;0,'Water Report'!AO$14,0))</f>
        <v>0</v>
      </c>
      <c r="BB28" s="997">
        <f>(IF('Water Report'!$AD$15&gt;0,'Water Report'!AP$15,0))</f>
        <v>0</v>
      </c>
      <c r="BC28" s="997">
        <f>(IF('Water Report'!$AD$13&gt;0,'Water Report'!AQ$13,0))</f>
        <v>0</v>
      </c>
      <c r="BD28" s="997">
        <f>(IF('Water Report'!$AD$24&gt;0,'Water Report'!AR$24,0))</f>
        <v>0</v>
      </c>
      <c r="BE28" s="997">
        <f>(IF('Water Report'!$AD$25&gt;0,'Water Report'!AS$25,0))</f>
        <v>0</v>
      </c>
      <c r="BF28" s="997">
        <f>(IF('Water Report'!$AD$27&gt;0,'Water Report'!AT$27,0))</f>
        <v>0</v>
      </c>
      <c r="BG28" s="923">
        <f>(IF('Section Load'!AN31&gt;0,'Section Load'!AN31,0))</f>
        <v>950</v>
      </c>
      <c r="BH28" s="923">
        <f>(IF('Section Load'!AO31&gt;0,'Section Load'!AO31,0))</f>
        <v>250</v>
      </c>
      <c r="BI28" s="923">
        <f>(IF('Section Load'!AP31&gt;0,'Section Load'!AP31,0))</f>
        <v>0.39999999999417923</v>
      </c>
      <c r="BJ28" s="923">
        <f>(IF('Section Load'!AQ31&gt;0,'Section Load'!AQ31,0))</f>
        <v>62</v>
      </c>
      <c r="BK28" s="923">
        <f>(IF('Section Load'!AR31&gt;0,'Section Load'!AR31,0))</f>
        <v>30</v>
      </c>
      <c r="BL28" s="923">
        <f>(IF('Section Load'!AS31&gt;0,'Section Load'!AS31,0))</f>
        <v>1</v>
      </c>
      <c r="BM28" s="923">
        <f>(IF('Section Load'!AT31&gt;0,'Section Load'!AT31,0))</f>
        <v>606.60000000000582</v>
      </c>
    </row>
    <row r="29" spans="1:65">
      <c r="A29" s="905" t="s">
        <v>290</v>
      </c>
      <c r="B29" s="906">
        <f t="shared" si="0"/>
        <v>28</v>
      </c>
      <c r="C29" s="906">
        <v>8</v>
      </c>
      <c r="D29" s="906">
        <v>2021</v>
      </c>
      <c r="E29" s="921">
        <f>(IF('Section Load'!F32&gt;0,'Section Load'!F32,0))</f>
        <v>2896</v>
      </c>
      <c r="F29" s="921">
        <f>(IF('Section Load'!G32&gt;0,'Section Load'!G32,0))</f>
        <v>1600</v>
      </c>
      <c r="G29" s="921">
        <f>(IF('Section Load'!H32&gt;0,'Section Load'!H32,0))</f>
        <v>1549.0699999999488</v>
      </c>
      <c r="H29" s="921">
        <f>(IF('Section Load'!I32&gt;0,'Section Load'!I32,0))</f>
        <v>3785</v>
      </c>
      <c r="I29" s="921">
        <f>(IF('Section Load'!J32&gt;0,'Section Load'!J32,0))</f>
        <v>6109</v>
      </c>
      <c r="J29" s="921">
        <f>(IF('Section Load'!K32&gt;0,'Section Load'!K32,0))</f>
        <v>2686.33</v>
      </c>
      <c r="K29" s="921">
        <f>(IF('Section Load'!L32&gt;0,'Section Load'!L32,0))</f>
        <v>920</v>
      </c>
      <c r="L29" s="921">
        <f>(IF('Section Load'!M32&gt;0,'Section Load'!M32,0))</f>
        <v>674</v>
      </c>
      <c r="M29" s="921">
        <f>(IF('Section Load'!N32&gt;0,'Section Load'!N32,0))</f>
        <v>13</v>
      </c>
      <c r="N29" s="921">
        <f>(IF('Section Load'!O32&gt;0,'Section Load'!O32,0))</f>
        <v>1</v>
      </c>
      <c r="O29" s="921">
        <f>(IF('Section Load'!P32&gt;0,'Section Load'!P32,0))</f>
        <v>3</v>
      </c>
      <c r="P29" s="921">
        <f>(IF('Section Load'!Q32&gt;0,'Section Load'!Q32,0))</f>
        <v>152</v>
      </c>
      <c r="Q29" s="921">
        <f>(IF('Section Load'!R32&gt;0,'Section Load'!R32,0))</f>
        <v>71</v>
      </c>
      <c r="R29" s="921">
        <f>(IF('Section Load'!S32&gt;0,'Section Load'!S32,0))</f>
        <v>78</v>
      </c>
      <c r="S29" s="921">
        <f>(IF('Section Load'!T32&gt;0,'Section Load'!T32,0))</f>
        <v>81</v>
      </c>
      <c r="T29" s="921">
        <f>(IF('Section Load'!U32&gt;0,'Section Load'!U32,0))</f>
        <v>145</v>
      </c>
      <c r="U29" s="921">
        <f>(IF('Section Load'!V32&gt;0,'Section Load'!V32,0))</f>
        <v>361</v>
      </c>
      <c r="V29" s="921">
        <f>(IF('Section Load'!W32&gt;0,'Section Load'!W32,0))</f>
        <v>190</v>
      </c>
      <c r="W29" s="921">
        <f>(IF('Section Load'!X32&gt;0,'Section Load'!X32,0))</f>
        <v>15</v>
      </c>
      <c r="X29" s="921">
        <f>(IF('Section Load'!Y32&gt;0,'Section Load'!Y32,0))</f>
        <v>162</v>
      </c>
      <c r="Y29" s="921">
        <f>(IF('Section Load'!Z32&gt;0,'Section Load'!Z32,0))</f>
        <v>224</v>
      </c>
      <c r="Z29" s="921">
        <f>(IF('Section Load'!AA32&gt;0,'Section Load'!AA32,0))</f>
        <v>19</v>
      </c>
      <c r="AA29" s="921">
        <f>(IF('Section Load'!AB32&gt;0,'Section Load'!AB32,0))</f>
        <v>34</v>
      </c>
      <c r="AB29" s="921">
        <f>(IF('Section Load'!AC32&gt;0,'Section Load'!AC32,0))</f>
        <v>26</v>
      </c>
      <c r="AC29" s="921">
        <f>(IF('Section Load'!AD32&gt;0,'Section Load'!AD32,0))</f>
        <v>40</v>
      </c>
      <c r="AD29" s="921">
        <f>(IF('Section Load'!AE32&gt;0,'Section Load'!AE32,0))</f>
        <v>0</v>
      </c>
      <c r="AE29" s="921">
        <f>(IF('Section Load'!AF32&gt;0,'Section Load'!AF32,0))</f>
        <v>0</v>
      </c>
      <c r="AF29" s="921">
        <f>(IF('Section Load'!AG32&gt;0,'Section Load'!AG32,0))</f>
        <v>389</v>
      </c>
      <c r="AG29" s="921">
        <f>(IF('Section Load'!AH32&gt;0,'Section Load'!AH32,0))</f>
        <v>382</v>
      </c>
      <c r="AH29" s="921">
        <f>(IF('Section Load'!AI32&gt;0,'Section Load'!AI32,0))</f>
        <v>396</v>
      </c>
      <c r="AI29" s="921">
        <f>(IF('Section Load'!AJ32&gt;0,'Section Load'!AJ32,0))</f>
        <v>497</v>
      </c>
      <c r="AJ29" s="921">
        <f>(IF('Section Load'!AK32&gt;0,'Section Load'!AK32,0))</f>
        <v>0</v>
      </c>
      <c r="AK29" s="921">
        <f>(IF('Section Load'!AL32&gt;0,'Section Load'!AL32,0))</f>
        <v>350</v>
      </c>
      <c r="AL29" s="921">
        <f>(IF('Section Load'!AM32&gt;0,'Section Load'!AM32,0))</f>
        <v>779</v>
      </c>
      <c r="AM29" s="922">
        <f>(IF('Water Report'!$AE$7&gt;0,'Water Report'!$AE$7,0))</f>
        <v>61</v>
      </c>
      <c r="AN29" s="922">
        <f>(IF('Water Report'!$AE$8&gt;0,'Water Report'!$AE$8,0))</f>
        <v>119</v>
      </c>
      <c r="AO29" s="922">
        <f>(IF('Water Report'!$AE$9&gt;0,'Water Report'!$AE$9,0))</f>
        <v>61</v>
      </c>
      <c r="AP29" s="922">
        <f>(IF('Water Report'!$AE$10&gt;0,'Water Report'!$AE$10,0))</f>
        <v>21</v>
      </c>
      <c r="AQ29" s="922">
        <f>(IF('Water Report'!$AE$11&gt;0,'Water Report'!$AE$11,0))</f>
        <v>24</v>
      </c>
      <c r="AR29" s="922">
        <f>(IF('Water Report'!$AE$13&gt;0,'Water Report'!$AE$13,0))</f>
        <v>47</v>
      </c>
      <c r="AS29" s="922">
        <f>(IF('Water Report'!$AE$14&gt;0,'Water Report'!$AE$14,0))</f>
        <v>11</v>
      </c>
      <c r="AT29" s="922">
        <f>(IF('Water Report'!$AE$15&gt;0,'Water Report'!$AE$15,0))</f>
        <v>9</v>
      </c>
      <c r="AU29" s="922">
        <f>(IF('Water Report'!$AE$17&gt;0,'Water Report'!$AE$17,0))</f>
        <v>0</v>
      </c>
      <c r="AV29" s="922">
        <f>(IF('Water Report'!$AE$18&gt;0,'Water Report'!$AE$18,0))</f>
        <v>8</v>
      </c>
      <c r="AW29" s="922">
        <f>(IF('Water Report'!$AE$19&gt;0,'Water Report'!$AE$19,0))</f>
        <v>3</v>
      </c>
      <c r="AX29" s="997">
        <f>(IF('Water Report'!$AE$21&gt;0,'Water Report'!$AE$21,0))</f>
        <v>70</v>
      </c>
      <c r="AY29" s="997">
        <f>(IF('Water Report'!$AE$22&gt;0,'Water Report'!$AE$22,0))</f>
        <v>19</v>
      </c>
      <c r="AZ29" s="997">
        <f>(IF('Water Report'!$AE$23&gt;0,'Water Report'!$AE$23,0))</f>
        <v>0</v>
      </c>
      <c r="BA29" s="997">
        <f>(IF('Water Report'!$AE$14&gt;0,'Water Report'!$AE$14,0))</f>
        <v>11</v>
      </c>
      <c r="BB29" s="997">
        <f>(IF('Water Report'!$AE$15&gt;0,'Water Report'!$AE$15,0))</f>
        <v>9</v>
      </c>
      <c r="BC29" s="997">
        <f>(IF('Water Report'!$AE$13&gt;0,'Water Report'!$AE$13,0))</f>
        <v>47</v>
      </c>
      <c r="BD29" s="997">
        <f>(IF('Water Report'!$AE$24&gt;0,'Water Report'!$AE$24,0))</f>
        <v>120</v>
      </c>
      <c r="BE29" s="997">
        <f>(IF('Water Report'!$AE$25&gt;0,'Water Report'!$AE$25,0))</f>
        <v>126</v>
      </c>
      <c r="BF29" s="997">
        <f>(IF('Water Report'!$AE$27&gt;0,'Water Report'!$AE$27,0))</f>
        <v>117</v>
      </c>
      <c r="BG29" s="923">
        <f>(IF('Section Load'!AN32&gt;0,'Section Load'!AN32,0))</f>
        <v>950</v>
      </c>
      <c r="BH29" s="923">
        <f>(IF('Section Load'!AO32&gt;0,'Section Load'!AO32,0))</f>
        <v>243</v>
      </c>
      <c r="BI29" s="923">
        <f>(IF('Section Load'!AP32&gt;0,'Section Load'!AP32,0))</f>
        <v>0</v>
      </c>
      <c r="BJ29" s="923">
        <f>(IF('Section Load'!AQ32&gt;0,'Section Load'!AQ32,0))</f>
        <v>66</v>
      </c>
      <c r="BK29" s="923">
        <f>(IF('Section Load'!AR32&gt;0,'Section Load'!AR32,0))</f>
        <v>32</v>
      </c>
      <c r="BL29" s="923">
        <f>(IF('Section Load'!AS32&gt;0,'Section Load'!AS32,0))</f>
        <v>2</v>
      </c>
      <c r="BM29" s="923">
        <f>(IF('Section Load'!AT32&gt;0,'Section Load'!AT32,0))</f>
        <v>607</v>
      </c>
    </row>
    <row r="30" spans="1:65">
      <c r="A30" s="905" t="s">
        <v>290</v>
      </c>
      <c r="B30" s="906">
        <f t="shared" si="0"/>
        <v>29</v>
      </c>
      <c r="C30" s="906">
        <v>8</v>
      </c>
      <c r="D30" s="906">
        <v>2021</v>
      </c>
      <c r="E30" s="921">
        <f>(IF('Section Load'!F33&gt;0,'Section Load'!F33,0))</f>
        <v>3024</v>
      </c>
      <c r="F30" s="921">
        <f>(IF('Section Load'!G33&gt;0,'Section Load'!G33,0))</f>
        <v>1606.8699999999953</v>
      </c>
      <c r="G30" s="921">
        <f>(IF('Section Load'!H33&gt;0,'Section Load'!H33,0))</f>
        <v>1643</v>
      </c>
      <c r="H30" s="921">
        <f>(IF('Section Load'!I33&gt;0,'Section Load'!I33,0))</f>
        <v>3817</v>
      </c>
      <c r="I30" s="921">
        <f>(IF('Section Load'!J33&gt;0,'Section Load'!J33,0))</f>
        <v>7255</v>
      </c>
      <c r="J30" s="921">
        <f>(IF('Section Load'!K33&gt;0,'Section Load'!K33,0))</f>
        <v>2797.67</v>
      </c>
      <c r="K30" s="921">
        <f>(IF('Section Load'!L33&gt;0,'Section Load'!L33,0))</f>
        <v>980</v>
      </c>
      <c r="L30" s="921">
        <f>(IF('Section Load'!M33&gt;0,'Section Load'!M33,0))</f>
        <v>1126</v>
      </c>
      <c r="M30" s="921">
        <f>(IF('Section Load'!N33&gt;0,'Section Load'!N33,0))</f>
        <v>13</v>
      </c>
      <c r="N30" s="921">
        <f>(IF('Section Load'!O33&gt;0,'Section Load'!O33,0))</f>
        <v>1</v>
      </c>
      <c r="O30" s="921">
        <f>(IF('Section Load'!P33&gt;0,'Section Load'!P33,0))</f>
        <v>2</v>
      </c>
      <c r="P30" s="921">
        <f>(IF('Section Load'!Q33&gt;0,'Section Load'!Q33,0))</f>
        <v>159</v>
      </c>
      <c r="Q30" s="921">
        <f>(IF('Section Load'!R33&gt;0,'Section Load'!R33,0))</f>
        <v>73</v>
      </c>
      <c r="R30" s="921">
        <f>(IF('Section Load'!S33&gt;0,'Section Load'!S33,0))</f>
        <v>58</v>
      </c>
      <c r="S30" s="921">
        <f>(IF('Section Load'!T33&gt;0,'Section Load'!T33,0))</f>
        <v>130</v>
      </c>
      <c r="T30" s="921">
        <f>(IF('Section Load'!U33&gt;0,'Section Load'!U33,0))</f>
        <v>148</v>
      </c>
      <c r="U30" s="921">
        <f>(IF('Section Load'!V33&gt;0,'Section Load'!V33,0))</f>
        <v>381</v>
      </c>
      <c r="V30" s="921">
        <f>(IF('Section Load'!W33&gt;0,'Section Load'!W33,0))</f>
        <v>197</v>
      </c>
      <c r="W30" s="921">
        <f>(IF('Section Load'!X33&gt;0,'Section Load'!X33,0))</f>
        <v>27</v>
      </c>
      <c r="X30" s="921">
        <f>(IF('Section Load'!Y33&gt;0,'Section Load'!Y33,0))</f>
        <v>197</v>
      </c>
      <c r="Y30" s="921">
        <f>(IF('Section Load'!Z33&gt;0,'Section Load'!Z33,0))</f>
        <v>296</v>
      </c>
      <c r="Z30" s="921">
        <f>(IF('Section Load'!AA33&gt;0,'Section Load'!AA33,0))</f>
        <v>9</v>
      </c>
      <c r="AA30" s="921">
        <f>(IF('Section Load'!AB33&gt;0,'Section Load'!AB33,0))</f>
        <v>39</v>
      </c>
      <c r="AB30" s="921">
        <f>(IF('Section Load'!AC33&gt;0,'Section Load'!AC33,0))</f>
        <v>23</v>
      </c>
      <c r="AC30" s="921">
        <f>(IF('Section Load'!AD33&gt;0,'Section Load'!AD33,0))</f>
        <v>44</v>
      </c>
      <c r="AD30" s="921">
        <f>(IF('Section Load'!AE33&gt;0,'Section Load'!AE33,0))</f>
        <v>0</v>
      </c>
      <c r="AE30" s="921">
        <f>(IF('Section Load'!AF33&gt;0,'Section Load'!AF33,0))</f>
        <v>0</v>
      </c>
      <c r="AF30" s="921">
        <f>(IF('Section Load'!AG33&gt;0,'Section Load'!AG33,0))</f>
        <v>405</v>
      </c>
      <c r="AG30" s="921">
        <f>(IF('Section Load'!AH33&gt;0,'Section Load'!AH33,0))</f>
        <v>399</v>
      </c>
      <c r="AH30" s="921">
        <f>(IF('Section Load'!AI33&gt;0,'Section Load'!AI33,0))</f>
        <v>406</v>
      </c>
      <c r="AI30" s="921">
        <f>(IF('Section Load'!AJ33&gt;0,'Section Load'!AJ33,0))</f>
        <v>509</v>
      </c>
      <c r="AJ30" s="921">
        <f>(IF('Section Load'!AK33&gt;0,'Section Load'!AK33,0))</f>
        <v>0</v>
      </c>
      <c r="AK30" s="921">
        <f>(IF('Section Load'!AL33&gt;0,'Section Load'!AL33,0))</f>
        <v>350</v>
      </c>
      <c r="AL30" s="921">
        <f>(IF('Section Load'!AM33&gt;0,'Section Load'!AM33,0))</f>
        <v>793</v>
      </c>
      <c r="AM30" s="922">
        <f>(IF('Water Report'!$AF$7&gt;0,'Water Report'!$AF$7,0))</f>
        <v>67</v>
      </c>
      <c r="AN30" s="922">
        <f>(IF('Water Report'!$AF$8&gt;0,'Water Report'!$AF$8,0))</f>
        <v>108</v>
      </c>
      <c r="AO30" s="922">
        <f>(IF('Water Report'!$AF$9&gt;0,'Water Report'!$AF$9,0))</f>
        <v>69</v>
      </c>
      <c r="AP30" s="922">
        <f>(IF('Water Report'!$AF$10&gt;0,'Water Report'!$AF$10,0))</f>
        <v>20</v>
      </c>
      <c r="AQ30" s="922">
        <f>(IF('Water Report'!$AF$11&gt;0,'Water Report'!$AF$11,0))</f>
        <v>25</v>
      </c>
      <c r="AR30" s="922">
        <f>(IF('Water Report'!$AF$13&gt;0,'Water Report'!$AF$13,0))</f>
        <v>30</v>
      </c>
      <c r="AS30" s="922">
        <f>(IF('Water Report'!$AF$14&gt;0,'Water Report'!$AF$14,0))</f>
        <v>10</v>
      </c>
      <c r="AT30" s="922">
        <f>(IF('Water Report'!$AF$15&gt;0,'Water Report'!$AF$15,0))</f>
        <v>7</v>
      </c>
      <c r="AU30" s="922">
        <f>(IF('Water Report'!$AF$17&gt;0,'Water Report'!$AF$17,0))</f>
        <v>0</v>
      </c>
      <c r="AV30" s="922">
        <f>(IF('Water Report'!$AF$18&gt;0,'Water Report'!$AF$18,0))</f>
        <v>8</v>
      </c>
      <c r="AW30" s="922">
        <f>(IF('Water Report'!$AF$19&gt;0,'Water Report'!$AF$19,0))</f>
        <v>5</v>
      </c>
      <c r="AX30" s="997">
        <f>(IF('Water Report'!$AF$21&gt;0,'Water Report'!$AF$21,0))</f>
        <v>70</v>
      </c>
      <c r="AY30" s="997">
        <f>(IF('Water Report'!$AF$22&gt;0,'Water Report'!$AF$22,0))</f>
        <v>0</v>
      </c>
      <c r="AZ30" s="997">
        <f>(IF('Water Report'!$AF$23&gt;0,'Water Report'!$AF$23,0))</f>
        <v>0</v>
      </c>
      <c r="BA30" s="997">
        <f>(IF('Water Report'!$AF$14&gt;0,'Water Report'!$AF$14,0))</f>
        <v>10</v>
      </c>
      <c r="BB30" s="997">
        <f>(IF('Water Report'!$AF$15&gt;0,'Water Report'!$AF$15,0))</f>
        <v>7</v>
      </c>
      <c r="BC30" s="997">
        <f>(IF('Water Report'!$AF$13&gt;0,'Water Report'!$AF$13,0))</f>
        <v>30</v>
      </c>
      <c r="BD30" s="997">
        <f>(IF('Water Report'!$AF$24&gt;0,'Water Report'!$AF$24,0))</f>
        <v>200</v>
      </c>
      <c r="BE30" s="997">
        <f>(IF('Water Report'!$AF$25&gt;0,'Water Report'!$AF$25,0))</f>
        <v>131</v>
      </c>
      <c r="BF30" s="997">
        <f>(IF('Water Report'!$AF$27&gt;0,'Water Report'!$AF$27,0))</f>
        <v>100</v>
      </c>
      <c r="BG30" s="923">
        <f>(IF('Section Load'!AN33&gt;0,'Section Load'!AN33,0))</f>
        <v>950</v>
      </c>
      <c r="BH30" s="923">
        <f>(IF('Section Load'!AO33&gt;0,'Section Load'!AO33,0))</f>
        <v>265</v>
      </c>
      <c r="BI30" s="923">
        <f>(IF('Section Load'!AP33&gt;0,'Section Load'!AP33,0))</f>
        <v>0</v>
      </c>
      <c r="BJ30" s="923">
        <f>(IF('Section Load'!AQ33&gt;0,'Section Load'!AQ33,0))</f>
        <v>89</v>
      </c>
      <c r="BK30" s="923">
        <f>(IF('Section Load'!AR33&gt;0,'Section Load'!AR33,0))</f>
        <v>44</v>
      </c>
      <c r="BL30" s="923">
        <f>(IF('Section Load'!AS33&gt;0,'Section Load'!AS33,0))</f>
        <v>1</v>
      </c>
      <c r="BM30" s="923">
        <f>(IF('Section Load'!AT33&gt;0,'Section Load'!AT33,0))</f>
        <v>551.39999999999418</v>
      </c>
    </row>
    <row r="31" spans="1:65">
      <c r="A31" s="905" t="s">
        <v>290</v>
      </c>
      <c r="B31" s="906">
        <f t="shared" si="0"/>
        <v>30</v>
      </c>
      <c r="C31" s="906">
        <v>8</v>
      </c>
      <c r="D31" s="906">
        <v>2021</v>
      </c>
      <c r="E31" s="921">
        <f>(IF('Section Load'!F34&gt;0,'Section Load'!F34,0))</f>
        <v>3004</v>
      </c>
      <c r="F31" s="921">
        <f>(IF('Section Load'!G34&gt;0,'Section Load'!G34,0))</f>
        <v>1632.1300000000047</v>
      </c>
      <c r="G31" s="921">
        <f>(IF('Section Load'!H34&gt;0,'Section Load'!H34,0))</f>
        <v>1699.9300000000512</v>
      </c>
      <c r="H31" s="921">
        <f>(IF('Section Load'!I34&gt;0,'Section Load'!I34,0))</f>
        <v>3848</v>
      </c>
      <c r="I31" s="921">
        <f>(IF('Section Load'!J34&gt;0,'Section Load'!J34,0))</f>
        <v>6835</v>
      </c>
      <c r="J31" s="921">
        <f>(IF('Section Load'!K34&gt;0,'Section Load'!K34,0))</f>
        <v>2640</v>
      </c>
      <c r="K31" s="921">
        <f>(IF('Section Load'!L34&gt;0,'Section Load'!L34,0))</f>
        <v>1029</v>
      </c>
      <c r="L31" s="921">
        <f>(IF('Section Load'!M34&gt;0,'Section Load'!M34,0))</f>
        <v>857</v>
      </c>
      <c r="M31" s="921">
        <f>(IF('Section Load'!N34&gt;0,'Section Load'!N34,0))</f>
        <v>15</v>
      </c>
      <c r="N31" s="921">
        <f>(IF('Section Load'!O34&gt;0,'Section Load'!O34,0))</f>
        <v>2</v>
      </c>
      <c r="O31" s="921">
        <f>(IF('Section Load'!P34&gt;0,'Section Load'!P34,0))</f>
        <v>1</v>
      </c>
      <c r="P31" s="921">
        <f>(IF('Section Load'!Q34&gt;0,'Section Load'!Q34,0))</f>
        <v>172</v>
      </c>
      <c r="Q31" s="921">
        <f>(IF('Section Load'!R34&gt;0,'Section Load'!R34,0))</f>
        <v>73</v>
      </c>
      <c r="R31" s="921">
        <f>(IF('Section Load'!S34&gt;0,'Section Load'!S34,0))</f>
        <v>57</v>
      </c>
      <c r="S31" s="921">
        <f>(IF('Section Load'!T34&gt;0,'Section Load'!T34,0))</f>
        <v>177</v>
      </c>
      <c r="T31" s="921">
        <f>(IF('Section Load'!U34&gt;0,'Section Load'!U34,0))</f>
        <v>139</v>
      </c>
      <c r="U31" s="921">
        <f>(IF('Section Load'!V34&gt;0,'Section Load'!V34,0))</f>
        <v>410</v>
      </c>
      <c r="V31" s="921">
        <f>(IF('Section Load'!W34&gt;0,'Section Load'!W34,0))</f>
        <v>188</v>
      </c>
      <c r="W31" s="921">
        <f>(IF('Section Load'!X34&gt;0,'Section Load'!X34,0))</f>
        <v>14</v>
      </c>
      <c r="X31" s="921">
        <f>(IF('Section Load'!Y34&gt;0,'Section Load'!Y34,0))</f>
        <v>220</v>
      </c>
      <c r="Y31" s="921">
        <f>(IF('Section Load'!Z34&gt;0,'Section Load'!Z34,0))</f>
        <v>321</v>
      </c>
      <c r="Z31" s="921">
        <f>(IF('Section Load'!AA34&gt;0,'Section Load'!AA34,0))</f>
        <v>12</v>
      </c>
      <c r="AA31" s="921">
        <f>(IF('Section Load'!AB34&gt;0,'Section Load'!AB34,0))</f>
        <v>32</v>
      </c>
      <c r="AB31" s="921">
        <f>(IF('Section Load'!AC34&gt;0,'Section Load'!AC34,0))</f>
        <v>20</v>
      </c>
      <c r="AC31" s="921">
        <f>(IF('Section Load'!AD34&gt;0,'Section Load'!AD34,0))</f>
        <v>42</v>
      </c>
      <c r="AD31" s="921">
        <f>(IF('Section Load'!AE34&gt;0,'Section Load'!AE34,0))</f>
        <v>0</v>
      </c>
      <c r="AE31" s="921">
        <f>(IF('Section Load'!AF34&gt;0,'Section Load'!AF34,0))</f>
        <v>0</v>
      </c>
      <c r="AF31" s="921">
        <f>(IF('Section Load'!AG34&gt;0,'Section Load'!AG34,0))</f>
        <v>379</v>
      </c>
      <c r="AG31" s="921">
        <f>(IF('Section Load'!AH34&gt;0,'Section Load'!AH34,0))</f>
        <v>402</v>
      </c>
      <c r="AH31" s="921">
        <f>(IF('Section Load'!AI34&gt;0,'Section Load'!AI34,0))</f>
        <v>418</v>
      </c>
      <c r="AI31" s="921">
        <f>(IF('Section Load'!AJ34&gt;0,'Section Load'!AJ34,0))</f>
        <v>525</v>
      </c>
      <c r="AJ31" s="921">
        <f>(IF('Section Load'!AK34&gt;0,'Section Load'!AK34,0))</f>
        <v>0</v>
      </c>
      <c r="AK31" s="921">
        <f>(IF('Section Load'!AL34&gt;0,'Section Load'!AL34,0))</f>
        <v>347</v>
      </c>
      <c r="AL31" s="921">
        <f>(IF('Section Load'!AM34&gt;0,'Section Load'!AM34,0))</f>
        <v>802</v>
      </c>
      <c r="AM31" s="922">
        <f>(IF('Water Report'!$AG$7&gt;0,'Water Report'!$AG$7,0))</f>
        <v>85</v>
      </c>
      <c r="AN31" s="922">
        <f>(IF('Water Report'!$AG$8&gt;0,'Water Report'!$AG$8,0))</f>
        <v>76</v>
      </c>
      <c r="AO31" s="922">
        <f>(IF('Water Report'!$AG$9&gt;0,'Water Report'!$AG$9,0))</f>
        <v>73</v>
      </c>
      <c r="AP31" s="922">
        <f>(IF('Water Report'!$AG$10&gt;0,'Water Report'!$DAG$10,0))</f>
        <v>0</v>
      </c>
      <c r="AQ31" s="922">
        <f>(IF('Water Report'!$AG$11&gt;0,'Water Report'!$DAG$11,0))</f>
        <v>0</v>
      </c>
      <c r="AR31" s="922">
        <f>(IF('Water Report'!$AG$13&gt;0,'Water Report'!$DAG$13,0))</f>
        <v>0</v>
      </c>
      <c r="AS31" s="922">
        <f>(IF('Water Report'!$AG$14&gt;0,'Water Report'!$DAG$14,0))</f>
        <v>0</v>
      </c>
      <c r="AT31" s="922">
        <f>(IF('Water Report'!$AG$15&gt;0,'Water Report'!$DAG$15,0))</f>
        <v>0</v>
      </c>
      <c r="AU31" s="922">
        <f>(IF('Water Report'!$AG$17&gt;0,'Water Report'!$DAG$17,0))</f>
        <v>0</v>
      </c>
      <c r="AV31" s="922">
        <f>(IF('Water Report'!$AG$18&gt;0,'Water Report'!$DAG$18,0))</f>
        <v>0</v>
      </c>
      <c r="AW31" s="922">
        <f>(IF('Water Report'!$AG$19&gt;0,'Water Report'!$DAG$19,0))</f>
        <v>0</v>
      </c>
      <c r="AX31" s="997">
        <f>(IF('Water Report'!$AG$21&gt;0,'Water Report'!$DAG$21,0))</f>
        <v>0</v>
      </c>
      <c r="AY31" s="997">
        <f>(IF('Water Report'!$AG$22&gt;0,'Water Report'!$DAG$22,0))</f>
        <v>0</v>
      </c>
      <c r="AZ31" s="997">
        <f>(IF('Water Report'!$AG$23&gt;0,'Water Report'!$DAG$23,0))</f>
        <v>0</v>
      </c>
      <c r="BA31" s="997">
        <f>(IF('Water Report'!$AG$14&gt;0,'Water Report'!$DAG$14,0))</f>
        <v>0</v>
      </c>
      <c r="BB31" s="997">
        <f>(IF('Water Report'!$AG$15&gt;0,'Water Report'!$DAG$15,0))</f>
        <v>0</v>
      </c>
      <c r="BC31" s="997">
        <f>(IF('Water Report'!$AG$13&gt;0,'Water Report'!$DAG$13,0))</f>
        <v>0</v>
      </c>
      <c r="BD31" s="997">
        <f>(IF('Water Report'!$AG$24&gt;0,'Water Report'!$DAG$24,0))</f>
        <v>0</v>
      </c>
      <c r="BE31" s="997">
        <f>(IF('Water Report'!$AG$25&gt;0,'Water Report'!$DAG$25,0))</f>
        <v>0</v>
      </c>
      <c r="BF31" s="997">
        <f>(IF('Water Report'!$AG$27&gt;0,'Water Report'!$DAG$27,0))</f>
        <v>0</v>
      </c>
      <c r="BG31" s="923">
        <f>(IF('Section Load'!AN34&gt;0,'Section Load'!AN34,0))</f>
        <v>950</v>
      </c>
      <c r="BH31" s="923">
        <f>(IF('Section Load'!AO34&gt;0,'Section Load'!AO34,0))</f>
        <v>162</v>
      </c>
      <c r="BI31" s="923">
        <f>(IF('Section Load'!AP34&gt;0,'Section Load'!AP34,0))</f>
        <v>0.39999999999417923</v>
      </c>
      <c r="BJ31" s="923">
        <f>(IF('Section Load'!AQ34&gt;0,'Section Load'!AQ34,0))</f>
        <v>91</v>
      </c>
      <c r="BK31" s="923">
        <f>(IF('Section Load'!AR34&gt;0,'Section Load'!AR34,0))</f>
        <v>49</v>
      </c>
      <c r="BL31" s="923">
        <f>(IF('Section Load'!AS34&gt;0,'Section Load'!AS34,0))</f>
        <v>4</v>
      </c>
      <c r="BM31" s="923">
        <f>(IF('Section Load'!AT34&gt;0,'Section Load'!AT34,0))</f>
        <v>643.60000000000582</v>
      </c>
    </row>
    <row r="32" spans="1:65">
      <c r="A32" s="905" t="s">
        <v>290</v>
      </c>
      <c r="B32" s="906">
        <f t="shared" si="0"/>
        <v>31</v>
      </c>
      <c r="C32" s="906">
        <v>8</v>
      </c>
      <c r="D32" s="906">
        <v>2021</v>
      </c>
      <c r="E32" s="921">
        <f>(IF('Section Load'!F35&gt;0,'Section Load'!F35,0))</f>
        <v>0</v>
      </c>
      <c r="F32" s="921">
        <f>(IF('Section Load'!G35&gt;0,'Section Load'!G35,0))</f>
        <v>0</v>
      </c>
      <c r="G32" s="921">
        <f>(IF('Section Load'!H35&gt;0,'Section Load'!H35,0))</f>
        <v>1249</v>
      </c>
      <c r="H32" s="921">
        <f>(IF('Section Load'!I35&gt;0,'Section Load'!I35,0))</f>
        <v>0</v>
      </c>
      <c r="I32" s="921">
        <f>(IF('Section Load'!J35&gt;0,'Section Load'!J35,0))</f>
        <v>0</v>
      </c>
      <c r="J32" s="921">
        <f>(IF('Section Load'!K35&gt;0,'Section Load'!K35,0))</f>
        <v>0</v>
      </c>
      <c r="K32" s="921">
        <f>(IF('Section Load'!L35&gt;0,'Section Load'!L35,0))</f>
        <v>0</v>
      </c>
      <c r="L32" s="921">
        <f>(IF('Section Load'!M35&gt;0,'Section Load'!M35,0))</f>
        <v>173</v>
      </c>
      <c r="M32" s="921">
        <f>(IF('Section Load'!N35&gt;0,'Section Load'!N35,0))</f>
        <v>0</v>
      </c>
      <c r="N32" s="921">
        <f>(IF('Section Load'!O35&gt;0,'Section Load'!O35,0))</f>
        <v>0</v>
      </c>
      <c r="O32" s="921">
        <f>(IF('Section Load'!P35&gt;0,'Section Load'!P35,0))</f>
        <v>0</v>
      </c>
      <c r="P32" s="921">
        <f>(IF('Section Load'!Q35&gt;0,'Section Load'!Q35,0))</f>
        <v>0</v>
      </c>
      <c r="Q32" s="921">
        <f>(IF('Section Load'!R35&gt;0,'Section Load'!R35,0))</f>
        <v>0</v>
      </c>
      <c r="R32" s="921">
        <f>(IF('Section Load'!S35&gt;0,'Section Load'!S35,0))</f>
        <v>0</v>
      </c>
      <c r="S32" s="921">
        <f>(IF('Section Load'!T35&gt;0,'Section Load'!T35,0))</f>
        <v>0</v>
      </c>
      <c r="T32" s="921">
        <f>(IF('Section Load'!U35&gt;0,'Section Load'!U35,0))</f>
        <v>0</v>
      </c>
      <c r="U32" s="921">
        <f>(IF('Section Load'!V35&gt;0,'Section Load'!V35,0))</f>
        <v>0</v>
      </c>
      <c r="V32" s="921">
        <f>(IF('Section Load'!W35&gt;0,'Section Load'!W35,0))</f>
        <v>0</v>
      </c>
      <c r="W32" s="921">
        <f>(IF('Section Load'!X35&gt;0,'Section Load'!X35,0))</f>
        <v>0</v>
      </c>
      <c r="X32" s="921">
        <f>(IF('Section Load'!Y35&gt;0,'Section Load'!Y35,0))</f>
        <v>0</v>
      </c>
      <c r="Y32" s="921">
        <f>(IF('Section Load'!Z35&gt;0,'Section Load'!Z35,0))</f>
        <v>0</v>
      </c>
      <c r="Z32" s="921">
        <f>(IF('Section Load'!AA35&gt;0,'Section Load'!AA35,0))</f>
        <v>0</v>
      </c>
      <c r="AA32" s="921">
        <f>(IF('Section Load'!AB35&gt;0,'Section Load'!AB35,0))</f>
        <v>0</v>
      </c>
      <c r="AB32" s="921">
        <f>(IF('Section Load'!AC35&gt;0,'Section Load'!AC35,0))</f>
        <v>0</v>
      </c>
      <c r="AC32" s="921">
        <f>(IF('Section Load'!AD35&gt;0,'Section Load'!AD35,0))</f>
        <v>0</v>
      </c>
      <c r="AD32" s="921">
        <f>(IF('Section Load'!AE35&gt;0,'Section Load'!AE35,0))</f>
        <v>0</v>
      </c>
      <c r="AE32" s="921">
        <f>(IF('Section Load'!AF35&gt;0,'Section Load'!AF35,0))</f>
        <v>0</v>
      </c>
      <c r="AF32" s="921">
        <f>(IF('Section Load'!AG35&gt;0,'Section Load'!AG35,0))</f>
        <v>0</v>
      </c>
      <c r="AG32" s="921">
        <f>(IF('Section Load'!AH35&gt;0,'Section Load'!AH35,0))</f>
        <v>0</v>
      </c>
      <c r="AH32" s="921">
        <f>(IF('Section Load'!AI35&gt;0,'Section Load'!AI35,0))</f>
        <v>0</v>
      </c>
      <c r="AI32" s="921">
        <f>(IF('Section Load'!AJ35&gt;0,'Section Load'!AJ35,0))</f>
        <v>0</v>
      </c>
      <c r="AJ32" s="921">
        <f>(IF('Section Load'!AK35&gt;0,'Section Load'!AK35,0))</f>
        <v>0</v>
      </c>
      <c r="AK32" s="921">
        <f>(IF('Section Load'!AL35&gt;0,'Section Load'!AL35,0))</f>
        <v>0</v>
      </c>
      <c r="AL32" s="921">
        <f>(IF('Section Load'!AM35&gt;0,'Section Load'!AM35,0))</f>
        <v>0</v>
      </c>
      <c r="AM32" s="922">
        <f>(IF('Water Report'!$AH$7&gt;0,'Water Report'!$AH$7,0))</f>
        <v>0</v>
      </c>
      <c r="AN32" s="922">
        <f>(IF('Water Report'!$AH$8&gt;0,'Water Report'!$AH$8,0))</f>
        <v>0</v>
      </c>
      <c r="AO32" s="922">
        <f>(IF('Water Report'!$AH$9&gt;0,'Water Report'!$AH$9,0))</f>
        <v>0</v>
      </c>
      <c r="AP32" s="922">
        <f>(IF('Water Report'!$AH$10&gt;0,'Water Report'!$DAH$10,0))</f>
        <v>0</v>
      </c>
      <c r="AQ32" s="922">
        <f>(IF('Water Report'!$AH$11&gt;0,'Water Report'!$DAH$11,0))</f>
        <v>0</v>
      </c>
      <c r="AR32" s="922">
        <f>(IF('Water Report'!$AH$13&gt;0,'Water Report'!$DAH$13,0))</f>
        <v>0</v>
      </c>
      <c r="AS32" s="922">
        <f>(IF('Water Report'!$AH$14&gt;0,'Water Report'!$DAH$14,0))</f>
        <v>0</v>
      </c>
      <c r="AT32" s="922">
        <f>(IF('Water Report'!$AH$15&gt;0,'Water Report'!$DAH$15,0))</f>
        <v>0</v>
      </c>
      <c r="AU32" s="922">
        <f>(IF('Water Report'!$AH$17&gt;0,'Water Report'!$DAH$17,0))</f>
        <v>0</v>
      </c>
      <c r="AV32" s="922">
        <f>(IF('Water Report'!$AH$18&gt;0,'Water Report'!$DAH$18,0))</f>
        <v>0</v>
      </c>
      <c r="AW32" s="922">
        <f>(IF('Water Report'!$AH$19&gt;0,'Water Report'!$DAH$19,0))</f>
        <v>0</v>
      </c>
      <c r="AX32" s="997">
        <f>(IF('Water Report'!$AH$21&gt;0,'Water Report'!$DAH$21,0))</f>
        <v>0</v>
      </c>
      <c r="AY32" s="997">
        <f>(IF('Water Report'!$AH$22&gt;0,'Water Report'!$DAH$22,0))</f>
        <v>0</v>
      </c>
      <c r="AZ32" s="997">
        <f>(IF('Water Report'!$AH$23&gt;0,'Water Report'!$DAH$23,0))</f>
        <v>0</v>
      </c>
      <c r="BA32" s="997">
        <f>(IF('Water Report'!$AH$14&gt;0,'Water Report'!$DAH$14,0))</f>
        <v>0</v>
      </c>
      <c r="BB32" s="997">
        <f>(IF('Water Report'!$AH$15&gt;0,'Water Report'!$DAH$15,0))</f>
        <v>0</v>
      </c>
      <c r="BC32" s="997">
        <f>(IF('Water Report'!$AH$13&gt;0,'Water Report'!$DAH$13,0))</f>
        <v>0</v>
      </c>
      <c r="BD32" s="997">
        <f>(IF('Water Report'!$AH$24&gt;0,'Water Report'!$DAH$24,0))</f>
        <v>0</v>
      </c>
      <c r="BE32" s="997">
        <f>(IF('Water Report'!$AH$25&gt;0,'Water Report'!$DAH$25,0))</f>
        <v>0</v>
      </c>
      <c r="BF32" s="997">
        <f>(IF('Water Report'!$AH$27&gt;0,'Water Report'!$DAH$27,0))</f>
        <v>0</v>
      </c>
      <c r="BG32" s="923">
        <f>(IF('Section Load'!AN35&gt;0,'Section Load'!AN35,0))</f>
        <v>950</v>
      </c>
      <c r="BH32" s="923">
        <f>(IF('Section Load'!AO35&gt;0,'Section Load'!AO35,0))</f>
        <v>0</v>
      </c>
      <c r="BI32" s="923">
        <f>(IF('Section Load'!AP35&gt;0,'Section Load'!AP35,0))</f>
        <v>0</v>
      </c>
      <c r="BJ32" s="923">
        <f>(IF('Section Load'!AQ35&gt;0,'Section Load'!AQ35,0))</f>
        <v>0</v>
      </c>
      <c r="BK32" s="923">
        <f>(IF('Section Load'!AR35&gt;0,'Section Load'!AR35,0))</f>
        <v>0</v>
      </c>
      <c r="BL32" s="923">
        <f>(IF('Section Load'!AS35&gt;0,'Section Load'!AS35,0))</f>
        <v>0</v>
      </c>
      <c r="BM32" s="923">
        <f>(IF('Section Load'!AT35&gt;0,'Section Load'!AT35,0))</f>
        <v>22905</v>
      </c>
    </row>
    <row r="35" spans="45:45">
      <c r="AS35" s="116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F43" sqref="AF4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162"/>
      <c r="B1" s="1162"/>
      <c r="C1" s="1162"/>
      <c r="D1" s="1162"/>
      <c r="E1" s="1162"/>
      <c r="F1" s="1162"/>
      <c r="G1" s="1162"/>
      <c r="H1" s="1162"/>
      <c r="I1" s="1162"/>
      <c r="J1" s="1162"/>
      <c r="K1" s="1162"/>
      <c r="L1" s="1162"/>
      <c r="M1" s="1162"/>
      <c r="N1" s="1162"/>
      <c r="O1" s="1162"/>
      <c r="P1" s="1162"/>
      <c r="Q1" s="1162"/>
      <c r="R1" s="1162"/>
      <c r="S1" s="1162"/>
      <c r="T1" s="1162"/>
      <c r="U1" s="1162"/>
      <c r="V1" s="1162"/>
      <c r="W1" s="1162"/>
      <c r="X1" s="1162"/>
      <c r="Y1" s="1162"/>
      <c r="Z1" s="1162"/>
      <c r="AA1" s="1162"/>
      <c r="AB1" s="1162"/>
      <c r="AC1" s="1162"/>
      <c r="AD1" s="1162"/>
      <c r="AE1" s="1162"/>
      <c r="AF1" s="1162"/>
      <c r="AG1" s="1162"/>
      <c r="AH1" s="1162"/>
      <c r="AI1" s="1162"/>
      <c r="AJ1" s="1162"/>
      <c r="AK1" s="1162"/>
      <c r="AL1" s="1162"/>
      <c r="AM1" s="1162"/>
      <c r="AN1" s="1162"/>
      <c r="AO1" s="1162"/>
      <c r="AP1" s="1162"/>
      <c r="AQ1" s="1162"/>
      <c r="AR1" s="1162"/>
      <c r="AS1" s="1162"/>
      <c r="AT1" s="1162"/>
      <c r="AU1" s="1162"/>
      <c r="AV1" s="1162"/>
      <c r="AW1" s="1162"/>
      <c r="AX1" s="1162"/>
      <c r="AY1" s="1162"/>
      <c r="AZ1" s="1162"/>
      <c r="BA1" s="1162"/>
      <c r="BB1" s="1162"/>
      <c r="BC1" s="1162"/>
      <c r="BD1" s="1162"/>
      <c r="BE1" s="1162"/>
      <c r="BF1" s="1162"/>
      <c r="BG1" s="1162"/>
      <c r="BH1" s="1162"/>
      <c r="BI1" s="1162"/>
      <c r="BJ1" s="1162"/>
      <c r="BK1" s="1162"/>
      <c r="BL1" s="1162"/>
      <c r="BM1" s="1162"/>
      <c r="BN1" s="1162"/>
      <c r="BO1" s="1162"/>
    </row>
    <row r="2" spans="1:70" ht="28.5" customHeight="1">
      <c r="A2" s="1" t="s">
        <v>0</v>
      </c>
      <c r="B2" s="1" t="s">
        <v>0</v>
      </c>
      <c r="C2" s="764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163" t="s">
        <v>6</v>
      </c>
      <c r="J2" s="1163"/>
      <c r="K2" s="1163"/>
      <c r="L2" s="44"/>
      <c r="M2" s="1164" t="s">
        <v>7</v>
      </c>
      <c r="N2" s="1164"/>
      <c r="O2" s="1164"/>
      <c r="P2" s="1165" t="s">
        <v>8</v>
      </c>
      <c r="Q2" s="1165"/>
      <c r="R2" s="1165"/>
      <c r="S2" s="44" t="s">
        <v>9</v>
      </c>
      <c r="T2" s="1166" t="s">
        <v>10</v>
      </c>
      <c r="U2" s="1166"/>
      <c r="V2" s="1166"/>
      <c r="W2" s="1167" t="s">
        <v>11</v>
      </c>
      <c r="X2" s="1168"/>
      <c r="Y2" s="1169"/>
      <c r="Z2" s="763"/>
      <c r="AA2" s="1170" t="s">
        <v>12</v>
      </c>
      <c r="AB2" s="1170"/>
      <c r="AC2" s="1170"/>
      <c r="AD2" s="1170"/>
      <c r="AE2" s="764"/>
      <c r="AF2" s="764" t="s">
        <v>13</v>
      </c>
      <c r="AG2" s="764" t="s">
        <v>14</v>
      </c>
      <c r="AH2" s="1170" t="s">
        <v>15</v>
      </c>
      <c r="AI2" s="1170"/>
      <c r="AJ2" s="1170"/>
      <c r="AK2" s="764" t="s">
        <v>16</v>
      </c>
      <c r="AL2" s="1170" t="s">
        <v>17</v>
      </c>
      <c r="AM2" s="1170"/>
      <c r="AN2" s="1170"/>
      <c r="AO2" s="764" t="s">
        <v>18</v>
      </c>
      <c r="AP2" s="5" t="s">
        <v>19</v>
      </c>
      <c r="AQ2" s="1171" t="s">
        <v>20</v>
      </c>
      <c r="AR2" s="1172"/>
      <c r="AS2" s="1172"/>
      <c r="AT2" s="1172"/>
      <c r="AU2" s="1172"/>
      <c r="AV2" s="1172"/>
      <c r="AW2" s="1172"/>
      <c r="AX2" s="1172"/>
      <c r="AY2" s="1172"/>
      <c r="AZ2" s="1173"/>
      <c r="BA2" s="1171" t="s">
        <v>21</v>
      </c>
      <c r="BB2" s="1172"/>
      <c r="BC2" s="1172"/>
      <c r="BD2" s="1172"/>
      <c r="BE2" s="1172"/>
      <c r="BF2" s="1172"/>
      <c r="BG2" s="1172"/>
      <c r="BH2" s="1172"/>
      <c r="BI2" s="1172"/>
      <c r="BJ2" s="89"/>
      <c r="BK2" s="77"/>
      <c r="BL2" s="39"/>
      <c r="BM2" s="39"/>
      <c r="BN2" s="39"/>
      <c r="BO2" s="76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354</v>
      </c>
      <c r="I3" s="11" t="s">
        <v>353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0.63</v>
      </c>
      <c r="G4" s="19">
        <f>'1'!G8</f>
        <v>22540.069999999949</v>
      </c>
      <c r="H4" s="19">
        <f>'1'!G7</f>
        <v>22452.869999999995</v>
      </c>
      <c r="I4" s="19">
        <f>'1'!G8</f>
        <v>22540.069999999949</v>
      </c>
      <c r="J4" s="19">
        <v>9</v>
      </c>
      <c r="K4" s="49">
        <f>I4*J4</f>
        <v>202860.62999999954</v>
      </c>
      <c r="L4" s="45">
        <f>I4/202</f>
        <v>111.58450495049479</v>
      </c>
      <c r="M4" s="19">
        <f>'1'!G15</f>
        <v>776</v>
      </c>
      <c r="N4" s="19">
        <v>53</v>
      </c>
      <c r="O4" s="45">
        <f>M4*N4</f>
        <v>41128</v>
      </c>
      <c r="P4" s="19">
        <f>'1'!G20</f>
        <v>243</v>
      </c>
      <c r="Q4" s="19">
        <v>108</v>
      </c>
      <c r="R4" s="46">
        <f t="shared" ref="R4:R33" si="0">P4*Q4</f>
        <v>26244</v>
      </c>
      <c r="S4" s="47">
        <f t="shared" ref="S4:S33" si="1">P4/(F4*202/100)</f>
        <v>190.94766619519095</v>
      </c>
      <c r="T4" s="19">
        <f>'1'!G24</f>
        <v>0</v>
      </c>
      <c r="U4" s="19">
        <v>69</v>
      </c>
      <c r="V4" s="48">
        <f>T4*U4</f>
        <v>0</v>
      </c>
      <c r="W4" s="22">
        <f>'1'!G96</f>
        <v>70</v>
      </c>
      <c r="X4" s="22">
        <f>'1'!G97</f>
        <v>34</v>
      </c>
      <c r="Y4" s="22">
        <f>'1'!G98</f>
        <v>43</v>
      </c>
      <c r="Z4" s="22">
        <f>W4+X4+Y4</f>
        <v>147</v>
      </c>
      <c r="AA4" s="19">
        <f>'1'!G133</f>
        <v>5.0000000002910383E-2</v>
      </c>
      <c r="AB4" s="19">
        <f>'1'!G134</f>
        <v>23.17999999999995</v>
      </c>
      <c r="AC4" s="19">
        <f>'1'!G135</f>
        <v>7.0899999999965075</v>
      </c>
      <c r="AD4" s="19">
        <f>'1'!G136</f>
        <v>5.0000000002910383E-2</v>
      </c>
      <c r="AE4" s="19">
        <f>AA4+AB4+AC4+AD4</f>
        <v>30.370000000002278</v>
      </c>
      <c r="AF4" s="23">
        <f t="shared" ref="AF4:AF33" si="2">AV4+AW4+BF4+BG4</f>
        <v>6395.7400000000198</v>
      </c>
      <c r="AG4" s="23">
        <f>AF4/AE4</f>
        <v>210.59400724397562</v>
      </c>
      <c r="AH4" s="19">
        <f>'1'!G137</f>
        <v>6.7899999999972351</v>
      </c>
      <c r="AI4" s="19">
        <f>'1'!G138</f>
        <v>0</v>
      </c>
      <c r="AJ4" s="19">
        <f>'1'!G139</f>
        <v>0</v>
      </c>
      <c r="AK4" s="19">
        <f>AH4+AI4+AJ4</f>
        <v>6.7899999999972351</v>
      </c>
      <c r="AL4" s="19">
        <f>'1'!G140</f>
        <v>9.9700000000002547</v>
      </c>
      <c r="AM4" s="19">
        <f>'1'!G141</f>
        <v>-0.32999999999992724</v>
      </c>
      <c r="AN4" s="19"/>
      <c r="AO4" s="19">
        <f>AL4+AM4</f>
        <v>9.6400000000003274</v>
      </c>
      <c r="AP4" s="52">
        <f>'1'!G124</f>
        <v>269.35999999998603</v>
      </c>
      <c r="AQ4" s="55">
        <f>'1'!G35</f>
        <v>0</v>
      </c>
      <c r="AR4" s="19">
        <f>'1'!G37</f>
        <v>1651.7300000000105</v>
      </c>
      <c r="AS4" s="19">
        <f>'1'!G38</f>
        <v>1739.3699999999953</v>
      </c>
      <c r="AT4" s="19">
        <f>'1'!G39</f>
        <v>3756.9899999999907</v>
      </c>
      <c r="AU4" s="19">
        <f>'1'!G40</f>
        <v>628.58000000000175</v>
      </c>
      <c r="AV4" s="19">
        <f>'1'!G41</f>
        <v>0</v>
      </c>
      <c r="AW4" s="19">
        <f>'1'!G42</f>
        <v>5230.4400000000023</v>
      </c>
      <c r="AX4" s="19">
        <f>'1'!G43</f>
        <v>2724.6999999999534</v>
      </c>
      <c r="AY4" s="19">
        <f>'1'!G44</f>
        <v>0</v>
      </c>
      <c r="AZ4" s="56">
        <f>'1'!G36</f>
        <v>732.59999999999854</v>
      </c>
      <c r="BA4" s="55">
        <f>'1'!G49</f>
        <v>3081.6699999999837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1154.2699999999895</v>
      </c>
      <c r="BG4" s="19">
        <f>'1'!G56</f>
        <v>11.03000000002794</v>
      </c>
      <c r="BH4" s="19">
        <f>'1'!G57</f>
        <v>0</v>
      </c>
      <c r="BI4" s="56">
        <f>'1'!G50</f>
        <v>1556.4699999999721</v>
      </c>
      <c r="BJ4" s="62">
        <f>SUM(AV4,AW4,BF4,BG4)</f>
        <v>6395.7400000000198</v>
      </c>
      <c r="BK4" s="62">
        <f>'1'!G84</f>
        <v>809</v>
      </c>
      <c r="BL4" s="23">
        <f>SUM(AQ4,AV4,AW4,AX4,BA4,BF4,BG4,BH4)/I4%</f>
        <v>54.135191239423769</v>
      </c>
      <c r="BM4" s="23">
        <f>SUM(AT4,BD4)/I4%</f>
        <v>16.666230406560516</v>
      </c>
      <c r="BN4" s="24">
        <f>(AS4+BC4)/I4</f>
        <v>7.7167905867195588E-2</v>
      </c>
      <c r="BO4" s="25">
        <f>K4+O4+R4+V4</f>
        <v>270232.62999999954</v>
      </c>
      <c r="BP4" s="38">
        <f>SUM(AV4,AW4,AX4,BF4,BG4,BH4,BK4)</f>
        <v>9929.4399999999732</v>
      </c>
      <c r="BQ4">
        <f>BP4/(AE4*280)</f>
        <v>1.1676748671150132</v>
      </c>
      <c r="BR4" s="38">
        <f>SUM(AV4,AW4,BF4,BG4)/(AE4*400)</f>
        <v>0.52648501810993908</v>
      </c>
    </row>
    <row r="5" spans="1:70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21861.680000000051</v>
      </c>
      <c r="H5" s="19">
        <f>'2'!G7</f>
        <v>21737.280000000028</v>
      </c>
      <c r="I5" s="19">
        <f>'2'!G8</f>
        <v>21861.680000000051</v>
      </c>
      <c r="J5" s="19">
        <v>9</v>
      </c>
      <c r="K5" s="49">
        <f t="shared" ref="K5:K34" si="3">I5*J5</f>
        <v>196755.12000000046</v>
      </c>
      <c r="L5" s="45">
        <f t="shared" ref="L5:L33" si="4">I5/202</f>
        <v>108.22613861386164</v>
      </c>
      <c r="M5" s="19">
        <f>'2'!G15</f>
        <v>924.25</v>
      </c>
      <c r="N5" s="19">
        <v>53</v>
      </c>
      <c r="O5" s="45">
        <f t="shared" ref="O5:O33" si="5">M5*N5</f>
        <v>48985.25</v>
      </c>
      <c r="P5" s="19">
        <f>'2'!G20</f>
        <v>244</v>
      </c>
      <c r="Q5" s="19">
        <v>108</v>
      </c>
      <c r="R5" s="46">
        <f t="shared" si="0"/>
        <v>26352</v>
      </c>
      <c r="S5" s="47">
        <f t="shared" si="1"/>
        <v>149.12602371348245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68</v>
      </c>
      <c r="X5" s="22">
        <f>'2'!G97</f>
        <v>26</v>
      </c>
      <c r="Y5" s="22">
        <f>'2'!G98</f>
        <v>27</v>
      </c>
      <c r="Z5" s="22">
        <f t="shared" ref="Z5:Z33" si="7">W5+X5+Y5</f>
        <v>121</v>
      </c>
      <c r="AA5" s="19">
        <f>'2'!G133</f>
        <v>0</v>
      </c>
      <c r="AB5" s="19">
        <f>'2'!G134</f>
        <v>24.030000000000086</v>
      </c>
      <c r="AC5" s="19">
        <f>'2'!G135</f>
        <v>6.3400000000037835</v>
      </c>
      <c r="AD5" s="19">
        <f>'2'!G136</f>
        <v>0</v>
      </c>
      <c r="AE5" s="19">
        <f t="shared" ref="AE5:AE33" si="8">AA5+AB5+AC5+AD5</f>
        <v>30.37000000000387</v>
      </c>
      <c r="AF5" s="23">
        <f t="shared" si="2"/>
        <v>6598.5900000000111</v>
      </c>
      <c r="AG5" s="23">
        <f t="shared" ref="AG5:AG33" si="9">AF5/AE5</f>
        <v>217.27329601577776</v>
      </c>
      <c r="AH5" s="19">
        <f>'2'!G137</f>
        <v>9.8300000000017462</v>
      </c>
      <c r="AI5" s="19">
        <f>'2'!G138</f>
        <v>0</v>
      </c>
      <c r="AJ5" s="19">
        <f>'2'!G139</f>
        <v>0</v>
      </c>
      <c r="AK5" s="19">
        <f t="shared" ref="AK5:AK33" si="10">AH5+AI5+AJ5</f>
        <v>9.8300000000017462</v>
      </c>
      <c r="AL5" s="19">
        <f>'2'!G140</f>
        <v>9.7999999999997272</v>
      </c>
      <c r="AM5" s="19">
        <f>'2'!G141</f>
        <v>0</v>
      </c>
      <c r="AN5" s="19"/>
      <c r="AO5" s="19">
        <f t="shared" ref="AO5:AO33" si="11">AL5+AM5</f>
        <v>9.7999999999997272</v>
      </c>
      <c r="AP5" s="52">
        <f>'2'!G124</f>
        <v>267.59999999997672</v>
      </c>
      <c r="AQ5" s="55">
        <f>'2'!G35</f>
        <v>0</v>
      </c>
      <c r="AR5" s="19">
        <f>'2'!G37</f>
        <v>1604.8199999999779</v>
      </c>
      <c r="AS5" s="19">
        <f>'2'!G38</f>
        <v>1664.9200000000128</v>
      </c>
      <c r="AT5" s="19">
        <f>'2'!G39</f>
        <v>3764.6800000000512</v>
      </c>
      <c r="AU5" s="19">
        <f>'2'!G40</f>
        <v>354.45999999999913</v>
      </c>
      <c r="AV5" s="19">
        <f>'2'!G41</f>
        <v>-0.45000000001164153</v>
      </c>
      <c r="AW5" s="19">
        <f>'2'!G42</f>
        <v>5166.0399999999936</v>
      </c>
      <c r="AX5" s="19">
        <f>'2'!G43</f>
        <v>2502.5</v>
      </c>
      <c r="AY5" s="19">
        <f>'2'!G44</f>
        <v>0</v>
      </c>
      <c r="AZ5" s="56">
        <f>'2'!G36</f>
        <v>549.29000000000087</v>
      </c>
      <c r="BA5" s="55">
        <f>'2'!G49</f>
        <v>3099.8800000000047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1421.7200000000012</v>
      </c>
      <c r="BG5" s="19">
        <f>'2'!G56</f>
        <v>11.28000000002794</v>
      </c>
      <c r="BH5" s="19">
        <f>'2'!G57</f>
        <v>0</v>
      </c>
      <c r="BI5" s="56">
        <f>'2'!G50</f>
        <v>1119.4799999999814</v>
      </c>
      <c r="BJ5" s="62">
        <f t="shared" ref="BJ5:BJ32" si="12">SUM(AV5,AW5,BF5,BG5)</f>
        <v>6598.5900000000111</v>
      </c>
      <c r="BK5" s="62">
        <f>'2'!G84</f>
        <v>782</v>
      </c>
      <c r="BL5" s="23">
        <f t="shared" ref="BL5:BL33" si="13">SUM(AQ5,AV5,AW5,AX5,BA5,BF5,BG5,BH5)/I5%</f>
        <v>55.809846269820007</v>
      </c>
      <c r="BM5" s="23">
        <f t="shared" ref="BM5:BM33" si="14">SUM(AT5,BD5)/I5%</f>
        <v>17.220451493206571</v>
      </c>
      <c r="BN5" s="24">
        <f t="shared" ref="BN5:BN33" si="15">(AS5+BC5)/I5</f>
        <v>7.6157001657695511E-2</v>
      </c>
      <c r="BO5" s="25">
        <f t="shared" ref="BO5:BO33" si="16">K5+O5+R5+V5</f>
        <v>272092.37000000046</v>
      </c>
      <c r="BP5" s="38">
        <f t="shared" ref="BP5:BP35" si="17">SUM(AV5,AW5,AX5,BF5,BG5,BH5,BK5)</f>
        <v>9883.0900000000111</v>
      </c>
      <c r="BQ5">
        <f t="shared" ref="BQ5:BQ35" si="18">BP5/(AE5*280)</f>
        <v>1.1622242344417368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21488.819999999949</v>
      </c>
      <c r="H6" s="19">
        <f>'3'!G7</f>
        <v>21401.719999999972</v>
      </c>
      <c r="I6" s="19">
        <f>'3'!G8</f>
        <v>21488.819999999949</v>
      </c>
      <c r="J6" s="19">
        <v>9</v>
      </c>
      <c r="K6" s="49">
        <f t="shared" si="3"/>
        <v>193399.37999999954</v>
      </c>
      <c r="L6" s="45">
        <f t="shared" si="4"/>
        <v>106.38029702970272</v>
      </c>
      <c r="M6" s="19">
        <f>'3'!G15</f>
        <v>755.88500000000931</v>
      </c>
      <c r="N6" s="19">
        <v>53</v>
      </c>
      <c r="O6" s="45">
        <f t="shared" si="5"/>
        <v>40061.905000000494</v>
      </c>
      <c r="P6" s="19">
        <f>'3'!G20</f>
        <v>196</v>
      </c>
      <c r="Q6" s="19">
        <v>108</v>
      </c>
      <c r="R6" s="46">
        <f t="shared" si="0"/>
        <v>21168</v>
      </c>
      <c r="S6" s="47">
        <f t="shared" si="1"/>
        <v>170.22754907069657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62</v>
      </c>
      <c r="X6" s="22">
        <f>'3'!G97</f>
        <v>21</v>
      </c>
      <c r="Y6" s="22">
        <f>'3'!G98</f>
        <v>23</v>
      </c>
      <c r="Z6" s="22">
        <f>W6+X6+Y6</f>
        <v>106</v>
      </c>
      <c r="AA6" s="19">
        <f>'3'!G133</f>
        <v>4.0999999999985448</v>
      </c>
      <c r="AB6" s="19">
        <f>'3'!G134</f>
        <v>23.939999999999941</v>
      </c>
      <c r="AC6" s="19">
        <f>'3'!G135</f>
        <v>0</v>
      </c>
      <c r="AD6" s="19">
        <f>'3'!G136</f>
        <v>-5.0000000002910383E-2</v>
      </c>
      <c r="AE6" s="19">
        <f t="shared" si="8"/>
        <v>27.989999999995575</v>
      </c>
      <c r="AF6" s="23">
        <f t="shared" si="2"/>
        <v>6845.9999999999272</v>
      </c>
      <c r="AG6" s="23">
        <f t="shared" si="9"/>
        <v>244.58735262597389</v>
      </c>
      <c r="AH6" s="19">
        <f>'3'!G137</f>
        <v>6.6500000000014552</v>
      </c>
      <c r="AI6" s="19">
        <f>'3'!G138</f>
        <v>3.0000000006111804E-3</v>
      </c>
      <c r="AJ6" s="19">
        <f>'3'!G139</f>
        <v>0</v>
      </c>
      <c r="AK6" s="19">
        <f t="shared" si="10"/>
        <v>6.6530000000020664</v>
      </c>
      <c r="AL6" s="19">
        <f>'3'!G140</f>
        <v>9.3099999999999454</v>
      </c>
      <c r="AM6" s="19">
        <f>'3'!G141</f>
        <v>0</v>
      </c>
      <c r="AN6" s="19"/>
      <c r="AO6" s="19">
        <f t="shared" si="11"/>
        <v>9.3099999999999454</v>
      </c>
      <c r="AP6" s="52">
        <f>'3'!G124</f>
        <v>252.90000000002328</v>
      </c>
      <c r="AQ6" s="55">
        <f>'3'!G35</f>
        <v>0</v>
      </c>
      <c r="AR6" s="19">
        <f>'3'!G37</f>
        <v>1599.1000000000058</v>
      </c>
      <c r="AS6" s="19">
        <f>'3'!G38</f>
        <v>1612.3999999999942</v>
      </c>
      <c r="AT6" s="19">
        <f>'3'!G39</f>
        <v>3726.2799999999115</v>
      </c>
      <c r="AU6" s="19">
        <f>'3'!G40</f>
        <v>389.93999999999869</v>
      </c>
      <c r="AV6" s="19">
        <f>'3'!G41</f>
        <v>897.9199999999837</v>
      </c>
      <c r="AW6" s="19">
        <f>'3'!G42</f>
        <v>5437.6399999999994</v>
      </c>
      <c r="AX6" s="19">
        <f>'3'!G43</f>
        <v>2671.6000000000931</v>
      </c>
      <c r="AY6" s="19">
        <f>'3'!G44</f>
        <v>0</v>
      </c>
      <c r="AZ6" s="56">
        <f>'3'!G36</f>
        <v>802.79000000000087</v>
      </c>
      <c r="BA6" s="55">
        <f>'3'!G49</f>
        <v>2964.9000000000233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500</v>
      </c>
      <c r="BG6" s="19">
        <f>'3'!G56</f>
        <v>10.439999999944121</v>
      </c>
      <c r="BH6" s="19">
        <f>'3'!G57</f>
        <v>0</v>
      </c>
      <c r="BI6" s="56">
        <f>'3'!G50</f>
        <v>958.92000000004191</v>
      </c>
      <c r="BJ6" s="62">
        <f t="shared" si="12"/>
        <v>6845.9999999999272</v>
      </c>
      <c r="BK6" s="62">
        <f>'3'!G84</f>
        <v>647</v>
      </c>
      <c r="BL6" s="23">
        <f t="shared" si="13"/>
        <v>58.088345474530819</v>
      </c>
      <c r="BM6" s="23">
        <f t="shared" si="14"/>
        <v>17.340551970745345</v>
      </c>
      <c r="BN6" s="24">
        <f t="shared" si="15"/>
        <v>7.5034366707897315E-2</v>
      </c>
      <c r="BO6" s="25">
        <f t="shared" si="16"/>
        <v>254629.28500000003</v>
      </c>
      <c r="BP6" s="38">
        <f t="shared" si="17"/>
        <v>10164.60000000002</v>
      </c>
      <c r="BQ6">
        <f t="shared" si="18"/>
        <v>1.2969683050070979</v>
      </c>
    </row>
    <row r="7" spans="1:70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24881.140000000014</v>
      </c>
      <c r="H7" s="19">
        <f>'4'!G7</f>
        <v>24683.130000000005</v>
      </c>
      <c r="I7" s="19">
        <f>'4'!G8</f>
        <v>24881.140000000014</v>
      </c>
      <c r="J7" s="19">
        <v>9</v>
      </c>
      <c r="K7" s="49">
        <f t="shared" si="3"/>
        <v>223930.26000000013</v>
      </c>
      <c r="L7" s="45">
        <f t="shared" si="4"/>
        <v>123.17396039603967</v>
      </c>
      <c r="M7" s="19">
        <f>'4'!G15</f>
        <v>889.0570000000298</v>
      </c>
      <c r="N7" s="19">
        <v>53</v>
      </c>
      <c r="O7" s="45">
        <f t="shared" si="5"/>
        <v>47120.02100000158</v>
      </c>
      <c r="P7" s="19">
        <f>'4'!G20</f>
        <v>191</v>
      </c>
      <c r="Q7" s="19">
        <v>108</v>
      </c>
      <c r="R7" s="46">
        <f t="shared" si="0"/>
        <v>20628</v>
      </c>
      <c r="S7" s="47">
        <f t="shared" si="1"/>
        <v>945.54455445544534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91</v>
      </c>
      <c r="X7" s="22">
        <f>'4'!G97</f>
        <v>22</v>
      </c>
      <c r="Y7" s="22">
        <f>'4'!G98</f>
        <v>25</v>
      </c>
      <c r="Z7" s="22">
        <f t="shared" si="7"/>
        <v>138</v>
      </c>
      <c r="AA7" s="19">
        <f>'4'!G133</f>
        <v>0</v>
      </c>
      <c r="AB7" s="19">
        <f>'4'!G134</f>
        <v>23.389999999999986</v>
      </c>
      <c r="AC7" s="19">
        <f>'4'!G135</f>
        <v>13.919999999998254</v>
      </c>
      <c r="AD7" s="19">
        <f>'4'!G136</f>
        <v>0</v>
      </c>
      <c r="AE7" s="19">
        <f t="shared" si="8"/>
        <v>37.30999999999824</v>
      </c>
      <c r="AF7" s="23">
        <f t="shared" si="2"/>
        <v>7495.140000000014</v>
      </c>
      <c r="AG7" s="23">
        <f t="shared" si="9"/>
        <v>200.88823371751187</v>
      </c>
      <c r="AH7" s="19">
        <f>'4'!G137</f>
        <v>8.9299999999966531</v>
      </c>
      <c r="AI7" s="19">
        <f>'4'!G138</f>
        <v>-3.0000000006111804E-3</v>
      </c>
      <c r="AJ7" s="19">
        <f>'4'!G139</f>
        <v>1.6599999999889405</v>
      </c>
      <c r="AK7" s="19">
        <f t="shared" si="10"/>
        <v>10.586999999984982</v>
      </c>
      <c r="AL7" s="19">
        <f>'4'!G140</f>
        <v>9.5900000000001455</v>
      </c>
      <c r="AM7" s="19">
        <f>'4'!G141</f>
        <v>0</v>
      </c>
      <c r="AN7" s="19"/>
      <c r="AO7" s="19">
        <f t="shared" si="11"/>
        <v>9.5900000000001455</v>
      </c>
      <c r="AP7" s="52">
        <f>'4'!G124</f>
        <v>262.70299999997951</v>
      </c>
      <c r="AQ7" s="55">
        <f>'4'!G35</f>
        <v>0</v>
      </c>
      <c r="AR7" s="19">
        <f>'4'!G37</f>
        <v>1605.3500000000058</v>
      </c>
      <c r="AS7" s="19">
        <f>'4'!G38</f>
        <v>1684.3099999999977</v>
      </c>
      <c r="AT7" s="19">
        <f>'4'!G39</f>
        <v>3735.0500000000466</v>
      </c>
      <c r="AU7" s="19">
        <f>'4'!G40</f>
        <v>648.11999999999898</v>
      </c>
      <c r="AV7" s="19">
        <f>'4'!G41</f>
        <v>0</v>
      </c>
      <c r="AW7" s="19">
        <f>'4'!G42</f>
        <v>5174.8800000000047</v>
      </c>
      <c r="AX7" s="19">
        <f>'4'!G43</f>
        <v>3000.1999999999534</v>
      </c>
      <c r="AY7" s="19">
        <f>'4'!G44</f>
        <v>0</v>
      </c>
      <c r="AZ7" s="56">
        <f>'4'!G36</f>
        <v>982.72000000000116</v>
      </c>
      <c r="BA7" s="55">
        <f>'4'!G49</f>
        <v>3090.5499999999884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2309.0100000000093</v>
      </c>
      <c r="BG7" s="19">
        <f>'4'!G56</f>
        <v>11.25</v>
      </c>
      <c r="BH7" s="19">
        <f>'4'!G57</f>
        <v>0</v>
      </c>
      <c r="BI7" s="56">
        <f>'4'!G50</f>
        <v>1093.1300000000047</v>
      </c>
      <c r="BJ7" s="62">
        <f t="shared" si="12"/>
        <v>7495.140000000014</v>
      </c>
      <c r="BK7" s="62">
        <f>'3'!G84</f>
        <v>647</v>
      </c>
      <c r="BL7" s="23">
        <f t="shared" si="13"/>
        <v>54.603165289050054</v>
      </c>
      <c r="BM7" s="23">
        <f t="shared" si="14"/>
        <v>15.011571013225458</v>
      </c>
      <c r="BN7" s="24">
        <f t="shared" si="15"/>
        <v>6.7697058896816847E-2</v>
      </c>
      <c r="BO7" s="25">
        <f t="shared" si="16"/>
        <v>291678.28100000171</v>
      </c>
      <c r="BP7" s="38">
        <f t="shared" si="17"/>
        <v>11142.339999999967</v>
      </c>
      <c r="BQ7">
        <f t="shared" si="18"/>
        <v>1.0665792395758023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0.78710000000000002</v>
      </c>
      <c r="G8" s="19">
        <f>'5'!G8</f>
        <v>23183.280000000028</v>
      </c>
      <c r="H8" s="19">
        <f>'5'!G7</f>
        <v>23055.829999999958</v>
      </c>
      <c r="I8" s="19">
        <f>'5'!G8</f>
        <v>23183.280000000028</v>
      </c>
      <c r="J8" s="19">
        <v>9</v>
      </c>
      <c r="K8" s="49">
        <f t="shared" si="3"/>
        <v>208649.52000000025</v>
      </c>
      <c r="L8" s="45">
        <f t="shared" si="4"/>
        <v>114.76871287128726</v>
      </c>
      <c r="M8" s="19">
        <f>'5'!G15</f>
        <v>738.08799999998882</v>
      </c>
      <c r="N8" s="19">
        <v>53</v>
      </c>
      <c r="O8" s="45">
        <f t="shared" si="5"/>
        <v>39118.663999999408</v>
      </c>
      <c r="P8" s="19">
        <f>'5'!G20</f>
        <v>242</v>
      </c>
      <c r="Q8" s="19">
        <v>108</v>
      </c>
      <c r="R8" s="46">
        <f t="shared" si="0"/>
        <v>26136</v>
      </c>
      <c r="S8" s="47">
        <f t="shared" si="1"/>
        <v>152.20681005973802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125</v>
      </c>
      <c r="X8" s="22">
        <f>'5'!G97</f>
        <v>24</v>
      </c>
      <c r="Y8" s="22">
        <f>'5'!G98</f>
        <v>30</v>
      </c>
      <c r="Z8" s="22">
        <f t="shared" si="7"/>
        <v>179</v>
      </c>
      <c r="AA8" s="19">
        <f>'5'!G133</f>
        <v>0</v>
      </c>
      <c r="AB8" s="19">
        <f>'5'!G134</f>
        <v>11.470000000000027</v>
      </c>
      <c r="AC8" s="19">
        <f>'5'!G135</f>
        <v>23.120000000002619</v>
      </c>
      <c r="AD8" s="19">
        <f>'5'!G136</f>
        <v>5.0000000002910383E-2</v>
      </c>
      <c r="AE8" s="19">
        <f t="shared" si="8"/>
        <v>34.640000000005557</v>
      </c>
      <c r="AF8" s="23">
        <f t="shared" si="2"/>
        <v>7630</v>
      </c>
      <c r="AG8" s="23">
        <f t="shared" si="9"/>
        <v>220.26558891451432</v>
      </c>
      <c r="AH8" s="19">
        <f>'5'!G137</f>
        <v>6.9800000000032014</v>
      </c>
      <c r="AI8" s="19">
        <f>'5'!G138</f>
        <v>0</v>
      </c>
      <c r="AJ8" s="19">
        <f>'5'!G139</f>
        <v>-5.9999999997671694E-2</v>
      </c>
      <c r="AK8" s="19">
        <f t="shared" si="10"/>
        <v>6.9200000000055297</v>
      </c>
      <c r="AL8" s="19">
        <f>'5'!G140</f>
        <v>9.5799999999999272</v>
      </c>
      <c r="AM8" s="19">
        <f>'5'!G141</f>
        <v>0</v>
      </c>
      <c r="AN8" s="19"/>
      <c r="AO8" s="19">
        <f t="shared" si="11"/>
        <v>9.5799999999999272</v>
      </c>
      <c r="AP8" s="52">
        <f>'5'!G124</f>
        <v>259.91700000001583</v>
      </c>
      <c r="AQ8" s="55">
        <f>'5'!G35</f>
        <v>0</v>
      </c>
      <c r="AR8" s="19">
        <f>'5'!G37</f>
        <v>1625</v>
      </c>
      <c r="AS8" s="19">
        <f>'5'!G38</f>
        <v>1714</v>
      </c>
      <c r="AT8" s="19">
        <f>'5'!G39</f>
        <v>3761</v>
      </c>
      <c r="AU8" s="19">
        <f>'5'!G40</f>
        <v>521.30000000000291</v>
      </c>
      <c r="AV8" s="19">
        <f>'5'!G41</f>
        <v>0</v>
      </c>
      <c r="AW8" s="19">
        <f>'5'!G42</f>
        <v>2231</v>
      </c>
      <c r="AX8" s="19">
        <f>'5'!G43</f>
        <v>2920</v>
      </c>
      <c r="AY8" s="19">
        <f>'5'!G44</f>
        <v>0</v>
      </c>
      <c r="AZ8" s="56">
        <f>'5'!G36</f>
        <v>758.23999999999796</v>
      </c>
      <c r="BA8" s="55">
        <f>'5'!G49</f>
        <v>3125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5387</v>
      </c>
      <c r="BG8" s="19">
        <f>'5'!G56</f>
        <v>12</v>
      </c>
      <c r="BH8" s="19">
        <f>'5'!G57</f>
        <v>0</v>
      </c>
      <c r="BI8" s="56">
        <f>'5'!G50</f>
        <v>1415</v>
      </c>
      <c r="BJ8" s="62">
        <f t="shared" si="12"/>
        <v>7630</v>
      </c>
      <c r="BK8" s="62">
        <f>'5'!G84</f>
        <v>781</v>
      </c>
      <c r="BL8" s="23">
        <f t="shared" si="13"/>
        <v>58.986476460621553</v>
      </c>
      <c r="BM8" s="23">
        <f t="shared" si="14"/>
        <v>16.22289857172926</v>
      </c>
      <c r="BN8" s="24">
        <f t="shared" si="15"/>
        <v>7.3932592799638278E-2</v>
      </c>
      <c r="BO8" s="25">
        <f t="shared" si="16"/>
        <v>273904.18399999966</v>
      </c>
      <c r="BP8" s="38">
        <f t="shared" si="17"/>
        <v>11331</v>
      </c>
      <c r="BQ8">
        <f t="shared" si="18"/>
        <v>1.1682406796434945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0.9032</v>
      </c>
      <c r="G9" s="19">
        <f>'6'!G8</f>
        <v>24216.640000000014</v>
      </c>
      <c r="H9" s="19">
        <f>'6'!G7</f>
        <v>24127.170000000042</v>
      </c>
      <c r="I9" s="19">
        <f>'6'!G8</f>
        <v>24216.640000000014</v>
      </c>
      <c r="J9" s="19">
        <v>9</v>
      </c>
      <c r="K9" s="49">
        <f t="shared" si="3"/>
        <v>217949.76000000013</v>
      </c>
      <c r="L9" s="45">
        <f t="shared" si="4"/>
        <v>119.88435643564364</v>
      </c>
      <c r="M9" s="19">
        <f>'6'!G15</f>
        <v>968.17999999993481</v>
      </c>
      <c r="N9" s="19">
        <v>53</v>
      </c>
      <c r="O9" s="45">
        <f t="shared" si="5"/>
        <v>51313.539999996545</v>
      </c>
      <c r="P9" s="19">
        <f>'6'!G20</f>
        <v>261</v>
      </c>
      <c r="Q9" s="19">
        <v>108</v>
      </c>
      <c r="R9" s="46">
        <f t="shared" si="0"/>
        <v>28188</v>
      </c>
      <c r="S9" s="47">
        <f t="shared" si="1"/>
        <v>143.05571389734189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74</v>
      </c>
      <c r="X9" s="22">
        <f>'6'!G97</f>
        <v>23</v>
      </c>
      <c r="Y9" s="22">
        <f>'6'!G98</f>
        <v>30</v>
      </c>
      <c r="Z9" s="22">
        <f t="shared" si="7"/>
        <v>127</v>
      </c>
      <c r="AA9" s="19">
        <f>'6'!G133</f>
        <v>0</v>
      </c>
      <c r="AB9" s="19">
        <f>'6'!G134</f>
        <v>11.370000000000005</v>
      </c>
      <c r="AC9" s="19">
        <f>'6'!G135</f>
        <v>24.080000000001746</v>
      </c>
      <c r="AD9" s="19">
        <f>'6'!G136</f>
        <v>-5.0000000002910383E-2</v>
      </c>
      <c r="AE9" s="19">
        <f t="shared" si="8"/>
        <v>35.39999999999884</v>
      </c>
      <c r="AF9" s="23">
        <f t="shared" si="2"/>
        <v>7934</v>
      </c>
      <c r="AG9" s="23">
        <f t="shared" si="9"/>
        <v>224.12429378531809</v>
      </c>
      <c r="AH9" s="19">
        <f>'6'!G137</f>
        <v>9.4799999999995634</v>
      </c>
      <c r="AI9" s="19">
        <f>'6'!G138</f>
        <v>0</v>
      </c>
      <c r="AJ9" s="19">
        <f>'6'!G139</f>
        <v>0</v>
      </c>
      <c r="AK9" s="19">
        <f t="shared" si="10"/>
        <v>9.4799999999995634</v>
      </c>
      <c r="AL9" s="19">
        <f>'6'!G140</f>
        <v>9.8200000000001637</v>
      </c>
      <c r="AM9" s="19">
        <f>'6'!G141</f>
        <v>0</v>
      </c>
      <c r="AN9" s="19"/>
      <c r="AO9" s="19">
        <f t="shared" si="11"/>
        <v>9.8200000000001637</v>
      </c>
      <c r="AP9" s="52">
        <f>'6'!G124</f>
        <v>266.89000000001397</v>
      </c>
      <c r="AQ9" s="55">
        <f>'6'!G35</f>
        <v>0</v>
      </c>
      <c r="AR9" s="19">
        <f>'6'!G37</f>
        <v>1613</v>
      </c>
      <c r="AS9" s="19">
        <f>'6'!G38</f>
        <v>1713</v>
      </c>
      <c r="AT9" s="19">
        <f>'6'!G39</f>
        <v>3750</v>
      </c>
      <c r="AU9" s="19">
        <f>'6'!G40</f>
        <v>597.59999999999854</v>
      </c>
      <c r="AV9" s="19">
        <f>'6'!G41</f>
        <v>0</v>
      </c>
      <c r="AW9" s="19">
        <f>'6'!G42</f>
        <v>2457</v>
      </c>
      <c r="AX9" s="19">
        <f>'6'!G43</f>
        <v>2980</v>
      </c>
      <c r="AY9" s="19">
        <f>'6'!G44</f>
        <v>0</v>
      </c>
      <c r="AZ9" s="56">
        <f>'6'!G36</f>
        <v>698.95999999999913</v>
      </c>
      <c r="BA9" s="55">
        <f>'6'!G49</f>
        <v>3208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5466</v>
      </c>
      <c r="BG9" s="19">
        <f>'6'!G56</f>
        <v>11</v>
      </c>
      <c r="BH9" s="19">
        <f>'6'!G57</f>
        <v>0</v>
      </c>
      <c r="BI9" s="56">
        <f>'6'!G50</f>
        <v>1519</v>
      </c>
      <c r="BJ9" s="62">
        <f t="shared" si="12"/>
        <v>7934</v>
      </c>
      <c r="BK9" s="62">
        <f>'6'!G84</f>
        <v>841</v>
      </c>
      <c r="BL9" s="23">
        <f t="shared" si="13"/>
        <v>58.31527412555991</v>
      </c>
      <c r="BM9" s="23">
        <f t="shared" si="14"/>
        <v>15.485220080077161</v>
      </c>
      <c r="BN9" s="24">
        <f t="shared" si="15"/>
        <v>7.0736485325792478E-2</v>
      </c>
      <c r="BO9" s="25">
        <f t="shared" si="16"/>
        <v>297451.29999999667</v>
      </c>
      <c r="BP9" s="38">
        <f t="shared" si="17"/>
        <v>11755</v>
      </c>
      <c r="BQ9">
        <f t="shared" si="18"/>
        <v>1.1859362389023793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0.99470000000000003</v>
      </c>
      <c r="G10" s="19">
        <f>'7'!G8</f>
        <v>24405.680000000051</v>
      </c>
      <c r="H10" s="19">
        <f>'7'!G7</f>
        <v>24240</v>
      </c>
      <c r="I10" s="19">
        <f>'7'!G8</f>
        <v>24405.680000000051</v>
      </c>
      <c r="J10" s="19">
        <v>9</v>
      </c>
      <c r="K10" s="49">
        <f t="shared" si="3"/>
        <v>219651.12000000046</v>
      </c>
      <c r="L10" s="45">
        <f t="shared" si="4"/>
        <v>120.82019801980223</v>
      </c>
      <c r="M10" s="19">
        <f>'7'!G15</f>
        <v>860.81000000005588</v>
      </c>
      <c r="N10" s="19">
        <v>53</v>
      </c>
      <c r="O10" s="45">
        <f t="shared" si="5"/>
        <v>45622.930000002962</v>
      </c>
      <c r="P10" s="19">
        <f>'7'!G20</f>
        <v>225</v>
      </c>
      <c r="Q10" s="19">
        <v>108</v>
      </c>
      <c r="R10" s="46">
        <f t="shared" si="0"/>
        <v>24300</v>
      </c>
      <c r="S10" s="47">
        <f t="shared" si="1"/>
        <v>111.97963065633998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86</v>
      </c>
      <c r="X10" s="22">
        <f>'7'!G97</f>
        <v>25</v>
      </c>
      <c r="Y10" s="22">
        <f>'7'!G98</f>
        <v>36</v>
      </c>
      <c r="Z10" s="22">
        <f t="shared" si="7"/>
        <v>147</v>
      </c>
      <c r="AA10" s="19">
        <f>'7'!G133</f>
        <v>0</v>
      </c>
      <c r="AB10" s="19">
        <f>'7'!G134</f>
        <v>15.149999999999977</v>
      </c>
      <c r="AC10" s="19">
        <f>'7'!G135</f>
        <v>24.44999999999709</v>
      </c>
      <c r="AD10" s="19">
        <f>'7'!G136</f>
        <v>0</v>
      </c>
      <c r="AE10" s="19">
        <f t="shared" si="8"/>
        <v>39.599999999997067</v>
      </c>
      <c r="AF10" s="23">
        <f t="shared" si="2"/>
        <v>8272</v>
      </c>
      <c r="AG10" s="23">
        <f t="shared" si="9"/>
        <v>208.88888888890435</v>
      </c>
      <c r="AH10" s="19">
        <f>'7'!G137</f>
        <v>7.9699999999975262</v>
      </c>
      <c r="AI10" s="19">
        <f>'7'!G138</f>
        <v>0</v>
      </c>
      <c r="AJ10" s="19">
        <f>'7'!G139</f>
        <v>0</v>
      </c>
      <c r="AK10" s="19">
        <f t="shared" si="10"/>
        <v>7.9699999999975262</v>
      </c>
      <c r="AL10" s="19">
        <f>'7'!G140</f>
        <v>9.819999999999709</v>
      </c>
      <c r="AM10" s="19">
        <f>'7'!G141</f>
        <v>0</v>
      </c>
      <c r="AN10" s="19"/>
      <c r="AO10" s="19">
        <f t="shared" si="11"/>
        <v>9.819999999999709</v>
      </c>
      <c r="AP10" s="52">
        <f>'7'!G124</f>
        <v>266.65000000002328</v>
      </c>
      <c r="AQ10" s="55">
        <f>'7'!G35</f>
        <v>0</v>
      </c>
      <c r="AR10" s="19">
        <f>'7'!G37</f>
        <v>1651</v>
      </c>
      <c r="AS10" s="19">
        <f>'7'!G38</f>
        <v>1801</v>
      </c>
      <c r="AT10" s="19">
        <f>'7'!G39</f>
        <v>3772</v>
      </c>
      <c r="AU10" s="19">
        <f>'7'!G40</f>
        <v>410</v>
      </c>
      <c r="AV10" s="19">
        <f>'7'!G41</f>
        <v>0</v>
      </c>
      <c r="AW10" s="19">
        <f>'7'!G42</f>
        <v>2904</v>
      </c>
      <c r="AX10" s="19">
        <f>'7'!G43</f>
        <v>3030</v>
      </c>
      <c r="AY10" s="19">
        <f>'7'!G44</f>
        <v>0</v>
      </c>
      <c r="AZ10" s="56">
        <f>'7'!G36</f>
        <v>743.90000000000146</v>
      </c>
      <c r="BA10" s="55">
        <f>'7'!G49</f>
        <v>3068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0</v>
      </c>
      <c r="BF10" s="19">
        <f>'7'!G55</f>
        <v>5357</v>
      </c>
      <c r="BG10" s="19">
        <f>'7'!G56</f>
        <v>11</v>
      </c>
      <c r="BH10" s="19">
        <f>'7'!G57</f>
        <v>0</v>
      </c>
      <c r="BI10" s="56">
        <f>'7'!G50</f>
        <v>1147</v>
      </c>
      <c r="BJ10" s="62">
        <f t="shared" si="12"/>
        <v>8272</v>
      </c>
      <c r="BK10" s="62">
        <f>'7'!G84</f>
        <v>785</v>
      </c>
      <c r="BL10" s="23">
        <f t="shared" si="13"/>
        <v>58.879736192558326</v>
      </c>
      <c r="BM10" s="23">
        <f t="shared" si="14"/>
        <v>15.455418574692416</v>
      </c>
      <c r="BN10" s="24">
        <f t="shared" si="15"/>
        <v>7.3794297065273171E-2</v>
      </c>
      <c r="BO10" s="25">
        <f t="shared" si="16"/>
        <v>289574.05000000342</v>
      </c>
      <c r="BP10" s="38">
        <f t="shared" si="17"/>
        <v>12087</v>
      </c>
      <c r="BQ10">
        <f t="shared" si="18"/>
        <v>1.0900974025974834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22435.689999999944</v>
      </c>
      <c r="H11" s="19">
        <f>'8'!G7</f>
        <v>22354</v>
      </c>
      <c r="I11" s="19">
        <f>'8'!G8</f>
        <v>22435.689999999944</v>
      </c>
      <c r="J11" s="19">
        <v>9</v>
      </c>
      <c r="K11" s="49">
        <f t="shared" si="3"/>
        <v>201921.2099999995</v>
      </c>
      <c r="L11" s="45">
        <f t="shared" si="4"/>
        <v>111.06777227722745</v>
      </c>
      <c r="M11" s="19">
        <f>'8'!G15</f>
        <v>902.72999999998137</v>
      </c>
      <c r="N11" s="19">
        <v>53</v>
      </c>
      <c r="O11" s="45">
        <f t="shared" si="5"/>
        <v>47844.689999999013</v>
      </c>
      <c r="P11" s="19">
        <f>'8'!G20</f>
        <v>275</v>
      </c>
      <c r="Q11" s="19">
        <v>108</v>
      </c>
      <c r="R11" s="46">
        <f t="shared" si="0"/>
        <v>29700</v>
      </c>
      <c r="S11" s="47">
        <f t="shared" si="1"/>
        <v>174.53668443767452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74</v>
      </c>
      <c r="X11" s="22">
        <f>'8'!G97</f>
        <v>35</v>
      </c>
      <c r="Y11" s="22">
        <f>'8'!G98</f>
        <v>39</v>
      </c>
      <c r="Z11" s="22">
        <f t="shared" si="7"/>
        <v>148</v>
      </c>
      <c r="AA11" s="19">
        <f>'8'!G133</f>
        <v>13.849999999998545</v>
      </c>
      <c r="AB11" s="19">
        <f>'8'!G134</f>
        <v>17.720000000000027</v>
      </c>
      <c r="AC11" s="19">
        <f>'8'!G135</f>
        <v>0</v>
      </c>
      <c r="AD11" s="19">
        <f>'8'!G136</f>
        <v>5.0000000002910383E-2</v>
      </c>
      <c r="AE11" s="19">
        <f t="shared" si="8"/>
        <v>31.620000000001482</v>
      </c>
      <c r="AF11" s="23">
        <f t="shared" si="2"/>
        <v>6557.5300000000279</v>
      </c>
      <c r="AG11" s="23">
        <f t="shared" si="9"/>
        <v>207.38551549651234</v>
      </c>
      <c r="AH11" s="19">
        <f>'8'!G137</f>
        <v>9.2400000000016007</v>
      </c>
      <c r="AI11" s="19">
        <f>'8'!G138</f>
        <v>0</v>
      </c>
      <c r="AJ11" s="19">
        <f>'8'!G139</f>
        <v>-0.19999999999708962</v>
      </c>
      <c r="AK11" s="19">
        <f t="shared" si="10"/>
        <v>9.0400000000045111</v>
      </c>
      <c r="AL11" s="19">
        <f>'8'!G140</f>
        <v>9.5500000000001819</v>
      </c>
      <c r="AM11" s="19">
        <f>'8'!G141</f>
        <v>0</v>
      </c>
      <c r="AN11" s="19"/>
      <c r="AO11" s="19">
        <f t="shared" si="11"/>
        <v>9.5500000000001819</v>
      </c>
      <c r="AP11" s="52">
        <f>'8'!G124</f>
        <v>261.97999999998137</v>
      </c>
      <c r="AQ11" s="55">
        <f>'8'!G35</f>
        <v>-0.30000000004656613</v>
      </c>
      <c r="AR11" s="19">
        <f>'8'!G37</f>
        <v>1610</v>
      </c>
      <c r="AS11" s="19">
        <f>'8'!G38</f>
        <v>1794</v>
      </c>
      <c r="AT11" s="19">
        <f>'8'!G39</f>
        <v>3646</v>
      </c>
      <c r="AU11" s="19">
        <f>'8'!G40</f>
        <v>425</v>
      </c>
      <c r="AV11" s="19">
        <f>'8'!G41</f>
        <v>2694.5300000000279</v>
      </c>
      <c r="AW11" s="19">
        <f>'8'!G42</f>
        <v>3786</v>
      </c>
      <c r="AX11" s="19">
        <f>'8'!G43</f>
        <v>2900</v>
      </c>
      <c r="AY11" s="23">
        <f>'8'!G44</f>
        <v>0</v>
      </c>
      <c r="AZ11" s="56">
        <f>'8'!G36</f>
        <v>688.5</v>
      </c>
      <c r="BA11" s="55">
        <f>'8'!G49</f>
        <v>2940</v>
      </c>
      <c r="BB11" s="19">
        <f>'8'!G51</f>
        <v>0</v>
      </c>
      <c r="BC11" s="19">
        <f>'8'!G52</f>
        <v>0</v>
      </c>
      <c r="BD11" s="19">
        <f>'8'!G53</f>
        <v>7.9999999958090484E-2</v>
      </c>
      <c r="BE11" s="19">
        <f>'8'!G54</f>
        <v>0</v>
      </c>
      <c r="BF11" s="19">
        <f>'8'!G55</f>
        <v>67</v>
      </c>
      <c r="BG11" s="19">
        <f>'8'!G56</f>
        <v>10</v>
      </c>
      <c r="BH11" s="19">
        <f>'8'!G57</f>
        <v>0</v>
      </c>
      <c r="BI11" s="56">
        <f>'8'!G50</f>
        <v>1089</v>
      </c>
      <c r="BJ11" s="62">
        <f t="shared" si="12"/>
        <v>6557.5300000000279</v>
      </c>
      <c r="BK11" s="62">
        <f>'8'!G84</f>
        <v>775</v>
      </c>
      <c r="BL11" s="23">
        <f t="shared" si="13"/>
        <v>55.256736030850902</v>
      </c>
      <c r="BM11" s="23">
        <f t="shared" si="14"/>
        <v>16.251249682982639</v>
      </c>
      <c r="BN11" s="24">
        <f t="shared" si="15"/>
        <v>7.9961882161859274E-2</v>
      </c>
      <c r="BO11" s="25">
        <f t="shared" si="16"/>
        <v>279465.89999999851</v>
      </c>
      <c r="BP11" s="38">
        <f t="shared" si="17"/>
        <v>10232.530000000028</v>
      </c>
      <c r="BQ11">
        <f t="shared" si="18"/>
        <v>1.1557479443389749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50">
        <f>'9'!D4</f>
        <v>0.78</v>
      </c>
      <c r="F12" s="50">
        <f>'9'!D2</f>
        <v>0.62</v>
      </c>
      <c r="G12" s="19">
        <f>'9'!G8</f>
        <v>20612</v>
      </c>
      <c r="H12" s="19">
        <f>'9'!G7</f>
        <v>19321</v>
      </c>
      <c r="I12" s="19">
        <f>'9'!G8</f>
        <v>20612</v>
      </c>
      <c r="J12" s="19">
        <v>9</v>
      </c>
      <c r="K12" s="49">
        <f t="shared" si="3"/>
        <v>185508</v>
      </c>
      <c r="L12" s="45">
        <f t="shared" si="4"/>
        <v>102.03960396039604</v>
      </c>
      <c r="M12" s="19">
        <f>'9'!G15</f>
        <v>764</v>
      </c>
      <c r="N12" s="19">
        <v>53</v>
      </c>
      <c r="O12" s="45">
        <f t="shared" si="5"/>
        <v>40492</v>
      </c>
      <c r="P12" s="19">
        <f>'9'!G20</f>
        <v>224</v>
      </c>
      <c r="Q12" s="19">
        <v>108</v>
      </c>
      <c r="R12" s="46">
        <f t="shared" si="0"/>
        <v>24192</v>
      </c>
      <c r="S12" s="47">
        <f t="shared" si="1"/>
        <v>178.85659533695306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84</v>
      </c>
      <c r="X12" s="22">
        <f>'9'!G97</f>
        <v>29</v>
      </c>
      <c r="Y12" s="22">
        <f>'9'!G98</f>
        <v>23</v>
      </c>
      <c r="Z12" s="22">
        <f t="shared" si="7"/>
        <v>136</v>
      </c>
      <c r="AA12" s="19">
        <f>'9'!G133</f>
        <v>24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</v>
      </c>
      <c r="AF12" s="23">
        <f t="shared" si="2"/>
        <v>5620</v>
      </c>
      <c r="AG12" s="23">
        <f t="shared" si="9"/>
        <v>234.16666666666666</v>
      </c>
      <c r="AH12" s="19">
        <f>'9'!G137</f>
        <v>6.9799999999995634</v>
      </c>
      <c r="AI12" s="19">
        <f>'9'!G138</f>
        <v>0</v>
      </c>
      <c r="AJ12" s="19">
        <f>'9'!G139</f>
        <v>0</v>
      </c>
      <c r="AK12" s="19">
        <f t="shared" si="10"/>
        <v>6.9799999999995634</v>
      </c>
      <c r="AL12" s="19">
        <f>'9'!G140</f>
        <v>9.8400000000001455</v>
      </c>
      <c r="AM12" s="19">
        <f>'9'!G141</f>
        <v>0</v>
      </c>
      <c r="AN12" s="19"/>
      <c r="AO12" s="19">
        <f t="shared" si="11"/>
        <v>9.8400000000001455</v>
      </c>
      <c r="AP12" s="52">
        <f>'9'!G124</f>
        <v>262</v>
      </c>
      <c r="AQ12" s="55">
        <f>'9'!G35</f>
        <v>0</v>
      </c>
      <c r="AR12" s="19">
        <f>'9'!G37</f>
        <v>1498</v>
      </c>
      <c r="AS12" s="19">
        <f>'9'!G38</f>
        <v>1606</v>
      </c>
      <c r="AT12" s="19">
        <f>'9'!G39</f>
        <v>3904</v>
      </c>
      <c r="AU12" s="19">
        <f>'9'!G40</f>
        <v>594</v>
      </c>
      <c r="AV12" s="19">
        <f>'9'!G41</f>
        <v>5609</v>
      </c>
      <c r="AW12" s="19">
        <f>'9'!G42</f>
        <v>0</v>
      </c>
      <c r="AX12" s="19">
        <f>'9'!G43</f>
        <v>2570</v>
      </c>
      <c r="AY12" s="23">
        <f>'9'!G44</f>
        <v>0</v>
      </c>
      <c r="AZ12" s="56">
        <f>'9'!G36</f>
        <v>659</v>
      </c>
      <c r="BA12" s="55">
        <f>'9'!G49</f>
        <v>2734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0</v>
      </c>
      <c r="BG12" s="19">
        <f>'9'!G56</f>
        <v>11</v>
      </c>
      <c r="BH12" s="19">
        <f>'9'!G57</f>
        <v>0</v>
      </c>
      <c r="BI12" s="56">
        <f>'9'!G50</f>
        <v>992</v>
      </c>
      <c r="BJ12" s="62">
        <f t="shared" si="12"/>
        <v>5620</v>
      </c>
      <c r="BK12" s="62">
        <f>'8'!G84</f>
        <v>775</v>
      </c>
      <c r="BL12" s="23">
        <f t="shared" si="13"/>
        <v>52.998253444595377</v>
      </c>
      <c r="BM12" s="23">
        <f t="shared" si="14"/>
        <v>18.94042305453134</v>
      </c>
      <c r="BN12" s="24">
        <f t="shared" si="15"/>
        <v>7.7915777217155049E-2</v>
      </c>
      <c r="BO12" s="25">
        <f t="shared" si="16"/>
        <v>250192</v>
      </c>
      <c r="BP12" s="38">
        <f t="shared" si="17"/>
        <v>8965</v>
      </c>
      <c r="BQ12">
        <f t="shared" si="18"/>
        <v>1.3340773809523809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50">
        <f>'10'!D4</f>
        <v>0.79</v>
      </c>
      <c r="F13" s="50">
        <f>'10'!D2</f>
        <v>0.88</v>
      </c>
      <c r="G13" s="19">
        <f>'10'!G8</f>
        <v>21667</v>
      </c>
      <c r="H13" s="19">
        <f>'10'!G7</f>
        <v>21648</v>
      </c>
      <c r="I13" s="19">
        <f>'10'!G8</f>
        <v>21667</v>
      </c>
      <c r="J13" s="19">
        <v>9</v>
      </c>
      <c r="K13" s="49">
        <f t="shared" si="3"/>
        <v>195003</v>
      </c>
      <c r="L13" s="45">
        <f t="shared" si="4"/>
        <v>107.26237623762377</v>
      </c>
      <c r="M13" s="19">
        <f>'10'!G15</f>
        <v>907</v>
      </c>
      <c r="N13" s="19">
        <v>53</v>
      </c>
      <c r="O13" s="45">
        <f t="shared" si="5"/>
        <v>48071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110.82358235823584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76</v>
      </c>
      <c r="X13" s="22">
        <f>'10'!G97</f>
        <v>23</v>
      </c>
      <c r="Y13" s="22">
        <f>'10'!G98</f>
        <v>20</v>
      </c>
      <c r="Z13" s="22">
        <f t="shared" si="7"/>
        <v>119</v>
      </c>
      <c r="AA13" s="19">
        <f>'10'!G133</f>
        <v>24</v>
      </c>
      <c r="AB13" s="19">
        <f>'10'!G134</f>
        <v>0</v>
      </c>
      <c r="AC13" s="19">
        <f>'10'!G135</f>
        <v>7.430000000000291</v>
      </c>
      <c r="AD13" s="19">
        <f>'10'!G136</f>
        <v>0</v>
      </c>
      <c r="AE13" s="19">
        <f t="shared" si="8"/>
        <v>31.430000000000291</v>
      </c>
      <c r="AF13" s="23">
        <f t="shared" si="2"/>
        <v>6540</v>
      </c>
      <c r="AG13" s="23">
        <f t="shared" si="9"/>
        <v>208.08145084314157</v>
      </c>
      <c r="AH13" s="19">
        <f>'10'!G137</f>
        <v>9.5900000000001455</v>
      </c>
      <c r="AI13" s="19">
        <f>'10'!G138</f>
        <v>-0.4500000000007276</v>
      </c>
      <c r="AJ13" s="19">
        <f>'10'!G139</f>
        <v>0</v>
      </c>
      <c r="AK13" s="19">
        <f t="shared" si="10"/>
        <v>9.1399999999994179</v>
      </c>
      <c r="AL13" s="19">
        <f>'10'!G140</f>
        <v>10.159999999999854</v>
      </c>
      <c r="AM13" s="19">
        <f>'10'!G141</f>
        <v>0</v>
      </c>
      <c r="AN13" s="19"/>
      <c r="AO13" s="19">
        <f t="shared" si="11"/>
        <v>10.159999999999854</v>
      </c>
      <c r="AP13" s="52">
        <f>'10'!G124</f>
        <v>279</v>
      </c>
      <c r="AQ13" s="55">
        <f>'10'!G35</f>
        <v>0</v>
      </c>
      <c r="AR13" s="19">
        <f>'10'!G37</f>
        <v>1555</v>
      </c>
      <c r="AS13" s="19">
        <f>'10'!G38</f>
        <v>1654</v>
      </c>
      <c r="AT13" s="19">
        <f>'10'!G39</f>
        <v>3790</v>
      </c>
      <c r="AU13" s="19">
        <f>'10'!G40</f>
        <v>379</v>
      </c>
      <c r="AV13" s="19">
        <f>'10'!G41</f>
        <v>5017</v>
      </c>
      <c r="AW13" s="19">
        <f>'10'!G42</f>
        <v>0</v>
      </c>
      <c r="AX13" s="19">
        <f>'10'!G43</f>
        <v>2950</v>
      </c>
      <c r="AY13" s="23">
        <f>'10'!G44</f>
        <v>0</v>
      </c>
      <c r="AZ13" s="56">
        <f>'10'!G36</f>
        <v>714</v>
      </c>
      <c r="BA13" s="55">
        <f>'10'!G49</f>
        <v>2950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1512</v>
      </c>
      <c r="BG13" s="19">
        <f>'10'!G56</f>
        <v>11</v>
      </c>
      <c r="BH13" s="19">
        <f>'10'!G57</f>
        <v>0</v>
      </c>
      <c r="BI13" s="56">
        <f>'10'!G50</f>
        <v>892</v>
      </c>
      <c r="BJ13" s="62">
        <f t="shared" si="12"/>
        <v>6540</v>
      </c>
      <c r="BK13" s="62">
        <f>'8'!G84</f>
        <v>775</v>
      </c>
      <c r="BL13" s="23">
        <f t="shared" si="13"/>
        <v>57.414501315364383</v>
      </c>
      <c r="BM13" s="23">
        <f t="shared" si="14"/>
        <v>17.493561637513345</v>
      </c>
      <c r="BN13" s="24">
        <f t="shared" si="15"/>
        <v>7.6337287118659711E-2</v>
      </c>
      <c r="BO13" s="25">
        <f t="shared" si="16"/>
        <v>264350</v>
      </c>
      <c r="BP13" s="38">
        <f t="shared" si="17"/>
        <v>10265</v>
      </c>
      <c r="BQ13">
        <f t="shared" si="18"/>
        <v>1.1664242534430145</v>
      </c>
    </row>
    <row r="14" spans="1:70">
      <c r="A14" s="16">
        <v>11</v>
      </c>
      <c r="B14" s="17">
        <v>11</v>
      </c>
      <c r="C14" s="27"/>
      <c r="D14" s="19">
        <f>'11'!D3</f>
        <v>30</v>
      </c>
      <c r="E14" s="50">
        <f>'11'!D4</f>
        <v>0.8</v>
      </c>
      <c r="F14" s="50">
        <f>'11'!D2</f>
        <v>0.94</v>
      </c>
      <c r="G14" s="19">
        <f>'11'!G8</f>
        <v>21713</v>
      </c>
      <c r="H14" s="19">
        <f>'11'!G7</f>
        <v>21561</v>
      </c>
      <c r="I14" s="19">
        <f>'11'!G8</f>
        <v>21713</v>
      </c>
      <c r="J14" s="19">
        <v>9</v>
      </c>
      <c r="K14" s="49">
        <f t="shared" si="3"/>
        <v>195417</v>
      </c>
      <c r="L14" s="45">
        <f t="shared" si="4"/>
        <v>107.49009900990099</v>
      </c>
      <c r="M14" s="19">
        <f>'11'!G15</f>
        <v>826</v>
      </c>
      <c r="N14" s="19">
        <v>53</v>
      </c>
      <c r="O14" s="45">
        <f t="shared" si="5"/>
        <v>43778</v>
      </c>
      <c r="P14" s="19">
        <f>'11'!G20</f>
        <v>224</v>
      </c>
      <c r="Q14" s="19">
        <v>108</v>
      </c>
      <c r="R14" s="46">
        <f t="shared" si="0"/>
        <v>24192</v>
      </c>
      <c r="S14" s="47">
        <f t="shared" si="1"/>
        <v>117.96924373288392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69</v>
      </c>
      <c r="X14" s="22">
        <f>'11'!G97</f>
        <v>24</v>
      </c>
      <c r="Y14" s="22">
        <f>'11'!G98</f>
        <v>24</v>
      </c>
      <c r="Z14" s="22">
        <f t="shared" si="7"/>
        <v>117</v>
      </c>
      <c r="AA14" s="19">
        <f>'11'!G133</f>
        <v>24</v>
      </c>
      <c r="AB14" s="19">
        <f>'11'!G134</f>
        <v>0</v>
      </c>
      <c r="AC14" s="19">
        <f>'11'!G135</f>
        <v>7.569999999999709</v>
      </c>
      <c r="AD14" s="19">
        <f>'11'!G136</f>
        <v>0</v>
      </c>
      <c r="AE14" s="19">
        <f t="shared" si="8"/>
        <v>31.569999999999709</v>
      </c>
      <c r="AF14" s="23">
        <f t="shared" si="2"/>
        <v>6303</v>
      </c>
      <c r="AG14" s="23">
        <f t="shared" si="9"/>
        <v>199.65156794425272</v>
      </c>
      <c r="AH14" s="19">
        <f>'11'!G137</f>
        <v>7</v>
      </c>
      <c r="AI14" s="19">
        <f>'11'!G138</f>
        <v>0</v>
      </c>
      <c r="AJ14" s="19">
        <f>'11'!G139</f>
        <v>0</v>
      </c>
      <c r="AK14" s="19">
        <f t="shared" si="10"/>
        <v>7</v>
      </c>
      <c r="AL14" s="19">
        <f>'11'!G140</f>
        <v>10</v>
      </c>
      <c r="AM14" s="19">
        <f>'11'!G141</f>
        <v>0</v>
      </c>
      <c r="AN14" s="19"/>
      <c r="AO14" s="19">
        <f t="shared" si="11"/>
        <v>10</v>
      </c>
      <c r="AP14" s="52">
        <f>'11'!G124</f>
        <v>281</v>
      </c>
      <c r="AQ14" s="55">
        <f>'11'!G35</f>
        <v>0</v>
      </c>
      <c r="AR14" s="19">
        <f>'11'!G37</f>
        <v>1551</v>
      </c>
      <c r="AS14" s="19">
        <f>'11'!G38</f>
        <v>1631</v>
      </c>
      <c r="AT14" s="19">
        <f>'11'!G39</f>
        <v>3773</v>
      </c>
      <c r="AU14" s="19">
        <f>'11'!G40</f>
        <v>541</v>
      </c>
      <c r="AV14" s="19">
        <f>'11'!G41</f>
        <v>4837</v>
      </c>
      <c r="AW14" s="19">
        <f>'11'!G42</f>
        <v>0</v>
      </c>
      <c r="AX14" s="19">
        <f>'11'!G43</f>
        <v>2940</v>
      </c>
      <c r="AY14" s="23">
        <f>'11'!G44</f>
        <v>0</v>
      </c>
      <c r="AZ14" s="56">
        <f>'11'!G36</f>
        <v>691</v>
      </c>
      <c r="BA14" s="55">
        <f>'11'!G49</f>
        <v>3073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1455</v>
      </c>
      <c r="BG14" s="19">
        <f>'11'!G56</f>
        <v>11</v>
      </c>
      <c r="BH14" s="19">
        <f>'11'!G57</f>
        <v>0</v>
      </c>
      <c r="BI14" s="56">
        <f>'11'!G50</f>
        <v>1053</v>
      </c>
      <c r="BJ14" s="62">
        <f t="shared" si="12"/>
        <v>6303</v>
      </c>
      <c r="BK14" s="62">
        <f>'11'!G84</f>
        <v>773</v>
      </c>
      <c r="BL14" s="23">
        <f t="shared" si="13"/>
        <v>56.721779579054022</v>
      </c>
      <c r="BM14" s="23">
        <f t="shared" si="14"/>
        <v>17.374798507806503</v>
      </c>
      <c r="BN14" s="24">
        <f t="shared" si="15"/>
        <v>7.511628978031594E-2</v>
      </c>
      <c r="BO14" s="25">
        <f t="shared" si="16"/>
        <v>263387</v>
      </c>
      <c r="BP14" s="38">
        <f t="shared" si="17"/>
        <v>10016</v>
      </c>
      <c r="BQ14">
        <f t="shared" si="18"/>
        <v>1.1330829449296453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23053</v>
      </c>
      <c r="H15" s="19">
        <f>'12'!G7</f>
        <v>24049</v>
      </c>
      <c r="I15" s="19">
        <f>'12'!G8</f>
        <v>23053</v>
      </c>
      <c r="J15" s="19">
        <v>9</v>
      </c>
      <c r="K15" s="49">
        <f t="shared" si="3"/>
        <v>207477</v>
      </c>
      <c r="L15" s="45">
        <f t="shared" si="4"/>
        <v>114.12376237623762</v>
      </c>
      <c r="M15" s="19">
        <f>'12'!G15</f>
        <v>930</v>
      </c>
      <c r="N15" s="19">
        <v>53</v>
      </c>
      <c r="O15" s="41">
        <f t="shared" si="5"/>
        <v>49290</v>
      </c>
      <c r="P15" s="19">
        <f>'12'!G20</f>
        <v>240</v>
      </c>
      <c r="Q15" s="19">
        <v>108</v>
      </c>
      <c r="R15" s="46">
        <f t="shared" si="0"/>
        <v>25920</v>
      </c>
      <c r="S15" s="47">
        <f t="shared" si="1"/>
        <v>160.55659620016056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87</v>
      </c>
      <c r="X15" s="22">
        <f>'12'!G97</f>
        <v>24</v>
      </c>
      <c r="Y15" s="22">
        <f>'12'!G98</f>
        <v>26</v>
      </c>
      <c r="Z15" s="22">
        <f t="shared" si="7"/>
        <v>137</v>
      </c>
      <c r="AA15" s="19">
        <f>'12'!G133</f>
        <v>24</v>
      </c>
      <c r="AB15" s="19">
        <f>'12'!G134</f>
        <v>0</v>
      </c>
      <c r="AC15" s="19">
        <f>'12'!G135</f>
        <v>12</v>
      </c>
      <c r="AD15" s="19">
        <f>'12'!G136</f>
        <v>0</v>
      </c>
      <c r="AE15" s="19">
        <f t="shared" si="8"/>
        <v>36</v>
      </c>
      <c r="AF15" s="23">
        <f t="shared" si="2"/>
        <v>7375</v>
      </c>
      <c r="AG15" s="23">
        <f t="shared" si="9"/>
        <v>204.86111111111111</v>
      </c>
      <c r="AH15" s="19">
        <f>'12'!G137</f>
        <v>9.3100000000013097</v>
      </c>
      <c r="AI15" s="19">
        <f>'12'!G138</f>
        <v>0.4500000000007276</v>
      </c>
      <c r="AJ15" s="19">
        <f>'12'!G139</f>
        <v>0</v>
      </c>
      <c r="AK15" s="19">
        <f t="shared" si="10"/>
        <v>9.7600000000020373</v>
      </c>
      <c r="AL15" s="19">
        <f>'12'!G140</f>
        <v>10.7199999999998</v>
      </c>
      <c r="AM15" s="19">
        <f>'12'!G141</f>
        <v>0</v>
      </c>
      <c r="AN15" s="19"/>
      <c r="AO15" s="19">
        <f t="shared" si="11"/>
        <v>10.7199999999998</v>
      </c>
      <c r="AP15" s="52">
        <f>'12'!G124</f>
        <v>275</v>
      </c>
      <c r="AQ15" s="55">
        <f>'12'!G35</f>
        <v>0</v>
      </c>
      <c r="AR15" s="19">
        <f>'12'!G37</f>
        <v>1629</v>
      </c>
      <c r="AS15" s="19">
        <f>'12'!G38</f>
        <v>1686</v>
      </c>
      <c r="AT15" s="19">
        <f>'12'!G39</f>
        <v>4025</v>
      </c>
      <c r="AU15" s="19">
        <f>'12'!G40</f>
        <v>363</v>
      </c>
      <c r="AV15" s="19">
        <f>'12'!G41</f>
        <v>5051</v>
      </c>
      <c r="AW15" s="19">
        <f>'12'!G42</f>
        <v>0</v>
      </c>
      <c r="AX15" s="19">
        <f>'12'!G43</f>
        <v>3210</v>
      </c>
      <c r="AY15" s="23">
        <f>'12'!G44</f>
        <v>0</v>
      </c>
      <c r="AZ15" s="56">
        <f>'12'!G36</f>
        <v>837.69999999999709</v>
      </c>
      <c r="BA15" s="55">
        <f>'12'!G49</f>
        <v>3146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2311</v>
      </c>
      <c r="BG15" s="19">
        <f>'12'!G56</f>
        <v>13</v>
      </c>
      <c r="BH15" s="19">
        <f>'12'!G57</f>
        <v>0</v>
      </c>
      <c r="BI15" s="56">
        <f>'12'!G50</f>
        <v>965</v>
      </c>
      <c r="BJ15" s="62">
        <f t="shared" si="12"/>
        <v>7375</v>
      </c>
      <c r="BK15" s="62">
        <f>'12'!G84</f>
        <v>746</v>
      </c>
      <c r="BL15" s="23">
        <f t="shared" si="13"/>
        <v>59.562746714093613</v>
      </c>
      <c r="BM15" s="23">
        <f t="shared" si="14"/>
        <v>17.461545135123298</v>
      </c>
      <c r="BN15" s="24">
        <f t="shared" si="15"/>
        <v>7.3135817464104455E-2</v>
      </c>
      <c r="BO15" s="25">
        <f t="shared" si="16"/>
        <v>282687</v>
      </c>
      <c r="BP15" s="38">
        <f t="shared" si="17"/>
        <v>11331</v>
      </c>
      <c r="BQ15">
        <f t="shared" si="18"/>
        <v>1.1241071428571427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22751</v>
      </c>
      <c r="H16" s="19">
        <f>'13'!G7</f>
        <v>21398</v>
      </c>
      <c r="I16" s="19">
        <f>'13'!G8</f>
        <v>22751</v>
      </c>
      <c r="J16" s="19">
        <v>9</v>
      </c>
      <c r="K16" s="49">
        <f t="shared" si="3"/>
        <v>204759</v>
      </c>
      <c r="L16" s="45">
        <f t="shared" si="4"/>
        <v>112.62871287128714</v>
      </c>
      <c r="M16" s="19">
        <f>'13'!G15</f>
        <v>901</v>
      </c>
      <c r="N16" s="19">
        <v>53</v>
      </c>
      <c r="O16" s="41">
        <f t="shared" si="5"/>
        <v>47753</v>
      </c>
      <c r="P16" s="19">
        <f>'13'!G20</f>
        <v>251</v>
      </c>
      <c r="Q16" s="19">
        <v>108</v>
      </c>
      <c r="R16" s="46">
        <f t="shared" si="0"/>
        <v>27108</v>
      </c>
      <c r="S16" s="47">
        <f t="shared" si="1"/>
        <v>182.73150844496212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74</v>
      </c>
      <c r="X16" s="22">
        <f>'13'!G97</f>
        <v>25</v>
      </c>
      <c r="Y16" s="22">
        <f>'13'!G98</f>
        <v>32</v>
      </c>
      <c r="Z16" s="22">
        <f t="shared" si="7"/>
        <v>131</v>
      </c>
      <c r="AA16" s="19">
        <f>'13'!G133</f>
        <v>24</v>
      </c>
      <c r="AB16" s="19">
        <f>'13'!G134</f>
        <v>0</v>
      </c>
      <c r="AC16" s="19">
        <f>'13'!G135</f>
        <v>9</v>
      </c>
      <c r="AD16" s="19">
        <f>'13'!G136</f>
        <v>-5.0000000002910383E-2</v>
      </c>
      <c r="AE16" s="19">
        <f t="shared" si="8"/>
        <v>32.94999999999709</v>
      </c>
      <c r="AF16" s="23">
        <f t="shared" si="2"/>
        <v>6670</v>
      </c>
      <c r="AG16" s="23">
        <f t="shared" si="9"/>
        <v>202.42792109258238</v>
      </c>
      <c r="AH16" s="19">
        <f>'13'!G137</f>
        <v>5.5200000000004366</v>
      </c>
      <c r="AI16" s="19">
        <f>'13'!G138</f>
        <v>3.6300000000010186</v>
      </c>
      <c r="AJ16" s="19">
        <f>'13'!G139</f>
        <v>0.19999999999708962</v>
      </c>
      <c r="AK16" s="19">
        <f t="shared" si="10"/>
        <v>9.3499999999985448</v>
      </c>
      <c r="AL16" s="19">
        <f>'13'!G140</f>
        <v>10.200000000000273</v>
      </c>
      <c r="AM16" s="19">
        <f>'13'!G141</f>
        <v>0</v>
      </c>
      <c r="AN16" s="19"/>
      <c r="AO16" s="19">
        <f t="shared" si="11"/>
        <v>10.200000000000273</v>
      </c>
      <c r="AP16" s="52">
        <f>'13'!G124</f>
        <v>277</v>
      </c>
      <c r="AQ16" s="55">
        <f>'13'!G35</f>
        <v>0</v>
      </c>
      <c r="AR16" s="19">
        <f>'13'!G37</f>
        <v>1619</v>
      </c>
      <c r="AS16" s="19">
        <f>'13'!G38</f>
        <v>1802</v>
      </c>
      <c r="AT16" s="19">
        <f>'13'!G39</f>
        <v>3617</v>
      </c>
      <c r="AU16" s="19">
        <f>'13'!G40</f>
        <v>500</v>
      </c>
      <c r="AV16" s="19">
        <f>'13'!G41</f>
        <v>4910</v>
      </c>
      <c r="AW16" s="19">
        <f>'13'!G42</f>
        <v>0</v>
      </c>
      <c r="AX16" s="19">
        <f>'13'!G43</f>
        <v>2730</v>
      </c>
      <c r="AY16" s="23">
        <f>'13'!G44</f>
        <v>0</v>
      </c>
      <c r="AZ16" s="56">
        <f>'13'!G36</f>
        <v>726.90000000000146</v>
      </c>
      <c r="BA16" s="55">
        <f>'13'!G49</f>
        <v>3138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1749</v>
      </c>
      <c r="BG16" s="19">
        <f>'13'!G56</f>
        <v>11</v>
      </c>
      <c r="BH16" s="19">
        <f>'13'!G57</f>
        <v>0.32999999999992724</v>
      </c>
      <c r="BI16" s="56">
        <f>'13'!G50</f>
        <v>1196</v>
      </c>
      <c r="BJ16" s="62">
        <f t="shared" si="12"/>
        <v>6670</v>
      </c>
      <c r="BK16" s="62">
        <f>'13'!G84</f>
        <v>804</v>
      </c>
      <c r="BL16" s="23">
        <f t="shared" si="13"/>
        <v>55.111115994901326</v>
      </c>
      <c r="BM16" s="23">
        <f t="shared" si="14"/>
        <v>15.898202276822998</v>
      </c>
      <c r="BN16" s="24">
        <f t="shared" si="15"/>
        <v>7.920530965671839E-2</v>
      </c>
      <c r="BO16" s="25">
        <f t="shared" si="16"/>
        <v>279620</v>
      </c>
      <c r="BP16" s="38">
        <f t="shared" si="17"/>
        <v>10204.33</v>
      </c>
      <c r="BQ16">
        <f t="shared" si="18"/>
        <v>1.1060405376111968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20814</v>
      </c>
      <c r="H17" s="19">
        <f>'14'!G7</f>
        <v>20799</v>
      </c>
      <c r="I17" s="19">
        <f>'14'!G8</f>
        <v>20814</v>
      </c>
      <c r="J17" s="19">
        <v>9</v>
      </c>
      <c r="K17" s="49">
        <f t="shared" si="3"/>
        <v>187326</v>
      </c>
      <c r="L17" s="45">
        <f t="shared" si="4"/>
        <v>103.03960396039604</v>
      </c>
      <c r="M17" s="19">
        <f>'14'!G15</f>
        <v>1092</v>
      </c>
      <c r="N17" s="19">
        <v>53</v>
      </c>
      <c r="O17" s="41">
        <f t="shared" si="5"/>
        <v>57876</v>
      </c>
      <c r="P17" s="19">
        <f>'14'!G20</f>
        <v>223</v>
      </c>
      <c r="Q17" s="19">
        <v>108</v>
      </c>
      <c r="R17" s="46">
        <f t="shared" si="0"/>
        <v>24084</v>
      </c>
      <c r="S17" s="47">
        <f t="shared" si="1"/>
        <v>137.99504950495046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69</v>
      </c>
      <c r="X17" s="22">
        <f>'14'!G97</f>
        <v>22</v>
      </c>
      <c r="Y17" s="22">
        <f>'14'!G98</f>
        <v>36</v>
      </c>
      <c r="Z17" s="22">
        <f>W17+X17+Y17</f>
        <v>127</v>
      </c>
      <c r="AA17" s="19">
        <f>'14'!G133</f>
        <v>24</v>
      </c>
      <c r="AB17" s="19">
        <f>'14'!G134</f>
        <v>0</v>
      </c>
      <c r="AC17" s="19">
        <f>'14'!G135</f>
        <v>1</v>
      </c>
      <c r="AD17" s="19">
        <f>'14'!G136</f>
        <v>0</v>
      </c>
      <c r="AE17" s="19">
        <f t="shared" si="8"/>
        <v>25</v>
      </c>
      <c r="AF17" s="23">
        <f t="shared" si="2"/>
        <v>6022</v>
      </c>
      <c r="AG17" s="23">
        <f t="shared" si="9"/>
        <v>240.88</v>
      </c>
      <c r="AH17" s="19">
        <f>'14'!G137</f>
        <v>0</v>
      </c>
      <c r="AI17" s="19">
        <f>'14'!G138</f>
        <v>9.8999999999978172</v>
      </c>
      <c r="AJ17" s="19">
        <f>'14'!G139</f>
        <v>5.3500000000058208</v>
      </c>
      <c r="AK17" s="19">
        <f t="shared" si="10"/>
        <v>15.250000000003638</v>
      </c>
      <c r="AL17" s="19">
        <f>'14'!G140</f>
        <v>9.8899999999998727</v>
      </c>
      <c r="AM17" s="19">
        <f>'14'!G141</f>
        <v>0</v>
      </c>
      <c r="AN17" s="19"/>
      <c r="AO17" s="19">
        <f t="shared" si="11"/>
        <v>9.8899999999998727</v>
      </c>
      <c r="AP17" s="52">
        <f>'14'!G124</f>
        <v>271</v>
      </c>
      <c r="AQ17" s="55">
        <f>'14'!G35</f>
        <v>0</v>
      </c>
      <c r="AR17" s="19">
        <f>'14'!G37</f>
        <v>1554</v>
      </c>
      <c r="AS17" s="19">
        <f>'14'!G38</f>
        <v>1717</v>
      </c>
      <c r="AT17" s="19">
        <f>'14'!G39</f>
        <v>3674</v>
      </c>
      <c r="AU17" s="19">
        <f>'14'!G40</f>
        <v>352</v>
      </c>
      <c r="AV17" s="19">
        <f>'14'!G41</f>
        <v>5703</v>
      </c>
      <c r="AW17" s="19">
        <f>'14'!G42</f>
        <v>0</v>
      </c>
      <c r="AX17" s="19">
        <f>'14'!G43</f>
        <v>2490</v>
      </c>
      <c r="AY17" s="23">
        <f>'14'!G44</f>
        <v>0</v>
      </c>
      <c r="AZ17" s="56">
        <f>'14'!G36</f>
        <v>633.40000000000146</v>
      </c>
      <c r="BA17" s="55">
        <f>'14'!G49</f>
        <v>3064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306</v>
      </c>
      <c r="BG17" s="19">
        <f>'14'!G56</f>
        <v>13</v>
      </c>
      <c r="BH17" s="19">
        <f>'14'!G57</f>
        <v>0</v>
      </c>
      <c r="BI17" s="56">
        <f>'14'!G50</f>
        <v>986</v>
      </c>
      <c r="BJ17" s="62">
        <f t="shared" si="12"/>
        <v>6022</v>
      </c>
      <c r="BK17" s="62">
        <f>'14'!G84</f>
        <v>807</v>
      </c>
      <c r="BL17" s="23">
        <f t="shared" si="13"/>
        <v>55.616412030364181</v>
      </c>
      <c r="BM17" s="23">
        <f t="shared" si="14"/>
        <v>17.649610838858585</v>
      </c>
      <c r="BN17" s="24">
        <f t="shared" si="15"/>
        <v>8.249255308926684E-2</v>
      </c>
      <c r="BO17" s="25">
        <f t="shared" si="16"/>
        <v>269286</v>
      </c>
      <c r="BP17" s="38">
        <f t="shared" si="17"/>
        <v>9319</v>
      </c>
      <c r="BQ17">
        <f t="shared" si="18"/>
        <v>1.3312857142857142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21550</v>
      </c>
      <c r="H18" s="19">
        <f>'15'!G7</f>
        <v>21488</v>
      </c>
      <c r="I18" s="19">
        <f>'15'!G8</f>
        <v>21550</v>
      </c>
      <c r="J18" s="19">
        <v>9</v>
      </c>
      <c r="K18" s="49">
        <f t="shared" si="3"/>
        <v>193950</v>
      </c>
      <c r="L18" s="45">
        <f t="shared" si="4"/>
        <v>106.68316831683168</v>
      </c>
      <c r="M18" s="19">
        <f>'15'!G15</f>
        <v>920</v>
      </c>
      <c r="N18" s="19">
        <v>53</v>
      </c>
      <c r="O18" s="41">
        <f t="shared" si="5"/>
        <v>48760</v>
      </c>
      <c r="P18" s="19">
        <f>'15'!G20</f>
        <v>254</v>
      </c>
      <c r="Q18" s="19">
        <v>108</v>
      </c>
      <c r="R18" s="46">
        <f t="shared" si="0"/>
        <v>27432</v>
      </c>
      <c r="S18" s="47">
        <f t="shared" si="1"/>
        <v>216.79754182314784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38</v>
      </c>
      <c r="Y18" s="22">
        <f>'15'!G98</f>
        <v>41</v>
      </c>
      <c r="Z18" s="22">
        <f t="shared" si="7"/>
        <v>157</v>
      </c>
      <c r="AA18" s="19">
        <f>'15'!G133</f>
        <v>24</v>
      </c>
      <c r="AB18" s="19">
        <f>'15'!G134</f>
        <v>0</v>
      </c>
      <c r="AC18" s="19">
        <f>'15'!G135</f>
        <v>3</v>
      </c>
      <c r="AD18" s="19">
        <f>'15'!G136</f>
        <v>0</v>
      </c>
      <c r="AE18" s="19">
        <f t="shared" si="8"/>
        <v>27</v>
      </c>
      <c r="AF18" s="23">
        <f t="shared" si="2"/>
        <v>6209</v>
      </c>
      <c r="AG18" s="23">
        <f t="shared" si="9"/>
        <v>229.96296296296296</v>
      </c>
      <c r="AH18" s="19">
        <f>'15'!G137</f>
        <v>8.6299999999973807</v>
      </c>
      <c r="AI18" s="19">
        <f>'15'!G138</f>
        <v>0</v>
      </c>
      <c r="AJ18" s="19">
        <f>'15'!G139</f>
        <v>0</v>
      </c>
      <c r="AK18" s="19">
        <f t="shared" si="10"/>
        <v>8.6299999999973807</v>
      </c>
      <c r="AL18" s="19">
        <f>'15'!G140</f>
        <v>11.220000000000255</v>
      </c>
      <c r="AM18" s="19">
        <f>'15'!G141</f>
        <v>0</v>
      </c>
      <c r="AN18" s="19"/>
      <c r="AO18" s="19">
        <f t="shared" si="11"/>
        <v>11.220000000000255</v>
      </c>
      <c r="AP18" s="52">
        <f>'15'!G124</f>
        <v>304</v>
      </c>
      <c r="AQ18" s="55">
        <f>'15'!G35</f>
        <v>0</v>
      </c>
      <c r="AR18" s="19">
        <f>'15'!G37</f>
        <v>1554</v>
      </c>
      <c r="AS18" s="19">
        <f>'15'!G38</f>
        <v>1842</v>
      </c>
      <c r="AT18" s="19">
        <f>'15'!G39</f>
        <v>3671</v>
      </c>
      <c r="AU18" s="19">
        <f>'15'!G40</f>
        <v>431</v>
      </c>
      <c r="AV18" s="19">
        <f>'15'!G41</f>
        <v>5558</v>
      </c>
      <c r="AW18" s="19">
        <f>'15'!G42</f>
        <v>0</v>
      </c>
      <c r="AX18" s="19">
        <f>'15'!G43</f>
        <v>2580</v>
      </c>
      <c r="AY18" s="23">
        <f>'15'!G44</f>
        <v>0</v>
      </c>
      <c r="AZ18" s="56">
        <f>'15'!G36</f>
        <v>823</v>
      </c>
      <c r="BA18" s="55">
        <f>'15'!G49</f>
        <v>2975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638</v>
      </c>
      <c r="BG18" s="19">
        <f>'15'!G56</f>
        <v>13</v>
      </c>
      <c r="BH18" s="19">
        <f>'15'!G57</f>
        <v>0</v>
      </c>
      <c r="BI18" s="56">
        <f>'15'!G50</f>
        <v>1206</v>
      </c>
      <c r="BJ18" s="62">
        <f t="shared" si="12"/>
        <v>6209</v>
      </c>
      <c r="BK18" s="62">
        <f>'15'!G84</f>
        <v>837</v>
      </c>
      <c r="BL18" s="23">
        <f t="shared" si="13"/>
        <v>54.589327146171691</v>
      </c>
      <c r="BM18" s="23">
        <f t="shared" si="14"/>
        <v>17.036705336426795</v>
      </c>
      <c r="BN18" s="24">
        <f t="shared" si="15"/>
        <v>8.5472389791185668E-2</v>
      </c>
      <c r="BO18" s="25">
        <f t="shared" si="16"/>
        <v>270142</v>
      </c>
      <c r="BP18" s="38">
        <f t="shared" si="17"/>
        <v>9626</v>
      </c>
      <c r="BQ18">
        <f t="shared" si="18"/>
        <v>1.2732804232804233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-676966.61</v>
      </c>
      <c r="H19" s="19">
        <f>'16'!G7</f>
        <v>23250</v>
      </c>
      <c r="I19" s="19">
        <f>'16'!G8</f>
        <v>-676966.61</v>
      </c>
      <c r="J19" s="19">
        <v>9</v>
      </c>
      <c r="K19" s="49">
        <f t="shared" si="3"/>
        <v>-6092699.4900000002</v>
      </c>
      <c r="L19" s="45">
        <f t="shared" si="4"/>
        <v>-3351.3198514851483</v>
      </c>
      <c r="M19" s="19">
        <f>'16'!G15</f>
        <v>950</v>
      </c>
      <c r="N19" s="19">
        <v>53</v>
      </c>
      <c r="O19" s="41">
        <f t="shared" si="5"/>
        <v>50350</v>
      </c>
      <c r="P19" s="19">
        <f>'16'!G20</f>
        <v>170</v>
      </c>
      <c r="Q19" s="19">
        <v>108</v>
      </c>
      <c r="R19" s="46">
        <f t="shared" si="0"/>
        <v>18360</v>
      </c>
      <c r="S19" s="47">
        <f t="shared" si="1"/>
        <v>161.84310738766183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-2268</v>
      </c>
      <c r="X19" s="22">
        <f>'16'!G97</f>
        <v>-733</v>
      </c>
      <c r="Y19" s="22">
        <f>'16'!G98</f>
        <v>-843</v>
      </c>
      <c r="Z19" s="22">
        <f t="shared" si="7"/>
        <v>-3844</v>
      </c>
      <c r="AA19" s="19">
        <f>'16'!G133</f>
        <v>-192.90000000000146</v>
      </c>
      <c r="AB19" s="19">
        <f>'16'!G134</f>
        <v>-339.77</v>
      </c>
      <c r="AC19" s="19">
        <f>'16'!G135</f>
        <v>-429</v>
      </c>
      <c r="AD19" s="19">
        <f>'16'!G136</f>
        <v>0</v>
      </c>
      <c r="AE19" s="19">
        <f t="shared" si="8"/>
        <v>-961.67000000000144</v>
      </c>
      <c r="AF19" s="23">
        <f t="shared" si="2"/>
        <v>-208824.16999999998</v>
      </c>
      <c r="AG19" s="23">
        <f t="shared" si="9"/>
        <v>217.14743103143456</v>
      </c>
      <c r="AH19" s="19">
        <f>'16'!G137</f>
        <v>-213.66999999999825</v>
      </c>
      <c r="AI19" s="19">
        <f>'16'!G138</f>
        <v>-33.819999999999709</v>
      </c>
      <c r="AJ19" s="19">
        <f>'16'!G139</f>
        <v>-6.9499999999970896</v>
      </c>
      <c r="AK19" s="19">
        <f t="shared" si="10"/>
        <v>-254.43999999999505</v>
      </c>
      <c r="AL19" s="19">
        <f>'16'!G140</f>
        <v>-213.26000000000022</v>
      </c>
      <c r="AM19" s="19">
        <f>'16'!G141</f>
        <v>-77.899999999999636</v>
      </c>
      <c r="AN19" s="19"/>
      <c r="AO19" s="19">
        <f t="shared" si="11"/>
        <v>-291.15999999999985</v>
      </c>
      <c r="AP19" s="52">
        <f>'16'!G124</f>
        <v>-8028.4899999999907</v>
      </c>
      <c r="AQ19" s="55">
        <f>'16'!G35</f>
        <v>1.3000000000465661</v>
      </c>
      <c r="AR19" s="19">
        <f>'16'!G37</f>
        <v>-48548.100000000006</v>
      </c>
      <c r="AS19" s="19">
        <f>'16'!G38</f>
        <v>-49969.429999999993</v>
      </c>
      <c r="AT19" s="19">
        <f>'16'!G39</f>
        <v>-113041.09999999998</v>
      </c>
      <c r="AU19" s="19">
        <f>'16'!G40</f>
        <v>-14155.26</v>
      </c>
      <c r="AV19" s="19">
        <f>'16'!G41</f>
        <v>-41614.650000000023</v>
      </c>
      <c r="AW19" s="19">
        <f>'16'!G42</f>
        <v>-71357.22</v>
      </c>
      <c r="AX19" s="19">
        <f>'16'!G43</f>
        <v>-83668.5</v>
      </c>
      <c r="AY19" s="23">
        <f>'16'!G44</f>
        <v>0</v>
      </c>
      <c r="AZ19" s="56">
        <f>'16'!G36</f>
        <v>-23881.17</v>
      </c>
      <c r="BA19" s="55">
        <f>'16'!G49</f>
        <v>-91143.830000000016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-95520.209999999992</v>
      </c>
      <c r="BG19" s="19">
        <f>'16'!G56</f>
        <v>-332.0899999999674</v>
      </c>
      <c r="BH19" s="19">
        <f>'16'!G57</f>
        <v>0</v>
      </c>
      <c r="BI19" s="56">
        <f>'16'!G50</f>
        <v>-33597.569999999949</v>
      </c>
      <c r="BJ19" s="62">
        <f t="shared" si="12"/>
        <v>-208824.16999999998</v>
      </c>
      <c r="BK19" s="62">
        <f>'16'!G84</f>
        <v>-23138</v>
      </c>
      <c r="BL19" s="23">
        <f t="shared" si="13"/>
        <v>56.669737374491774</v>
      </c>
      <c r="BM19" s="23">
        <f t="shared" si="14"/>
        <v>16.698240109656215</v>
      </c>
      <c r="BN19" s="24">
        <f t="shared" si="15"/>
        <v>7.3813625756224591E-2</v>
      </c>
      <c r="BO19" s="25">
        <f t="shared" si="16"/>
        <v>-6023989.4900000002</v>
      </c>
      <c r="BP19" s="38">
        <f t="shared" si="17"/>
        <v>-315630.67</v>
      </c>
      <c r="BQ19">
        <f t="shared" si="18"/>
        <v>1.1721821340554881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24914.739999999991</v>
      </c>
      <c r="H20" s="19">
        <f>'17'!G7</f>
        <v>23250</v>
      </c>
      <c r="I20" s="19">
        <f>'17'!G8</f>
        <v>24914.739999999991</v>
      </c>
      <c r="J20" s="19">
        <v>9</v>
      </c>
      <c r="K20" s="49">
        <f t="shared" si="3"/>
        <v>224232.65999999992</v>
      </c>
      <c r="L20" s="45">
        <f t="shared" si="4"/>
        <v>123.34029702970292</v>
      </c>
      <c r="M20" s="19">
        <f>'17'!G15</f>
        <v>950</v>
      </c>
      <c r="N20" s="19">
        <v>53</v>
      </c>
      <c r="O20" s="41">
        <f t="shared" si="5"/>
        <v>50350</v>
      </c>
      <c r="P20" s="19">
        <f>'17'!G20</f>
        <v>200</v>
      </c>
      <c r="Q20" s="19">
        <v>108</v>
      </c>
      <c r="R20" s="46">
        <f t="shared" si="0"/>
        <v>21600</v>
      </c>
      <c r="S20" s="47">
        <f t="shared" si="1"/>
        <v>165.01650165016503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89</v>
      </c>
      <c r="X20" s="22">
        <f>'17'!G97</f>
        <v>30</v>
      </c>
      <c r="Y20" s="22">
        <f>'17'!G98</f>
        <v>30</v>
      </c>
      <c r="Z20" s="22">
        <f t="shared" si="7"/>
        <v>149</v>
      </c>
      <c r="AA20" s="19">
        <f>'17'!G133</f>
        <v>0</v>
      </c>
      <c r="AB20" s="19">
        <f>'17'!G134</f>
        <v>12.649999999999977</v>
      </c>
      <c r="AC20" s="19">
        <f>'17'!G135</f>
        <v>24.089999999996508</v>
      </c>
      <c r="AD20" s="19">
        <f>'17'!G136</f>
        <v>0</v>
      </c>
      <c r="AE20" s="19">
        <f t="shared" si="8"/>
        <v>36.739999999996485</v>
      </c>
      <c r="AF20" s="23">
        <f t="shared" si="2"/>
        <v>8133.399999999936</v>
      </c>
      <c r="AG20" s="23">
        <f t="shared" si="9"/>
        <v>221.37724550900148</v>
      </c>
      <c r="AH20" s="19">
        <f>'17'!G137</f>
        <v>9.1100000000005821</v>
      </c>
      <c r="AI20" s="19">
        <f>'17'!G138</f>
        <v>0</v>
      </c>
      <c r="AJ20" s="19">
        <f>'17'!G139</f>
        <v>0</v>
      </c>
      <c r="AK20" s="19">
        <f t="shared" si="10"/>
        <v>9.1100000000005821</v>
      </c>
      <c r="AL20" s="19">
        <f>'17'!G140</f>
        <v>0</v>
      </c>
      <c r="AM20" s="19">
        <f>'17'!G141</f>
        <v>10.059999999999491</v>
      </c>
      <c r="AN20" s="19"/>
      <c r="AO20" s="19">
        <f t="shared" si="11"/>
        <v>10.059999999999491</v>
      </c>
      <c r="AP20" s="52">
        <f>'17'!G124</f>
        <v>289.02000000001863</v>
      </c>
      <c r="AQ20" s="55">
        <f>'17'!G35</f>
        <v>0</v>
      </c>
      <c r="AR20" s="19">
        <f>'17'!G37</f>
        <v>1656.5500000000175</v>
      </c>
      <c r="AS20" s="19">
        <f>'17'!G38</f>
        <v>1759.9199999999837</v>
      </c>
      <c r="AT20" s="19">
        <f>'17'!G39</f>
        <v>3718.5299999999697</v>
      </c>
      <c r="AU20" s="19">
        <f>'17'!G40</f>
        <v>419.45000000000073</v>
      </c>
      <c r="AV20" s="19">
        <f>'17'!G41</f>
        <v>0</v>
      </c>
      <c r="AW20" s="19">
        <f>'17'!G42</f>
        <v>2731.3999999999942</v>
      </c>
      <c r="AX20" s="19">
        <f>'17'!G43</f>
        <v>3097.3999999999069</v>
      </c>
      <c r="AY20" s="23">
        <f>'17'!G44</f>
        <v>0</v>
      </c>
      <c r="AZ20" s="56">
        <f>'17'!G36</f>
        <v>1131.8199999999997</v>
      </c>
      <c r="BA20" s="55">
        <f>'17'!G49</f>
        <v>3270.4200000000419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5391.5599999999977</v>
      </c>
      <c r="BG20" s="19">
        <f>'17'!G56</f>
        <v>10.439999999944121</v>
      </c>
      <c r="BH20" s="19">
        <f>'17'!G57</f>
        <v>0</v>
      </c>
      <c r="BI20" s="56">
        <f>'17'!G50</f>
        <v>1300.4399999999441</v>
      </c>
      <c r="BJ20" s="62">
        <f t="shared" si="12"/>
        <v>8133.399999999936</v>
      </c>
      <c r="BK20" s="62">
        <f>'17'!G84</f>
        <v>678</v>
      </c>
      <c r="BL20" s="23">
        <f t="shared" si="13"/>
        <v>58.203376796225406</v>
      </c>
      <c r="BM20" s="23">
        <f t="shared" si="14"/>
        <v>14.926625764507019</v>
      </c>
      <c r="BN20" s="24">
        <f t="shared" si="15"/>
        <v>7.0637702821702508E-2</v>
      </c>
      <c r="BO20" s="25">
        <f t="shared" si="16"/>
        <v>296182.65999999992</v>
      </c>
      <c r="BP20" s="38">
        <f t="shared" si="17"/>
        <v>11908.799999999843</v>
      </c>
      <c r="BQ20">
        <f t="shared" si="18"/>
        <v>1.157632786375397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50">
        <f>'18'!D4</f>
        <v>0.79</v>
      </c>
      <c r="F21" s="50">
        <f>'18'!D2</f>
        <v>0.54</v>
      </c>
      <c r="G21" s="19">
        <f>'18'!G8</f>
        <v>25951.080000000016</v>
      </c>
      <c r="H21" s="19">
        <f>'18'!G7</f>
        <v>23250</v>
      </c>
      <c r="I21" s="19">
        <f>'18'!G8</f>
        <v>25951.080000000016</v>
      </c>
      <c r="J21" s="19">
        <v>9</v>
      </c>
      <c r="K21" s="49">
        <f t="shared" si="3"/>
        <v>233559.72000000015</v>
      </c>
      <c r="L21" s="45">
        <f t="shared" si="4"/>
        <v>128.470693069307</v>
      </c>
      <c r="M21" s="19">
        <f>'18'!G15</f>
        <v>950</v>
      </c>
      <c r="N21" s="19">
        <v>53</v>
      </c>
      <c r="O21" s="41">
        <f t="shared" si="5"/>
        <v>50350</v>
      </c>
      <c r="P21" s="19">
        <f>'18'!G20</f>
        <v>230</v>
      </c>
      <c r="Q21" s="19">
        <v>108</v>
      </c>
      <c r="R21" s="46">
        <f t="shared" si="0"/>
        <v>24840</v>
      </c>
      <c r="S21" s="47">
        <f t="shared" si="1"/>
        <v>210.8544187752108</v>
      </c>
      <c r="T21" s="19">
        <f>'18'!G24</f>
        <v>0</v>
      </c>
      <c r="U21" s="19">
        <v>69</v>
      </c>
      <c r="V21" s="48">
        <f t="shared" si="6"/>
        <v>0</v>
      </c>
      <c r="W21" s="22">
        <f>'18'!G96</f>
        <v>90</v>
      </c>
      <c r="X21" s="22">
        <f>'18'!G97</f>
        <v>30</v>
      </c>
      <c r="Y21" s="22">
        <f>'18'!G98</f>
        <v>29</v>
      </c>
      <c r="Z21" s="22">
        <f t="shared" si="7"/>
        <v>149</v>
      </c>
      <c r="AA21" s="19">
        <f>'18'!G133</f>
        <v>0</v>
      </c>
      <c r="AB21" s="19">
        <f>'18'!G134</f>
        <v>13.050000000000011</v>
      </c>
      <c r="AC21" s="19">
        <f>'18'!G135</f>
        <v>23.910000000003492</v>
      </c>
      <c r="AD21" s="19">
        <f>'18'!G136</f>
        <v>0</v>
      </c>
      <c r="AE21" s="19">
        <f t="shared" si="8"/>
        <v>36.960000000003504</v>
      </c>
      <c r="AF21" s="23">
        <f t="shared" si="2"/>
        <v>8129.570000000007</v>
      </c>
      <c r="AG21" s="23">
        <f t="shared" si="9"/>
        <v>219.95589826837761</v>
      </c>
      <c r="AH21" s="19">
        <f>'18'!G137</f>
        <v>8.5399999999972351</v>
      </c>
      <c r="AI21" s="19">
        <f>'18'!G138</f>
        <v>0</v>
      </c>
      <c r="AJ21" s="19">
        <f>'18'!G139</f>
        <v>0</v>
      </c>
      <c r="AK21" s="19">
        <f t="shared" si="10"/>
        <v>8.5399999999972351</v>
      </c>
      <c r="AL21" s="19">
        <f>'18'!G140</f>
        <v>0</v>
      </c>
      <c r="AM21" s="19">
        <f>'18'!G141</f>
        <v>10.289999999999964</v>
      </c>
      <c r="AN21" s="19"/>
      <c r="AO21" s="19">
        <f t="shared" si="11"/>
        <v>10.289999999999964</v>
      </c>
      <c r="AP21" s="52">
        <f>'18'!G124</f>
        <v>295.73999999999069</v>
      </c>
      <c r="AQ21" s="55">
        <f>'18'!G35</f>
        <v>0</v>
      </c>
      <c r="AR21" s="19">
        <f>'18'!G37</f>
        <v>1846.5199999999895</v>
      </c>
      <c r="AS21" s="19">
        <f>'18'!G38</f>
        <v>1840.9800000000105</v>
      </c>
      <c r="AT21" s="19">
        <f>'18'!G39</f>
        <v>3751.2399999999907</v>
      </c>
      <c r="AU21" s="19">
        <f>'18'!G40</f>
        <v>682.60999999999876</v>
      </c>
      <c r="AV21" s="19">
        <f>'18'!G41</f>
        <v>0</v>
      </c>
      <c r="AW21" s="19">
        <f>'18'!G42</f>
        <v>2740.7300000000105</v>
      </c>
      <c r="AX21" s="19">
        <f>'18'!G43</f>
        <v>3145.2000000001863</v>
      </c>
      <c r="AY21" s="23">
        <f>'18'!G44</f>
        <v>0</v>
      </c>
      <c r="AZ21" s="56">
        <f>'18'!G36</f>
        <v>1191.6299999999974</v>
      </c>
      <c r="BA21" s="55">
        <f>'18'!G49</f>
        <v>3484.8079999999609</v>
      </c>
      <c r="BB21" s="19">
        <f>'18'!G51</f>
        <v>0</v>
      </c>
      <c r="BC21" s="19">
        <f>'18'!G52</f>
        <v>0</v>
      </c>
      <c r="BD21" s="19">
        <f>'18'!G53</f>
        <v>-0.3999999999650754</v>
      </c>
      <c r="BE21" s="19">
        <f>'18'!G54</f>
        <v>7.999999999992724E-2</v>
      </c>
      <c r="BF21" s="19">
        <f>'18'!G55</f>
        <v>5388.8399999999965</v>
      </c>
      <c r="BG21" s="19">
        <f>'18'!G56</f>
        <v>0</v>
      </c>
      <c r="BH21" s="19">
        <f>'18'!G57</f>
        <v>0</v>
      </c>
      <c r="BI21" s="56">
        <f>'18'!G50</f>
        <v>1712.1999999999534</v>
      </c>
      <c r="BJ21" s="62">
        <f t="shared" si="12"/>
        <v>8129.570000000007</v>
      </c>
      <c r="BK21" s="62">
        <f>'18'!G84</f>
        <v>823</v>
      </c>
      <c r="BL21" s="23">
        <f t="shared" si="13"/>
        <v>56.874619476338339</v>
      </c>
      <c r="BM21" s="23">
        <f t="shared" si="14"/>
        <v>14.453502513190291</v>
      </c>
      <c r="BN21" s="24">
        <f t="shared" si="15"/>
        <v>7.0940400168317055E-2</v>
      </c>
      <c r="BO21" s="25">
        <f t="shared" si="16"/>
        <v>308749.72000000015</v>
      </c>
      <c r="BP21" s="38">
        <f t="shared" si="17"/>
        <v>12097.770000000193</v>
      </c>
      <c r="BQ21">
        <f t="shared" si="18"/>
        <v>1.1690022031538967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21717.789999999979</v>
      </c>
      <c r="H22" s="19">
        <f>'19'!G7</f>
        <v>23250</v>
      </c>
      <c r="I22" s="19">
        <f>'19'!G8</f>
        <v>21717.789999999979</v>
      </c>
      <c r="J22" s="19">
        <v>9</v>
      </c>
      <c r="K22" s="49">
        <f t="shared" si="3"/>
        <v>195460.10999999981</v>
      </c>
      <c r="L22" s="45">
        <f t="shared" si="4"/>
        <v>107.51381188118802</v>
      </c>
      <c r="M22" s="19">
        <f>'19'!G15</f>
        <v>950</v>
      </c>
      <c r="N22" s="19">
        <v>53</v>
      </c>
      <c r="O22" s="41">
        <f t="shared" si="5"/>
        <v>50350</v>
      </c>
      <c r="P22" s="19">
        <f>'19'!G20</f>
        <v>260</v>
      </c>
      <c r="Q22" s="19">
        <v>108</v>
      </c>
      <c r="R22" s="46">
        <f t="shared" si="0"/>
        <v>28080</v>
      </c>
      <c r="S22" s="47">
        <f t="shared" si="1"/>
        <v>207.60140530182051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76</v>
      </c>
      <c r="X22" s="22">
        <f>'19'!G97</f>
        <v>18</v>
      </c>
      <c r="Y22" s="22">
        <f>'19'!G98</f>
        <v>23</v>
      </c>
      <c r="Z22" s="22">
        <f t="shared" si="7"/>
        <v>117</v>
      </c>
      <c r="AA22" s="19">
        <f>'19'!G133</f>
        <v>-9.9999999998544808E-2</v>
      </c>
      <c r="AB22" s="19">
        <f>'19'!G134</f>
        <v>4.2400000000000091</v>
      </c>
      <c r="AC22" s="19">
        <f>'19'!G135</f>
        <v>24</v>
      </c>
      <c r="AD22" s="19">
        <f>'19'!G136</f>
        <v>0</v>
      </c>
      <c r="AE22" s="19">
        <f t="shared" si="8"/>
        <v>28.140000000001464</v>
      </c>
      <c r="AF22" s="23">
        <f t="shared" si="2"/>
        <v>6446.2000000000407</v>
      </c>
      <c r="AG22" s="23">
        <f t="shared" si="9"/>
        <v>229.07604832976921</v>
      </c>
      <c r="AH22" s="19">
        <f>'19'!G137</f>
        <v>9.5600000000013097</v>
      </c>
      <c r="AI22" s="19">
        <f>'19'!G138</f>
        <v>-0.15999999999985448</v>
      </c>
      <c r="AJ22" s="19">
        <f>'19'!G139</f>
        <v>0</v>
      </c>
      <c r="AK22" s="19">
        <f t="shared" si="10"/>
        <v>9.4000000000014552</v>
      </c>
      <c r="AL22" s="19">
        <f>'19'!G140</f>
        <v>0</v>
      </c>
      <c r="AM22" s="19">
        <f>'19'!G141</f>
        <v>9.4000000000005457</v>
      </c>
      <c r="AN22" s="19"/>
      <c r="AO22" s="19">
        <f t="shared" si="11"/>
        <v>9.4000000000005457</v>
      </c>
      <c r="AP22" s="52">
        <f>'19'!G124</f>
        <v>267.72999999998137</v>
      </c>
      <c r="AQ22" s="55">
        <f>'19'!G35</f>
        <v>-0.30000000004656613</v>
      </c>
      <c r="AR22" s="19">
        <f>'19'!G37</f>
        <v>1591.0299999999988</v>
      </c>
      <c r="AS22" s="19">
        <f>'19'!G38</f>
        <v>1606.5299999999988</v>
      </c>
      <c r="AT22" s="19">
        <f>'19'!G39</f>
        <v>3770.3300000000163</v>
      </c>
      <c r="AU22" s="19">
        <f>'19'!G40</f>
        <v>359.20000000000073</v>
      </c>
      <c r="AV22" s="19">
        <f>'19'!G41</f>
        <v>-0.34999999997671694</v>
      </c>
      <c r="AW22" s="19">
        <f>'19'!G42</f>
        <v>824.08999999999651</v>
      </c>
      <c r="AX22" s="19">
        <f>'19'!G43</f>
        <v>2549.8999999999069</v>
      </c>
      <c r="AY22" s="23">
        <f>'19'!G44</f>
        <v>0</v>
      </c>
      <c r="AZ22" s="56">
        <f>'19'!G36</f>
        <v>815.72000000000116</v>
      </c>
      <c r="BA22" s="55">
        <f>'19'!G49</f>
        <v>3252.6020000000135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5622.8099999999977</v>
      </c>
      <c r="BG22" s="19">
        <f>'19'!G56</f>
        <v>-0.34999999997671694</v>
      </c>
      <c r="BH22" s="19">
        <f>'19'!G57</f>
        <v>-0.32999999999992724</v>
      </c>
      <c r="BI22" s="56">
        <f>'19'!G50</f>
        <v>1093.9300000000512</v>
      </c>
      <c r="BJ22" s="62">
        <f t="shared" si="12"/>
        <v>6446.2000000000407</v>
      </c>
      <c r="BK22" s="62">
        <f>'19'!G84</f>
        <v>776</v>
      </c>
      <c r="BL22" s="23">
        <f t="shared" si="13"/>
        <v>56.396493381692736</v>
      </c>
      <c r="BM22" s="23">
        <f t="shared" si="14"/>
        <v>17.360560167494114</v>
      </c>
      <c r="BN22" s="24">
        <f t="shared" si="15"/>
        <v>7.3969773167530006E-2</v>
      </c>
      <c r="BO22" s="25">
        <f t="shared" si="16"/>
        <v>273890.10999999981</v>
      </c>
      <c r="BP22" s="38">
        <f t="shared" si="17"/>
        <v>9771.7699999999477</v>
      </c>
      <c r="BQ22">
        <f t="shared" si="18"/>
        <v>1.2401982434764238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0.67</v>
      </c>
      <c r="G23" s="19">
        <f>'20'!G8</f>
        <v>22217.270000000019</v>
      </c>
      <c r="H23" s="19">
        <f>'20'!G7</f>
        <v>23250</v>
      </c>
      <c r="I23" s="19">
        <f>'20'!G8</f>
        <v>22217.270000000019</v>
      </c>
      <c r="J23" s="19">
        <v>9</v>
      </c>
      <c r="K23" s="49">
        <f t="shared" si="3"/>
        <v>199955.43000000017</v>
      </c>
      <c r="L23" s="45">
        <f t="shared" si="4"/>
        <v>109.98648514851494</v>
      </c>
      <c r="M23" s="19">
        <f>'20'!G15</f>
        <v>950</v>
      </c>
      <c r="N23" s="19">
        <v>53</v>
      </c>
      <c r="O23" s="41">
        <f t="shared" si="5"/>
        <v>50350</v>
      </c>
      <c r="P23" s="19">
        <f>'20'!G20</f>
        <v>140</v>
      </c>
      <c r="Q23" s="19">
        <v>108</v>
      </c>
      <c r="R23" s="46">
        <f t="shared" si="0"/>
        <v>15120</v>
      </c>
      <c r="S23" s="47">
        <f t="shared" si="1"/>
        <v>103.44318013890941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51</v>
      </c>
      <c r="X23" s="22">
        <f>'20'!G97</f>
        <v>15</v>
      </c>
      <c r="Y23" s="22">
        <f>'20'!G98</f>
        <v>17</v>
      </c>
      <c r="Z23" s="22">
        <f t="shared" si="7"/>
        <v>83</v>
      </c>
      <c r="AA23" s="19">
        <f>'20'!G133</f>
        <v>9.9999999998544808E-2</v>
      </c>
      <c r="AB23" s="19">
        <f>'20'!G134</f>
        <v>12.589999999999975</v>
      </c>
      <c r="AC23" s="19">
        <f>'20'!G135</f>
        <v>23.139999999999418</v>
      </c>
      <c r="AD23" s="19">
        <f>'20'!G136</f>
        <v>0</v>
      </c>
      <c r="AE23" s="19">
        <f t="shared" si="8"/>
        <v>35.829999999997938</v>
      </c>
      <c r="AF23" s="23">
        <f t="shared" si="2"/>
        <v>7204.5400000000081</v>
      </c>
      <c r="AG23" s="23">
        <f t="shared" si="9"/>
        <v>201.07563494279717</v>
      </c>
      <c r="AH23" s="19">
        <f>'20'!G137</f>
        <v>0.27999999999883585</v>
      </c>
      <c r="AI23" s="19">
        <f>'20'!G138</f>
        <v>0.15999999999985448</v>
      </c>
      <c r="AJ23" s="19">
        <f>'20'!G139</f>
        <v>0</v>
      </c>
      <c r="AK23" s="19">
        <f t="shared" si="10"/>
        <v>0.43999999999869033</v>
      </c>
      <c r="AL23" s="19">
        <f>'20'!G140</f>
        <v>0</v>
      </c>
      <c r="AM23" s="19">
        <f>'20'!G141</f>
        <v>9.1499999999996362</v>
      </c>
      <c r="AN23" s="19"/>
      <c r="AO23" s="19">
        <f t="shared" si="11"/>
        <v>9.1499999999996362</v>
      </c>
      <c r="AP23" s="52">
        <f>'20'!G124</f>
        <v>260.44999999995343</v>
      </c>
      <c r="AQ23" s="55">
        <f>'20'!G35</f>
        <v>0</v>
      </c>
      <c r="AR23" s="19">
        <f>'20'!G37</f>
        <v>1586.9700000000012</v>
      </c>
      <c r="AS23" s="19">
        <f>'20'!G38</f>
        <v>1448.929999999993</v>
      </c>
      <c r="AT23" s="19">
        <f>'20'!G39</f>
        <v>3767.429999999993</v>
      </c>
      <c r="AU23" s="19">
        <f>'20'!G40</f>
        <v>531.88999999999942</v>
      </c>
      <c r="AV23" s="19">
        <f>'20'!G41</f>
        <v>0.34999999997671694</v>
      </c>
      <c r="AW23" s="19">
        <f>'20'!G42</f>
        <v>2322.570000000007</v>
      </c>
      <c r="AX23" s="19">
        <f>'20'!G43</f>
        <v>2710.6999999999534</v>
      </c>
      <c r="AY23" s="23">
        <f>'20'!G44</f>
        <v>0</v>
      </c>
      <c r="AZ23" s="56">
        <f>'20'!G36</f>
        <v>1166.5199999999968</v>
      </c>
      <c r="BA23" s="55">
        <f>'20'!G49</f>
        <v>2573.210000000021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4850.4700000000012</v>
      </c>
      <c r="BG23" s="19">
        <f>'20'!G56</f>
        <v>31.150000000023283</v>
      </c>
      <c r="BH23" s="19">
        <f>'20'!G57</f>
        <v>0</v>
      </c>
      <c r="BI23" s="56">
        <f>'20'!G50</f>
        <v>1063.75</v>
      </c>
      <c r="BJ23" s="62">
        <f t="shared" si="12"/>
        <v>7204.5400000000081</v>
      </c>
      <c r="BK23" s="62">
        <f>'20'!G84</f>
        <v>727</v>
      </c>
      <c r="BL23" s="23">
        <f t="shared" si="13"/>
        <v>56.210551521406416</v>
      </c>
      <c r="BM23" s="23">
        <f t="shared" si="14"/>
        <v>16.957213915120938</v>
      </c>
      <c r="BN23" s="24">
        <f t="shared" si="15"/>
        <v>6.5216383471056155E-2</v>
      </c>
      <c r="BO23" s="25">
        <f t="shared" si="16"/>
        <v>265425.43000000017</v>
      </c>
      <c r="BP23" s="38">
        <f t="shared" si="17"/>
        <v>10642.239999999962</v>
      </c>
      <c r="BQ23">
        <f t="shared" si="18"/>
        <v>1.0607870499581928</v>
      </c>
    </row>
    <row r="24" spans="1:69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21222.559999999998</v>
      </c>
      <c r="H24" s="19">
        <f>'21'!G7</f>
        <v>23250</v>
      </c>
      <c r="I24" s="19">
        <f>'21'!G8</f>
        <v>21222.559999999998</v>
      </c>
      <c r="J24" s="19">
        <v>9</v>
      </c>
      <c r="K24" s="49">
        <f t="shared" si="3"/>
        <v>191003.03999999998</v>
      </c>
      <c r="L24" s="45">
        <f t="shared" si="4"/>
        <v>105.06217821782177</v>
      </c>
      <c r="M24" s="19">
        <f>'21'!G15</f>
        <v>950</v>
      </c>
      <c r="N24" s="19">
        <v>53</v>
      </c>
      <c r="O24" s="41">
        <f t="shared" si="5"/>
        <v>50350</v>
      </c>
      <c r="P24" s="19">
        <f>'21'!G20</f>
        <v>160</v>
      </c>
      <c r="Q24" s="19">
        <v>108</v>
      </c>
      <c r="R24" s="46">
        <f t="shared" si="0"/>
        <v>17280</v>
      </c>
      <c r="S24" s="47">
        <f t="shared" si="1"/>
        <v>120.01200120012001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79</v>
      </c>
      <c r="X24" s="22">
        <f>'21'!G97</f>
        <v>18</v>
      </c>
      <c r="Y24" s="22">
        <f>'21'!G98</f>
        <v>23</v>
      </c>
      <c r="Z24" s="22">
        <f t="shared" si="7"/>
        <v>120</v>
      </c>
      <c r="AA24" s="19">
        <f>'21'!G133</f>
        <v>0</v>
      </c>
      <c r="AB24" s="19">
        <f>'21'!G134</f>
        <v>18.180000000000007</v>
      </c>
      <c r="AC24" s="19">
        <f>'21'!G135</f>
        <v>9.3899999999994179</v>
      </c>
      <c r="AD24" s="19">
        <f>'21'!G136</f>
        <v>0</v>
      </c>
      <c r="AE24" s="19">
        <f t="shared" si="8"/>
        <v>27.569999999999425</v>
      </c>
      <c r="AF24" s="23">
        <f t="shared" si="2"/>
        <v>6289.1099999999278</v>
      </c>
      <c r="AG24" s="23">
        <f t="shared" si="9"/>
        <v>228.11425462459408</v>
      </c>
      <c r="AH24" s="19">
        <f>'21'!G137</f>
        <v>10.069999999999709</v>
      </c>
      <c r="AI24" s="19">
        <f>'21'!G138</f>
        <v>0</v>
      </c>
      <c r="AJ24" s="19">
        <f>'21'!G139</f>
        <v>0</v>
      </c>
      <c r="AK24" s="19">
        <f t="shared" si="10"/>
        <v>10.069999999999709</v>
      </c>
      <c r="AL24" s="19">
        <f>'21'!G140</f>
        <v>0</v>
      </c>
      <c r="AM24" s="19">
        <f>'21'!G141</f>
        <v>9.4600000000000364</v>
      </c>
      <c r="AN24" s="19"/>
      <c r="AO24" s="19">
        <f t="shared" si="11"/>
        <v>9.4600000000000364</v>
      </c>
      <c r="AP24" s="52">
        <f>'21'!G124</f>
        <v>269.23000000009779</v>
      </c>
      <c r="AQ24" s="55">
        <f>'21'!G35</f>
        <v>0</v>
      </c>
      <c r="AR24" s="19">
        <f>'21'!G37</f>
        <v>1602.9200000000128</v>
      </c>
      <c r="AS24" s="19">
        <f>'21'!G38</f>
        <v>1577.9800000000105</v>
      </c>
      <c r="AT24" s="19">
        <f>'21'!G39</f>
        <v>3741.5200000000186</v>
      </c>
      <c r="AU24" s="19">
        <f>'21'!G40</f>
        <v>267.51000000000022</v>
      </c>
      <c r="AV24" s="19">
        <f>'21'!G41</f>
        <v>0</v>
      </c>
      <c r="AW24" s="19">
        <f>'21'!G42</f>
        <v>4011.5299999999988</v>
      </c>
      <c r="AX24" s="19">
        <f>'21'!G43</f>
        <v>2552.6000000000931</v>
      </c>
      <c r="AY24" s="23">
        <f>'21'!G44</f>
        <v>0</v>
      </c>
      <c r="AZ24" s="56">
        <f>'21'!G36</f>
        <v>759.40000000000146</v>
      </c>
      <c r="BA24" s="55">
        <f>'21'!G49</f>
        <v>2837.539999999979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2266.5400000000081</v>
      </c>
      <c r="BG24" s="19">
        <f>'21'!G56</f>
        <v>11.039999999920838</v>
      </c>
      <c r="BH24" s="19">
        <f>'21'!G57</f>
        <v>0</v>
      </c>
      <c r="BI24" s="56">
        <f>'21'!G50</f>
        <v>1014.9200000000419</v>
      </c>
      <c r="BJ24" s="62">
        <f t="shared" si="12"/>
        <v>6289.1099999999278</v>
      </c>
      <c r="BK24" s="62">
        <f>'21'!G84</f>
        <v>697</v>
      </c>
      <c r="BL24" s="23">
        <f t="shared" si="13"/>
        <v>55.032239277448156</v>
      </c>
      <c r="BM24" s="23">
        <f t="shared" si="14"/>
        <v>17.629918351037851</v>
      </c>
      <c r="BN24" s="24">
        <f t="shared" si="15"/>
        <v>7.4357193477128089E-2</v>
      </c>
      <c r="BO24" s="25">
        <f t="shared" si="16"/>
        <v>258633.03999999998</v>
      </c>
      <c r="BP24" s="38">
        <f t="shared" si="17"/>
        <v>9538.710000000021</v>
      </c>
      <c r="BQ24">
        <f t="shared" si="18"/>
        <v>1.2356482201150605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21681.119999999995</v>
      </c>
      <c r="H25" s="19">
        <f>'22'!G7</f>
        <v>23250</v>
      </c>
      <c r="I25" s="19">
        <f>'22'!G8</f>
        <v>21681.119999999995</v>
      </c>
      <c r="J25" s="19">
        <v>9</v>
      </c>
      <c r="K25" s="49">
        <f t="shared" si="3"/>
        <v>195130.07999999996</v>
      </c>
      <c r="L25" s="45">
        <f t="shared" si="4"/>
        <v>107.33227722772276</v>
      </c>
      <c r="M25" s="19">
        <f>'22'!G15</f>
        <v>950</v>
      </c>
      <c r="N25" s="19">
        <v>53</v>
      </c>
      <c r="O25" s="41">
        <f t="shared" si="5"/>
        <v>50350</v>
      </c>
      <c r="P25" s="19">
        <f>'22'!G20</f>
        <v>180</v>
      </c>
      <c r="Q25" s="19">
        <v>108</v>
      </c>
      <c r="R25" s="46">
        <f t="shared" si="0"/>
        <v>19440</v>
      </c>
      <c r="S25" s="47">
        <f t="shared" si="1"/>
        <v>111.38613861386136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73</v>
      </c>
      <c r="X25" s="22">
        <f>'22'!G97</f>
        <v>22</v>
      </c>
      <c r="Y25" s="22">
        <f>'22'!G98</f>
        <v>20</v>
      </c>
      <c r="Z25" s="22">
        <f t="shared" si="7"/>
        <v>115</v>
      </c>
      <c r="AA25" s="19">
        <f>'22'!G133</f>
        <v>6.9500000000043656</v>
      </c>
      <c r="AB25" s="19">
        <f>'22'!G134</f>
        <v>0</v>
      </c>
      <c r="AC25" s="19">
        <f>'22'!G135</f>
        <v>24.480000000003201</v>
      </c>
      <c r="AD25" s="19">
        <f>'22'!G136</f>
        <v>5.0000000002910383E-2</v>
      </c>
      <c r="AE25" s="19">
        <f t="shared" si="8"/>
        <v>31.480000000010477</v>
      </c>
      <c r="AF25" s="23">
        <f t="shared" si="2"/>
        <v>6891.7000000000116</v>
      </c>
      <c r="AG25" s="23">
        <f t="shared" si="9"/>
        <v>218.92312579408252</v>
      </c>
      <c r="AH25" s="19">
        <f>'22'!G137</f>
        <v>5.7000000000007276</v>
      </c>
      <c r="AI25" s="19">
        <f>'22'!G138</f>
        <v>0</v>
      </c>
      <c r="AJ25" s="19">
        <f>'22'!G139</f>
        <v>0</v>
      </c>
      <c r="AK25" s="19">
        <f t="shared" si="10"/>
        <v>5.7000000000007276</v>
      </c>
      <c r="AL25" s="19">
        <f>'22'!G140</f>
        <v>0</v>
      </c>
      <c r="AM25" s="19">
        <f>'22'!G141</f>
        <v>9.180000000000291</v>
      </c>
      <c r="AN25" s="19"/>
      <c r="AO25" s="19">
        <f t="shared" si="11"/>
        <v>9.180000000000291</v>
      </c>
      <c r="AP25" s="52">
        <f>'22'!G124</f>
        <v>265</v>
      </c>
      <c r="AQ25" s="55">
        <f>'22'!G35</f>
        <v>0</v>
      </c>
      <c r="AR25" s="19">
        <f>'22'!G37</f>
        <v>1618.9799999999814</v>
      </c>
      <c r="AS25" s="19">
        <f>'22'!G38</f>
        <v>1490.7999999999884</v>
      </c>
      <c r="AT25" s="19">
        <f>'22'!G39</f>
        <v>3759.0800000000163</v>
      </c>
      <c r="AU25" s="19">
        <f>'22'!G40</f>
        <v>445.32999999999993</v>
      </c>
      <c r="AV25" s="19">
        <f>'22'!G41</f>
        <v>1337.2000000000116</v>
      </c>
      <c r="AW25" s="19">
        <f>'22'!G42</f>
        <v>0</v>
      </c>
      <c r="AX25" s="19">
        <f>'22'!G43</f>
        <v>2641.5999999998603</v>
      </c>
      <c r="AY25" s="23">
        <f>'22'!G44</f>
        <v>0</v>
      </c>
      <c r="AZ25" s="56">
        <f>'22'!G36</f>
        <v>653.86000000000058</v>
      </c>
      <c r="BA25" s="55">
        <f>'22'!G49</f>
        <v>2925.7600000000093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5543.859999999986</v>
      </c>
      <c r="BG25" s="19">
        <f>'22'!G56</f>
        <v>10.64000000001397</v>
      </c>
      <c r="BH25" s="19">
        <f>'22'!G57</f>
        <v>0</v>
      </c>
      <c r="BI25" s="56">
        <f>'22'!G50</f>
        <v>1079.5199999999022</v>
      </c>
      <c r="BJ25" s="62">
        <f t="shared" si="12"/>
        <v>6891.7000000000116</v>
      </c>
      <c r="BK25" s="62">
        <f>'22'!G84</f>
        <v>700</v>
      </c>
      <c r="BL25" s="23">
        <f t="shared" si="13"/>
        <v>57.465020257255546</v>
      </c>
      <c r="BM25" s="23">
        <f t="shared" si="14"/>
        <v>17.338034197495411</v>
      </c>
      <c r="BN25" s="24">
        <f t="shared" si="15"/>
        <v>6.876028544650778E-2</v>
      </c>
      <c r="BO25" s="25">
        <f t="shared" si="16"/>
        <v>264920.07999999996</v>
      </c>
      <c r="BP25" s="38">
        <f t="shared" si="17"/>
        <v>10233.299999999872</v>
      </c>
      <c r="BQ25">
        <f t="shared" si="18"/>
        <v>1.1609752223630043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50">
        <f>'23'!D4</f>
        <v>0.78</v>
      </c>
      <c r="F26" s="50">
        <f>'23'!D2</f>
        <v>0.85</v>
      </c>
      <c r="G26" s="19">
        <f>'23'!G8</f>
        <v>22659.959999999963</v>
      </c>
      <c r="H26" s="19">
        <f>'23'!G7</f>
        <v>23250</v>
      </c>
      <c r="I26" s="19">
        <f>'23'!G8</f>
        <v>22659.959999999963</v>
      </c>
      <c r="J26" s="19">
        <v>9</v>
      </c>
      <c r="K26" s="49">
        <f t="shared" si="3"/>
        <v>203939.63999999966</v>
      </c>
      <c r="L26" s="45">
        <f t="shared" si="4"/>
        <v>112.17801980198001</v>
      </c>
      <c r="M26" s="19">
        <f>'23'!G15</f>
        <v>950</v>
      </c>
      <c r="N26" s="19">
        <v>53</v>
      </c>
      <c r="O26" s="41">
        <f t="shared" si="5"/>
        <v>50350</v>
      </c>
      <c r="P26" s="19">
        <f>'23'!G20</f>
        <v>160</v>
      </c>
      <c r="Q26" s="19">
        <v>108</v>
      </c>
      <c r="R26" s="46">
        <f t="shared" si="0"/>
        <v>17280</v>
      </c>
      <c r="S26" s="47">
        <f t="shared" si="1"/>
        <v>93.185789167152024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67</v>
      </c>
      <c r="X26" s="22">
        <f>'23'!G97</f>
        <v>20</v>
      </c>
      <c r="Y26" s="22">
        <f>'23'!G98</f>
        <v>21</v>
      </c>
      <c r="Z26" s="22">
        <f t="shared" si="7"/>
        <v>108</v>
      </c>
      <c r="AA26" s="19">
        <f>'23'!G133</f>
        <v>0</v>
      </c>
      <c r="AB26" s="19">
        <f>'23'!G134</f>
        <v>9.339999999999975</v>
      </c>
      <c r="AC26" s="19">
        <f>'23'!G135</f>
        <v>24.099999999998545</v>
      </c>
      <c r="AD26" s="19">
        <f>'23'!G136</f>
        <v>0</v>
      </c>
      <c r="AE26" s="19">
        <f t="shared" si="8"/>
        <v>33.43999999999852</v>
      </c>
      <c r="AF26" s="23">
        <f t="shared" si="2"/>
        <v>7521.0500000000466</v>
      </c>
      <c r="AG26" s="23">
        <f t="shared" si="9"/>
        <v>224.91178229666207</v>
      </c>
      <c r="AH26" s="19">
        <f>'23'!G137</f>
        <v>9.6700000000018917</v>
      </c>
      <c r="AI26" s="19">
        <f>'23'!G138</f>
        <v>0</v>
      </c>
      <c r="AJ26" s="19">
        <f>'23'!G139</f>
        <v>0</v>
      </c>
      <c r="AK26" s="19">
        <f t="shared" si="10"/>
        <v>9.6700000000018917</v>
      </c>
      <c r="AL26" s="19">
        <f>'23'!G140</f>
        <v>0</v>
      </c>
      <c r="AM26" s="19">
        <f>'23'!G141</f>
        <v>9.0399999999999636</v>
      </c>
      <c r="AN26" s="19"/>
      <c r="AO26" s="19">
        <f t="shared" si="11"/>
        <v>9.0399999999999636</v>
      </c>
      <c r="AP26" s="52">
        <f>'23'!G124</f>
        <v>259.03999999992084</v>
      </c>
      <c r="AQ26" s="55">
        <f>'23'!G35</f>
        <v>0</v>
      </c>
      <c r="AR26" s="19">
        <f>'23'!G37</f>
        <v>1602.1600000000035</v>
      </c>
      <c r="AS26" s="19">
        <f>'23'!G38</f>
        <v>1578.8600000000151</v>
      </c>
      <c r="AT26" s="19">
        <f>'23'!G39</f>
        <v>3787.9599999999627</v>
      </c>
      <c r="AU26" s="19">
        <f>'23'!G40</f>
        <v>586.75</v>
      </c>
      <c r="AV26" s="19">
        <f>'23'!G41</f>
        <v>0</v>
      </c>
      <c r="AW26" s="19">
        <f>'23'!G42</f>
        <v>1924.9899999999907</v>
      </c>
      <c r="AX26" s="19">
        <f>'23'!G43</f>
        <v>2699.2000000001863</v>
      </c>
      <c r="AY26" s="23">
        <f>'23'!G44</f>
        <v>0</v>
      </c>
      <c r="AZ26" s="56">
        <f>'23'!G36</f>
        <v>684.05999999999767</v>
      </c>
      <c r="BA26" s="55">
        <f>'23'!G49</f>
        <v>3047.5800000000163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5585.6199999999953</v>
      </c>
      <c r="BG26" s="19">
        <f>'23'!G56</f>
        <v>10.440000000060536</v>
      </c>
      <c r="BH26" s="19">
        <f>'23'!G57</f>
        <v>0</v>
      </c>
      <c r="BI26" s="56">
        <f>'23'!G50</f>
        <v>996.76000000000931</v>
      </c>
      <c r="BJ26" s="62">
        <f t="shared" si="12"/>
        <v>7521.0500000000466</v>
      </c>
      <c r="BK26" s="62">
        <f>'23'!G84</f>
        <v>709</v>
      </c>
      <c r="BL26" s="23">
        <f t="shared" si="13"/>
        <v>58.55186858229348</v>
      </c>
      <c r="BM26" s="23">
        <f t="shared" si="14"/>
        <v>16.716534362814272</v>
      </c>
      <c r="BN26" s="24">
        <f t="shared" si="15"/>
        <v>6.967620419453599E-2</v>
      </c>
      <c r="BO26" s="25">
        <f t="shared" si="16"/>
        <v>271569.63999999966</v>
      </c>
      <c r="BP26" s="38">
        <f t="shared" si="17"/>
        <v>10929.250000000233</v>
      </c>
      <c r="BQ26">
        <f t="shared" si="18"/>
        <v>1.1672558527000081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50">
        <f>'24'!D4</f>
        <v>0.8</v>
      </c>
      <c r="F27" s="50">
        <f>'24'!D2</f>
        <v>1</v>
      </c>
      <c r="G27" s="19">
        <f>'24'!G8</f>
        <v>22644.090000000026</v>
      </c>
      <c r="H27" s="19">
        <f>'24'!G7</f>
        <v>23250</v>
      </c>
      <c r="I27" s="19">
        <f>'24'!G8</f>
        <v>22644.090000000026</v>
      </c>
      <c r="J27" s="19">
        <v>9</v>
      </c>
      <c r="K27" s="49">
        <f t="shared" si="3"/>
        <v>203796.81000000023</v>
      </c>
      <c r="L27" s="45">
        <f t="shared" si="4"/>
        <v>112.09945544554468</v>
      </c>
      <c r="M27" s="19">
        <f>'24'!G15</f>
        <v>950</v>
      </c>
      <c r="N27" s="19">
        <v>53</v>
      </c>
      <c r="O27" s="41">
        <f t="shared" si="5"/>
        <v>50350</v>
      </c>
      <c r="P27" s="19">
        <f>'24'!G20</f>
        <v>170</v>
      </c>
      <c r="Q27" s="19">
        <v>108</v>
      </c>
      <c r="R27" s="46">
        <f t="shared" si="0"/>
        <v>18360</v>
      </c>
      <c r="S27" s="47">
        <f t="shared" si="1"/>
        <v>84.158415841584159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64</v>
      </c>
      <c r="X27" s="22">
        <f>'24'!G97</f>
        <v>23</v>
      </c>
      <c r="Y27" s="22">
        <f>'24'!G98</f>
        <v>34</v>
      </c>
      <c r="Z27" s="22">
        <f t="shared" si="7"/>
        <v>121</v>
      </c>
      <c r="AA27" s="19">
        <f>'24'!G133</f>
        <v>-5.0000000002910383E-2</v>
      </c>
      <c r="AB27" s="19">
        <f>'24'!G134</f>
        <v>9.8500000000000227</v>
      </c>
      <c r="AC27" s="19">
        <f>'24'!G135</f>
        <v>23.889999999999418</v>
      </c>
      <c r="AD27" s="19">
        <f>'24'!G136</f>
        <v>-5.0000000002910383E-2</v>
      </c>
      <c r="AE27" s="19">
        <f t="shared" si="8"/>
        <v>33.63999999999362</v>
      </c>
      <c r="AF27" s="23">
        <f t="shared" si="2"/>
        <v>7305.1499999999942</v>
      </c>
      <c r="AG27" s="23">
        <f t="shared" si="9"/>
        <v>217.15665873963673</v>
      </c>
      <c r="AH27" s="19">
        <f>'24'!G137</f>
        <v>7.9499999999970896</v>
      </c>
      <c r="AI27" s="19">
        <f>'24'!G138</f>
        <v>-0.15999999999985448</v>
      </c>
      <c r="AJ27" s="19">
        <f>'24'!G139</f>
        <v>0.39999999999417923</v>
      </c>
      <c r="AK27" s="19">
        <f t="shared" si="10"/>
        <v>8.1899999999914144</v>
      </c>
      <c r="AL27" s="19">
        <f>'24'!G140</f>
        <v>0</v>
      </c>
      <c r="AM27" s="19">
        <f>'24'!G141</f>
        <v>8.8299999999999272</v>
      </c>
      <c r="AN27" s="19"/>
      <c r="AO27" s="19">
        <f t="shared" si="11"/>
        <v>8.8299999999999272</v>
      </c>
      <c r="AP27" s="52">
        <f>'24'!G124</f>
        <v>254.28000000002794</v>
      </c>
      <c r="AQ27" s="55">
        <f>'24'!G35</f>
        <v>0</v>
      </c>
      <c r="AR27" s="19">
        <f>'24'!G37</f>
        <v>1631.9700000000012</v>
      </c>
      <c r="AS27" s="19">
        <f>'24'!G38</f>
        <v>1604.429999999993</v>
      </c>
      <c r="AT27" s="19">
        <f>'24'!G39</f>
        <v>3817.0100000000093</v>
      </c>
      <c r="AU27" s="19">
        <f>'24'!G40</f>
        <v>428.52000000000044</v>
      </c>
      <c r="AV27" s="19">
        <f>'24'!G41</f>
        <v>0</v>
      </c>
      <c r="AW27" s="19">
        <f>'24'!G42</f>
        <v>1849.9100000000035</v>
      </c>
      <c r="AX27" s="19">
        <f>'24'!G43</f>
        <v>2784.8999999999069</v>
      </c>
      <c r="AY27" s="23">
        <f>'24'!G44</f>
        <v>0</v>
      </c>
      <c r="AZ27" s="56">
        <f>'24'!G36</f>
        <v>689.16000000000349</v>
      </c>
      <c r="BA27" s="55">
        <f>'24'!G49</f>
        <v>3076.9099999999744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5455.5100000000093</v>
      </c>
      <c r="BG27" s="19">
        <f>'24'!G56</f>
        <v>-0.27000000001862645</v>
      </c>
      <c r="BH27" s="19">
        <f>'24'!G57</f>
        <v>0</v>
      </c>
      <c r="BI27" s="56">
        <f>'24'!G50</f>
        <v>988.05000000004657</v>
      </c>
      <c r="BJ27" s="62">
        <f t="shared" si="12"/>
        <v>7305.1499999999942</v>
      </c>
      <c r="BK27" s="62">
        <f>'24'!G84</f>
        <v>782</v>
      </c>
      <c r="BL27" s="23">
        <f t="shared" si="13"/>
        <v>58.147445978177352</v>
      </c>
      <c r="BM27" s="23">
        <f t="shared" si="14"/>
        <v>16.858350236198405</v>
      </c>
      <c r="BN27" s="24">
        <f t="shared" si="15"/>
        <v>7.0851158072593887E-2</v>
      </c>
      <c r="BO27" s="25">
        <f t="shared" si="16"/>
        <v>272506.81000000023</v>
      </c>
      <c r="BP27" s="38">
        <f t="shared" si="17"/>
        <v>10872.049999999901</v>
      </c>
      <c r="BQ27">
        <f t="shared" si="18"/>
        <v>1.1542434601666769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0.74</v>
      </c>
      <c r="G28" s="19">
        <f>'25'!G8</f>
        <v>23122</v>
      </c>
      <c r="H28" s="19">
        <f>'25'!G7</f>
        <v>23250</v>
      </c>
      <c r="I28" s="19">
        <f>'25'!G8</f>
        <v>23122</v>
      </c>
      <c r="J28" s="19">
        <v>9</v>
      </c>
      <c r="K28" s="49">
        <f t="shared" si="3"/>
        <v>208098</v>
      </c>
      <c r="L28" s="45">
        <f t="shared" si="4"/>
        <v>114.46534653465346</v>
      </c>
      <c r="M28" s="19">
        <f>'25'!G15</f>
        <v>950</v>
      </c>
      <c r="N28" s="19">
        <v>53</v>
      </c>
      <c r="O28" s="41">
        <f t="shared" si="5"/>
        <v>50350</v>
      </c>
      <c r="P28" s="19">
        <f>'25'!G20</f>
        <v>220</v>
      </c>
      <c r="Q28" s="19">
        <v>108</v>
      </c>
      <c r="R28" s="46">
        <f t="shared" si="0"/>
        <v>23760</v>
      </c>
      <c r="S28" s="47">
        <f t="shared" si="1"/>
        <v>147.17687985014717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78</v>
      </c>
      <c r="X28" s="22">
        <f>'25'!G97</f>
        <v>31</v>
      </c>
      <c r="Y28" s="22">
        <f>'25'!G98</f>
        <v>39</v>
      </c>
      <c r="Z28" s="22">
        <f t="shared" si="7"/>
        <v>148</v>
      </c>
      <c r="AA28" s="19">
        <f>'25'!G133</f>
        <v>0</v>
      </c>
      <c r="AB28" s="19">
        <f>'25'!G134</f>
        <v>9.6200000000000045</v>
      </c>
      <c r="AC28" s="19">
        <f>'25'!G135</f>
        <v>24</v>
      </c>
      <c r="AD28" s="19">
        <f>'25'!G136</f>
        <v>0</v>
      </c>
      <c r="AE28" s="19">
        <f t="shared" si="8"/>
        <v>33.620000000000005</v>
      </c>
      <c r="AF28" s="23">
        <f t="shared" si="2"/>
        <v>5647.4500000000116</v>
      </c>
      <c r="AG28" s="23">
        <f t="shared" si="9"/>
        <v>167.97888161808478</v>
      </c>
      <c r="AH28" s="19">
        <f>'24'!G137</f>
        <v>7.9499999999970896</v>
      </c>
      <c r="AI28" s="19">
        <f>'24'!G138</f>
        <v>-0.15999999999985448</v>
      </c>
      <c r="AJ28" s="19">
        <f>'24'!G139</f>
        <v>0.39999999999417923</v>
      </c>
      <c r="AK28" s="19">
        <f t="shared" si="10"/>
        <v>8.1899999999914144</v>
      </c>
      <c r="AL28" s="19">
        <f>'23'!G140</f>
        <v>0</v>
      </c>
      <c r="AM28" s="19">
        <f>'24'!G141</f>
        <v>8.8299999999999272</v>
      </c>
      <c r="AN28" s="19"/>
      <c r="AO28" s="19">
        <f t="shared" si="11"/>
        <v>8.8299999999999272</v>
      </c>
      <c r="AP28" s="52">
        <f>'25'!G124</f>
        <v>280</v>
      </c>
      <c r="AQ28" s="55">
        <f>'25'!G35</f>
        <v>0</v>
      </c>
      <c r="AR28" s="19">
        <f>'25'!G37</f>
        <v>1678</v>
      </c>
      <c r="AS28" s="19">
        <f>'25'!G38</f>
        <v>1682</v>
      </c>
      <c r="AT28" s="19">
        <f>'25'!G39</f>
        <v>3772</v>
      </c>
      <c r="AU28" s="19">
        <f>'25'!G40</f>
        <v>640</v>
      </c>
      <c r="AV28" s="19">
        <f>'25'!G41</f>
        <v>0.45000000001164153</v>
      </c>
      <c r="AW28" s="19"/>
      <c r="AX28" s="19">
        <f>'25'!G43</f>
        <v>2870</v>
      </c>
      <c r="AY28" s="23">
        <f>'25'!G44</f>
        <v>0</v>
      </c>
      <c r="AZ28" s="56">
        <f>'25'!G36</f>
        <v>718</v>
      </c>
      <c r="BA28" s="55">
        <f>'25'!G49</f>
        <v>2993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5647</v>
      </c>
      <c r="BG28" s="19">
        <f>'25'!G56</f>
        <v>0</v>
      </c>
      <c r="BH28" s="19">
        <f>'25'!G57</f>
        <v>0</v>
      </c>
      <c r="BI28" s="56">
        <f>'25'!G50</f>
        <v>1138</v>
      </c>
      <c r="BJ28" s="62">
        <f t="shared" si="12"/>
        <v>5647.4500000000116</v>
      </c>
      <c r="BK28" s="62">
        <f>'25'!G84</f>
        <v>784</v>
      </c>
      <c r="BL28" s="23">
        <f t="shared" si="13"/>
        <v>49.7813770435084</v>
      </c>
      <c r="BM28" s="23">
        <f t="shared" si="14"/>
        <v>16.313467693106134</v>
      </c>
      <c r="BN28" s="24">
        <f t="shared" si="15"/>
        <v>7.2747599688606043E-2</v>
      </c>
      <c r="BO28" s="25">
        <f t="shared" si="16"/>
        <v>282208</v>
      </c>
      <c r="BP28" s="38">
        <f t="shared" si="17"/>
        <v>9301.4500000000116</v>
      </c>
      <c r="BQ28">
        <f t="shared" si="18"/>
        <v>0.98808638565479834</v>
      </c>
    </row>
    <row r="29" spans="1:69">
      <c r="A29" s="16">
        <v>26</v>
      </c>
      <c r="B29" s="26">
        <v>26</v>
      </c>
      <c r="C29" s="29"/>
      <c r="D29" s="19">
        <f>'26'!D3</f>
        <v>27</v>
      </c>
      <c r="E29" s="50">
        <f>'26'!D4</f>
        <v>0.78</v>
      </c>
      <c r="F29" s="50">
        <f>'26'!D2</f>
        <v>0.75</v>
      </c>
      <c r="G29" s="19">
        <f>'26'!G8</f>
        <v>22721</v>
      </c>
      <c r="H29" s="19">
        <f>'26'!G7</f>
        <v>23250</v>
      </c>
      <c r="I29" s="19">
        <f>'26'!G8</f>
        <v>22721</v>
      </c>
      <c r="J29" s="19">
        <v>9</v>
      </c>
      <c r="K29" s="49">
        <f t="shared" si="3"/>
        <v>204489</v>
      </c>
      <c r="L29" s="45">
        <f t="shared" si="4"/>
        <v>112.48019801980197</v>
      </c>
      <c r="M29" s="19">
        <f>'26'!G15</f>
        <v>950</v>
      </c>
      <c r="N29" s="19">
        <v>53</v>
      </c>
      <c r="O29" s="41">
        <f t="shared" si="5"/>
        <v>50350</v>
      </c>
      <c r="P29" s="19">
        <f>'26'!G20</f>
        <v>180</v>
      </c>
      <c r="Q29" s="19">
        <v>108</v>
      </c>
      <c r="R29" s="46">
        <f t="shared" si="0"/>
        <v>19440</v>
      </c>
      <c r="S29" s="47">
        <f t="shared" si="1"/>
        <v>118.81188118811882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69</v>
      </c>
      <c r="X29" s="22">
        <f>'26'!G97</f>
        <v>24</v>
      </c>
      <c r="Y29" s="22">
        <f>'26'!G98</f>
        <v>22</v>
      </c>
      <c r="Z29" s="22">
        <f t="shared" si="7"/>
        <v>115</v>
      </c>
      <c r="AA29" s="19">
        <f>'26'!G133</f>
        <v>0</v>
      </c>
      <c r="AB29" s="19">
        <f>'26'!G134</f>
        <v>12</v>
      </c>
      <c r="AC29" s="19">
        <f>'26'!G135</f>
        <v>20</v>
      </c>
      <c r="AD29" s="19">
        <f>'26'!G136</f>
        <v>0</v>
      </c>
      <c r="AE29" s="19">
        <f t="shared" si="8"/>
        <v>32</v>
      </c>
      <c r="AF29" s="23">
        <f t="shared" si="2"/>
        <v>7309</v>
      </c>
      <c r="AG29" s="23">
        <f t="shared" si="9"/>
        <v>228.40625</v>
      </c>
      <c r="AH29" s="19">
        <f>'26'!G137</f>
        <v>7</v>
      </c>
      <c r="AI29" s="19">
        <f>'26'!G138</f>
        <v>0</v>
      </c>
      <c r="AJ29" s="19">
        <f>'26'!G139</f>
        <v>0</v>
      </c>
      <c r="AK29" s="19">
        <f t="shared" si="10"/>
        <v>7</v>
      </c>
      <c r="AL29" s="19">
        <f>'26'!G140</f>
        <v>9.2699999999999818</v>
      </c>
      <c r="AM29" s="19">
        <f>'26'!G141</f>
        <v>0</v>
      </c>
      <c r="AN29" s="19"/>
      <c r="AO29" s="19">
        <f t="shared" si="11"/>
        <v>9.2699999999999818</v>
      </c>
      <c r="AP29" s="52">
        <f>'26'!G124</f>
        <v>252</v>
      </c>
      <c r="AQ29" s="55">
        <f>'26'!G35</f>
        <v>0</v>
      </c>
      <c r="AR29" s="19">
        <f>'26'!G37</f>
        <v>1663</v>
      </c>
      <c r="AS29" s="19">
        <f>'26'!G38</f>
        <v>1573</v>
      </c>
      <c r="AT29" s="19">
        <f>'26'!G39</f>
        <v>3750</v>
      </c>
      <c r="AU29" s="19">
        <f>'26'!G40</f>
        <v>360</v>
      </c>
      <c r="AV29" s="19">
        <f>'26'!G41</f>
        <v>0</v>
      </c>
      <c r="AW29" s="19">
        <f>'26'!G42</f>
        <v>2781</v>
      </c>
      <c r="AX29" s="19">
        <f>'26'!G43</f>
        <v>2794</v>
      </c>
      <c r="AY29" s="23">
        <f>'26'!G44</f>
        <v>0</v>
      </c>
      <c r="AZ29" s="56">
        <f>'26'!G36</f>
        <v>755</v>
      </c>
      <c r="BA29" s="55">
        <f>'26'!G49</f>
        <v>3145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4528</v>
      </c>
      <c r="BG29" s="19">
        <f>'26'!G56</f>
        <v>0</v>
      </c>
      <c r="BH29" s="19">
        <f>'26'!G57</f>
        <v>0</v>
      </c>
      <c r="BI29" s="56">
        <f>'26'!G50</f>
        <v>928</v>
      </c>
      <c r="BJ29" s="62">
        <f t="shared" si="12"/>
        <v>7309</v>
      </c>
      <c r="BK29" s="62">
        <f>'26'!G84</f>
        <v>829</v>
      </c>
      <c r="BL29" s="23">
        <f t="shared" si="13"/>
        <v>58.307292812816335</v>
      </c>
      <c r="BM29" s="23">
        <f t="shared" si="14"/>
        <v>16.504555257250999</v>
      </c>
      <c r="BN29" s="24">
        <f t="shared" si="15"/>
        <v>6.9231107785748869E-2</v>
      </c>
      <c r="BO29" s="25">
        <f t="shared" si="16"/>
        <v>274279</v>
      </c>
      <c r="BP29" s="38">
        <f t="shared" si="17"/>
        <v>10932</v>
      </c>
      <c r="BQ29">
        <f t="shared" si="18"/>
        <v>1.2200892857142858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0.64</v>
      </c>
      <c r="G30" s="19">
        <f>'27'!G8</f>
        <v>21225</v>
      </c>
      <c r="H30" s="19">
        <f>'27'!G7</f>
        <v>23250</v>
      </c>
      <c r="I30" s="19">
        <f>'27'!G8</f>
        <v>21225</v>
      </c>
      <c r="J30" s="19">
        <v>9</v>
      </c>
      <c r="K30" s="49">
        <f t="shared" si="3"/>
        <v>191025</v>
      </c>
      <c r="L30" s="45">
        <f t="shared" si="4"/>
        <v>105.07425742574257</v>
      </c>
      <c r="M30" s="19">
        <f>'27'!G15</f>
        <v>950</v>
      </c>
      <c r="N30" s="19">
        <v>53</v>
      </c>
      <c r="O30" s="41">
        <f t="shared" si="5"/>
        <v>50350</v>
      </c>
      <c r="P30" s="19">
        <f>'27'!G20</f>
        <v>170</v>
      </c>
      <c r="Q30" s="19">
        <v>108</v>
      </c>
      <c r="R30" s="46">
        <f t="shared" si="0"/>
        <v>18360</v>
      </c>
      <c r="S30" s="47">
        <f t="shared" si="1"/>
        <v>131.49752475247524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62</v>
      </c>
      <c r="X30" s="22">
        <f>'27'!G97</f>
        <v>19</v>
      </c>
      <c r="Y30" s="22">
        <f>'27'!G98</f>
        <v>24</v>
      </c>
      <c r="Z30" s="22">
        <f t="shared" si="7"/>
        <v>105</v>
      </c>
      <c r="AA30" s="19">
        <f>'27'!G133</f>
        <v>0</v>
      </c>
      <c r="AB30" s="19">
        <f>'27'!G134</f>
        <v>24</v>
      </c>
      <c r="AC30" s="19">
        <f>'27'!G135</f>
        <v>6</v>
      </c>
      <c r="AD30" s="19">
        <f>'27'!G136</f>
        <v>0</v>
      </c>
      <c r="AE30" s="19">
        <f t="shared" si="8"/>
        <v>30</v>
      </c>
      <c r="AF30" s="23">
        <f t="shared" si="2"/>
        <v>6213</v>
      </c>
      <c r="AG30" s="23">
        <f t="shared" si="9"/>
        <v>207.1</v>
      </c>
      <c r="AH30" s="19">
        <f>'27'!G137</f>
        <v>8.7799999999988358</v>
      </c>
      <c r="AI30" s="19">
        <f>'27'!G138</f>
        <v>0.15999999999985448</v>
      </c>
      <c r="AJ30" s="19">
        <f>'27'!G139</f>
        <v>-0.39999999999417923</v>
      </c>
      <c r="AK30" s="19">
        <f t="shared" si="10"/>
        <v>8.5400000000045111</v>
      </c>
      <c r="AL30" s="19">
        <f>'27'!G140</f>
        <v>9.1599999999998545</v>
      </c>
      <c r="AM30" s="19">
        <f>'27'!G141</f>
        <v>0</v>
      </c>
      <c r="AN30" s="19"/>
      <c r="AO30" s="19">
        <f t="shared" si="11"/>
        <v>9.1599999999998545</v>
      </c>
      <c r="AP30" s="52">
        <f>'27'!G124</f>
        <v>250</v>
      </c>
      <c r="AQ30" s="55">
        <f>'27'!G35</f>
        <v>0</v>
      </c>
      <c r="AR30" s="19">
        <f>'27'!G37</f>
        <v>1655</v>
      </c>
      <c r="AS30" s="19">
        <f>'27'!G38</f>
        <v>1508</v>
      </c>
      <c r="AT30" s="19">
        <f>'27'!G39</f>
        <v>3783</v>
      </c>
      <c r="AU30" s="19">
        <f>'27'!G40</f>
        <v>386</v>
      </c>
      <c r="AV30" s="19">
        <f>'27'!G41</f>
        <v>0</v>
      </c>
      <c r="AW30" s="19">
        <f>'27'!G42</f>
        <v>4991</v>
      </c>
      <c r="AX30" s="19">
        <f>'27'!G43</f>
        <v>2676</v>
      </c>
      <c r="AY30" s="23">
        <f>'27'!G44</f>
        <v>0</v>
      </c>
      <c r="AZ30" s="56">
        <f>'27'!G36</f>
        <v>671</v>
      </c>
      <c r="BA30" s="55">
        <f>'27'!G49</f>
        <v>2883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1179</v>
      </c>
      <c r="BG30" s="19">
        <f>'27'!G56</f>
        <v>43</v>
      </c>
      <c r="BH30" s="19">
        <f>'27'!G57</f>
        <v>0</v>
      </c>
      <c r="BI30" s="56">
        <f>'27'!G50</f>
        <v>988</v>
      </c>
      <c r="BJ30" s="62">
        <f t="shared" si="12"/>
        <v>6213</v>
      </c>
      <c r="BK30" s="62">
        <f>'27'!G84</f>
        <v>835</v>
      </c>
      <c r="BL30" s="23">
        <f t="shared" si="13"/>
        <v>55.46289752650177</v>
      </c>
      <c r="BM30" s="23">
        <f t="shared" si="14"/>
        <v>17.823321554770317</v>
      </c>
      <c r="BN30" s="24">
        <f t="shared" si="15"/>
        <v>7.1044994110720905E-2</v>
      </c>
      <c r="BO30" s="25">
        <f t="shared" si="16"/>
        <v>259735</v>
      </c>
      <c r="BP30" s="38">
        <f t="shared" si="17"/>
        <v>9724</v>
      </c>
      <c r="BQ30">
        <f t="shared" si="18"/>
        <v>1.1576190476190475</v>
      </c>
    </row>
    <row r="31" spans="1:69">
      <c r="A31" s="16">
        <v>28</v>
      </c>
      <c r="B31" s="26">
        <v>28</v>
      </c>
      <c r="C31" s="28"/>
      <c r="D31" s="19">
        <f>'28'!D3</f>
        <v>27</v>
      </c>
      <c r="E31" s="50">
        <f>'28'!D4</f>
        <v>0.9</v>
      </c>
      <c r="F31" s="50">
        <f>'28'!D2</f>
        <v>0.56999999999999995</v>
      </c>
      <c r="G31" s="19">
        <f>'28'!G8</f>
        <v>21058</v>
      </c>
      <c r="H31" s="19">
        <f>'28'!G7</f>
        <v>23250</v>
      </c>
      <c r="I31" s="19">
        <f>'28'!G8</f>
        <v>21058</v>
      </c>
      <c r="J31" s="19">
        <v>9</v>
      </c>
      <c r="K31" s="49">
        <f t="shared" si="3"/>
        <v>189522</v>
      </c>
      <c r="L31" s="45">
        <f t="shared" si="4"/>
        <v>104.24752475247524</v>
      </c>
      <c r="M31" s="19">
        <f>'28'!G15</f>
        <v>950</v>
      </c>
      <c r="N31" s="19">
        <v>53</v>
      </c>
      <c r="O31" s="41">
        <f t="shared" si="5"/>
        <v>50350</v>
      </c>
      <c r="P31" s="19">
        <f>'28'!G20</f>
        <v>120</v>
      </c>
      <c r="Q31" s="19">
        <v>108</v>
      </c>
      <c r="R31" s="46">
        <f t="shared" si="0"/>
        <v>12960</v>
      </c>
      <c r="S31" s="47">
        <f t="shared" si="1"/>
        <v>104.22094841063056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61</v>
      </c>
      <c r="X31" s="22">
        <f>'28'!G97</f>
        <v>21</v>
      </c>
      <c r="Y31" s="22">
        <f>'28'!G98</f>
        <v>24</v>
      </c>
      <c r="Z31" s="22">
        <f t="shared" si="7"/>
        <v>106</v>
      </c>
      <c r="AA31" s="19">
        <f>'28'!G133</f>
        <v>0</v>
      </c>
      <c r="AB31" s="19">
        <f>'28'!G134</f>
        <v>24</v>
      </c>
      <c r="AC31" s="19">
        <f>'28'!G135</f>
        <v>6</v>
      </c>
      <c r="AD31" s="19">
        <f>'28'!G136</f>
        <v>0</v>
      </c>
      <c r="AE31" s="19">
        <f t="shared" si="8"/>
        <v>30</v>
      </c>
      <c r="AF31" s="23">
        <f t="shared" si="2"/>
        <v>6109</v>
      </c>
      <c r="AG31" s="23">
        <f t="shared" si="9"/>
        <v>203.63333333333333</v>
      </c>
      <c r="AH31" s="19">
        <f>'28'!G137</f>
        <v>5.8000000000029104</v>
      </c>
      <c r="AI31" s="19">
        <f>'28'!G138</f>
        <v>2.0000000000436557E-2</v>
      </c>
      <c r="AJ31" s="19">
        <f>'28'!G139</f>
        <v>0</v>
      </c>
      <c r="AK31" s="19">
        <f t="shared" si="10"/>
        <v>5.8200000000033469</v>
      </c>
      <c r="AL31" s="19">
        <f>'28'!G140</f>
        <v>9.3899999999998727</v>
      </c>
      <c r="AM31" s="19">
        <f>'28'!G141</f>
        <v>0.32999999999992724</v>
      </c>
      <c r="AN31" s="19"/>
      <c r="AO31" s="19">
        <f t="shared" si="11"/>
        <v>9.7199999999997999</v>
      </c>
      <c r="AP31" s="52">
        <f>'28'!G124</f>
        <v>243</v>
      </c>
      <c r="AQ31" s="55">
        <f>'28'!G35</f>
        <v>0</v>
      </c>
      <c r="AR31" s="19">
        <f>'28'!G37</f>
        <v>1600</v>
      </c>
      <c r="AS31" s="19">
        <f>'28'!G38</f>
        <v>1549</v>
      </c>
      <c r="AT31" s="19">
        <f>'28'!G39</f>
        <v>3785</v>
      </c>
      <c r="AU31" s="19">
        <f>'28'!G40</f>
        <v>473</v>
      </c>
      <c r="AV31" s="19">
        <f>'28'!G41</f>
        <v>0</v>
      </c>
      <c r="AW31" s="19">
        <f>'28'!G42</f>
        <v>4964</v>
      </c>
      <c r="AX31" s="90">
        <f>'28'!G43</f>
        <v>2686</v>
      </c>
      <c r="AY31" s="23">
        <f>'28'!G44</f>
        <v>0</v>
      </c>
      <c r="AZ31" s="56">
        <f>'28'!G36</f>
        <v>674</v>
      </c>
      <c r="BA31" s="55">
        <f>'28'!G49</f>
        <v>2896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1134</v>
      </c>
      <c r="BG31" s="19">
        <f>'28'!G56</f>
        <v>11</v>
      </c>
      <c r="BH31" s="19">
        <f>'28'!G57</f>
        <v>0.32999999999992724</v>
      </c>
      <c r="BI31" s="56">
        <f>'28'!G50</f>
        <v>920</v>
      </c>
      <c r="BJ31" s="62">
        <f t="shared" si="12"/>
        <v>6109</v>
      </c>
      <c r="BK31" s="62">
        <f>'28'!G84</f>
        <v>779</v>
      </c>
      <c r="BL31" s="23">
        <f>SUM(AQ31,AV31,AW31,AX31,BA31,BF31,BG31,BH31)/I31%</f>
        <v>55.519659986703388</v>
      </c>
      <c r="BM31" s="23">
        <f t="shared" si="14"/>
        <v>17.97416658752018</v>
      </c>
      <c r="BN31" s="24">
        <f t="shared" si="15"/>
        <v>7.3562066672995946E-2</v>
      </c>
      <c r="BO31" s="25">
        <f t="shared" si="16"/>
        <v>252832</v>
      </c>
      <c r="BP31" s="38">
        <f t="shared" si="17"/>
        <v>9574.33</v>
      </c>
      <c r="BQ31">
        <f t="shared" si="18"/>
        <v>1.1398011904761904</v>
      </c>
    </row>
    <row r="32" spans="1:69">
      <c r="A32" s="16">
        <v>29</v>
      </c>
      <c r="B32" s="26">
        <v>29</v>
      </c>
      <c r="C32" s="28"/>
      <c r="D32" s="19">
        <f>'29'!D3</f>
        <v>27</v>
      </c>
      <c r="E32" s="50">
        <f>'29'!D4</f>
        <v>0.9</v>
      </c>
      <c r="F32" s="50">
        <f>'29'!D2</f>
        <v>0.7</v>
      </c>
      <c r="G32" s="19">
        <f>'29'!G8</f>
        <v>23083</v>
      </c>
      <c r="H32" s="19">
        <f>'29'!G7</f>
        <v>23250</v>
      </c>
      <c r="I32" s="19">
        <f>'29'!G8</f>
        <v>23083</v>
      </c>
      <c r="J32" s="19">
        <v>9</v>
      </c>
      <c r="K32" s="49">
        <f t="shared" si="3"/>
        <v>207747</v>
      </c>
      <c r="L32" s="45">
        <f t="shared" si="4"/>
        <v>114.27227722772277</v>
      </c>
      <c r="M32" s="19">
        <f>'29'!G15</f>
        <v>950</v>
      </c>
      <c r="N32" s="19">
        <v>53</v>
      </c>
      <c r="O32" s="41">
        <f t="shared" si="5"/>
        <v>50350</v>
      </c>
      <c r="P32" s="19">
        <f>'29'!G20</f>
        <v>200</v>
      </c>
      <c r="Q32" s="19">
        <v>108</v>
      </c>
      <c r="R32" s="46">
        <f t="shared" si="0"/>
        <v>21600</v>
      </c>
      <c r="S32" s="47">
        <f t="shared" si="1"/>
        <v>141.44271570014146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69</v>
      </c>
      <c r="X32" s="22">
        <f>'29'!G97</f>
        <v>20</v>
      </c>
      <c r="Y32" s="22">
        <f>'29'!G98</f>
        <v>25</v>
      </c>
      <c r="Z32" s="22">
        <f t="shared" si="7"/>
        <v>114</v>
      </c>
      <c r="AA32" s="19">
        <f>'29'!G133</f>
        <v>0</v>
      </c>
      <c r="AB32" s="19">
        <f>'29'!G134</f>
        <v>20</v>
      </c>
      <c r="AC32" s="19">
        <f>'29'!G135</f>
        <v>14</v>
      </c>
      <c r="AD32" s="19">
        <f>'29'!G136</f>
        <v>0</v>
      </c>
      <c r="AE32" s="19">
        <f t="shared" si="8"/>
        <v>34</v>
      </c>
      <c r="AF32" s="23">
        <f t="shared" si="2"/>
        <v>7255</v>
      </c>
      <c r="AG32" s="23">
        <f t="shared" si="9"/>
        <v>213.38235294117646</v>
      </c>
      <c r="AH32" s="19">
        <f>'29'!G137</f>
        <v>-2.0000000000436557E-2</v>
      </c>
      <c r="AI32" s="19">
        <f>'29'!G138</f>
        <v>10.770000000000437</v>
      </c>
      <c r="AJ32" s="19">
        <f>'29'!G139</f>
        <v>0.39999999999417923</v>
      </c>
      <c r="AK32" s="19">
        <f t="shared" si="10"/>
        <v>11.149999999994179</v>
      </c>
      <c r="AL32" s="19">
        <f>'29'!G140</f>
        <v>9.3099999999999454</v>
      </c>
      <c r="AM32" s="19">
        <f>'29'!G141</f>
        <v>0</v>
      </c>
      <c r="AN32" s="19"/>
      <c r="AO32" s="19">
        <f t="shared" si="11"/>
        <v>9.3099999999999454</v>
      </c>
      <c r="AP32" s="52">
        <f>'29'!G124</f>
        <v>265</v>
      </c>
      <c r="AQ32" s="55">
        <f>'29'!G35</f>
        <v>0</v>
      </c>
      <c r="AR32" s="19">
        <f>'29'!G37</f>
        <v>1607</v>
      </c>
      <c r="AS32" s="19">
        <f>'29'!G38</f>
        <v>1643</v>
      </c>
      <c r="AT32" s="19">
        <f>'29'!G39</f>
        <v>3817</v>
      </c>
      <c r="AU32" s="19">
        <f>'29'!G40</f>
        <v>395</v>
      </c>
      <c r="AV32" s="19">
        <f>'29'!G41</f>
        <v>0</v>
      </c>
      <c r="AW32" s="19">
        <f>'29'!G42</f>
        <v>3970</v>
      </c>
      <c r="AX32" s="19">
        <f>'29'!G43</f>
        <v>2798</v>
      </c>
      <c r="AY32" s="23">
        <f>'29'!G44</f>
        <v>0</v>
      </c>
      <c r="AZ32" s="56">
        <f>'29'!G36</f>
        <v>1126</v>
      </c>
      <c r="BA32" s="55">
        <f>'29'!G49</f>
        <v>3024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3274</v>
      </c>
      <c r="BG32" s="19">
        <f>'29'!G56</f>
        <v>11</v>
      </c>
      <c r="BH32" s="19">
        <f>'29'!G57</f>
        <v>-0.32999999999992724</v>
      </c>
      <c r="BI32" s="56">
        <f>'29'!G50</f>
        <v>980</v>
      </c>
      <c r="BJ32" s="62">
        <f t="shared" si="12"/>
        <v>7255</v>
      </c>
      <c r="BK32" s="62">
        <f>'29'!G84</f>
        <v>793</v>
      </c>
      <c r="BL32" s="23">
        <f t="shared" si="13"/>
        <v>56.650651994974652</v>
      </c>
      <c r="BM32" s="23">
        <f t="shared" si="14"/>
        <v>16.535978858900489</v>
      </c>
      <c r="BN32" s="24">
        <f t="shared" si="15"/>
        <v>7.1177923146904645E-2</v>
      </c>
      <c r="BO32" s="25">
        <f t="shared" si="16"/>
        <v>279697</v>
      </c>
      <c r="BP32" s="38">
        <f t="shared" si="17"/>
        <v>10845.67</v>
      </c>
      <c r="BQ32">
        <f t="shared" si="18"/>
        <v>1.1392510504201681</v>
      </c>
    </row>
    <row r="33" spans="1:69">
      <c r="A33" s="16">
        <v>30</v>
      </c>
      <c r="B33" s="27">
        <v>30</v>
      </c>
      <c r="C33" s="28"/>
      <c r="D33" s="19">
        <f>'30'!D3</f>
        <v>27</v>
      </c>
      <c r="E33" s="50">
        <f>'30'!D4</f>
        <v>0.9</v>
      </c>
      <c r="F33" s="50">
        <f>'30'!D2</f>
        <v>0.5</v>
      </c>
      <c r="G33" s="19">
        <f>'30'!G8</f>
        <v>22284</v>
      </c>
      <c r="H33" s="19">
        <f>'30'!G7</f>
        <v>23250</v>
      </c>
      <c r="I33" s="19">
        <f>'30'!G8</f>
        <v>22284</v>
      </c>
      <c r="J33" s="19">
        <v>9</v>
      </c>
      <c r="K33" s="49">
        <f t="shared" si="3"/>
        <v>200556</v>
      </c>
      <c r="L33" s="45">
        <f t="shared" si="4"/>
        <v>110.31683168316832</v>
      </c>
      <c r="M33" s="19">
        <f>'30'!G15</f>
        <v>950</v>
      </c>
      <c r="N33" s="19">
        <v>53</v>
      </c>
      <c r="O33" s="41">
        <f t="shared" si="5"/>
        <v>50350</v>
      </c>
      <c r="P33" s="19">
        <f>'30'!G20</f>
        <v>210</v>
      </c>
      <c r="Q33" s="19">
        <v>108</v>
      </c>
      <c r="R33" s="46">
        <f t="shared" si="0"/>
        <v>22680</v>
      </c>
      <c r="S33" s="47">
        <f t="shared" si="1"/>
        <v>207.92079207920793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73</v>
      </c>
      <c r="X33" s="22">
        <f>'30'!G97</f>
        <v>23</v>
      </c>
      <c r="Y33" s="22">
        <f>'30'!G98</f>
        <v>26</v>
      </c>
      <c r="Z33" s="22">
        <f t="shared" si="7"/>
        <v>122</v>
      </c>
      <c r="AA33" s="19">
        <f>'30'!G133</f>
        <v>0</v>
      </c>
      <c r="AB33" s="19">
        <f>'30'!G134</f>
        <v>5</v>
      </c>
      <c r="AC33" s="19">
        <f>'30'!G135</f>
        <v>24</v>
      </c>
      <c r="AD33" s="19">
        <f>'30'!G136</f>
        <v>0</v>
      </c>
      <c r="AE33" s="19">
        <f t="shared" si="8"/>
        <v>29</v>
      </c>
      <c r="AF33" s="23">
        <f t="shared" si="2"/>
        <v>6835</v>
      </c>
      <c r="AG33" s="23">
        <f t="shared" si="9"/>
        <v>235.68965517241378</v>
      </c>
      <c r="AH33" s="19">
        <f>'30'!G137</f>
        <v>0</v>
      </c>
      <c r="AI33" s="19">
        <f>'30'!G138</f>
        <v>9.5</v>
      </c>
      <c r="AJ33" s="19">
        <f>'30'!G139</f>
        <v>-0.39999999999417923</v>
      </c>
      <c r="AK33" s="19">
        <f t="shared" si="10"/>
        <v>9.1000000000058208</v>
      </c>
      <c r="AL33" s="19">
        <f>'30'!G140</f>
        <v>8.8400000000001455</v>
      </c>
      <c r="AM33" s="19">
        <f>'30'!G141</f>
        <v>0</v>
      </c>
      <c r="AN33" s="19"/>
      <c r="AO33" s="19">
        <f t="shared" si="11"/>
        <v>8.8400000000001455</v>
      </c>
      <c r="AP33" s="52">
        <f>'30'!G124</f>
        <v>162</v>
      </c>
      <c r="AQ33" s="55">
        <f>'30'!G35</f>
        <v>0</v>
      </c>
      <c r="AR33" s="19">
        <f>'30'!G37</f>
        <v>1632</v>
      </c>
      <c r="AS33" s="19">
        <f>'30'!G38</f>
        <v>1700</v>
      </c>
      <c r="AT33" s="19">
        <f>'30'!G39</f>
        <v>3848</v>
      </c>
      <c r="AU33" s="19">
        <f>'30'!G40</f>
        <v>648</v>
      </c>
      <c r="AV33" s="19">
        <f>'30'!G41</f>
        <v>0</v>
      </c>
      <c r="AW33" s="19">
        <f>'30'!G42</f>
        <v>1096</v>
      </c>
      <c r="AX33" s="19">
        <f>'30'!G43</f>
        <v>2640</v>
      </c>
      <c r="AY33" s="23">
        <f>'30'!G44</f>
        <v>0</v>
      </c>
      <c r="AZ33" s="56">
        <f>'30'!G36</f>
        <v>857</v>
      </c>
      <c r="BA33" s="55">
        <f>'30'!G49</f>
        <v>3004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5727</v>
      </c>
      <c r="BG33" s="19">
        <f>'30'!G56</f>
        <v>12</v>
      </c>
      <c r="BH33" s="19">
        <f>'30'!G57</f>
        <v>0</v>
      </c>
      <c r="BI33" s="56">
        <f>'30'!G50</f>
        <v>1029</v>
      </c>
      <c r="BJ33" s="62">
        <f t="shared" ref="BJ33" si="19">SUM(AV33,AW33,BF33,BG33)</f>
        <v>6835</v>
      </c>
      <c r="BK33" s="62">
        <f>'30'!G84</f>
        <v>802</v>
      </c>
      <c r="BL33" s="23">
        <f t="shared" si="13"/>
        <v>55.999820499012742</v>
      </c>
      <c r="BM33" s="23">
        <f t="shared" si="14"/>
        <v>17.267994973972357</v>
      </c>
      <c r="BN33" s="24">
        <f t="shared" si="15"/>
        <v>7.6284778316283039E-2</v>
      </c>
      <c r="BO33" s="25">
        <f t="shared" si="16"/>
        <v>273586</v>
      </c>
      <c r="BP33" s="38">
        <f t="shared" si="17"/>
        <v>10277</v>
      </c>
      <c r="BQ33">
        <f t="shared" si="18"/>
        <v>1.26564039408867</v>
      </c>
    </row>
    <row r="34" spans="1:69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21500</v>
      </c>
      <c r="H34" s="19">
        <f>'31'!G7</f>
        <v>23250</v>
      </c>
      <c r="I34" s="19">
        <f>'31'!G8</f>
        <v>21500</v>
      </c>
      <c r="J34" s="19">
        <v>9</v>
      </c>
      <c r="K34" s="49">
        <f t="shared" si="3"/>
        <v>193500</v>
      </c>
      <c r="L34" s="45">
        <f t="shared" ref="L34" si="20">I34/202</f>
        <v>106.43564356435644</v>
      </c>
      <c r="M34" s="19">
        <f>'31'!G15</f>
        <v>950</v>
      </c>
      <c r="N34" s="19">
        <v>53</v>
      </c>
      <c r="O34" s="41">
        <f t="shared" ref="O34" si="21">M34*N34</f>
        <v>50350</v>
      </c>
      <c r="P34" s="19">
        <f>'31'!G20</f>
        <v>120</v>
      </c>
      <c r="Q34" s="19">
        <v>108</v>
      </c>
      <c r="R34" s="46">
        <f t="shared" ref="R34" si="22">P34*Q34</f>
        <v>12960</v>
      </c>
      <c r="S34" s="47">
        <f t="shared" ref="S34" si="23">P34/(F34*202/100)</f>
        <v>2.2002200220022003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26</v>
      </c>
      <c r="Y34" s="22">
        <f>'30'!G99</f>
        <v>23</v>
      </c>
      <c r="Z34" s="22">
        <f t="shared" ref="Z34" si="25">W34+X34+Y34</f>
        <v>72</v>
      </c>
      <c r="AA34" s="19">
        <f>'30'!G134</f>
        <v>5</v>
      </c>
      <c r="AB34" s="19">
        <f>'30'!G135</f>
        <v>24</v>
      </c>
      <c r="AC34" s="19">
        <f>'30'!G136</f>
        <v>0</v>
      </c>
      <c r="AD34" s="19">
        <f>'30'!G137</f>
        <v>0</v>
      </c>
      <c r="AE34" s="19">
        <f t="shared" ref="AE34" si="26">AA34+AB34+AC34+AD34</f>
        <v>29</v>
      </c>
      <c r="AF34" s="23">
        <f t="shared" ref="AF34" si="27">AV34+AW34+BF34+BG34</f>
        <v>-375153</v>
      </c>
      <c r="AG34" s="23">
        <f t="shared" ref="AG34" si="28">AF34/AE34</f>
        <v>-12936.310344827587</v>
      </c>
      <c r="AH34" s="19">
        <f>'30'!G138</f>
        <v>9.5</v>
      </c>
      <c r="AI34" s="19">
        <f>'30'!G139</f>
        <v>-0.39999999999417923</v>
      </c>
      <c r="AJ34" s="19">
        <f>'30'!G140</f>
        <v>8.8400000000001455</v>
      </c>
      <c r="AK34" s="19">
        <f t="shared" ref="AK34" si="29">AH34+AI34+AJ34</f>
        <v>17.940000000005966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-108109</v>
      </c>
      <c r="AR34" s="19">
        <f>'31'!G37</f>
        <v>-90281</v>
      </c>
      <c r="AS34" s="19">
        <f>'31'!G38</f>
        <v>1249</v>
      </c>
      <c r="AT34" s="19">
        <f>'31'!G39</f>
        <v>-208538</v>
      </c>
      <c r="AU34" s="19">
        <f>'31'!G40</f>
        <v>-18887</v>
      </c>
      <c r="AV34" s="19">
        <f>'31'!G41</f>
        <v>-126362</v>
      </c>
      <c r="AW34" s="19">
        <f>'31'!G42</f>
        <v>-53369</v>
      </c>
      <c r="AX34" s="19">
        <f>'31'!G43</f>
        <v>-159393</v>
      </c>
      <c r="AY34" s="23">
        <f>'31'!G44</f>
        <v>0</v>
      </c>
      <c r="AZ34" s="56">
        <f>'31'!G36</f>
        <v>173</v>
      </c>
      <c r="BA34" s="55">
        <f>'31'!G49</f>
        <v>-60284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-163270</v>
      </c>
      <c r="BG34" s="19">
        <f>'31'!G56</f>
        <v>-32152</v>
      </c>
      <c r="BH34" s="19">
        <f>'31'!G57</f>
        <v>0</v>
      </c>
      <c r="BI34" s="56">
        <f>'31'!G50</f>
        <v>-66212</v>
      </c>
      <c r="BJ34" s="62">
        <f t="shared" ref="BJ34" si="31">SUM(AV34,AW34,BF34,BG34)</f>
        <v>-375153</v>
      </c>
      <c r="BK34" s="62">
        <f>'31'!G84</f>
        <v>-46279</v>
      </c>
      <c r="BL34" s="23">
        <f t="shared" ref="BL34" si="32">SUM(AQ34,AV34,AW34,AX34,BA34,BF34,BG34,BH34)/I34%</f>
        <v>-3269.4837209302327</v>
      </c>
      <c r="BM34" s="23">
        <f t="shared" ref="BM34" si="33">SUM(AT34,BD34)/I34%</f>
        <v>-977.68372093023254</v>
      </c>
      <c r="BN34" s="24">
        <f t="shared" ref="BN34" si="34">(AS34+BC34)/I34</f>
        <v>5.8093023255813954E-2</v>
      </c>
      <c r="BO34" s="25">
        <f t="shared" ref="BO34" si="35">K34+O34+R34+V34</f>
        <v>256810</v>
      </c>
      <c r="BP34" s="38">
        <f t="shared" ref="BP34" si="36">SUM(AV34,AW34,AX34,BF34,BG34,BH34,BK34)</f>
        <v>-580825</v>
      </c>
      <c r="BQ34">
        <f t="shared" ref="BQ34" si="37">BP34/(AE34*280)</f>
        <v>-71.53017241379311</v>
      </c>
    </row>
    <row r="35" spans="1:69">
      <c r="A35" s="16" t="s">
        <v>201</v>
      </c>
      <c r="B35" s="30"/>
      <c r="C35" s="31"/>
      <c r="D35" s="32">
        <f>AVERAGE(D4:D34)</f>
        <v>28.774193548387096</v>
      </c>
      <c r="E35" s="33"/>
      <c r="F35" s="75">
        <f>AVERAGE(F4:F34)</f>
        <v>1.5475806451612903</v>
      </c>
      <c r="G35" s="34">
        <f>SUM(G4:G34)</f>
        <v>-1792</v>
      </c>
      <c r="H35" s="34">
        <f>SUM(H4:H34)</f>
        <v>706316</v>
      </c>
      <c r="I35" s="34">
        <f t="shared" ref="I35:BO35" si="38">SUM(I4:I34)</f>
        <v>-1792</v>
      </c>
      <c r="J35" s="19">
        <v>9</v>
      </c>
      <c r="K35" s="34">
        <f t="shared" si="38"/>
        <v>-16127.999999999767</v>
      </c>
      <c r="L35" s="34">
        <f t="shared" si="38"/>
        <v>-8.8712871287125097</v>
      </c>
      <c r="M35" s="34">
        <f t="shared" si="38"/>
        <v>28355</v>
      </c>
      <c r="N35" s="34">
        <f t="shared" si="38"/>
        <v>1643</v>
      </c>
      <c r="O35" s="34">
        <f t="shared" si="38"/>
        <v>1502815</v>
      </c>
      <c r="P35" s="34">
        <f t="shared" si="38"/>
        <v>6380</v>
      </c>
      <c r="Q35" s="34">
        <f t="shared" si="38"/>
        <v>3348</v>
      </c>
      <c r="R35" s="34">
        <f t="shared" si="38"/>
        <v>689040</v>
      </c>
      <c r="S35" s="34">
        <f t="shared" si="38"/>
        <v>5254.1266699664129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-57</v>
      </c>
      <c r="X35" s="34">
        <f t="shared" si="38"/>
        <v>2</v>
      </c>
      <c r="Y35" s="34">
        <f t="shared" si="38"/>
        <v>-8</v>
      </c>
      <c r="Z35" s="34">
        <f t="shared" si="38"/>
        <v>-63</v>
      </c>
      <c r="AA35" s="34">
        <f t="shared" si="38"/>
        <v>5</v>
      </c>
      <c r="AB35" s="34">
        <f t="shared" si="38"/>
        <v>9</v>
      </c>
      <c r="AC35" s="34">
        <f t="shared" si="38"/>
        <v>-19</v>
      </c>
      <c r="AD35" s="34">
        <f t="shared" si="38"/>
        <v>0</v>
      </c>
      <c r="AE35" s="34">
        <f t="shared" si="38"/>
        <v>-5</v>
      </c>
      <c r="AF35" s="34">
        <f t="shared" si="38"/>
        <v>-384220</v>
      </c>
      <c r="AG35" s="34">
        <f t="shared" si="38"/>
        <v>-6448.3429349170165</v>
      </c>
      <c r="AH35" s="34">
        <f t="shared" si="38"/>
        <v>-0.88000000000465661</v>
      </c>
      <c r="AI35" s="34">
        <f t="shared" si="38"/>
        <v>-0.55999999999403371</v>
      </c>
      <c r="AJ35" s="34">
        <f t="shared" si="38"/>
        <v>9.2399999999943248</v>
      </c>
      <c r="AK35" s="34">
        <f t="shared" si="38"/>
        <v>7.7999999999956344</v>
      </c>
      <c r="AL35" s="34">
        <f t="shared" si="38"/>
        <v>-17.820000000000164</v>
      </c>
      <c r="AM35" s="34">
        <f t="shared" si="38"/>
        <v>6.3400000000001455</v>
      </c>
      <c r="AN35" s="34">
        <f t="shared" si="38"/>
        <v>0</v>
      </c>
      <c r="AO35" s="34">
        <f t="shared" si="38"/>
        <v>-11.480000000000018</v>
      </c>
      <c r="AP35" s="34">
        <f t="shared" si="38"/>
        <v>-358.60000000000582</v>
      </c>
      <c r="AQ35" s="34">
        <f t="shared" si="38"/>
        <v>-108108.30000000005</v>
      </c>
      <c r="AR35" s="34">
        <f t="shared" si="38"/>
        <v>-91937</v>
      </c>
      <c r="AS35" s="34">
        <f t="shared" si="38"/>
        <v>-496</v>
      </c>
      <c r="AT35" s="34">
        <f t="shared" si="38"/>
        <v>-212345</v>
      </c>
      <c r="AU35" s="34">
        <f t="shared" si="38"/>
        <v>-19284</v>
      </c>
      <c r="AV35" s="34">
        <f t="shared" si="38"/>
        <v>-126362</v>
      </c>
      <c r="AW35" s="34">
        <f t="shared" si="38"/>
        <v>-58132</v>
      </c>
      <c r="AX35" s="34">
        <f t="shared" si="38"/>
        <v>-162217</v>
      </c>
      <c r="AY35" s="34">
        <f t="shared" si="38"/>
        <v>0</v>
      </c>
      <c r="AZ35" s="34">
        <f t="shared" si="38"/>
        <v>-773</v>
      </c>
      <c r="BA35" s="34">
        <f t="shared" si="38"/>
        <v>-63356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-1217.3899999999994</v>
      </c>
      <c r="BF35" s="34">
        <f t="shared" si="38"/>
        <v>-167563</v>
      </c>
      <c r="BG35" s="34">
        <f t="shared" si="38"/>
        <v>-32163</v>
      </c>
      <c r="BH35" s="34">
        <f t="shared" si="38"/>
        <v>0</v>
      </c>
      <c r="BI35" s="34">
        <f t="shared" si="38"/>
        <v>-67389</v>
      </c>
      <c r="BJ35" s="34">
        <f t="shared" si="38"/>
        <v>-384220</v>
      </c>
      <c r="BK35" s="34">
        <f t="shared" si="38"/>
        <v>-47119</v>
      </c>
      <c r="BL35" s="34">
        <f t="shared" si="38"/>
        <v>-1578.1217611144268</v>
      </c>
      <c r="BM35" s="34">
        <f t="shared" si="38"/>
        <v>-474.8168178068953</v>
      </c>
      <c r="BN35" s="34">
        <f t="shared" si="38"/>
        <v>2.2745212341522443</v>
      </c>
      <c r="BO35" s="34">
        <f t="shared" si="38"/>
        <v>2175727</v>
      </c>
      <c r="BP35" s="38">
        <f t="shared" si="17"/>
        <v>-593556</v>
      </c>
      <c r="BQ35">
        <f t="shared" si="18"/>
        <v>423.96857142857141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736</v>
      </c>
      <c r="J36" s="35">
        <f t="shared" si="40"/>
        <v>0</v>
      </c>
      <c r="K36" s="42">
        <f t="shared" si="40"/>
        <v>6624</v>
      </c>
      <c r="L36" s="42">
        <f t="shared" si="40"/>
        <v>3.6435643564356468</v>
      </c>
      <c r="M36" s="35">
        <f t="shared" si="40"/>
        <v>-172</v>
      </c>
      <c r="N36" s="35">
        <f t="shared" si="40"/>
        <v>0</v>
      </c>
      <c r="O36" s="42">
        <f t="shared" si="40"/>
        <v>-9116</v>
      </c>
      <c r="P36" s="35">
        <f t="shared" si="40"/>
        <v>31</v>
      </c>
      <c r="Q36" s="35">
        <f t="shared" si="40"/>
        <v>0</v>
      </c>
      <c r="R36" s="42">
        <f t="shared" si="40"/>
        <v>3348</v>
      </c>
      <c r="S36" s="42">
        <f t="shared" si="40"/>
        <v>78.80249231819738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9</v>
      </c>
      <c r="X36" s="35">
        <f t="shared" si="40"/>
        <v>16</v>
      </c>
      <c r="Y36" s="35">
        <f t="shared" si="40"/>
        <v>5</v>
      </c>
      <c r="Z36" s="35">
        <f t="shared" si="40"/>
        <v>30</v>
      </c>
      <c r="AA36" s="35">
        <f t="shared" si="40"/>
        <v>0</v>
      </c>
      <c r="AB36" s="35">
        <f t="shared" si="40"/>
        <v>0</v>
      </c>
      <c r="AC36" s="35">
        <f t="shared" si="40"/>
        <v>2</v>
      </c>
      <c r="AD36" s="35">
        <f t="shared" si="40"/>
        <v>0</v>
      </c>
      <c r="AE36" s="35">
        <f t="shared" si="40"/>
        <v>2</v>
      </c>
      <c r="AF36" s="35">
        <f t="shared" si="40"/>
        <v>187</v>
      </c>
      <c r="AG36" s="35">
        <f t="shared" si="40"/>
        <v>-10.917037037037034</v>
      </c>
      <c r="AH36" s="35">
        <f t="shared" si="40"/>
        <v>8.6299999999973807</v>
      </c>
      <c r="AI36" s="35">
        <f t="shared" si="40"/>
        <v>-9.8999999999978172</v>
      </c>
      <c r="AJ36" s="35">
        <f t="shared" si="40"/>
        <v>-5.3500000000058208</v>
      </c>
      <c r="AK36" s="35">
        <f t="shared" si="40"/>
        <v>-6.6200000000062573</v>
      </c>
      <c r="AL36" s="35">
        <f t="shared" si="40"/>
        <v>1.330000000000382</v>
      </c>
      <c r="AM36" s="35">
        <f t="shared" si="40"/>
        <v>0</v>
      </c>
      <c r="AN36" s="35">
        <f t="shared" si="40"/>
        <v>0</v>
      </c>
      <c r="AO36" s="35">
        <f t="shared" si="40"/>
        <v>1.330000000000382</v>
      </c>
      <c r="AP36" s="35"/>
      <c r="AQ36" s="35">
        <f t="shared" ref="AQ36:AX36" si="41">AQ18-AQ17</f>
        <v>0</v>
      </c>
      <c r="AR36" s="35">
        <f t="shared" si="41"/>
        <v>0</v>
      </c>
      <c r="AS36" s="35">
        <f t="shared" si="41"/>
        <v>125</v>
      </c>
      <c r="AT36" s="35">
        <f t="shared" si="41"/>
        <v>-3</v>
      </c>
      <c r="AU36" s="35">
        <f t="shared" si="41"/>
        <v>79</v>
      </c>
      <c r="AV36" s="35">
        <f t="shared" si="41"/>
        <v>-145</v>
      </c>
      <c r="AW36" s="35">
        <f t="shared" si="41"/>
        <v>0</v>
      </c>
      <c r="AX36" s="35">
        <f t="shared" si="41"/>
        <v>90</v>
      </c>
      <c r="AY36" s="35"/>
      <c r="AZ36" s="35"/>
      <c r="BA36" s="35">
        <f t="shared" ref="BA36:BH36" si="42">BA18-BA17</f>
        <v>-89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332</v>
      </c>
      <c r="BG36" s="35">
        <f t="shared" si="42"/>
        <v>0</v>
      </c>
      <c r="BH36" s="35">
        <f t="shared" si="42"/>
        <v>0</v>
      </c>
      <c r="BI36" s="35"/>
      <c r="BJ36" s="35"/>
      <c r="BK36" s="35"/>
      <c r="BL36" s="35">
        <f>BL18-BL17</f>
        <v>-1.0270848841924902</v>
      </c>
      <c r="BM36" s="35">
        <f>BM18-BM17</f>
        <v>-0.61290550243178998</v>
      </c>
      <c r="BN36" s="35"/>
      <c r="BO36" s="35">
        <f>BO18-BO17</f>
        <v>856</v>
      </c>
      <c r="BP36" s="35">
        <f>BP18-BP17</f>
        <v>307</v>
      </c>
    </row>
    <row r="37" spans="1:69">
      <c r="F37" s="38">
        <f>AVERAGE(F4:F35)</f>
        <v>1.5475806451612903</v>
      </c>
      <c r="G37" s="38"/>
      <c r="H37" s="38"/>
      <c r="I37" s="38">
        <f>AVERAGE(I4:I35)</f>
        <v>-112</v>
      </c>
    </row>
    <row r="38" spans="1:69">
      <c r="B38" s="36" t="s">
        <v>67</v>
      </c>
      <c r="F38" s="74">
        <f>AVERAGE(F4:F35)</f>
        <v>1.5475806451612903</v>
      </c>
      <c r="G38" s="74"/>
      <c r="H38" s="74"/>
    </row>
    <row r="41" spans="1:69">
      <c r="BJ41">
        <f>(BJ31+BK31)/400</f>
        <v>17.22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selection activeCell="B2" sqref="B2:B16"/>
    </sheetView>
  </sheetViews>
  <sheetFormatPr defaultRowHeight="15.75"/>
  <cols>
    <col min="2" max="2" width="8.5546875" style="788" customWidth="1"/>
    <col min="3" max="3" width="7.44140625" style="788" customWidth="1"/>
    <col min="4" max="4" width="7.5546875" style="788" customWidth="1"/>
    <col min="5" max="5" width="7.88671875" style="788" customWidth="1"/>
    <col min="6" max="6" width="10.6640625" style="788" customWidth="1"/>
    <col min="8" max="8" width="7.5546875" customWidth="1"/>
  </cols>
  <sheetData>
    <row r="1" spans="1:11" ht="47.25">
      <c r="A1" s="676"/>
      <c r="B1" s="861" t="s">
        <v>352</v>
      </c>
      <c r="C1" s="861" t="s">
        <v>293</v>
      </c>
      <c r="D1" s="861" t="s">
        <v>294</v>
      </c>
      <c r="E1" s="861" t="s">
        <v>296</v>
      </c>
      <c r="F1" s="861" t="s">
        <v>295</v>
      </c>
      <c r="G1" s="898" t="s">
        <v>298</v>
      </c>
      <c r="H1" s="1120" t="s">
        <v>337</v>
      </c>
    </row>
    <row r="2" spans="1:11">
      <c r="A2" s="676">
        <v>1</v>
      </c>
      <c r="B2" s="862">
        <f>C2/202%</f>
        <v>62.871287128712872</v>
      </c>
      <c r="C2" s="862">
        <v>127</v>
      </c>
      <c r="D2" s="862">
        <v>22</v>
      </c>
      <c r="E2" s="862">
        <f>SUM(C2:D2)/202%</f>
        <v>73.762376237623755</v>
      </c>
      <c r="F2" s="897">
        <v>519</v>
      </c>
      <c r="G2" s="897">
        <f>C2+D2</f>
        <v>149</v>
      </c>
      <c r="H2" s="1121">
        <f>C2/202%</f>
        <v>62.871287128712872</v>
      </c>
      <c r="K2">
        <f>10/202</f>
        <v>4.9504950495049507E-2</v>
      </c>
    </row>
    <row r="3" spans="1:11">
      <c r="A3" s="676">
        <v>2</v>
      </c>
      <c r="B3" s="862">
        <f t="shared" ref="B3:B32" si="0">C3/202%</f>
        <v>55.445544554455445</v>
      </c>
      <c r="C3" s="862">
        <v>112</v>
      </c>
      <c r="D3" s="862">
        <v>24</v>
      </c>
      <c r="E3" s="862">
        <f t="shared" ref="E3:E5" si="1">SUM(C3:D3)/202%</f>
        <v>67.32673267326733</v>
      </c>
      <c r="F3" s="897">
        <v>427</v>
      </c>
      <c r="G3" s="897">
        <f t="shared" ref="G3:G31" si="2">C3+D3</f>
        <v>136</v>
      </c>
      <c r="H3" s="1121">
        <f t="shared" ref="H3:H32" si="3">C3/202%</f>
        <v>55.445544554455445</v>
      </c>
    </row>
    <row r="4" spans="1:11">
      <c r="A4" s="676">
        <v>3</v>
      </c>
      <c r="B4" s="862">
        <f t="shared" si="0"/>
        <v>64.851485148514854</v>
      </c>
      <c r="C4" s="862">
        <v>131</v>
      </c>
      <c r="D4" s="862">
        <v>22</v>
      </c>
      <c r="E4" s="862">
        <f t="shared" si="1"/>
        <v>75.742574257425744</v>
      </c>
      <c r="F4" s="897">
        <v>458</v>
      </c>
      <c r="G4" s="897">
        <f t="shared" si="2"/>
        <v>153</v>
      </c>
      <c r="H4" s="1121">
        <f t="shared" si="3"/>
        <v>64.851485148514854</v>
      </c>
    </row>
    <row r="5" spans="1:11">
      <c r="A5" s="676">
        <v>4</v>
      </c>
      <c r="B5" s="862">
        <f t="shared" si="0"/>
        <v>68.316831683168317</v>
      </c>
      <c r="C5" s="862">
        <v>138</v>
      </c>
      <c r="D5" s="862">
        <v>23</v>
      </c>
      <c r="E5" s="862">
        <f t="shared" si="1"/>
        <v>79.702970297029708</v>
      </c>
      <c r="F5" s="897">
        <v>632</v>
      </c>
      <c r="G5" s="897">
        <f t="shared" si="2"/>
        <v>161</v>
      </c>
      <c r="H5" s="1121">
        <f t="shared" si="3"/>
        <v>68.316831683168317</v>
      </c>
    </row>
    <row r="6" spans="1:11">
      <c r="A6" s="676">
        <v>5</v>
      </c>
      <c r="B6" s="862">
        <f t="shared" si="0"/>
        <v>78.712871287128706</v>
      </c>
      <c r="C6" s="862">
        <v>159</v>
      </c>
      <c r="D6" s="862">
        <v>23</v>
      </c>
      <c r="E6" s="862">
        <f t="shared" ref="E6:E31" si="4">SUM(C6:D6)/202%</f>
        <v>90.099009900990097</v>
      </c>
      <c r="F6" s="897">
        <v>430</v>
      </c>
      <c r="G6" s="897">
        <f t="shared" si="2"/>
        <v>182</v>
      </c>
      <c r="H6" s="1121">
        <f t="shared" si="3"/>
        <v>78.712871287128706</v>
      </c>
    </row>
    <row r="7" spans="1:11">
      <c r="A7" s="676">
        <v>6</v>
      </c>
      <c r="B7" s="862">
        <f t="shared" si="0"/>
        <v>75.247524752475243</v>
      </c>
      <c r="C7" s="862">
        <v>152</v>
      </c>
      <c r="D7" s="862">
        <v>22</v>
      </c>
      <c r="E7" s="862">
        <f t="shared" si="4"/>
        <v>86.138613861386133</v>
      </c>
      <c r="F7" s="897">
        <v>586</v>
      </c>
      <c r="G7" s="897">
        <f t="shared" si="2"/>
        <v>174</v>
      </c>
      <c r="H7" s="1121">
        <f t="shared" si="3"/>
        <v>75.247524752475243</v>
      </c>
    </row>
    <row r="8" spans="1:11">
      <c r="A8" s="676">
        <v>7</v>
      </c>
      <c r="B8" s="862">
        <f t="shared" si="0"/>
        <v>82.178217821782184</v>
      </c>
      <c r="C8" s="862">
        <v>166</v>
      </c>
      <c r="D8" s="862">
        <v>22</v>
      </c>
      <c r="E8" s="862">
        <f t="shared" si="4"/>
        <v>93.069306930693074</v>
      </c>
      <c r="F8" s="897">
        <v>526</v>
      </c>
      <c r="G8" s="897">
        <f t="shared" si="2"/>
        <v>188</v>
      </c>
      <c r="H8" s="1121">
        <f t="shared" si="3"/>
        <v>82.178217821782184</v>
      </c>
    </row>
    <row r="9" spans="1:11">
      <c r="A9" s="676">
        <v>8</v>
      </c>
      <c r="B9" s="862">
        <f t="shared" si="0"/>
        <v>60.89108910891089</v>
      </c>
      <c r="C9" s="862">
        <v>123</v>
      </c>
      <c r="D9" s="862">
        <v>22</v>
      </c>
      <c r="E9" s="862">
        <f t="shared" si="4"/>
        <v>71.78217821782178</v>
      </c>
      <c r="F9" s="897">
        <v>436</v>
      </c>
      <c r="G9" s="897">
        <f t="shared" si="2"/>
        <v>145</v>
      </c>
      <c r="H9" s="1121">
        <f t="shared" si="3"/>
        <v>60.89108910891089</v>
      </c>
    </row>
    <row r="10" spans="1:11">
      <c r="A10" s="676">
        <v>9</v>
      </c>
      <c r="B10" s="862">
        <f t="shared" si="0"/>
        <v>43.564356435643568</v>
      </c>
      <c r="C10" s="862">
        <v>88</v>
      </c>
      <c r="D10" s="862">
        <v>22</v>
      </c>
      <c r="E10" s="862">
        <f t="shared" si="4"/>
        <v>54.455445544554458</v>
      </c>
      <c r="F10" s="897">
        <v>313</v>
      </c>
      <c r="G10" s="897">
        <f t="shared" si="2"/>
        <v>110</v>
      </c>
      <c r="H10" s="1121">
        <f t="shared" si="3"/>
        <v>43.564356435643568</v>
      </c>
    </row>
    <row r="11" spans="1:11">
      <c r="A11" s="676">
        <v>10</v>
      </c>
      <c r="B11" s="862">
        <f t="shared" si="0"/>
        <v>67.32673267326733</v>
      </c>
      <c r="C11" s="862">
        <v>136</v>
      </c>
      <c r="D11" s="862">
        <v>23</v>
      </c>
      <c r="E11" s="862">
        <f t="shared" si="4"/>
        <v>78.712871287128706</v>
      </c>
      <c r="F11" s="897">
        <v>340</v>
      </c>
      <c r="G11" s="897">
        <f t="shared" si="2"/>
        <v>159</v>
      </c>
      <c r="H11" s="1121">
        <f t="shared" si="3"/>
        <v>67.32673267326733</v>
      </c>
    </row>
    <row r="12" spans="1:11">
      <c r="A12" s="676">
        <v>11</v>
      </c>
      <c r="B12" s="862">
        <f t="shared" si="0"/>
        <v>72.772277227722768</v>
      </c>
      <c r="C12" s="862">
        <v>147</v>
      </c>
      <c r="D12" s="862">
        <v>23</v>
      </c>
      <c r="E12" s="862">
        <f t="shared" si="4"/>
        <v>84.158415841584159</v>
      </c>
      <c r="F12" s="897">
        <v>469</v>
      </c>
      <c r="G12" s="897">
        <f t="shared" si="2"/>
        <v>170</v>
      </c>
      <c r="H12" s="1121">
        <f t="shared" si="3"/>
        <v>72.772277227722768</v>
      </c>
    </row>
    <row r="13" spans="1:11">
      <c r="A13" s="676">
        <v>12</v>
      </c>
      <c r="B13" s="862">
        <f t="shared" si="0"/>
        <v>73.762376237623755</v>
      </c>
      <c r="C13" s="862">
        <v>149</v>
      </c>
      <c r="D13" s="862">
        <v>22</v>
      </c>
      <c r="E13" s="862">
        <f t="shared" si="4"/>
        <v>84.653465346534659</v>
      </c>
      <c r="F13" s="862">
        <v>638</v>
      </c>
      <c r="G13" s="897">
        <f t="shared" si="2"/>
        <v>171</v>
      </c>
      <c r="H13" s="1121">
        <f t="shared" si="3"/>
        <v>73.762376237623755</v>
      </c>
    </row>
    <row r="14" spans="1:11">
      <c r="A14" s="676">
        <v>13</v>
      </c>
      <c r="B14" s="862">
        <f t="shared" si="0"/>
        <v>68.316831683168317</v>
      </c>
      <c r="C14" s="862">
        <v>138</v>
      </c>
      <c r="D14" s="862">
        <v>22</v>
      </c>
      <c r="E14" s="862">
        <f t="shared" si="4"/>
        <v>79.207920792079207</v>
      </c>
      <c r="F14" s="862">
        <v>496</v>
      </c>
      <c r="G14" s="897">
        <f t="shared" si="2"/>
        <v>160</v>
      </c>
      <c r="H14" s="1121">
        <f t="shared" si="3"/>
        <v>68.316831683168317</v>
      </c>
    </row>
    <row r="15" spans="1:11">
      <c r="A15" s="676">
        <v>14</v>
      </c>
      <c r="B15" s="862">
        <f t="shared" si="0"/>
        <v>80.198019801980195</v>
      </c>
      <c r="C15" s="862">
        <v>162</v>
      </c>
      <c r="D15" s="862">
        <v>22</v>
      </c>
      <c r="E15" s="862">
        <f t="shared" si="4"/>
        <v>91.089108910891085</v>
      </c>
      <c r="F15" s="862">
        <v>526</v>
      </c>
      <c r="G15" s="897">
        <f t="shared" si="2"/>
        <v>184</v>
      </c>
      <c r="H15" s="1121">
        <f t="shared" si="3"/>
        <v>80.198019801980195</v>
      </c>
    </row>
    <row r="16" spans="1:11">
      <c r="A16" s="676">
        <v>15</v>
      </c>
      <c r="B16" s="862">
        <f t="shared" si="0"/>
        <v>58.415841584158414</v>
      </c>
      <c r="C16" s="862">
        <v>118</v>
      </c>
      <c r="D16" s="862">
        <v>22</v>
      </c>
      <c r="E16" s="862">
        <f t="shared" si="4"/>
        <v>69.306930693069305</v>
      </c>
      <c r="F16" s="862">
        <v>418</v>
      </c>
      <c r="G16" s="897">
        <f t="shared" si="2"/>
        <v>140</v>
      </c>
      <c r="H16" s="1121">
        <f t="shared" si="3"/>
        <v>58.415841584158414</v>
      </c>
    </row>
    <row r="17" spans="1:10">
      <c r="A17" s="676">
        <v>16</v>
      </c>
      <c r="B17" s="862">
        <f t="shared" si="0"/>
        <v>0</v>
      </c>
      <c r="C17" s="862"/>
      <c r="D17" s="862"/>
      <c r="E17" s="862">
        <f>SUM(C17:D17)/202%</f>
        <v>0</v>
      </c>
      <c r="F17" s="862"/>
      <c r="G17" s="897">
        <f t="shared" si="2"/>
        <v>0</v>
      </c>
      <c r="H17" s="1121">
        <f t="shared" si="3"/>
        <v>0</v>
      </c>
    </row>
    <row r="18" spans="1:10">
      <c r="A18" s="676">
        <v>17</v>
      </c>
      <c r="B18" s="862">
        <f t="shared" si="0"/>
        <v>0</v>
      </c>
      <c r="C18" s="862"/>
      <c r="D18" s="862"/>
      <c r="E18" s="862">
        <f t="shared" si="4"/>
        <v>0</v>
      </c>
      <c r="F18" s="862"/>
      <c r="G18" s="897">
        <f t="shared" si="2"/>
        <v>0</v>
      </c>
      <c r="H18" s="1121">
        <f t="shared" si="3"/>
        <v>0</v>
      </c>
    </row>
    <row r="19" spans="1:10">
      <c r="A19" s="676">
        <v>18</v>
      </c>
      <c r="B19" s="862">
        <f t="shared" si="0"/>
        <v>0</v>
      </c>
      <c r="E19" s="862">
        <f t="shared" si="4"/>
        <v>0</v>
      </c>
      <c r="G19" s="897">
        <f t="shared" si="2"/>
        <v>0</v>
      </c>
      <c r="H19" s="1121">
        <f t="shared" si="3"/>
        <v>0</v>
      </c>
    </row>
    <row r="20" spans="1:10">
      <c r="A20" s="676">
        <v>19</v>
      </c>
      <c r="B20" s="862">
        <f t="shared" si="0"/>
        <v>0</v>
      </c>
      <c r="C20" s="862"/>
      <c r="D20" s="862"/>
      <c r="E20" s="862">
        <f t="shared" si="4"/>
        <v>0</v>
      </c>
      <c r="F20" s="862"/>
      <c r="G20" s="897">
        <f t="shared" si="2"/>
        <v>0</v>
      </c>
      <c r="H20" s="1121">
        <f t="shared" si="3"/>
        <v>0</v>
      </c>
      <c r="J20">
        <f>165/192</f>
        <v>0.859375</v>
      </c>
    </row>
    <row r="21" spans="1:10">
      <c r="A21" s="676">
        <v>20</v>
      </c>
      <c r="B21" s="862">
        <f t="shared" si="0"/>
        <v>0</v>
      </c>
      <c r="C21" s="862"/>
      <c r="D21" s="862"/>
      <c r="E21" s="862">
        <f t="shared" si="4"/>
        <v>0</v>
      </c>
      <c r="F21" s="862"/>
      <c r="G21" s="897">
        <f t="shared" si="2"/>
        <v>0</v>
      </c>
      <c r="H21" s="1121">
        <f t="shared" si="3"/>
        <v>0</v>
      </c>
    </row>
    <row r="22" spans="1:10">
      <c r="A22" s="676">
        <v>21</v>
      </c>
      <c r="B22" s="862">
        <f t="shared" si="0"/>
        <v>0</v>
      </c>
      <c r="C22" s="862"/>
      <c r="D22" s="862"/>
      <c r="E22" s="862">
        <f t="shared" si="4"/>
        <v>0</v>
      </c>
      <c r="F22" s="862"/>
      <c r="G22" s="897">
        <f t="shared" si="2"/>
        <v>0</v>
      </c>
      <c r="H22" s="1121">
        <f t="shared" si="3"/>
        <v>0</v>
      </c>
    </row>
    <row r="23" spans="1:10">
      <c r="A23" s="676">
        <v>22</v>
      </c>
      <c r="B23" s="862">
        <f t="shared" si="0"/>
        <v>0</v>
      </c>
      <c r="C23" s="862"/>
      <c r="D23" s="862"/>
      <c r="E23" s="862">
        <f t="shared" si="4"/>
        <v>0</v>
      </c>
      <c r="F23" s="862"/>
      <c r="G23" s="897">
        <f t="shared" si="2"/>
        <v>0</v>
      </c>
      <c r="H23" s="1121">
        <f t="shared" si="3"/>
        <v>0</v>
      </c>
    </row>
    <row r="24" spans="1:10">
      <c r="A24" s="676">
        <v>23</v>
      </c>
      <c r="B24" s="862">
        <f t="shared" si="0"/>
        <v>0</v>
      </c>
      <c r="C24" s="862"/>
      <c r="D24" s="862"/>
      <c r="E24" s="862">
        <f t="shared" si="4"/>
        <v>0</v>
      </c>
      <c r="F24" s="862"/>
      <c r="G24" s="897">
        <f t="shared" si="2"/>
        <v>0</v>
      </c>
      <c r="H24" s="1121">
        <f t="shared" si="3"/>
        <v>0</v>
      </c>
    </row>
    <row r="25" spans="1:10">
      <c r="A25" s="676">
        <v>24</v>
      </c>
      <c r="B25" s="862">
        <f t="shared" si="0"/>
        <v>0</v>
      </c>
      <c r="C25" s="862"/>
      <c r="D25" s="862"/>
      <c r="E25" s="862">
        <f t="shared" si="4"/>
        <v>0</v>
      </c>
      <c r="F25" s="862"/>
      <c r="G25" s="897">
        <f t="shared" si="2"/>
        <v>0</v>
      </c>
      <c r="H25" s="1121">
        <f t="shared" si="3"/>
        <v>0</v>
      </c>
    </row>
    <row r="26" spans="1:10">
      <c r="A26" s="676">
        <v>25</v>
      </c>
      <c r="B26" s="862">
        <f t="shared" si="0"/>
        <v>0</v>
      </c>
      <c r="C26" s="862"/>
      <c r="D26" s="862"/>
      <c r="E26" s="862">
        <f t="shared" si="4"/>
        <v>0</v>
      </c>
      <c r="F26" s="862"/>
      <c r="G26" s="897">
        <f t="shared" si="2"/>
        <v>0</v>
      </c>
      <c r="H26" s="1121">
        <f t="shared" si="3"/>
        <v>0</v>
      </c>
    </row>
    <row r="27" spans="1:10">
      <c r="A27" s="676">
        <v>26</v>
      </c>
      <c r="B27" s="862">
        <f t="shared" si="0"/>
        <v>0</v>
      </c>
      <c r="C27" s="862"/>
      <c r="D27" s="862"/>
      <c r="E27" s="862">
        <f t="shared" si="4"/>
        <v>0</v>
      </c>
      <c r="F27" s="862"/>
      <c r="G27" s="897">
        <f t="shared" si="2"/>
        <v>0</v>
      </c>
      <c r="H27" s="1121">
        <f t="shared" si="3"/>
        <v>0</v>
      </c>
    </row>
    <row r="28" spans="1:10">
      <c r="A28" s="676">
        <v>27</v>
      </c>
      <c r="B28" s="862">
        <f t="shared" si="0"/>
        <v>0</v>
      </c>
      <c r="C28" s="862"/>
      <c r="D28" s="862"/>
      <c r="E28" s="862">
        <f t="shared" si="4"/>
        <v>0</v>
      </c>
      <c r="F28" s="862"/>
      <c r="G28" s="897">
        <f t="shared" si="2"/>
        <v>0</v>
      </c>
      <c r="H28" s="1121">
        <f t="shared" si="3"/>
        <v>0</v>
      </c>
    </row>
    <row r="29" spans="1:10">
      <c r="A29" s="676">
        <v>28</v>
      </c>
      <c r="B29" s="862">
        <f t="shared" si="0"/>
        <v>0</v>
      </c>
      <c r="C29" s="862"/>
      <c r="D29" s="862"/>
      <c r="E29" s="862">
        <f t="shared" si="4"/>
        <v>0</v>
      </c>
      <c r="F29" s="862"/>
      <c r="G29" s="897">
        <f t="shared" si="2"/>
        <v>0</v>
      </c>
      <c r="H29" s="1121">
        <f t="shared" si="3"/>
        <v>0</v>
      </c>
    </row>
    <row r="30" spans="1:10">
      <c r="A30" s="676">
        <v>29</v>
      </c>
      <c r="B30" s="862">
        <f t="shared" si="0"/>
        <v>0</v>
      </c>
      <c r="C30" s="862"/>
      <c r="D30" s="862"/>
      <c r="E30" s="862">
        <f t="shared" si="4"/>
        <v>0</v>
      </c>
      <c r="F30" s="862"/>
      <c r="G30" s="897">
        <f t="shared" si="2"/>
        <v>0</v>
      </c>
      <c r="H30" s="1121">
        <f t="shared" si="3"/>
        <v>0</v>
      </c>
    </row>
    <row r="31" spans="1:10">
      <c r="A31" s="676">
        <v>30</v>
      </c>
      <c r="B31" s="862">
        <f t="shared" si="0"/>
        <v>0</v>
      </c>
      <c r="C31" s="862"/>
      <c r="D31" s="862"/>
      <c r="E31" s="862">
        <f t="shared" si="4"/>
        <v>0</v>
      </c>
      <c r="F31" s="862"/>
      <c r="G31" s="943">
        <f t="shared" si="2"/>
        <v>0</v>
      </c>
      <c r="H31" s="1121">
        <f t="shared" si="3"/>
        <v>0</v>
      </c>
    </row>
    <row r="32" spans="1:10">
      <c r="A32" s="676">
        <v>31</v>
      </c>
      <c r="B32" s="862">
        <f t="shared" si="0"/>
        <v>0</v>
      </c>
      <c r="C32" s="862"/>
      <c r="D32" s="862"/>
      <c r="E32" s="862"/>
      <c r="F32" s="862"/>
      <c r="G32" s="943"/>
      <c r="H32" s="1121">
        <f t="shared" si="3"/>
        <v>0</v>
      </c>
    </row>
    <row r="33" spans="1:8">
      <c r="A33" t="s">
        <v>356</v>
      </c>
      <c r="B33" s="788">
        <f>AVERAGE(B2:B31)</f>
        <v>33.762376237623762</v>
      </c>
      <c r="C33" s="788">
        <f t="shared" ref="C33:H33" si="5">AVERAGE(C2:C31)</f>
        <v>136.4</v>
      </c>
      <c r="D33" s="788">
        <f t="shared" si="5"/>
        <v>22.4</v>
      </c>
      <c r="E33" s="788">
        <f t="shared" si="5"/>
        <v>39.306930693069297</v>
      </c>
      <c r="F33" s="788">
        <f t="shared" si="5"/>
        <v>480.93333333333334</v>
      </c>
      <c r="G33" s="788">
        <f t="shared" si="5"/>
        <v>79.400000000000006</v>
      </c>
      <c r="H33" s="788">
        <f t="shared" si="5"/>
        <v>33.762376237623762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topLeftCell="A5" zoomScale="90" zoomScaleNormal="90" workbookViewId="0">
      <selection activeCell="L22" sqref="L22:M25"/>
    </sheetView>
  </sheetViews>
  <sheetFormatPr defaultRowHeight="15.7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>
      <c r="B3" s="718"/>
      <c r="C3" s="719" t="s">
        <v>0</v>
      </c>
      <c r="D3" s="678">
        <v>1</v>
      </c>
      <c r="E3" s="678">
        <v>2</v>
      </c>
      <c r="F3" s="678">
        <v>3</v>
      </c>
      <c r="G3" s="678">
        <v>4</v>
      </c>
      <c r="H3" s="678">
        <v>5</v>
      </c>
      <c r="I3" s="678">
        <v>6</v>
      </c>
      <c r="J3" s="678">
        <v>7</v>
      </c>
      <c r="K3" s="678">
        <v>8</v>
      </c>
      <c r="L3" s="678">
        <v>9</v>
      </c>
      <c r="M3" s="678">
        <v>10</v>
      </c>
      <c r="N3" s="678">
        <v>11</v>
      </c>
      <c r="O3" s="678">
        <v>12</v>
      </c>
      <c r="P3" s="678">
        <v>13</v>
      </c>
      <c r="Q3" s="678">
        <v>14</v>
      </c>
      <c r="R3" s="719">
        <v>15</v>
      </c>
      <c r="S3" s="719">
        <v>16</v>
      </c>
      <c r="T3" s="719">
        <v>17</v>
      </c>
      <c r="U3" s="719">
        <v>18</v>
      </c>
      <c r="V3" s="719">
        <v>19</v>
      </c>
      <c r="W3" s="719">
        <v>20</v>
      </c>
      <c r="X3" s="719">
        <v>21</v>
      </c>
      <c r="Y3" s="719">
        <v>22</v>
      </c>
      <c r="Z3" s="719">
        <v>23</v>
      </c>
      <c r="AA3" s="719">
        <v>24</v>
      </c>
      <c r="AB3" s="719">
        <v>25</v>
      </c>
      <c r="AC3" s="719">
        <v>26</v>
      </c>
      <c r="AD3" s="719">
        <v>27</v>
      </c>
      <c r="AE3" s="719">
        <v>28</v>
      </c>
      <c r="AF3" s="719">
        <v>29</v>
      </c>
      <c r="AG3" s="719">
        <v>30</v>
      </c>
      <c r="AH3" s="719">
        <v>31</v>
      </c>
      <c r="AI3" s="719"/>
    </row>
    <row r="4" spans="2:35">
      <c r="B4" s="103"/>
      <c r="C4" s="99" t="s">
        <v>68</v>
      </c>
      <c r="D4" s="100">
        <f>Occupancy!B2</f>
        <v>62.871287128712872</v>
      </c>
      <c r="E4" s="100">
        <f>Occupancy!C2</f>
        <v>127</v>
      </c>
      <c r="F4" s="100">
        <f>Occupancy!D2</f>
        <v>22</v>
      </c>
      <c r="G4" s="100">
        <f>Occupancy!E2</f>
        <v>73.762376237623755</v>
      </c>
      <c r="H4" s="100">
        <f>Occupancy!F2</f>
        <v>519</v>
      </c>
      <c r="I4" s="100">
        <f>Occupancy!G2</f>
        <v>149</v>
      </c>
      <c r="J4" s="100">
        <f>Occupancy!H2</f>
        <v>62.871287128712872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>
      <c r="B5" s="103"/>
      <c r="C5" s="99" t="s">
        <v>69</v>
      </c>
      <c r="D5" s="101">
        <f>'1'!G18</f>
        <v>180</v>
      </c>
      <c r="E5" s="101">
        <f>'2'!G18</f>
        <v>180</v>
      </c>
      <c r="F5" s="101">
        <f>'3'!G18</f>
        <v>140</v>
      </c>
      <c r="G5" s="101">
        <f>'4'!G18</f>
        <v>130</v>
      </c>
      <c r="H5" s="101">
        <f>'5'!G18</f>
        <v>180</v>
      </c>
      <c r="I5" s="101">
        <f>'6'!G18</f>
        <v>200</v>
      </c>
      <c r="J5" s="101">
        <f>'7'!G18</f>
        <v>170</v>
      </c>
      <c r="K5" s="101">
        <f>'8'!G18</f>
        <v>210</v>
      </c>
      <c r="L5" s="101">
        <f>'9'!G18</f>
        <v>160</v>
      </c>
      <c r="M5" s="101">
        <f>'10'!G18</f>
        <v>130</v>
      </c>
      <c r="N5" s="101">
        <f>'11'!G18</f>
        <v>160</v>
      </c>
      <c r="O5" s="101">
        <f>'12'!G18</f>
        <v>180</v>
      </c>
      <c r="P5" s="101">
        <f>'13'!G18</f>
        <v>180</v>
      </c>
      <c r="Q5" s="101">
        <f>'14'!G18</f>
        <v>160</v>
      </c>
      <c r="R5" s="101">
        <f>'15'!G18</f>
        <v>190</v>
      </c>
      <c r="S5" s="101">
        <f>'16'!G18</f>
        <v>110</v>
      </c>
      <c r="T5" s="101">
        <f>'17'!G18</f>
        <v>140</v>
      </c>
      <c r="U5" s="101">
        <f>'18'!G18</f>
        <v>170</v>
      </c>
      <c r="V5" s="101">
        <f>'19'!G18</f>
        <v>200</v>
      </c>
      <c r="W5" s="101">
        <f>'20'!G18</f>
        <v>80</v>
      </c>
      <c r="X5" s="101">
        <f>'21'!G18</f>
        <v>100</v>
      </c>
      <c r="Y5" s="101">
        <f>'22'!G18</f>
        <v>120</v>
      </c>
      <c r="Z5" s="101">
        <f>'23'!G18</f>
        <v>100</v>
      </c>
      <c r="AA5" s="101">
        <f>'24'!G18</f>
        <v>110</v>
      </c>
      <c r="AB5" s="101">
        <f>'25'!G18</f>
        <v>160</v>
      </c>
      <c r="AC5" s="101">
        <f>'26'!G18</f>
        <v>120</v>
      </c>
      <c r="AD5" s="101">
        <f>'27'!G18</f>
        <v>110</v>
      </c>
      <c r="AE5" s="101">
        <f>'28'!G18</f>
        <v>60</v>
      </c>
      <c r="AF5" s="101">
        <f>'29'!G18</f>
        <v>140</v>
      </c>
      <c r="AG5" s="101">
        <f>'30'!G18</f>
        <v>150</v>
      </c>
      <c r="AH5" s="101">
        <f>'31'!G18</f>
        <v>60</v>
      </c>
      <c r="AI5" s="99"/>
    </row>
    <row r="6" spans="2:35">
      <c r="B6" s="103"/>
      <c r="C6" s="99" t="s">
        <v>70</v>
      </c>
      <c r="D6" s="101">
        <f>'1'!G19</f>
        <v>63</v>
      </c>
      <c r="E6" s="101">
        <f>'2'!G19</f>
        <v>64</v>
      </c>
      <c r="F6" s="101">
        <f>'3'!G19</f>
        <v>56</v>
      </c>
      <c r="G6" s="101">
        <f>'4'!G19</f>
        <v>61</v>
      </c>
      <c r="H6" s="101">
        <f>'5'!G19</f>
        <v>62</v>
      </c>
      <c r="I6" s="101">
        <f>'6'!G19</f>
        <v>61</v>
      </c>
      <c r="J6" s="101">
        <f>'7'!G19</f>
        <v>55</v>
      </c>
      <c r="K6" s="101">
        <f>'8'!G19</f>
        <v>65</v>
      </c>
      <c r="L6" s="101">
        <f>'9'!G19</f>
        <v>64</v>
      </c>
      <c r="M6" s="101">
        <f>'10'!G19</f>
        <v>67</v>
      </c>
      <c r="N6" s="101">
        <f>'11'!G19</f>
        <v>64</v>
      </c>
      <c r="O6" s="101">
        <f>'12'!G19</f>
        <v>60</v>
      </c>
      <c r="P6" s="101">
        <f>'13'!G19</f>
        <v>71</v>
      </c>
      <c r="Q6" s="101">
        <f>'14'!G19</f>
        <v>63</v>
      </c>
      <c r="R6" s="101">
        <f>'15'!G19</f>
        <v>64</v>
      </c>
      <c r="S6" s="101">
        <f>'16'!G19</f>
        <v>60</v>
      </c>
      <c r="T6" s="101">
        <f>'17'!G19</f>
        <v>60</v>
      </c>
      <c r="U6" s="101">
        <f>'18'!G19</f>
        <v>60</v>
      </c>
      <c r="V6" s="101">
        <f>'19'!G19</f>
        <v>60</v>
      </c>
      <c r="W6" s="101">
        <f>'20'!G19</f>
        <v>60</v>
      </c>
      <c r="X6" s="101">
        <f>'21'!G19</f>
        <v>60</v>
      </c>
      <c r="Y6" s="101">
        <f>'22'!G19</f>
        <v>60</v>
      </c>
      <c r="Z6" s="101">
        <f>'23'!G19</f>
        <v>60</v>
      </c>
      <c r="AA6" s="101">
        <f>'24'!G19</f>
        <v>60</v>
      </c>
      <c r="AB6" s="101">
        <f>'25'!G19</f>
        <v>60</v>
      </c>
      <c r="AC6" s="101">
        <f>'26'!G19</f>
        <v>60</v>
      </c>
      <c r="AD6" s="101">
        <f>'27'!G19</f>
        <v>60</v>
      </c>
      <c r="AE6" s="101">
        <f>'28'!G19</f>
        <v>60</v>
      </c>
      <c r="AF6" s="101">
        <f>'29'!G19</f>
        <v>60</v>
      </c>
      <c r="AG6" s="101">
        <f>'30'!G19</f>
        <v>60</v>
      </c>
      <c r="AH6" s="101">
        <f>'31'!G19</f>
        <v>60</v>
      </c>
      <c r="AI6" s="99"/>
    </row>
    <row r="7" spans="2:35">
      <c r="B7" s="103"/>
      <c r="C7" s="99" t="s">
        <v>71</v>
      </c>
      <c r="D7" s="101">
        <f>'1'!G93</f>
        <v>135</v>
      </c>
      <c r="E7" s="101">
        <f>'2'!G93</f>
        <v>82</v>
      </c>
      <c r="F7" s="101">
        <f>'3'!G93</f>
        <v>72</v>
      </c>
      <c r="G7" s="101">
        <f>'4'!G93</f>
        <v>97</v>
      </c>
      <c r="H7" s="101">
        <f>'5'!G93</f>
        <v>128</v>
      </c>
      <c r="I7" s="101">
        <f>'6'!G93</f>
        <v>114</v>
      </c>
      <c r="J7" s="101">
        <f>'7'!G93</f>
        <v>129</v>
      </c>
      <c r="K7" s="101">
        <f>'8'!G93</f>
        <v>129</v>
      </c>
      <c r="L7" s="101">
        <f>'9'!G93</f>
        <v>92</v>
      </c>
      <c r="M7" s="101">
        <f>'10'!G93</f>
        <v>87</v>
      </c>
      <c r="N7" s="101">
        <f>'11'!G93</f>
        <v>85</v>
      </c>
      <c r="O7" s="101">
        <f>'12'!G93</f>
        <v>94</v>
      </c>
      <c r="P7" s="101">
        <f>'13'!G93</f>
        <v>105</v>
      </c>
      <c r="Q7" s="101">
        <f>'14'!G93</f>
        <v>83</v>
      </c>
      <c r="R7" s="101">
        <f>'15'!G93</f>
        <v>130</v>
      </c>
      <c r="S7" s="101">
        <f>'16'!G93</f>
        <v>-2933</v>
      </c>
      <c r="T7" s="101">
        <f>'17'!G93</f>
        <v>101</v>
      </c>
      <c r="U7" s="101">
        <f>'18'!G93</f>
        <v>163</v>
      </c>
      <c r="V7" s="101">
        <f>'19'!G93</f>
        <v>100</v>
      </c>
      <c r="W7" s="101">
        <f>'20'!G93</f>
        <v>35</v>
      </c>
      <c r="X7" s="101">
        <f>'21'!G93</f>
        <v>79</v>
      </c>
      <c r="Y7" s="101">
        <f>'22'!G93</f>
        <v>81</v>
      </c>
      <c r="Z7" s="101">
        <f>'23'!G93</f>
        <v>102</v>
      </c>
      <c r="AA7" s="101">
        <f>'24'!G93</f>
        <v>124</v>
      </c>
      <c r="AB7" s="101">
        <f>'25'!G93</f>
        <v>134</v>
      </c>
      <c r="AC7" s="101">
        <f>'26'!G93</f>
        <v>82</v>
      </c>
      <c r="AD7" s="101">
        <f>'27'!G93</f>
        <v>54</v>
      </c>
      <c r="AE7" s="101">
        <f>'28'!G93</f>
        <v>61</v>
      </c>
      <c r="AF7" s="101">
        <f>'29'!G93</f>
        <v>67</v>
      </c>
      <c r="AG7" s="101">
        <f>'30'!G93</f>
        <v>85</v>
      </c>
      <c r="AH7" s="101">
        <f>'31'!G93</f>
        <v>-4723</v>
      </c>
      <c r="AI7" s="99"/>
    </row>
    <row r="8" spans="2:35">
      <c r="B8" s="103"/>
      <c r="C8" s="99" t="s">
        <v>323</v>
      </c>
      <c r="D8" s="101">
        <f>'1'!G94</f>
        <v>171</v>
      </c>
      <c r="E8" s="101">
        <f>'2'!G94</f>
        <v>195</v>
      </c>
      <c r="F8" s="101">
        <f>'3'!G94</f>
        <v>131</v>
      </c>
      <c r="G8" s="101">
        <f>'4'!G94</f>
        <v>128</v>
      </c>
      <c r="H8" s="101">
        <f>'5'!G94</f>
        <v>131</v>
      </c>
      <c r="I8" s="101">
        <f>'6'!G94</f>
        <v>150</v>
      </c>
      <c r="J8" s="101">
        <f>'7'!G94</f>
        <v>182</v>
      </c>
      <c r="K8" s="101">
        <f>'8'!G94</f>
        <v>189</v>
      </c>
      <c r="L8" s="101">
        <f>'9'!G94</f>
        <v>158</v>
      </c>
      <c r="M8" s="101">
        <f>'10'!G94</f>
        <v>185</v>
      </c>
      <c r="N8" s="101">
        <f>'11'!G94</f>
        <v>133</v>
      </c>
      <c r="O8" s="101">
        <f>'12'!G94</f>
        <v>93</v>
      </c>
      <c r="P8" s="101">
        <f>'13'!G94</f>
        <v>164</v>
      </c>
      <c r="Q8" s="101">
        <f>'14'!G94</f>
        <v>179</v>
      </c>
      <c r="R8" s="101">
        <f>'15'!G94</f>
        <v>168</v>
      </c>
      <c r="S8" s="101">
        <f>'16'!G94</f>
        <v>-3990</v>
      </c>
      <c r="T8" s="101">
        <f>'17'!G94</f>
        <v>190</v>
      </c>
      <c r="U8" s="101">
        <f>'18'!G94</f>
        <v>160</v>
      </c>
      <c r="V8" s="101">
        <f>'19'!G94</f>
        <v>154</v>
      </c>
      <c r="W8" s="101">
        <f>'20'!G94</f>
        <v>151</v>
      </c>
      <c r="X8" s="101">
        <f>'21'!G94</f>
        <v>118</v>
      </c>
      <c r="Y8" s="101">
        <f>'22'!G94</f>
        <v>30</v>
      </c>
      <c r="Z8" s="101">
        <f>'23'!G94</f>
        <v>124</v>
      </c>
      <c r="AA8" s="101">
        <f>'24'!G94</f>
        <v>110</v>
      </c>
      <c r="AB8" s="101">
        <f>'25'!G94</f>
        <v>67</v>
      </c>
      <c r="AC8" s="101">
        <f>'26'!G94</f>
        <v>108</v>
      </c>
      <c r="AD8" s="101">
        <f>'27'!G94</f>
        <v>15</v>
      </c>
      <c r="AE8" s="101">
        <f>'28'!G94</f>
        <v>119</v>
      </c>
      <c r="AF8" s="101">
        <f>'29'!G94</f>
        <v>108</v>
      </c>
      <c r="AG8" s="101">
        <f>'30'!G94</f>
        <v>76</v>
      </c>
      <c r="AH8" s="101">
        <f>'31'!G94</f>
        <v>-6674</v>
      </c>
      <c r="AI8" s="99"/>
    </row>
    <row r="9" spans="2:35">
      <c r="B9" s="1174" t="s">
        <v>72</v>
      </c>
      <c r="C9" s="99" t="s">
        <v>32</v>
      </c>
      <c r="D9" s="101">
        <f>'1'!G96</f>
        <v>70</v>
      </c>
      <c r="E9" s="101">
        <f>'2'!G96</f>
        <v>68</v>
      </c>
      <c r="F9" s="101">
        <f>'3'!G96</f>
        <v>62</v>
      </c>
      <c r="G9" s="101">
        <f>'4'!G96</f>
        <v>91</v>
      </c>
      <c r="H9" s="101">
        <f>'5'!G96</f>
        <v>125</v>
      </c>
      <c r="I9" s="101">
        <f>'6'!G96</f>
        <v>74</v>
      </c>
      <c r="J9" s="101">
        <f>'7'!G96</f>
        <v>86</v>
      </c>
      <c r="K9" s="101">
        <f>'8'!G96</f>
        <v>74</v>
      </c>
      <c r="L9" s="101">
        <f>'9'!G96</f>
        <v>84</v>
      </c>
      <c r="M9" s="101">
        <f>'10'!G96</f>
        <v>76</v>
      </c>
      <c r="N9" s="101">
        <f>'11'!G96</f>
        <v>69</v>
      </c>
      <c r="O9" s="101">
        <f>'12'!G96</f>
        <v>87</v>
      </c>
      <c r="P9" s="101">
        <f>'13'!G96</f>
        <v>74</v>
      </c>
      <c r="Q9" s="101">
        <f>'14'!G96</f>
        <v>69</v>
      </c>
      <c r="R9" s="101">
        <f>'15'!G96</f>
        <v>78</v>
      </c>
      <c r="S9" s="101">
        <f>'16'!G96</f>
        <v>-2268</v>
      </c>
      <c r="T9" s="101">
        <f>'17'!G96</f>
        <v>89</v>
      </c>
      <c r="U9" s="101">
        <f>'18'!G96</f>
        <v>90</v>
      </c>
      <c r="V9" s="101">
        <f>'19'!G96</f>
        <v>76</v>
      </c>
      <c r="W9" s="101">
        <f>'20'!G96</f>
        <v>51</v>
      </c>
      <c r="X9" s="101">
        <f>'21'!G96</f>
        <v>79</v>
      </c>
      <c r="Y9" s="101">
        <f>'22'!G96</f>
        <v>73</v>
      </c>
      <c r="Z9" s="101">
        <f>'23'!G96</f>
        <v>67</v>
      </c>
      <c r="AA9" s="101">
        <f>'24'!G96</f>
        <v>64</v>
      </c>
      <c r="AB9" s="101">
        <f>'25'!G96</f>
        <v>78</v>
      </c>
      <c r="AC9" s="101">
        <f>'26'!G96</f>
        <v>69</v>
      </c>
      <c r="AD9" s="101">
        <f>'27'!G96</f>
        <v>62</v>
      </c>
      <c r="AE9" s="101">
        <f>'28'!G96</f>
        <v>61</v>
      </c>
      <c r="AF9" s="101">
        <f>'29'!G96</f>
        <v>69</v>
      </c>
      <c r="AG9" s="101">
        <f>'30'!G96</f>
        <v>73</v>
      </c>
      <c r="AH9" s="101">
        <f>'31'!G96</f>
        <v>-4173</v>
      </c>
      <c r="AI9" s="99"/>
    </row>
    <row r="10" spans="2:35">
      <c r="B10" s="1174"/>
      <c r="C10" s="99" t="s">
        <v>33</v>
      </c>
      <c r="D10" s="101">
        <f>'1'!G97</f>
        <v>34</v>
      </c>
      <c r="E10" s="101">
        <f>'2'!G97</f>
        <v>26</v>
      </c>
      <c r="F10" s="101">
        <f>'3'!G97</f>
        <v>21</v>
      </c>
      <c r="G10" s="101">
        <f>'4'!G97</f>
        <v>22</v>
      </c>
      <c r="H10" s="101">
        <f>'5'!G97</f>
        <v>24</v>
      </c>
      <c r="I10" s="101">
        <f>'6'!G97</f>
        <v>23</v>
      </c>
      <c r="J10" s="101">
        <f>'7'!G97</f>
        <v>25</v>
      </c>
      <c r="K10" s="101">
        <f>'8'!G97</f>
        <v>35</v>
      </c>
      <c r="L10" s="101">
        <f>'9'!G97</f>
        <v>29</v>
      </c>
      <c r="M10" s="101">
        <f>'10'!G97</f>
        <v>23</v>
      </c>
      <c r="N10" s="101">
        <f>'11'!G97</f>
        <v>24</v>
      </c>
      <c r="O10" s="101">
        <f>'12'!G97</f>
        <v>24</v>
      </c>
      <c r="P10" s="101">
        <f>'13'!G97</f>
        <v>25</v>
      </c>
      <c r="Q10" s="101">
        <f>'14'!G97</f>
        <v>22</v>
      </c>
      <c r="R10" s="101">
        <f>'15'!G97</f>
        <v>38</v>
      </c>
      <c r="S10" s="101">
        <f>'16'!G97</f>
        <v>-733</v>
      </c>
      <c r="T10" s="101">
        <f>'17'!G97</f>
        <v>30</v>
      </c>
      <c r="U10" s="101">
        <f>'18'!G97</f>
        <v>30</v>
      </c>
      <c r="V10" s="101">
        <f>'19'!G97</f>
        <v>18</v>
      </c>
      <c r="W10" s="101">
        <f>'20'!G97</f>
        <v>15</v>
      </c>
      <c r="X10" s="101">
        <f>'21'!G97</f>
        <v>18</v>
      </c>
      <c r="Y10" s="101">
        <f>'22'!G97</f>
        <v>22</v>
      </c>
      <c r="Z10" s="101">
        <f>'23'!G97</f>
        <v>20</v>
      </c>
      <c r="AA10" s="101">
        <f>'24'!G97</f>
        <v>23</v>
      </c>
      <c r="AB10" s="101">
        <f>'25'!G97</f>
        <v>31</v>
      </c>
      <c r="AC10" s="101">
        <f>'26'!G97</f>
        <v>24</v>
      </c>
      <c r="AD10" s="101">
        <f>'27'!G97</f>
        <v>19</v>
      </c>
      <c r="AE10" s="101">
        <f>'28'!G97</f>
        <v>21</v>
      </c>
      <c r="AF10" s="101">
        <f>'29'!G97</f>
        <v>20</v>
      </c>
      <c r="AG10" s="101">
        <f>'30'!G97</f>
        <v>23</v>
      </c>
      <c r="AH10" s="101">
        <f>'31'!G97</f>
        <v>-1177</v>
      </c>
      <c r="AI10" s="99"/>
    </row>
    <row r="11" spans="2:35">
      <c r="B11" s="1174"/>
      <c r="C11" s="99" t="s">
        <v>34</v>
      </c>
      <c r="D11" s="101">
        <f>'1'!G98</f>
        <v>43</v>
      </c>
      <c r="E11" s="101">
        <f>'2'!G98</f>
        <v>27</v>
      </c>
      <c r="F11" s="101">
        <f>'3'!G98</f>
        <v>23</v>
      </c>
      <c r="G11" s="101">
        <f>'4'!G98</f>
        <v>25</v>
      </c>
      <c r="H11" s="101">
        <f>'5'!G98</f>
        <v>30</v>
      </c>
      <c r="I11" s="101">
        <f>'6'!G98</f>
        <v>30</v>
      </c>
      <c r="J11" s="101">
        <f>'7'!G98</f>
        <v>36</v>
      </c>
      <c r="K11" s="101">
        <f>'8'!G98</f>
        <v>39</v>
      </c>
      <c r="L11" s="101">
        <f>'9'!G98</f>
        <v>23</v>
      </c>
      <c r="M11" s="101">
        <f>'10'!G98</f>
        <v>20</v>
      </c>
      <c r="N11" s="101">
        <f>'11'!G98</f>
        <v>24</v>
      </c>
      <c r="O11" s="101">
        <f>'12'!G98</f>
        <v>26</v>
      </c>
      <c r="P11" s="101">
        <f>'13'!G98</f>
        <v>32</v>
      </c>
      <c r="Q11" s="101">
        <f>'14'!G98</f>
        <v>36</v>
      </c>
      <c r="R11" s="101">
        <f>'15'!G98</f>
        <v>41</v>
      </c>
      <c r="S11" s="101">
        <f>'16'!G98</f>
        <v>-843</v>
      </c>
      <c r="T11" s="101">
        <f>'17'!G98</f>
        <v>30</v>
      </c>
      <c r="U11" s="101">
        <f>'18'!G98</f>
        <v>29</v>
      </c>
      <c r="V11" s="101">
        <f>'19'!G98</f>
        <v>23</v>
      </c>
      <c r="W11" s="101">
        <f>'20'!G98</f>
        <v>17</v>
      </c>
      <c r="X11" s="101">
        <f>'21'!G98</f>
        <v>23</v>
      </c>
      <c r="Y11" s="101">
        <f>'22'!G98</f>
        <v>20</v>
      </c>
      <c r="Z11" s="101">
        <f>'23'!G98</f>
        <v>21</v>
      </c>
      <c r="AA11" s="101">
        <f>'24'!G98</f>
        <v>34</v>
      </c>
      <c r="AB11" s="101">
        <f>'25'!G98</f>
        <v>39</v>
      </c>
      <c r="AC11" s="101">
        <f>'26'!G98</f>
        <v>22</v>
      </c>
      <c r="AD11" s="101">
        <f>'27'!G98</f>
        <v>24</v>
      </c>
      <c r="AE11" s="101">
        <f>'28'!G98</f>
        <v>24</v>
      </c>
      <c r="AF11" s="101">
        <f>'29'!G98</f>
        <v>25</v>
      </c>
      <c r="AG11" s="101">
        <f>'30'!G98</f>
        <v>26</v>
      </c>
      <c r="AH11" s="101">
        <f>'31'!G98</f>
        <v>-1467</v>
      </c>
      <c r="AI11" s="99"/>
    </row>
    <row r="12" spans="2:3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>
      <c r="B13" s="1174" t="s">
        <v>73</v>
      </c>
      <c r="C13" s="99" t="s">
        <v>32</v>
      </c>
      <c r="D13" s="101">
        <f>'1'!G99</f>
        <v>6</v>
      </c>
      <c r="E13" s="101">
        <f>'2'!G99</f>
        <v>45</v>
      </c>
      <c r="F13" s="101">
        <f>'3'!G99</f>
        <v>7</v>
      </c>
      <c r="G13" s="101">
        <f>'4'!G99</f>
        <v>24</v>
      </c>
      <c r="H13" s="101">
        <f>'5'!G99</f>
        <v>21</v>
      </c>
      <c r="I13" s="101">
        <f>'6'!G99</f>
        <v>13</v>
      </c>
      <c r="J13" s="101">
        <f>'7'!G99</f>
        <v>36</v>
      </c>
      <c r="K13" s="101">
        <f>'8'!G99</f>
        <v>24</v>
      </c>
      <c r="L13" s="101">
        <f>'9'!G99</f>
        <v>48</v>
      </c>
      <c r="M13" s="101">
        <f>'10'!G99</f>
        <v>18</v>
      </c>
      <c r="N13" s="101">
        <f>'11'!G99</f>
        <v>20</v>
      </c>
      <c r="O13" s="101">
        <f>'12'!G99</f>
        <v>41</v>
      </c>
      <c r="P13" s="101">
        <f>'13'!G99</f>
        <v>31</v>
      </c>
      <c r="Q13" s="101">
        <f>'14'!G99</f>
        <v>11</v>
      </c>
      <c r="R13" s="101">
        <f>'15'!G99</f>
        <v>50</v>
      </c>
      <c r="S13" s="101">
        <f>'16'!G99</f>
        <v>-761</v>
      </c>
      <c r="T13" s="101">
        <f>'17'!G99</f>
        <v>23</v>
      </c>
      <c r="U13" s="101">
        <f>'18'!G99</f>
        <v>27</v>
      </c>
      <c r="V13" s="101">
        <f>'19'!G99</f>
        <v>35</v>
      </c>
      <c r="W13" s="101">
        <f>'20'!G99</f>
        <v>10</v>
      </c>
      <c r="X13" s="101">
        <f>'21'!G99</f>
        <v>18</v>
      </c>
      <c r="Y13" s="101">
        <f>'22'!G99</f>
        <v>14</v>
      </c>
      <c r="Z13" s="101">
        <f>'23'!G99</f>
        <v>49</v>
      </c>
      <c r="AA13" s="101">
        <f>'24'!G99</f>
        <v>6</v>
      </c>
      <c r="AB13" s="101">
        <f>'25'!G99</f>
        <v>35</v>
      </c>
      <c r="AC13" s="101">
        <f>'26'!G99</f>
        <v>27</v>
      </c>
      <c r="AD13" s="101">
        <f>'27'!G99</f>
        <v>7</v>
      </c>
      <c r="AE13" s="101">
        <f>'28'!G99</f>
        <v>47</v>
      </c>
      <c r="AF13" s="101">
        <f>'29'!G99</f>
        <v>30</v>
      </c>
      <c r="AG13" s="101">
        <f>'30'!G99</f>
        <v>23</v>
      </c>
      <c r="AH13" s="101">
        <f>'31'!G99</f>
        <v>-1384</v>
      </c>
      <c r="AI13" s="99"/>
    </row>
    <row r="14" spans="2:35">
      <c r="B14" s="1174"/>
      <c r="C14" s="99" t="s">
        <v>33</v>
      </c>
      <c r="D14" s="101">
        <f>'1'!G115</f>
        <v>28</v>
      </c>
      <c r="E14" s="101">
        <f>'2'!G115</f>
        <v>21</v>
      </c>
      <c r="F14" s="101">
        <f>'3'!G115</f>
        <v>15</v>
      </c>
      <c r="G14" s="101">
        <f>'4'!G115</f>
        <v>11</v>
      </c>
      <c r="H14" s="101">
        <f>'5'!G115</f>
        <v>17</v>
      </c>
      <c r="I14" s="101">
        <f>'6'!G115</f>
        <v>22</v>
      </c>
      <c r="J14" s="101">
        <f>'7'!G115</f>
        <v>36</v>
      </c>
      <c r="K14" s="101">
        <f>'8'!G115</f>
        <v>35</v>
      </c>
      <c r="L14" s="101">
        <f>'9'!G115</f>
        <v>16</v>
      </c>
      <c r="M14" s="101">
        <f>'10'!G115</f>
        <v>22</v>
      </c>
      <c r="N14" s="101">
        <f>'11'!G115</f>
        <v>17</v>
      </c>
      <c r="O14" s="101">
        <f>'12'!G115</f>
        <v>14</v>
      </c>
      <c r="P14" s="101">
        <f>'13'!G115</f>
        <v>15</v>
      </c>
      <c r="Q14" s="101">
        <f>'14'!G115</f>
        <v>15</v>
      </c>
      <c r="R14" s="101">
        <f>'15'!G115</f>
        <v>20</v>
      </c>
      <c r="S14" s="101">
        <f>'16'!G115</f>
        <v>-543</v>
      </c>
      <c r="T14" s="101">
        <f>'17'!G115</f>
        <v>16</v>
      </c>
      <c r="U14" s="101">
        <f>'18'!G115</f>
        <v>19</v>
      </c>
      <c r="V14" s="101">
        <f>'19'!G115</f>
        <v>11</v>
      </c>
      <c r="W14" s="101">
        <f>'20'!G115</f>
        <v>15</v>
      </c>
      <c r="X14" s="101">
        <f>'21'!G115</f>
        <v>19</v>
      </c>
      <c r="Y14" s="101">
        <f>'22'!G115</f>
        <v>23</v>
      </c>
      <c r="Z14" s="101">
        <f>'23'!G115</f>
        <v>12</v>
      </c>
      <c r="AA14" s="101">
        <f>'24'!G115</f>
        <v>12</v>
      </c>
      <c r="AB14" s="101">
        <f>'25'!G115</f>
        <v>19</v>
      </c>
      <c r="AC14" s="101">
        <f>'26'!G115</f>
        <v>21</v>
      </c>
      <c r="AD14" s="101">
        <f>'27'!G115</f>
        <v>10</v>
      </c>
      <c r="AE14" s="101">
        <f>'28'!G115</f>
        <v>11</v>
      </c>
      <c r="AF14" s="101">
        <f>'29'!G115</f>
        <v>10</v>
      </c>
      <c r="AG14" s="101">
        <f>'30'!G115</f>
        <v>18</v>
      </c>
      <c r="AH14" s="101">
        <f>'31'!G115</f>
        <v>-945</v>
      </c>
      <c r="AI14" s="99"/>
    </row>
    <row r="15" spans="2:35">
      <c r="B15" s="1174"/>
      <c r="C15" s="99" t="s">
        <v>34</v>
      </c>
      <c r="D15" s="101">
        <f>'1'!G116</f>
        <v>16</v>
      </c>
      <c r="E15" s="101">
        <f>'2'!G116</f>
        <v>11</v>
      </c>
      <c r="F15" s="101">
        <f>'3'!G116</f>
        <v>10</v>
      </c>
      <c r="G15" s="101">
        <f>'4'!G116</f>
        <v>7</v>
      </c>
      <c r="H15" s="101">
        <f>'5'!G116</f>
        <v>16</v>
      </c>
      <c r="I15" s="101">
        <f>'6'!G116</f>
        <v>6</v>
      </c>
      <c r="J15" s="101">
        <f>'7'!G116</f>
        <v>1</v>
      </c>
      <c r="K15" s="101">
        <f>'8'!G116</f>
        <v>12</v>
      </c>
      <c r="L15" s="101">
        <f>'9'!G116</f>
        <v>10</v>
      </c>
      <c r="M15" s="101">
        <f>'10'!G116</f>
        <v>6</v>
      </c>
      <c r="N15" s="101">
        <f>'11'!G116</f>
        <v>15</v>
      </c>
      <c r="O15" s="101">
        <f>'12'!G116</f>
        <v>9</v>
      </c>
      <c r="P15" s="101">
        <f>'13'!G116</f>
        <v>15</v>
      </c>
      <c r="Q15" s="101">
        <f>'14'!G116</f>
        <v>9</v>
      </c>
      <c r="R15" s="101">
        <f>'15'!G116</f>
        <v>13</v>
      </c>
      <c r="S15" s="101">
        <f>'16'!G116</f>
        <v>-282</v>
      </c>
      <c r="T15" s="101">
        <f>'17'!G116</f>
        <v>8</v>
      </c>
      <c r="U15" s="101">
        <f>'18'!G116</f>
        <v>9</v>
      </c>
      <c r="V15" s="101">
        <f>'19'!G116</f>
        <v>6</v>
      </c>
      <c r="W15" s="101">
        <f>'20'!G116</f>
        <v>4</v>
      </c>
      <c r="X15" s="101">
        <f>'21'!G116</f>
        <v>11</v>
      </c>
      <c r="Y15" s="101">
        <f>'22'!G116</f>
        <v>11</v>
      </c>
      <c r="Z15" s="101">
        <f>'23'!G116</f>
        <v>8</v>
      </c>
      <c r="AA15" s="101">
        <f>'24'!G116</f>
        <v>6</v>
      </c>
      <c r="AB15" s="101">
        <f>'25'!G116</f>
        <v>15</v>
      </c>
      <c r="AC15" s="101">
        <f>'26'!G116</f>
        <v>6</v>
      </c>
      <c r="AD15" s="101">
        <f>'27'!G116</f>
        <v>7</v>
      </c>
      <c r="AE15" s="101">
        <f>'28'!G116</f>
        <v>9</v>
      </c>
      <c r="AF15" s="101">
        <f>'29'!G116</f>
        <v>7</v>
      </c>
      <c r="AG15" s="101">
        <f>'30'!G116</f>
        <v>10</v>
      </c>
      <c r="AH15" s="101">
        <f>'31'!G116</f>
        <v>-499</v>
      </c>
      <c r="AI15" s="99"/>
    </row>
    <row r="16" spans="2:3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>
      <c r="B17" s="1174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199</v>
      </c>
      <c r="H17" s="101">
        <f>'5'!G105</f>
        <v>101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15</v>
      </c>
      <c r="R17" s="101">
        <f>'15'!G105</f>
        <v>0</v>
      </c>
      <c r="S17" s="101">
        <f>'16'!G105</f>
        <v>-185</v>
      </c>
      <c r="T17" s="101">
        <f>'17'!G105</f>
        <v>0</v>
      </c>
      <c r="U17" s="101">
        <f>'18'!G105</f>
        <v>0</v>
      </c>
      <c r="V17" s="101">
        <f>'19'!G105</f>
        <v>0</v>
      </c>
      <c r="W17" s="101">
        <f>'20'!G105</f>
        <v>0</v>
      </c>
      <c r="X17" s="101">
        <f>'21'!G105</f>
        <v>0</v>
      </c>
      <c r="Y17" s="101">
        <f>'22'!G105</f>
        <v>0</v>
      </c>
      <c r="Z17" s="101">
        <f>'23'!G105</f>
        <v>0</v>
      </c>
      <c r="AA17" s="101">
        <f>'24'!G105</f>
        <v>0</v>
      </c>
      <c r="AB17" s="101">
        <f>'25'!G105</f>
        <v>0</v>
      </c>
      <c r="AC17" s="101">
        <f>'26'!G105</f>
        <v>0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-153</v>
      </c>
      <c r="AI17" s="99"/>
    </row>
    <row r="18" spans="2:35">
      <c r="B18" s="1174"/>
      <c r="C18" s="99" t="s">
        <v>76</v>
      </c>
      <c r="D18" s="99">
        <f>'1'!G106</f>
        <v>11</v>
      </c>
      <c r="E18" s="101">
        <f>'2'!G106</f>
        <v>10</v>
      </c>
      <c r="F18" s="101">
        <f>'3'!G106</f>
        <v>10</v>
      </c>
      <c r="G18" s="101">
        <f>'4'!G106</f>
        <v>10</v>
      </c>
      <c r="H18" s="101">
        <f>'5'!G106</f>
        <v>10</v>
      </c>
      <c r="I18" s="101">
        <f>'6'!G106</f>
        <v>8</v>
      </c>
      <c r="J18" s="101">
        <f>'7'!G106</f>
        <v>11</v>
      </c>
      <c r="K18" s="101">
        <f>'8'!G106</f>
        <v>8</v>
      </c>
      <c r="L18" s="101">
        <f>'9'!G106</f>
        <v>12</v>
      </c>
      <c r="M18" s="101">
        <f>'10'!G106</f>
        <v>7</v>
      </c>
      <c r="N18" s="101">
        <f>'11'!G106</f>
        <v>8</v>
      </c>
      <c r="O18" s="101">
        <f>'12'!G106</f>
        <v>9</v>
      </c>
      <c r="P18" s="101">
        <f>'13'!G106</f>
        <v>9</v>
      </c>
      <c r="Q18" s="101">
        <f>'14'!G106</f>
        <v>8</v>
      </c>
      <c r="R18" s="101">
        <f>'15'!G106</f>
        <v>11</v>
      </c>
      <c r="S18" s="101">
        <f>'16'!G106</f>
        <v>-281</v>
      </c>
      <c r="T18" s="101">
        <f>'17'!G106</f>
        <v>11</v>
      </c>
      <c r="U18" s="101">
        <f>'18'!G106</f>
        <v>10</v>
      </c>
      <c r="V18" s="101">
        <f>'19'!G106</f>
        <v>10</v>
      </c>
      <c r="W18" s="101">
        <f>'20'!G106</f>
        <v>0</v>
      </c>
      <c r="X18" s="101">
        <f>'21'!G106</f>
        <v>12</v>
      </c>
      <c r="Y18" s="101">
        <f>'22'!G106</f>
        <v>10</v>
      </c>
      <c r="Z18" s="101">
        <f>'23'!G106</f>
        <v>9</v>
      </c>
      <c r="AA18" s="101">
        <f>'24'!G106</f>
        <v>10</v>
      </c>
      <c r="AB18" s="101">
        <f>'25'!G106</f>
        <v>10</v>
      </c>
      <c r="AC18" s="101">
        <f>'26'!G106</f>
        <v>12</v>
      </c>
      <c r="AD18" s="101">
        <f>'27'!G106</f>
        <v>9</v>
      </c>
      <c r="AE18" s="101">
        <f>'28'!G106</f>
        <v>8</v>
      </c>
      <c r="AF18" s="101">
        <f>'29'!G106</f>
        <v>8</v>
      </c>
      <c r="AG18" s="101">
        <f>'30'!G106</f>
        <v>11</v>
      </c>
      <c r="AH18" s="101">
        <f>'31'!G106</f>
        <v>-498</v>
      </c>
      <c r="AI18" s="99"/>
    </row>
    <row r="19" spans="2:35">
      <c r="B19" s="1174"/>
      <c r="C19" s="99" t="s">
        <v>77</v>
      </c>
      <c r="D19" s="99">
        <f>'1'!G107</f>
        <v>4</v>
      </c>
      <c r="E19" s="101">
        <f>'2'!G107</f>
        <v>5</v>
      </c>
      <c r="F19" s="101">
        <f>'3'!G107</f>
        <v>6</v>
      </c>
      <c r="G19" s="101">
        <f>'4'!G107</f>
        <v>8</v>
      </c>
      <c r="H19" s="101">
        <f>'5'!G107</f>
        <v>6</v>
      </c>
      <c r="I19" s="101">
        <f>'6'!G107</f>
        <v>9</v>
      </c>
      <c r="J19" s="101">
        <f>'7'!G107</f>
        <v>7</v>
      </c>
      <c r="K19" s="101">
        <f>'8'!G107</f>
        <v>10</v>
      </c>
      <c r="L19" s="101">
        <f>'9'!G107</f>
        <v>10</v>
      </c>
      <c r="M19" s="101">
        <f>'10'!G107</f>
        <v>9</v>
      </c>
      <c r="N19" s="101">
        <f>'11'!G107</f>
        <v>7</v>
      </c>
      <c r="O19" s="101">
        <f>'12'!G107</f>
        <v>8</v>
      </c>
      <c r="P19" s="101">
        <f>'13'!G107</f>
        <v>11</v>
      </c>
      <c r="Q19" s="101">
        <f>'14'!G107</f>
        <v>11</v>
      </c>
      <c r="R19" s="101">
        <f>'15'!G107</f>
        <v>9</v>
      </c>
      <c r="S19" s="101">
        <f>'16'!G107</f>
        <v>-190</v>
      </c>
      <c r="T19" s="101">
        <f>'17'!G107</f>
        <v>4</v>
      </c>
      <c r="U19" s="101">
        <f>'18'!G107</f>
        <v>5</v>
      </c>
      <c r="V19" s="101">
        <f>'19'!G107</f>
        <v>6</v>
      </c>
      <c r="W19" s="101">
        <f>'20'!G107</f>
        <v>0</v>
      </c>
      <c r="X19" s="101">
        <f>'21'!G107</f>
        <v>6</v>
      </c>
      <c r="Y19" s="101">
        <f>'22'!G107</f>
        <v>5</v>
      </c>
      <c r="Z19" s="101">
        <f>'23'!G107</f>
        <v>5</v>
      </c>
      <c r="AA19" s="101">
        <f>'24'!G107</f>
        <v>5</v>
      </c>
      <c r="AB19" s="101">
        <f>'25'!G107</f>
        <v>5</v>
      </c>
      <c r="AC19" s="101">
        <f>'26'!G107</f>
        <v>4</v>
      </c>
      <c r="AD19" s="101">
        <f>'27'!G107</f>
        <v>5</v>
      </c>
      <c r="AE19" s="101">
        <f>'28'!G107</f>
        <v>3</v>
      </c>
      <c r="AF19" s="101">
        <f>'29'!G107</f>
        <v>5</v>
      </c>
      <c r="AG19" s="101">
        <f>'30'!G107</f>
        <v>6</v>
      </c>
      <c r="AH19" s="101">
        <f>'31'!G107</f>
        <v>-249</v>
      </c>
      <c r="AI19" s="99"/>
    </row>
    <row r="20" spans="2:3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>
      <c r="B21" s="1174" t="s">
        <v>78</v>
      </c>
      <c r="C21" s="99" t="s">
        <v>79</v>
      </c>
      <c r="D21" s="99">
        <f>'1'!G110</f>
        <v>71</v>
      </c>
      <c r="E21" s="101">
        <f>'2'!G110</f>
        <v>73</v>
      </c>
      <c r="F21" s="101">
        <f>'3'!G110</f>
        <v>76</v>
      </c>
      <c r="G21" s="101">
        <f>'4'!G110</f>
        <v>101</v>
      </c>
      <c r="H21" s="101">
        <f>'5'!G110</f>
        <v>75</v>
      </c>
      <c r="I21" s="101">
        <f>'6'!G110</f>
        <v>77</v>
      </c>
      <c r="J21" s="101">
        <f>'7'!G110</f>
        <v>79</v>
      </c>
      <c r="K21" s="101">
        <f>'8'!G110</f>
        <v>81</v>
      </c>
      <c r="L21" s="101">
        <f>'9'!G110</f>
        <v>101</v>
      </c>
      <c r="M21" s="101">
        <f>'10'!G110</f>
        <v>78</v>
      </c>
      <c r="N21" s="101">
        <f>'11'!G110</f>
        <v>77</v>
      </c>
      <c r="O21" s="101">
        <f>'12'!G110</f>
        <v>82</v>
      </c>
      <c r="P21" s="101">
        <f>'13'!G110</f>
        <v>96</v>
      </c>
      <c r="Q21" s="101">
        <f>'14'!G110</f>
        <v>71</v>
      </c>
      <c r="R21" s="101">
        <f>'15'!G110</f>
        <v>47</v>
      </c>
      <c r="S21" s="101">
        <f>'16'!G110</f>
        <v>-2249</v>
      </c>
      <c r="T21" s="101">
        <f>'17'!G110</f>
        <v>66</v>
      </c>
      <c r="U21" s="101">
        <f>'18'!G110</f>
        <v>65</v>
      </c>
      <c r="V21" s="101">
        <f>'19'!G110</f>
        <v>66</v>
      </c>
      <c r="W21" s="101">
        <f>'20'!G110</f>
        <v>66</v>
      </c>
      <c r="X21" s="101">
        <f>'21'!G110</f>
        <v>66</v>
      </c>
      <c r="Y21" s="101">
        <f>'22'!G110</f>
        <v>68</v>
      </c>
      <c r="Z21" s="101">
        <f>'23'!G110</f>
        <v>71</v>
      </c>
      <c r="AA21" s="101">
        <f>'24'!G110</f>
        <v>72</v>
      </c>
      <c r="AB21" s="101">
        <f>'25'!G110</f>
        <v>72</v>
      </c>
      <c r="AC21" s="101">
        <f>'26'!G110</f>
        <v>73</v>
      </c>
      <c r="AD21" s="101">
        <f>'27'!G110</f>
        <v>71</v>
      </c>
      <c r="AE21" s="101">
        <f>'28'!G110</f>
        <v>70</v>
      </c>
      <c r="AF21" s="101">
        <f>'29'!G110</f>
        <v>70</v>
      </c>
      <c r="AG21" s="101">
        <f>'30'!G110</f>
        <v>86</v>
      </c>
      <c r="AH21" s="101">
        <f>'31'!G110</f>
        <v>-4187</v>
      </c>
      <c r="AI21" s="99"/>
    </row>
    <row r="22" spans="2:35">
      <c r="B22" s="1174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-283</v>
      </c>
      <c r="T22" s="101">
        <f>'17'!G111</f>
        <v>26</v>
      </c>
      <c r="U22" s="101">
        <f>'18'!G111</f>
        <v>12</v>
      </c>
      <c r="V22" s="101">
        <f>'19'!G111</f>
        <v>40</v>
      </c>
      <c r="W22" s="101">
        <f>'20'!G111</f>
        <v>33</v>
      </c>
      <c r="X22" s="101">
        <f>'21'!G111</f>
        <v>4</v>
      </c>
      <c r="Y22" s="101">
        <f>'22'!G111</f>
        <v>15</v>
      </c>
      <c r="Z22" s="101">
        <f>'23'!G111</f>
        <v>26</v>
      </c>
      <c r="AA22" s="101">
        <f>'24'!G111</f>
        <v>31</v>
      </c>
      <c r="AB22" s="101">
        <f>'25'!G111</f>
        <v>37</v>
      </c>
      <c r="AC22" s="101">
        <f>'26'!G111</f>
        <v>11</v>
      </c>
      <c r="AD22" s="101">
        <f>'27'!G111</f>
        <v>29</v>
      </c>
      <c r="AE22" s="101">
        <f>'28'!G111</f>
        <v>19</v>
      </c>
      <c r="AF22" s="101">
        <f>'29'!G111</f>
        <v>0</v>
      </c>
      <c r="AG22" s="101">
        <f>'30'!G111</f>
        <v>0</v>
      </c>
      <c r="AH22" s="101">
        <f>'31'!G111</f>
        <v>-1308</v>
      </c>
      <c r="AI22" s="99"/>
    </row>
    <row r="23" spans="2:35">
      <c r="B23" s="1174"/>
      <c r="C23" s="99" t="s">
        <v>81</v>
      </c>
      <c r="D23" s="99">
        <f>'1'!G112</f>
        <v>0</v>
      </c>
      <c r="E23" s="101">
        <f>'2'!G112</f>
        <v>37</v>
      </c>
      <c r="F23" s="101">
        <f>'3'!G112</f>
        <v>0</v>
      </c>
      <c r="G23" s="101">
        <f>'4'!G112</f>
        <v>5</v>
      </c>
      <c r="H23" s="101">
        <f>'5'!G112</f>
        <v>0</v>
      </c>
      <c r="I23" s="101">
        <f>'6'!G112</f>
        <v>13</v>
      </c>
      <c r="J23" s="101">
        <f>'7'!G112</f>
        <v>2</v>
      </c>
      <c r="K23" s="101">
        <f>'8'!G112</f>
        <v>0</v>
      </c>
      <c r="L23" s="101">
        <f>'9'!G112</f>
        <v>5</v>
      </c>
      <c r="M23" s="101">
        <f>'10'!G112</f>
        <v>3</v>
      </c>
      <c r="N23" s="101">
        <f>'11'!G112</f>
        <v>2</v>
      </c>
      <c r="O23" s="101">
        <f>'12'!G112</f>
        <v>0</v>
      </c>
      <c r="P23" s="101">
        <f>'13'!G112</f>
        <v>3</v>
      </c>
      <c r="Q23" s="101">
        <f>'14'!G112</f>
        <v>0</v>
      </c>
      <c r="R23" s="101">
        <f>'15'!G112</f>
        <v>0</v>
      </c>
      <c r="S23" s="101">
        <f>'16'!G112</f>
        <v>-70.699999999999818</v>
      </c>
      <c r="T23" s="101">
        <f>'17'!G112</f>
        <v>0</v>
      </c>
      <c r="U23" s="101">
        <f>'18'!G112</f>
        <v>0</v>
      </c>
      <c r="V23" s="101">
        <f>'19'!G112</f>
        <v>0</v>
      </c>
      <c r="W23" s="101">
        <f>'20'!G112</f>
        <v>0</v>
      </c>
      <c r="X23" s="101">
        <f>'21'!G112</f>
        <v>0</v>
      </c>
      <c r="Y23" s="101">
        <f>'22'!G112</f>
        <v>0</v>
      </c>
      <c r="Z23" s="101">
        <f>'23'!G112</f>
        <v>0</v>
      </c>
      <c r="AA23" s="101">
        <f>'24'!G112</f>
        <v>0</v>
      </c>
      <c r="AB23" s="101">
        <f>'25'!G112</f>
        <v>0</v>
      </c>
      <c r="AC23" s="101">
        <f>'26'!G112</f>
        <v>0</v>
      </c>
      <c r="AD23" s="101">
        <f>'27'!G112</f>
        <v>0</v>
      </c>
      <c r="AE23" s="101">
        <f>'28'!G112</f>
        <v>0</v>
      </c>
      <c r="AF23" s="101">
        <f>'29'!G112</f>
        <v>0</v>
      </c>
      <c r="AG23" s="101">
        <f>'30'!G112</f>
        <v>0</v>
      </c>
      <c r="AH23" s="101">
        <f>'31'!G112</f>
        <v>-46</v>
      </c>
      <c r="AI23" s="99"/>
    </row>
    <row r="24" spans="2:35" ht="30">
      <c r="B24" s="103" t="s">
        <v>325</v>
      </c>
      <c r="C24" s="99"/>
      <c r="D24" s="101">
        <f>SUM(D5:D6)</f>
        <v>243</v>
      </c>
      <c r="E24" s="101">
        <f t="shared" ref="E24:AH24" si="0">SUM(E5:E6)</f>
        <v>244</v>
      </c>
      <c r="F24" s="101">
        <f t="shared" si="0"/>
        <v>196</v>
      </c>
      <c r="G24" s="101">
        <f t="shared" si="0"/>
        <v>191</v>
      </c>
      <c r="H24" s="101">
        <f t="shared" si="0"/>
        <v>242</v>
      </c>
      <c r="I24" s="101">
        <f t="shared" si="0"/>
        <v>261</v>
      </c>
      <c r="J24" s="101">
        <f t="shared" si="0"/>
        <v>225</v>
      </c>
      <c r="K24" s="101">
        <f t="shared" si="0"/>
        <v>275</v>
      </c>
      <c r="L24" s="101">
        <f t="shared" si="0"/>
        <v>224</v>
      </c>
      <c r="M24" s="101">
        <f t="shared" si="0"/>
        <v>197</v>
      </c>
      <c r="N24" s="101">
        <f t="shared" si="0"/>
        <v>224</v>
      </c>
      <c r="O24" s="101">
        <f t="shared" si="0"/>
        <v>240</v>
      </c>
      <c r="P24" s="101">
        <f t="shared" si="0"/>
        <v>251</v>
      </c>
      <c r="Q24" s="101">
        <f t="shared" si="0"/>
        <v>223</v>
      </c>
      <c r="R24" s="101">
        <f t="shared" si="0"/>
        <v>254</v>
      </c>
      <c r="S24" s="101">
        <f t="shared" si="0"/>
        <v>170</v>
      </c>
      <c r="T24" s="101">
        <f t="shared" si="0"/>
        <v>200</v>
      </c>
      <c r="U24" s="101">
        <f t="shared" si="0"/>
        <v>230</v>
      </c>
      <c r="V24" s="101">
        <f t="shared" si="0"/>
        <v>260</v>
      </c>
      <c r="W24" s="101">
        <f t="shared" si="0"/>
        <v>140</v>
      </c>
      <c r="X24" s="101">
        <f t="shared" si="0"/>
        <v>160</v>
      </c>
      <c r="Y24" s="101">
        <f t="shared" si="0"/>
        <v>180</v>
      </c>
      <c r="Z24" s="101">
        <f t="shared" si="0"/>
        <v>160</v>
      </c>
      <c r="AA24" s="101">
        <f t="shared" si="0"/>
        <v>170</v>
      </c>
      <c r="AB24" s="101">
        <f t="shared" si="0"/>
        <v>220</v>
      </c>
      <c r="AC24" s="101">
        <f t="shared" si="0"/>
        <v>180</v>
      </c>
      <c r="AD24" s="101">
        <f t="shared" si="0"/>
        <v>170</v>
      </c>
      <c r="AE24" s="101">
        <f t="shared" si="0"/>
        <v>120</v>
      </c>
      <c r="AF24" s="101">
        <f t="shared" si="0"/>
        <v>200</v>
      </c>
      <c r="AG24" s="101">
        <f t="shared" si="0"/>
        <v>210</v>
      </c>
      <c r="AH24" s="101">
        <f t="shared" si="0"/>
        <v>120</v>
      </c>
      <c r="AI24" s="99"/>
    </row>
    <row r="25" spans="2:35" ht="30">
      <c r="B25" s="103" t="s">
        <v>82</v>
      </c>
      <c r="C25" s="99"/>
      <c r="D25" s="101">
        <f>SUM(D9:D11,D14:D15,)</f>
        <v>191</v>
      </c>
      <c r="E25" s="101">
        <f t="shared" ref="E25:AI25" si="1">SUM(E9:E11,E14:E15,)</f>
        <v>153</v>
      </c>
      <c r="F25" s="101">
        <f t="shared" si="1"/>
        <v>131</v>
      </c>
      <c r="G25" s="101">
        <f t="shared" si="1"/>
        <v>156</v>
      </c>
      <c r="H25" s="101">
        <f t="shared" si="1"/>
        <v>212</v>
      </c>
      <c r="I25" s="101">
        <f t="shared" si="1"/>
        <v>155</v>
      </c>
      <c r="J25" s="101">
        <f t="shared" si="1"/>
        <v>184</v>
      </c>
      <c r="K25" s="101">
        <f>SUM(K9:K11,K14:K15,)</f>
        <v>195</v>
      </c>
      <c r="L25" s="101">
        <f t="shared" si="1"/>
        <v>162</v>
      </c>
      <c r="M25" s="101">
        <f t="shared" si="1"/>
        <v>147</v>
      </c>
      <c r="N25" s="101">
        <f t="shared" si="1"/>
        <v>149</v>
      </c>
      <c r="O25" s="101">
        <f t="shared" si="1"/>
        <v>160</v>
      </c>
      <c r="P25" s="101">
        <f t="shared" si="1"/>
        <v>161</v>
      </c>
      <c r="Q25" s="101">
        <f t="shared" si="1"/>
        <v>151</v>
      </c>
      <c r="R25" s="101">
        <f t="shared" si="1"/>
        <v>190</v>
      </c>
      <c r="S25" s="101">
        <f t="shared" si="1"/>
        <v>-4669</v>
      </c>
      <c r="T25" s="101">
        <f>SUM(T9:T11,T14:T15,)</f>
        <v>173</v>
      </c>
      <c r="U25" s="101">
        <f t="shared" si="1"/>
        <v>177</v>
      </c>
      <c r="V25" s="101">
        <f t="shared" si="1"/>
        <v>134</v>
      </c>
      <c r="W25" s="101">
        <f t="shared" si="1"/>
        <v>102</v>
      </c>
      <c r="X25" s="101">
        <f t="shared" si="1"/>
        <v>150</v>
      </c>
      <c r="Y25" s="101">
        <f t="shared" si="1"/>
        <v>149</v>
      </c>
      <c r="Z25" s="101">
        <f t="shared" si="1"/>
        <v>128</v>
      </c>
      <c r="AA25" s="101">
        <f t="shared" si="1"/>
        <v>139</v>
      </c>
      <c r="AB25" s="101">
        <f t="shared" si="1"/>
        <v>182</v>
      </c>
      <c r="AC25" s="101">
        <f t="shared" si="1"/>
        <v>142</v>
      </c>
      <c r="AD25" s="101">
        <f t="shared" si="1"/>
        <v>122</v>
      </c>
      <c r="AE25" s="101">
        <f t="shared" si="1"/>
        <v>126</v>
      </c>
      <c r="AF25" s="101">
        <f t="shared" si="1"/>
        <v>131</v>
      </c>
      <c r="AG25" s="101">
        <f t="shared" si="1"/>
        <v>150</v>
      </c>
      <c r="AH25" s="101">
        <f t="shared" si="1"/>
        <v>-8261</v>
      </c>
      <c r="AI25" s="101">
        <f t="shared" si="1"/>
        <v>0</v>
      </c>
    </row>
    <row r="26" spans="2:3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>
      <c r="B27" s="103" t="s">
        <v>83</v>
      </c>
      <c r="C27" s="99"/>
      <c r="D27" s="101">
        <f>SUM(D13,D21,D23)</f>
        <v>77</v>
      </c>
      <c r="E27" s="101">
        <f t="shared" ref="E27:AH27" si="2">SUM(E13,E21,E23)</f>
        <v>155</v>
      </c>
      <c r="F27" s="101">
        <f>SUM(F13,F21,F23)</f>
        <v>83</v>
      </c>
      <c r="G27" s="101">
        <f t="shared" si="2"/>
        <v>130</v>
      </c>
      <c r="H27" s="101">
        <f t="shared" si="2"/>
        <v>96</v>
      </c>
      <c r="I27" s="101">
        <f t="shared" si="2"/>
        <v>103</v>
      </c>
      <c r="J27" s="101">
        <f t="shared" si="2"/>
        <v>117</v>
      </c>
      <c r="K27" s="101">
        <f t="shared" si="2"/>
        <v>105</v>
      </c>
      <c r="L27" s="101">
        <f t="shared" si="2"/>
        <v>154</v>
      </c>
      <c r="M27" s="101">
        <f t="shared" si="2"/>
        <v>99</v>
      </c>
      <c r="N27" s="101">
        <f t="shared" si="2"/>
        <v>99</v>
      </c>
      <c r="O27" s="101">
        <f t="shared" si="2"/>
        <v>123</v>
      </c>
      <c r="P27" s="101">
        <f t="shared" si="2"/>
        <v>130</v>
      </c>
      <c r="Q27" s="101">
        <f t="shared" si="2"/>
        <v>82</v>
      </c>
      <c r="R27" s="101">
        <f t="shared" si="2"/>
        <v>97</v>
      </c>
      <c r="S27" s="101">
        <f t="shared" si="2"/>
        <v>-3080.7</v>
      </c>
      <c r="T27" s="101">
        <f t="shared" si="2"/>
        <v>89</v>
      </c>
      <c r="U27" s="101">
        <f t="shared" si="2"/>
        <v>92</v>
      </c>
      <c r="V27" s="101">
        <f t="shared" si="2"/>
        <v>101</v>
      </c>
      <c r="W27" s="101">
        <f t="shared" si="2"/>
        <v>76</v>
      </c>
      <c r="X27" s="101">
        <f t="shared" si="2"/>
        <v>84</v>
      </c>
      <c r="Y27" s="101">
        <f t="shared" si="2"/>
        <v>82</v>
      </c>
      <c r="Z27" s="101">
        <f t="shared" si="2"/>
        <v>120</v>
      </c>
      <c r="AA27" s="101">
        <f t="shared" si="2"/>
        <v>78</v>
      </c>
      <c r="AB27" s="101">
        <f t="shared" si="2"/>
        <v>107</v>
      </c>
      <c r="AC27" s="101">
        <f t="shared" si="2"/>
        <v>100</v>
      </c>
      <c r="AD27" s="101">
        <f t="shared" si="2"/>
        <v>78</v>
      </c>
      <c r="AE27" s="101">
        <f t="shared" si="2"/>
        <v>117</v>
      </c>
      <c r="AF27" s="101">
        <f t="shared" si="2"/>
        <v>100</v>
      </c>
      <c r="AG27" s="101">
        <f t="shared" si="2"/>
        <v>109</v>
      </c>
      <c r="AH27" s="101">
        <f t="shared" si="2"/>
        <v>-5617</v>
      </c>
      <c r="AI27" s="101">
        <f t="shared" ref="AI27" si="3">SUM(AI13)</f>
        <v>0</v>
      </c>
    </row>
    <row r="28" spans="2:35">
      <c r="B28" s="675"/>
      <c r="C28" s="676"/>
      <c r="D28" s="676"/>
      <c r="E28" s="676"/>
      <c r="F28" s="676"/>
      <c r="G28" s="676"/>
      <c r="H28" s="676"/>
      <c r="I28" s="676"/>
      <c r="J28" s="676"/>
      <c r="K28" s="676"/>
      <c r="L28" s="676"/>
      <c r="M28" s="676"/>
      <c r="N28" s="676"/>
      <c r="O28" s="676"/>
      <c r="P28" s="676"/>
      <c r="Q28" s="676"/>
      <c r="R28" s="676"/>
      <c r="S28" s="676"/>
      <c r="T28" s="676"/>
      <c r="U28" s="676"/>
      <c r="V28" s="676"/>
      <c r="W28" s="676"/>
      <c r="X28" s="676"/>
      <c r="Y28" s="676"/>
      <c r="Z28" s="676"/>
      <c r="AA28" s="676"/>
      <c r="AB28" s="676"/>
      <c r="AC28" s="676"/>
      <c r="AD28" s="676"/>
      <c r="AE28" s="676"/>
      <c r="AF28" s="676"/>
      <c r="AG28" s="676"/>
      <c r="AH28" s="676"/>
      <c r="AI28" s="676"/>
    </row>
    <row r="29" spans="2:35">
      <c r="B29" s="675" t="s">
        <v>84</v>
      </c>
      <c r="C29" s="676"/>
      <c r="D29" s="677">
        <f>D9</f>
        <v>70</v>
      </c>
      <c r="E29" s="677">
        <f t="shared" ref="E29:AH29" si="4">E9</f>
        <v>68</v>
      </c>
      <c r="F29" s="677">
        <f t="shared" si="4"/>
        <v>62</v>
      </c>
      <c r="G29" s="677">
        <f t="shared" si="4"/>
        <v>91</v>
      </c>
      <c r="H29" s="677">
        <f t="shared" si="4"/>
        <v>125</v>
      </c>
      <c r="I29" s="677">
        <f t="shared" si="4"/>
        <v>74</v>
      </c>
      <c r="J29" s="677">
        <f t="shared" si="4"/>
        <v>86</v>
      </c>
      <c r="K29" s="677">
        <f t="shared" si="4"/>
        <v>74</v>
      </c>
      <c r="L29" s="677">
        <f t="shared" si="4"/>
        <v>84</v>
      </c>
      <c r="M29" s="677">
        <f t="shared" si="4"/>
        <v>76</v>
      </c>
      <c r="N29" s="677">
        <f t="shared" si="4"/>
        <v>69</v>
      </c>
      <c r="O29" s="677">
        <f t="shared" si="4"/>
        <v>87</v>
      </c>
      <c r="P29" s="677">
        <f t="shared" si="4"/>
        <v>74</v>
      </c>
      <c r="Q29" s="677">
        <f t="shared" si="4"/>
        <v>69</v>
      </c>
      <c r="R29" s="677">
        <f t="shared" si="4"/>
        <v>78</v>
      </c>
      <c r="S29" s="677">
        <f t="shared" si="4"/>
        <v>-2268</v>
      </c>
      <c r="T29" s="677">
        <f t="shared" si="4"/>
        <v>89</v>
      </c>
      <c r="U29" s="677">
        <f t="shared" si="4"/>
        <v>90</v>
      </c>
      <c r="V29" s="677">
        <f t="shared" si="4"/>
        <v>76</v>
      </c>
      <c r="W29" s="677">
        <f t="shared" si="4"/>
        <v>51</v>
      </c>
      <c r="X29" s="677">
        <f t="shared" si="4"/>
        <v>79</v>
      </c>
      <c r="Y29" s="677">
        <f t="shared" si="4"/>
        <v>73</v>
      </c>
      <c r="Z29" s="677">
        <f t="shared" si="4"/>
        <v>67</v>
      </c>
      <c r="AA29" s="677">
        <f t="shared" si="4"/>
        <v>64</v>
      </c>
      <c r="AB29" s="677">
        <f t="shared" si="4"/>
        <v>78</v>
      </c>
      <c r="AC29" s="677">
        <f t="shared" si="4"/>
        <v>69</v>
      </c>
      <c r="AD29" s="677">
        <f t="shared" si="4"/>
        <v>62</v>
      </c>
      <c r="AE29" s="677">
        <f t="shared" si="4"/>
        <v>61</v>
      </c>
      <c r="AF29" s="677">
        <f t="shared" si="4"/>
        <v>69</v>
      </c>
      <c r="AG29" s="677">
        <f t="shared" si="4"/>
        <v>73</v>
      </c>
      <c r="AH29" s="677">
        <f t="shared" si="4"/>
        <v>-4173</v>
      </c>
      <c r="AI29" s="676"/>
    </row>
    <row r="30" spans="2:35">
      <c r="B30" s="675" t="s">
        <v>85</v>
      </c>
      <c r="C30" s="676"/>
      <c r="D30" s="677">
        <f>SUM(D10:D11,D14:D15)</f>
        <v>121</v>
      </c>
      <c r="E30" s="677">
        <f t="shared" ref="E30:AH30" si="5">SUM(E10:E11,E14:E15)</f>
        <v>85</v>
      </c>
      <c r="F30" s="677">
        <f t="shared" si="5"/>
        <v>69</v>
      </c>
      <c r="G30" s="677">
        <f t="shared" si="5"/>
        <v>65</v>
      </c>
      <c r="H30" s="677">
        <f t="shared" si="5"/>
        <v>87</v>
      </c>
      <c r="I30" s="677">
        <f t="shared" si="5"/>
        <v>81</v>
      </c>
      <c r="J30" s="677">
        <f t="shared" si="5"/>
        <v>98</v>
      </c>
      <c r="K30" s="677">
        <f t="shared" si="5"/>
        <v>121</v>
      </c>
      <c r="L30" s="677">
        <f t="shared" si="5"/>
        <v>78</v>
      </c>
      <c r="M30" s="677">
        <f t="shared" si="5"/>
        <v>71</v>
      </c>
      <c r="N30" s="677">
        <f t="shared" si="5"/>
        <v>80</v>
      </c>
      <c r="O30" s="677">
        <f t="shared" si="5"/>
        <v>73</v>
      </c>
      <c r="P30" s="677">
        <f t="shared" si="5"/>
        <v>87</v>
      </c>
      <c r="Q30" s="677">
        <f t="shared" si="5"/>
        <v>82</v>
      </c>
      <c r="R30" s="677">
        <f t="shared" si="5"/>
        <v>112</v>
      </c>
      <c r="S30" s="677">
        <f t="shared" si="5"/>
        <v>-2401</v>
      </c>
      <c r="T30" s="677">
        <f t="shared" si="5"/>
        <v>84</v>
      </c>
      <c r="U30" s="677">
        <f t="shared" si="5"/>
        <v>87</v>
      </c>
      <c r="V30" s="677">
        <f t="shared" si="5"/>
        <v>58</v>
      </c>
      <c r="W30" s="677">
        <f t="shared" si="5"/>
        <v>51</v>
      </c>
      <c r="X30" s="677">
        <f t="shared" si="5"/>
        <v>71</v>
      </c>
      <c r="Y30" s="677">
        <f t="shared" si="5"/>
        <v>76</v>
      </c>
      <c r="Z30" s="677">
        <f t="shared" si="5"/>
        <v>61</v>
      </c>
      <c r="AA30" s="677">
        <f t="shared" si="5"/>
        <v>75</v>
      </c>
      <c r="AB30" s="677">
        <f t="shared" si="5"/>
        <v>104</v>
      </c>
      <c r="AC30" s="677">
        <f t="shared" si="5"/>
        <v>73</v>
      </c>
      <c r="AD30" s="677">
        <f t="shared" si="5"/>
        <v>60</v>
      </c>
      <c r="AE30" s="677">
        <f t="shared" si="5"/>
        <v>65</v>
      </c>
      <c r="AF30" s="677">
        <f t="shared" si="5"/>
        <v>62</v>
      </c>
      <c r="AG30" s="677">
        <f t="shared" si="5"/>
        <v>77</v>
      </c>
      <c r="AH30" s="677">
        <f t="shared" si="5"/>
        <v>-4088</v>
      </c>
      <c r="AI30" s="676"/>
    </row>
    <row r="31" spans="2:35">
      <c r="B31" s="675" t="s">
        <v>86</v>
      </c>
      <c r="C31" s="676"/>
      <c r="D31" s="676">
        <f>D30/SUM(D29:D30)%</f>
        <v>63.35078534031414</v>
      </c>
      <c r="E31" s="676">
        <f t="shared" ref="E31:AH31" si="6">E30/SUM(E29:E30)%</f>
        <v>55.555555555555557</v>
      </c>
      <c r="F31" s="676">
        <f t="shared" si="6"/>
        <v>52.671755725190835</v>
      </c>
      <c r="G31" s="676">
        <f t="shared" si="6"/>
        <v>41.666666666666664</v>
      </c>
      <c r="H31" s="676">
        <f t="shared" si="6"/>
        <v>41.037735849056602</v>
      </c>
      <c r="I31" s="676">
        <f t="shared" si="6"/>
        <v>52.258064516129032</v>
      </c>
      <c r="J31" s="676">
        <f t="shared" si="6"/>
        <v>53.260869565217391</v>
      </c>
      <c r="K31" s="676">
        <f t="shared" si="6"/>
        <v>62.051282051282051</v>
      </c>
      <c r="L31" s="676">
        <f t="shared" si="6"/>
        <v>48.148148148148145</v>
      </c>
      <c r="M31" s="676">
        <f t="shared" si="6"/>
        <v>48.299319727891159</v>
      </c>
      <c r="N31" s="676">
        <f t="shared" si="6"/>
        <v>53.691275167785236</v>
      </c>
      <c r="O31" s="676">
        <f t="shared" si="6"/>
        <v>45.625</v>
      </c>
      <c r="P31" s="676">
        <f t="shared" si="6"/>
        <v>54.037267080745337</v>
      </c>
      <c r="Q31" s="676">
        <f t="shared" si="6"/>
        <v>54.304635761589402</v>
      </c>
      <c r="R31" s="676">
        <f t="shared" si="6"/>
        <v>58.947368421052637</v>
      </c>
      <c r="S31" s="676">
        <f t="shared" si="6"/>
        <v>51.424287856071963</v>
      </c>
      <c r="T31" s="676">
        <f t="shared" si="6"/>
        <v>48.554913294797686</v>
      </c>
      <c r="U31" s="676">
        <f t="shared" si="6"/>
        <v>49.152542372881356</v>
      </c>
      <c r="V31" s="676">
        <f t="shared" si="6"/>
        <v>43.283582089552233</v>
      </c>
      <c r="W31" s="676">
        <f t="shared" si="6"/>
        <v>50</v>
      </c>
      <c r="X31" s="676">
        <f t="shared" si="6"/>
        <v>47.333333333333336</v>
      </c>
      <c r="Y31" s="676">
        <f t="shared" si="6"/>
        <v>51.006711409395976</v>
      </c>
      <c r="Z31" s="676">
        <f t="shared" si="6"/>
        <v>47.65625</v>
      </c>
      <c r="AA31" s="676">
        <f t="shared" si="6"/>
        <v>53.956834532374103</v>
      </c>
      <c r="AB31" s="676">
        <f t="shared" si="6"/>
        <v>57.142857142857139</v>
      </c>
      <c r="AC31" s="676">
        <f t="shared" si="6"/>
        <v>51.408450704225352</v>
      </c>
      <c r="AD31" s="676">
        <f t="shared" si="6"/>
        <v>49.180327868852459</v>
      </c>
      <c r="AE31" s="676">
        <f t="shared" si="6"/>
        <v>51.587301587301589</v>
      </c>
      <c r="AF31" s="676">
        <f t="shared" si="6"/>
        <v>47.328244274809158</v>
      </c>
      <c r="AG31" s="676">
        <f t="shared" si="6"/>
        <v>51.333333333333336</v>
      </c>
      <c r="AH31" s="676">
        <f t="shared" si="6"/>
        <v>49.485534438929911</v>
      </c>
      <c r="AI31" s="676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4" zoomScale="64" zoomScaleNormal="64" workbookViewId="0">
      <pane xSplit="1" topLeftCell="AC1" activePane="topRight" state="frozen"/>
      <selection activeCell="A4" sqref="A4"/>
      <selection pane="topRight" activeCell="AQ10" sqref="AQ10:AQ17"/>
    </sheetView>
  </sheetViews>
  <sheetFormatPr defaultRowHeight="15.75"/>
  <cols>
    <col min="1" max="5" width="8.88671875" style="686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686" customWidth="1"/>
    <col min="33" max="51" width="7" style="686" customWidth="1"/>
    <col min="52" max="16384" width="8.88671875" style="686"/>
  </cols>
  <sheetData>
    <row r="1" spans="1:53" ht="16.5" thickBot="1">
      <c r="F1" s="686"/>
      <c r="G1" s="686"/>
      <c r="H1" s="686"/>
      <c r="I1" s="686"/>
      <c r="J1" s="686"/>
      <c r="K1" s="686"/>
      <c r="L1" s="686"/>
      <c r="M1" s="686"/>
    </row>
    <row r="2" spans="1:53">
      <c r="F2" s="1178" t="s">
        <v>332</v>
      </c>
      <c r="G2" s="1172"/>
      <c r="H2" s="1172"/>
      <c r="I2" s="1172"/>
      <c r="J2" s="1172"/>
      <c r="K2" s="1172"/>
      <c r="L2" s="1172"/>
      <c r="M2" s="1173"/>
      <c r="N2" s="1177" t="s">
        <v>87</v>
      </c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  <c r="AF2" s="1177"/>
      <c r="AG2" s="1177"/>
      <c r="AH2" s="1177"/>
      <c r="AI2" s="1177"/>
      <c r="AJ2" s="1177"/>
      <c r="AK2" s="1177"/>
      <c r="AL2" s="1177"/>
      <c r="AM2" s="1177"/>
      <c r="AN2" s="1176"/>
      <c r="AO2" s="1176"/>
      <c r="AP2" s="1176"/>
      <c r="AQ2" s="1176"/>
      <c r="AR2" s="1176"/>
      <c r="AS2" s="1176"/>
      <c r="AT2" s="1176"/>
      <c r="AU2" s="765"/>
      <c r="AV2" s="1175" t="s">
        <v>88</v>
      </c>
      <c r="AW2" s="1175"/>
      <c r="AX2" s="1175"/>
      <c r="AY2" s="1175"/>
    </row>
    <row r="3" spans="1:53">
      <c r="F3" s="912"/>
      <c r="G3" s="89"/>
      <c r="H3" s="89"/>
      <c r="I3" s="89"/>
      <c r="J3" s="89"/>
      <c r="K3" s="89"/>
      <c r="L3" s="89"/>
      <c r="M3" s="913"/>
      <c r="N3" s="911"/>
      <c r="O3" s="911"/>
      <c r="P3" s="911"/>
      <c r="Q3" s="911"/>
      <c r="R3" s="911"/>
      <c r="S3" s="911"/>
      <c r="T3" s="911"/>
      <c r="U3" s="911"/>
      <c r="V3" s="911"/>
      <c r="W3" s="911"/>
      <c r="X3" s="911"/>
      <c r="Y3" s="911"/>
      <c r="Z3" s="911"/>
      <c r="AA3" s="914"/>
      <c r="AB3" s="914"/>
      <c r="AC3" s="914"/>
      <c r="AD3" s="914"/>
      <c r="AE3" s="914"/>
      <c r="AF3" s="914"/>
      <c r="AG3" s="914"/>
      <c r="AH3" s="914"/>
      <c r="AI3" s="914"/>
      <c r="AJ3" s="914"/>
      <c r="AK3" s="914"/>
      <c r="AL3" s="914"/>
      <c r="AM3" s="911"/>
      <c r="AN3" s="1179" t="s">
        <v>139</v>
      </c>
      <c r="AO3" s="1179"/>
      <c r="AP3" s="1179"/>
      <c r="AQ3" s="1179"/>
      <c r="AR3" s="1179"/>
      <c r="AS3" s="1179"/>
      <c r="AT3" s="1179"/>
      <c r="AU3" s="1180" t="s">
        <v>307</v>
      </c>
      <c r="AV3" s="1180"/>
      <c r="AW3" s="1180"/>
      <c r="AX3" s="1180"/>
      <c r="AY3" s="1180"/>
    </row>
    <row r="4" spans="1:53" ht="34.5" customHeight="1">
      <c r="A4" s="687"/>
      <c r="B4" s="1003" t="s">
        <v>328</v>
      </c>
      <c r="C4" s="1003" t="s">
        <v>329</v>
      </c>
      <c r="D4" s="1003" t="s">
        <v>331</v>
      </c>
      <c r="E4" s="1003" t="s">
        <v>330</v>
      </c>
      <c r="F4" s="915" t="s">
        <v>308</v>
      </c>
      <c r="G4" s="916" t="s">
        <v>309</v>
      </c>
      <c r="H4" s="916" t="s">
        <v>310</v>
      </c>
      <c r="I4" s="916" t="s">
        <v>311</v>
      </c>
      <c r="J4" s="916" t="s">
        <v>306</v>
      </c>
      <c r="K4" s="916" t="s">
        <v>52</v>
      </c>
      <c r="L4" s="917" t="s">
        <v>61</v>
      </c>
      <c r="M4" s="917" t="s">
        <v>54</v>
      </c>
      <c r="N4" s="687" t="s">
        <v>89</v>
      </c>
      <c r="O4" s="687" t="s">
        <v>90</v>
      </c>
      <c r="P4" s="687" t="s">
        <v>105</v>
      </c>
      <c r="Q4" s="687" t="s">
        <v>312</v>
      </c>
      <c r="R4" s="687" t="s">
        <v>313</v>
      </c>
      <c r="S4" s="687" t="s">
        <v>314</v>
      </c>
      <c r="T4" s="687" t="s">
        <v>315</v>
      </c>
      <c r="U4" s="687" t="s">
        <v>91</v>
      </c>
      <c r="V4" s="687" t="s">
        <v>316</v>
      </c>
      <c r="W4" s="687" t="s">
        <v>317</v>
      </c>
      <c r="X4" s="687" t="s">
        <v>302</v>
      </c>
      <c r="Y4" s="687" t="s">
        <v>76</v>
      </c>
      <c r="Z4" s="687" t="s">
        <v>318</v>
      </c>
      <c r="AA4" s="688" t="s">
        <v>319</v>
      </c>
      <c r="AB4" s="688" t="s">
        <v>101</v>
      </c>
      <c r="AC4" s="688" t="s">
        <v>95</v>
      </c>
      <c r="AD4" s="688" t="s">
        <v>96</v>
      </c>
      <c r="AE4" s="86" t="s">
        <v>320</v>
      </c>
      <c r="AF4" s="87" t="s">
        <v>98</v>
      </c>
      <c r="AG4" s="87" t="s">
        <v>98</v>
      </c>
      <c r="AH4" s="87" t="s">
        <v>99</v>
      </c>
      <c r="AI4" s="87" t="s">
        <v>301</v>
      </c>
      <c r="AJ4" s="87" t="s">
        <v>101</v>
      </c>
      <c r="AK4" s="87" t="s">
        <v>102</v>
      </c>
      <c r="AL4" s="87" t="s">
        <v>103</v>
      </c>
      <c r="AM4" s="687" t="s">
        <v>200</v>
      </c>
      <c r="AN4" s="687" t="s">
        <v>321</v>
      </c>
      <c r="AO4" s="687" t="s">
        <v>104</v>
      </c>
      <c r="AP4" s="687" t="s">
        <v>105</v>
      </c>
      <c r="AQ4" s="687" t="s">
        <v>106</v>
      </c>
      <c r="AR4" s="687" t="s">
        <v>107</v>
      </c>
      <c r="AS4" s="687" t="s">
        <v>108</v>
      </c>
      <c r="AT4" s="687" t="s">
        <v>322</v>
      </c>
      <c r="AU4" s="687" t="s">
        <v>104</v>
      </c>
      <c r="AV4" s="687" t="s">
        <v>40</v>
      </c>
      <c r="AW4" s="687" t="s">
        <v>41</v>
      </c>
      <c r="AX4" s="687" t="s">
        <v>299</v>
      </c>
      <c r="AY4" s="687" t="s">
        <v>109</v>
      </c>
    </row>
    <row r="5" spans="1:53">
      <c r="A5" s="689">
        <v>44044</v>
      </c>
      <c r="B5" s="55">
        <f>'1'!G7</f>
        <v>22452.869999999995</v>
      </c>
      <c r="C5" s="55">
        <f>'1'!G8</f>
        <v>22540.069999999949</v>
      </c>
      <c r="D5" s="55">
        <f>'1'!G15</f>
        <v>776</v>
      </c>
      <c r="E5" s="55">
        <f>'1'!G20</f>
        <v>243</v>
      </c>
      <c r="F5" s="55">
        <f>SUM('1'!G35,'1'!G49)</f>
        <v>3081.6699999999837</v>
      </c>
      <c r="G5" s="55">
        <f>SUM('1'!H37,'1'!H51)</f>
        <v>1651.6000000000058</v>
      </c>
      <c r="H5" s="55">
        <f>SUM('1'!G38,'1'!G52)</f>
        <v>1739.3699999999953</v>
      </c>
      <c r="I5" s="55">
        <f>SUM('1'!G39,'1'!G53)</f>
        <v>3756.5800000000163</v>
      </c>
      <c r="J5" s="55">
        <f>SUM('1'!G41,'1'!G42,'1'!G55,'1'!G56)</f>
        <v>6395.7400000000198</v>
      </c>
      <c r="K5" s="55">
        <f>SUM('1'!G43,'1'!G57)</f>
        <v>2724.6999999999534</v>
      </c>
      <c r="L5" s="690">
        <f>'1'!G50</f>
        <v>1556.4699999999721</v>
      </c>
      <c r="M5" s="690">
        <f>'1'!G36</f>
        <v>732.59999999999854</v>
      </c>
      <c r="N5" s="690">
        <f>'1'!G72</f>
        <v>14</v>
      </c>
      <c r="O5" s="690">
        <f>'1'!$G$73</f>
        <v>1</v>
      </c>
      <c r="P5" s="690">
        <f>'1'!$G$74</f>
        <v>1</v>
      </c>
      <c r="Q5" s="690">
        <f>'1'!$G$75</f>
        <v>161.63999999999942</v>
      </c>
      <c r="R5" s="690">
        <f>'1'!$G$76</f>
        <v>59.6299999999992</v>
      </c>
      <c r="S5" s="690">
        <f>'1'!$G$77</f>
        <v>59</v>
      </c>
      <c r="T5" s="690">
        <f>'1'!$G$78</f>
        <v>144</v>
      </c>
      <c r="U5" s="690">
        <f>'1'!$G$79</f>
        <v>143</v>
      </c>
      <c r="V5" s="690">
        <f>'1'!$G$80</f>
        <v>461.31999999994878</v>
      </c>
      <c r="W5" s="690">
        <f>'1'!$G$81</f>
        <v>165.56000000005588</v>
      </c>
      <c r="X5" s="690">
        <f>'1'!$G$82</f>
        <v>13.279999999998836</v>
      </c>
      <c r="Y5" s="690">
        <f>'1'!$G$58</f>
        <v>194.98999999999796</v>
      </c>
      <c r="Z5" s="690">
        <f>'1'!$G$83</f>
        <v>305</v>
      </c>
      <c r="AA5" s="690">
        <f>'1'!G86</f>
        <v>238</v>
      </c>
      <c r="AB5" s="690">
        <f>'1'!G87</f>
        <v>7.6999999999970896</v>
      </c>
      <c r="AC5" s="690">
        <f>'1'!G88</f>
        <v>0</v>
      </c>
      <c r="AD5" s="690">
        <f>'1'!G89+'1'!G90</f>
        <v>18.899999999996908</v>
      </c>
      <c r="AE5" s="690">
        <f>'1'!$G$62</f>
        <v>0</v>
      </c>
      <c r="AF5" s="690">
        <f>'1'!$G$63</f>
        <v>0</v>
      </c>
      <c r="AG5" s="690">
        <f>'1'!$G$64</f>
        <v>393.69000000000233</v>
      </c>
      <c r="AH5" s="690">
        <f>'1'!$G$65</f>
        <v>379.01000000000931</v>
      </c>
      <c r="AI5" s="690">
        <f>'1'!$G$66</f>
        <v>405.22999999999593</v>
      </c>
      <c r="AJ5" s="690">
        <f>'1'!$G$67</f>
        <v>501</v>
      </c>
      <c r="AK5" s="690">
        <f>'1'!$G$68</f>
        <v>0</v>
      </c>
      <c r="AL5" s="690">
        <f>'1'!$G$69</f>
        <v>325.52999999999884</v>
      </c>
      <c r="AM5" s="690">
        <f>'1'!$G$84</f>
        <v>809</v>
      </c>
      <c r="AN5" s="690">
        <f>'1'!$G$15</f>
        <v>776</v>
      </c>
      <c r="AO5" s="690">
        <f>'1'!$G$124</f>
        <v>269.35999999998603</v>
      </c>
      <c r="AP5" s="690">
        <f>'1'!$G$125</f>
        <v>0</v>
      </c>
      <c r="AQ5" s="690">
        <f>'1'!$G$126</f>
        <v>77</v>
      </c>
      <c r="AR5" s="690">
        <f>'1'!$G$127</f>
        <v>46</v>
      </c>
      <c r="AS5" s="690">
        <f>'1'!$G$128</f>
        <v>2</v>
      </c>
      <c r="AT5" s="690">
        <f>AN5-SUM(AO5:AS5)</f>
        <v>381.64000000001397</v>
      </c>
      <c r="AU5" s="690">
        <f>SUM('1'!G140:G141)</f>
        <v>9.6400000000003274</v>
      </c>
      <c r="AV5" s="690">
        <f>'1'!$G$137</f>
        <v>6.7899999999972351</v>
      </c>
      <c r="AW5" s="690">
        <f>'1'!$G$138</f>
        <v>0</v>
      </c>
      <c r="AX5" s="690">
        <f>'1'!$G$139</f>
        <v>0</v>
      </c>
      <c r="AY5" s="687">
        <f>SUM(AV5:AX5)</f>
        <v>6.7899999999972351</v>
      </c>
      <c r="AZ5" s="686">
        <f>AO5/AU5</f>
        <v>27.941908713690548</v>
      </c>
    </row>
    <row r="6" spans="1:53">
      <c r="A6" s="689">
        <v>44045</v>
      </c>
      <c r="B6" s="55">
        <f>'2'!G7</f>
        <v>21737.280000000028</v>
      </c>
      <c r="C6" s="55">
        <f>'2'!G8</f>
        <v>21861.680000000051</v>
      </c>
      <c r="D6" s="55">
        <f>'2'!G15</f>
        <v>924.25</v>
      </c>
      <c r="E6" s="55">
        <f>'2'!G20</f>
        <v>244</v>
      </c>
      <c r="F6" s="55">
        <f>SUM('2'!G35,'2'!G49)</f>
        <v>3099.8800000000047</v>
      </c>
      <c r="G6" s="55">
        <f>SUM('2'!G37,'2'!G51)</f>
        <v>1604.8199999999779</v>
      </c>
      <c r="H6" s="55">
        <f>SUM('2'!G38,'2'!G52)</f>
        <v>1664.9200000000128</v>
      </c>
      <c r="I6" s="55">
        <f>SUM('2'!G39,'2'!G53)</f>
        <v>3764.6800000000512</v>
      </c>
      <c r="J6" s="55">
        <f>SUM('2'!G41,'2'!G42,'2'!G55,'2'!G56)</f>
        <v>6598.5900000000111</v>
      </c>
      <c r="K6" s="55">
        <f>SUM('2'!G43,'2'!G57)</f>
        <v>2502.5</v>
      </c>
      <c r="L6" s="690">
        <f>'2'!G50</f>
        <v>1119.4799999999814</v>
      </c>
      <c r="M6" s="690">
        <f>'2'!G36</f>
        <v>549.29000000000087</v>
      </c>
      <c r="N6" s="690">
        <f>'2'!G72</f>
        <v>12</v>
      </c>
      <c r="O6" s="690">
        <f>'2'!$G$73</f>
        <v>2</v>
      </c>
      <c r="P6" s="690">
        <f>'2'!$G$74</f>
        <v>2</v>
      </c>
      <c r="Q6" s="690">
        <f>'2'!$G$75</f>
        <v>157.72000000000116</v>
      </c>
      <c r="R6" s="690">
        <f>'2'!$G$76</f>
        <v>56.510000000000218</v>
      </c>
      <c r="S6" s="690">
        <f>'2'!$G$77</f>
        <v>67</v>
      </c>
      <c r="T6" s="690">
        <f>'2'!$G$78</f>
        <v>104</v>
      </c>
      <c r="U6" s="690">
        <f>'2'!$G$79</f>
        <v>153</v>
      </c>
      <c r="V6" s="690">
        <f>'2'!$G$80</f>
        <v>390.68000000005122</v>
      </c>
      <c r="W6" s="681">
        <f>'2'!$G$81</f>
        <v>113.03999999992084</v>
      </c>
      <c r="X6" s="681">
        <f>'2'!$G$82</f>
        <v>26.119999999995343</v>
      </c>
      <c r="Y6" s="681">
        <f>'2'!$G$58</f>
        <v>241.59999999999854</v>
      </c>
      <c r="Z6" s="681">
        <f>'2'!$G$83</f>
        <v>326</v>
      </c>
      <c r="AA6" s="681">
        <f>'2'!G86</f>
        <v>203</v>
      </c>
      <c r="AB6" s="690">
        <f>'2'!G87</f>
        <v>33.5</v>
      </c>
      <c r="AC6" s="690">
        <f>'2'!G88</f>
        <v>0</v>
      </c>
      <c r="AD6" s="690">
        <f>'2'!G89+'2'!G90</f>
        <v>64.100000000009004</v>
      </c>
      <c r="AE6" s="690">
        <f>'2'!$G$62</f>
        <v>0</v>
      </c>
      <c r="AF6" s="690">
        <f>'2'!$G$63</f>
        <v>0</v>
      </c>
      <c r="AG6" s="690">
        <f>'2'!$G$64</f>
        <v>378.94000000000233</v>
      </c>
      <c r="AH6" s="690">
        <f>'2'!$G$65</f>
        <v>396.5</v>
      </c>
      <c r="AI6" s="690">
        <f>'2'!$G$66</f>
        <v>417.02999999999884</v>
      </c>
      <c r="AJ6" s="690">
        <f>'2'!$G$67</f>
        <v>478.6699999999837</v>
      </c>
      <c r="AK6" s="690">
        <f>'2'!$G$68</f>
        <v>0</v>
      </c>
      <c r="AL6" s="690">
        <f>'2'!$G$69</f>
        <v>318.47999999999593</v>
      </c>
      <c r="AM6" s="690">
        <f>'2'!$G$84</f>
        <v>782</v>
      </c>
      <c r="AN6" s="690">
        <f>'2'!$G$15</f>
        <v>924.25</v>
      </c>
      <c r="AO6" s="690">
        <f>'2'!$G$124</f>
        <v>267.59999999997672</v>
      </c>
      <c r="AP6" s="690">
        <f>'2'!$G$125</f>
        <v>0</v>
      </c>
      <c r="AQ6" s="690">
        <f>'2'!$G$126</f>
        <v>79.720000000001164</v>
      </c>
      <c r="AR6" s="690">
        <f>'2'!$G$127</f>
        <v>43.69999999999709</v>
      </c>
      <c r="AS6" s="690">
        <f>'2'!$G$128</f>
        <v>2.6000000000003638</v>
      </c>
      <c r="AT6" s="690">
        <f t="shared" ref="AT6:AT34" si="0">AN6-SUM(AO6:AS6)</f>
        <v>530.63000000002467</v>
      </c>
      <c r="AU6" s="690">
        <f>SUM('2'!G140:G141)</f>
        <v>9.7999999999997272</v>
      </c>
      <c r="AV6" s="690">
        <f>'2'!$G$137</f>
        <v>9.8300000000017462</v>
      </c>
      <c r="AW6" s="690">
        <f>'2'!$G$138</f>
        <v>0</v>
      </c>
      <c r="AX6" s="690">
        <f>'2'!$G$139</f>
        <v>0</v>
      </c>
      <c r="AY6" s="687">
        <f t="shared" ref="AY6:AY34" si="1">SUM(AV6:AX6)</f>
        <v>9.8300000000017462</v>
      </c>
      <c r="AZ6" s="686">
        <f t="shared" ref="AZ6:AZ8" si="2">AO6/AU6</f>
        <v>27.306122448977977</v>
      </c>
    </row>
    <row r="7" spans="1:53" s="692" customFormat="1">
      <c r="A7" s="689">
        <v>44046</v>
      </c>
      <c r="B7" s="55">
        <f>'3'!G7</f>
        <v>21401.719999999972</v>
      </c>
      <c r="C7" s="55">
        <f>'3'!G8</f>
        <v>21488.819999999949</v>
      </c>
      <c r="D7" s="55">
        <f>'3'!G15</f>
        <v>755.88500000000931</v>
      </c>
      <c r="E7" s="55">
        <f>'3'!G20</f>
        <v>196</v>
      </c>
      <c r="F7" s="55">
        <f>SUM('3'!G35,'3'!G49)</f>
        <v>2964.9000000000233</v>
      </c>
      <c r="G7" s="55">
        <f>SUM('3'!G37,'3'!G51)</f>
        <v>1599.1000000000058</v>
      </c>
      <c r="H7" s="55">
        <f>SUM('3'!G38,'3'!G52)</f>
        <v>1612.3999999999942</v>
      </c>
      <c r="I7" s="55">
        <f>SUM('3'!G39,'3'!G53)</f>
        <v>3726.2799999999115</v>
      </c>
      <c r="J7" s="55">
        <f>SUM('3'!G41,'3'!G42,'3'!G55,'3'!G56)</f>
        <v>6845.9999999999272</v>
      </c>
      <c r="K7" s="55">
        <f>SUM('3'!G43,'3'!G57)</f>
        <v>2671.6000000000931</v>
      </c>
      <c r="L7" s="681">
        <f>'3'!G50</f>
        <v>958.92000000004191</v>
      </c>
      <c r="M7" s="681">
        <f>'3'!G36</f>
        <v>802.79000000000087</v>
      </c>
      <c r="N7" s="681">
        <f>'3'!G72</f>
        <v>14</v>
      </c>
      <c r="O7" s="681">
        <f>'3'!$G$73</f>
        <v>1</v>
      </c>
      <c r="P7" s="681">
        <f>'3'!$G$74</f>
        <v>1.1999999999970896</v>
      </c>
      <c r="Q7" s="681">
        <f>'3'!$G$75</f>
        <v>149.68000000000029</v>
      </c>
      <c r="R7" s="681">
        <f>'3'!$G$76</f>
        <v>45.180000000000291</v>
      </c>
      <c r="S7" s="681">
        <f>'3'!$G$77</f>
        <v>67</v>
      </c>
      <c r="T7" s="681">
        <f>'3'!$G$78</f>
        <v>89</v>
      </c>
      <c r="U7" s="681">
        <f>'3'!$G$79</f>
        <v>148</v>
      </c>
      <c r="V7" s="681">
        <f>'3'!$G$80</f>
        <v>386.64000000001397</v>
      </c>
      <c r="W7" s="681">
        <f>'3'!$G$81</f>
        <v>132.20000000006985</v>
      </c>
      <c r="X7" s="681">
        <f>'3'!$G$82</f>
        <v>12.610000000000582</v>
      </c>
      <c r="Y7" s="681">
        <f>'3'!$G$58</f>
        <v>206</v>
      </c>
      <c r="Z7" s="681">
        <f>'3'!$G$83</f>
        <v>328</v>
      </c>
      <c r="AA7" s="690">
        <f>'3'!G86</f>
        <v>6.5200000000186265</v>
      </c>
      <c r="AB7" s="690">
        <f>'1'!G87</f>
        <v>7.6999999999970896</v>
      </c>
      <c r="AC7" s="690">
        <f>'3'!G88</f>
        <v>0</v>
      </c>
      <c r="AD7" s="690">
        <f>'3'!G89+'3'!G90</f>
        <v>37.49999999999136</v>
      </c>
      <c r="AE7" s="681">
        <f>'3'!$G$62</f>
        <v>0</v>
      </c>
      <c r="AF7" s="681">
        <f>'3'!$G$63</f>
        <v>0</v>
      </c>
      <c r="AG7" s="681">
        <f>'3'!$G$64</f>
        <v>349.69000000000233</v>
      </c>
      <c r="AH7" s="681">
        <f>'3'!$G$65</f>
        <v>401.57999999998719</v>
      </c>
      <c r="AI7" s="681">
        <f>'3'!$G$66</f>
        <v>396.05000000000291</v>
      </c>
      <c r="AJ7" s="432">
        <f>'3'!$G$67</f>
        <v>468.44000000000233</v>
      </c>
      <c r="AK7" s="432">
        <f>'3'!$G$68</f>
        <v>0</v>
      </c>
      <c r="AL7" s="681">
        <f>'3'!$G$69</f>
        <v>299.06000000001222</v>
      </c>
      <c r="AM7" s="681">
        <f>'3'!$G$84</f>
        <v>647</v>
      </c>
      <c r="AN7" s="681">
        <f>'3'!$G$15</f>
        <v>755.88500000000931</v>
      </c>
      <c r="AO7" s="681">
        <f>'3'!$G$124</f>
        <v>252.90000000002328</v>
      </c>
      <c r="AP7" s="681">
        <f>'3'!$G$125</f>
        <v>0</v>
      </c>
      <c r="AQ7" s="681">
        <f>'3'!$G$126</f>
        <v>84.85999999998603</v>
      </c>
      <c r="AR7" s="681">
        <f>'3'!$G$127</f>
        <v>42.100000000005821</v>
      </c>
      <c r="AS7" s="681">
        <f>'3'!$G$128</f>
        <v>1.3999999999996362</v>
      </c>
      <c r="AT7" s="681">
        <f t="shared" si="0"/>
        <v>374.62499999999454</v>
      </c>
      <c r="AU7" s="690">
        <f>SUM('3'!G140:G141)</f>
        <v>9.3099999999999454</v>
      </c>
      <c r="AV7" s="681">
        <f>'3'!$G$137</f>
        <v>6.6500000000014552</v>
      </c>
      <c r="AW7" s="681">
        <f>'3'!$G$138</f>
        <v>3.0000000006111804E-3</v>
      </c>
      <c r="AX7" s="681">
        <f>'3'!$G$139</f>
        <v>0</v>
      </c>
      <c r="AY7" s="691">
        <f t="shared" si="1"/>
        <v>6.6530000000020664</v>
      </c>
      <c r="AZ7" s="686">
        <f t="shared" si="2"/>
        <v>27.164339419981179</v>
      </c>
    </row>
    <row r="8" spans="1:53">
      <c r="A8" s="689">
        <v>44047</v>
      </c>
      <c r="B8" s="55">
        <f>'4'!G7</f>
        <v>24683.130000000005</v>
      </c>
      <c r="C8" s="55">
        <f>'4'!G8</f>
        <v>24881.140000000014</v>
      </c>
      <c r="D8" s="55">
        <f>'4'!G15</f>
        <v>889.0570000000298</v>
      </c>
      <c r="E8" s="55">
        <f>'4'!G20</f>
        <v>191</v>
      </c>
      <c r="F8" s="55">
        <f>SUM('4'!G35,'4'!G49)</f>
        <v>3090.5499999999884</v>
      </c>
      <c r="G8" s="55">
        <f>SUM('4'!G37,'4'!G51)</f>
        <v>1605.3500000000058</v>
      </c>
      <c r="H8" s="55">
        <f>SUM('4'!G38,'4'!G52)</f>
        <v>1684.3799999999464</v>
      </c>
      <c r="I8" s="55">
        <f>SUM('4'!G39,'4'!G53)</f>
        <v>3735.0500000000466</v>
      </c>
      <c r="J8" s="55">
        <f>SUM('4'!G41,'4'!G42,'4'!G55,'4'!G56)</f>
        <v>7495.140000000014</v>
      </c>
      <c r="K8" s="55">
        <f>SUM('4'!G43,'4'!G57)</f>
        <v>3000.1999999999534</v>
      </c>
      <c r="L8" s="690">
        <f>'4'!G50</f>
        <v>1093.1300000000047</v>
      </c>
      <c r="M8" s="690">
        <f>'4'!G36</f>
        <v>982.72000000000116</v>
      </c>
      <c r="N8" s="690">
        <f>'4'!G72</f>
        <v>14</v>
      </c>
      <c r="O8" s="690">
        <f>'4'!$G$73</f>
        <v>1</v>
      </c>
      <c r="P8" s="690">
        <f>'4'!$G$74</f>
        <v>1.3000000000029104</v>
      </c>
      <c r="Q8" s="690">
        <f>'4'!$G$75</f>
        <v>159.65999999999985</v>
      </c>
      <c r="R8" s="690">
        <f>'4'!$G$76</f>
        <v>52.880000000001019</v>
      </c>
      <c r="S8" s="690">
        <f>'4'!$G$77</f>
        <v>73</v>
      </c>
      <c r="T8" s="690">
        <f>'4'!$G$78</f>
        <v>118</v>
      </c>
      <c r="U8" s="690">
        <f>'4'!$G$79</f>
        <v>162</v>
      </c>
      <c r="V8" s="681">
        <f>'4'!$G$80</f>
        <v>386.19999999995343</v>
      </c>
      <c r="W8" s="681">
        <f>'4'!$G$81</f>
        <v>201.15999999991618</v>
      </c>
      <c r="X8" s="690">
        <f>'4'!$G$82</f>
        <v>24.990000000005239</v>
      </c>
      <c r="Y8" s="690">
        <f>'4'!$G$58</f>
        <v>210.31000000000495</v>
      </c>
      <c r="Z8" s="690">
        <f>'4'!$G$83</f>
        <v>322</v>
      </c>
      <c r="AA8" s="690">
        <f>'4'!G86</f>
        <v>11.519999999960419</v>
      </c>
      <c r="AB8" s="690">
        <f>'4'!G87</f>
        <v>29.69999999999709</v>
      </c>
      <c r="AC8" s="690">
        <f>'4'!G88</f>
        <v>0</v>
      </c>
      <c r="AD8" s="690">
        <f>'4'!G89+'4'!G90</f>
        <v>41.50000000000864</v>
      </c>
      <c r="AE8" s="690">
        <f>'4'!$G$62</f>
        <v>0</v>
      </c>
      <c r="AF8" s="690">
        <f>'4'!$G$63</f>
        <v>0</v>
      </c>
      <c r="AG8" s="690">
        <f>'4'!$G$64</f>
        <v>349.67999999999302</v>
      </c>
      <c r="AH8" s="690">
        <f>'4'!$G$65</f>
        <v>384.91000000000349</v>
      </c>
      <c r="AI8" s="690">
        <f>'4'!$G$66</f>
        <v>393.08999999999651</v>
      </c>
      <c r="AJ8" s="690">
        <f>'4'!$G$67</f>
        <v>475.89000000001397</v>
      </c>
      <c r="AK8" s="690">
        <f>'4'!$G$68</f>
        <v>0</v>
      </c>
      <c r="AL8" s="690">
        <f>'4'!$G$69</f>
        <v>310.1299999999901</v>
      </c>
      <c r="AM8" s="690">
        <f>'4'!$G$84</f>
        <v>687</v>
      </c>
      <c r="AN8" s="690">
        <f>'4'!$G$15</f>
        <v>889.0570000000298</v>
      </c>
      <c r="AO8" s="690">
        <f>'4'!$G$124</f>
        <v>262.70299999997951</v>
      </c>
      <c r="AP8" s="690">
        <f>'4'!$G$125</f>
        <v>0</v>
      </c>
      <c r="AQ8" s="690">
        <f>'4'!$G$126</f>
        <v>75.590000000025611</v>
      </c>
      <c r="AR8" s="690">
        <f>'4'!$G$127</f>
        <v>44.899999999994179</v>
      </c>
      <c r="AS8" s="690">
        <f>'4'!$G$128</f>
        <v>1.5</v>
      </c>
      <c r="AT8" s="690">
        <f t="shared" si="0"/>
        <v>504.3640000000305</v>
      </c>
      <c r="AU8" s="690">
        <f>SUM('4'!G140:G141)</f>
        <v>9.5900000000001455</v>
      </c>
      <c r="AV8" s="690">
        <f>'4'!$G$137</f>
        <v>8.9299999999966531</v>
      </c>
      <c r="AW8" s="690">
        <f>'4'!$G$138</f>
        <v>-3.0000000006111804E-3</v>
      </c>
      <c r="AX8" s="690">
        <f>'4'!$G$139</f>
        <v>1.6599999999889405</v>
      </c>
      <c r="AY8" s="687">
        <f t="shared" si="1"/>
        <v>10.586999999984982</v>
      </c>
      <c r="AZ8" s="686">
        <f t="shared" si="2"/>
        <v>27.393430656931756</v>
      </c>
    </row>
    <row r="9" spans="1:53">
      <c r="A9" s="689">
        <v>44048</v>
      </c>
      <c r="B9" s="55">
        <f>'5'!G7</f>
        <v>23055.829999999958</v>
      </c>
      <c r="C9" s="55">
        <f>'5'!G8</f>
        <v>23183.280000000028</v>
      </c>
      <c r="D9" s="55">
        <f>'5'!G15</f>
        <v>738.08799999998882</v>
      </c>
      <c r="E9" s="55">
        <f>'5'!G20</f>
        <v>242</v>
      </c>
      <c r="F9" s="55">
        <f>SUM('5'!G35,'5'!G49)</f>
        <v>3125</v>
      </c>
      <c r="G9" s="55">
        <f>SUM('5'!G37,'5'!G51)</f>
        <v>1625</v>
      </c>
      <c r="H9" s="55">
        <f>SUM('5'!G38,'5'!G52)</f>
        <v>1714</v>
      </c>
      <c r="I9" s="55">
        <f>SUM('5'!G39,'5'!G53)</f>
        <v>3761</v>
      </c>
      <c r="J9" s="55">
        <f>SUM('5'!G41,'5'!G42,'5'!G55,'5'!G56)</f>
        <v>7630</v>
      </c>
      <c r="K9" s="55">
        <f>SUM('5'!G43,'5'!G57)</f>
        <v>2920</v>
      </c>
      <c r="L9" s="690">
        <f>'5'!G50</f>
        <v>1415</v>
      </c>
      <c r="M9" s="690">
        <f>'5'!G36</f>
        <v>758.23999999999796</v>
      </c>
      <c r="N9" s="690">
        <f>'5'!G72</f>
        <v>13</v>
      </c>
      <c r="O9" s="690">
        <f>'5'!$G$73</f>
        <v>2</v>
      </c>
      <c r="P9" s="690">
        <f>'5'!$G$74</f>
        <v>1.3000000000029104</v>
      </c>
      <c r="Q9" s="701">
        <f>'5'!$G$75</f>
        <v>181.20000000000073</v>
      </c>
      <c r="R9" s="690">
        <f>'5'!$G$76</f>
        <v>57</v>
      </c>
      <c r="S9" s="681">
        <f>'5'!$G$77</f>
        <v>64</v>
      </c>
      <c r="T9" s="700">
        <f>'5'!$G$78</f>
        <v>108</v>
      </c>
      <c r="U9" s="700">
        <f>'5'!$G$79</f>
        <v>151</v>
      </c>
      <c r="V9" s="693">
        <f>'5'!$G$80</f>
        <v>376.47999999998137</v>
      </c>
      <c r="W9" s="700">
        <f>'5'!$G$81</f>
        <v>197.35999999998603</v>
      </c>
      <c r="X9" s="690">
        <f>'5'!$G$82</f>
        <v>14</v>
      </c>
      <c r="Y9" s="690">
        <f>'5'!$G$58</f>
        <v>196</v>
      </c>
      <c r="Z9" s="690">
        <f>'5'!$G$83</f>
        <v>286</v>
      </c>
      <c r="AA9" s="700">
        <f>'5'!G86</f>
        <v>17.360000000044238</v>
      </c>
      <c r="AB9" s="690">
        <f>'5'!G87</f>
        <v>34.900000000008731</v>
      </c>
      <c r="AC9" s="690">
        <f>'5'!G88</f>
        <v>0</v>
      </c>
      <c r="AD9" s="690">
        <f>'5'!G89+'5'!G90</f>
        <v>39.69999999999709</v>
      </c>
      <c r="AE9" s="690">
        <f>'5'!$G$62</f>
        <v>0</v>
      </c>
      <c r="AF9" s="690">
        <f>'5'!$G$63</f>
        <v>0</v>
      </c>
      <c r="AG9" s="690">
        <f>'5'!$G$64</f>
        <v>377</v>
      </c>
      <c r="AH9" s="690">
        <f>'5'!$G$65</f>
        <v>389</v>
      </c>
      <c r="AI9" s="690">
        <f>'5'!$G$66</f>
        <v>392.70000000001164</v>
      </c>
      <c r="AJ9" s="690">
        <f>'5'!$G$67</f>
        <v>485</v>
      </c>
      <c r="AK9" s="690">
        <f>'5'!$G$68</f>
        <v>0</v>
      </c>
      <c r="AL9" s="690">
        <f>'5'!$G$69</f>
        <v>332.60000000000582</v>
      </c>
      <c r="AM9" s="690">
        <f>'5'!$G$84</f>
        <v>781</v>
      </c>
      <c r="AN9" s="700">
        <f>'5'!$G$15</f>
        <v>738.08799999998882</v>
      </c>
      <c r="AO9" s="690">
        <f>'5'!$G$124</f>
        <v>259.91700000001583</v>
      </c>
      <c r="AP9" s="690">
        <f>'5'!$G$125</f>
        <v>0</v>
      </c>
      <c r="AQ9" s="690">
        <f>'5'!$G$126</f>
        <v>71.399999999994179</v>
      </c>
      <c r="AR9" s="690">
        <f>'5'!$G$127</f>
        <v>38.700000000004366</v>
      </c>
      <c r="AS9" s="690">
        <f>'5'!$G$128</f>
        <v>1</v>
      </c>
      <c r="AT9" s="690">
        <f t="shared" si="0"/>
        <v>367.07099999997445</v>
      </c>
      <c r="AU9" s="690">
        <f>SUM('5'!G140:G141)</f>
        <v>9.5799999999999272</v>
      </c>
      <c r="AV9" s="690">
        <f>'5'!$G$137</f>
        <v>6.9800000000032014</v>
      </c>
      <c r="AW9" s="690">
        <f>'5'!$G$138</f>
        <v>0</v>
      </c>
      <c r="AX9" s="690">
        <f>'5'!$G$139</f>
        <v>-5.9999999997671694E-2</v>
      </c>
      <c r="AY9" s="687">
        <f t="shared" si="1"/>
        <v>6.9200000000055297</v>
      </c>
      <c r="AZ9" s="686">
        <f>AO9/AU9</f>
        <v>27.131210855951753</v>
      </c>
    </row>
    <row r="10" spans="1:53">
      <c r="A10" s="689">
        <v>44049</v>
      </c>
      <c r="B10" s="55">
        <f>'6'!G7</f>
        <v>24127.170000000042</v>
      </c>
      <c r="C10" s="55">
        <f>'6'!G8</f>
        <v>24216.640000000014</v>
      </c>
      <c r="D10" s="55">
        <f>'6'!G15</f>
        <v>968.17999999993481</v>
      </c>
      <c r="E10" s="55">
        <f>'6'!G20</f>
        <v>261</v>
      </c>
      <c r="F10" s="55">
        <f>SUM('6'!G35,'6'!G49)</f>
        <v>3208</v>
      </c>
      <c r="G10" s="55">
        <f>SUM('6'!G37,'6'!G51)</f>
        <v>1613</v>
      </c>
      <c r="H10" s="55">
        <f>SUM('6'!G38,'6'!G52)</f>
        <v>1713</v>
      </c>
      <c r="I10" s="55">
        <f>SUM('6'!G39,'6'!G53)</f>
        <v>3750</v>
      </c>
      <c r="J10" s="55">
        <f>SUM('6'!G41,'6'!G42,'6'!G55,'6'!G56)</f>
        <v>7934</v>
      </c>
      <c r="K10" s="55">
        <f>SUM('6'!G43,'6'!G57)</f>
        <v>2980</v>
      </c>
      <c r="L10" s="690">
        <f>'6'!G50</f>
        <v>1519</v>
      </c>
      <c r="M10" s="690">
        <f>'6'!G36</f>
        <v>698.95999999999913</v>
      </c>
      <c r="N10" s="690">
        <f>'6'!G72</f>
        <v>12</v>
      </c>
      <c r="O10" s="690">
        <f>'6'!$G$73</f>
        <v>1</v>
      </c>
      <c r="P10" s="690">
        <f>'6'!$G$74</f>
        <v>1.1999999999970896</v>
      </c>
      <c r="Q10" s="690">
        <f>'6'!$G$75</f>
        <v>183.69999999999709</v>
      </c>
      <c r="R10" s="690">
        <f>'6'!$G$76</f>
        <v>55.799999999999272</v>
      </c>
      <c r="S10" s="690">
        <f>'6'!$G$77</f>
        <v>66</v>
      </c>
      <c r="T10" s="681">
        <f>'6'!$G$78</f>
        <v>103</v>
      </c>
      <c r="U10" s="681">
        <f>'6'!$G$79</f>
        <v>155</v>
      </c>
      <c r="V10" s="681">
        <f>'6'!$G$80</f>
        <v>378.48000000009779</v>
      </c>
      <c r="W10" s="681">
        <f>'6'!$G$81</f>
        <v>150.64000000001397</v>
      </c>
      <c r="X10" s="681">
        <f>'6'!$G$82</f>
        <v>27</v>
      </c>
      <c r="Y10" s="681">
        <f>'6'!$G$58</f>
        <v>198.5</v>
      </c>
      <c r="Z10" s="681">
        <f>'6'!$G$83</f>
        <v>332</v>
      </c>
      <c r="AA10" s="681">
        <f>'6'!G86</f>
        <v>16.159999999974389</v>
      </c>
      <c r="AB10" s="681">
        <f>'6'!G87</f>
        <v>35.899999999994179</v>
      </c>
      <c r="AC10" s="681">
        <f>'6'!G88</f>
        <v>0</v>
      </c>
      <c r="AD10" s="681">
        <f>'6'!G89+'6'!G90</f>
        <v>56.299999999999727</v>
      </c>
      <c r="AE10" s="690">
        <f>'6'!$G$62</f>
        <v>0</v>
      </c>
      <c r="AF10" s="690">
        <f>'6'!$G$63</f>
        <v>0</v>
      </c>
      <c r="AG10" s="690">
        <f>'6'!$G$64</f>
        <v>387</v>
      </c>
      <c r="AH10" s="690">
        <f>'6'!$G$65</f>
        <v>404</v>
      </c>
      <c r="AI10" s="690">
        <f>'6'!$G$66</f>
        <v>394.89999999999418</v>
      </c>
      <c r="AJ10" s="690">
        <f>'6'!$G$67</f>
        <v>477</v>
      </c>
      <c r="AK10" s="690">
        <f>'6'!$G$68</f>
        <v>0</v>
      </c>
      <c r="AL10" s="690">
        <f>'6'!$G$69</f>
        <v>329</v>
      </c>
      <c r="AM10" s="690">
        <f>'6'!$G$84</f>
        <v>841</v>
      </c>
      <c r="AN10" s="690">
        <f>'6'!$G$15</f>
        <v>968.17999999993481</v>
      </c>
      <c r="AO10" s="728">
        <f>'6'!$G$124</f>
        <v>266.89000000001397</v>
      </c>
      <c r="AP10" s="690">
        <f>'6'!$G$125</f>
        <v>0</v>
      </c>
      <c r="AQ10" s="690">
        <f>'6'!$G$126</f>
        <v>107.75999999998021</v>
      </c>
      <c r="AR10" s="690">
        <f>'6'!$G$127</f>
        <v>53.400000000001455</v>
      </c>
      <c r="AS10" s="690">
        <f>'6'!$G$128</f>
        <v>1.1000000000003638</v>
      </c>
      <c r="AT10" s="690">
        <f t="shared" si="0"/>
        <v>539.02999999993881</v>
      </c>
      <c r="AU10" s="690">
        <f>SUM('6'!G140:G141)</f>
        <v>9.8200000000001637</v>
      </c>
      <c r="AV10" s="690">
        <f>'6'!$G$137</f>
        <v>9.4799999999995634</v>
      </c>
      <c r="AW10" s="690">
        <f>'6'!$G$138</f>
        <v>0</v>
      </c>
      <c r="AX10" s="690">
        <f>'6'!$G$139</f>
        <v>0</v>
      </c>
      <c r="AY10" s="687">
        <f t="shared" si="1"/>
        <v>9.4799999999995634</v>
      </c>
      <c r="AZ10" s="686">
        <f t="shared" ref="AZ10:AZ11" si="3">AO10/AU10</f>
        <v>27.178207739308505</v>
      </c>
    </row>
    <row r="11" spans="1:53">
      <c r="A11" s="689">
        <v>44050</v>
      </c>
      <c r="B11" s="55">
        <f>'7'!G7</f>
        <v>24240</v>
      </c>
      <c r="C11" s="55">
        <f>'7'!G8</f>
        <v>24405.680000000051</v>
      </c>
      <c r="D11" s="55">
        <f>'7'!G15</f>
        <v>860.81000000005588</v>
      </c>
      <c r="E11" s="55">
        <f>'7'!G20</f>
        <v>225</v>
      </c>
      <c r="F11" s="55">
        <f>SUM('7'!G35,'7'!G49)</f>
        <v>3068</v>
      </c>
      <c r="G11" s="55">
        <f>SUM('7'!G37,'7'!G51)</f>
        <v>1651</v>
      </c>
      <c r="H11" s="55">
        <f>SUM('7'!G38,'7'!G52)</f>
        <v>1801</v>
      </c>
      <c r="I11" s="55">
        <f>SUM('7'!G39,'7'!G53)</f>
        <v>3772</v>
      </c>
      <c r="J11" s="55">
        <f>SUM('7'!G41,'7'!G42,'7'!G55,'7'!G56)</f>
        <v>8272</v>
      </c>
      <c r="K11" s="55">
        <f>SUM('7'!G43,'7'!G57)</f>
        <v>3030</v>
      </c>
      <c r="L11" s="690">
        <f>'7'!G50</f>
        <v>1147</v>
      </c>
      <c r="M11" s="690">
        <f>'7'!G36</f>
        <v>743.90000000000146</v>
      </c>
      <c r="N11" s="690">
        <f>'7'!G72</f>
        <v>15</v>
      </c>
      <c r="O11" s="690">
        <f>'7'!$G$73</f>
        <v>1</v>
      </c>
      <c r="P11" s="690">
        <f>'7'!$G$74</f>
        <v>1.5</v>
      </c>
      <c r="Q11" s="690">
        <f>'7'!$G$75</f>
        <v>179.60000000000218</v>
      </c>
      <c r="R11" s="690">
        <f>'7'!$G$76</f>
        <v>55.100000000000364</v>
      </c>
      <c r="S11" s="690">
        <f>'7'!$G$77</f>
        <v>96</v>
      </c>
      <c r="T11" s="681">
        <f>'7'!$G$78</f>
        <v>131</v>
      </c>
      <c r="U11" s="681">
        <f>'7'!$G$79</f>
        <v>154</v>
      </c>
      <c r="V11" s="681">
        <f>'7'!$G$80</f>
        <v>445.8399999999674</v>
      </c>
      <c r="W11" s="681">
        <f>'7'!$G$81</f>
        <v>209.35999999998603</v>
      </c>
      <c r="X11" s="681">
        <f>'7'!$G$82</f>
        <v>15</v>
      </c>
      <c r="Y11" s="681">
        <f>'7'!$G$58</f>
        <v>210.5</v>
      </c>
      <c r="Z11" s="693">
        <f>'7'!$G$83</f>
        <v>343</v>
      </c>
      <c r="AA11" s="716">
        <f>'7'!G86</f>
        <v>12.479999999981374</v>
      </c>
      <c r="AB11" s="681">
        <f>'7'!G87</f>
        <v>35.5</v>
      </c>
      <c r="AC11" s="681">
        <f>'7'!G88</f>
        <v>0</v>
      </c>
      <c r="AD11" s="681">
        <f>'7'!G89+'7'!G90</f>
        <v>48.899999999997362</v>
      </c>
      <c r="AE11" s="690">
        <f>'7'!$G$62</f>
        <v>0</v>
      </c>
      <c r="AF11" s="690">
        <f>'7'!$G$63</f>
        <v>0</v>
      </c>
      <c r="AG11" s="690">
        <f>'7'!$G$64</f>
        <v>360</v>
      </c>
      <c r="AH11" s="690">
        <f>'7'!$G$65</f>
        <v>405</v>
      </c>
      <c r="AI11" s="690">
        <f>'7'!$G$66</f>
        <v>425.5</v>
      </c>
      <c r="AJ11" s="690">
        <f>'7'!$G$67</f>
        <v>504</v>
      </c>
      <c r="AK11" s="693">
        <f>'7'!$G$68</f>
        <v>0</v>
      </c>
      <c r="AL11" s="690">
        <f>'7'!$G$69</f>
        <v>332</v>
      </c>
      <c r="AM11" s="690">
        <f>'7'!$G$84</f>
        <v>785</v>
      </c>
      <c r="AN11" s="690">
        <f>'7'!$G$15</f>
        <v>860.81000000005588</v>
      </c>
      <c r="AO11" s="728">
        <f>'7'!$G$124</f>
        <v>266.65000000002328</v>
      </c>
      <c r="AP11" s="690">
        <f>'7'!$G$125</f>
        <v>-0.39999999999417923</v>
      </c>
      <c r="AQ11" s="690">
        <f>'7'!$G$126</f>
        <v>96.310000000026776</v>
      </c>
      <c r="AR11" s="690">
        <f>'7'!$G$127</f>
        <v>45.099999999998545</v>
      </c>
      <c r="AS11" s="690">
        <f>'7'!$G$128</f>
        <v>3.8999999999996362</v>
      </c>
      <c r="AT11" s="690">
        <f t="shared" si="0"/>
        <v>449.25000000000182</v>
      </c>
      <c r="AU11" s="690">
        <f>SUM('7'!G140:G141)</f>
        <v>9.819999999999709</v>
      </c>
      <c r="AV11" s="690">
        <f>'7'!$G$137</f>
        <v>7.9699999999975262</v>
      </c>
      <c r="AW11" s="690">
        <f>'7'!$G$138</f>
        <v>0</v>
      </c>
      <c r="AX11" s="690">
        <f>'7'!$G$139</f>
        <v>0</v>
      </c>
      <c r="AY11" s="687">
        <f t="shared" si="1"/>
        <v>7.9699999999975262</v>
      </c>
      <c r="AZ11" s="686">
        <f t="shared" si="3"/>
        <v>27.153767820777105</v>
      </c>
    </row>
    <row r="12" spans="1:53">
      <c r="A12" s="689">
        <v>44051</v>
      </c>
      <c r="B12" s="55">
        <f>'8'!G7</f>
        <v>22354</v>
      </c>
      <c r="C12" s="55">
        <f>'8'!G8</f>
        <v>22435.689999999944</v>
      </c>
      <c r="D12" s="55">
        <f>'8'!G15</f>
        <v>902.72999999998137</v>
      </c>
      <c r="E12" s="55">
        <f>'8'!G20</f>
        <v>275</v>
      </c>
      <c r="F12" s="55">
        <f>SUM('8'!G35,'8'!G49)</f>
        <v>2939.6999999999534</v>
      </c>
      <c r="G12" s="55">
        <f>SUM('8'!G37,'8'!G51)</f>
        <v>1610</v>
      </c>
      <c r="H12" s="55">
        <f>SUM('8'!G38,'8'!G52)</f>
        <v>1794</v>
      </c>
      <c r="I12" s="55">
        <f>SUM('8'!G39,'8'!G53)</f>
        <v>3646.0799999999581</v>
      </c>
      <c r="J12" s="55">
        <f>SUM('8'!G41,'8'!G42,'8'!G55,'8'!G56)</f>
        <v>6557.5300000000279</v>
      </c>
      <c r="K12" s="55">
        <f>SUM('8'!G43,'8'!G57)</f>
        <v>2900</v>
      </c>
      <c r="L12" s="690">
        <f>'8'!G50</f>
        <v>1089</v>
      </c>
      <c r="M12" s="690">
        <f>'8'!G36</f>
        <v>688.5</v>
      </c>
      <c r="N12" s="690">
        <f>'8'!G72</f>
        <v>12</v>
      </c>
      <c r="O12" s="690">
        <f>'8'!$G$73</f>
        <v>1</v>
      </c>
      <c r="P12" s="690">
        <f>'8'!$G$74</f>
        <v>0</v>
      </c>
      <c r="Q12" s="690">
        <f>'8'!$G$75</f>
        <v>162.79999999999927</v>
      </c>
      <c r="R12" s="690">
        <f>'8'!$G$76</f>
        <v>45.899999999999636</v>
      </c>
      <c r="S12" s="690">
        <f>'8'!$G$77</f>
        <v>74</v>
      </c>
      <c r="T12" s="681">
        <f>'8'!$G$78</f>
        <v>182</v>
      </c>
      <c r="U12" s="681">
        <f>'8'!$G$79</f>
        <v>149</v>
      </c>
      <c r="V12" s="681">
        <f>'8'!$G$80</f>
        <v>404.35999999998603</v>
      </c>
      <c r="W12" s="681">
        <f>'8'!$G$81</f>
        <v>144.68000000005122</v>
      </c>
      <c r="X12" s="681">
        <f>'8'!$G$82</f>
        <v>26</v>
      </c>
      <c r="Y12" s="681">
        <f>'8'!$G$58</f>
        <v>198.09999999999854</v>
      </c>
      <c r="Z12" s="681">
        <f>'8'!$G$83</f>
        <v>324</v>
      </c>
      <c r="AA12" s="681">
        <f>'8'!G86</f>
        <v>10.960000000020955</v>
      </c>
      <c r="AB12" s="681">
        <f>'8'!G87</f>
        <v>19</v>
      </c>
      <c r="AC12" s="681">
        <f>'8'!G88</f>
        <v>0</v>
      </c>
      <c r="AD12" s="681">
        <f>'8'!G89+'8'!G90</f>
        <v>46.5</v>
      </c>
      <c r="AE12" s="690">
        <f>'8'!$G$62</f>
        <v>0</v>
      </c>
      <c r="AF12" s="690">
        <f>'8'!$G$63</f>
        <v>0</v>
      </c>
      <c r="AG12" s="690">
        <f>'8'!$G$64</f>
        <v>348</v>
      </c>
      <c r="AH12" s="690">
        <f>'8'!$G$65</f>
        <v>395</v>
      </c>
      <c r="AI12" s="690">
        <f>'8'!$G$66</f>
        <v>376.5</v>
      </c>
      <c r="AJ12" s="690">
        <f>'8'!$G$67</f>
        <v>514</v>
      </c>
      <c r="AK12" s="690">
        <f>'8'!$G$68</f>
        <v>0</v>
      </c>
      <c r="AL12" s="690">
        <f>'8'!$G$69</f>
        <v>306.19999999999709</v>
      </c>
      <c r="AM12" s="690">
        <f>'8'!$G$84</f>
        <v>775</v>
      </c>
      <c r="AN12" s="690">
        <f>'8'!$G$15</f>
        <v>902.72999999998137</v>
      </c>
      <c r="AO12" s="690">
        <f>'8'!$G$124</f>
        <v>261.97999999998137</v>
      </c>
      <c r="AP12" s="690">
        <f>'8'!$G$125</f>
        <v>0.39999999999417923</v>
      </c>
      <c r="AQ12" s="690">
        <f>'8'!$G$126</f>
        <v>95.35999999998603</v>
      </c>
      <c r="AR12" s="690">
        <f>'8'!$G$127</f>
        <v>35.099999999998545</v>
      </c>
      <c r="AS12" s="690">
        <f>'8'!$G$128</f>
        <v>1.5</v>
      </c>
      <c r="AT12" s="690">
        <f t="shared" si="0"/>
        <v>508.39000000002125</v>
      </c>
      <c r="AU12" s="690">
        <f>SUM('8'!G140:G141)</f>
        <v>9.5500000000001819</v>
      </c>
      <c r="AV12" s="690">
        <f>'8'!$G$137</f>
        <v>9.2400000000016007</v>
      </c>
      <c r="AW12" s="690">
        <f>'8'!$G$138</f>
        <v>0</v>
      </c>
      <c r="AX12" s="690">
        <f>'8'!$G$139</f>
        <v>-0.19999999999708962</v>
      </c>
      <c r="AY12" s="687">
        <f t="shared" si="1"/>
        <v>9.0400000000045111</v>
      </c>
    </row>
    <row r="13" spans="1:53">
      <c r="A13" s="689">
        <v>44052</v>
      </c>
      <c r="B13" s="55">
        <f>'9'!G7</f>
        <v>19321</v>
      </c>
      <c r="C13" s="55">
        <f>'9'!G8</f>
        <v>20612</v>
      </c>
      <c r="D13" s="55">
        <f>'9'!G15</f>
        <v>764</v>
      </c>
      <c r="E13" s="55">
        <f>'9'!G20</f>
        <v>224</v>
      </c>
      <c r="F13" s="55">
        <f>SUM('9'!G35,'9'!G49)</f>
        <v>2734</v>
      </c>
      <c r="G13" s="55">
        <f>SUM('9'!G37,'9'!G51)</f>
        <v>1498</v>
      </c>
      <c r="H13" s="55">
        <f>SUM('9'!G38,'9'!G52)</f>
        <v>1606</v>
      </c>
      <c r="I13" s="55">
        <f>SUM('9'!G39,'9'!G53)</f>
        <v>3904</v>
      </c>
      <c r="J13" s="55">
        <f>SUM('9'!G41,'9'!G42,'9'!G55,'9'!G56)</f>
        <v>5620</v>
      </c>
      <c r="K13" s="55">
        <f>SUM('9'!G43,'9'!G57)</f>
        <v>2570</v>
      </c>
      <c r="L13" s="690">
        <f>'9'!G50</f>
        <v>992</v>
      </c>
      <c r="M13" s="690">
        <f>'9'!G36</f>
        <v>659</v>
      </c>
      <c r="N13" s="690">
        <f>'9'!G72</f>
        <v>14</v>
      </c>
      <c r="O13" s="690">
        <f>'9'!$G$73</f>
        <v>1</v>
      </c>
      <c r="P13" s="690">
        <f>'9'!$G$74</f>
        <v>0</v>
      </c>
      <c r="Q13" s="690">
        <f>'9'!$G$75</f>
        <v>157</v>
      </c>
      <c r="R13" s="690">
        <f>'9'!$G$76</f>
        <v>49</v>
      </c>
      <c r="S13" s="690">
        <f>'9'!$G$77</f>
        <v>59</v>
      </c>
      <c r="T13" s="681">
        <f>'9'!$G$78</f>
        <v>143</v>
      </c>
      <c r="U13" s="681">
        <f>'9'!$G$79</f>
        <v>157</v>
      </c>
      <c r="V13" s="681">
        <f>'9'!$G$80</f>
        <v>400</v>
      </c>
      <c r="W13" s="681">
        <f>'9'!$G$81</f>
        <v>159</v>
      </c>
      <c r="X13" s="681">
        <f>'9'!$G$82</f>
        <v>9</v>
      </c>
      <c r="Y13" s="681">
        <f>'9'!$G$58</f>
        <v>220</v>
      </c>
      <c r="Z13" s="681">
        <f>'9'!$G$83</f>
        <v>292</v>
      </c>
      <c r="AA13" s="681">
        <f>'9'!G86</f>
        <v>15</v>
      </c>
      <c r="AB13" s="681">
        <f>'9'!G87</f>
        <v>37.5</v>
      </c>
      <c r="AC13" s="681">
        <f>'9'!G88</f>
        <v>0</v>
      </c>
      <c r="AD13" s="681">
        <f>'9'!G89+'9'!H90</f>
        <v>92.599999999999909</v>
      </c>
      <c r="AE13" s="690">
        <f>'9'!$G$62</f>
        <v>0</v>
      </c>
      <c r="AF13" s="690">
        <f>'9'!$G$63</f>
        <v>0</v>
      </c>
      <c r="AG13" s="690">
        <f>'9'!$G$64</f>
        <v>381</v>
      </c>
      <c r="AH13" s="700">
        <f>'9'!$G$65</f>
        <v>384</v>
      </c>
      <c r="AI13" s="700">
        <f>'9'!$G$66</f>
        <v>428</v>
      </c>
      <c r="AJ13" s="690">
        <f>'9'!$G$67</f>
        <v>480</v>
      </c>
      <c r="AK13" s="690">
        <f>'9'!$G$68</f>
        <v>0</v>
      </c>
      <c r="AL13" s="690">
        <f>'9'!$G$69</f>
        <v>324</v>
      </c>
      <c r="AM13" s="690">
        <f>'9'!$G$84</f>
        <v>781</v>
      </c>
      <c r="AN13" s="690">
        <f>'9'!$G$15</f>
        <v>764</v>
      </c>
      <c r="AO13" s="690">
        <f>'9'!$G$124</f>
        <v>262</v>
      </c>
      <c r="AP13" s="690">
        <f>'9'!$G$125</f>
        <v>0</v>
      </c>
      <c r="AQ13" s="690">
        <f>'9'!$G$126</f>
        <v>76</v>
      </c>
      <c r="AR13" s="690">
        <f>'9'!$G$127</f>
        <v>32</v>
      </c>
      <c r="AS13" s="690">
        <f>'9'!$G$128</f>
        <v>0.7999999999992724</v>
      </c>
      <c r="AT13" s="690">
        <f t="shared" si="0"/>
        <v>393.20000000000073</v>
      </c>
      <c r="AU13" s="690">
        <f>SUM('9'!G140:G141)</f>
        <v>9.8400000000001455</v>
      </c>
      <c r="AV13" s="690">
        <f>'9'!$G$137</f>
        <v>6.9799999999995634</v>
      </c>
      <c r="AW13" s="690">
        <f>'9'!$G$138</f>
        <v>0</v>
      </c>
      <c r="AX13" s="690">
        <f>'9'!$G$139</f>
        <v>0</v>
      </c>
      <c r="AY13" s="687">
        <f t="shared" si="1"/>
        <v>6.9799999999995634</v>
      </c>
    </row>
    <row r="14" spans="1:53">
      <c r="A14" s="689">
        <v>44053</v>
      </c>
      <c r="B14" s="55">
        <f>'10'!G7</f>
        <v>21648</v>
      </c>
      <c r="C14" s="55">
        <f>'10'!G8</f>
        <v>21667</v>
      </c>
      <c r="D14" s="55">
        <f>'10'!G15</f>
        <v>907</v>
      </c>
      <c r="E14" s="55">
        <f>'10'!G20</f>
        <v>197</v>
      </c>
      <c r="F14" s="55">
        <f>SUM('10'!G35,'10'!G49)</f>
        <v>2950</v>
      </c>
      <c r="G14" s="55">
        <f>SUM('10'!G37,'10'!G51)</f>
        <v>1555</v>
      </c>
      <c r="H14" s="55">
        <f>SUM('10'!G38,'10'!G52)</f>
        <v>1654</v>
      </c>
      <c r="I14" s="55">
        <f>SUM('10'!G39,'10'!G53)</f>
        <v>3790.3300000000163</v>
      </c>
      <c r="J14" s="55">
        <f>SUM('10'!G41,'10'!G42,'10'!G55,'10'!G56)</f>
        <v>6540</v>
      </c>
      <c r="K14" s="55">
        <f>SUM('10'!G43,'10'!G57)</f>
        <v>2950</v>
      </c>
      <c r="L14" s="690">
        <f>'10'!G50</f>
        <v>892</v>
      </c>
      <c r="M14" s="690">
        <f>'10'!G36</f>
        <v>714</v>
      </c>
      <c r="N14" s="690">
        <f>'10'!G72</f>
        <v>14</v>
      </c>
      <c r="O14" s="690">
        <f>'10'!$G$73</f>
        <v>1</v>
      </c>
      <c r="P14" s="690">
        <f>'10'!$G$74</f>
        <v>0</v>
      </c>
      <c r="Q14" s="690">
        <f>'10'!$G$75</f>
        <v>163</v>
      </c>
      <c r="R14" s="690">
        <f>'10'!$G$76</f>
        <v>54</v>
      </c>
      <c r="S14" s="690">
        <f>'10'!$G$77</f>
        <v>53</v>
      </c>
      <c r="T14" s="681">
        <f>'10'!$G$78</f>
        <v>62</v>
      </c>
      <c r="U14" s="681">
        <f>'10'!$G$79</f>
        <v>149</v>
      </c>
      <c r="V14" s="694">
        <f>'10'!$G$80</f>
        <v>393</v>
      </c>
      <c r="W14" s="694">
        <f>'10'!$G$81</f>
        <v>158</v>
      </c>
      <c r="X14" s="681">
        <f>'10'!$G$82</f>
        <v>26</v>
      </c>
      <c r="Y14" s="681">
        <f>'10'!$G$58</f>
        <v>212</v>
      </c>
      <c r="Z14" s="681">
        <f>'10'!$G$83</f>
        <v>289</v>
      </c>
      <c r="AA14" s="681">
        <f>'10'!G86</f>
        <v>25</v>
      </c>
      <c r="AB14" s="681">
        <f>'10'!G87</f>
        <v>34.5</v>
      </c>
      <c r="AC14" s="681">
        <f>'10'!G88</f>
        <v>0</v>
      </c>
      <c r="AD14" s="681">
        <f>'10'!G87+'10'!H90</f>
        <v>46.099999999999909</v>
      </c>
      <c r="AE14" s="690">
        <f>'10'!$G$62</f>
        <v>0</v>
      </c>
      <c r="AF14" s="690">
        <f>'10'!$G$63</f>
        <v>0</v>
      </c>
      <c r="AG14" s="690">
        <f>'10'!$G$64</f>
        <v>388</v>
      </c>
      <c r="AH14" s="690">
        <f>'10'!$G$65</f>
        <v>423</v>
      </c>
      <c r="AI14" s="690">
        <f>'10'!$G$66</f>
        <v>457</v>
      </c>
      <c r="AJ14" s="690">
        <f>'10'!$G$67</f>
        <v>458</v>
      </c>
      <c r="AK14" s="690">
        <f>'10'!$G$68</f>
        <v>0</v>
      </c>
      <c r="AL14" s="690">
        <f>'10'!$G$69</f>
        <v>323</v>
      </c>
      <c r="AM14" s="690">
        <f>'10'!$G$84</f>
        <v>749</v>
      </c>
      <c r="AN14" s="690">
        <f>'10'!$G$15</f>
        <v>907</v>
      </c>
      <c r="AO14" s="690">
        <f>'10'!$G$124</f>
        <v>279</v>
      </c>
      <c r="AP14" s="690">
        <f>'10'!$G$125</f>
        <v>0</v>
      </c>
      <c r="AQ14" s="690">
        <f>'10'!$G$126</f>
        <v>84</v>
      </c>
      <c r="AR14" s="690">
        <f>'10'!$G$127</f>
        <v>34</v>
      </c>
      <c r="AS14" s="690">
        <f>'10'!$G$128</f>
        <v>2.2000000000007276</v>
      </c>
      <c r="AT14" s="690">
        <f t="shared" si="0"/>
        <v>507.79999999999927</v>
      </c>
      <c r="AU14" s="690">
        <f>SUM('10'!G140:G141)</f>
        <v>10.159999999999854</v>
      </c>
      <c r="AV14" s="690">
        <f>'10'!$G$137</f>
        <v>9.5900000000001455</v>
      </c>
      <c r="AW14" s="690">
        <f>'10'!$G$138</f>
        <v>-0.4500000000007276</v>
      </c>
      <c r="AX14" s="690">
        <f>'10'!$G$139</f>
        <v>0</v>
      </c>
      <c r="AY14" s="687">
        <f t="shared" si="1"/>
        <v>9.1399999999994179</v>
      </c>
    </row>
    <row r="15" spans="1:53">
      <c r="A15" s="689">
        <v>44054</v>
      </c>
      <c r="B15" s="55">
        <f>'11'!G7</f>
        <v>21561</v>
      </c>
      <c r="C15" s="55">
        <f>'11'!G8</f>
        <v>21713</v>
      </c>
      <c r="D15" s="55">
        <f>'11'!G15</f>
        <v>826</v>
      </c>
      <c r="E15" s="55">
        <f>'11'!G20</f>
        <v>224</v>
      </c>
      <c r="F15" s="55">
        <f>SUM('11'!G35,'11'!G49)</f>
        <v>3073</v>
      </c>
      <c r="G15" s="55">
        <f>SUM('11'!G37,'11'!G51)</f>
        <v>1551</v>
      </c>
      <c r="H15" s="55">
        <f>SUM('11'!G38,'11'!G52)</f>
        <v>1631</v>
      </c>
      <c r="I15" s="55">
        <f>SUM('11'!G39,'11'!G53)</f>
        <v>3772.5900000000256</v>
      </c>
      <c r="J15" s="55">
        <f>SUM('11'!G41,'11'!G42,'11'!G55,'11'!G56)</f>
        <v>6303</v>
      </c>
      <c r="K15" s="55">
        <f>SUM('11'!G43,'11'!G57)</f>
        <v>2940</v>
      </c>
      <c r="L15" s="690">
        <f>'11'!G50</f>
        <v>1053</v>
      </c>
      <c r="M15" s="690">
        <f>'11'!G36</f>
        <v>691</v>
      </c>
      <c r="N15" s="690">
        <f>'11'!G72</f>
        <v>12</v>
      </c>
      <c r="O15" s="690">
        <f>'11'!$G$73</f>
        <v>2</v>
      </c>
      <c r="P15" s="690">
        <f>'11'!$G$74</f>
        <v>3</v>
      </c>
      <c r="Q15" s="690">
        <f>'11'!$G$75</f>
        <v>177</v>
      </c>
      <c r="R15" s="690">
        <f>'11'!$G$76</f>
        <v>52</v>
      </c>
      <c r="S15" s="690">
        <f>'11'!$G$77</f>
        <v>55</v>
      </c>
      <c r="T15" s="681">
        <f>'11'!$G$78</f>
        <v>97</v>
      </c>
      <c r="U15" s="681">
        <f>'11'!$G$79</f>
        <v>153</v>
      </c>
      <c r="V15" s="681">
        <f>'11'!$G$80</f>
        <v>401</v>
      </c>
      <c r="W15" s="681">
        <f>'11'!$G$81</f>
        <v>171</v>
      </c>
      <c r="X15" s="681">
        <f>'11'!$G$82</f>
        <v>14</v>
      </c>
      <c r="Y15" s="681">
        <f>'11'!$G$58</f>
        <v>188</v>
      </c>
      <c r="Z15" s="681">
        <f>'11'!$G$83</f>
        <v>259</v>
      </c>
      <c r="AA15" s="681">
        <f>'11'!G86</f>
        <v>28</v>
      </c>
      <c r="AB15" s="681">
        <f>'11'!G87</f>
        <v>35</v>
      </c>
      <c r="AC15" s="681">
        <f>'11'!G88</f>
        <v>0</v>
      </c>
      <c r="AD15" s="681">
        <f>'11'!G87+'11'!H90</f>
        <v>42</v>
      </c>
      <c r="AE15" s="690">
        <f>'11'!$G$62</f>
        <v>0</v>
      </c>
      <c r="AF15" s="690">
        <f>'11'!$G$63</f>
        <v>0</v>
      </c>
      <c r="AG15" s="690">
        <f>'11'!$G$64</f>
        <v>412</v>
      </c>
      <c r="AH15" s="690">
        <f>'11'!$G$65</f>
        <v>413</v>
      </c>
      <c r="AI15" s="690">
        <f>'11'!$G$66</f>
        <v>379</v>
      </c>
      <c r="AJ15" s="690">
        <f>'11'!$G$67</f>
        <v>462</v>
      </c>
      <c r="AK15" s="690">
        <f>'11'!$G$68</f>
        <v>0</v>
      </c>
      <c r="AL15" s="690">
        <f>'11'!$G$69</f>
        <v>322</v>
      </c>
      <c r="AM15" s="690">
        <f>'11'!$G$84</f>
        <v>773</v>
      </c>
      <c r="AN15" s="690">
        <f>'11'!$G$15</f>
        <v>826</v>
      </c>
      <c r="AO15" s="690">
        <f>'11'!$G$124</f>
        <v>281</v>
      </c>
      <c r="AP15" s="690">
        <f>'11'!$G$125</f>
        <v>0</v>
      </c>
      <c r="AQ15" s="690">
        <f>'11'!$G$126</f>
        <v>91</v>
      </c>
      <c r="AR15" s="690">
        <f>'11'!$G$127</f>
        <v>50</v>
      </c>
      <c r="AS15" s="690">
        <f>'11'!$G$128</f>
        <v>2</v>
      </c>
      <c r="AT15" s="690">
        <f t="shared" si="0"/>
        <v>402</v>
      </c>
      <c r="AU15" s="690">
        <f>SUM('11'!G140:G141)</f>
        <v>10</v>
      </c>
      <c r="AV15" s="690">
        <f>'11'!$G$137</f>
        <v>7</v>
      </c>
      <c r="AW15" s="690">
        <f>'11'!$G$138</f>
        <v>0</v>
      </c>
      <c r="AX15" s="690">
        <f>'11'!$G$139</f>
        <v>0</v>
      </c>
      <c r="AY15" s="687">
        <f t="shared" si="1"/>
        <v>7</v>
      </c>
    </row>
    <row r="16" spans="1:53">
      <c r="A16" s="689">
        <v>44055</v>
      </c>
      <c r="B16" s="55">
        <f>'12'!G7</f>
        <v>24049</v>
      </c>
      <c r="C16" s="55">
        <f>'12'!G8</f>
        <v>23053</v>
      </c>
      <c r="D16" s="55">
        <f>'12'!G15</f>
        <v>930</v>
      </c>
      <c r="E16" s="55">
        <f>'12'!G20</f>
        <v>240</v>
      </c>
      <c r="F16" s="55">
        <f>SUM('12'!G35,'12'!G49)</f>
        <v>3146</v>
      </c>
      <c r="G16" s="55">
        <f>SUM('12'!G37,'12'!G51)</f>
        <v>1629</v>
      </c>
      <c r="H16" s="55">
        <f>SUM('12'!G38,'12'!G52)</f>
        <v>1686</v>
      </c>
      <c r="I16" s="55">
        <f>SUM('12'!G39,'12'!G53)</f>
        <v>4025.4099999999744</v>
      </c>
      <c r="J16" s="55">
        <f>SUM('12'!G41,'12'!G42,'12'!G55,'12'!G56)</f>
        <v>7375</v>
      </c>
      <c r="K16" s="55">
        <f>SUM('12'!G43,'12'!G57)</f>
        <v>3210</v>
      </c>
      <c r="L16" s="690">
        <f>'12'!G50</f>
        <v>965</v>
      </c>
      <c r="M16" s="690">
        <f>'12'!G36</f>
        <v>837.69999999999709</v>
      </c>
      <c r="N16" s="690">
        <f>'12'!G72</f>
        <v>13</v>
      </c>
      <c r="O16" s="690">
        <f>'12'!$G$73</f>
        <v>1</v>
      </c>
      <c r="P16" s="690">
        <f>'12'!$G$74</f>
        <v>2.5</v>
      </c>
      <c r="Q16" s="690">
        <f>'12'!$G$75</f>
        <v>184</v>
      </c>
      <c r="R16" s="690">
        <f>'12'!$G$76</f>
        <v>54</v>
      </c>
      <c r="S16" s="690">
        <f>'12'!$G$77</f>
        <v>53</v>
      </c>
      <c r="T16" s="681">
        <f>'12'!$G$78</f>
        <v>100</v>
      </c>
      <c r="U16" s="681">
        <f>'12'!$G$79</f>
        <v>167</v>
      </c>
      <c r="V16" s="681">
        <f>'12'!$G$80</f>
        <v>404</v>
      </c>
      <c r="W16" s="681">
        <f>'12'!$G$81</f>
        <v>193</v>
      </c>
      <c r="X16" s="681">
        <f>'12'!$G$82</f>
        <v>24</v>
      </c>
      <c r="Y16" s="681">
        <f>'12'!$G$58</f>
        <v>206</v>
      </c>
      <c r="Z16" s="681">
        <f>'12'!$G$83</f>
        <v>278</v>
      </c>
      <c r="AA16" s="681">
        <f>'12'!G86</f>
        <v>8</v>
      </c>
      <c r="AB16" s="681">
        <f>'12'!G87</f>
        <v>30</v>
      </c>
      <c r="AC16" s="681">
        <f>'12'!G88</f>
        <v>0</v>
      </c>
      <c r="AD16" s="681">
        <f>'12'!G87+'12'!H90</f>
        <v>36</v>
      </c>
      <c r="AE16" s="690">
        <f>'12'!$G$62</f>
        <v>0</v>
      </c>
      <c r="AF16" s="690">
        <f>'12'!$G$63</f>
        <v>0</v>
      </c>
      <c r="AG16" s="690">
        <f>'12'!$G$64</f>
        <v>456</v>
      </c>
      <c r="AH16" s="690">
        <f>'12'!$G$65</f>
        <v>410</v>
      </c>
      <c r="AI16" s="690">
        <f>'12'!$G$66</f>
        <v>413</v>
      </c>
      <c r="AJ16" s="690">
        <f>'12'!$G$67</f>
        <v>514</v>
      </c>
      <c r="AK16" s="690">
        <f>'12'!$G$68</f>
        <v>0</v>
      </c>
      <c r="AL16" s="690">
        <f>'12'!$G$69</f>
        <v>335</v>
      </c>
      <c r="AM16" s="690">
        <f>'12'!$G$84</f>
        <v>746</v>
      </c>
      <c r="AN16" s="690">
        <f>'12'!$G$15</f>
        <v>930</v>
      </c>
      <c r="AO16" s="728">
        <f>'12'!$G$124</f>
        <v>275</v>
      </c>
      <c r="AP16" s="690">
        <f>'12'!$G$125</f>
        <v>-0.39999999999417923</v>
      </c>
      <c r="AQ16" s="717">
        <f>'12'!$G$126</f>
        <v>80</v>
      </c>
      <c r="AR16" s="690">
        <f>'12'!$G$127</f>
        <v>69</v>
      </c>
      <c r="AS16" s="690">
        <f>'12'!$G$128</f>
        <v>2</v>
      </c>
      <c r="AT16" s="690">
        <f t="shared" si="0"/>
        <v>504.39999999999418</v>
      </c>
      <c r="AU16" s="690">
        <f>SUM('12'!G140:G141)</f>
        <v>10.7199999999998</v>
      </c>
      <c r="AV16" s="690">
        <f>'12'!$G$137</f>
        <v>9.3100000000013097</v>
      </c>
      <c r="AW16" s="690">
        <f>'12'!$G$138</f>
        <v>0.4500000000007276</v>
      </c>
      <c r="AX16" s="690">
        <f>'12'!$G$139</f>
        <v>0</v>
      </c>
      <c r="AY16" s="687">
        <f t="shared" si="1"/>
        <v>9.7600000000020373</v>
      </c>
      <c r="BA16" s="695">
        <f>AO16-AQ16</f>
        <v>195</v>
      </c>
    </row>
    <row r="17" spans="1:53">
      <c r="A17" s="689">
        <v>44056</v>
      </c>
      <c r="B17" s="55">
        <f>'13'!G7</f>
        <v>21398</v>
      </c>
      <c r="C17" s="55">
        <f>'13'!G8</f>
        <v>22751</v>
      </c>
      <c r="D17" s="55">
        <f>'13'!G15</f>
        <v>901</v>
      </c>
      <c r="E17" s="55">
        <f>'13'!G20</f>
        <v>251</v>
      </c>
      <c r="F17" s="55">
        <f>SUM('13'!G35,'13'!G49)</f>
        <v>3138</v>
      </c>
      <c r="G17" s="55">
        <f>SUM('13'!G37,'13'!G51)</f>
        <v>1619</v>
      </c>
      <c r="H17" s="55">
        <f>SUM('13'!G38,'13'!G52)</f>
        <v>1802</v>
      </c>
      <c r="I17" s="55">
        <f>SUM('13'!G39,'13'!G53)</f>
        <v>3617</v>
      </c>
      <c r="J17" s="55">
        <f>SUM('13'!G41,'13'!G42,'13'!G55,'13'!G56)</f>
        <v>6670</v>
      </c>
      <c r="K17" s="55">
        <f>SUM('13'!G43,'13'!G57)</f>
        <v>2730.33</v>
      </c>
      <c r="L17" s="690">
        <f>'13'!G50</f>
        <v>1196</v>
      </c>
      <c r="M17" s="690">
        <f>'13'!G36</f>
        <v>726.90000000000146</v>
      </c>
      <c r="N17" s="690">
        <f>'13'!G72</f>
        <v>14</v>
      </c>
      <c r="O17" s="690">
        <f>'13'!$G$73</f>
        <v>1</v>
      </c>
      <c r="P17" s="690">
        <f>'13'!$G$74</f>
        <v>3</v>
      </c>
      <c r="Q17" s="690">
        <f>'13'!$G$75</f>
        <v>170.70000000000073</v>
      </c>
      <c r="R17" s="690">
        <f>'13'!$G$76</f>
        <v>49.100000000000364</v>
      </c>
      <c r="S17" s="690">
        <f>'13'!$G$77</f>
        <v>52</v>
      </c>
      <c r="T17" s="681">
        <f>'13'!$G$78</f>
        <v>137</v>
      </c>
      <c r="U17" s="681">
        <f>'13'!$G$79</f>
        <v>144</v>
      </c>
      <c r="V17" s="681">
        <f>'13'!$G$80</f>
        <v>411</v>
      </c>
      <c r="W17" s="681">
        <f>'13'!$G$81</f>
        <v>195</v>
      </c>
      <c r="X17" s="681">
        <f>'13'!$G$82</f>
        <v>13</v>
      </c>
      <c r="Y17" s="681">
        <f>'13'!$G$58</f>
        <v>202.80000000000291</v>
      </c>
      <c r="Z17" s="681">
        <f>'13'!$G$83</f>
        <v>354</v>
      </c>
      <c r="AA17" s="681">
        <f>'13'!G86</f>
        <v>8</v>
      </c>
      <c r="AB17" s="681">
        <f>'13'!G87</f>
        <v>33</v>
      </c>
      <c r="AC17" s="681">
        <f>'13'!G88</f>
        <v>0</v>
      </c>
      <c r="AD17" s="681">
        <f>'13'!G87+'13'!H90</f>
        <v>41</v>
      </c>
      <c r="AE17" s="690">
        <f>'13'!$G$62</f>
        <v>0</v>
      </c>
      <c r="AF17" s="690">
        <f>'13'!$G$63</f>
        <v>0</v>
      </c>
      <c r="AG17" s="690">
        <f>'13'!$G$64</f>
        <v>417</v>
      </c>
      <c r="AH17" s="690">
        <f>'13'!$G$65</f>
        <v>400</v>
      </c>
      <c r="AI17" s="690">
        <f>'13'!$G$66</f>
        <v>371</v>
      </c>
      <c r="AJ17" s="690">
        <f>'13'!$G$67</f>
        <v>476</v>
      </c>
      <c r="AK17" s="690">
        <f>'13'!$G$68</f>
        <v>0</v>
      </c>
      <c r="AL17" s="690">
        <f>'13'!$G$69</f>
        <v>308</v>
      </c>
      <c r="AM17" s="690">
        <f>'13'!$G$84</f>
        <v>804</v>
      </c>
      <c r="AN17" s="690">
        <f>'13'!$G$15</f>
        <v>901</v>
      </c>
      <c r="AO17" s="728">
        <f>'13'!$G$124</f>
        <v>277</v>
      </c>
      <c r="AP17" s="690">
        <f>'13'!$G$125</f>
        <v>0</v>
      </c>
      <c r="AQ17" s="690">
        <f>'13'!$G$126</f>
        <v>101</v>
      </c>
      <c r="AR17" s="690">
        <f>'13'!$G$127</f>
        <v>35</v>
      </c>
      <c r="AS17" s="690">
        <f>'13'!$G$128</f>
        <v>2</v>
      </c>
      <c r="AT17" s="690">
        <f t="shared" si="0"/>
        <v>486</v>
      </c>
      <c r="AU17" s="690">
        <f>SUM('13'!G140:G141)</f>
        <v>10.200000000000273</v>
      </c>
      <c r="AV17" s="690">
        <f>'13'!$G$137</f>
        <v>5.5200000000004366</v>
      </c>
      <c r="AW17" s="690">
        <f>'13'!$G$138</f>
        <v>3.6300000000010186</v>
      </c>
      <c r="AX17" s="690">
        <f>'13'!$G$139</f>
        <v>0.19999999999708962</v>
      </c>
      <c r="AY17" s="687">
        <f t="shared" si="1"/>
        <v>9.3499999999985448</v>
      </c>
      <c r="BA17" s="695">
        <f t="shared" ref="BA17:BA34" si="4">AO17-AT17</f>
        <v>-209</v>
      </c>
    </row>
    <row r="18" spans="1:53">
      <c r="A18" s="689">
        <v>44057</v>
      </c>
      <c r="B18" s="55">
        <f>'14'!G7</f>
        <v>20799</v>
      </c>
      <c r="C18" s="55">
        <f>'14'!G8</f>
        <v>20814</v>
      </c>
      <c r="D18" s="55">
        <f>'14'!G15</f>
        <v>1092</v>
      </c>
      <c r="E18" s="55">
        <f>'14'!G20</f>
        <v>223</v>
      </c>
      <c r="F18" s="55">
        <f>SUM('14'!G35,'14'!G49)</f>
        <v>3064</v>
      </c>
      <c r="G18" s="55">
        <f>SUM('14'!G37,'14'!G51)</f>
        <v>1554</v>
      </c>
      <c r="H18" s="55">
        <f>SUM('14'!G38,'14'!G52)</f>
        <v>1717</v>
      </c>
      <c r="I18" s="55">
        <f>SUM('14'!G39,'14'!G53)</f>
        <v>3673.5900000000256</v>
      </c>
      <c r="J18" s="55">
        <f>SUM('14'!G41,'14'!G42,'14'!G55,'14'!G56)</f>
        <v>6022</v>
      </c>
      <c r="K18" s="55">
        <f>SUM('14'!G43,'14'!G57)</f>
        <v>2490</v>
      </c>
      <c r="L18" s="690">
        <f>'14'!G50</f>
        <v>986</v>
      </c>
      <c r="M18" s="690">
        <f>'14'!G36</f>
        <v>633.40000000000146</v>
      </c>
      <c r="N18" s="690">
        <f>'14'!G72</f>
        <v>12</v>
      </c>
      <c r="O18" s="690">
        <f>'14'!$G$73</f>
        <v>1</v>
      </c>
      <c r="P18" s="690">
        <f>'14'!$G$74</f>
        <v>72</v>
      </c>
      <c r="Q18" s="690">
        <f>'14'!$G$75</f>
        <v>176.79999999999927</v>
      </c>
      <c r="R18" s="690">
        <f>'14'!$G$76</f>
        <v>51.899999999999636</v>
      </c>
      <c r="S18" s="690">
        <f>'14'!$G$77</f>
        <v>51</v>
      </c>
      <c r="T18" s="681">
        <f>'14'!$G$78</f>
        <v>83</v>
      </c>
      <c r="U18" s="681">
        <f>'14'!$G$79</f>
        <v>166</v>
      </c>
      <c r="V18" s="681">
        <f>'14'!$G$80</f>
        <v>414</v>
      </c>
      <c r="W18" s="681">
        <f>'14'!$G$81</f>
        <v>172</v>
      </c>
      <c r="X18" s="681">
        <f>'14'!$G$82</f>
        <v>21</v>
      </c>
      <c r="Y18" s="681">
        <f>'14'!$G$58</f>
        <v>197.89999999999418</v>
      </c>
      <c r="Z18" s="681">
        <f>'14'!$G$83</f>
        <v>297</v>
      </c>
      <c r="AA18" s="681">
        <f>'14'!G86</f>
        <v>8</v>
      </c>
      <c r="AB18" s="681">
        <f>'14'!G87</f>
        <v>24</v>
      </c>
      <c r="AC18" s="681">
        <f>'14'!G88</f>
        <v>0</v>
      </c>
      <c r="AD18" s="681">
        <f>'14'!G87+'14'!H90</f>
        <v>25</v>
      </c>
      <c r="AE18" s="690">
        <f>'14'!$G$62</f>
        <v>0</v>
      </c>
      <c r="AF18" s="690">
        <f>'14'!$G$63</f>
        <v>0</v>
      </c>
      <c r="AG18" s="690">
        <f>'14'!$G$64</f>
        <v>359</v>
      </c>
      <c r="AH18" s="690">
        <f>'14'!$G$65</f>
        <v>26</v>
      </c>
      <c r="AI18" s="690">
        <f>'14'!$G$66</f>
        <v>408</v>
      </c>
      <c r="AJ18" s="690">
        <f>'14'!$G$67</f>
        <v>466</v>
      </c>
      <c r="AK18" s="690">
        <f>'14'!$G$68</f>
        <v>0</v>
      </c>
      <c r="AL18" s="690">
        <f>'14'!$G$69</f>
        <v>303</v>
      </c>
      <c r="AM18" s="690">
        <f>'14'!$G$84</f>
        <v>807</v>
      </c>
      <c r="AN18" s="690">
        <f>'14'!$G$15</f>
        <v>1092</v>
      </c>
      <c r="AO18" s="690">
        <f>'14'!$G$124</f>
        <v>271</v>
      </c>
      <c r="AP18" s="690">
        <f>'14'!$G$125</f>
        <v>0.39999999999417923</v>
      </c>
      <c r="AQ18" s="690">
        <f>'14'!$G$126</f>
        <v>110</v>
      </c>
      <c r="AR18" s="690">
        <f>'14'!$G$127</f>
        <v>47</v>
      </c>
      <c r="AS18" s="690">
        <f>'14'!$G$128</f>
        <v>4</v>
      </c>
      <c r="AT18" s="690">
        <f t="shared" si="0"/>
        <v>659.60000000000582</v>
      </c>
      <c r="AU18" s="690">
        <f>SUM('14'!G140:G141)</f>
        <v>9.8899999999998727</v>
      </c>
      <c r="AV18" s="690">
        <f>'14'!$G$137</f>
        <v>0</v>
      </c>
      <c r="AW18" s="690">
        <f>'14'!$G$138</f>
        <v>9.8999999999978172</v>
      </c>
      <c r="AX18" s="690">
        <f>'14'!$G$139</f>
        <v>5.3500000000058208</v>
      </c>
      <c r="AY18" s="687">
        <f t="shared" si="1"/>
        <v>15.250000000003638</v>
      </c>
      <c r="BA18" s="695">
        <f>AO18-AT18</f>
        <v>-388.60000000000582</v>
      </c>
    </row>
    <row r="19" spans="1:53">
      <c r="A19" s="689">
        <v>44058</v>
      </c>
      <c r="B19" s="55">
        <f>'15'!G7</f>
        <v>21488</v>
      </c>
      <c r="C19" s="55">
        <f>'15'!G8</f>
        <v>21550</v>
      </c>
      <c r="D19" s="1079">
        <f>'15'!G15</f>
        <v>920</v>
      </c>
      <c r="E19" s="55">
        <f>'15'!G20</f>
        <v>254</v>
      </c>
      <c r="F19" s="1079">
        <f>SUM('15'!G35,'15'!G49)</f>
        <v>2975</v>
      </c>
      <c r="G19" s="1079">
        <f>SUM('15'!G37,'15'!G51)</f>
        <v>1554</v>
      </c>
      <c r="H19" s="1079">
        <f>SUM('15'!G38,'15'!G52)</f>
        <v>1841.9300000000512</v>
      </c>
      <c r="I19" s="1079">
        <f>SUM('15'!G39,'15'!G53)</f>
        <v>3671.4099999999744</v>
      </c>
      <c r="J19" s="1079">
        <f>SUM('15'!G41,'15'!G42,'15'!G55,'15'!G56)</f>
        <v>6209</v>
      </c>
      <c r="K19" s="55">
        <f>SUM('15'!G43,'15'!G57)</f>
        <v>2580</v>
      </c>
      <c r="L19" s="1080">
        <f>'15'!G50</f>
        <v>1206</v>
      </c>
      <c r="M19" s="690">
        <f>'15'!G36</f>
        <v>823</v>
      </c>
      <c r="N19" s="690">
        <f>'15'!G72</f>
        <v>10</v>
      </c>
      <c r="O19" s="690">
        <f>'15'!$G$73</f>
        <v>1</v>
      </c>
      <c r="P19" s="690">
        <f>'15'!$G$74</f>
        <v>1</v>
      </c>
      <c r="Q19" s="690">
        <f>'15'!$G$75</f>
        <v>179</v>
      </c>
      <c r="R19" s="690">
        <f>'15'!$G$76</f>
        <v>47</v>
      </c>
      <c r="S19" s="690">
        <f>'15'!$G$77</f>
        <v>44</v>
      </c>
      <c r="T19" s="681">
        <f>'15'!$G$78</f>
        <v>75</v>
      </c>
      <c r="U19" s="681">
        <f>'15'!$G$79</f>
        <v>154</v>
      </c>
      <c r="V19" s="681">
        <f>'15'!$G$80</f>
        <v>424</v>
      </c>
      <c r="W19" s="681">
        <f>'15'!$G$81</f>
        <v>210</v>
      </c>
      <c r="X19" s="681">
        <f>'15'!$G$82</f>
        <v>13</v>
      </c>
      <c r="Y19" s="681">
        <f>'15'!$G$58</f>
        <v>212.30000000000291</v>
      </c>
      <c r="Z19" s="681">
        <f>'15'!$G$83</f>
        <v>390</v>
      </c>
      <c r="AA19" s="681">
        <f>'15'!G86</f>
        <v>8</v>
      </c>
      <c r="AB19" s="681">
        <f>'15'!G87</f>
        <v>26</v>
      </c>
      <c r="AC19" s="681">
        <f>'15'!G88</f>
        <v>0</v>
      </c>
      <c r="AD19" s="681">
        <f>'15'!G87+'15'!H90</f>
        <v>27</v>
      </c>
      <c r="AE19" s="690">
        <f>'15'!$G$62</f>
        <v>0.18000000000029104</v>
      </c>
      <c r="AF19" s="690">
        <f>'15'!$G$63</f>
        <v>0</v>
      </c>
      <c r="AG19" s="690">
        <f>'15'!$G$64</f>
        <v>362</v>
      </c>
      <c r="AH19" s="690">
        <f>'15'!$G$65</f>
        <v>777</v>
      </c>
      <c r="AI19" s="690">
        <f>'15'!$G$66</f>
        <v>404</v>
      </c>
      <c r="AJ19" s="690">
        <f>'15'!$G$67</f>
        <v>444</v>
      </c>
      <c r="AK19" s="690">
        <f>'15'!$G$68</f>
        <v>0</v>
      </c>
      <c r="AL19" s="690">
        <f>'15'!$G$69</f>
        <v>292</v>
      </c>
      <c r="AM19" s="690">
        <f>'15'!$G$84</f>
        <v>837</v>
      </c>
      <c r="AN19" s="690">
        <f>'15'!$G$15</f>
        <v>920</v>
      </c>
      <c r="AO19" s="690">
        <f>'15'!$G$124</f>
        <v>304</v>
      </c>
      <c r="AP19" s="690">
        <f>'15'!$G$125</f>
        <v>0</v>
      </c>
      <c r="AQ19" s="690">
        <f>'15'!$G$126</f>
        <v>86</v>
      </c>
      <c r="AR19" s="690">
        <f>'15'!$G$127</f>
        <v>57</v>
      </c>
      <c r="AS19" s="690">
        <f>'15'!$G$128</f>
        <v>3</v>
      </c>
      <c r="AT19" s="690">
        <f t="shared" si="0"/>
        <v>470</v>
      </c>
      <c r="AU19" s="690">
        <f>SUM('15'!G140:G141)</f>
        <v>11.220000000000255</v>
      </c>
      <c r="AV19" s="690">
        <f>'15'!$G$137</f>
        <v>8.6299999999973807</v>
      </c>
      <c r="AW19" s="690">
        <f>'15'!$G$138</f>
        <v>0</v>
      </c>
      <c r="AX19" s="690">
        <f>'15'!$G$139</f>
        <v>0</v>
      </c>
      <c r="AY19" s="687">
        <f t="shared" si="1"/>
        <v>8.6299999999973807</v>
      </c>
      <c r="BA19" s="695">
        <f t="shared" si="4"/>
        <v>-166</v>
      </c>
    </row>
    <row r="20" spans="1:53">
      <c r="A20" s="689">
        <v>44059</v>
      </c>
      <c r="B20" s="55">
        <f>'16'!G7</f>
        <v>23250</v>
      </c>
      <c r="C20" s="55">
        <f>'16'!G8</f>
        <v>-676966.61</v>
      </c>
      <c r="D20" s="55">
        <f>'16'!G15</f>
        <v>950</v>
      </c>
      <c r="E20" s="55">
        <f>'16'!G20</f>
        <v>170</v>
      </c>
      <c r="F20" s="55">
        <f>SUM('16'!G35,'16'!G49)</f>
        <v>-91142.52999999997</v>
      </c>
      <c r="G20" s="55">
        <f>SUM('16'!G37,'16'!G51)</f>
        <v>-48548.100000000006</v>
      </c>
      <c r="H20" s="55">
        <f>SUM('16'!G38,'16'!G52)</f>
        <v>-49969.360000000044</v>
      </c>
      <c r="I20" s="55">
        <f>SUM('16'!G39,'16'!G53)</f>
        <v>-113041.50999999995</v>
      </c>
      <c r="J20" s="55">
        <f>SUM('16'!G41,'16'!G42,'16'!G55,'16'!G56)</f>
        <v>-208824.16999999998</v>
      </c>
      <c r="K20" s="55">
        <f>SUM('16'!G43,'16'!G57)</f>
        <v>-83668.5</v>
      </c>
      <c r="L20" s="690">
        <f>'16'!G50</f>
        <v>-33597.569999999949</v>
      </c>
      <c r="M20" s="690">
        <f>'16'!G36</f>
        <v>-23881.17</v>
      </c>
      <c r="N20" s="690">
        <f>'16'!G72</f>
        <v>-387</v>
      </c>
      <c r="O20" s="690">
        <f>'16'!$G$73</f>
        <v>-37</v>
      </c>
      <c r="P20" s="690">
        <f>'16'!$G$74</f>
        <v>-37.399999999994179</v>
      </c>
      <c r="Q20" s="690">
        <f>'16'!$G$75</f>
        <v>-4962.91</v>
      </c>
      <c r="R20" s="690">
        <f>'16'!$G$76</f>
        <v>-1823.9899999999998</v>
      </c>
      <c r="S20" s="690">
        <f>'16'!$G$77</f>
        <v>-2036</v>
      </c>
      <c r="T20" s="681">
        <f>'16'!$G$78</f>
        <v>-3533</v>
      </c>
      <c r="U20" s="681">
        <f>'16'!$G$79</f>
        <v>-4607</v>
      </c>
      <c r="V20" s="681">
        <f>'16'!$G$80</f>
        <v>-12242.239999999991</v>
      </c>
      <c r="W20" s="681">
        <f>'16'!$G$81</f>
        <v>-5592.9200000000419</v>
      </c>
      <c r="X20" s="681">
        <f>'16'!$G$82</f>
        <v>-600.11999999999534</v>
      </c>
      <c r="Y20" s="681">
        <f>'16'!$G$58</f>
        <v>-5957.8099999999977</v>
      </c>
      <c r="Z20" s="681">
        <f>'16'!$G$83</f>
        <v>-8437</v>
      </c>
      <c r="AA20" s="681">
        <f>'16'!G86</f>
        <v>-911.11999999999534</v>
      </c>
      <c r="AB20" s="681">
        <f>'16'!G87</f>
        <v>-875.60000000000582</v>
      </c>
      <c r="AC20" s="681">
        <f>'16'!G88</f>
        <v>-1087.3399999999965</v>
      </c>
      <c r="AD20" s="681">
        <f>'16'!G87+'16'!H90</f>
        <v>-996.70000000000573</v>
      </c>
      <c r="AE20" s="690">
        <f>'16'!$G$62</f>
        <v>0</v>
      </c>
      <c r="AF20" s="690">
        <f>'16'!$G$63</f>
        <v>0</v>
      </c>
      <c r="AG20" s="690">
        <f>'16'!$G$64</f>
        <v>-11250.190000000002</v>
      </c>
      <c r="AH20" s="690">
        <f>'16'!$G$65</f>
        <v>-11863.929999999993</v>
      </c>
      <c r="AI20" s="690">
        <f>'16'!$G$66</f>
        <v>-12191.36</v>
      </c>
      <c r="AJ20" s="690">
        <f>'16'!$G$67</f>
        <v>-14768.950000000012</v>
      </c>
      <c r="AK20" s="690">
        <f>'16'!$G$68</f>
        <v>0</v>
      </c>
      <c r="AL20" s="690">
        <f>'16'!$G$69</f>
        <v>-9590.8800000000047</v>
      </c>
      <c r="AM20" s="690">
        <f>'16'!$G$84</f>
        <v>-23138</v>
      </c>
      <c r="AN20" s="690">
        <f>'16'!$G$15</f>
        <v>950</v>
      </c>
      <c r="AO20" s="728">
        <f>'16'!$G$124</f>
        <v>-8028.4899999999907</v>
      </c>
      <c r="AP20" s="690">
        <f>'16'!$G$125</f>
        <v>0</v>
      </c>
      <c r="AQ20" s="690">
        <f>'16'!$G$126</f>
        <v>-2565.4700000000012</v>
      </c>
      <c r="AR20" s="690">
        <f>'16'!$G$127</f>
        <v>-1276.7999999999993</v>
      </c>
      <c r="AS20" s="690">
        <f>'16'!$G$128</f>
        <v>-70.600000000000364</v>
      </c>
      <c r="AT20" s="690">
        <f t="shared" si="0"/>
        <v>12891.359999999991</v>
      </c>
      <c r="AU20" s="690">
        <f>SUM('16'!G140:G141)</f>
        <v>-291.15999999999985</v>
      </c>
      <c r="AV20" s="690">
        <f>'16'!$G$137</f>
        <v>-213.66999999999825</v>
      </c>
      <c r="AW20" s="690">
        <f>'16'!$G$138</f>
        <v>-33.819999999999709</v>
      </c>
      <c r="AX20" s="690">
        <f>'16'!$G$139</f>
        <v>-6.9499999999970896</v>
      </c>
      <c r="AY20" s="687">
        <f t="shared" si="1"/>
        <v>-254.43999999999505</v>
      </c>
      <c r="BA20" s="695">
        <f t="shared" si="4"/>
        <v>-20919.849999999984</v>
      </c>
    </row>
    <row r="21" spans="1:53">
      <c r="A21" s="689">
        <v>44060</v>
      </c>
      <c r="B21" s="55">
        <f>'17'!G7</f>
        <v>23250</v>
      </c>
      <c r="C21" s="55">
        <f>'17'!G8</f>
        <v>24914.739999999991</v>
      </c>
      <c r="D21" s="55">
        <f>'17'!G15</f>
        <v>950</v>
      </c>
      <c r="E21" s="55">
        <f>'17'!G20</f>
        <v>200</v>
      </c>
      <c r="F21" s="55">
        <f>SUM('17'!G35,'17'!G49)</f>
        <v>3270.4200000000419</v>
      </c>
      <c r="G21" s="55">
        <f>SUM('17'!G37,'17'!G51)</f>
        <v>1656.5500000000175</v>
      </c>
      <c r="H21" s="55">
        <f>SUM('17'!G38,'17'!G52)</f>
        <v>1759.9199999999837</v>
      </c>
      <c r="I21" s="55">
        <f>SUM('17'!G39,'17'!G53)</f>
        <v>3718.9299999999348</v>
      </c>
      <c r="J21" s="55">
        <f>SUM('17'!G41,'17'!G42,'17'!G55,'17'!G56)</f>
        <v>8133.399999999936</v>
      </c>
      <c r="K21" s="55">
        <f>SUM('17'!G43,'17'!G57)</f>
        <v>3097.3999999999069</v>
      </c>
      <c r="L21" s="690">
        <f>'17'!G50</f>
        <v>1300.4399999999441</v>
      </c>
      <c r="M21" s="690">
        <f>'17'!G36</f>
        <v>1131.8199999999997</v>
      </c>
      <c r="N21" s="690">
        <f>'18'!G72</f>
        <v>15</v>
      </c>
      <c r="O21" s="690">
        <f>'17'!$G$73</f>
        <v>1</v>
      </c>
      <c r="P21" s="690">
        <f>'17'!$G$74</f>
        <v>1</v>
      </c>
      <c r="Q21" s="690">
        <f>'17'!$G$75</f>
        <v>176.70999999999913</v>
      </c>
      <c r="R21" s="690">
        <f>'17'!$G$76</f>
        <v>65.119999999998981</v>
      </c>
      <c r="S21" s="690">
        <f>'17'!$G$77</f>
        <v>65</v>
      </c>
      <c r="T21" s="681">
        <f>'17'!$G$78</f>
        <v>100</v>
      </c>
      <c r="U21" s="681">
        <f>'17'!$G$79</f>
        <v>199</v>
      </c>
      <c r="V21" s="681">
        <f>'17'!$G$80</f>
        <v>476.55999999993946</v>
      </c>
      <c r="W21" s="681">
        <f>'17'!$G$81</f>
        <v>231.20000000006985</v>
      </c>
      <c r="X21" s="681">
        <f>'17'!$G$82</f>
        <v>27.369999999995343</v>
      </c>
      <c r="Y21" s="681">
        <f>'17'!$G$58</f>
        <v>192.36999999999534</v>
      </c>
      <c r="Z21" s="681">
        <f>'17'!$G$83</f>
        <v>276</v>
      </c>
      <c r="AA21" s="681">
        <f>'17'!G86</f>
        <v>17.960000000020955</v>
      </c>
      <c r="AB21" s="681">
        <f>'17'!G87</f>
        <v>19.600000000005821</v>
      </c>
      <c r="AC21" s="681">
        <f>'17'!G88</f>
        <v>121.05999999999767</v>
      </c>
      <c r="AD21" s="681">
        <f>'17'!G87+'17'!H90</f>
        <v>21.70000000000573</v>
      </c>
      <c r="AE21" s="690">
        <f>'17'!$G$62</f>
        <v>-0.18000000000029104</v>
      </c>
      <c r="AF21" s="690">
        <f>'17'!$G$63</f>
        <v>0</v>
      </c>
      <c r="AG21" s="690">
        <f>'17'!$G$64</f>
        <v>365.26000000000931</v>
      </c>
      <c r="AH21" s="690">
        <f>'17'!$G$65</f>
        <v>386.53999999997905</v>
      </c>
      <c r="AI21" s="690">
        <f>'17'!$G$66</f>
        <v>390.9600000000064</v>
      </c>
      <c r="AJ21" s="690">
        <f>'17'!$G$67</f>
        <v>477.85999999998603</v>
      </c>
      <c r="AK21" s="690">
        <f>'17'!$G$68</f>
        <v>0</v>
      </c>
      <c r="AL21" s="690">
        <f>'17'!$G$69</f>
        <v>301.97000000000116</v>
      </c>
      <c r="AM21" s="690">
        <f>'17'!$G$84</f>
        <v>678</v>
      </c>
      <c r="AN21" s="690">
        <f>'17'!$G$15</f>
        <v>950</v>
      </c>
      <c r="AO21" s="690">
        <f>'17'!$G$124</f>
        <v>289.02000000001863</v>
      </c>
      <c r="AP21" s="690">
        <f>'17'!$G$125</f>
        <v>0</v>
      </c>
      <c r="AQ21" s="690">
        <f>'17'!$G$126</f>
        <v>114.20000000001164</v>
      </c>
      <c r="AR21" s="690">
        <f>'17'!$G$127</f>
        <v>41</v>
      </c>
      <c r="AS21" s="690">
        <f>'17'!$G$128</f>
        <v>6.7000000000007276</v>
      </c>
      <c r="AT21" s="690">
        <f t="shared" si="0"/>
        <v>499.079999999969</v>
      </c>
      <c r="AU21" s="690">
        <f>SUM('17'!G140:G141)</f>
        <v>10.059999999999491</v>
      </c>
      <c r="AV21" s="690">
        <f>'17'!$G$137</f>
        <v>9.1100000000005821</v>
      </c>
      <c r="AW21" s="690">
        <f>'17'!$G$138</f>
        <v>0</v>
      </c>
      <c r="AX21" s="690">
        <f>'17'!$G$139</f>
        <v>0</v>
      </c>
      <c r="AY21" s="687">
        <f t="shared" si="1"/>
        <v>9.1100000000005821</v>
      </c>
      <c r="BA21" s="695">
        <f t="shared" si="4"/>
        <v>-210.05999999995038</v>
      </c>
    </row>
    <row r="22" spans="1:53">
      <c r="A22" s="689">
        <v>44061</v>
      </c>
      <c r="B22" s="55">
        <f>'18'!G7</f>
        <v>23250</v>
      </c>
      <c r="C22" s="55">
        <f>'18'!G8</f>
        <v>25951.080000000016</v>
      </c>
      <c r="D22" s="55">
        <f>'18'!G15</f>
        <v>950</v>
      </c>
      <c r="E22" s="55">
        <f>'18'!G20</f>
        <v>230</v>
      </c>
      <c r="F22" s="55">
        <f>SUM('18'!G35,'18'!G49)</f>
        <v>3484.8079999999609</v>
      </c>
      <c r="G22" s="55">
        <f>SUM('18'!G37,'18'!G51)</f>
        <v>1846.5199999999895</v>
      </c>
      <c r="H22" s="55">
        <f>SUM('18'!G38,'18'!G52)</f>
        <v>1840.9800000000105</v>
      </c>
      <c r="I22" s="55">
        <f>SUM('18'!G39,'18'!G53)</f>
        <v>3750.8400000000256</v>
      </c>
      <c r="J22" s="55">
        <f>SUM('18'!G41,'18'!G42,'18'!G55,'18'!G56)</f>
        <v>8129.570000000007</v>
      </c>
      <c r="K22" s="55">
        <f>SUM('18'!G43,'18'!G57)</f>
        <v>3145.2000000001863</v>
      </c>
      <c r="L22" s="690">
        <f>'18'!G50</f>
        <v>1712.1999999999534</v>
      </c>
      <c r="M22" s="690">
        <f>'18'!G36</f>
        <v>1191.6299999999974</v>
      </c>
      <c r="N22" s="690">
        <f>'18'!G72</f>
        <v>15</v>
      </c>
      <c r="O22" s="690">
        <f>'18'!$G$73</f>
        <v>1</v>
      </c>
      <c r="P22" s="690">
        <f>'18'!$G$74</f>
        <v>0.5</v>
      </c>
      <c r="Q22" s="690">
        <f>'18'!$G$75</f>
        <v>172.45000000000073</v>
      </c>
      <c r="R22" s="690">
        <f>'18'!$G$76</f>
        <v>63.150000000001455</v>
      </c>
      <c r="S22" s="690">
        <f>'18'!$G$77</f>
        <v>86</v>
      </c>
      <c r="T22" s="681">
        <f>'18'!$G$78</f>
        <v>104</v>
      </c>
      <c r="U22" s="681">
        <f>'18'!$G$79</f>
        <v>157</v>
      </c>
      <c r="V22" s="693">
        <f>'18'!$G$80</f>
        <v>503.68000000005122</v>
      </c>
      <c r="W22" s="693">
        <f>'18'!$G$81</f>
        <v>226.23999999999069</v>
      </c>
      <c r="X22" s="693">
        <f>'18'!$G$82</f>
        <v>22.600000000005821</v>
      </c>
      <c r="Y22" s="693">
        <f>'18'!$G$58</f>
        <v>191.56999999999971</v>
      </c>
      <c r="Z22" s="693">
        <f>'18'!$G$83</f>
        <v>229</v>
      </c>
      <c r="AA22" s="693">
        <f>'18'!G86</f>
        <v>8.1599999999743886</v>
      </c>
      <c r="AB22" s="681">
        <f>'18'!G87</f>
        <v>9.6000000000058208</v>
      </c>
      <c r="AC22" s="681">
        <f>'18'!G88</f>
        <v>75.279999999998836</v>
      </c>
      <c r="AD22" s="681">
        <f>'18'!G87+'18'!H90</f>
        <v>10.600000000005821</v>
      </c>
      <c r="AE22" s="690">
        <f>'18'!$G$62</f>
        <v>0.18000000000029104</v>
      </c>
      <c r="AF22" s="690">
        <f>'18'!$G$63</f>
        <v>0</v>
      </c>
      <c r="AG22" s="690">
        <f>'18'!$G$64</f>
        <v>372.07999999998719</v>
      </c>
      <c r="AH22" s="690">
        <f>'18'!$G$65</f>
        <v>408.42000000001281</v>
      </c>
      <c r="AI22" s="690">
        <f>'18'!$G$66</f>
        <v>427.29999999998836</v>
      </c>
      <c r="AJ22" s="690">
        <f>'18'!$G$67</f>
        <v>472.20000000001164</v>
      </c>
      <c r="AK22" s="690">
        <f>'18'!$G$68</f>
        <v>0</v>
      </c>
      <c r="AL22" s="690">
        <f>'18'!$G$69</f>
        <v>307.29000000000815</v>
      </c>
      <c r="AM22" s="690">
        <f>'18'!$G$84</f>
        <v>823</v>
      </c>
      <c r="AN22" s="690">
        <f>'18'!$G$15</f>
        <v>950</v>
      </c>
      <c r="AO22" s="690">
        <f>'18'!$G$124</f>
        <v>295.73999999999069</v>
      </c>
      <c r="AP22" s="690">
        <f>'18'!$G$125</f>
        <v>0</v>
      </c>
      <c r="AQ22" s="690">
        <f>'18'!$G$126</f>
        <v>107.79999999998836</v>
      </c>
      <c r="AR22" s="690">
        <f>'18'!$G$127</f>
        <v>45.100000000002183</v>
      </c>
      <c r="AS22" s="690">
        <f>'18'!$G$128</f>
        <v>4.8999999999996362</v>
      </c>
      <c r="AT22" s="690">
        <f t="shared" si="0"/>
        <v>496.46000000001914</v>
      </c>
      <c r="AU22" s="690">
        <f>SUM('18'!G140:G141)</f>
        <v>10.289999999999964</v>
      </c>
      <c r="AV22" s="690">
        <f>'18'!$G$137</f>
        <v>8.5399999999972351</v>
      </c>
      <c r="AW22" s="690">
        <f>'18'!$G$138</f>
        <v>0</v>
      </c>
      <c r="AX22" s="690">
        <f>'18'!$G$139</f>
        <v>0</v>
      </c>
      <c r="AY22" s="687">
        <f t="shared" si="1"/>
        <v>8.5399999999972351</v>
      </c>
      <c r="BA22" s="695">
        <f t="shared" si="4"/>
        <v>-200.72000000002845</v>
      </c>
    </row>
    <row r="23" spans="1:53" s="692" customFormat="1">
      <c r="A23" s="689">
        <v>44062</v>
      </c>
      <c r="B23" s="55">
        <f>'19'!G7</f>
        <v>23250</v>
      </c>
      <c r="C23" s="55">
        <f>'19'!G8</f>
        <v>21717.789999999979</v>
      </c>
      <c r="D23" s="55">
        <f>'19'!G15</f>
        <v>950</v>
      </c>
      <c r="E23" s="55">
        <f>'19'!G20</f>
        <v>260</v>
      </c>
      <c r="F23" s="55">
        <f>SUM('19'!G35,'19'!G49)</f>
        <v>3252.3019999999669</v>
      </c>
      <c r="G23" s="55">
        <f>SUM('19'!G37,'19'!G51)</f>
        <v>1591.1600000000035</v>
      </c>
      <c r="H23" s="55">
        <f>SUM('19'!G38,'19'!G52)</f>
        <v>1606.4600000000501</v>
      </c>
      <c r="I23" s="55">
        <f>SUM('19'!G39,'19'!G53)</f>
        <v>3770.3300000000163</v>
      </c>
      <c r="J23" s="55">
        <f>SUM('19'!G41,'19'!G42,'19'!G55,'19'!G56)</f>
        <v>6446.2000000000407</v>
      </c>
      <c r="K23" s="55">
        <f>SUM('19'!G43,'19'!G57)</f>
        <v>2549.5699999999069</v>
      </c>
      <c r="L23" s="681">
        <f>'19'!G50</f>
        <v>1093.9300000000512</v>
      </c>
      <c r="M23" s="681">
        <f>'19'!G36</f>
        <v>815.72000000000116</v>
      </c>
      <c r="N23" s="681">
        <f>'19'!G72</f>
        <v>14</v>
      </c>
      <c r="O23" s="681">
        <f>'19'!$G$73</f>
        <v>2</v>
      </c>
      <c r="P23" s="681">
        <f>'19'!$G$74</f>
        <v>-0.10000000000582077</v>
      </c>
      <c r="Q23" s="681">
        <f>'19'!$G$75</f>
        <v>148.25</v>
      </c>
      <c r="R23" s="690">
        <f>'19'!G76</f>
        <v>60.719999999999345</v>
      </c>
      <c r="S23" s="681">
        <f>'19'!$G$77</f>
        <v>68</v>
      </c>
      <c r="T23" s="681">
        <f>'19'!$G$78</f>
        <v>82</v>
      </c>
      <c r="U23" s="681">
        <f>'19'!$G$79</f>
        <v>155</v>
      </c>
      <c r="V23" s="681">
        <f>'19'!$G$80</f>
        <v>401</v>
      </c>
      <c r="W23" s="681">
        <f>'19'!$G$81</f>
        <v>219.47999999998137</v>
      </c>
      <c r="X23" s="681">
        <f>'19'!$G$82</f>
        <v>24.149999999994179</v>
      </c>
      <c r="Y23" s="681">
        <f>'19'!$G$58</f>
        <v>217.87000000000262</v>
      </c>
      <c r="Z23" s="681">
        <f>'19'!$G$83</f>
        <v>272</v>
      </c>
      <c r="AA23" s="681">
        <f>'19'!G86</f>
        <v>17</v>
      </c>
      <c r="AB23" s="681">
        <f>'19'!G87</f>
        <v>30.399999999994179</v>
      </c>
      <c r="AC23" s="681">
        <f>'19'!G88</f>
        <v>126</v>
      </c>
      <c r="AD23" s="681">
        <f>'19'!G87+'19'!H90</f>
        <v>33.399999999994179</v>
      </c>
      <c r="AE23" s="681">
        <f>'19'!$G$62</f>
        <v>2.0000000000436557E-2</v>
      </c>
      <c r="AF23" s="681">
        <f>'19'!$G$63</f>
        <v>0</v>
      </c>
      <c r="AG23" s="681">
        <f>'19'!$G$64</f>
        <v>374.85000000000582</v>
      </c>
      <c r="AH23" s="681">
        <f>'19'!$G$65</f>
        <v>395.97000000000116</v>
      </c>
      <c r="AI23" s="681">
        <f>'19'!$G$66</f>
        <v>429.10000000000582</v>
      </c>
      <c r="AJ23" s="681">
        <f>'19'!$G$67</f>
        <v>481.89000000001397</v>
      </c>
      <c r="AK23" s="681">
        <f>'19'!$G$68</f>
        <v>0</v>
      </c>
      <c r="AL23" s="681">
        <f>'19'!$G$69</f>
        <v>305.61999999999534</v>
      </c>
      <c r="AM23" s="681">
        <f>'19'!$G$84</f>
        <v>776</v>
      </c>
      <c r="AN23" s="681">
        <f>'19'!$G$15</f>
        <v>950</v>
      </c>
      <c r="AO23" s="681">
        <f>'19'!$G$124</f>
        <v>267.72999999998137</v>
      </c>
      <c r="AP23" s="681">
        <f>'19'!$G$125</f>
        <v>0</v>
      </c>
      <c r="AQ23" s="681">
        <f>'19'!$G$126</f>
        <v>68.470000000001164</v>
      </c>
      <c r="AR23" s="681">
        <f>'19'!$G$127</f>
        <v>31.69999999999709</v>
      </c>
      <c r="AS23" s="681">
        <f>'19'!$G$128</f>
        <v>0</v>
      </c>
      <c r="AT23" s="681">
        <f t="shared" si="0"/>
        <v>582.10000000002037</v>
      </c>
      <c r="AU23" s="681">
        <f>SUM('19'!G140:G141)</f>
        <v>9.4000000000005457</v>
      </c>
      <c r="AV23" s="681">
        <f>'19'!$G$137</f>
        <v>9.5600000000013097</v>
      </c>
      <c r="AW23" s="681">
        <f>'19'!$G$138</f>
        <v>-0.15999999999985448</v>
      </c>
      <c r="AX23" s="681">
        <f>'19'!$G$139</f>
        <v>0</v>
      </c>
      <c r="AY23" s="691">
        <f t="shared" si="1"/>
        <v>9.4000000000014552</v>
      </c>
      <c r="BA23" s="696">
        <f t="shared" si="4"/>
        <v>-314.370000000039</v>
      </c>
    </row>
    <row r="24" spans="1:53">
      <c r="A24" s="689">
        <v>44063</v>
      </c>
      <c r="B24" s="55">
        <f>'20'!G7</f>
        <v>23250</v>
      </c>
      <c r="C24" s="55">
        <f>'20'!G8</f>
        <v>22217.270000000019</v>
      </c>
      <c r="D24" s="55">
        <f>'20'!G15</f>
        <v>950</v>
      </c>
      <c r="E24" s="55">
        <f>'20'!G20</f>
        <v>140</v>
      </c>
      <c r="F24" s="55">
        <f>SUM('20'!G35,'20'!G49)</f>
        <v>2573.210000000021</v>
      </c>
      <c r="G24" s="55">
        <f>SUM('20'!G37,'20'!G51)</f>
        <v>1586.9700000000012</v>
      </c>
      <c r="H24" s="55">
        <f>SUM('20'!G38,'20'!G52)</f>
        <v>1448.929999999993</v>
      </c>
      <c r="I24" s="55">
        <f>SUM('20'!G39,'20'!G53)</f>
        <v>3767.429999999993</v>
      </c>
      <c r="J24" s="55">
        <f>SUM('20'!G41,'20'!G42,'20'!G55,'20'!G56)</f>
        <v>7204.5400000000081</v>
      </c>
      <c r="K24" s="55">
        <f>SUM('20'!G43,'20'!G57)</f>
        <v>2710.6999999999534</v>
      </c>
      <c r="L24" s="690">
        <f>'20'!G50</f>
        <v>1063.75</v>
      </c>
      <c r="M24" s="690">
        <f>'20'!G36</f>
        <v>1166.5199999999968</v>
      </c>
      <c r="N24" s="690">
        <f>'20'!G72</f>
        <v>13</v>
      </c>
      <c r="O24" s="690">
        <f>'20'!$G$73</f>
        <v>2</v>
      </c>
      <c r="P24" s="690">
        <f>'20'!$G$74</f>
        <v>3.3000000000029104</v>
      </c>
      <c r="Q24" s="690">
        <f>'20'!$G$75</f>
        <v>166.63000000000102</v>
      </c>
      <c r="R24" s="690">
        <f>'20'!$G$76</f>
        <v>63.899999999999636</v>
      </c>
      <c r="S24" s="690">
        <f>'20'!$G$77</f>
        <v>57</v>
      </c>
      <c r="T24" s="681">
        <f>'20'!$G$78</f>
        <v>90</v>
      </c>
      <c r="U24" s="681">
        <f>'20'!$G$79</f>
        <v>150</v>
      </c>
      <c r="V24" s="681">
        <f>'20'!$G$80</f>
        <v>428.28000000002794</v>
      </c>
      <c r="W24" s="681">
        <f>'20'!$G$81</f>
        <v>238.04000000003725</v>
      </c>
      <c r="X24" s="681">
        <f>'20'!$G$82</f>
        <v>13.070000000006985</v>
      </c>
      <c r="Y24" s="681">
        <f>'20'!$G$58</f>
        <v>7.7399999999979627</v>
      </c>
      <c r="Z24" s="681">
        <f>'20'!$G$83</f>
        <v>238</v>
      </c>
      <c r="AA24" s="681">
        <f>'20'!G86</f>
        <v>23.35999999998603</v>
      </c>
      <c r="AB24" s="681">
        <f>'20'!G87</f>
        <v>38</v>
      </c>
      <c r="AC24" s="681">
        <f>'20'!G88</f>
        <v>168.45999999999185</v>
      </c>
      <c r="AD24" s="681">
        <f>'20'!G87+'20'!H90</f>
        <v>43</v>
      </c>
      <c r="AE24" s="690">
        <f>'20'!$G$62</f>
        <v>0</v>
      </c>
      <c r="AF24" s="690">
        <f>'20'!$G$63</f>
        <v>0</v>
      </c>
      <c r="AG24" s="690">
        <f>'20'!$G$64</f>
        <v>363.47000000000116</v>
      </c>
      <c r="AH24" s="690">
        <f>'20'!$G$65</f>
        <v>386.08999999999651</v>
      </c>
      <c r="AI24" s="690">
        <f>'20'!$G$66</f>
        <v>428.92999999999302</v>
      </c>
      <c r="AJ24" s="690">
        <f>'20'!$G$67</f>
        <v>501.6699999999837</v>
      </c>
      <c r="AK24" s="690">
        <f>'20'!$G$68</f>
        <v>0</v>
      </c>
      <c r="AL24" s="690">
        <f>'20'!$G$69</f>
        <v>295.63000000000466</v>
      </c>
      <c r="AM24" s="690">
        <f>'20'!$G$84</f>
        <v>727</v>
      </c>
      <c r="AN24" s="690">
        <f>'20'!$G$15</f>
        <v>950</v>
      </c>
      <c r="AO24" s="690">
        <f>'20'!$G$124</f>
        <v>260.44999999995343</v>
      </c>
      <c r="AP24" s="690">
        <f>'20'!$G$125</f>
        <v>0</v>
      </c>
      <c r="AQ24" s="690">
        <f>'20'!$G$126</f>
        <v>81.230000000010477</v>
      </c>
      <c r="AR24" s="690">
        <f>'20'!$G$127</f>
        <v>37</v>
      </c>
      <c r="AS24" s="690">
        <f>'20'!$G$128</f>
        <v>1.7000000000007276</v>
      </c>
      <c r="AT24" s="690">
        <f t="shared" si="0"/>
        <v>569.62000000003536</v>
      </c>
      <c r="AU24" s="690">
        <f>SUM('20'!G140:G141)</f>
        <v>9.1499999999996362</v>
      </c>
      <c r="AV24" s="690">
        <f>'20'!$G$137</f>
        <v>0.27999999999883585</v>
      </c>
      <c r="AW24" s="690">
        <f>'20'!$G$138</f>
        <v>0.15999999999985448</v>
      </c>
      <c r="AX24" s="690">
        <f>'20'!$G$139</f>
        <v>0</v>
      </c>
      <c r="AY24" s="687">
        <f t="shared" si="1"/>
        <v>0.43999999999869033</v>
      </c>
      <c r="BA24" s="695">
        <f t="shared" si="4"/>
        <v>-309.17000000008193</v>
      </c>
    </row>
    <row r="25" spans="1:53">
      <c r="A25" s="689">
        <v>44064</v>
      </c>
      <c r="B25" s="55">
        <f>'21'!G7</f>
        <v>23250</v>
      </c>
      <c r="C25" s="55">
        <f>'21'!G8</f>
        <v>21222.559999999998</v>
      </c>
      <c r="D25" s="55">
        <f>'21'!G15</f>
        <v>950</v>
      </c>
      <c r="E25" s="55">
        <f>'21'!G20</f>
        <v>160</v>
      </c>
      <c r="F25" s="55">
        <f>SUM('21'!G35,'21'!G49)</f>
        <v>2837.539999999979</v>
      </c>
      <c r="G25" s="55">
        <f>SUM('21'!G37,'21'!G51)</f>
        <v>1602.9200000000128</v>
      </c>
      <c r="H25" s="55">
        <f>SUM('21'!G38,'21'!G52)</f>
        <v>1578.0499999999593</v>
      </c>
      <c r="I25" s="55">
        <f>SUM('21'!G39,'21'!G53)</f>
        <v>3741.5200000000186</v>
      </c>
      <c r="J25" s="55">
        <f>SUM('21'!G41,'21'!G42,'21'!G55,'21'!G56)</f>
        <v>6289.1099999999278</v>
      </c>
      <c r="K25" s="55">
        <f>SUM('21'!G43,'21'!G57)</f>
        <v>2552.6000000000931</v>
      </c>
      <c r="L25" s="690">
        <f>'21'!G50</f>
        <v>1014.9200000000419</v>
      </c>
      <c r="M25" s="690">
        <f>'21'!G36</f>
        <v>759.40000000000146</v>
      </c>
      <c r="N25" s="690">
        <f>'21'!G72</f>
        <v>13</v>
      </c>
      <c r="O25" s="690">
        <f>'21'!$G$73</f>
        <v>1</v>
      </c>
      <c r="P25" s="690">
        <f>'21'!$G$74</f>
        <v>1.3000000000029104</v>
      </c>
      <c r="Q25" s="690">
        <f>'21'!$G$75</f>
        <v>153.25</v>
      </c>
      <c r="R25" s="690">
        <f>'21'!$G$76</f>
        <v>69.450000000000728</v>
      </c>
      <c r="S25" s="690">
        <f>'21'!$G$77</f>
        <v>93</v>
      </c>
      <c r="T25" s="681">
        <f>'21'!$G$78</f>
        <v>126</v>
      </c>
      <c r="U25" s="681">
        <f>'21'!$G$79</f>
        <v>155</v>
      </c>
      <c r="V25" s="681">
        <f>'21'!$G$80</f>
        <v>421.71999999997206</v>
      </c>
      <c r="W25" s="681">
        <f>'21'!$G$81</f>
        <v>184.95999999996275</v>
      </c>
      <c r="X25" s="681">
        <f>'21'!$G$82</f>
        <v>26.44999999999709</v>
      </c>
      <c r="Y25" s="681">
        <f>'21'!$G$58</f>
        <v>222.88999999999942</v>
      </c>
      <c r="Z25" s="681">
        <f>'21'!$G$83</f>
        <v>206</v>
      </c>
      <c r="AA25" s="681">
        <f>'21'!G86</f>
        <v>22.160000000032596</v>
      </c>
      <c r="AB25" s="681">
        <f>'21'!G87</f>
        <v>34.80000000000291</v>
      </c>
      <c r="AC25" s="681">
        <f>'21'!G88</f>
        <v>103.36999999999534</v>
      </c>
      <c r="AD25" s="681">
        <f>'21'!G87+'21'!H90</f>
        <v>42.80000000000291</v>
      </c>
      <c r="AE25" s="690">
        <f>'21'!$G$62</f>
        <v>0</v>
      </c>
      <c r="AF25" s="690">
        <f>'21'!$G$63</f>
        <v>0</v>
      </c>
      <c r="AG25" s="690">
        <f>'21'!$G$64</f>
        <v>348.01999999998952</v>
      </c>
      <c r="AH25" s="690">
        <f>'21'!$G$65</f>
        <v>382.5</v>
      </c>
      <c r="AI25" s="690">
        <f>'21'!$G$66</f>
        <v>407.82000000000698</v>
      </c>
      <c r="AJ25" s="690">
        <f>'21'!$G$67</f>
        <v>501.44000000000233</v>
      </c>
      <c r="AK25" s="690">
        <f>'21'!$G$68</f>
        <v>0</v>
      </c>
      <c r="AL25" s="690">
        <f>'21'!$G$69</f>
        <v>284.54999999998836</v>
      </c>
      <c r="AM25" s="690">
        <f>'21'!$G$84</f>
        <v>697</v>
      </c>
      <c r="AN25" s="690">
        <f>'21'!$G$15</f>
        <v>950</v>
      </c>
      <c r="AO25" s="690">
        <f>'21'!$G$124</f>
        <v>269.23000000009779</v>
      </c>
      <c r="AP25" s="690">
        <f>'21'!$G$125</f>
        <v>0</v>
      </c>
      <c r="AQ25" s="690">
        <f>'21'!$G$126</f>
        <v>85.069999999977881</v>
      </c>
      <c r="AR25" s="690">
        <f>'21'!$G$127</f>
        <v>39.599999999998545</v>
      </c>
      <c r="AS25" s="690">
        <f>'21'!$G$128</f>
        <v>1.2999999999992724</v>
      </c>
      <c r="AT25" s="690">
        <f t="shared" si="0"/>
        <v>554.79999999992651</v>
      </c>
      <c r="AU25" s="690">
        <f>SUM('21'!G140:G141)</f>
        <v>9.4600000000000364</v>
      </c>
      <c r="AV25" s="690">
        <f>'21'!$G$137</f>
        <v>10.069999999999709</v>
      </c>
      <c r="AW25" s="690">
        <f>'21'!$G$138</f>
        <v>0</v>
      </c>
      <c r="AX25" s="690">
        <f>'21'!$G$139</f>
        <v>0</v>
      </c>
      <c r="AY25" s="687">
        <f t="shared" si="1"/>
        <v>10.069999999999709</v>
      </c>
      <c r="BA25" s="695">
        <f t="shared" si="4"/>
        <v>-285.56999999982872</v>
      </c>
    </row>
    <row r="26" spans="1:53">
      <c r="A26" s="689">
        <v>44065</v>
      </c>
      <c r="B26" s="55">
        <f>'22'!G7</f>
        <v>23250</v>
      </c>
      <c r="C26" s="55">
        <f>'22'!G8</f>
        <v>21681.119999999995</v>
      </c>
      <c r="D26" s="55">
        <f>'22'!G15</f>
        <v>950</v>
      </c>
      <c r="E26" s="55">
        <f>'22'!G20</f>
        <v>180</v>
      </c>
      <c r="F26" s="55">
        <f>SUM('22'!G35,'22'!G49)</f>
        <v>2925.7600000000093</v>
      </c>
      <c r="G26" s="55">
        <f>SUM('22'!G37,'22'!G51)</f>
        <v>1618.9799999999814</v>
      </c>
      <c r="H26" s="55">
        <f>SUM('22'!G38,'22'!G52)</f>
        <v>1490.7999999999884</v>
      </c>
      <c r="I26" s="55">
        <f>SUM('22'!G39,'22'!G53)</f>
        <v>3759.0800000000163</v>
      </c>
      <c r="J26" s="55">
        <f>SUM('22'!G41,'22'!G42,'22'!G55,'22'!G56)</f>
        <v>6891.7000000000116</v>
      </c>
      <c r="K26" s="55">
        <f>SUM('22'!G43,'22'!G57)</f>
        <v>2641.5999999998603</v>
      </c>
      <c r="L26" s="690">
        <f>'22'!G50</f>
        <v>1079.5199999999022</v>
      </c>
      <c r="M26" s="690">
        <f>'22'!G36</f>
        <v>653.86000000000058</v>
      </c>
      <c r="N26" s="690">
        <f>'22'!G72</f>
        <v>11</v>
      </c>
      <c r="O26" s="690">
        <f>'22'!$G$73</f>
        <v>1</v>
      </c>
      <c r="P26" s="690">
        <f>'22'!$G$74</f>
        <v>1.3999999999941792</v>
      </c>
      <c r="Q26" s="690">
        <f>'22'!$G$75</f>
        <v>149.95000000000073</v>
      </c>
      <c r="R26" s="690">
        <f>'22'!$G$76</f>
        <v>65.600000000000364</v>
      </c>
      <c r="S26" s="690">
        <f>'22'!$G$77</f>
        <v>65</v>
      </c>
      <c r="T26" s="681">
        <f>'22'!$G$78</f>
        <v>100</v>
      </c>
      <c r="U26" s="681">
        <f>'22'!$G$79</f>
        <v>145</v>
      </c>
      <c r="V26" s="681">
        <f>'22'!$G$80</f>
        <v>386</v>
      </c>
      <c r="W26" s="681">
        <f>'22'!$G$81</f>
        <v>186</v>
      </c>
      <c r="X26" s="681">
        <f>'22'!$G$82</f>
        <v>12.69999999999709</v>
      </c>
      <c r="Y26" s="681">
        <f>'22'!$G$58</f>
        <v>189.5</v>
      </c>
      <c r="Z26" s="681">
        <f>'22'!$G$83</f>
        <v>188</v>
      </c>
      <c r="AA26" s="681">
        <f>'22'!G86</f>
        <v>22.479999999981374</v>
      </c>
      <c r="AB26" s="681">
        <f>'22'!G87</f>
        <v>30.099999999991269</v>
      </c>
      <c r="AC26" s="681">
        <f>'22'!G88</f>
        <v>129.88000000000466</v>
      </c>
      <c r="AD26" s="681">
        <f>'22'!G87+'22'!H90</f>
        <v>42.399999999991451</v>
      </c>
      <c r="AE26" s="690">
        <f>'22'!$G$62</f>
        <v>0</v>
      </c>
      <c r="AF26" s="690">
        <f>'22'!$G$63</f>
        <v>0</v>
      </c>
      <c r="AG26" s="690">
        <f>'22'!$G$64</f>
        <v>374.86000000001513</v>
      </c>
      <c r="AH26" s="690">
        <f>'22'!$G$65</f>
        <v>402</v>
      </c>
      <c r="AI26" s="690">
        <f>'22'!$G$66</f>
        <v>392.5399999999936</v>
      </c>
      <c r="AJ26" s="690">
        <f>'22'!$G$67</f>
        <v>489.61999999999534</v>
      </c>
      <c r="AK26" s="690">
        <f>'22'!$G$68</f>
        <v>0</v>
      </c>
      <c r="AL26" s="690">
        <f>'22'!$G$69</f>
        <v>300.81000000001222</v>
      </c>
      <c r="AM26" s="690">
        <f>'22'!$G$84</f>
        <v>700</v>
      </c>
      <c r="AN26" s="690">
        <f>'22'!$G$15</f>
        <v>950</v>
      </c>
      <c r="AO26" s="728">
        <f>'22'!$G$124</f>
        <v>265</v>
      </c>
      <c r="AP26" s="690">
        <f>'22'!$G$125</f>
        <v>0</v>
      </c>
      <c r="AQ26" s="690">
        <f>'22'!$G$126</f>
        <v>82.090000000025611</v>
      </c>
      <c r="AR26" s="690">
        <f>'22'!$G$127</f>
        <v>44.700000000004366</v>
      </c>
      <c r="AS26" s="690">
        <f>'22'!$G$128</f>
        <v>1</v>
      </c>
      <c r="AT26" s="690">
        <f t="shared" si="0"/>
        <v>557.20999999997002</v>
      </c>
      <c r="AU26" s="690">
        <f>SUM('22'!G140:G141)</f>
        <v>9.180000000000291</v>
      </c>
      <c r="AV26" s="690">
        <f>'22'!$G$137</f>
        <v>5.7000000000007276</v>
      </c>
      <c r="AW26" s="690">
        <f>'22'!$G$138</f>
        <v>0</v>
      </c>
      <c r="AX26" s="690">
        <f>'22'!$G$139</f>
        <v>0</v>
      </c>
      <c r="AY26" s="687">
        <f t="shared" si="1"/>
        <v>5.7000000000007276</v>
      </c>
      <c r="BA26" s="695">
        <f t="shared" si="4"/>
        <v>-292.20999999997002</v>
      </c>
    </row>
    <row r="27" spans="1:53">
      <c r="A27" s="689">
        <v>44066</v>
      </c>
      <c r="B27" s="55">
        <f>'23'!G7</f>
        <v>23250</v>
      </c>
      <c r="C27" s="55">
        <f>'23'!G8</f>
        <v>22659.959999999963</v>
      </c>
      <c r="D27" s="55">
        <f>'23'!G15</f>
        <v>950</v>
      </c>
      <c r="E27" s="55">
        <f>'23'!G20</f>
        <v>160</v>
      </c>
      <c r="F27" s="55">
        <f>SUM('23'!G35,'23'!G49)</f>
        <v>3047.5800000000163</v>
      </c>
      <c r="G27" s="55">
        <f>SUM('23'!G37,'23'!G51)</f>
        <v>1602.1600000000035</v>
      </c>
      <c r="H27" s="55">
        <f>SUM('23'!G38,'23'!G52)</f>
        <v>1578.8600000000151</v>
      </c>
      <c r="I27" s="55">
        <f>SUM('23'!G39,'23'!G53)</f>
        <v>3787.9599999999627</v>
      </c>
      <c r="J27" s="55">
        <f>SUM('23'!G41,'23'!G42,'23'!G55,'23'!G56)</f>
        <v>7521.0500000000466</v>
      </c>
      <c r="K27" s="55">
        <f>SUM('23'!G43,'23'!G57)</f>
        <v>2699.2000000001863</v>
      </c>
      <c r="L27" s="690">
        <f>'23'!G50</f>
        <v>996.76000000000931</v>
      </c>
      <c r="M27" s="690">
        <f>'23'!G36</f>
        <v>684.05999999999767</v>
      </c>
      <c r="N27" s="690">
        <f>'23'!G72</f>
        <v>12</v>
      </c>
      <c r="O27" s="690">
        <f>'23'!G73</f>
        <v>2</v>
      </c>
      <c r="P27" s="690">
        <f>'23'!$G$74</f>
        <v>1</v>
      </c>
      <c r="Q27" s="690">
        <f>'23'!$G$75</f>
        <v>148.45999999999913</v>
      </c>
      <c r="R27" s="690">
        <f>'23'!$G$76</f>
        <v>68.849999999998545</v>
      </c>
      <c r="S27" s="690">
        <f>'23'!$G$77</f>
        <v>52</v>
      </c>
      <c r="T27" s="681">
        <f>'23'!$G$78</f>
        <v>106</v>
      </c>
      <c r="U27" s="681">
        <f>'23'!$G$79</f>
        <v>149</v>
      </c>
      <c r="V27" s="681">
        <f>'23'!$G$80</f>
        <v>358.52000000001863</v>
      </c>
      <c r="W27" s="681">
        <f>'23'!$G$81</f>
        <v>186.1600000000326</v>
      </c>
      <c r="X27" s="681">
        <f>'23'!$G$82</f>
        <v>27.160000000003492</v>
      </c>
      <c r="Y27" s="681">
        <f>'23'!$G$58</f>
        <v>209.9800000000032</v>
      </c>
      <c r="Z27" s="726">
        <f>'23'!$G$83</f>
        <v>241</v>
      </c>
      <c r="AA27" s="681">
        <f>'23'!$G$86</f>
        <v>12</v>
      </c>
      <c r="AB27" s="681">
        <f>'23'!G87</f>
        <v>32.80000000000291</v>
      </c>
      <c r="AC27" s="681">
        <f>'23'!G88</f>
        <v>131.08999999999651</v>
      </c>
      <c r="AD27" s="681">
        <f>'23'!G87+'23'!H90</f>
        <v>50.500000000002728</v>
      </c>
      <c r="AE27" s="690">
        <f>'23'!$G$62</f>
        <v>-0.2000000000007276</v>
      </c>
      <c r="AF27" s="690">
        <f>'23'!$G$63</f>
        <v>0</v>
      </c>
      <c r="AG27" s="690">
        <f>'23'!$G$64</f>
        <v>370.27999999999884</v>
      </c>
      <c r="AH27" s="690">
        <f>'23'!$G$65</f>
        <v>415.05999999999767</v>
      </c>
      <c r="AI27" s="690">
        <f>'23'!$G$66</f>
        <v>396.06000000001222</v>
      </c>
      <c r="AJ27" s="690">
        <f>'23'!$G$67</f>
        <v>512.54000000003725</v>
      </c>
      <c r="AK27" s="690">
        <f>'23'!$G$68</f>
        <v>0</v>
      </c>
      <c r="AL27" s="690">
        <f>'23'!$G$69</f>
        <v>314.67999999999302</v>
      </c>
      <c r="AM27" s="690">
        <f>'23'!$G$84</f>
        <v>709</v>
      </c>
      <c r="AN27" s="690">
        <f>'23'!$G$15</f>
        <v>950</v>
      </c>
      <c r="AO27" s="690">
        <f>'23'!$G$124</f>
        <v>259.03999999992084</v>
      </c>
      <c r="AP27" s="690">
        <f>'23'!$G$125</f>
        <v>0</v>
      </c>
      <c r="AQ27" s="690">
        <f>'23'!$G$126</f>
        <v>78.819999999977881</v>
      </c>
      <c r="AR27" s="690">
        <f>'23'!$G$127</f>
        <v>41.399999999994179</v>
      </c>
      <c r="AS27" s="690">
        <f>'23'!$G$128</f>
        <v>1.8999999999996362</v>
      </c>
      <c r="AT27" s="690">
        <f t="shared" si="0"/>
        <v>568.84000000010747</v>
      </c>
      <c r="AU27" s="690">
        <f>SUM('23'!G140:G141)</f>
        <v>9.0399999999999636</v>
      </c>
      <c r="AV27" s="690">
        <f>'23'!$G$137</f>
        <v>9.6700000000018917</v>
      </c>
      <c r="AW27" s="690">
        <f>'23'!$G$138</f>
        <v>0</v>
      </c>
      <c r="AX27" s="690">
        <f>'23'!$G$139</f>
        <v>0</v>
      </c>
      <c r="AY27" s="687">
        <f t="shared" si="1"/>
        <v>9.6700000000018917</v>
      </c>
      <c r="BA27" s="695">
        <f t="shared" si="4"/>
        <v>-309.80000000018663</v>
      </c>
    </row>
    <row r="28" spans="1:53" s="729" customFormat="1">
      <c r="A28" s="689">
        <v>44067</v>
      </c>
      <c r="B28" s="55">
        <f>'24'!G7</f>
        <v>23250</v>
      </c>
      <c r="C28" s="55">
        <f>'24'!G8</f>
        <v>22644.090000000026</v>
      </c>
      <c r="D28" s="55">
        <f>'24'!G15</f>
        <v>950</v>
      </c>
      <c r="E28" s="55">
        <f>'24'!G20</f>
        <v>170</v>
      </c>
      <c r="F28" s="55">
        <f>SUM('24'!G35,'24'!G49)</f>
        <v>3076.9099999999744</v>
      </c>
      <c r="G28" s="55">
        <f>SUM('24'!G37,'24'!G51)</f>
        <v>1631.9700000000012</v>
      </c>
      <c r="H28" s="55">
        <f>SUM('24'!G38,'24'!G52)</f>
        <v>1604.3600000000442</v>
      </c>
      <c r="I28" s="55">
        <f>SUM('24'!G39,'24'!G53)</f>
        <v>3817.4199999999837</v>
      </c>
      <c r="J28" s="55">
        <f>SUM('24'!G41,'24'!G42,'24'!G55,'24'!G56)</f>
        <v>7305.1499999999942</v>
      </c>
      <c r="K28" s="55">
        <f>SUM('24'!G43,'24'!G57)</f>
        <v>2784.8999999999069</v>
      </c>
      <c r="L28" s="690">
        <f>'24'!G50</f>
        <v>988.05000000004657</v>
      </c>
      <c r="M28" s="681">
        <f>'24'!G36</f>
        <v>689.16000000000349</v>
      </c>
      <c r="N28" s="681">
        <f>'24'!G72</f>
        <v>14</v>
      </c>
      <c r="O28" s="681">
        <f>'24'!G73</f>
        <v>1</v>
      </c>
      <c r="P28" s="681">
        <f>'24'!$G$74</f>
        <v>0</v>
      </c>
      <c r="Q28" s="681">
        <f>'24'!$G$75</f>
        <v>175.70999999999913</v>
      </c>
      <c r="R28" s="681">
        <f>'24'!$G$76</f>
        <v>65.200000000000728</v>
      </c>
      <c r="S28" s="681">
        <f>'24'!$G$77</f>
        <v>54</v>
      </c>
      <c r="T28" s="681">
        <f>'24'!$G$78</f>
        <v>173</v>
      </c>
      <c r="U28" s="681">
        <f>'24'!$G$79</f>
        <v>159</v>
      </c>
      <c r="V28" s="681">
        <f>'24'!$G$80</f>
        <v>398.47999999998137</v>
      </c>
      <c r="W28" s="681">
        <f>'24'!$G$81</f>
        <v>186.8399999999674</v>
      </c>
      <c r="X28" s="681">
        <f>'24'!$G$82</f>
        <v>20.619999999995343</v>
      </c>
      <c r="Y28" s="681">
        <f>'24'!$G$58</f>
        <v>207.88999999999942</v>
      </c>
      <c r="Z28" s="681">
        <f>'24'!$G$83</f>
        <v>190</v>
      </c>
      <c r="AA28" s="681">
        <f>'24'!G86</f>
        <v>9</v>
      </c>
      <c r="AB28" s="681">
        <f>'24'!G87</f>
        <v>22.30000000000291</v>
      </c>
      <c r="AC28" s="681">
        <f>'24'!G88</f>
        <v>75.200000000011642</v>
      </c>
      <c r="AD28" s="681">
        <f>'24'!G87+'24'!H90</f>
        <v>26.600000000003092</v>
      </c>
      <c r="AE28" s="681">
        <f>'24'!$G$62</f>
        <v>0</v>
      </c>
      <c r="AF28" s="681">
        <f>'24'!$G$63</f>
        <v>0</v>
      </c>
      <c r="AG28" s="681">
        <f>'24'!$G$64</f>
        <v>339.36999999999534</v>
      </c>
      <c r="AH28" s="681">
        <f>'24'!$G$65</f>
        <v>404.35000000000582</v>
      </c>
      <c r="AI28" s="681">
        <f>'24'!$G$66</f>
        <v>409.64999999999418</v>
      </c>
      <c r="AJ28" s="681">
        <f>'24'!$G$67</f>
        <v>551.72999999998137</v>
      </c>
      <c r="AK28" s="681">
        <f>'24'!$G$68</f>
        <v>0</v>
      </c>
      <c r="AL28" s="681">
        <f>'24'!$G$69</f>
        <v>311.33000000000175</v>
      </c>
      <c r="AM28" s="681">
        <f>'24'!$G$84</f>
        <v>782</v>
      </c>
      <c r="AN28" s="681">
        <f>'24'!$G$15</f>
        <v>950</v>
      </c>
      <c r="AO28" s="728">
        <f>'24'!$G$124</f>
        <v>254.28000000002794</v>
      </c>
      <c r="AP28" s="728">
        <f>'24'!$G$125</f>
        <v>-0.39999999999417923</v>
      </c>
      <c r="AQ28" s="728">
        <f>'24'!$G$126</f>
        <v>87.790000000008149</v>
      </c>
      <c r="AR28" s="681">
        <f>'24'!$G$127</f>
        <v>50.30000000000291</v>
      </c>
      <c r="AS28" s="681">
        <f>'24'!$G$128</f>
        <v>4.1000000000003638</v>
      </c>
      <c r="AT28" s="728">
        <f>AN28-SUM(AO28:AS28)</f>
        <v>553.92999999995482</v>
      </c>
      <c r="AU28" s="681">
        <f>SUM('24'!G140:G141)</f>
        <v>8.8299999999999272</v>
      </c>
      <c r="AV28" s="681">
        <f>'24'!$G$137</f>
        <v>7.9499999999970896</v>
      </c>
      <c r="AW28" s="681">
        <f>'24'!$G$138</f>
        <v>-0.15999999999985448</v>
      </c>
      <c r="AX28" s="681">
        <f>'24'!$G$139</f>
        <v>0.39999999999417923</v>
      </c>
      <c r="AY28" s="691">
        <f t="shared" si="1"/>
        <v>8.1899999999914144</v>
      </c>
      <c r="BA28" s="730">
        <f t="shared" si="4"/>
        <v>-299.64999999992688</v>
      </c>
    </row>
    <row r="29" spans="1:53">
      <c r="A29" s="689">
        <v>44068</v>
      </c>
      <c r="B29" s="55">
        <f>'25'!G7</f>
        <v>23250</v>
      </c>
      <c r="C29" s="55">
        <f>'25'!G8</f>
        <v>23122</v>
      </c>
      <c r="D29" s="55">
        <f>'25'!G15</f>
        <v>950</v>
      </c>
      <c r="E29" s="55">
        <f>'25'!G20</f>
        <v>220</v>
      </c>
      <c r="F29" s="55">
        <f>SUM('25'!G35,'25'!G49)</f>
        <v>2993</v>
      </c>
      <c r="G29" s="55">
        <f>SUM('25'!G37,'25'!G51)</f>
        <v>1677.8699999999953</v>
      </c>
      <c r="H29" s="55">
        <f>SUM('25'!G38,'25'!G52)</f>
        <v>1682.0699999999488</v>
      </c>
      <c r="I29" s="55">
        <f>SUM('25'!G39,'25'!G53)</f>
        <v>3772</v>
      </c>
      <c r="J29" s="55">
        <f>SUM('25'!G41,'25'!G42,'25'!G55,'25'!G56)</f>
        <v>7467.4500000000116</v>
      </c>
      <c r="K29" s="55">
        <f>SUM('25'!G43,'25'!G57)</f>
        <v>2870</v>
      </c>
      <c r="L29" s="690">
        <f>'25'!G50</f>
        <v>1138</v>
      </c>
      <c r="M29" s="690">
        <f>'25'!G36</f>
        <v>718</v>
      </c>
      <c r="N29" s="690">
        <f>'25'!G72</f>
        <v>10</v>
      </c>
      <c r="O29" s="690">
        <f>'25'!$G$73</f>
        <v>1</v>
      </c>
      <c r="P29" s="690">
        <f>'25'!$G$74</f>
        <v>0</v>
      </c>
      <c r="Q29" s="690">
        <f>'25'!$G$75</f>
        <v>165</v>
      </c>
      <c r="R29" s="690">
        <f>'25'!$G$76</f>
        <v>71</v>
      </c>
      <c r="S29" s="690">
        <f>'25'!$G$77</f>
        <v>55</v>
      </c>
      <c r="T29" s="681">
        <f>'25'!$G$78</f>
        <v>134</v>
      </c>
      <c r="U29" s="681">
        <f>'25'!$G$79</f>
        <v>142</v>
      </c>
      <c r="V29" s="681">
        <f>'25'!$G$80</f>
        <v>443</v>
      </c>
      <c r="W29" s="681">
        <f>'25'!$G$81</f>
        <v>224</v>
      </c>
      <c r="X29" s="681">
        <f>'25'!$G$82</f>
        <v>27</v>
      </c>
      <c r="Y29" s="681">
        <f>'25'!$G$58</f>
        <v>236</v>
      </c>
      <c r="Z29" s="681">
        <f>'25'!$G$83</f>
        <v>674</v>
      </c>
      <c r="AA29" s="681">
        <f>'25'!G86</f>
        <v>9</v>
      </c>
      <c r="AB29" s="681">
        <f>'25'!G87</f>
        <v>17</v>
      </c>
      <c r="AC29" s="681">
        <f>'25'!G88</f>
        <v>18</v>
      </c>
      <c r="AD29" s="681">
        <f>'25'!G87+'25'!H90</f>
        <v>19</v>
      </c>
      <c r="AE29" s="690">
        <f>'25'!$G$62</f>
        <v>0</v>
      </c>
      <c r="AF29" s="690">
        <f>'25'!$G$63</f>
        <v>0</v>
      </c>
      <c r="AG29" s="690">
        <f>'25'!$G$64</f>
        <v>349</v>
      </c>
      <c r="AH29" s="690">
        <f>'25'!$G$65</f>
        <v>390</v>
      </c>
      <c r="AI29" s="690">
        <f>'25'!$G$66</f>
        <v>399</v>
      </c>
      <c r="AJ29" s="690">
        <f>'25'!$G$67</f>
        <v>497</v>
      </c>
      <c r="AK29" s="690">
        <f>'25'!$G$68</f>
        <v>0</v>
      </c>
      <c r="AL29" s="690">
        <f>'25'!$G$69</f>
        <v>328</v>
      </c>
      <c r="AM29" s="690">
        <f>'25'!$G$84</f>
        <v>784</v>
      </c>
      <c r="AN29" s="690">
        <f>'25'!$G$15</f>
        <v>950</v>
      </c>
      <c r="AO29" s="690">
        <f>'25'!$G$124</f>
        <v>280</v>
      </c>
      <c r="AP29" s="690">
        <f>'25'!$G$125</f>
        <v>0</v>
      </c>
      <c r="AQ29" s="690">
        <f>'25'!$G$126</f>
        <v>73</v>
      </c>
      <c r="AR29" s="690">
        <f>'25'!$G$127</f>
        <v>40</v>
      </c>
      <c r="AS29" s="690">
        <f>'25'!$G$128</f>
        <v>4</v>
      </c>
      <c r="AT29" s="690">
        <f t="shared" si="0"/>
        <v>553</v>
      </c>
      <c r="AU29" s="690">
        <f>SUM('25'!G140:G141)</f>
        <v>10.079999999999927</v>
      </c>
      <c r="AV29" s="690">
        <f>'25'!$G$137</f>
        <v>9.3300000000017462</v>
      </c>
      <c r="AW29" s="690">
        <f>'25'!$G$138</f>
        <v>0</v>
      </c>
      <c r="AX29" s="690">
        <f>'25'!$G$139</f>
        <v>0</v>
      </c>
      <c r="AY29" s="687">
        <f t="shared" si="1"/>
        <v>9.3300000000017462</v>
      </c>
      <c r="BA29" s="695">
        <f t="shared" si="4"/>
        <v>-273</v>
      </c>
    </row>
    <row r="30" spans="1:53">
      <c r="A30" s="689">
        <v>44069</v>
      </c>
      <c r="B30" s="55">
        <f>'26'!G7</f>
        <v>23250</v>
      </c>
      <c r="C30" s="55">
        <f>'26'!G8</f>
        <v>22721</v>
      </c>
      <c r="D30" s="55">
        <f>'26'!G15</f>
        <v>950</v>
      </c>
      <c r="E30" s="55">
        <f>'26'!G20</f>
        <v>180</v>
      </c>
      <c r="F30" s="55">
        <f>SUM('26'!G35,'26'!G49)</f>
        <v>3145</v>
      </c>
      <c r="G30" s="55">
        <f>SUM('26'!G37,'26'!G51)</f>
        <v>1663</v>
      </c>
      <c r="H30" s="55">
        <f>SUM('26'!G38,'26'!G52)</f>
        <v>1573</v>
      </c>
      <c r="I30" s="55">
        <f>SUM('26'!G39,'26'!G53)</f>
        <v>3750</v>
      </c>
      <c r="J30" s="55">
        <f>SUM('26'!G41,'26'!G42,'26'!G55,'26'!G56)</f>
        <v>7309</v>
      </c>
      <c r="K30" s="55">
        <f>SUM('26'!G43,'26'!G57)</f>
        <v>2794</v>
      </c>
      <c r="L30" s="690">
        <f>'26'!G50</f>
        <v>928</v>
      </c>
      <c r="M30" s="690">
        <f>'26'!G36</f>
        <v>755</v>
      </c>
      <c r="N30" s="690">
        <f>'26'!G72</f>
        <v>11</v>
      </c>
      <c r="O30" s="690">
        <f>'26'!$G$73</f>
        <v>1</v>
      </c>
      <c r="P30" s="690">
        <f>'26'!$G$74</f>
        <v>0</v>
      </c>
      <c r="Q30" s="690">
        <f>'26'!$G$75</f>
        <v>145</v>
      </c>
      <c r="R30" s="690">
        <f>'26'!$G$76</f>
        <v>81</v>
      </c>
      <c r="S30" s="690">
        <f>'26'!$G$77</f>
        <v>133</v>
      </c>
      <c r="T30" s="681">
        <f>'26'!$G$78</f>
        <v>89</v>
      </c>
      <c r="U30" s="681">
        <f>'26'!$G$79</f>
        <v>154</v>
      </c>
      <c r="V30" s="681">
        <f>'26'!$G$80</f>
        <v>408</v>
      </c>
      <c r="W30" s="681">
        <f>'26'!$G$81</f>
        <v>193</v>
      </c>
      <c r="X30" s="681">
        <f>'26'!$G$82</f>
        <v>14</v>
      </c>
      <c r="Y30" s="681">
        <f>'26'!$G$58</f>
        <v>208</v>
      </c>
      <c r="Z30" s="681">
        <f>'26'!$G$83</f>
        <v>11</v>
      </c>
      <c r="AA30" s="681">
        <f>'26'!G86</f>
        <v>14</v>
      </c>
      <c r="AB30" s="681">
        <f>'26'!G87</f>
        <v>35</v>
      </c>
      <c r="AC30" s="681">
        <f>'26'!G88</f>
        <v>26</v>
      </c>
      <c r="AD30" s="681">
        <f>'26'!G87+'26'!H90</f>
        <v>42</v>
      </c>
      <c r="AE30" s="690">
        <f>'26'!$G$62</f>
        <v>0</v>
      </c>
      <c r="AF30" s="690">
        <f>'26'!$G$63</f>
        <v>0</v>
      </c>
      <c r="AG30" s="690">
        <f>'26'!$G$64</f>
        <v>403</v>
      </c>
      <c r="AH30" s="690">
        <f>'26'!$G$65</f>
        <v>369</v>
      </c>
      <c r="AI30" s="690">
        <f>'26'!$G$66</f>
        <v>414</v>
      </c>
      <c r="AJ30" s="690">
        <f>'26'!$G$67</f>
        <v>481</v>
      </c>
      <c r="AK30" s="690">
        <f>'26'!$G$68</f>
        <v>0</v>
      </c>
      <c r="AL30" s="690">
        <f>'26'!$G$69</f>
        <v>352</v>
      </c>
      <c r="AM30" s="690">
        <f>'26'!$G$84</f>
        <v>829</v>
      </c>
      <c r="AN30" s="690">
        <f>'26'!$G$15</f>
        <v>950</v>
      </c>
      <c r="AO30" s="690">
        <f>'26'!$G$124</f>
        <v>252</v>
      </c>
      <c r="AP30" s="690">
        <f>'26'!$G$125</f>
        <v>0</v>
      </c>
      <c r="AQ30" s="690">
        <f>'26'!$G$126</f>
        <v>71</v>
      </c>
      <c r="AR30" s="690">
        <f>'26'!$G$127</f>
        <v>35</v>
      </c>
      <c r="AS30" s="690">
        <f>'26'!$G$128</f>
        <v>2</v>
      </c>
      <c r="AT30" s="690">
        <f t="shared" si="0"/>
        <v>590</v>
      </c>
      <c r="AU30" s="690">
        <f>SUM('26'!G140:G141)</f>
        <v>9.2699999999999818</v>
      </c>
      <c r="AV30" s="690">
        <f>'26'!$G$137</f>
        <v>7</v>
      </c>
      <c r="AW30" s="690">
        <f>'26'!$G$138</f>
        <v>0</v>
      </c>
      <c r="AX30" s="690">
        <f>'26'!$G$139</f>
        <v>0</v>
      </c>
      <c r="AY30" s="687">
        <f t="shared" si="1"/>
        <v>7</v>
      </c>
      <c r="BA30" s="695">
        <f t="shared" si="4"/>
        <v>-338</v>
      </c>
    </row>
    <row r="31" spans="1:53">
      <c r="A31" s="689">
        <v>44070</v>
      </c>
      <c r="B31" s="55">
        <f>'27'!G7</f>
        <v>23250</v>
      </c>
      <c r="C31" s="55">
        <f>'27'!G8</f>
        <v>21225</v>
      </c>
      <c r="D31" s="55">
        <f>'27'!G15</f>
        <v>950</v>
      </c>
      <c r="E31" s="55">
        <f>'27'!G20</f>
        <v>170</v>
      </c>
      <c r="F31" s="55">
        <f>SUM('27'!G35,'27'!G49)</f>
        <v>2883</v>
      </c>
      <c r="G31" s="55">
        <f>SUM('27'!G37,'27'!G51)</f>
        <v>1655.1300000000047</v>
      </c>
      <c r="H31" s="55">
        <f>SUM('27'!G38,'27'!G52)</f>
        <v>1507.9300000000512</v>
      </c>
      <c r="I31" s="55">
        <f>SUM('27'!G39,'27'!G53)</f>
        <v>3783</v>
      </c>
      <c r="J31" s="55">
        <f>SUM('27'!G41,'27'!G42,'27'!G55,'27'!G56)</f>
        <v>6213</v>
      </c>
      <c r="K31" s="55">
        <f>SUM('27'!G43,'27'!G57)</f>
        <v>2676</v>
      </c>
      <c r="L31" s="690">
        <f>'27'!G50</f>
        <v>988</v>
      </c>
      <c r="M31" s="690">
        <f>'27'!G36</f>
        <v>671</v>
      </c>
      <c r="N31" s="690">
        <f>'27'!G72</f>
        <v>13</v>
      </c>
      <c r="O31" s="690">
        <f>'27'!$G$73</f>
        <v>1</v>
      </c>
      <c r="P31" s="690">
        <f>'27'!$G$74</f>
        <v>3</v>
      </c>
      <c r="Q31" s="690">
        <f>'27'!$G$75</f>
        <v>148</v>
      </c>
      <c r="R31" s="690">
        <f>'27'!$G$76</f>
        <v>78</v>
      </c>
      <c r="S31" s="690">
        <f>'27'!$G$77</f>
        <v>113</v>
      </c>
      <c r="T31" s="681">
        <f>'27'!$G$78</f>
        <v>185</v>
      </c>
      <c r="U31" s="681">
        <f>'27'!$G$79</f>
        <v>144</v>
      </c>
      <c r="V31" s="681">
        <f>'27'!$G$80</f>
        <v>374</v>
      </c>
      <c r="W31" s="681">
        <f>'27'!$G$81</f>
        <v>185</v>
      </c>
      <c r="X31" s="681">
        <f>'27'!$G$82</f>
        <v>23</v>
      </c>
      <c r="Y31" s="681">
        <f>'27'!$G$58</f>
        <v>192</v>
      </c>
      <c r="Z31" s="681">
        <f>'27'!$G$83</f>
        <v>29</v>
      </c>
      <c r="AA31" s="681">
        <f>'27'!G86</f>
        <v>79</v>
      </c>
      <c r="AB31" s="681">
        <f>'27'!G87</f>
        <v>30</v>
      </c>
      <c r="AC31" s="681">
        <f>'27'!G88</f>
        <v>34</v>
      </c>
      <c r="AD31" s="681">
        <f>'27'!G87+'27'!H90</f>
        <v>35</v>
      </c>
      <c r="AE31" s="690">
        <f>'27'!$G$62</f>
        <v>0</v>
      </c>
      <c r="AF31" s="690">
        <f>'27'!$G$63</f>
        <v>0</v>
      </c>
      <c r="AG31" s="690">
        <f>'27'!$G$64</f>
        <v>351</v>
      </c>
      <c r="AH31" s="690">
        <f>'27'!$G$65</f>
        <v>358</v>
      </c>
      <c r="AI31" s="690">
        <f>'27'!$G$66</f>
        <v>402</v>
      </c>
      <c r="AJ31" s="690">
        <f>'27'!$G$67</f>
        <v>529</v>
      </c>
      <c r="AK31" s="690">
        <f>'27'!$G$68</f>
        <v>0</v>
      </c>
      <c r="AL31" s="690">
        <f>'27'!$G$69</f>
        <v>345</v>
      </c>
      <c r="AM31" s="690">
        <f>'27'!$G$84</f>
        <v>835</v>
      </c>
      <c r="AN31" s="690">
        <f>'27'!$G$15</f>
        <v>950</v>
      </c>
      <c r="AO31" s="690">
        <f>'27'!$G$124</f>
        <v>250</v>
      </c>
      <c r="AP31" s="690">
        <f>'27'!$G$125</f>
        <v>0.39999999999417923</v>
      </c>
      <c r="AQ31" s="690">
        <f>'27'!$G$126</f>
        <v>62</v>
      </c>
      <c r="AR31" s="690">
        <f>'27'!$G$127</f>
        <v>30</v>
      </c>
      <c r="AS31" s="690">
        <f>'27'!$G$128</f>
        <v>1</v>
      </c>
      <c r="AT31" s="690">
        <f t="shared" si="0"/>
        <v>606.60000000000582</v>
      </c>
      <c r="AU31" s="690">
        <f>SUM('27'!G140:G141)</f>
        <v>9.1599999999998545</v>
      </c>
      <c r="AV31" s="690">
        <f>'27'!$G$137</f>
        <v>8.7799999999988358</v>
      </c>
      <c r="AW31" s="690">
        <f>'27'!$G$138</f>
        <v>0.15999999999985448</v>
      </c>
      <c r="AX31" s="690">
        <f>'27'!$G$139</f>
        <v>-0.39999999999417923</v>
      </c>
      <c r="AY31" s="687">
        <f t="shared" si="1"/>
        <v>8.5400000000045111</v>
      </c>
      <c r="BA31" s="695">
        <f t="shared" si="4"/>
        <v>-356.60000000000582</v>
      </c>
    </row>
    <row r="32" spans="1:53">
      <c r="A32" s="689">
        <v>44071</v>
      </c>
      <c r="B32" s="55">
        <f>'28'!G7</f>
        <v>23250</v>
      </c>
      <c r="C32" s="55">
        <f>'28'!G8</f>
        <v>21058</v>
      </c>
      <c r="D32" s="55">
        <f>'28'!G15</f>
        <v>950</v>
      </c>
      <c r="E32" s="55">
        <f>'28'!G20</f>
        <v>120</v>
      </c>
      <c r="F32" s="55">
        <f>SUM('28'!G35,'28'!G49)</f>
        <v>2896</v>
      </c>
      <c r="G32" s="55">
        <f>SUM('28'!G37,'28'!G51)</f>
        <v>1600</v>
      </c>
      <c r="H32" s="55">
        <f>SUM('28'!G38,'28'!G52)</f>
        <v>1549.0699999999488</v>
      </c>
      <c r="I32" s="55">
        <f>SUM('28'!G39,'28'!G53)</f>
        <v>3785</v>
      </c>
      <c r="J32" s="55">
        <f>SUM('28'!G41,'28'!G42,'28'!G55,'28'!G56)</f>
        <v>6109</v>
      </c>
      <c r="K32" s="55">
        <f>SUM('28'!G43,'28'!G57)</f>
        <v>2686.33</v>
      </c>
      <c r="L32" s="690">
        <f>'28'!G50</f>
        <v>920</v>
      </c>
      <c r="M32" s="690">
        <f>'28'!G36</f>
        <v>674</v>
      </c>
      <c r="N32" s="690">
        <f>'28'!G72</f>
        <v>13</v>
      </c>
      <c r="O32" s="690">
        <f>'28'!$G$73</f>
        <v>1</v>
      </c>
      <c r="P32" s="690">
        <f>'28'!$G$74</f>
        <v>3</v>
      </c>
      <c r="Q32" s="690">
        <f>'28'!$G$75</f>
        <v>152</v>
      </c>
      <c r="R32" s="690">
        <f>'28'!$G$76</f>
        <v>71</v>
      </c>
      <c r="S32" s="690">
        <f>'28'!$G$77</f>
        <v>78</v>
      </c>
      <c r="T32" s="681">
        <f>'28'!$G$78</f>
        <v>81</v>
      </c>
      <c r="U32" s="681">
        <f>'28'!$G$79</f>
        <v>145</v>
      </c>
      <c r="V32" s="681">
        <f>'28'!$G$80</f>
        <v>361</v>
      </c>
      <c r="W32" s="681">
        <f>'28'!$G$81</f>
        <v>190</v>
      </c>
      <c r="X32" s="681">
        <f>'28'!$G$82</f>
        <v>15</v>
      </c>
      <c r="Y32" s="681">
        <f>'28'!$G$58</f>
        <v>162</v>
      </c>
      <c r="Z32" s="681">
        <f>'28'!$G$83</f>
        <v>224</v>
      </c>
      <c r="AA32" s="681">
        <f>'28'!G86</f>
        <v>19</v>
      </c>
      <c r="AB32" s="681">
        <f>'28'!G87</f>
        <v>34</v>
      </c>
      <c r="AC32" s="681">
        <f>'28'!G88</f>
        <v>26</v>
      </c>
      <c r="AD32" s="681">
        <f>'28'!G87+'28'!H90</f>
        <v>40</v>
      </c>
      <c r="AE32" s="690">
        <f>'28'!$G$62</f>
        <v>0</v>
      </c>
      <c r="AF32" s="690">
        <f>'28'!$G$63</f>
        <v>0</v>
      </c>
      <c r="AG32" s="690">
        <f>'28'!$G$64</f>
        <v>389</v>
      </c>
      <c r="AH32" s="690">
        <f>'28'!$G$65</f>
        <v>382</v>
      </c>
      <c r="AI32" s="690">
        <f>'28'!$G$66</f>
        <v>396</v>
      </c>
      <c r="AJ32" s="690">
        <f>'28'!$G$67</f>
        <v>497</v>
      </c>
      <c r="AK32" s="690">
        <f>'28'!$G$68</f>
        <v>0</v>
      </c>
      <c r="AL32" s="690">
        <f>'28'!$G$69</f>
        <v>350</v>
      </c>
      <c r="AM32" s="690">
        <f>'28'!$G$84</f>
        <v>779</v>
      </c>
      <c r="AN32" s="690">
        <f>'28'!$G$15</f>
        <v>950</v>
      </c>
      <c r="AO32" s="690">
        <f>'28'!$G$124</f>
        <v>243</v>
      </c>
      <c r="AP32" s="690">
        <f>'28'!$G$125</f>
        <v>0</v>
      </c>
      <c r="AQ32" s="690">
        <f>'28'!$G$126</f>
        <v>66</v>
      </c>
      <c r="AR32" s="690">
        <f>'28'!$G$127</f>
        <v>32</v>
      </c>
      <c r="AS32" s="690">
        <f>'28'!$G$128</f>
        <v>2</v>
      </c>
      <c r="AT32" s="690">
        <f t="shared" si="0"/>
        <v>607</v>
      </c>
      <c r="AU32" s="690">
        <f>SUM('28'!G140:G141)</f>
        <v>9.7199999999997999</v>
      </c>
      <c r="AV32" s="690">
        <f>'28'!$G$137</f>
        <v>5.8000000000029104</v>
      </c>
      <c r="AW32" s="690">
        <f>'28'!$G$138</f>
        <v>2.0000000000436557E-2</v>
      </c>
      <c r="AX32" s="690">
        <f>'28'!$G$139</f>
        <v>0</v>
      </c>
      <c r="AY32" s="687">
        <f t="shared" si="1"/>
        <v>5.8200000000033469</v>
      </c>
      <c r="BA32" s="695">
        <f t="shared" si="4"/>
        <v>-364</v>
      </c>
    </row>
    <row r="33" spans="1:53">
      <c r="A33" s="689">
        <v>44072</v>
      </c>
      <c r="B33" s="55">
        <f>'29'!G7</f>
        <v>23250</v>
      </c>
      <c r="C33" s="55">
        <f>'29'!G8</f>
        <v>23083</v>
      </c>
      <c r="D33" s="55">
        <f>'29'!G15</f>
        <v>950</v>
      </c>
      <c r="E33" s="55">
        <f>'29'!G20</f>
        <v>200</v>
      </c>
      <c r="F33" s="55">
        <f>SUM('29'!G35,'29'!G49)</f>
        <v>3024</v>
      </c>
      <c r="G33" s="55">
        <f>SUM('29'!G37,'29'!G51)</f>
        <v>1606.8699999999953</v>
      </c>
      <c r="H33" s="55">
        <f>SUM('29'!G38,'29'!G52)</f>
        <v>1643</v>
      </c>
      <c r="I33" s="55">
        <f>SUM('29'!G39,'29'!G53)</f>
        <v>3817</v>
      </c>
      <c r="J33" s="55">
        <f>SUM('29'!G41,'29'!G42,'29'!G55,'29'!G56)</f>
        <v>7255</v>
      </c>
      <c r="K33" s="55">
        <f>SUM('29'!G43,'29'!G57)</f>
        <v>2797.67</v>
      </c>
      <c r="L33" s="690">
        <f>'29'!G50</f>
        <v>980</v>
      </c>
      <c r="M33" s="690">
        <f>'29'!G36</f>
        <v>1126</v>
      </c>
      <c r="N33" s="690">
        <f>'29'!G72</f>
        <v>13</v>
      </c>
      <c r="O33" s="690">
        <f>'29'!$G$73</f>
        <v>1</v>
      </c>
      <c r="P33" s="690">
        <f>'29'!$G$74</f>
        <v>2</v>
      </c>
      <c r="Q33" s="690">
        <f>'29'!$G$75</f>
        <v>159</v>
      </c>
      <c r="R33" s="690">
        <f>'29'!$G$76</f>
        <v>73</v>
      </c>
      <c r="S33" s="690">
        <f>'29'!$G$77</f>
        <v>58</v>
      </c>
      <c r="T33" s="690">
        <f>'29'!$G$78</f>
        <v>130</v>
      </c>
      <c r="U33" s="690">
        <f>'29'!$G$79</f>
        <v>148</v>
      </c>
      <c r="V33" s="690">
        <f>'29'!$G$80</f>
        <v>381</v>
      </c>
      <c r="W33" s="690">
        <f>'29'!$G$81</f>
        <v>197</v>
      </c>
      <c r="X33" s="690">
        <f>'29'!$G$82</f>
        <v>27</v>
      </c>
      <c r="Y33" s="690">
        <f>'29'!$G$58</f>
        <v>197</v>
      </c>
      <c r="Z33" s="690">
        <f>'29'!$G$83</f>
        <v>296</v>
      </c>
      <c r="AA33" s="690">
        <f>'29'!G86</f>
        <v>9</v>
      </c>
      <c r="AB33" s="690">
        <f>'29'!G87</f>
        <v>39</v>
      </c>
      <c r="AC33" s="690">
        <f>'29'!G88</f>
        <v>23</v>
      </c>
      <c r="AD33" s="690">
        <f>'29'!G87+'29'!H90</f>
        <v>44</v>
      </c>
      <c r="AE33" s="690">
        <f>'29'!$G$62</f>
        <v>0</v>
      </c>
      <c r="AF33" s="690">
        <f>'29'!$G$63</f>
        <v>0</v>
      </c>
      <c r="AG33" s="690">
        <f>'29'!$G$64</f>
        <v>405</v>
      </c>
      <c r="AH33" s="690">
        <f>'29'!$G$65</f>
        <v>399</v>
      </c>
      <c r="AI33" s="690">
        <f>'29'!$G$66</f>
        <v>406</v>
      </c>
      <c r="AJ33" s="690">
        <f>'29'!$G$67</f>
        <v>509</v>
      </c>
      <c r="AK33" s="690">
        <f>'29'!$G$68</f>
        <v>0</v>
      </c>
      <c r="AL33" s="690">
        <f>'29'!$G$69</f>
        <v>350</v>
      </c>
      <c r="AM33" s="690">
        <f>'29'!$G$84</f>
        <v>793</v>
      </c>
      <c r="AN33" s="690">
        <f>'29'!$G$15</f>
        <v>950</v>
      </c>
      <c r="AO33" s="690">
        <f>'29'!$G$124</f>
        <v>265</v>
      </c>
      <c r="AP33" s="690">
        <f>'29'!$G$125</f>
        <v>-0.39999999999417923</v>
      </c>
      <c r="AQ33" s="690">
        <f>'29'!$G$126</f>
        <v>89</v>
      </c>
      <c r="AR33" s="690">
        <f>'29'!$G$127</f>
        <v>44</v>
      </c>
      <c r="AS33" s="690">
        <f>'29'!$G$128</f>
        <v>1</v>
      </c>
      <c r="AT33" s="690">
        <f t="shared" si="0"/>
        <v>551.39999999999418</v>
      </c>
      <c r="AU33" s="690">
        <f>SUM('29'!G140:G141)</f>
        <v>9.3099999999999454</v>
      </c>
      <c r="AV33" s="690">
        <f>'29'!$G$137</f>
        <v>-2.0000000000436557E-2</v>
      </c>
      <c r="AW33" s="690">
        <f>'29'!$G$138</f>
        <v>10.770000000000437</v>
      </c>
      <c r="AX33" s="690">
        <f>'29'!$G$139</f>
        <v>0.39999999999417923</v>
      </c>
      <c r="AY33" s="687">
        <f t="shared" si="1"/>
        <v>11.149999999994179</v>
      </c>
      <c r="BA33" s="695">
        <f t="shared" si="4"/>
        <v>-286.39999999999418</v>
      </c>
    </row>
    <row r="34" spans="1:53" s="692" customFormat="1">
      <c r="A34" s="689">
        <v>44073</v>
      </c>
      <c r="B34" s="55">
        <f>'30'!G7</f>
        <v>23250</v>
      </c>
      <c r="C34" s="55">
        <f>'30'!G8</f>
        <v>22284</v>
      </c>
      <c r="D34" s="55">
        <f>'30'!G15</f>
        <v>950</v>
      </c>
      <c r="E34" s="55">
        <f>'30'!G20</f>
        <v>210</v>
      </c>
      <c r="F34" s="1087">
        <f>SUM('30'!G35,'30'!G49)</f>
        <v>3004</v>
      </c>
      <c r="G34" s="1087">
        <f>SUM('30'!G37,'30'!G51)</f>
        <v>1632.1300000000047</v>
      </c>
      <c r="H34" s="1087">
        <f>SUM('30'!G38,'30'!G52)</f>
        <v>1699.9300000000512</v>
      </c>
      <c r="I34" s="55">
        <f>SUM('30'!G39,'30'!G53)</f>
        <v>3848</v>
      </c>
      <c r="J34" s="1087">
        <f>SUM('30'!G41,'30'!G42,'30'!G55,'30'!G56)</f>
        <v>6835</v>
      </c>
      <c r="K34" s="1087">
        <f>SUM('30'!G43,'30'!G57)</f>
        <v>2640</v>
      </c>
      <c r="L34" s="432">
        <f>'30'!G50</f>
        <v>1029</v>
      </c>
      <c r="M34" s="432">
        <f>'30'!G36</f>
        <v>857</v>
      </c>
      <c r="N34" s="681">
        <f>'30'!G72</f>
        <v>15</v>
      </c>
      <c r="O34" s="681">
        <f>'30'!$G$73</f>
        <v>2</v>
      </c>
      <c r="P34" s="681">
        <f>'30'!$G$74</f>
        <v>1</v>
      </c>
      <c r="Q34" s="681">
        <f>'30'!$G$75</f>
        <v>172</v>
      </c>
      <c r="R34" s="681">
        <f>'30'!$G$76</f>
        <v>73</v>
      </c>
      <c r="S34" s="681">
        <f>'30'!$G$77</f>
        <v>57</v>
      </c>
      <c r="T34" s="681">
        <f>'30'!$G$78</f>
        <v>177</v>
      </c>
      <c r="U34" s="681">
        <f>'30'!$G$79</f>
        <v>139</v>
      </c>
      <c r="V34" s="681">
        <f>'30'!$G$80</f>
        <v>410</v>
      </c>
      <c r="W34" s="681">
        <f>'30'!$G$81</f>
        <v>188</v>
      </c>
      <c r="X34" s="681">
        <f>'30'!$G$82</f>
        <v>14</v>
      </c>
      <c r="Y34" s="681">
        <f>'30'!$G$58</f>
        <v>220</v>
      </c>
      <c r="Z34" s="681">
        <f>'30'!$G$83</f>
        <v>321</v>
      </c>
      <c r="AA34" s="681">
        <f>'30'!G86</f>
        <v>12</v>
      </c>
      <c r="AB34" s="681">
        <f>'30'!G87</f>
        <v>32</v>
      </c>
      <c r="AC34" s="681">
        <f>'30'!G88</f>
        <v>20</v>
      </c>
      <c r="AD34" s="681">
        <f>'30'!G87+'30'!H90</f>
        <v>42</v>
      </c>
      <c r="AE34" s="681">
        <f>'30'!$G$62</f>
        <v>0</v>
      </c>
      <c r="AF34" s="681">
        <f>'30'!$G$63</f>
        <v>0</v>
      </c>
      <c r="AG34" s="681">
        <f>'30'!$G$64</f>
        <v>379</v>
      </c>
      <c r="AH34" s="681">
        <f>'30'!$G$65</f>
        <v>402</v>
      </c>
      <c r="AI34" s="681">
        <f>'30'!$G$66</f>
        <v>418</v>
      </c>
      <c r="AJ34" s="681">
        <f>'30'!$G$67</f>
        <v>525</v>
      </c>
      <c r="AK34" s="681">
        <f>'30'!$G$68</f>
        <v>0</v>
      </c>
      <c r="AL34" s="681">
        <f>'30'!$G$69</f>
        <v>347</v>
      </c>
      <c r="AM34" s="681">
        <f>'30'!$G$84</f>
        <v>802</v>
      </c>
      <c r="AN34" s="681">
        <f>'30'!$G$15</f>
        <v>950</v>
      </c>
      <c r="AO34" s="681">
        <f>'30'!$G$124</f>
        <v>162</v>
      </c>
      <c r="AP34" s="681">
        <f>'30'!$G$125</f>
        <v>0.39999999999417923</v>
      </c>
      <c r="AQ34" s="681">
        <f>'30'!$G$126</f>
        <v>91</v>
      </c>
      <c r="AR34" s="681">
        <f>'30'!$G$127</f>
        <v>49</v>
      </c>
      <c r="AS34" s="681">
        <f>'30'!$G$128</f>
        <v>4</v>
      </c>
      <c r="AT34" s="681">
        <f t="shared" si="0"/>
        <v>643.60000000000582</v>
      </c>
      <c r="AU34" s="681">
        <f>SUM('30'!G140:G141)</f>
        <v>8.8400000000001455</v>
      </c>
      <c r="AV34" s="681">
        <f>'30'!$G$137</f>
        <v>0</v>
      </c>
      <c r="AW34" s="681">
        <f>'30'!$G$138</f>
        <v>9.5</v>
      </c>
      <c r="AX34" s="681">
        <f>'30'!$G$139</f>
        <v>-0.39999999999417923</v>
      </c>
      <c r="AY34" s="691">
        <f t="shared" si="1"/>
        <v>9.1000000000058208</v>
      </c>
      <c r="BA34" s="696">
        <f t="shared" si="4"/>
        <v>-481.60000000000582</v>
      </c>
    </row>
    <row r="35" spans="1:53">
      <c r="A35" s="689">
        <v>44074</v>
      </c>
      <c r="B35" s="55">
        <f>'31'!G7</f>
        <v>23250</v>
      </c>
      <c r="C35" s="55">
        <f>'31'!G8</f>
        <v>21500</v>
      </c>
      <c r="D35" s="55">
        <f>'31'!G116</f>
        <v>-499</v>
      </c>
      <c r="E35" s="55">
        <f>'31'!G20</f>
        <v>120</v>
      </c>
      <c r="F35" s="1087">
        <f>SUM('31'!G35,'31'!G49)</f>
        <v>-168393</v>
      </c>
      <c r="G35" s="1087">
        <f>SUM('31'!G37,'31'!G51)</f>
        <v>-90281</v>
      </c>
      <c r="H35" s="1087">
        <f>SUM('31'!G38,'31'!G52)</f>
        <v>1249</v>
      </c>
      <c r="I35" s="55">
        <f>SUM('31'!G39,'31'!G53)</f>
        <v>-210202</v>
      </c>
      <c r="J35" s="1087">
        <f>SUM('31'!G41,'31'!G42,'31'!G55,'31'!G56)</f>
        <v>-375153</v>
      </c>
      <c r="K35" s="1087">
        <f>SUM('31'!G43,'31'!G57)</f>
        <v>-159393</v>
      </c>
      <c r="L35" s="432">
        <f>'31'!G50</f>
        <v>-66212</v>
      </c>
      <c r="M35" s="432">
        <f>'31'!G36</f>
        <v>173</v>
      </c>
      <c r="N35" s="681">
        <f>'31'!G72</f>
        <v>-754</v>
      </c>
      <c r="O35" s="681">
        <f>'31'!$G$73</f>
        <v>-75</v>
      </c>
      <c r="P35" s="681">
        <f>'31'!$G$74</f>
        <v>-86146</v>
      </c>
      <c r="Q35" s="681">
        <f>'31'!$G$75</f>
        <v>-8091</v>
      </c>
      <c r="R35" s="681">
        <f>'31'!$G$76</f>
        <v>-3938</v>
      </c>
      <c r="S35" s="681">
        <f>'31'!$G$77</f>
        <v>-3545</v>
      </c>
      <c r="T35" s="681">
        <f>'31'!$G$78</f>
        <v>-5641</v>
      </c>
      <c r="U35" s="681">
        <f>'31'!$G$79</f>
        <v>-9044</v>
      </c>
      <c r="V35" s="681">
        <f>'31'!$G$80</f>
        <v>-23880</v>
      </c>
      <c r="W35" s="681">
        <f>'31'!$G$81</f>
        <v>-9935</v>
      </c>
      <c r="X35" s="681">
        <f>'31'!$G$82</f>
        <v>-1151</v>
      </c>
      <c r="Y35" s="681">
        <f>'31'!$G$58</f>
        <v>-9846</v>
      </c>
      <c r="Z35" s="681">
        <f>'31'!$G$83</f>
        <v>-14202</v>
      </c>
      <c r="AA35" s="681">
        <f>'31'!G87</f>
        <v>-1553</v>
      </c>
      <c r="AB35" s="681">
        <f>'31'!G88</f>
        <v>-5138</v>
      </c>
      <c r="AC35" s="681">
        <f>'31'!G89</f>
        <v>-1880.4000000000015</v>
      </c>
      <c r="AD35" s="681">
        <f>'31'!G88+'31'!H92</f>
        <v>-5138</v>
      </c>
      <c r="AE35" s="681">
        <f>'31'!$G$62</f>
        <v>0</v>
      </c>
      <c r="AF35" s="681">
        <f>'31'!$G$63</f>
        <v>0</v>
      </c>
      <c r="AG35" s="681">
        <f>'31'!$G$64</f>
        <v>-21581</v>
      </c>
      <c r="AH35" s="681">
        <f>'31'!$G$65</f>
        <v>-20816</v>
      </c>
      <c r="AI35" s="681">
        <f>'31'!$G$66</f>
        <v>-23454</v>
      </c>
      <c r="AJ35" s="681">
        <f>'31'!$G$67</f>
        <v>-27328</v>
      </c>
      <c r="AK35" s="681">
        <f>'31'!$G$68</f>
        <v>0</v>
      </c>
      <c r="AL35" s="681">
        <f>'31'!$G$69</f>
        <v>-14471</v>
      </c>
      <c r="AM35" s="681">
        <f>'31'!$G$84</f>
        <v>-46279</v>
      </c>
      <c r="AN35" s="681">
        <f>'31'!$G$15</f>
        <v>950</v>
      </c>
      <c r="AO35" s="681">
        <f>'31'!$G$124</f>
        <v>-15241</v>
      </c>
      <c r="AP35" s="681">
        <f>'31'!$G$125</f>
        <v>0</v>
      </c>
      <c r="AQ35" s="681">
        <f>'31'!$G$126</f>
        <v>-4738</v>
      </c>
      <c r="AR35" s="681">
        <f>'31'!$G$127</f>
        <v>-1839</v>
      </c>
      <c r="AS35" s="681">
        <f>'31'!$G$128</f>
        <v>-137</v>
      </c>
      <c r="AT35" s="681">
        <f t="shared" ref="AT35" si="5">AN35-SUM(AO35:AS35)</f>
        <v>22905</v>
      </c>
      <c r="AU35" s="681">
        <f>SUM('31'!G141:G142)</f>
        <v>-117</v>
      </c>
      <c r="AV35" s="681">
        <f>'31'!$G$137</f>
        <v>-290.31999999999971</v>
      </c>
      <c r="AW35" s="681">
        <f>'31'!$G$138</f>
        <v>-67.630000000001019</v>
      </c>
      <c r="AX35" s="681">
        <f>'30'!$G$139</f>
        <v>-0.39999999999417923</v>
      </c>
      <c r="AY35" s="691">
        <f t="shared" ref="AY35" si="6">SUM(AV35:AX35)</f>
        <v>-358.34999999999491</v>
      </c>
      <c r="BA35" s="695"/>
    </row>
    <row r="36" spans="1:53" s="1085" customFormat="1">
      <c r="A36" s="1084" t="s">
        <v>335</v>
      </c>
      <c r="B36" s="1086">
        <f>AVERAGE(B5:B35)</f>
        <v>22784.387096774193</v>
      </c>
      <c r="C36" s="1084">
        <f t="shared" ref="C36:AY36" si="7">AVERAGE(C5:C35)</f>
        <v>-57.806451612903224</v>
      </c>
      <c r="D36" s="1084">
        <f t="shared" si="7"/>
        <v>867.93548387096769</v>
      </c>
      <c r="E36" s="1084">
        <f t="shared" si="7"/>
        <v>205.80645161290323</v>
      </c>
      <c r="F36" s="1084">
        <f t="shared" si="7"/>
        <v>-5531.1064516129045</v>
      </c>
      <c r="G36" s="1084">
        <f t="shared" si="7"/>
        <v>-2965.7096774193546</v>
      </c>
      <c r="H36" s="1084">
        <f t="shared" si="7"/>
        <v>-16</v>
      </c>
      <c r="I36" s="1084">
        <f t="shared" si="7"/>
        <v>-6903.5161290322585</v>
      </c>
      <c r="J36" s="1084">
        <f t="shared" si="7"/>
        <v>-12335.483870967742</v>
      </c>
      <c r="K36" s="1084">
        <f t="shared" si="7"/>
        <v>-5232.8064516129034</v>
      </c>
      <c r="L36" s="1084">
        <f t="shared" si="7"/>
        <v>-2173.8387096774195</v>
      </c>
      <c r="M36" s="1084">
        <f t="shared" si="7"/>
        <v>-24.93548387096774</v>
      </c>
      <c r="N36" s="1084">
        <f t="shared" si="7"/>
        <v>-24.64516129032258</v>
      </c>
      <c r="O36" s="1084">
        <f t="shared" si="7"/>
        <v>-2.4516129032258065</v>
      </c>
      <c r="P36" s="1084">
        <f t="shared" si="7"/>
        <v>-2776.6129032258063</v>
      </c>
      <c r="Q36" s="1084">
        <f t="shared" si="7"/>
        <v>-267.03225806451616</v>
      </c>
      <c r="R36" s="1084">
        <f t="shared" si="7"/>
        <v>-129.29032258064515</v>
      </c>
      <c r="S36" s="1084">
        <f t="shared" si="7"/>
        <v>-116.58064516129032</v>
      </c>
      <c r="T36" s="1084">
        <f t="shared" si="7"/>
        <v>-187.7741935483871</v>
      </c>
      <c r="U36" s="1084">
        <f t="shared" si="7"/>
        <v>-296.93548387096774</v>
      </c>
      <c r="V36" s="1084">
        <f t="shared" si="7"/>
        <v>-783.67741935483866</v>
      </c>
      <c r="W36" s="1084">
        <f t="shared" si="7"/>
        <v>-326.45161290322579</v>
      </c>
      <c r="X36" s="1084">
        <f t="shared" si="7"/>
        <v>-38</v>
      </c>
      <c r="Y36" s="1084">
        <f t="shared" si="7"/>
        <v>-324.32258064516128</v>
      </c>
      <c r="Z36" s="1084">
        <f t="shared" si="7"/>
        <v>-468.35483870967744</v>
      </c>
      <c r="AA36" s="1084">
        <f t="shared" si="7"/>
        <v>-50.774193548387096</v>
      </c>
      <c r="AB36" s="1084">
        <f t="shared" si="7"/>
        <v>-167.26129032258083</v>
      </c>
      <c r="AC36" s="1084">
        <f t="shared" si="7"/>
        <v>-60.980645161290369</v>
      </c>
      <c r="AD36" s="1084">
        <f t="shared" si="7"/>
        <v>-160.60000000000002</v>
      </c>
      <c r="AE36" s="1084">
        <f t="shared" si="7"/>
        <v>0</v>
      </c>
      <c r="AF36" s="1084">
        <f t="shared" si="7"/>
        <v>0</v>
      </c>
      <c r="AG36" s="1084">
        <f t="shared" si="7"/>
        <v>-707.35483870967744</v>
      </c>
      <c r="AH36" s="1084">
        <f t="shared" si="7"/>
        <v>-684.22580645161293</v>
      </c>
      <c r="AI36" s="1084">
        <f t="shared" si="7"/>
        <v>-769.90322580645159</v>
      </c>
      <c r="AJ36" s="1084">
        <f t="shared" si="7"/>
        <v>-898.90322580645159</v>
      </c>
      <c r="AK36" s="1084">
        <f t="shared" si="7"/>
        <v>0</v>
      </c>
      <c r="AL36" s="1084">
        <f t="shared" si="7"/>
        <v>-477.67741935483872</v>
      </c>
      <c r="AM36" s="1084">
        <f t="shared" si="7"/>
        <v>-1519.3225806451612</v>
      </c>
      <c r="AN36" s="1084">
        <f t="shared" si="7"/>
        <v>914.67741935483866</v>
      </c>
      <c r="AO36" s="1084">
        <f t="shared" si="7"/>
        <v>-503.22580645161293</v>
      </c>
      <c r="AP36" s="1084">
        <f t="shared" si="7"/>
        <v>0</v>
      </c>
      <c r="AQ36" s="1084">
        <f t="shared" si="7"/>
        <v>-155.80645161290323</v>
      </c>
      <c r="AR36" s="1084">
        <f t="shared" si="7"/>
        <v>-60.70967741935484</v>
      </c>
      <c r="AS36" s="1084">
        <f t="shared" si="7"/>
        <v>-4.5483870967741939</v>
      </c>
      <c r="AT36" s="1084">
        <f t="shared" si="7"/>
        <v>1638.9677419354839</v>
      </c>
      <c r="AU36" s="1084">
        <f t="shared" si="7"/>
        <v>-4.104193548387097</v>
      </c>
      <c r="AV36" s="1084">
        <f t="shared" si="7"/>
        <v>-9.655483870967732</v>
      </c>
      <c r="AW36" s="1084">
        <f t="shared" si="7"/>
        <v>-2.1816129032258393</v>
      </c>
      <c r="AX36" s="1084">
        <f t="shared" si="7"/>
        <v>-1.2903225806263846E-2</v>
      </c>
      <c r="AY36" s="1084">
        <f t="shared" si="7"/>
        <v>-11.849999999999836</v>
      </c>
    </row>
    <row r="37" spans="1:53">
      <c r="A37" s="731"/>
      <c r="B37" s="731"/>
      <c r="C37" s="731"/>
      <c r="D37" s="731"/>
      <c r="E37" s="731"/>
      <c r="F37" s="35">
        <f t="shared" ref="F37:K37" si="8">F19-F18</f>
        <v>-89</v>
      </c>
      <c r="G37" s="35">
        <f t="shared" si="8"/>
        <v>0</v>
      </c>
      <c r="H37" s="35">
        <f t="shared" si="8"/>
        <v>124.93000000005122</v>
      </c>
      <c r="I37" s="35">
        <f t="shared" si="8"/>
        <v>-2.1800000000512227</v>
      </c>
      <c r="J37" s="35">
        <f t="shared" si="8"/>
        <v>187</v>
      </c>
      <c r="K37" s="35">
        <f t="shared" si="8"/>
        <v>90</v>
      </c>
      <c r="L37" s="35"/>
      <c r="M37" s="35"/>
      <c r="AO37" s="733" t="s">
        <v>110</v>
      </c>
      <c r="AP37" s="734">
        <v>191</v>
      </c>
      <c r="AQ37" s="734"/>
      <c r="AR37" s="734"/>
    </row>
    <row r="38" spans="1:53">
      <c r="A38" s="731"/>
      <c r="B38" s="731"/>
      <c r="C38" s="731"/>
      <c r="D38" s="731"/>
      <c r="E38" s="731"/>
      <c r="AO38" s="734"/>
      <c r="AP38" s="734">
        <v>88</v>
      </c>
      <c r="AQ38" s="734"/>
      <c r="AR38" s="734"/>
    </row>
    <row r="39" spans="1:53">
      <c r="A39" s="731"/>
      <c r="B39" s="731"/>
      <c r="C39" s="731"/>
      <c r="D39" s="731"/>
      <c r="E39" s="731"/>
      <c r="AO39" s="734"/>
      <c r="AP39" s="735">
        <f>SUM(AP37:AP38)</f>
        <v>279</v>
      </c>
      <c r="AQ39" s="736" t="s">
        <v>111</v>
      </c>
      <c r="AR39" s="736">
        <v>335</v>
      </c>
    </row>
    <row r="40" spans="1:53">
      <c r="A40" s="731"/>
      <c r="B40" s="731"/>
      <c r="C40" s="731"/>
      <c r="D40" s="731"/>
      <c r="E40" s="731"/>
      <c r="AO40" s="734"/>
      <c r="AP40" s="734"/>
      <c r="AQ40" s="734"/>
      <c r="AR40" s="734"/>
    </row>
    <row r="41" spans="1:53">
      <c r="A41" s="731"/>
      <c r="B41" s="731"/>
      <c r="C41" s="731"/>
      <c r="D41" s="731"/>
      <c r="E41" s="731"/>
      <c r="N41" s="695"/>
      <c r="O41" s="695"/>
      <c r="P41" s="695"/>
      <c r="Q41" s="695"/>
      <c r="R41" s="695"/>
      <c r="S41" s="695"/>
      <c r="T41" s="695"/>
      <c r="U41" s="695"/>
      <c r="V41" s="695"/>
      <c r="W41" s="695"/>
      <c r="X41" s="695"/>
      <c r="Y41" s="695"/>
      <c r="Z41" s="695"/>
      <c r="AA41" s="695"/>
      <c r="AB41" s="695"/>
      <c r="AC41" s="695"/>
      <c r="AD41" s="695"/>
      <c r="AE41" s="695"/>
      <c r="AF41" s="695"/>
      <c r="AG41" s="695"/>
      <c r="AH41" s="695"/>
      <c r="AI41" s="695"/>
      <c r="AJ41" s="695"/>
      <c r="AK41" s="695"/>
      <c r="AL41" s="695"/>
      <c r="AN41" s="695"/>
      <c r="AO41" s="733" t="s">
        <v>112</v>
      </c>
      <c r="AP41" s="735">
        <v>168</v>
      </c>
      <c r="AQ41" s="734"/>
      <c r="AR41" s="734"/>
    </row>
    <row r="42" spans="1:53">
      <c r="A42" s="731"/>
      <c r="B42" s="731"/>
      <c r="C42" s="731"/>
      <c r="D42" s="731"/>
      <c r="E42" s="731"/>
      <c r="AO42" s="734"/>
      <c r="AP42" s="734"/>
      <c r="AQ42" s="736" t="s">
        <v>113</v>
      </c>
      <c r="AR42" s="734"/>
    </row>
    <row r="43" spans="1:53">
      <c r="A43" s="731"/>
      <c r="B43" s="731"/>
      <c r="C43" s="731"/>
      <c r="D43" s="731"/>
      <c r="E43" s="731"/>
      <c r="AO43" s="734" t="s">
        <v>114</v>
      </c>
      <c r="AP43" s="734">
        <f>20*38.68</f>
        <v>773.6</v>
      </c>
      <c r="AQ43" s="734" t="s">
        <v>115</v>
      </c>
      <c r="AR43" s="734"/>
    </row>
    <row r="44" spans="1:53">
      <c r="A44" s="731"/>
      <c r="B44" s="731"/>
      <c r="C44" s="731"/>
      <c r="D44" s="731"/>
      <c r="E44" s="731"/>
    </row>
    <row r="45" spans="1:53">
      <c r="A45" s="731"/>
      <c r="B45" s="731"/>
      <c r="C45" s="731"/>
      <c r="D45" s="731"/>
      <c r="E45" s="731"/>
    </row>
    <row r="46" spans="1:53">
      <c r="A46" s="731"/>
      <c r="B46" s="731"/>
      <c r="C46" s="731"/>
      <c r="D46" s="731"/>
      <c r="E46" s="731"/>
    </row>
    <row r="47" spans="1:53">
      <c r="A47" s="731"/>
      <c r="B47" s="731"/>
      <c r="C47" s="731"/>
      <c r="D47" s="731"/>
      <c r="E47" s="731"/>
    </row>
    <row r="48" spans="1:53">
      <c r="A48" s="731"/>
      <c r="B48" s="731"/>
      <c r="C48" s="731"/>
      <c r="D48" s="731"/>
      <c r="E48" s="731"/>
    </row>
    <row r="49" spans="1:5">
      <c r="A49" s="731"/>
      <c r="B49" s="731"/>
      <c r="C49" s="731"/>
      <c r="D49" s="731"/>
      <c r="E49" s="731"/>
    </row>
    <row r="50" spans="1:5">
      <c r="A50" s="731"/>
      <c r="B50" s="731"/>
      <c r="C50" s="731"/>
      <c r="D50" s="731"/>
      <c r="E50" s="731"/>
    </row>
    <row r="51" spans="1:5">
      <c r="A51" s="731"/>
      <c r="B51" s="731"/>
      <c r="C51" s="731"/>
      <c r="D51" s="731"/>
      <c r="E51" s="731"/>
    </row>
    <row r="52" spans="1:5">
      <c r="A52" s="731"/>
      <c r="B52" s="731"/>
      <c r="C52" s="731"/>
      <c r="D52" s="731"/>
      <c r="E52" s="731"/>
    </row>
    <row r="53" spans="1:5">
      <c r="A53" s="731"/>
      <c r="B53" s="731"/>
      <c r="C53" s="731"/>
      <c r="D53" s="731"/>
      <c r="E53" s="731"/>
    </row>
    <row r="54" spans="1:5">
      <c r="A54" s="731"/>
      <c r="B54" s="731"/>
      <c r="C54" s="731"/>
      <c r="D54" s="731"/>
      <c r="E54" s="731"/>
    </row>
    <row r="55" spans="1:5">
      <c r="A55" s="731"/>
      <c r="B55" s="731"/>
      <c r="C55" s="731"/>
      <c r="D55" s="731"/>
      <c r="E55" s="731"/>
    </row>
    <row r="56" spans="1:5">
      <c r="A56" s="731"/>
      <c r="B56" s="731"/>
      <c r="C56" s="731"/>
      <c r="D56" s="731"/>
      <c r="E56" s="731"/>
    </row>
    <row r="57" spans="1:5">
      <c r="A57" s="731"/>
      <c r="B57" s="731"/>
      <c r="C57" s="731"/>
      <c r="D57" s="731"/>
      <c r="E57" s="731"/>
    </row>
    <row r="58" spans="1:5">
      <c r="A58" s="731"/>
      <c r="B58" s="731"/>
      <c r="C58" s="731"/>
      <c r="D58" s="731"/>
      <c r="E58" s="731"/>
    </row>
    <row r="59" spans="1:5">
      <c r="A59" s="731"/>
      <c r="B59" s="731"/>
      <c r="C59" s="731"/>
      <c r="D59" s="731"/>
      <c r="E59" s="731"/>
    </row>
    <row r="60" spans="1:5">
      <c r="A60" s="731"/>
      <c r="B60" s="731"/>
      <c r="C60" s="731"/>
      <c r="D60" s="731"/>
      <c r="E60" s="731"/>
    </row>
    <row r="61" spans="1:5">
      <c r="A61" s="731"/>
      <c r="B61" s="731"/>
      <c r="C61" s="731"/>
      <c r="D61" s="731"/>
      <c r="E61" s="731"/>
    </row>
    <row r="62" spans="1:5">
      <c r="A62" s="731"/>
      <c r="B62" s="731"/>
      <c r="C62" s="731"/>
      <c r="D62" s="731"/>
      <c r="E62" s="731"/>
    </row>
    <row r="63" spans="1:5">
      <c r="A63" s="731"/>
      <c r="B63" s="731"/>
      <c r="C63" s="731"/>
      <c r="D63" s="731"/>
      <c r="E63" s="731"/>
    </row>
    <row r="64" spans="1:5">
      <c r="A64" s="731"/>
      <c r="B64" s="731"/>
      <c r="C64" s="731"/>
      <c r="D64" s="731"/>
      <c r="E64" s="731"/>
    </row>
    <row r="65" spans="1:5">
      <c r="A65" s="731"/>
      <c r="B65" s="731"/>
      <c r="C65" s="731"/>
      <c r="D65" s="731"/>
      <c r="E65" s="731"/>
    </row>
    <row r="66" spans="1:5">
      <c r="A66" s="731"/>
      <c r="B66" s="731"/>
      <c r="C66" s="731"/>
      <c r="D66" s="731"/>
      <c r="E66" s="731"/>
    </row>
    <row r="67" spans="1:5">
      <c r="A67" s="731"/>
      <c r="B67" s="731"/>
      <c r="C67" s="731"/>
      <c r="D67" s="731"/>
      <c r="E67" s="731"/>
    </row>
    <row r="68" spans="1:5">
      <c r="A68" s="731"/>
      <c r="B68" s="731"/>
      <c r="C68" s="731"/>
      <c r="D68" s="731"/>
      <c r="E68" s="731"/>
    </row>
    <row r="69" spans="1:5">
      <c r="A69" s="731"/>
      <c r="B69" s="731"/>
      <c r="C69" s="731"/>
      <c r="D69" s="731"/>
      <c r="E69" s="731"/>
    </row>
    <row r="70" spans="1:5">
      <c r="A70" s="731"/>
      <c r="B70" s="731"/>
      <c r="C70" s="731"/>
      <c r="D70" s="731"/>
      <c r="E70" s="731"/>
    </row>
    <row r="71" spans="1:5">
      <c r="A71" s="731"/>
      <c r="B71" s="731"/>
      <c r="C71" s="731"/>
      <c r="D71" s="731"/>
      <c r="E71" s="731"/>
    </row>
    <row r="72" spans="1:5">
      <c r="A72" s="731"/>
      <c r="B72" s="731"/>
      <c r="C72" s="731"/>
      <c r="D72" s="731"/>
      <c r="E72" s="731"/>
    </row>
    <row r="73" spans="1:5">
      <c r="A73" s="731"/>
      <c r="B73" s="731"/>
      <c r="C73" s="731"/>
      <c r="D73" s="731"/>
      <c r="E73" s="731"/>
    </row>
    <row r="74" spans="1:5">
      <c r="A74" s="731"/>
      <c r="B74" s="731"/>
      <c r="C74" s="731"/>
      <c r="D74" s="731"/>
      <c r="E74" s="731"/>
    </row>
    <row r="75" spans="1:5">
      <c r="A75" s="731"/>
      <c r="B75" s="731"/>
      <c r="C75" s="731"/>
      <c r="D75" s="731"/>
      <c r="E75" s="731"/>
    </row>
    <row r="76" spans="1:5">
      <c r="A76" s="731"/>
      <c r="B76" s="731"/>
      <c r="C76" s="731"/>
      <c r="D76" s="731"/>
      <c r="E76" s="731"/>
    </row>
    <row r="77" spans="1:5">
      <c r="A77" s="731"/>
      <c r="B77" s="731"/>
      <c r="C77" s="731"/>
      <c r="D77" s="731"/>
      <c r="E77" s="731"/>
    </row>
    <row r="78" spans="1:5">
      <c r="A78" s="731"/>
      <c r="B78" s="731"/>
      <c r="C78" s="731"/>
      <c r="D78" s="731"/>
      <c r="E78" s="731"/>
    </row>
    <row r="79" spans="1:5">
      <c r="A79" s="731"/>
      <c r="B79" s="731"/>
      <c r="C79" s="731"/>
      <c r="D79" s="731"/>
      <c r="E79" s="731"/>
    </row>
    <row r="80" spans="1:5">
      <c r="A80" s="731"/>
      <c r="B80" s="731"/>
      <c r="C80" s="731"/>
      <c r="D80" s="731"/>
      <c r="E80" s="731"/>
    </row>
    <row r="81" spans="1:5">
      <c r="A81" s="731"/>
      <c r="B81" s="731"/>
      <c r="C81" s="731"/>
      <c r="D81" s="731"/>
      <c r="E81" s="731"/>
    </row>
    <row r="82" spans="1:5">
      <c r="A82" s="731"/>
      <c r="B82" s="731"/>
      <c r="C82" s="731"/>
      <c r="D82" s="731"/>
      <c r="E82" s="731"/>
    </row>
    <row r="83" spans="1:5">
      <c r="A83" s="731"/>
      <c r="B83" s="731"/>
      <c r="C83" s="731"/>
      <c r="D83" s="731"/>
      <c r="E83" s="731"/>
    </row>
    <row r="84" spans="1:5">
      <c r="A84" s="731"/>
      <c r="B84" s="731"/>
      <c r="C84" s="731"/>
      <c r="D84" s="731"/>
      <c r="E84" s="731"/>
    </row>
    <row r="85" spans="1:5">
      <c r="A85" s="731"/>
      <c r="B85" s="731"/>
      <c r="C85" s="731"/>
      <c r="D85" s="731"/>
      <c r="E85" s="731"/>
    </row>
    <row r="86" spans="1:5">
      <c r="A86" s="731"/>
      <c r="B86" s="731"/>
      <c r="C86" s="731"/>
      <c r="D86" s="731"/>
      <c r="E86" s="731"/>
    </row>
    <row r="87" spans="1:5">
      <c r="A87" s="732"/>
      <c r="B87" s="732"/>
      <c r="C87" s="732"/>
      <c r="D87" s="732"/>
      <c r="E87" s="732"/>
    </row>
    <row r="88" spans="1:5">
      <c r="A88" s="732"/>
      <c r="B88" s="732"/>
      <c r="C88" s="732"/>
      <c r="D88" s="732"/>
      <c r="E88" s="732"/>
    </row>
    <row r="89" spans="1:5">
      <c r="A89" s="732"/>
      <c r="B89" s="732"/>
      <c r="C89" s="732"/>
      <c r="D89" s="732"/>
      <c r="E89" s="732"/>
    </row>
    <row r="90" spans="1:5">
      <c r="A90" s="732"/>
      <c r="B90" s="732"/>
      <c r="C90" s="732"/>
      <c r="D90" s="732"/>
      <c r="E90" s="732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8"/>
  <sheetViews>
    <sheetView view="pageBreakPreview" topLeftCell="A16" zoomScale="60" zoomScaleNormal="61" zoomScalePageLayoutView="70" workbookViewId="0">
      <selection activeCell="F27" sqref="F27:F31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214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347</v>
      </c>
      <c r="B2" s="682">
        <v>44409</v>
      </c>
      <c r="C2" s="933" t="s">
        <v>68</v>
      </c>
      <c r="D2" s="262">
        <v>0.63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3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33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v>607673</v>
      </c>
      <c r="F7" s="106">
        <v>630125.87</v>
      </c>
      <c r="G7" s="124">
        <f>F7-E7</f>
        <v>22452.869999999995</v>
      </c>
      <c r="H7" s="111">
        <f>G7</f>
        <v>22452.869999999995</v>
      </c>
      <c r="I7" s="125">
        <v>12000</v>
      </c>
      <c r="J7" s="203">
        <f>H7/DAY(B2)</f>
        <v>22452.869999999995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v>615597</v>
      </c>
      <c r="F8" s="126">
        <v>638137.06999999995</v>
      </c>
      <c r="G8" s="127">
        <f>F8-E8</f>
        <v>22540.069999999949</v>
      </c>
      <c r="H8" s="111">
        <f>G8</f>
        <v>22540.069999999949</v>
      </c>
      <c r="I8" s="128">
        <v>12000</v>
      </c>
      <c r="J8" s="203">
        <f>H8/DAY(B2)</f>
        <v>22540.069999999949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06">
        <v>2696635</v>
      </c>
      <c r="F9" s="129">
        <v>2718399</v>
      </c>
      <c r="G9" s="124">
        <f>F9-E9</f>
        <v>21764</v>
      </c>
      <c r="H9" s="111">
        <f t="shared" ref="H9:H13" si="0">G9</f>
        <v>21764</v>
      </c>
      <c r="I9" s="130">
        <f>I8-J8</f>
        <v>-10540.069999999949</v>
      </c>
      <c r="J9" s="203">
        <f>H9/DAY(B2)</f>
        <v>21764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22452.869999999995</v>
      </c>
      <c r="J13" s="203">
        <f>H13/DAY(B2)</f>
        <v>0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931" t="s">
        <v>139</v>
      </c>
      <c r="B15" s="240"/>
      <c r="C15" s="240"/>
      <c r="D15" s="174" t="s">
        <v>140</v>
      </c>
      <c r="E15" s="135">
        <v>1729554</v>
      </c>
      <c r="F15" s="135">
        <v>1730330</v>
      </c>
      <c r="G15" s="430">
        <f>(F15-E15)</f>
        <v>776</v>
      </c>
      <c r="H15" s="111">
        <f>G15</f>
        <v>776</v>
      </c>
      <c r="I15" s="125">
        <v>800</v>
      </c>
      <c r="J15" s="203">
        <f>H15/DAY(B2)</f>
        <v>776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24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v>16</v>
      </c>
      <c r="F18" s="135">
        <v>18</v>
      </c>
      <c r="G18" s="132">
        <f>F18*10</f>
        <v>180</v>
      </c>
      <c r="H18" s="111">
        <f>G18</f>
        <v>180</v>
      </c>
      <c r="I18" s="125">
        <v>65</v>
      </c>
      <c r="J18" s="203">
        <f>H18/DAY(B2)</f>
        <v>180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v>143390</v>
      </c>
      <c r="F19" s="135">
        <v>143453</v>
      </c>
      <c r="G19" s="124">
        <f t="shared" ref="G19" si="2">F19-E19</f>
        <v>63</v>
      </c>
      <c r="H19" s="111">
        <f t="shared" ref="H19" si="3">G19</f>
        <v>63</v>
      </c>
      <c r="I19" s="140"/>
      <c r="J19" s="203">
        <f>H19/DAY(B2)</f>
        <v>63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243</v>
      </c>
      <c r="H20" s="111">
        <f>G20</f>
        <v>243</v>
      </c>
      <c r="I20" s="143">
        <f>I18-J20</f>
        <v>-178</v>
      </c>
      <c r="J20" s="203">
        <f>H20/DAY(B2)</f>
        <v>243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931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31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22540.069999999949</v>
      </c>
      <c r="F27" s="152">
        <v>9</v>
      </c>
      <c r="G27" s="153">
        <f>E27*F27</f>
        <v>202860.62999999954</v>
      </c>
      <c r="H27" s="111">
        <f>G27</f>
        <v>202860.62999999954</v>
      </c>
      <c r="I27" s="154"/>
      <c r="J27" s="203">
        <f>H27/DAY(B2)</f>
        <v>202860.62999999954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776</v>
      </c>
      <c r="F28" s="152">
        <v>54.5</v>
      </c>
      <c r="G28" s="153">
        <f>E28*F28</f>
        <v>42292</v>
      </c>
      <c r="H28" s="111">
        <f>G28</f>
        <v>42292</v>
      </c>
      <c r="I28" s="156"/>
      <c r="J28" s="203">
        <f>H28/DAY(B2)</f>
        <v>42292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</f>
        <v>9198</v>
      </c>
      <c r="I30" s="156"/>
      <c r="J30" s="203">
        <f>H30/DAY(B2)</f>
        <v>9198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</f>
        <v>14400</v>
      </c>
      <c r="I31" s="156"/>
      <c r="J31" s="203">
        <f>H31/DAY(B2)</f>
        <v>14400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268750.62999999954</v>
      </c>
      <c r="H32" s="111">
        <f t="shared" ref="H32" si="6">G32</f>
        <v>268750.62999999954</v>
      </c>
      <c r="I32" s="160"/>
      <c r="J32" s="203">
        <f>H32/DAY(B2)</f>
        <v>268750.62999999954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936"/>
      <c r="C34" s="936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v>46798</v>
      </c>
      <c r="F36" s="161">
        <v>47530.6</v>
      </c>
      <c r="G36" s="124">
        <f t="shared" ref="G36:G46" si="7">F36-E36</f>
        <v>732.59999999999854</v>
      </c>
      <c r="H36" s="111">
        <f t="shared" ref="H36:H47" si="8">G36</f>
        <v>732.59999999999854</v>
      </c>
      <c r="I36" s="106"/>
      <c r="J36" s="203">
        <f>H36/DAY(B2)</f>
        <v>732.59999999999854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v>226173</v>
      </c>
      <c r="F37" s="161">
        <v>227824.73</v>
      </c>
      <c r="G37" s="124">
        <f t="shared" si="7"/>
        <v>1651.7300000000105</v>
      </c>
      <c r="H37" s="111">
        <f t="shared" si="8"/>
        <v>1651.7300000000105</v>
      </c>
      <c r="I37" s="106"/>
      <c r="J37" s="203">
        <f>H37/DAY(B2)</f>
        <v>1651.7300000000105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v>248559</v>
      </c>
      <c r="F38" s="120">
        <v>250298.37</v>
      </c>
      <c r="G38" s="124">
        <f t="shared" si="7"/>
        <v>1739.3699999999953</v>
      </c>
      <c r="H38" s="111">
        <f t="shared" si="8"/>
        <v>1739.3699999999953</v>
      </c>
      <c r="I38" s="106"/>
      <c r="J38" s="203">
        <f>H38/DAY(B2)</f>
        <v>1739.3699999999953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v>520518</v>
      </c>
      <c r="F39" s="161">
        <v>524274.99</v>
      </c>
      <c r="G39" s="124">
        <f t="shared" si="7"/>
        <v>3756.9899999999907</v>
      </c>
      <c r="H39" s="111">
        <f t="shared" si="8"/>
        <v>3756.9899999999907</v>
      </c>
      <c r="I39" s="106"/>
      <c r="J39" s="203">
        <f>H39/DAY(B2)</f>
        <v>3756.9899999999907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v>20173</v>
      </c>
      <c r="F40" s="161">
        <v>20801.580000000002</v>
      </c>
      <c r="G40" s="124">
        <f t="shared" si="7"/>
        <v>628.58000000000175</v>
      </c>
      <c r="H40" s="111">
        <f t="shared" si="8"/>
        <v>628.58000000000175</v>
      </c>
      <c r="I40" s="106"/>
      <c r="J40" s="203">
        <f>H40/DAY(B2)</f>
        <v>628.58000000000175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v>366840</v>
      </c>
      <c r="F41" s="161">
        <v>366840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v>115512</v>
      </c>
      <c r="F42" s="161">
        <v>120742.44</v>
      </c>
      <c r="G42" s="124">
        <f t="shared" si="7"/>
        <v>5230.4400000000023</v>
      </c>
      <c r="H42" s="111">
        <f t="shared" si="8"/>
        <v>5230.4400000000023</v>
      </c>
      <c r="I42" s="106"/>
      <c r="J42" s="203">
        <f>H42/DAY(B2)</f>
        <v>5230.4400000000023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v>1204461</v>
      </c>
      <c r="F43" s="161">
        <v>1207185.7</v>
      </c>
      <c r="G43" s="124">
        <f t="shared" si="7"/>
        <v>2724.6999999999534</v>
      </c>
      <c r="H43" s="111">
        <f t="shared" si="8"/>
        <v>2724.6999999999534</v>
      </c>
      <c r="I43" s="106"/>
      <c r="J43" s="203">
        <f>H43/DAY(B2)</f>
        <v>2724.6999999999534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16464.409999999953</v>
      </c>
      <c r="H47" s="111">
        <f t="shared" si="8"/>
        <v>16464.409999999953</v>
      </c>
      <c r="I47" s="106"/>
      <c r="J47" s="203">
        <f>H47/DAY(B2)</f>
        <v>16464.409999999953</v>
      </c>
      <c r="K47" s="81"/>
      <c r="L47" s="68"/>
      <c r="N47" s="73"/>
      <c r="O47" s="73"/>
    </row>
    <row r="48" spans="1:15">
      <c r="A48" s="249" t="s">
        <v>176</v>
      </c>
      <c r="B48" s="936"/>
      <c r="C48" s="936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v>324088</v>
      </c>
      <c r="F49" s="161">
        <v>327169.67</v>
      </c>
      <c r="G49" s="124">
        <f t="shared" ref="G49:G58" si="9">F49-E49</f>
        <v>3081.6699999999837</v>
      </c>
      <c r="H49" s="111">
        <f>G49</f>
        <v>3081.6699999999837</v>
      </c>
      <c r="I49" s="106"/>
      <c r="J49" s="203">
        <f>H49/DAY(B2)</f>
        <v>3081.6699999999837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v>569925</v>
      </c>
      <c r="F50" s="161">
        <v>571481.47</v>
      </c>
      <c r="G50" s="124">
        <f t="shared" si="9"/>
        <v>1556.4699999999721</v>
      </c>
      <c r="H50" s="111">
        <f t="shared" ref="H50:H60" si="10">G50</f>
        <v>1556.4699999999721</v>
      </c>
      <c r="I50" s="106"/>
      <c r="J50" s="203">
        <f>H50/DAY(B2)</f>
        <v>1556.4699999999721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v>144640</v>
      </c>
      <c r="F51" s="161">
        <v>144639.87</v>
      </c>
      <c r="G51" s="124">
        <f t="shared" si="9"/>
        <v>-0.13000000000465661</v>
      </c>
      <c r="H51" s="111">
        <f t="shared" si="10"/>
        <v>-0.13000000000465661</v>
      </c>
      <c r="I51" s="106"/>
      <c r="J51" s="203">
        <f>H51/DAY(B2)</f>
        <v>-0.13000000000465661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v>539606</v>
      </c>
      <c r="F52" s="161">
        <v>539606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v>434232</v>
      </c>
      <c r="F53" s="161">
        <v>434231.59</v>
      </c>
      <c r="G53" s="124">
        <f t="shared" si="9"/>
        <v>-0.40999999997438863</v>
      </c>
      <c r="H53" s="111">
        <f t="shared" si="10"/>
        <v>-0.40999999997438863</v>
      </c>
      <c r="I53" s="106"/>
      <c r="J53" s="203">
        <f>H53/DAY(B2)</f>
        <v>-0.40999999997438863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v>14967</v>
      </c>
      <c r="F54" s="161">
        <v>14967</v>
      </c>
      <c r="G54" s="124">
        <f t="shared" si="9"/>
        <v>0</v>
      </c>
      <c r="H54" s="111">
        <f t="shared" si="10"/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v>235674</v>
      </c>
      <c r="F55" s="161">
        <v>236828.27</v>
      </c>
      <c r="G55" s="124">
        <f t="shared" si="9"/>
        <v>1154.2699999999895</v>
      </c>
      <c r="H55" s="111">
        <f t="shared" si="10"/>
        <v>1154.2699999999895</v>
      </c>
      <c r="I55" s="106"/>
      <c r="J55" s="203">
        <f>H55/DAY(B2)</f>
        <v>1154.2699999999895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v>649361</v>
      </c>
      <c r="F56" s="161">
        <v>649372.03</v>
      </c>
      <c r="G56" s="124">
        <f t="shared" si="9"/>
        <v>11.03000000002794</v>
      </c>
      <c r="H56" s="111">
        <f t="shared" si="10"/>
        <v>11.03000000002794</v>
      </c>
      <c r="I56" s="106"/>
      <c r="J56" s="203">
        <f>H56/DAY(B2)</f>
        <v>11.03000000002794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v>59679</v>
      </c>
      <c r="F58" s="161">
        <v>59873.99</v>
      </c>
      <c r="G58" s="124">
        <f t="shared" si="9"/>
        <v>194.98999999999796</v>
      </c>
      <c r="H58" s="111">
        <f t="shared" si="10"/>
        <v>194.98999999999796</v>
      </c>
      <c r="I58" s="106"/>
      <c r="J58" s="203">
        <f>H58/DAY(B2)</f>
        <v>194.98999999999796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5997.8899999999921</v>
      </c>
      <c r="H59" s="111">
        <f t="shared" si="10"/>
        <v>5997.8899999999921</v>
      </c>
      <c r="I59" s="106">
        <f>G7-G60</f>
        <v>-9.4299999999493593</v>
      </c>
      <c r="J59" s="203">
        <f>H59/DAY(B2)</f>
        <v>5997.8899999999921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22462.299999999945</v>
      </c>
      <c r="H60" s="111">
        <f t="shared" si="10"/>
        <v>22462.299999999945</v>
      </c>
      <c r="I60" s="106">
        <f>G13-G60</f>
        <v>-22462.299999999945</v>
      </c>
      <c r="J60" s="203">
        <f>H60/DAY(B2)</f>
        <v>22462.299999999945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v>181860</v>
      </c>
      <c r="F64" s="135">
        <v>182253.69</v>
      </c>
      <c r="G64" s="124">
        <f t="shared" si="11"/>
        <v>393.69000000000233</v>
      </c>
      <c r="H64" s="111">
        <f t="shared" si="12"/>
        <v>393.69000000000233</v>
      </c>
      <c r="I64" s="131"/>
      <c r="J64" s="203">
        <f>H64/DAY(B2)</f>
        <v>393.69000000000233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v>182209</v>
      </c>
      <c r="F65" s="135">
        <v>182588.01</v>
      </c>
      <c r="G65" s="124">
        <f t="shared" si="11"/>
        <v>379.01000000000931</v>
      </c>
      <c r="H65" s="111">
        <f t="shared" si="12"/>
        <v>379.01000000000931</v>
      </c>
      <c r="I65" s="140"/>
      <c r="J65" s="203">
        <f>H65/DAY(B2)</f>
        <v>379.01000000000931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v>80672</v>
      </c>
      <c r="F66" s="135">
        <v>81077.23</v>
      </c>
      <c r="G66" s="124">
        <f t="shared" si="11"/>
        <v>405.22999999999593</v>
      </c>
      <c r="H66" s="111">
        <f t="shared" si="12"/>
        <v>405.22999999999593</v>
      </c>
      <c r="I66" s="131"/>
      <c r="J66" s="203">
        <f>H66/DAY(B2)</f>
        <v>405.22999999999593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v>280058</v>
      </c>
      <c r="F67" s="135">
        <v>280559</v>
      </c>
      <c r="G67" s="124">
        <f t="shared" si="11"/>
        <v>501</v>
      </c>
      <c r="H67" s="111">
        <f t="shared" si="12"/>
        <v>501</v>
      </c>
      <c r="I67" s="140"/>
      <c r="J67" s="203">
        <f>H67/DAY(B2)</f>
        <v>501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v>96557</v>
      </c>
      <c r="F69" s="135">
        <v>96882.53</v>
      </c>
      <c r="G69" s="124">
        <f t="shared" si="11"/>
        <v>325.52999999999884</v>
      </c>
      <c r="H69" s="111">
        <f t="shared" si="12"/>
        <v>325.52999999999884</v>
      </c>
      <c r="I69" s="167"/>
      <c r="J69" s="203">
        <f>H69/DAY(B2)</f>
        <v>325.52999999999884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v>856609</v>
      </c>
      <c r="F72" s="170">
        <v>856623</v>
      </c>
      <c r="G72" s="124">
        <f t="shared" ref="G72:G84" si="13">F72-E72</f>
        <v>14</v>
      </c>
      <c r="H72" s="111">
        <f>G72</f>
        <v>14</v>
      </c>
      <c r="I72" s="131"/>
      <c r="J72" s="203">
        <f>H72/DAY(B2)</f>
        <v>14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v>886013</v>
      </c>
      <c r="F73" s="171">
        <v>886014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>
      <c r="A74" s="1222" t="s">
        <v>192</v>
      </c>
      <c r="B74" s="1223"/>
      <c r="C74" s="1224"/>
      <c r="D74" s="174" t="s">
        <v>186</v>
      </c>
      <c r="E74" s="172">
        <v>88733</v>
      </c>
      <c r="F74" s="172">
        <v>88734</v>
      </c>
      <c r="G74" s="124">
        <f t="shared" si="13"/>
        <v>1</v>
      </c>
      <c r="H74" s="111">
        <f t="shared" si="14"/>
        <v>1</v>
      </c>
      <c r="I74" s="131"/>
      <c r="J74" s="203">
        <f>H74/DAY(B2)</f>
        <v>1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v>20947</v>
      </c>
      <c r="F75" s="172">
        <v>21108.639999999999</v>
      </c>
      <c r="G75" s="124">
        <f t="shared" si="13"/>
        <v>161.63999999999942</v>
      </c>
      <c r="H75" s="111">
        <f t="shared" si="14"/>
        <v>161.63999999999942</v>
      </c>
      <c r="I75" s="131"/>
      <c r="J75" s="203">
        <f>H75/DAY(B2)</f>
        <v>161.63999999999942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v>11427</v>
      </c>
      <c r="F76" s="171">
        <v>11486.63</v>
      </c>
      <c r="G76" s="124">
        <f t="shared" si="13"/>
        <v>59.6299999999992</v>
      </c>
      <c r="H76" s="111">
        <f t="shared" si="14"/>
        <v>59.6299999999992</v>
      </c>
      <c r="I76" s="156"/>
      <c r="J76" s="203">
        <f>H76/DAY(B2)</f>
        <v>59.6299999999992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2">
        <v>706453</v>
      </c>
      <c r="F77" s="171">
        <v>706512</v>
      </c>
      <c r="G77" s="124">
        <f t="shared" si="13"/>
        <v>59</v>
      </c>
      <c r="H77" s="111">
        <f t="shared" si="14"/>
        <v>59</v>
      </c>
      <c r="I77" s="156"/>
      <c r="J77" s="203">
        <f>H77/DAY(B2)</f>
        <v>59</v>
      </c>
      <c r="K77" s="83"/>
      <c r="L77" s="68"/>
      <c r="N77" s="73"/>
      <c r="O77" s="73"/>
    </row>
    <row r="78" spans="1:15" ht="27.75">
      <c r="A78" s="934" t="s">
        <v>196</v>
      </c>
      <c r="B78" s="927"/>
      <c r="C78" s="927"/>
      <c r="D78" s="174" t="s">
        <v>186</v>
      </c>
      <c r="E78" s="172">
        <v>678853</v>
      </c>
      <c r="F78" s="171">
        <v>678997</v>
      </c>
      <c r="G78" s="124">
        <f t="shared" si="13"/>
        <v>144</v>
      </c>
      <c r="H78" s="111">
        <f t="shared" si="14"/>
        <v>144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v>840215</v>
      </c>
      <c r="F79" s="171">
        <v>840358</v>
      </c>
      <c r="G79" s="124">
        <f t="shared" si="13"/>
        <v>143</v>
      </c>
      <c r="H79" s="111">
        <f t="shared" si="14"/>
        <v>143</v>
      </c>
      <c r="I79" s="156"/>
      <c r="J79" s="203">
        <f>H79/DAY(B2)</f>
        <v>143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v>551952</v>
      </c>
      <c r="F80" s="171">
        <v>552413.31999999995</v>
      </c>
      <c r="G80" s="124">
        <f t="shared" si="13"/>
        <v>461.31999999994878</v>
      </c>
      <c r="H80" s="111">
        <f t="shared" si="14"/>
        <v>461.31999999994878</v>
      </c>
      <c r="I80" s="156"/>
      <c r="J80" s="203">
        <f>H80/DAY(B2)</f>
        <v>461.31999999994878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v>649018</v>
      </c>
      <c r="F81" s="171">
        <v>649183.56000000006</v>
      </c>
      <c r="G81" s="124">
        <f t="shared" si="13"/>
        <v>165.56000000005588</v>
      </c>
      <c r="H81" s="111">
        <f t="shared" si="14"/>
        <v>165.56000000005588</v>
      </c>
      <c r="I81" s="156"/>
      <c r="J81" s="203">
        <f>H81/DAY(B2)</f>
        <v>165.56000000005588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v>109336</v>
      </c>
      <c r="F82" s="192">
        <v>109349.28</v>
      </c>
      <c r="G82" s="124">
        <f t="shared" si="13"/>
        <v>13.279999999998836</v>
      </c>
      <c r="H82" s="111">
        <f t="shared" si="14"/>
        <v>13.279999999998836</v>
      </c>
      <c r="I82" s="137"/>
      <c r="J82" s="203">
        <f>H82/DAY(B2)</f>
        <v>13.279999999998836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v>35025</v>
      </c>
      <c r="F83" s="1016">
        <v>35330</v>
      </c>
      <c r="G83" s="124">
        <f t="shared" si="13"/>
        <v>305</v>
      </c>
      <c r="H83" s="111">
        <f t="shared" si="14"/>
        <v>305</v>
      </c>
      <c r="I83" s="132"/>
      <c r="J83" s="203">
        <f>H83/DAY(B2)</f>
        <v>305</v>
      </c>
      <c r="K83" s="82"/>
      <c r="L83" s="68"/>
      <c r="N83" s="73"/>
      <c r="O83" s="372"/>
    </row>
    <row r="84" spans="1:15">
      <c r="A84" s="935" t="s">
        <v>200</v>
      </c>
      <c r="B84" s="222"/>
      <c r="C84" s="222"/>
      <c r="D84" s="129" t="s">
        <v>131</v>
      </c>
      <c r="E84" s="278">
        <v>547393</v>
      </c>
      <c r="F84" s="278">
        <v>548202</v>
      </c>
      <c r="G84" s="124">
        <f t="shared" si="13"/>
        <v>809</v>
      </c>
      <c r="H84" s="111">
        <f t="shared" si="14"/>
        <v>809</v>
      </c>
      <c r="I84" s="132"/>
      <c r="J84" s="203">
        <f>H84/DAY(B2)</f>
        <v>809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2337.4300000000021</v>
      </c>
      <c r="H85" s="111">
        <f t="shared" si="14"/>
        <v>2337.4300000000021</v>
      </c>
      <c r="I85" s="132"/>
      <c r="J85" s="203">
        <f>H85/DAY(B2)</f>
        <v>2337.4300000000021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v>462507</v>
      </c>
      <c r="F86" s="298">
        <v>462745</v>
      </c>
      <c r="G86" s="356">
        <f t="shared" ref="G86:G91" si="15">F86-E86</f>
        <v>238</v>
      </c>
      <c r="H86" s="356">
        <f t="shared" si="14"/>
        <v>238</v>
      </c>
      <c r="I86" s="303"/>
      <c r="J86" s="358">
        <f>H86/DAY(B2)</f>
        <v>238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v>82954</v>
      </c>
      <c r="F87" s="298">
        <v>82961.7</v>
      </c>
      <c r="G87" s="356">
        <f t="shared" si="15"/>
        <v>7.6999999999970896</v>
      </c>
      <c r="H87" s="356">
        <f t="shared" si="14"/>
        <v>7.6999999999970896</v>
      </c>
      <c r="I87" s="303"/>
      <c r="J87" s="358">
        <f>H87/DAY(B2)</f>
        <v>7.6999999999970896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98">
        <v>67089</v>
      </c>
      <c r="F89" s="298">
        <v>67107.7</v>
      </c>
      <c r="G89" s="356">
        <f t="shared" si="15"/>
        <v>18.69999999999709</v>
      </c>
      <c r="H89" s="356">
        <f>G89</f>
        <v>18.69999999999709</v>
      </c>
      <c r="I89" s="303"/>
      <c r="J89" s="358">
        <f>H89/DAY(B2)</f>
        <v>18.69999999999709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v>3464</v>
      </c>
      <c r="F90" s="298">
        <v>3464.2</v>
      </c>
      <c r="G90" s="356">
        <f t="shared" si="15"/>
        <v>0.1999999999998181</v>
      </c>
      <c r="H90" s="356">
        <f>G90</f>
        <v>0.1999999999998181</v>
      </c>
      <c r="I90" s="303"/>
      <c r="J90" s="358">
        <f>H90/DAY(B2)</f>
        <v>0.1999999999998181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v>28500</v>
      </c>
      <c r="F91" s="298">
        <v>28505.09</v>
      </c>
      <c r="G91" s="356">
        <f t="shared" si="15"/>
        <v>5.0900000000001455</v>
      </c>
      <c r="H91" s="356">
        <f>G91</f>
        <v>5.0900000000001455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v>250314</v>
      </c>
      <c r="F93" s="192">
        <v>250449</v>
      </c>
      <c r="G93" s="124">
        <f t="shared" ref="G93:G94" si="16">F93-E93</f>
        <v>135</v>
      </c>
      <c r="H93" s="111">
        <f t="shared" ref="H93" si="17">G93</f>
        <v>135</v>
      </c>
      <c r="I93" s="131"/>
      <c r="J93" s="203">
        <f>H93/DAY(B2)</f>
        <v>135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v>192898</v>
      </c>
      <c r="F94" s="192">
        <v>193069</v>
      </c>
      <c r="G94" s="124">
        <f t="shared" si="16"/>
        <v>171</v>
      </c>
      <c r="H94" s="111">
        <f>G94</f>
        <v>171</v>
      </c>
      <c r="I94" s="131"/>
      <c r="J94" s="203">
        <f>H94/DAY(B2)</f>
        <v>171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/>
      <c r="F95" s="192"/>
      <c r="G95" s="124">
        <f>G93+G94</f>
        <v>306</v>
      </c>
      <c r="H95" s="111"/>
      <c r="I95" s="131"/>
      <c r="J95" s="203"/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v>418536</v>
      </c>
      <c r="F96" s="135">
        <v>418606</v>
      </c>
      <c r="G96" s="124">
        <f t="shared" ref="G96:G101" si="18">F96-E96</f>
        <v>70</v>
      </c>
      <c r="H96" s="111">
        <f t="shared" ref="H96:H102" si="19">G96</f>
        <v>70</v>
      </c>
      <c r="I96" s="131"/>
      <c r="J96" s="203">
        <f>H96/DAY(B2)</f>
        <v>70</v>
      </c>
      <c r="K96" s="71"/>
      <c r="L96" s="68"/>
      <c r="N96" s="73"/>
      <c r="O96" s="73"/>
    </row>
    <row r="97" spans="1:15" ht="27.75">
      <c r="A97" s="931" t="s">
        <v>209</v>
      </c>
      <c r="B97" s="932"/>
      <c r="C97" s="932"/>
      <c r="D97" s="174" t="s">
        <v>143</v>
      </c>
      <c r="E97" s="135">
        <v>103849</v>
      </c>
      <c r="F97" s="135">
        <v>103883</v>
      </c>
      <c r="G97" s="124">
        <f t="shared" si="18"/>
        <v>34</v>
      </c>
      <c r="H97" s="111">
        <f t="shared" si="19"/>
        <v>34</v>
      </c>
      <c r="I97" s="131"/>
      <c r="J97" s="203">
        <f>H97/DAY(B2)</f>
        <v>34</v>
      </c>
      <c r="K97" s="80"/>
      <c r="L97" s="68"/>
      <c r="N97" s="73"/>
      <c r="O97" s="73"/>
    </row>
    <row r="98" spans="1:15" ht="27.75">
      <c r="A98" s="931" t="s">
        <v>210</v>
      </c>
      <c r="B98" s="932"/>
      <c r="C98" s="932"/>
      <c r="D98" s="174" t="s">
        <v>143</v>
      </c>
      <c r="E98" s="135">
        <v>99448</v>
      </c>
      <c r="F98" s="135">
        <v>99491</v>
      </c>
      <c r="G98" s="124">
        <f t="shared" si="18"/>
        <v>43</v>
      </c>
      <c r="H98" s="111">
        <f t="shared" si="19"/>
        <v>43</v>
      </c>
      <c r="I98" s="131"/>
      <c r="J98" s="203">
        <f>H98/DAY(B2)</f>
        <v>43</v>
      </c>
      <c r="K98" s="85"/>
      <c r="L98" s="68"/>
      <c r="N98" s="73"/>
      <c r="O98" s="73"/>
    </row>
    <row r="99" spans="1:15" ht="27.75">
      <c r="A99" s="931" t="s">
        <v>211</v>
      </c>
      <c r="B99" s="932"/>
      <c r="C99" s="932"/>
      <c r="D99" s="174" t="s">
        <v>143</v>
      </c>
      <c r="E99" s="135">
        <v>151251</v>
      </c>
      <c r="F99" s="135">
        <v>151257</v>
      </c>
      <c r="G99" s="124">
        <f t="shared" si="18"/>
        <v>6</v>
      </c>
      <c r="H99" s="111">
        <f t="shared" si="19"/>
        <v>6</v>
      </c>
      <c r="I99" s="131"/>
      <c r="J99" s="203">
        <f>H99/DAY(B2)</f>
        <v>6</v>
      </c>
      <c r="K99" s="71"/>
      <c r="L99" s="68"/>
      <c r="N99" s="73"/>
      <c r="O99" s="73"/>
    </row>
    <row r="100" spans="1:15" ht="27.75">
      <c r="A100" s="931" t="s">
        <v>212</v>
      </c>
      <c r="B100" s="932"/>
      <c r="C100" s="932"/>
      <c r="D100" s="174" t="s">
        <v>143</v>
      </c>
      <c r="E100" s="135">
        <v>8165</v>
      </c>
      <c r="F100" s="135">
        <v>8192</v>
      </c>
      <c r="G100" s="124">
        <f t="shared" si="18"/>
        <v>27</v>
      </c>
      <c r="H100" s="111">
        <f t="shared" si="19"/>
        <v>27</v>
      </c>
      <c r="I100" s="131"/>
      <c r="J100" s="203">
        <f>H100/DAY(B2)</f>
        <v>27</v>
      </c>
      <c r="K100" s="71"/>
      <c r="L100" s="68"/>
      <c r="N100" s="73"/>
      <c r="O100" s="73"/>
    </row>
    <row r="101" spans="1:15" ht="27.75">
      <c r="A101" s="931" t="s">
        <v>213</v>
      </c>
      <c r="B101" s="932"/>
      <c r="C101" s="932"/>
      <c r="D101" s="174" t="s">
        <v>143</v>
      </c>
      <c r="E101" s="135">
        <v>5991</v>
      </c>
      <c r="F101" s="135">
        <v>6006</v>
      </c>
      <c r="G101" s="124">
        <f t="shared" si="18"/>
        <v>15</v>
      </c>
      <c r="H101" s="111">
        <f t="shared" si="19"/>
        <v>15</v>
      </c>
      <c r="I101" s="131" t="s">
        <v>214</v>
      </c>
      <c r="J101" s="203">
        <f>H101/DAY(B2)</f>
        <v>15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195</v>
      </c>
      <c r="H102" s="111">
        <f t="shared" si="19"/>
        <v>195</v>
      </c>
      <c r="I102" s="177"/>
      <c r="J102" s="203">
        <f>H102/DAY(B2)</f>
        <v>195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929"/>
      <c r="D105" s="273" t="s">
        <v>143</v>
      </c>
      <c r="E105" s="183">
        <v>7637</v>
      </c>
      <c r="F105" s="185">
        <v>7637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>
      <c r="A106" s="1192" t="s">
        <v>76</v>
      </c>
      <c r="B106" s="1193"/>
      <c r="C106" s="929"/>
      <c r="D106" s="273" t="s">
        <v>143</v>
      </c>
      <c r="E106" s="185">
        <v>36460</v>
      </c>
      <c r="F106" s="185">
        <v>36471</v>
      </c>
      <c r="G106" s="183">
        <f t="shared" ref="G106:G107" si="20">F106-E106</f>
        <v>11</v>
      </c>
      <c r="H106" s="184">
        <f t="shared" ref="H106:H121" si="21">G106</f>
        <v>11</v>
      </c>
      <c r="I106" s="183"/>
      <c r="J106" s="209">
        <f>H106/DAY(B2)</f>
        <v>11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v>19963</v>
      </c>
      <c r="F107" s="185">
        <v>19967</v>
      </c>
      <c r="G107" s="183">
        <f t="shared" si="20"/>
        <v>4</v>
      </c>
      <c r="H107" s="184">
        <f t="shared" si="21"/>
        <v>4</v>
      </c>
      <c r="I107" s="183"/>
      <c r="J107" s="209">
        <f>G110/DAY(B2)</f>
        <v>71</v>
      </c>
      <c r="N107" s="95"/>
      <c r="O107" s="73"/>
    </row>
    <row r="108" spans="1:15" s="93" customFormat="1" ht="27.75">
      <c r="A108" s="1194" t="s">
        <v>201</v>
      </c>
      <c r="B108" s="1195"/>
      <c r="C108" s="929"/>
      <c r="D108" s="273"/>
      <c r="E108" s="183"/>
      <c r="F108" s="185"/>
      <c r="G108" s="183">
        <f>SUM(G105:G107)</f>
        <v>15</v>
      </c>
      <c r="H108" s="184">
        <f t="shared" si="21"/>
        <v>15</v>
      </c>
      <c r="I108" s="183"/>
      <c r="J108" s="209">
        <f>H108/DAY(B2)</f>
        <v>15</v>
      </c>
      <c r="N108" s="95"/>
      <c r="O108" s="73"/>
    </row>
    <row r="109" spans="1:15" s="93" customFormat="1" ht="27.75">
      <c r="A109" s="1198" t="s">
        <v>78</v>
      </c>
      <c r="B109" s="1199"/>
      <c r="C109" s="929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929"/>
      <c r="D110" s="273" t="s">
        <v>143</v>
      </c>
      <c r="E110" s="183">
        <v>67103</v>
      </c>
      <c r="F110" s="185">
        <v>67174</v>
      </c>
      <c r="G110" s="183">
        <f>F110-E110</f>
        <v>71</v>
      </c>
      <c r="H110" s="184">
        <f t="shared" si="21"/>
        <v>71</v>
      </c>
      <c r="I110" s="183"/>
      <c r="J110" s="209">
        <f>H110/DAY(B2)</f>
        <v>71</v>
      </c>
      <c r="N110" s="95"/>
      <c r="O110" s="73"/>
    </row>
    <row r="111" spans="1:15" s="93" customFormat="1" ht="27.75">
      <c r="A111" s="1192" t="s">
        <v>220</v>
      </c>
      <c r="B111" s="1193"/>
      <c r="C111" s="929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>
      <c r="A112" s="1192" t="s">
        <v>221</v>
      </c>
      <c r="B112" s="1193"/>
      <c r="C112" s="929"/>
      <c r="D112" s="273" t="s">
        <v>143</v>
      </c>
      <c r="E112" s="183">
        <v>4622</v>
      </c>
      <c r="F112" s="185">
        <v>4622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>
      <c r="A113" s="1196" t="s">
        <v>109</v>
      </c>
      <c r="B113" s="1197"/>
      <c r="C113" s="929"/>
      <c r="D113" s="273"/>
      <c r="E113" s="183"/>
      <c r="F113" s="185"/>
      <c r="G113" s="183">
        <f>SUM(G110:G112)</f>
        <v>71</v>
      </c>
      <c r="H113" s="184">
        <f t="shared" si="21"/>
        <v>71</v>
      </c>
      <c r="I113" s="183"/>
      <c r="J113" s="209">
        <f>H113/DAY(B2)</f>
        <v>71</v>
      </c>
      <c r="N113" s="95"/>
      <c r="O113" s="73"/>
    </row>
    <row r="114" spans="1:15" s="93" customFormat="1" ht="27.75">
      <c r="A114" s="1198" t="s">
        <v>222</v>
      </c>
      <c r="B114" s="1199"/>
      <c r="C114" s="929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v>12465</v>
      </c>
      <c r="F115" s="185">
        <v>12493</v>
      </c>
      <c r="G115" s="185">
        <f>F115-E115</f>
        <v>28</v>
      </c>
      <c r="H115" s="184">
        <f t="shared" si="21"/>
        <v>28</v>
      </c>
      <c r="I115" s="183"/>
      <c r="J115" s="209">
        <f>H115/DAY(B2)</f>
        <v>28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v>8820</v>
      </c>
      <c r="F116" s="185">
        <v>8836</v>
      </c>
      <c r="G116" s="185">
        <f t="shared" ref="G116:G117" si="22">F116-E116</f>
        <v>16</v>
      </c>
      <c r="H116" s="184">
        <f t="shared" si="21"/>
        <v>16</v>
      </c>
      <c r="I116" s="183"/>
      <c r="J116" s="209">
        <f>H116/DAY(B2)</f>
        <v>16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44</v>
      </c>
      <c r="H118" s="184">
        <f t="shared" si="21"/>
        <v>44</v>
      </c>
      <c r="I118" s="185"/>
      <c r="J118" s="209">
        <f>H118/DAY(B2)</f>
        <v>44</v>
      </c>
      <c r="N118" s="98"/>
      <c r="O118" s="73"/>
    </row>
    <row r="119" spans="1:15" s="97" customFormat="1" ht="27.75">
      <c r="A119" s="1188" t="s">
        <v>226</v>
      </c>
      <c r="B119" s="1189"/>
      <c r="C119" s="928"/>
      <c r="D119" s="275" t="s">
        <v>143</v>
      </c>
      <c r="E119" s="187"/>
      <c r="F119" s="187">
        <f>SUM(G19+G93)</f>
        <v>198</v>
      </c>
      <c r="G119" s="187">
        <f>SUM(G19+G93)</f>
        <v>198</v>
      </c>
      <c r="H119" s="184">
        <f t="shared" si="21"/>
        <v>198</v>
      </c>
      <c r="I119" s="186"/>
      <c r="J119" s="210">
        <f>H119/DAY(B2)</f>
        <v>198</v>
      </c>
      <c r="N119" s="429"/>
      <c r="O119" s="73"/>
    </row>
    <row r="120" spans="1:15" s="97" customFormat="1" ht="27.75">
      <c r="A120" s="1188" t="s">
        <v>227</v>
      </c>
      <c r="B120" s="1189"/>
      <c r="C120" s="928"/>
      <c r="D120" s="275" t="s">
        <v>143</v>
      </c>
      <c r="E120" s="187"/>
      <c r="F120" s="187">
        <f>SUM(G96,G97,G98,G100,G101)</f>
        <v>189</v>
      </c>
      <c r="G120" s="187">
        <f>SUM(G96,G97,G98,G100,G101)</f>
        <v>189</v>
      </c>
      <c r="H120" s="184">
        <f t="shared" si="21"/>
        <v>189</v>
      </c>
      <c r="I120" s="186"/>
      <c r="J120" s="210">
        <f>H120/DAY(B2)</f>
        <v>189</v>
      </c>
      <c r="N120" s="429"/>
      <c r="O120" s="73"/>
    </row>
    <row r="121" spans="1:15" s="97" customFormat="1" ht="27.75">
      <c r="A121" s="1188" t="s">
        <v>228</v>
      </c>
      <c r="B121" s="1189"/>
      <c r="C121" s="928"/>
      <c r="D121" s="275" t="s">
        <v>143</v>
      </c>
      <c r="E121" s="185"/>
      <c r="F121" s="185">
        <f>SUM(G113)</f>
        <v>71</v>
      </c>
      <c r="G121" s="185">
        <f>SUM(G113)</f>
        <v>71</v>
      </c>
      <c r="H121" s="184">
        <f t="shared" si="21"/>
        <v>71</v>
      </c>
      <c r="I121" s="186"/>
      <c r="J121" s="210">
        <f>H121/DAY(B2)</f>
        <v>71</v>
      </c>
      <c r="N121" s="429"/>
      <c r="O121" s="73"/>
    </row>
    <row r="122" spans="1:15" s="93" customFormat="1" ht="27.75">
      <c r="A122" s="1190"/>
      <c r="B122" s="1191"/>
      <c r="C122" s="929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931" t="s">
        <v>230</v>
      </c>
      <c r="B124" s="932"/>
      <c r="C124" s="932"/>
      <c r="D124" s="174" t="s">
        <v>140</v>
      </c>
      <c r="E124" s="302">
        <v>847966</v>
      </c>
      <c r="F124" s="302">
        <v>848235.36</v>
      </c>
      <c r="G124" s="124">
        <f>F124-E124</f>
        <v>269.35999999998603</v>
      </c>
      <c r="H124" s="111">
        <f>G124</f>
        <v>269.35999999998603</v>
      </c>
      <c r="I124" s="177"/>
      <c r="J124" s="203">
        <f>H124/DAY(B2)</f>
        <v>269.35999999998603</v>
      </c>
      <c r="K124" s="71"/>
      <c r="L124" s="68"/>
      <c r="N124" s="73"/>
      <c r="O124" s="73"/>
    </row>
    <row r="125" spans="1:15" ht="27.75">
      <c r="A125" s="931" t="s">
        <v>231</v>
      </c>
      <c r="B125" s="932"/>
      <c r="C125" s="932"/>
      <c r="D125" s="174" t="s">
        <v>140</v>
      </c>
      <c r="E125" s="302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302">
        <v>151321</v>
      </c>
      <c r="F126" s="302">
        <v>151398</v>
      </c>
      <c r="G126" s="124">
        <f t="shared" si="23"/>
        <v>77</v>
      </c>
      <c r="H126" s="111">
        <f t="shared" si="24"/>
        <v>77</v>
      </c>
      <c r="I126" s="177"/>
      <c r="J126" s="203">
        <f>H126/DAY(B2)</f>
        <v>77</v>
      </c>
      <c r="K126" s="71"/>
      <c r="L126" s="68"/>
      <c r="N126" s="73"/>
      <c r="O126" s="73"/>
    </row>
    <row r="127" spans="1:15" ht="27.75">
      <c r="A127" s="260" t="s">
        <v>233</v>
      </c>
      <c r="B127" s="932"/>
      <c r="C127" s="932"/>
      <c r="D127" s="174" t="s">
        <v>140</v>
      </c>
      <c r="E127" s="302">
        <v>33288</v>
      </c>
      <c r="F127" s="302">
        <v>33334</v>
      </c>
      <c r="G127" s="124">
        <f t="shared" si="23"/>
        <v>46</v>
      </c>
      <c r="H127" s="111">
        <f t="shared" si="24"/>
        <v>46</v>
      </c>
      <c r="I127" s="177"/>
      <c r="J127" s="203">
        <f>H127/DAY(B2)</f>
        <v>46</v>
      </c>
      <c r="K127" s="71"/>
      <c r="L127" s="68"/>
      <c r="N127" s="73"/>
      <c r="O127" s="73"/>
    </row>
    <row r="128" spans="1:15" ht="27.75">
      <c r="A128" s="260" t="s">
        <v>234</v>
      </c>
      <c r="B128" s="932"/>
      <c r="C128" s="932"/>
      <c r="D128" s="174" t="s">
        <v>140</v>
      </c>
      <c r="E128" s="302">
        <v>9113</v>
      </c>
      <c r="F128" s="302">
        <v>9115</v>
      </c>
      <c r="G128" s="124">
        <f t="shared" si="23"/>
        <v>2</v>
      </c>
      <c r="H128" s="111">
        <f t="shared" si="24"/>
        <v>2</v>
      </c>
      <c r="I128" s="131"/>
      <c r="J128" s="203">
        <f>H128/DAY(B2)</f>
        <v>2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32"/>
      <c r="C129" s="932"/>
      <c r="D129" s="174"/>
      <c r="E129" s="302"/>
      <c r="F129" s="302"/>
      <c r="G129" s="124">
        <f>G15-SUM(G124:G128)</f>
        <v>381.64000000001397</v>
      </c>
      <c r="H129" s="111">
        <f t="shared" si="24"/>
        <v>381.64000000001397</v>
      </c>
      <c r="I129" s="131"/>
      <c r="J129" s="203">
        <f>H129/DAY(B2)</f>
        <v>381.64000000001397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931" t="s">
        <v>237</v>
      </c>
      <c r="B131" s="932"/>
      <c r="C131" s="932"/>
      <c r="D131" s="174" t="s">
        <v>238</v>
      </c>
      <c r="E131" s="302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>
      <c r="A132" s="931" t="s">
        <v>239</v>
      </c>
      <c r="B132" s="932"/>
      <c r="C132" s="932"/>
      <c r="D132" s="174" t="s">
        <v>238</v>
      </c>
      <c r="E132" s="302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>
      <c r="A133" s="931" t="s">
        <v>240</v>
      </c>
      <c r="B133" s="932"/>
      <c r="C133" s="932"/>
      <c r="D133" s="174" t="s">
        <v>238</v>
      </c>
      <c r="E133" s="302">
        <v>40619</v>
      </c>
      <c r="F133" s="192">
        <v>40619.050000000003</v>
      </c>
      <c r="G133" s="124">
        <f t="shared" si="25"/>
        <v>5.0000000002910383E-2</v>
      </c>
      <c r="H133" s="111">
        <f t="shared" si="26"/>
        <v>5.0000000002910383E-2</v>
      </c>
      <c r="I133" s="131"/>
      <c r="J133" s="203">
        <f>H133/DAY(B2)</f>
        <v>5.0000000002910383E-2</v>
      </c>
      <c r="N133" s="73"/>
      <c r="O133" s="73"/>
    </row>
    <row r="134" spans="1:15" s="426" customFormat="1" ht="27.75">
      <c r="A134" s="443" t="s">
        <v>241</v>
      </c>
      <c r="B134" s="864"/>
      <c r="C134" s="864"/>
      <c r="D134" s="175" t="s">
        <v>238</v>
      </c>
      <c r="E134" s="302">
        <v>574</v>
      </c>
      <c r="F134" s="173">
        <v>597.17999999999995</v>
      </c>
      <c r="G134" s="124">
        <f t="shared" si="25"/>
        <v>23.17999999999995</v>
      </c>
      <c r="H134" s="137">
        <f t="shared" si="26"/>
        <v>23.17999999999995</v>
      </c>
      <c r="I134" s="865"/>
      <c r="J134" s="204">
        <f>H134/DAY(B2)</f>
        <v>23.17999999999995</v>
      </c>
      <c r="N134" s="372"/>
      <c r="O134" s="73"/>
    </row>
    <row r="135" spans="1:15" ht="27.75">
      <c r="A135" s="931" t="s">
        <v>242</v>
      </c>
      <c r="B135" s="932"/>
      <c r="C135" s="932"/>
      <c r="D135" s="174" t="s">
        <v>238</v>
      </c>
      <c r="E135" s="302">
        <v>42499</v>
      </c>
      <c r="F135" s="192">
        <v>42506.09</v>
      </c>
      <c r="G135" s="124">
        <f t="shared" si="25"/>
        <v>7.0899999999965075</v>
      </c>
      <c r="H135" s="111">
        <f t="shared" si="26"/>
        <v>7.0899999999965075</v>
      </c>
      <c r="I135" s="131"/>
      <c r="J135" s="203">
        <f>H135/DAY(B2)</f>
        <v>7.0899999999965075</v>
      </c>
      <c r="N135" s="73"/>
      <c r="O135" s="73"/>
    </row>
    <row r="136" spans="1:15" ht="27.75">
      <c r="A136" s="931" t="s">
        <v>243</v>
      </c>
      <c r="B136" s="932"/>
      <c r="C136" s="932"/>
      <c r="D136" s="174" t="s">
        <v>238</v>
      </c>
      <c r="E136" s="192">
        <v>32874</v>
      </c>
      <c r="F136" s="192">
        <v>32874.050000000003</v>
      </c>
      <c r="G136" s="124">
        <f t="shared" si="25"/>
        <v>5.0000000002910383E-2</v>
      </c>
      <c r="H136" s="111">
        <f t="shared" si="26"/>
        <v>5.0000000002910383E-2</v>
      </c>
      <c r="I136" s="131">
        <f>G133+G134+G135+G136</f>
        <v>30.370000000002278</v>
      </c>
      <c r="J136" s="203">
        <f>H136/DAY(B2)</f>
        <v>5.0000000002910383E-2</v>
      </c>
      <c r="N136" s="73"/>
      <c r="O136" s="73"/>
    </row>
    <row r="137" spans="1:15" ht="27.75">
      <c r="A137" s="931" t="s">
        <v>244</v>
      </c>
      <c r="B137" s="932"/>
      <c r="C137" s="932"/>
      <c r="D137" s="174" t="s">
        <v>238</v>
      </c>
      <c r="E137" s="192">
        <v>23106.560000000001</v>
      </c>
      <c r="F137" s="192">
        <v>23113.35</v>
      </c>
      <c r="G137" s="124">
        <f t="shared" si="25"/>
        <v>6.7899999999972351</v>
      </c>
      <c r="H137" s="111">
        <f t="shared" si="26"/>
        <v>6.7899999999972351</v>
      </c>
      <c r="I137" s="131"/>
      <c r="J137" s="203">
        <f>H137/DAY(B2)</f>
        <v>6.7899999999972351</v>
      </c>
      <c r="N137" s="73"/>
      <c r="O137" s="73"/>
    </row>
    <row r="138" spans="1:15" ht="27.75">
      <c r="A138" s="931" t="s">
        <v>245</v>
      </c>
      <c r="B138" s="932"/>
      <c r="C138" s="932"/>
      <c r="D138" s="174" t="s">
        <v>238</v>
      </c>
      <c r="E138" s="192">
        <v>25119.45</v>
      </c>
      <c r="F138" s="192">
        <v>25119.45</v>
      </c>
      <c r="G138" s="124">
        <f t="shared" si="25"/>
        <v>0</v>
      </c>
      <c r="H138" s="111">
        <f t="shared" si="26"/>
        <v>0</v>
      </c>
      <c r="I138" s="131"/>
      <c r="J138" s="203">
        <f>H138/DAY(B2)</f>
        <v>0</v>
      </c>
      <c r="N138" s="73"/>
      <c r="O138" s="73"/>
    </row>
    <row r="139" spans="1:15" ht="27.75">
      <c r="A139" s="931" t="s">
        <v>246</v>
      </c>
      <c r="B139" s="932"/>
      <c r="C139" s="932"/>
      <c r="D139" s="174" t="s">
        <v>238</v>
      </c>
      <c r="E139" s="192">
        <v>70516.600000000006</v>
      </c>
      <c r="F139" s="192">
        <v>70516.600000000006</v>
      </c>
      <c r="G139" s="124">
        <f t="shared" si="25"/>
        <v>0</v>
      </c>
      <c r="H139" s="111">
        <f t="shared" si="26"/>
        <v>0</v>
      </c>
      <c r="I139" s="131">
        <f>G137+G138+G139</f>
        <v>6.7899999999972351</v>
      </c>
      <c r="J139" s="203">
        <f>H139/DAY(B2)</f>
        <v>0</v>
      </c>
      <c r="N139" s="73"/>
      <c r="O139" s="73"/>
    </row>
    <row r="140" spans="1:15" ht="27.75">
      <c r="A140" s="931" t="s">
        <v>247</v>
      </c>
      <c r="B140" s="932"/>
      <c r="C140" s="932"/>
      <c r="D140" s="174" t="s">
        <v>238</v>
      </c>
      <c r="E140" s="135">
        <v>2311.56</v>
      </c>
      <c r="F140" s="135">
        <v>2321.5300000000002</v>
      </c>
      <c r="G140" s="124">
        <f t="shared" si="25"/>
        <v>9.9700000000002547</v>
      </c>
      <c r="H140" s="111">
        <f t="shared" si="26"/>
        <v>9.9700000000002547</v>
      </c>
      <c r="I140" s="193"/>
      <c r="J140" s="203">
        <f>H140/DAY(B2)</f>
        <v>9.9700000000002547</v>
      </c>
      <c r="N140" s="73"/>
      <c r="O140" s="73"/>
    </row>
    <row r="141" spans="1:15" ht="27.75">
      <c r="A141" s="931" t="s">
        <v>248</v>
      </c>
      <c r="B141" s="932"/>
      <c r="C141" s="932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9.6400000000003274</v>
      </c>
      <c r="J141" s="203">
        <f>H141/DAY(B2)</f>
        <v>-0.32999999999992724</v>
      </c>
      <c r="N141" s="73"/>
      <c r="O141" s="73"/>
    </row>
    <row r="142" spans="1:15">
      <c r="A142" s="1203" t="s">
        <v>249</v>
      </c>
      <c r="B142" s="1204"/>
      <c r="C142" s="93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5806.3699999999371</v>
      </c>
      <c r="H143" s="111">
        <f>G143</f>
        <v>5806.3699999999371</v>
      </c>
      <c r="I143" s="131"/>
      <c r="J143" s="203">
        <f>H143/DAY(B2)</f>
        <v>5806.3699999999371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0.2586025750828263</v>
      </c>
      <c r="H144" s="111">
        <f t="shared" ref="H144:H154" si="27">G144</f>
        <v>0.2586025750828263</v>
      </c>
      <c r="I144" s="195"/>
      <c r="J144" s="203">
        <f>H144/DAY(B2)</f>
        <v>0.2586025750828263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6395.7400000000198</v>
      </c>
      <c r="H145" s="111">
        <f t="shared" si="27"/>
        <v>6395.7400000000198</v>
      </c>
      <c r="I145" s="131"/>
      <c r="J145" s="203">
        <f>H145/DAY(B2)</f>
        <v>6395.7400000000198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0.28485178064096134</v>
      </c>
      <c r="H146" s="111">
        <f t="shared" si="27"/>
        <v>0.28485178064096134</v>
      </c>
      <c r="I146" s="195"/>
      <c r="J146" s="203">
        <f>H146/DAY(B2)</f>
        <v>0.28485178064096134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3756.5800000000163</v>
      </c>
      <c r="H147" s="111">
        <f t="shared" si="27"/>
        <v>3756.5800000000163</v>
      </c>
      <c r="I147" s="196"/>
      <c r="J147" s="203">
        <f>H147/DAY(B2)</f>
        <v>3756.5800000000163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0.1673095688880761</v>
      </c>
      <c r="H148" s="111">
        <f t="shared" si="27"/>
        <v>0.1673095688880761</v>
      </c>
      <c r="I148" s="196"/>
      <c r="J148" s="203">
        <f>H148/DAY(B2)</f>
        <v>0.1673095688880761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1739.3699999999953</v>
      </c>
      <c r="H149" s="111">
        <f t="shared" si="27"/>
        <v>1739.3699999999953</v>
      </c>
      <c r="I149" s="131"/>
      <c r="J149" s="203">
        <f>H149/DAY(B2)</f>
        <v>1739.3699999999953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7.7467602137276687E-2</v>
      </c>
      <c r="H150" s="111">
        <f t="shared" si="27"/>
        <v>7.7467602137276687E-2</v>
      </c>
      <c r="I150" s="196"/>
      <c r="J150" s="203">
        <f>H150/DAY(B2)</f>
        <v>7.7467602137276687E-2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2289.0699999999706</v>
      </c>
      <c r="H151" s="111">
        <f t="shared" si="27"/>
        <v>2289.0699999999706</v>
      </c>
      <c r="I151" s="196"/>
      <c r="J151" s="203">
        <f>H151/DAY(B2)</f>
        <v>2289.0699999999706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0.10194999570210718</v>
      </c>
      <c r="H152" s="111">
        <f t="shared" si="27"/>
        <v>0.10194999570210718</v>
      </c>
      <c r="I152" s="131"/>
      <c r="J152" s="203">
        <f>H152/DAY(B2)</f>
        <v>0.10194999570210718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1651.6000000000058</v>
      </c>
      <c r="H153" s="111">
        <f t="shared" si="27"/>
        <v>1651.6000000000058</v>
      </c>
      <c r="I153" s="131"/>
      <c r="J153" s="203">
        <f>H153/DAY(B2)</f>
        <v>1651.6000000000058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7.3558525034884456E-2</v>
      </c>
      <c r="H154" s="111">
        <f t="shared" si="27"/>
        <v>7.3558525034884456E-2</v>
      </c>
      <c r="I154" s="219"/>
      <c r="J154" s="220">
        <f>H154/DAY(B2)</f>
        <v>7.3558525034884456E-2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>
      <c r="E156" s="188"/>
    </row>
    <row r="157" spans="1:15">
      <c r="E157" s="188"/>
    </row>
    <row r="158" spans="1:15">
      <c r="E158" s="188"/>
    </row>
    <row r="159" spans="1:15">
      <c r="E159" s="188"/>
    </row>
    <row r="160" spans="1:15">
      <c r="E160" s="188"/>
    </row>
    <row r="161" spans="1:15">
      <c r="A161" s="435" t="s">
        <v>262</v>
      </c>
      <c r="B161" s="436"/>
      <c r="C161" s="436"/>
      <c r="D161" s="162" t="s">
        <v>186</v>
      </c>
      <c r="E161" s="309">
        <v>43329</v>
      </c>
      <c r="F161" s="309">
        <v>43409.7</v>
      </c>
      <c r="G161" s="124">
        <f t="shared" ref="G161:G176" si="28">F161-E161</f>
        <v>80.69999999999709</v>
      </c>
    </row>
    <row r="162" spans="1:15">
      <c r="A162" s="435" t="s">
        <v>263</v>
      </c>
      <c r="B162" s="436"/>
      <c r="C162" s="436"/>
      <c r="D162" s="162" t="s">
        <v>186</v>
      </c>
      <c r="E162" s="309">
        <v>122105</v>
      </c>
      <c r="F162" s="309">
        <v>122543.64</v>
      </c>
      <c r="G162" s="124">
        <f t="shared" si="28"/>
        <v>438.63999999999942</v>
      </c>
    </row>
    <row r="163" spans="1:15">
      <c r="A163" s="435" t="s">
        <v>264</v>
      </c>
      <c r="B163" s="436"/>
      <c r="C163" s="436"/>
      <c r="D163" s="162" t="s">
        <v>186</v>
      </c>
      <c r="E163" s="309">
        <v>67499</v>
      </c>
      <c r="F163" s="309">
        <v>67696</v>
      </c>
      <c r="G163" s="124">
        <f>F163-E163</f>
        <v>197</v>
      </c>
    </row>
    <row r="164" spans="1:15">
      <c r="A164" s="435" t="s">
        <v>265</v>
      </c>
      <c r="B164" s="436"/>
      <c r="C164" s="436"/>
      <c r="D164" s="162" t="s">
        <v>186</v>
      </c>
      <c r="E164" s="309">
        <v>7139</v>
      </c>
      <c r="F164" s="309">
        <v>7148.7</v>
      </c>
      <c r="G164" s="124">
        <f t="shared" si="28"/>
        <v>9.6999999999998181</v>
      </c>
    </row>
    <row r="165" spans="1:15">
      <c r="A165" s="437" t="s">
        <v>97</v>
      </c>
      <c r="B165" s="255"/>
      <c r="C165" s="255"/>
      <c r="D165" s="162" t="s">
        <v>186</v>
      </c>
      <c r="E165" s="165">
        <v>20419</v>
      </c>
      <c r="F165" s="165">
        <v>20419</v>
      </c>
      <c r="G165" s="124">
        <f>F165-E165</f>
        <v>0</v>
      </c>
    </row>
    <row r="166" spans="1:15">
      <c r="A166" s="437" t="s">
        <v>187</v>
      </c>
      <c r="B166" s="255"/>
      <c r="C166" s="255"/>
      <c r="D166" s="162" t="s">
        <v>186</v>
      </c>
      <c r="E166" s="165">
        <v>0</v>
      </c>
      <c r="F166" s="165">
        <v>0</v>
      </c>
      <c r="G166" s="124">
        <f t="shared" si="28"/>
        <v>0</v>
      </c>
    </row>
    <row r="167" spans="1:15" ht="27.75">
      <c r="A167" s="1187" t="s">
        <v>98</v>
      </c>
      <c r="B167" s="1187"/>
      <c r="C167" s="1187"/>
      <c r="D167" s="174" t="s">
        <v>186</v>
      </c>
      <c r="E167" s="165">
        <v>181860</v>
      </c>
      <c r="F167" s="165">
        <v>182253.69</v>
      </c>
      <c r="G167" s="124">
        <f t="shared" si="28"/>
        <v>393.69000000000233</v>
      </c>
    </row>
    <row r="168" spans="1:15" ht="27.75">
      <c r="A168" s="1187" t="s">
        <v>99</v>
      </c>
      <c r="B168" s="1187"/>
      <c r="C168" s="1187"/>
      <c r="D168" s="174" t="s">
        <v>186</v>
      </c>
      <c r="E168" s="165">
        <v>182209</v>
      </c>
      <c r="F168" s="165">
        <v>182588.01</v>
      </c>
      <c r="G168" s="124">
        <f t="shared" si="28"/>
        <v>379.01000000000931</v>
      </c>
    </row>
    <row r="169" spans="1:15" ht="27.75">
      <c r="A169" s="1187" t="s">
        <v>100</v>
      </c>
      <c r="B169" s="1187"/>
      <c r="C169" s="1187"/>
      <c r="D169" s="174" t="s">
        <v>186</v>
      </c>
      <c r="E169" s="165">
        <v>80672</v>
      </c>
      <c r="F169" s="165">
        <v>81077.23</v>
      </c>
      <c r="G169" s="124">
        <f t="shared" si="28"/>
        <v>405.22999999999593</v>
      </c>
    </row>
    <row r="170" spans="1:15" ht="27.75">
      <c r="A170" s="1187" t="s">
        <v>101</v>
      </c>
      <c r="B170" s="1187"/>
      <c r="C170" s="1187"/>
      <c r="D170" s="174" t="s">
        <v>186</v>
      </c>
      <c r="E170" s="165">
        <v>280058</v>
      </c>
      <c r="F170" s="165">
        <v>280559.8</v>
      </c>
      <c r="G170" s="124">
        <f t="shared" si="28"/>
        <v>501.79999999998836</v>
      </c>
    </row>
    <row r="171" spans="1:15" ht="27.75">
      <c r="A171" s="1187" t="s">
        <v>102</v>
      </c>
      <c r="B171" s="1187"/>
      <c r="C171" s="1187"/>
      <c r="D171" s="174" t="s">
        <v>186</v>
      </c>
      <c r="E171" s="165">
        <v>85321</v>
      </c>
      <c r="F171" s="165">
        <f t="shared" ref="F171" si="29">F68</f>
        <v>85321</v>
      </c>
      <c r="G171" s="124">
        <f t="shared" si="28"/>
        <v>0</v>
      </c>
    </row>
    <row r="172" spans="1:15" ht="27.75">
      <c r="A172" s="1187" t="s">
        <v>103</v>
      </c>
      <c r="B172" s="1187"/>
      <c r="C172" s="1187"/>
      <c r="D172" s="174" t="s">
        <v>186</v>
      </c>
      <c r="E172" s="165">
        <v>96557</v>
      </c>
      <c r="F172" s="165">
        <v>96882.53</v>
      </c>
      <c r="G172" s="124">
        <f t="shared" si="28"/>
        <v>325.52999999999884</v>
      </c>
    </row>
    <row r="173" spans="1:15" ht="27.75">
      <c r="A173" s="1133"/>
      <c r="B173" s="1131"/>
      <c r="C173" s="1132"/>
      <c r="D173" s="174"/>
      <c r="E173" s="165"/>
      <c r="F173" s="165"/>
      <c r="G173" s="124"/>
    </row>
    <row r="174" spans="1:15" ht="21.95" customHeight="1">
      <c r="A174" s="1228" t="s">
        <v>338</v>
      </c>
      <c r="B174" s="1191"/>
      <c r="C174" s="435"/>
      <c r="D174" s="1123" t="s">
        <v>186</v>
      </c>
      <c r="E174" s="1124">
        <v>19133</v>
      </c>
      <c r="F174" s="1124">
        <v>19136.2</v>
      </c>
      <c r="G174" s="1125">
        <f>F174-E174</f>
        <v>3.2000000000007276</v>
      </c>
      <c r="O174" s="68"/>
    </row>
    <row r="175" spans="1:15" ht="21.95" customHeight="1">
      <c r="A175" s="1228" t="s">
        <v>338</v>
      </c>
      <c r="B175" s="1191"/>
      <c r="C175" s="435"/>
      <c r="D175" s="1123" t="s">
        <v>186</v>
      </c>
      <c r="E175" s="1124">
        <v>70529</v>
      </c>
      <c r="F175" s="1124">
        <v>70535.899999999994</v>
      </c>
      <c r="G175" s="1125">
        <f t="shared" si="28"/>
        <v>6.8999999999941792</v>
      </c>
      <c r="O175" s="68"/>
    </row>
    <row r="176" spans="1:15" ht="21.95" customHeight="1">
      <c r="A176" s="1228" t="s">
        <v>339</v>
      </c>
      <c r="B176" s="1191"/>
      <c r="C176" s="435"/>
      <c r="D176" s="1123" t="s">
        <v>186</v>
      </c>
      <c r="E176" s="1150">
        <v>27793</v>
      </c>
      <c r="F176" s="1150">
        <v>27798.9</v>
      </c>
      <c r="G176" s="1125">
        <f t="shared" si="28"/>
        <v>5.9000000000014552</v>
      </c>
      <c r="O176" s="68"/>
    </row>
    <row r="177" spans="5:7">
      <c r="E177" s="1151"/>
      <c r="F177" s="1151"/>
      <c r="G177" s="190">
        <f>SUM(G161:G172)</f>
        <v>2731.2999999999911</v>
      </c>
    </row>
    <row r="178" spans="5:7">
      <c r="E178" s="1152"/>
      <c r="F178" s="1152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1"/>
  <sheetViews>
    <sheetView view="pageBreakPreview" topLeftCell="A13" zoomScale="60" workbookViewId="0">
      <selection activeCell="F36" sqref="F36"/>
    </sheetView>
  </sheetViews>
  <sheetFormatPr defaultColWidth="22.33203125" defaultRowHeight="29.2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347</v>
      </c>
      <c r="B2" s="682">
        <v>44410</v>
      </c>
      <c r="C2" s="933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33" t="s">
        <v>119</v>
      </c>
      <c r="D3" s="263">
        <v>30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3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'1'!F7</f>
        <v>630125.87</v>
      </c>
      <c r="F7" s="106">
        <v>651863.15</v>
      </c>
      <c r="G7" s="124">
        <f>F7-E7</f>
        <v>21737.280000000028</v>
      </c>
      <c r="H7" s="111">
        <f>G7+'1'!H7</f>
        <v>44190.150000000023</v>
      </c>
      <c r="I7" s="125">
        <f>'[1]1'!I7</f>
        <v>12000</v>
      </c>
      <c r="J7" s="203">
        <f>H7/DAY(B2)</f>
        <v>22095.075000000012</v>
      </c>
      <c r="K7" s="200"/>
      <c r="L7" s="68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f>'1'!F8</f>
        <v>638137.06999999995</v>
      </c>
      <c r="F8" s="126">
        <v>659998.75</v>
      </c>
      <c r="G8" s="127">
        <f>F8-E8</f>
        <v>21861.680000000051</v>
      </c>
      <c r="H8" s="111">
        <f>G8+'1'!H8</f>
        <v>44401.75</v>
      </c>
      <c r="I8" s="128">
        <v>12000</v>
      </c>
      <c r="J8" s="203">
        <f>H8/DAY(B2)</f>
        <v>22200.875</v>
      </c>
      <c r="K8" s="200"/>
      <c r="L8" s="78"/>
      <c r="M8" s="91"/>
      <c r="O8" s="73"/>
    </row>
    <row r="9" spans="1:15">
      <c r="A9" s="234" t="s">
        <v>133</v>
      </c>
      <c r="B9" s="235"/>
      <c r="C9" s="235"/>
      <c r="D9" s="174" t="s">
        <v>131</v>
      </c>
      <c r="E9" s="106">
        <f>'1'!F9</f>
        <v>2718399</v>
      </c>
      <c r="F9" s="129">
        <v>2739450.7</v>
      </c>
      <c r="G9" s="124">
        <f t="shared" ref="G9:G11" si="0">F9-E9</f>
        <v>21051.700000000186</v>
      </c>
      <c r="H9" s="111">
        <f>G9+'1'!H9</f>
        <v>42815.700000000186</v>
      </c>
      <c r="I9" s="130">
        <f>I8-J8</f>
        <v>-10200.875</v>
      </c>
      <c r="J9" s="203">
        <f>H9/DAY(B2)</f>
        <v>21407.850000000093</v>
      </c>
      <c r="K9" s="81"/>
      <c r="L9" s="68"/>
      <c r="O9" s="73"/>
    </row>
    <row r="10" spans="1:15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21051.700000000186</v>
      </c>
      <c r="H13" s="111">
        <f>G13+'1'!H13</f>
        <v>21051.700000000186</v>
      </c>
      <c r="I13" s="133">
        <f>G7-G13</f>
        <v>685.57999999984168</v>
      </c>
      <c r="J13" s="203">
        <f>H13/DAY(B2)</f>
        <v>10525.850000000093</v>
      </c>
      <c r="K13" s="81"/>
      <c r="L13" s="68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931" t="s">
        <v>139</v>
      </c>
      <c r="B15" s="240"/>
      <c r="C15" s="240"/>
      <c r="D15" s="174" t="s">
        <v>140</v>
      </c>
      <c r="E15" s="106">
        <f>'1'!F15</f>
        <v>1730330</v>
      </c>
      <c r="F15" s="1155">
        <v>1731254.25</v>
      </c>
      <c r="G15" s="430">
        <f>(F15-E15)</f>
        <v>924.25</v>
      </c>
      <c r="H15" s="111">
        <f>G15+'1'!H15</f>
        <v>1700.25</v>
      </c>
      <c r="I15" s="125">
        <v>800</v>
      </c>
      <c r="J15" s="203">
        <f>H15/DAY(B2)</f>
        <v>850.125</v>
      </c>
      <c r="K15" s="81"/>
      <c r="L15" s="68"/>
      <c r="O15" s="73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-50.125</v>
      </c>
      <c r="J16" s="204"/>
      <c r="K16" s="81"/>
      <c r="L16" s="68"/>
      <c r="O16" s="73">
        <f>G15-150</f>
        <v>774.25</v>
      </c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06">
        <f>'1'!F18</f>
        <v>18</v>
      </c>
      <c r="F18" s="129">
        <v>18</v>
      </c>
      <c r="G18" s="132">
        <f>F18*10</f>
        <v>180</v>
      </c>
      <c r="H18" s="111">
        <f>G18+'1'!H18</f>
        <v>360</v>
      </c>
      <c r="I18" s="125">
        <f>'[1]1'!I18</f>
        <v>65</v>
      </c>
      <c r="J18" s="203">
        <f>H18/DAY(B2)</f>
        <v>180</v>
      </c>
      <c r="K18" s="81"/>
      <c r="L18" s="68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06">
        <f>'1'!F19</f>
        <v>143453</v>
      </c>
      <c r="F19" s="1156">
        <v>143517</v>
      </c>
      <c r="G19" s="124">
        <f>F19-E19</f>
        <v>64</v>
      </c>
      <c r="H19" s="111">
        <f>G19+'1'!H19</f>
        <v>127</v>
      </c>
      <c r="I19" s="140"/>
      <c r="J19" s="203">
        <f>H19/DAY(B2)</f>
        <v>63.5</v>
      </c>
      <c r="K19" s="81"/>
      <c r="L19" s="68"/>
      <c r="O19" s="73"/>
    </row>
    <row r="20" spans="1:15">
      <c r="A20" s="236" t="s">
        <v>144</v>
      </c>
      <c r="B20" s="237"/>
      <c r="C20" s="237"/>
      <c r="D20" s="141"/>
      <c r="E20" s="141"/>
      <c r="F20" s="174"/>
      <c r="G20" s="684">
        <f>G18+G19</f>
        <v>244</v>
      </c>
      <c r="H20" s="111">
        <f>G20+'1'!H20</f>
        <v>487</v>
      </c>
      <c r="I20" s="143">
        <f>I18-J20</f>
        <v>-178.5</v>
      </c>
      <c r="J20" s="203">
        <f>H20/DAY(B2)</f>
        <v>243.5</v>
      </c>
      <c r="K20" s="81"/>
      <c r="L20" s="68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31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31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21861.680000000051</v>
      </c>
      <c r="F27" s="152">
        <v>9</v>
      </c>
      <c r="G27" s="153">
        <f>E27*F27</f>
        <v>196755.12000000046</v>
      </c>
      <c r="H27" s="111">
        <f>G27+'1'!H27</f>
        <v>399615.75</v>
      </c>
      <c r="I27" s="154"/>
      <c r="J27" s="203">
        <f>H27/DAY(B2)</f>
        <v>199807.875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924.25</v>
      </c>
      <c r="F28" s="152">
        <v>54.5</v>
      </c>
      <c r="G28" s="153">
        <f>E28*F28</f>
        <v>50371.625</v>
      </c>
      <c r="H28" s="111">
        <f>G28+'1'!H28</f>
        <v>92663.625</v>
      </c>
      <c r="I28" s="156"/>
      <c r="J28" s="203">
        <f>H28/DAY(B2)</f>
        <v>46331.8125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64</v>
      </c>
      <c r="F30" s="152">
        <v>146</v>
      </c>
      <c r="G30" s="153">
        <f>E30*F30</f>
        <v>9344</v>
      </c>
      <c r="H30" s="111">
        <f>G30+'1'!H30</f>
        <v>18542</v>
      </c>
      <c r="I30" s="156"/>
      <c r="J30" s="203">
        <f>H30/DAY(B2)</f>
        <v>9271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G31+'1'!H31</f>
        <v>28800</v>
      </c>
      <c r="I31" s="156"/>
      <c r="J31" s="203">
        <f>H31/DAY(B2)</f>
        <v>14400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270870.74500000046</v>
      </c>
      <c r="H32" s="111">
        <f>G32+'1'!H32</f>
        <v>539621.375</v>
      </c>
      <c r="I32" s="160"/>
      <c r="J32" s="203">
        <f>H32/DAY(B2)</f>
        <v>269810.6875</v>
      </c>
      <c r="K32" s="65"/>
      <c r="L32" s="94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O33" s="73"/>
    </row>
    <row r="34" spans="1:15">
      <c r="A34" s="249" t="s">
        <v>162</v>
      </c>
      <c r="B34" s="936"/>
      <c r="C34" s="936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'1'!F36</f>
        <v>47530.6</v>
      </c>
      <c r="F36" s="161">
        <v>48079.89</v>
      </c>
      <c r="G36" s="124">
        <f t="shared" si="2"/>
        <v>549.29000000000087</v>
      </c>
      <c r="H36" s="111">
        <f>G36+'1'!H36</f>
        <v>1281.8899999999994</v>
      </c>
      <c r="I36" s="106"/>
      <c r="J36" s="203">
        <f>H36/DAY(B2)</f>
        <v>640.94499999999971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'1'!F37</f>
        <v>227824.73</v>
      </c>
      <c r="F37" s="161">
        <v>229429.55</v>
      </c>
      <c r="G37" s="124">
        <f t="shared" si="2"/>
        <v>1604.8199999999779</v>
      </c>
      <c r="H37" s="111">
        <f>G37+'1'!H37</f>
        <v>3256.5499999999884</v>
      </c>
      <c r="I37" s="106"/>
      <c r="J37" s="203">
        <f>H37/DAY(B2)</f>
        <v>1628.2749999999942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'1'!F38</f>
        <v>250298.37</v>
      </c>
      <c r="F38" s="120">
        <v>251963.29</v>
      </c>
      <c r="G38" s="124">
        <f t="shared" si="2"/>
        <v>1664.9200000000128</v>
      </c>
      <c r="H38" s="111">
        <f>G38+'1'!H38</f>
        <v>3404.2900000000081</v>
      </c>
      <c r="I38" s="106"/>
      <c r="J38" s="203">
        <f>H38/DAY(B2)</f>
        <v>1702.1450000000041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'1'!F39</f>
        <v>524274.99</v>
      </c>
      <c r="F39" s="161">
        <v>528039.67000000004</v>
      </c>
      <c r="G39" s="124">
        <f t="shared" si="2"/>
        <v>3764.6800000000512</v>
      </c>
      <c r="H39" s="111">
        <f>G39+'1'!H39</f>
        <v>7521.6700000000419</v>
      </c>
      <c r="I39" s="106"/>
      <c r="J39" s="203">
        <f>H39/DAY(B2)</f>
        <v>3760.835000000021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'1'!F40</f>
        <v>20801.580000000002</v>
      </c>
      <c r="F40" s="161">
        <v>21156.04</v>
      </c>
      <c r="G40" s="124">
        <f t="shared" si="2"/>
        <v>354.45999999999913</v>
      </c>
      <c r="H40" s="111">
        <f>G40+'1'!H40</f>
        <v>983.04000000000087</v>
      </c>
      <c r="I40" s="106"/>
      <c r="J40" s="203">
        <f>H40/DAY(B2)</f>
        <v>491.52000000000044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'1'!F41</f>
        <v>366840</v>
      </c>
      <c r="F41" s="161">
        <v>366839.55</v>
      </c>
      <c r="G41" s="124">
        <f t="shared" si="2"/>
        <v>-0.45000000001164153</v>
      </c>
      <c r="H41" s="111">
        <f>G41+'1'!H41</f>
        <v>-0.45000000001164153</v>
      </c>
      <c r="I41" s="106"/>
      <c r="J41" s="203">
        <f>H41/DAY(B2)</f>
        <v>-0.22500000000582077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'1'!F42</f>
        <v>120742.44</v>
      </c>
      <c r="F42" s="161">
        <v>125908.48</v>
      </c>
      <c r="G42" s="124">
        <f t="shared" si="2"/>
        <v>5166.0399999999936</v>
      </c>
      <c r="H42" s="111">
        <f>G42+'1'!H42</f>
        <v>10396.479999999996</v>
      </c>
      <c r="I42" s="106"/>
      <c r="J42" s="203">
        <f>H42/DAY(B2)</f>
        <v>5198.239999999998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'1'!F43</f>
        <v>1207185.7</v>
      </c>
      <c r="F43" s="161">
        <v>1209688.2</v>
      </c>
      <c r="G43" s="124">
        <f t="shared" si="2"/>
        <v>2502.5</v>
      </c>
      <c r="H43" s="111">
        <f>G43+'1'!H43</f>
        <v>5227.1999999999534</v>
      </c>
      <c r="I43" s="106"/>
      <c r="J43" s="203">
        <f>H43/DAY(B2)</f>
        <v>2613.5999999999767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15606.260000000024</v>
      </c>
      <c r="H47" s="111">
        <f>G47+'1'!H47</f>
        <v>32070.669999999976</v>
      </c>
      <c r="I47" s="106"/>
      <c r="J47" s="203">
        <f>H47/DAY(B2)</f>
        <v>16035.334999999988</v>
      </c>
      <c r="K47" s="81"/>
      <c r="L47" s="68"/>
      <c r="N47" s="73"/>
      <c r="O47" s="73"/>
    </row>
    <row r="48" spans="1:15">
      <c r="A48" s="249" t="s">
        <v>176</v>
      </c>
      <c r="B48" s="936"/>
      <c r="C48" s="936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'1'!F49</f>
        <v>327169.67</v>
      </c>
      <c r="F49" s="161">
        <v>330269.55</v>
      </c>
      <c r="G49" s="124">
        <f t="shared" ref="G49:G58" si="3">F49-E49</f>
        <v>3099.8800000000047</v>
      </c>
      <c r="H49" s="111">
        <f>G49+'1'!H49</f>
        <v>6181.5499999999884</v>
      </c>
      <c r="I49" s="106"/>
      <c r="J49" s="203">
        <f>H49/DAY(B2)</f>
        <v>3090.7749999999942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'1'!F50</f>
        <v>571481.47</v>
      </c>
      <c r="F50" s="161">
        <v>572600.94999999995</v>
      </c>
      <c r="G50" s="124">
        <f t="shared" si="3"/>
        <v>1119.4799999999814</v>
      </c>
      <c r="H50" s="111">
        <f>G50+'1'!H50</f>
        <v>2675.9499999999534</v>
      </c>
      <c r="I50" s="106"/>
      <c r="J50" s="203">
        <f>H50/DAY(B2)</f>
        <v>1337.9749999999767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'1'!F51</f>
        <v>144639.87</v>
      </c>
      <c r="F51" s="161">
        <v>144639.87</v>
      </c>
      <c r="G51" s="124">
        <f t="shared" si="3"/>
        <v>0</v>
      </c>
      <c r="H51" s="111">
        <f>G51+'1'!H51</f>
        <v>-0.13000000000465661</v>
      </c>
      <c r="I51" s="106"/>
      <c r="J51" s="203">
        <f>H51/DAY(B2)</f>
        <v>-6.5000000002328306E-2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'1'!F52</f>
        <v>539606</v>
      </c>
      <c r="F52" s="161">
        <v>539606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'1'!F53</f>
        <v>434231.59</v>
      </c>
      <c r="F53" s="161">
        <v>434231.59</v>
      </c>
      <c r="G53" s="124">
        <f t="shared" si="3"/>
        <v>0</v>
      </c>
      <c r="H53" s="111">
        <f>G53+'1'!H53</f>
        <v>-0.40999999997438863</v>
      </c>
      <c r="I53" s="106"/>
      <c r="J53" s="203">
        <f>H53/DAY(B2)</f>
        <v>-0.20499999998719431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'1'!F54</f>
        <v>14967</v>
      </c>
      <c r="F54" s="161">
        <v>14967</v>
      </c>
      <c r="G54" s="124">
        <f t="shared" si="3"/>
        <v>0</v>
      </c>
      <c r="H54" s="111">
        <f>G54+'1'!H54</f>
        <v>0</v>
      </c>
      <c r="I54" s="106"/>
      <c r="J54" s="203">
        <f>H54/DAY(B2)</f>
        <v>0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'1'!F55</f>
        <v>236828.27</v>
      </c>
      <c r="F55" s="683">
        <v>238249.99</v>
      </c>
      <c r="G55" s="124">
        <f t="shared" si="3"/>
        <v>1421.7200000000012</v>
      </c>
      <c r="H55" s="111">
        <f>G55+'1'!H55</f>
        <v>2575.9899999999907</v>
      </c>
      <c r="I55" s="106"/>
      <c r="J55" s="203">
        <f>H55/DAY(B2)</f>
        <v>1287.9949999999953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'1'!F56</f>
        <v>649372.03</v>
      </c>
      <c r="F56" s="683">
        <v>649383.31000000006</v>
      </c>
      <c r="G56" s="124">
        <f t="shared" si="3"/>
        <v>11.28000000002794</v>
      </c>
      <c r="H56" s="111">
        <f>G56+'1'!H56</f>
        <v>22.310000000055879</v>
      </c>
      <c r="I56" s="106"/>
      <c r="J56" s="203">
        <f>H56/DAY(B2)</f>
        <v>11.15500000002794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'1'!F58</f>
        <v>59873.99</v>
      </c>
      <c r="F58" s="304">
        <v>60115.59</v>
      </c>
      <c r="G58" s="124">
        <f t="shared" si="3"/>
        <v>241.59999999999854</v>
      </c>
      <c r="H58" s="111">
        <f>G58+'1'!H58</f>
        <v>436.58999999999651</v>
      </c>
      <c r="I58" s="106"/>
      <c r="J58" s="203">
        <f>H58/DAY(B2)</f>
        <v>218.29499999999825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5893.9600000000137</v>
      </c>
      <c r="H59" s="111">
        <f>G59+'1'!H59</f>
        <v>11891.850000000006</v>
      </c>
      <c r="I59" s="106">
        <f>G7-G60</f>
        <v>237.0599999999904</v>
      </c>
      <c r="J59" s="203">
        <f>H59/DAY(B2)</f>
        <v>5945.9250000000029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21500.220000000038</v>
      </c>
      <c r="H60" s="111">
        <f>G60+'1'!H60</f>
        <v>43962.519999999982</v>
      </c>
      <c r="I60" s="106">
        <f>G13-G60</f>
        <v>-448.51999999985128</v>
      </c>
      <c r="J60" s="203">
        <f>H60/DAY(B2)</f>
        <v>21981.259999999991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06">
        <f>'1'!F64</f>
        <v>182253.69</v>
      </c>
      <c r="F64" s="129">
        <v>182632.63</v>
      </c>
      <c r="G64" s="124">
        <f t="shared" si="4"/>
        <v>378.94000000000233</v>
      </c>
      <c r="H64" s="111">
        <f>G64+'1'!H64</f>
        <v>772.63000000000466</v>
      </c>
      <c r="I64" s="131"/>
      <c r="J64" s="203">
        <f>H64/DAY(B2)</f>
        <v>386.31500000000233</v>
      </c>
      <c r="K64" s="81"/>
      <c r="L64" s="68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06">
        <f>'1'!F65</f>
        <v>182588.01</v>
      </c>
      <c r="F65" s="302">
        <v>182984.51</v>
      </c>
      <c r="G65" s="124">
        <f t="shared" si="4"/>
        <v>396.5</v>
      </c>
      <c r="H65" s="111">
        <f>G65+'1'!H65</f>
        <v>775.51000000000931</v>
      </c>
      <c r="I65" s="140"/>
      <c r="J65" s="203">
        <f>H65/DAY(B2)</f>
        <v>387.75500000000466</v>
      </c>
      <c r="K65" s="81"/>
      <c r="L65" s="68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06">
        <f>'1'!F66</f>
        <v>81077.23</v>
      </c>
      <c r="F66" s="129">
        <v>81494.259999999995</v>
      </c>
      <c r="G66" s="124">
        <f t="shared" si="4"/>
        <v>417.02999999999884</v>
      </c>
      <c r="H66" s="111">
        <f>G66+'1'!H66</f>
        <v>822.25999999999476</v>
      </c>
      <c r="I66" s="131"/>
      <c r="J66" s="203">
        <f>H66/DAY(B2)</f>
        <v>411.12999999999738</v>
      </c>
      <c r="K66" s="81"/>
      <c r="L66" s="68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06">
        <f>'1'!F67</f>
        <v>280559</v>
      </c>
      <c r="F67" s="129">
        <v>281037.67</v>
      </c>
      <c r="G67" s="124">
        <f t="shared" si="4"/>
        <v>478.6699999999837</v>
      </c>
      <c r="H67" s="111">
        <f>G67+'1'!H67</f>
        <v>979.6699999999837</v>
      </c>
      <c r="I67" s="140"/>
      <c r="J67" s="203">
        <f>H67/DAY(B2)</f>
        <v>489.83499999999185</v>
      </c>
      <c r="K67" s="82"/>
      <c r="L67" s="68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06">
        <f>'1'!F69</f>
        <v>96882.53</v>
      </c>
      <c r="F69" s="129">
        <v>97201.01</v>
      </c>
      <c r="G69" s="124">
        <f t="shared" si="4"/>
        <v>318.47999999999593</v>
      </c>
      <c r="H69" s="111">
        <f>G69+'1'!H69</f>
        <v>644.00999999999476</v>
      </c>
      <c r="I69" s="167"/>
      <c r="J69" s="203">
        <f>H69/DAY(B2)</f>
        <v>322.00499999999738</v>
      </c>
      <c r="K69" s="84"/>
      <c r="L69" s="68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06">
        <f>'1'!F72</f>
        <v>856623</v>
      </c>
      <c r="F72" s="305">
        <v>856635</v>
      </c>
      <c r="G72" s="124">
        <f t="shared" ref="G72:G84" si="5">F72-E72</f>
        <v>12</v>
      </c>
      <c r="H72" s="111">
        <f>G72+'1'!H72</f>
        <v>26</v>
      </c>
      <c r="I72" s="131"/>
      <c r="J72" s="203">
        <f>H72/DAY(B2)</f>
        <v>13</v>
      </c>
      <c r="K72" s="84"/>
      <c r="L72" s="68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06">
        <f>'1'!F73</f>
        <v>886014</v>
      </c>
      <c r="F73" s="306">
        <v>886016</v>
      </c>
      <c r="G73" s="303">
        <f t="shared" si="5"/>
        <v>2</v>
      </c>
      <c r="H73" s="111">
        <f>G73+'1'!H73</f>
        <v>3</v>
      </c>
      <c r="I73" s="131"/>
      <c r="J73" s="203">
        <f>H73/DAY(B2)</f>
        <v>1.5</v>
      </c>
      <c r="K73" s="83"/>
      <c r="L73" s="68"/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06">
        <f>'1'!F74</f>
        <v>88734</v>
      </c>
      <c r="F74" s="305">
        <v>88736</v>
      </c>
      <c r="G74" s="124">
        <f t="shared" si="5"/>
        <v>2</v>
      </c>
      <c r="H74" s="111">
        <f>G74+'1'!H74</f>
        <v>3</v>
      </c>
      <c r="I74" s="131"/>
      <c r="J74" s="203">
        <f>H74/DAY(B2)</f>
        <v>1.5</v>
      </c>
      <c r="K74" s="84"/>
      <c r="L74" s="68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06">
        <f>'1'!F75</f>
        <v>21108.639999999999</v>
      </c>
      <c r="F75" s="307">
        <v>21266.36</v>
      </c>
      <c r="G75" s="124">
        <f t="shared" si="5"/>
        <v>157.72000000000116</v>
      </c>
      <c r="H75" s="111">
        <f>G75+'1'!H75</f>
        <v>319.36000000000058</v>
      </c>
      <c r="I75" s="131"/>
      <c r="J75" s="203">
        <f>H75/DAY(B2)</f>
        <v>159.68000000000029</v>
      </c>
      <c r="K75" s="83"/>
      <c r="L75" s="68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06">
        <f>'1'!F76</f>
        <v>11486.63</v>
      </c>
      <c r="F76" s="306">
        <v>11543.14</v>
      </c>
      <c r="G76" s="124">
        <f t="shared" si="5"/>
        <v>56.510000000000218</v>
      </c>
      <c r="H76" s="111">
        <f>G76+'1'!H76</f>
        <v>116.13999999999942</v>
      </c>
      <c r="I76" s="156"/>
      <c r="J76" s="203">
        <f>H76/DAY(B2)</f>
        <v>58.069999999999709</v>
      </c>
      <c r="K76" s="83"/>
      <c r="L76" s="68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06">
        <f>'1'!F77</f>
        <v>706512</v>
      </c>
      <c r="F77" s="306">
        <v>706579</v>
      </c>
      <c r="G77" s="303">
        <f t="shared" si="5"/>
        <v>67</v>
      </c>
      <c r="H77" s="111">
        <f>G77+'1'!H77</f>
        <v>126</v>
      </c>
      <c r="I77" s="156"/>
      <c r="J77" s="203">
        <f>H77/DAY(B2)</f>
        <v>63</v>
      </c>
      <c r="K77" s="83"/>
      <c r="L77" s="68"/>
      <c r="O77" s="73"/>
    </row>
    <row r="78" spans="1:15" ht="27.75">
      <c r="A78" s="934" t="s">
        <v>196</v>
      </c>
      <c r="B78" s="927"/>
      <c r="C78" s="927"/>
      <c r="D78" s="174" t="s">
        <v>186</v>
      </c>
      <c r="E78" s="106">
        <f>'1'!F78</f>
        <v>678997</v>
      </c>
      <c r="F78" s="307">
        <v>679101</v>
      </c>
      <c r="G78" s="124">
        <f t="shared" si="5"/>
        <v>104</v>
      </c>
      <c r="H78" s="111">
        <f>G78+'1'!H78</f>
        <v>248</v>
      </c>
      <c r="I78" s="156"/>
      <c r="J78" s="203">
        <f>H78/DAY(B2)</f>
        <v>124</v>
      </c>
      <c r="K78" s="83"/>
      <c r="L78" s="68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06">
        <f>'1'!F79</f>
        <v>840358</v>
      </c>
      <c r="F79" s="307">
        <v>840511</v>
      </c>
      <c r="G79" s="124">
        <f t="shared" si="5"/>
        <v>153</v>
      </c>
      <c r="H79" s="111">
        <f>G79+'1'!H79</f>
        <v>296</v>
      </c>
      <c r="I79" s="156"/>
      <c r="J79" s="203">
        <f>H79/DAY(B2)</f>
        <v>148</v>
      </c>
      <c r="K79" s="83"/>
      <c r="L79" s="68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06">
        <f>'1'!F80</f>
        <v>552413.31999999995</v>
      </c>
      <c r="F80" s="306">
        <v>552804</v>
      </c>
      <c r="G80" s="124">
        <f t="shared" si="5"/>
        <v>390.68000000005122</v>
      </c>
      <c r="H80" s="111">
        <f>G80+'1'!H80</f>
        <v>852</v>
      </c>
      <c r="I80" s="156"/>
      <c r="J80" s="203">
        <f>H80/DAY(B2)</f>
        <v>426</v>
      </c>
      <c r="K80" s="83"/>
      <c r="L80" s="68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06">
        <f>'1'!F81</f>
        <v>649183.56000000006</v>
      </c>
      <c r="F81" s="306">
        <v>649296.6</v>
      </c>
      <c r="G81" s="124">
        <f t="shared" si="5"/>
        <v>113.03999999992084</v>
      </c>
      <c r="H81" s="111">
        <f>G81+'1'!H81</f>
        <v>278.59999999997672</v>
      </c>
      <c r="I81" s="156"/>
      <c r="J81" s="203">
        <f>H81/DAY(B2)</f>
        <v>139.29999999998836</v>
      </c>
      <c r="K81" s="83"/>
      <c r="L81" s="68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06">
        <f>'1'!F82</f>
        <v>109349.28</v>
      </c>
      <c r="F82" s="302">
        <v>109375.4</v>
      </c>
      <c r="G82" s="124">
        <f t="shared" si="5"/>
        <v>26.119999999995343</v>
      </c>
      <c r="H82" s="111">
        <f>G82+'1'!H82</f>
        <v>39.399999999994179</v>
      </c>
      <c r="I82" s="137"/>
      <c r="J82" s="203">
        <f>H82/DAY(B2)</f>
        <v>19.69999999999709</v>
      </c>
      <c r="K82" s="83"/>
      <c r="L82" s="68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06">
        <f>'1'!F83</f>
        <v>35330</v>
      </c>
      <c r="F83" s="162">
        <v>35656</v>
      </c>
      <c r="G83" s="124">
        <f t="shared" si="5"/>
        <v>326</v>
      </c>
      <c r="H83" s="111">
        <f>G83+'1'!H83</f>
        <v>631</v>
      </c>
      <c r="I83" s="132"/>
      <c r="J83" s="203">
        <f>H83/DAY(B2)</f>
        <v>315.5</v>
      </c>
      <c r="K83" s="82"/>
      <c r="L83" s="68"/>
      <c r="O83" s="73"/>
    </row>
    <row r="84" spans="1:15">
      <c r="A84" s="935" t="s">
        <v>200</v>
      </c>
      <c r="B84" s="222"/>
      <c r="C84" s="222"/>
      <c r="D84" s="129" t="s">
        <v>131</v>
      </c>
      <c r="E84" s="106">
        <f>'1'!F84</f>
        <v>548202</v>
      </c>
      <c r="F84" s="278">
        <v>548984</v>
      </c>
      <c r="G84" s="124">
        <f t="shared" si="5"/>
        <v>782</v>
      </c>
      <c r="H84" s="111">
        <f>G84+'1'!H84</f>
        <v>1591</v>
      </c>
      <c r="I84" s="132"/>
      <c r="J84" s="203">
        <f>H84/DAY(B2)</f>
        <v>795.5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2192.0699999999688</v>
      </c>
      <c r="H85" s="111">
        <f>G85+'1'!H85</f>
        <v>4529.4999999999709</v>
      </c>
      <c r="I85" s="132"/>
      <c r="J85" s="203">
        <f>H85/DAY(B2)</f>
        <v>2264.7499999999854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'1'!F86</f>
        <v>462745</v>
      </c>
      <c r="F86" s="298">
        <v>462948</v>
      </c>
      <c r="G86" s="356">
        <f t="shared" ref="G86:G91" si="6">F86-E86</f>
        <v>203</v>
      </c>
      <c r="H86" s="111">
        <f>G86+'1'!H86</f>
        <v>441</v>
      </c>
      <c r="I86" s="303"/>
      <c r="J86" s="358">
        <f>H86/DAY(B2)</f>
        <v>220.5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'1'!F87</f>
        <v>82961.7</v>
      </c>
      <c r="F87" s="298">
        <v>82995.199999999997</v>
      </c>
      <c r="G87" s="356">
        <f t="shared" si="6"/>
        <v>33.5</v>
      </c>
      <c r="H87" s="111">
        <f>G87+'1'!H87</f>
        <v>41.19999999999709</v>
      </c>
      <c r="I87" s="303"/>
      <c r="J87" s="358">
        <f>H87/DAY(B2)</f>
        <v>20.599999999998545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'1'!F89</f>
        <v>67107.7</v>
      </c>
      <c r="F89" s="298">
        <v>67166.600000000006</v>
      </c>
      <c r="G89" s="356">
        <f t="shared" si="6"/>
        <v>58.900000000008731</v>
      </c>
      <c r="H89" s="111">
        <f>G89+'1'!H89</f>
        <v>77.600000000005821</v>
      </c>
      <c r="I89" s="303"/>
      <c r="J89" s="358">
        <f>H89/DAY(B2)</f>
        <v>38.80000000000291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'1'!F90</f>
        <v>3464.2</v>
      </c>
      <c r="F90" s="298">
        <v>3469.4</v>
      </c>
      <c r="G90" s="356">
        <f t="shared" si="6"/>
        <v>5.2000000000002728</v>
      </c>
      <c r="H90" s="111">
        <f>G90+'1'!H90</f>
        <v>5.4000000000000909</v>
      </c>
      <c r="I90" s="303"/>
      <c r="J90" s="358">
        <f>H90/DAY(B2)</f>
        <v>2.7000000000000455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106">
        <f>'1'!F91</f>
        <v>28505.09</v>
      </c>
      <c r="F91" s="298">
        <v>28514.77</v>
      </c>
      <c r="G91" s="356">
        <f t="shared" si="6"/>
        <v>9.680000000000291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06">
        <f>'1'!F93</f>
        <v>250449</v>
      </c>
      <c r="F93" s="129">
        <v>250531</v>
      </c>
      <c r="G93" s="124">
        <f t="shared" ref="G93:G94" si="7">F93-E93</f>
        <v>82</v>
      </c>
      <c r="H93" s="111">
        <f>G93+'1'!H93</f>
        <v>217</v>
      </c>
      <c r="I93" s="131"/>
      <c r="J93" s="203">
        <f>H93/DAY(B2)</f>
        <v>108.5</v>
      </c>
      <c r="K93" s="82"/>
      <c r="L93" s="68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06">
        <f>'1'!F94</f>
        <v>193069</v>
      </c>
      <c r="F94" s="129">
        <v>193264</v>
      </c>
      <c r="G94" s="124">
        <f t="shared" si="7"/>
        <v>195</v>
      </c>
      <c r="H94" s="111">
        <f>G94+'1'!H94</f>
        <v>366</v>
      </c>
      <c r="I94" s="131"/>
      <c r="J94" s="203">
        <f>H94/DAY(B2)</f>
        <v>183</v>
      </c>
      <c r="K94" s="71"/>
      <c r="L94" s="68"/>
      <c r="O94" s="73"/>
    </row>
    <row r="95" spans="1:15">
      <c r="A95" s="1232" t="s">
        <v>207</v>
      </c>
      <c r="B95" s="1233"/>
      <c r="C95" s="1234"/>
      <c r="D95" s="174"/>
      <c r="E95" s="106">
        <f>'1'!F95</f>
        <v>0</v>
      </c>
      <c r="F95" s="129"/>
      <c r="G95" s="124">
        <f>G93+G94</f>
        <v>277</v>
      </c>
      <c r="H95" s="111">
        <f>G95+'1'!H95</f>
        <v>277</v>
      </c>
      <c r="I95" s="131"/>
      <c r="J95" s="203">
        <f>H95/DAY(B2)</f>
        <v>138.5</v>
      </c>
      <c r="K95" s="71"/>
      <c r="L95" s="68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06">
        <f>'1'!F96</f>
        <v>418606</v>
      </c>
      <c r="F96" s="129">
        <v>418674</v>
      </c>
      <c r="G96" s="124">
        <f t="shared" ref="G96:G101" si="8">F96-E96</f>
        <v>68</v>
      </c>
      <c r="H96" s="111">
        <f>G96+'1'!H96</f>
        <v>138</v>
      </c>
      <c r="I96" s="131"/>
      <c r="J96" s="203">
        <f>H96/DAY(B2)</f>
        <v>69</v>
      </c>
      <c r="K96" s="71"/>
      <c r="L96" s="68"/>
      <c r="O96" s="73"/>
    </row>
    <row r="97" spans="1:15" ht="27.75">
      <c r="A97" s="931" t="s">
        <v>209</v>
      </c>
      <c r="B97" s="932"/>
      <c r="C97" s="932"/>
      <c r="D97" s="174" t="s">
        <v>143</v>
      </c>
      <c r="E97" s="106">
        <f>'1'!F97</f>
        <v>103883</v>
      </c>
      <c r="F97" s="129">
        <v>103909</v>
      </c>
      <c r="G97" s="124">
        <f t="shared" si="8"/>
        <v>26</v>
      </c>
      <c r="H97" s="111">
        <f>G97+'1'!H97</f>
        <v>60</v>
      </c>
      <c r="I97" s="131"/>
      <c r="J97" s="203">
        <f>H97/DAY(B2)</f>
        <v>30</v>
      </c>
      <c r="K97" s="80"/>
      <c r="L97" s="68"/>
      <c r="O97" s="73"/>
    </row>
    <row r="98" spans="1:15" ht="27.75">
      <c r="A98" s="931" t="s">
        <v>210</v>
      </c>
      <c r="B98" s="932"/>
      <c r="C98" s="932"/>
      <c r="D98" s="174" t="s">
        <v>143</v>
      </c>
      <c r="E98" s="106">
        <f>'1'!F98</f>
        <v>99491</v>
      </c>
      <c r="F98" s="129">
        <v>99518</v>
      </c>
      <c r="G98" s="124">
        <f t="shared" si="8"/>
        <v>27</v>
      </c>
      <c r="H98" s="111">
        <f>G98+'1'!H98</f>
        <v>70</v>
      </c>
      <c r="I98" s="131"/>
      <c r="J98" s="203">
        <f>H98/DAY(B2)</f>
        <v>35</v>
      </c>
      <c r="K98" s="85"/>
      <c r="L98" s="68"/>
      <c r="O98" s="73"/>
    </row>
    <row r="99" spans="1:15" ht="27.75">
      <c r="A99" s="931" t="s">
        <v>211</v>
      </c>
      <c r="B99" s="932"/>
      <c r="C99" s="932"/>
      <c r="D99" s="174" t="s">
        <v>143</v>
      </c>
      <c r="E99" s="106">
        <f>'1'!F99</f>
        <v>151257</v>
      </c>
      <c r="F99" s="129">
        <v>151302</v>
      </c>
      <c r="G99" s="124">
        <f t="shared" si="8"/>
        <v>45</v>
      </c>
      <c r="H99" s="111">
        <f>G99+'1'!H99</f>
        <v>51</v>
      </c>
      <c r="I99" s="131"/>
      <c r="J99" s="203">
        <f>H99/DAY(B2)</f>
        <v>25.5</v>
      </c>
      <c r="K99" s="71"/>
      <c r="L99" s="68"/>
      <c r="O99" s="73"/>
    </row>
    <row r="100" spans="1:15" ht="27.75">
      <c r="A100" s="931" t="s">
        <v>212</v>
      </c>
      <c r="B100" s="932"/>
      <c r="C100" s="932"/>
      <c r="D100" s="174" t="s">
        <v>143</v>
      </c>
      <c r="E100" s="106">
        <f>'1'!F100</f>
        <v>8192</v>
      </c>
      <c r="F100" s="129">
        <v>8208</v>
      </c>
      <c r="G100" s="124">
        <f t="shared" si="8"/>
        <v>16</v>
      </c>
      <c r="H100" s="111">
        <f>G100+'1'!H100</f>
        <v>43</v>
      </c>
      <c r="I100" s="131"/>
      <c r="J100" s="203">
        <f>H100/DAY(B2)</f>
        <v>21.5</v>
      </c>
      <c r="K100" s="71"/>
      <c r="L100" s="68"/>
      <c r="O100" s="73"/>
    </row>
    <row r="101" spans="1:15" ht="27.75">
      <c r="A101" s="931" t="s">
        <v>213</v>
      </c>
      <c r="B101" s="932"/>
      <c r="C101" s="932"/>
      <c r="D101" s="174" t="s">
        <v>143</v>
      </c>
      <c r="E101" s="106">
        <f>'1'!F101</f>
        <v>6006</v>
      </c>
      <c r="F101" s="129">
        <v>6023</v>
      </c>
      <c r="G101" s="124">
        <f t="shared" si="8"/>
        <v>17</v>
      </c>
      <c r="H101" s="111">
        <f>G101+'1'!H101</f>
        <v>32</v>
      </c>
      <c r="I101" s="131"/>
      <c r="J101" s="203">
        <f>H101/DAY(B2)</f>
        <v>16</v>
      </c>
      <c r="K101" s="71"/>
      <c r="L101" s="68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199</v>
      </c>
      <c r="H102" s="111">
        <f>G102+'1'!H102</f>
        <v>394</v>
      </c>
      <c r="I102" s="177"/>
      <c r="J102" s="203">
        <f>H102/DAY(B2)</f>
        <v>197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>
      <c r="A105" s="1192" t="s">
        <v>218</v>
      </c>
      <c r="B105" s="1193"/>
      <c r="C105" s="929"/>
      <c r="D105" s="273" t="s">
        <v>143</v>
      </c>
      <c r="E105" s="106">
        <f>'1'!F105</f>
        <v>7637</v>
      </c>
      <c r="F105" s="309">
        <v>7637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>
      <c r="A106" s="1192" t="s">
        <v>76</v>
      </c>
      <c r="B106" s="1193"/>
      <c r="C106" s="929"/>
      <c r="D106" s="273" t="s">
        <v>143</v>
      </c>
      <c r="E106" s="106">
        <f>'1'!F106</f>
        <v>36471</v>
      </c>
      <c r="F106" s="310">
        <v>36481</v>
      </c>
      <c r="G106" s="183">
        <f t="shared" ref="G106:G107" si="9">F106-E106</f>
        <v>10</v>
      </c>
      <c r="H106" s="111">
        <f>G106+'1'!H106</f>
        <v>21</v>
      </c>
      <c r="I106" s="183"/>
      <c r="J106" s="209">
        <f>H106/DAY(B2)</f>
        <v>10.5</v>
      </c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06">
        <f>'1'!F107</f>
        <v>19967</v>
      </c>
      <c r="F107" s="309">
        <v>19972</v>
      </c>
      <c r="G107" s="183">
        <f t="shared" si="9"/>
        <v>5</v>
      </c>
      <c r="H107" s="111">
        <f>G107+'1'!H107</f>
        <v>9</v>
      </c>
      <c r="I107" s="183"/>
      <c r="J107" s="209">
        <f>H107/DAY(B2)</f>
        <v>4.5</v>
      </c>
      <c r="O107" s="73"/>
    </row>
    <row r="108" spans="1:15" s="93" customFormat="1" ht="27.75">
      <c r="A108" s="1194" t="s">
        <v>201</v>
      </c>
      <c r="B108" s="1195"/>
      <c r="C108" s="929"/>
      <c r="D108" s="273"/>
      <c r="E108" s="183"/>
      <c r="F108" s="309"/>
      <c r="G108" s="183">
        <f>SUM(G105:G107)</f>
        <v>15</v>
      </c>
      <c r="H108" s="111">
        <f>G108+'1'!H108</f>
        <v>30</v>
      </c>
      <c r="I108" s="183"/>
      <c r="J108" s="209">
        <f>H108/DAY(B2)</f>
        <v>15</v>
      </c>
      <c r="O108" s="73"/>
    </row>
    <row r="109" spans="1:15" s="93" customFormat="1" ht="27.75">
      <c r="A109" s="1198" t="s">
        <v>78</v>
      </c>
      <c r="B109" s="1199"/>
      <c r="C109" s="929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>
      <c r="A110" s="1192" t="s">
        <v>219</v>
      </c>
      <c r="B110" s="1193"/>
      <c r="C110" s="929"/>
      <c r="D110" s="273" t="s">
        <v>143</v>
      </c>
      <c r="E110" s="106">
        <f>'1'!F110</f>
        <v>67174</v>
      </c>
      <c r="F110" s="309">
        <v>67247</v>
      </c>
      <c r="G110" s="183">
        <f>F110-E110</f>
        <v>73</v>
      </c>
      <c r="H110" s="111">
        <f>G110+'1'!H110</f>
        <v>144</v>
      </c>
      <c r="I110" s="183"/>
      <c r="J110" s="209">
        <f>H110/DAY(B2)</f>
        <v>72</v>
      </c>
      <c r="O110" s="73"/>
    </row>
    <row r="111" spans="1:15" s="93" customFormat="1" ht="27.75">
      <c r="A111" s="1192" t="s">
        <v>220</v>
      </c>
      <c r="B111" s="1193"/>
      <c r="C111" s="929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>
      <c r="A112" s="1192" t="s">
        <v>221</v>
      </c>
      <c r="B112" s="1193"/>
      <c r="C112" s="929"/>
      <c r="D112" s="273" t="s">
        <v>143</v>
      </c>
      <c r="E112" s="106">
        <f>'1'!F112</f>
        <v>4622</v>
      </c>
      <c r="F112" s="309">
        <v>4659</v>
      </c>
      <c r="G112" s="183">
        <f t="shared" si="10"/>
        <v>37</v>
      </c>
      <c r="H112" s="111">
        <f>G112+'1'!H112</f>
        <v>37</v>
      </c>
      <c r="I112" s="183"/>
      <c r="J112" s="209">
        <f>H112/DAY(B2)</f>
        <v>18.5</v>
      </c>
      <c r="O112" s="73"/>
    </row>
    <row r="113" spans="1:15" s="93" customFormat="1" ht="27.75">
      <c r="A113" s="1196" t="s">
        <v>109</v>
      </c>
      <c r="B113" s="1197"/>
      <c r="C113" s="929"/>
      <c r="D113" s="273"/>
      <c r="E113" s="183"/>
      <c r="F113" s="309"/>
      <c r="G113" s="183">
        <f>SUM(G110:G112)</f>
        <v>110</v>
      </c>
      <c r="H113" s="111">
        <f>G113+'1'!H113</f>
        <v>181</v>
      </c>
      <c r="I113" s="183"/>
      <c r="J113" s="209">
        <f>H113/DAY(B2)</f>
        <v>90.5</v>
      </c>
      <c r="O113" s="73"/>
    </row>
    <row r="114" spans="1:15" s="93" customFormat="1" ht="27.75">
      <c r="A114" s="1198" t="s">
        <v>222</v>
      </c>
      <c r="B114" s="1199"/>
      <c r="C114" s="929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06">
        <f>'1'!F115</f>
        <v>12493</v>
      </c>
      <c r="F115" s="310">
        <v>12514</v>
      </c>
      <c r="G115" s="185">
        <f>F115-E115</f>
        <v>21</v>
      </c>
      <c r="H115" s="111">
        <f>G115+'1'!H115</f>
        <v>49</v>
      </c>
      <c r="I115" s="183"/>
      <c r="J115" s="209">
        <f>H115/DAY(B2)</f>
        <v>24.5</v>
      </c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06">
        <f>'1'!F116</f>
        <v>8836</v>
      </c>
      <c r="F116" s="310">
        <v>8847</v>
      </c>
      <c r="G116" s="185">
        <f t="shared" ref="G116:G117" si="11">F116-E116</f>
        <v>11</v>
      </c>
      <c r="H116" s="111">
        <f>G116+'1'!H116</f>
        <v>27</v>
      </c>
      <c r="I116" s="183"/>
      <c r="J116" s="209">
        <f>H116/DAY(B2)</f>
        <v>13.5</v>
      </c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32</v>
      </c>
      <c r="H118" s="111">
        <f>G118+'1'!H118</f>
        <v>76</v>
      </c>
      <c r="I118" s="185"/>
      <c r="J118" s="209">
        <f>H118/DAY(B2)</f>
        <v>38</v>
      </c>
      <c r="O118" s="73"/>
    </row>
    <row r="119" spans="1:15" s="97" customFormat="1" ht="27.75">
      <c r="A119" s="1188" t="s">
        <v>226</v>
      </c>
      <c r="B119" s="1189"/>
      <c r="C119" s="928"/>
      <c r="D119" s="275" t="s">
        <v>143</v>
      </c>
      <c r="E119" s="187"/>
      <c r="F119" s="311">
        <f>SUM(G19+G93)</f>
        <v>146</v>
      </c>
      <c r="G119" s="187">
        <f>SUM(G19+G93)</f>
        <v>146</v>
      </c>
      <c r="H119" s="111">
        <f>G119+'1'!H119</f>
        <v>344</v>
      </c>
      <c r="I119" s="186"/>
      <c r="J119" s="210">
        <f>H119/DAY(B2)</f>
        <v>172</v>
      </c>
      <c r="O119" s="73"/>
    </row>
    <row r="120" spans="1:15" s="97" customFormat="1" ht="27.75">
      <c r="A120" s="1188" t="s">
        <v>227</v>
      </c>
      <c r="B120" s="1189"/>
      <c r="C120" s="928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11">
        <f>G120+'1'!H120</f>
        <v>343</v>
      </c>
      <c r="I120" s="186"/>
      <c r="J120" s="210">
        <f>H120/DAY(B2)</f>
        <v>171.5</v>
      </c>
      <c r="O120" s="73"/>
    </row>
    <row r="121" spans="1:15" s="97" customFormat="1" ht="27.75">
      <c r="A121" s="1188" t="s">
        <v>228</v>
      </c>
      <c r="B121" s="1189"/>
      <c r="C121" s="928"/>
      <c r="D121" s="275" t="s">
        <v>143</v>
      </c>
      <c r="E121" s="185"/>
      <c r="F121" s="310">
        <f>SUM(G113)</f>
        <v>110</v>
      </c>
      <c r="G121" s="185">
        <f>SUM(G113)</f>
        <v>110</v>
      </c>
      <c r="H121" s="111">
        <f>G121+'1'!H121</f>
        <v>181</v>
      </c>
      <c r="I121" s="186"/>
      <c r="J121" s="210">
        <f>H121/DAY(B2)</f>
        <v>90.5</v>
      </c>
      <c r="O121" s="73"/>
    </row>
    <row r="122" spans="1:15" s="93" customFormat="1" ht="27.75">
      <c r="A122" s="1190"/>
      <c r="B122" s="1191"/>
      <c r="C122" s="929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31" t="s">
        <v>230</v>
      </c>
      <c r="B124" s="932"/>
      <c r="C124" s="932"/>
      <c r="D124" s="174" t="s">
        <v>140</v>
      </c>
      <c r="E124" s="106">
        <f>'1'!F124</f>
        <v>848235.36</v>
      </c>
      <c r="F124" s="129">
        <v>848502.96</v>
      </c>
      <c r="G124" s="124">
        <f t="shared" ref="G124:G128" si="12">F124-E124</f>
        <v>267.59999999997672</v>
      </c>
      <c r="H124" s="111">
        <f>G124+'1'!H124</f>
        <v>536.95999999996275</v>
      </c>
      <c r="I124" s="177"/>
      <c r="J124" s="203">
        <f>H124/DAY(B2)</f>
        <v>268.47999999998137</v>
      </c>
      <c r="K124" s="71"/>
      <c r="L124" s="68"/>
      <c r="O124" s="73"/>
    </row>
    <row r="125" spans="1:15" ht="27.75">
      <c r="A125" s="931" t="s">
        <v>231</v>
      </c>
      <c r="B125" s="932"/>
      <c r="C125" s="932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06">
        <f>'1'!F126</f>
        <v>151398</v>
      </c>
      <c r="F126" s="129">
        <v>151477.72</v>
      </c>
      <c r="G126" s="124">
        <f t="shared" si="12"/>
        <v>79.720000000001164</v>
      </c>
      <c r="H126" s="111">
        <f>G126+'1'!H126</f>
        <v>156.72000000000116</v>
      </c>
      <c r="I126" s="177"/>
      <c r="J126" s="203">
        <f>H126/DAY(B2)</f>
        <v>78.360000000000582</v>
      </c>
      <c r="K126" s="71"/>
      <c r="L126" s="68"/>
      <c r="O126" s="73"/>
    </row>
    <row r="127" spans="1:15" ht="27.75">
      <c r="A127" s="260" t="s">
        <v>233</v>
      </c>
      <c r="B127" s="932"/>
      <c r="C127" s="932"/>
      <c r="D127" s="174" t="s">
        <v>140</v>
      </c>
      <c r="E127" s="106">
        <f>'1'!F127</f>
        <v>33334</v>
      </c>
      <c r="F127" s="277">
        <v>33377.699999999997</v>
      </c>
      <c r="G127" s="124">
        <f t="shared" si="12"/>
        <v>43.69999999999709</v>
      </c>
      <c r="H127" s="111">
        <f>G127+'1'!H127</f>
        <v>89.69999999999709</v>
      </c>
      <c r="I127" s="177"/>
      <c r="J127" s="203">
        <f>H127/DAY(B2)</f>
        <v>44.849999999998545</v>
      </c>
      <c r="K127" s="71"/>
      <c r="L127" s="68"/>
      <c r="O127" s="73"/>
    </row>
    <row r="128" spans="1:15" ht="27.75">
      <c r="A128" s="260" t="s">
        <v>234</v>
      </c>
      <c r="B128" s="932"/>
      <c r="C128" s="932"/>
      <c r="D128" s="174" t="s">
        <v>140</v>
      </c>
      <c r="E128" s="106">
        <f>'1'!F128</f>
        <v>9115</v>
      </c>
      <c r="F128" s="277">
        <v>9117.6</v>
      </c>
      <c r="G128" s="124">
        <f t="shared" si="12"/>
        <v>2.6000000000003638</v>
      </c>
      <c r="H128" s="111">
        <f>G128+'1'!H128</f>
        <v>4.6000000000003638</v>
      </c>
      <c r="I128" s="131"/>
      <c r="J128" s="203">
        <f>H128/DAY(B2)</f>
        <v>2.3000000000001819</v>
      </c>
      <c r="K128" s="71"/>
      <c r="L128" s="68"/>
      <c r="O128" s="73"/>
    </row>
    <row r="129" spans="1:15" s="57" customFormat="1" ht="27.75">
      <c r="A129" s="260" t="s">
        <v>235</v>
      </c>
      <c r="B129" s="932"/>
      <c r="C129" s="932"/>
      <c r="D129" s="174"/>
      <c r="E129" s="129"/>
      <c r="F129" s="129"/>
      <c r="G129" s="124">
        <f>G15-SUM(G124:G128)</f>
        <v>530.63000000002467</v>
      </c>
      <c r="H129" s="111">
        <f>G129+'1'!H129</f>
        <v>912.27000000003864</v>
      </c>
      <c r="I129" s="131"/>
      <c r="J129" s="203">
        <f>H129/DAY(B2)</f>
        <v>456.13500000001932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31" t="s">
        <v>237</v>
      </c>
      <c r="B131" s="932"/>
      <c r="C131" s="932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>
      <c r="A132" s="931" t="s">
        <v>239</v>
      </c>
      <c r="B132" s="932"/>
      <c r="C132" s="932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>
      <c r="A133" s="931" t="s">
        <v>240</v>
      </c>
      <c r="B133" s="932"/>
      <c r="C133" s="932"/>
      <c r="D133" s="174" t="s">
        <v>238</v>
      </c>
      <c r="E133" s="106">
        <f>'1'!F133</f>
        <v>40619.050000000003</v>
      </c>
      <c r="F133" s="302">
        <v>40619.050000000003</v>
      </c>
      <c r="G133" s="124">
        <f t="shared" si="13"/>
        <v>0</v>
      </c>
      <c r="H133" s="111">
        <f>G133+'1'!H133</f>
        <v>5.0000000002910383E-2</v>
      </c>
      <c r="I133" s="131"/>
      <c r="J133" s="203">
        <f>H133/DAY(B2)</f>
        <v>2.5000000001455192E-2</v>
      </c>
      <c r="O133" s="73"/>
    </row>
    <row r="134" spans="1:15" ht="27.75">
      <c r="A134" s="931" t="s">
        <v>241</v>
      </c>
      <c r="B134" s="932"/>
      <c r="C134" s="932"/>
      <c r="D134" s="174" t="s">
        <v>238</v>
      </c>
      <c r="E134" s="106">
        <f>'1'!F134</f>
        <v>597.17999999999995</v>
      </c>
      <c r="F134" s="302">
        <v>621.21</v>
      </c>
      <c r="G134" s="124">
        <f t="shared" si="13"/>
        <v>24.030000000000086</v>
      </c>
      <c r="H134" s="111">
        <f>G134+'1'!H134</f>
        <v>47.210000000000036</v>
      </c>
      <c r="I134" s="131">
        <f>G133+G134+G135+G136</f>
        <v>30.37000000000387</v>
      </c>
      <c r="J134" s="203">
        <f>H134/DAY(B2)</f>
        <v>23.605000000000018</v>
      </c>
      <c r="O134" s="73"/>
    </row>
    <row r="135" spans="1:15" ht="27.75">
      <c r="A135" s="931" t="s">
        <v>242</v>
      </c>
      <c r="B135" s="932"/>
      <c r="C135" s="932"/>
      <c r="D135" s="174" t="s">
        <v>238</v>
      </c>
      <c r="E135" s="106">
        <f>'1'!F135</f>
        <v>42506.09</v>
      </c>
      <c r="F135" s="302">
        <v>42512.43</v>
      </c>
      <c r="G135" s="124">
        <f t="shared" si="13"/>
        <v>6.3400000000037835</v>
      </c>
      <c r="H135" s="111">
        <f>G135+'1'!H135</f>
        <v>13.430000000000291</v>
      </c>
      <c r="I135" s="131"/>
      <c r="J135" s="203">
        <f>H135/DAY(B2)</f>
        <v>6.7150000000001455</v>
      </c>
      <c r="O135" s="73"/>
    </row>
    <row r="136" spans="1:15" ht="27.75">
      <c r="A136" s="931" t="s">
        <v>243</v>
      </c>
      <c r="B136" s="932"/>
      <c r="C136" s="932"/>
      <c r="D136" s="174" t="s">
        <v>238</v>
      </c>
      <c r="E136" s="106">
        <f>'1'!F136</f>
        <v>32874.050000000003</v>
      </c>
      <c r="F136" s="302">
        <v>32874.050000000003</v>
      </c>
      <c r="G136" s="124">
        <f t="shared" si="13"/>
        <v>0</v>
      </c>
      <c r="H136" s="111">
        <f>G136+'1'!H136</f>
        <v>5.0000000002910383E-2</v>
      </c>
      <c r="I136" s="131"/>
      <c r="J136" s="203">
        <f>H136/DAY(B2)</f>
        <v>2.5000000001455192E-2</v>
      </c>
      <c r="O136" s="73"/>
    </row>
    <row r="137" spans="1:15" ht="27.75">
      <c r="A137" s="931" t="s">
        <v>244</v>
      </c>
      <c r="B137" s="932"/>
      <c r="C137" s="932"/>
      <c r="D137" s="174" t="s">
        <v>238</v>
      </c>
      <c r="E137" s="106">
        <f>'1'!F137</f>
        <v>23113.35</v>
      </c>
      <c r="F137" s="302">
        <v>23123.18</v>
      </c>
      <c r="G137" s="124">
        <f t="shared" si="13"/>
        <v>9.8300000000017462</v>
      </c>
      <c r="H137" s="111">
        <f>G137+'1'!H137</f>
        <v>16.619999999998981</v>
      </c>
      <c r="I137" s="131"/>
      <c r="J137" s="203">
        <f>H137/DAY(B2)</f>
        <v>8.3099999999994907</v>
      </c>
      <c r="O137" s="73"/>
    </row>
    <row r="138" spans="1:15" ht="27.75">
      <c r="A138" s="931" t="s">
        <v>245</v>
      </c>
      <c r="B138" s="932"/>
      <c r="C138" s="932"/>
      <c r="D138" s="174" t="s">
        <v>238</v>
      </c>
      <c r="E138" s="106">
        <f>'1'!F138</f>
        <v>25119.45</v>
      </c>
      <c r="F138" s="302">
        <v>25119.45</v>
      </c>
      <c r="G138" s="124">
        <f t="shared" si="13"/>
        <v>0</v>
      </c>
      <c r="H138" s="111">
        <f>G138+'1'!H138</f>
        <v>0</v>
      </c>
      <c r="I138" s="131"/>
      <c r="J138" s="203">
        <f>H138/DAY(B2)</f>
        <v>0</v>
      </c>
      <c r="O138" s="73"/>
    </row>
    <row r="139" spans="1:15" ht="27.75">
      <c r="A139" s="931" t="s">
        <v>246</v>
      </c>
      <c r="B139" s="932"/>
      <c r="C139" s="932"/>
      <c r="D139" s="174" t="s">
        <v>238</v>
      </c>
      <c r="E139" s="106">
        <f>'1'!F139</f>
        <v>70516.600000000006</v>
      </c>
      <c r="F139" s="302">
        <v>70516.600000000006</v>
      </c>
      <c r="G139" s="124">
        <f t="shared" si="13"/>
        <v>0</v>
      </c>
      <c r="H139" s="111">
        <f>G139+'1'!H139</f>
        <v>0</v>
      </c>
      <c r="I139" s="131">
        <f>G137+G138+G139</f>
        <v>9.8300000000017462</v>
      </c>
      <c r="J139" s="203">
        <f>H139/DAY(B2)</f>
        <v>0</v>
      </c>
      <c r="O139" s="73"/>
    </row>
    <row r="140" spans="1:15" ht="27.75">
      <c r="A140" s="931" t="s">
        <v>247</v>
      </c>
      <c r="B140" s="932"/>
      <c r="C140" s="932"/>
      <c r="D140" s="174" t="s">
        <v>238</v>
      </c>
      <c r="E140" s="106">
        <f>'1'!F140</f>
        <v>2321.5300000000002</v>
      </c>
      <c r="F140" s="129">
        <v>2331.33</v>
      </c>
      <c r="G140" s="124">
        <f t="shared" si="13"/>
        <v>9.7999999999997272</v>
      </c>
      <c r="H140" s="111">
        <f>G140+'1'!H140</f>
        <v>19.769999999999982</v>
      </c>
      <c r="I140" s="193"/>
      <c r="J140" s="203">
        <f>H140/DAY(B2)</f>
        <v>9.8849999999999909</v>
      </c>
      <c r="O140" s="73"/>
    </row>
    <row r="141" spans="1:15" ht="27.75">
      <c r="A141" s="931" t="s">
        <v>248</v>
      </c>
      <c r="B141" s="932"/>
      <c r="C141" s="932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9.7999999999997272</v>
      </c>
      <c r="J141" s="203">
        <f>H141/DAY(B2)</f>
        <v>-0.16499999999996362</v>
      </c>
      <c r="O141" s="73"/>
    </row>
    <row r="142" spans="1:15">
      <c r="A142" s="1203" t="s">
        <v>249</v>
      </c>
      <c r="B142" s="1204"/>
      <c r="C142" s="93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5602.3800000000047</v>
      </c>
      <c r="H143" s="111">
        <f>G143+'1'!H143</f>
        <v>11408.749999999942</v>
      </c>
      <c r="I143" s="131"/>
      <c r="J143" s="203">
        <f>H143/DAY(B2)</f>
        <v>5704.3749999999709</v>
      </c>
      <c r="K143" s="71"/>
      <c r="L143" s="68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0.25773141809830841</v>
      </c>
      <c r="H144" s="111">
        <f>G144+'1'!H144</f>
        <v>0.51633399318113471</v>
      </c>
      <c r="I144" s="195"/>
      <c r="J144" s="203">
        <f>H144/DAY(B2)</f>
        <v>0.25816699659056735</v>
      </c>
      <c r="K144" s="71"/>
      <c r="L144" s="68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6598.5900000000111</v>
      </c>
      <c r="H145" s="111">
        <f>G145+'1'!H145</f>
        <v>12994.330000000031</v>
      </c>
      <c r="I145" s="131"/>
      <c r="J145" s="203">
        <f>H145/DAY(B2)</f>
        <v>6497.1650000000154</v>
      </c>
      <c r="K145" s="71"/>
      <c r="L145" s="68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0.30356097911054203</v>
      </c>
      <c r="H146" s="111">
        <f>G146+'1'!H146</f>
        <v>0.58841275975150342</v>
      </c>
      <c r="I146" s="195"/>
      <c r="J146" s="203">
        <f>H146/DAY(B2)</f>
        <v>0.29420637987575171</v>
      </c>
      <c r="K146" s="71"/>
      <c r="L146" s="68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3764.6800000000512</v>
      </c>
      <c r="H147" s="111">
        <f>G147+'1'!H147</f>
        <v>7521.2600000000675</v>
      </c>
      <c r="I147" s="196"/>
      <c r="J147" s="203">
        <f>H147/DAY(B2)</f>
        <v>3760.6300000000338</v>
      </c>
      <c r="K147" s="71"/>
      <c r="L147" s="68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0.1731900219346692</v>
      </c>
      <c r="H148" s="111">
        <f>G148+'1'!H148</f>
        <v>0.34049959082274528</v>
      </c>
      <c r="I148" s="196"/>
      <c r="J148" s="203">
        <f>H148/DAY(B2)</f>
        <v>0.17024979541137264</v>
      </c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1664.9200000000128</v>
      </c>
      <c r="H149" s="111">
        <f>G149+'1'!H149</f>
        <v>3404.2900000000081</v>
      </c>
      <c r="I149" s="131"/>
      <c r="J149" s="203">
        <f>H149/DAY(B2)</f>
        <v>1702.1450000000041</v>
      </c>
      <c r="K149" s="72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7.6592839582505748E-2</v>
      </c>
      <c r="H150" s="111">
        <f>G150+'1'!H150</f>
        <v>0.15406044171978245</v>
      </c>
      <c r="I150" s="196"/>
      <c r="J150" s="203">
        <f>H150/DAY(B2)</f>
        <v>7.7030220859891224E-2</v>
      </c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1668.7699999999822</v>
      </c>
      <c r="H151" s="111">
        <f>G151+'1'!H151</f>
        <v>3957.8399999999529</v>
      </c>
      <c r="I151" s="196"/>
      <c r="J151" s="203">
        <f>H151/DAY(B2)</f>
        <v>1978.9199999999764</v>
      </c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7.6769954658539613E-2</v>
      </c>
      <c r="H152" s="111">
        <f>G152+'1'!H152</f>
        <v>0.17871995036064681</v>
      </c>
      <c r="I152" s="131"/>
      <c r="J152" s="203">
        <f>H152/DAY(B2)</f>
        <v>8.9359975180323403E-2</v>
      </c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1604.8199999999779</v>
      </c>
      <c r="H153" s="111">
        <f>G153+'1'!H153</f>
        <v>3256.4199999999837</v>
      </c>
      <c r="I153" s="131"/>
      <c r="J153" s="203">
        <f>H153/DAY(B2)</f>
        <v>1628.2099999999919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7.3828004239719774E-2</v>
      </c>
      <c r="H154" s="111">
        <f>G154+'1'!H154</f>
        <v>0.14738652927460422</v>
      </c>
      <c r="I154" s="219"/>
      <c r="J154" s="220">
        <f>H154/DAY(B2)</f>
        <v>7.3693264637302108E-2</v>
      </c>
      <c r="O154" s="73"/>
    </row>
    <row r="155" spans="1:1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>
      <c r="A158" s="1241" t="s">
        <v>266</v>
      </c>
      <c r="B158" s="1242"/>
      <c r="C158" s="1242"/>
      <c r="D158" s="1242"/>
      <c r="E158" s="1242"/>
      <c r="F158" s="1242"/>
      <c r="G158" s="1243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'1'!F161</f>
        <v>43409.7</v>
      </c>
      <c r="F161" s="309">
        <v>43489.59</v>
      </c>
      <c r="G161" s="124">
        <f t="shared" ref="G161:G176" si="14">F161-E161</f>
        <v>79.889999999999418</v>
      </c>
    </row>
    <row r="162" spans="1:15">
      <c r="A162" s="435" t="s">
        <v>263</v>
      </c>
      <c r="B162" s="436"/>
      <c r="C162" s="436"/>
      <c r="D162" s="162" t="s">
        <v>186</v>
      </c>
      <c r="E162" s="106">
        <f>'1'!F162</f>
        <v>122543.64</v>
      </c>
      <c r="F162" s="309">
        <v>123006</v>
      </c>
      <c r="G162" s="124">
        <f t="shared" si="14"/>
        <v>462.36000000000058</v>
      </c>
    </row>
    <row r="163" spans="1:15">
      <c r="A163" s="435" t="s">
        <v>264</v>
      </c>
      <c r="B163" s="436"/>
      <c r="C163" s="436"/>
      <c r="D163" s="162" t="s">
        <v>186</v>
      </c>
      <c r="E163" s="106">
        <f>'1'!F163</f>
        <v>67696</v>
      </c>
      <c r="F163" s="309">
        <v>67898.289999999994</v>
      </c>
      <c r="G163" s="124">
        <f t="shared" si="14"/>
        <v>202.2899999999936</v>
      </c>
    </row>
    <row r="164" spans="1:15">
      <c r="A164" s="435" t="s">
        <v>265</v>
      </c>
      <c r="B164" s="436"/>
      <c r="C164" s="436"/>
      <c r="D164" s="162" t="s">
        <v>186</v>
      </c>
      <c r="E164" s="106">
        <f>'1'!F164</f>
        <v>7148.7</v>
      </c>
      <c r="F164" s="309">
        <v>7161.72</v>
      </c>
      <c r="G164" s="124">
        <f t="shared" si="14"/>
        <v>13.020000000000437</v>
      </c>
    </row>
    <row r="165" spans="1:15">
      <c r="A165" s="437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'1'!F166</f>
        <v>0</v>
      </c>
      <c r="F166" s="165">
        <f t="shared" ref="F166:F172" si="15">F63</f>
        <v>0</v>
      </c>
      <c r="G166" s="124">
        <f t="shared" si="14"/>
        <v>0</v>
      </c>
    </row>
    <row r="167" spans="1:15" ht="27.75">
      <c r="A167" s="1187" t="s">
        <v>98</v>
      </c>
      <c r="B167" s="1187"/>
      <c r="C167" s="1187"/>
      <c r="D167" s="174" t="s">
        <v>186</v>
      </c>
      <c r="E167" s="106">
        <f>'1'!F167</f>
        <v>182253.69</v>
      </c>
      <c r="F167" s="165">
        <f t="shared" si="15"/>
        <v>182632.63</v>
      </c>
      <c r="G167" s="124">
        <f t="shared" si="14"/>
        <v>378.94000000000233</v>
      </c>
    </row>
    <row r="168" spans="1:15" ht="27.75">
      <c r="A168" s="1187" t="s">
        <v>99</v>
      </c>
      <c r="B168" s="1187"/>
      <c r="C168" s="1187"/>
      <c r="D168" s="174" t="s">
        <v>186</v>
      </c>
      <c r="E168" s="106">
        <f>'1'!F168</f>
        <v>182588.01</v>
      </c>
      <c r="F168" s="165">
        <f t="shared" si="15"/>
        <v>182984.51</v>
      </c>
      <c r="G168" s="124">
        <f t="shared" si="14"/>
        <v>396.5</v>
      </c>
    </row>
    <row r="169" spans="1:15" ht="27.75">
      <c r="A169" s="1187" t="s">
        <v>100</v>
      </c>
      <c r="B169" s="1187"/>
      <c r="C169" s="1187"/>
      <c r="D169" s="174" t="s">
        <v>186</v>
      </c>
      <c r="E169" s="106">
        <f>'1'!F169</f>
        <v>81077.23</v>
      </c>
      <c r="F169" s="165">
        <f t="shared" si="15"/>
        <v>81494.259999999995</v>
      </c>
      <c r="G169" s="124">
        <f t="shared" si="14"/>
        <v>417.02999999999884</v>
      </c>
    </row>
    <row r="170" spans="1:15" ht="27.75">
      <c r="A170" s="1187" t="s">
        <v>101</v>
      </c>
      <c r="B170" s="1187"/>
      <c r="C170" s="1187"/>
      <c r="D170" s="174" t="s">
        <v>186</v>
      </c>
      <c r="E170" s="106">
        <f>'1'!F170</f>
        <v>280559.8</v>
      </c>
      <c r="F170" s="165">
        <f t="shared" si="15"/>
        <v>281037.67</v>
      </c>
      <c r="G170" s="124">
        <f t="shared" si="14"/>
        <v>477.86999999999534</v>
      </c>
    </row>
    <row r="171" spans="1:15" ht="27.75">
      <c r="A171" s="1187" t="s">
        <v>102</v>
      </c>
      <c r="B171" s="1187"/>
      <c r="C171" s="1187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>
      <c r="A172" s="1187" t="s">
        <v>103</v>
      </c>
      <c r="B172" s="1187"/>
      <c r="C172" s="1187"/>
      <c r="D172" s="174" t="s">
        <v>186</v>
      </c>
      <c r="E172" s="106">
        <f>'1'!F172</f>
        <v>96882.53</v>
      </c>
      <c r="F172" s="165">
        <f t="shared" si="15"/>
        <v>97201.01</v>
      </c>
      <c r="G172" s="124">
        <f t="shared" si="14"/>
        <v>318.47999999999593</v>
      </c>
    </row>
    <row r="173" spans="1:15" ht="27.75">
      <c r="A173" s="1133"/>
      <c r="B173" s="1153"/>
      <c r="C173" s="1154"/>
      <c r="D173" s="174"/>
      <c r="E173" s="106"/>
      <c r="F173" s="1157"/>
      <c r="G173" s="124"/>
    </row>
    <row r="174" spans="1:15" ht="21.95" customHeight="1">
      <c r="A174" s="1228" t="s">
        <v>338</v>
      </c>
      <c r="B174" s="1191"/>
      <c r="C174" s="435"/>
      <c r="D174" s="1123" t="s">
        <v>186</v>
      </c>
      <c r="E174" s="106">
        <f>'1'!F174</f>
        <v>19136.2</v>
      </c>
      <c r="F174" s="1158">
        <v>19140.8</v>
      </c>
      <c r="G174" s="124">
        <f t="shared" si="14"/>
        <v>4.5999999999985448</v>
      </c>
      <c r="O174" s="68"/>
    </row>
    <row r="175" spans="1:15" ht="21.95" customHeight="1">
      <c r="A175" s="1228" t="s">
        <v>338</v>
      </c>
      <c r="B175" s="1191"/>
      <c r="C175" s="105"/>
      <c r="D175" s="1123" t="s">
        <v>186</v>
      </c>
      <c r="E175" s="106">
        <f>'1'!F175</f>
        <v>70535.899999999994</v>
      </c>
      <c r="F175" s="1158">
        <v>70543.399999999994</v>
      </c>
      <c r="G175" s="124">
        <f t="shared" si="14"/>
        <v>7.5</v>
      </c>
      <c r="O175" s="68"/>
    </row>
    <row r="176" spans="1:15" ht="21.95" customHeight="1">
      <c r="A176" s="1228" t="s">
        <v>339</v>
      </c>
      <c r="B176" s="1191"/>
      <c r="C176" s="105"/>
      <c r="D176" s="1123" t="s">
        <v>186</v>
      </c>
      <c r="E176" s="106">
        <f>'1'!F176</f>
        <v>27798.9</v>
      </c>
      <c r="F176" s="1158">
        <v>27804.7</v>
      </c>
      <c r="G176" s="124">
        <f t="shared" si="14"/>
        <v>5.7999999999992724</v>
      </c>
      <c r="O176" s="68"/>
    </row>
    <row r="177" ht="18.75" customHeight="1"/>
    <row r="178" ht="18.75" customHeight="1"/>
    <row r="179" ht="18.75" customHeight="1"/>
    <row r="180" ht="18.75" customHeight="1"/>
    <row r="181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4" zoomScale="55" zoomScaleSheetLayoutView="55" workbookViewId="0">
      <selection activeCell="F24" sqref="F24"/>
    </sheetView>
  </sheetViews>
  <sheetFormatPr defaultColWidth="22.33203125" defaultRowHeight="29.2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357</v>
      </c>
      <c r="B2" s="682">
        <v>44411</v>
      </c>
      <c r="C2" s="933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33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33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106">
        <f>'2'!F7</f>
        <v>651863.15</v>
      </c>
      <c r="F7" s="106">
        <v>673264.87</v>
      </c>
      <c r="G7" s="340">
        <f>F7-E7</f>
        <v>21401.719999999972</v>
      </c>
      <c r="H7" s="330">
        <f>G7+'2'!H7</f>
        <v>65591.87</v>
      </c>
      <c r="I7" s="331">
        <f>'[1]1'!I7</f>
        <v>12000</v>
      </c>
      <c r="J7" s="332">
        <f>H7/DAY(B2)</f>
        <v>21863.956666666665</v>
      </c>
      <c r="K7" s="200"/>
      <c r="L7" s="68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106">
        <f>'2'!F8</f>
        <v>659998.75</v>
      </c>
      <c r="F8" s="126">
        <v>681487.57</v>
      </c>
      <c r="G8" s="340">
        <f>F8-E8</f>
        <v>21488.819999999949</v>
      </c>
      <c r="H8" s="330">
        <f>G8+'2'!H8</f>
        <v>65890.569999999949</v>
      </c>
      <c r="I8" s="337">
        <v>12000</v>
      </c>
      <c r="J8" s="332">
        <f>H8/DAY(B2)</f>
        <v>21963.523333333316</v>
      </c>
      <c r="K8" s="200"/>
      <c r="L8" s="78"/>
      <c r="M8" s="91"/>
      <c r="O8" s="73"/>
    </row>
    <row r="9" spans="1:15">
      <c r="A9" s="338" t="s">
        <v>133</v>
      </c>
      <c r="B9" s="339"/>
      <c r="C9" s="339"/>
      <c r="D9" s="288" t="s">
        <v>131</v>
      </c>
      <c r="E9" s="106">
        <f>'2'!F9</f>
        <v>2739450.7</v>
      </c>
      <c r="F9" s="129">
        <v>2760144.5</v>
      </c>
      <c r="G9" s="353">
        <f t="shared" ref="G9:G12" si="0">F9-E9</f>
        <v>20693.799999999814</v>
      </c>
      <c r="H9" s="330">
        <f>G9+'2'!H9</f>
        <v>63509.5</v>
      </c>
      <c r="I9" s="341">
        <f>I8-J8</f>
        <v>-9963.5233333333163</v>
      </c>
      <c r="J9" s="332">
        <f>H9/DAY(B2)</f>
        <v>21169.833333333332</v>
      </c>
      <c r="K9" s="81"/>
      <c r="L9" s="68"/>
      <c r="O9" s="73"/>
    </row>
    <row r="10" spans="1:15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708.37000000015905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>
      <c r="A13" s="343" t="s">
        <v>137</v>
      </c>
      <c r="B13" s="344"/>
      <c r="C13" s="344"/>
      <c r="D13" s="288"/>
      <c r="E13" s="284"/>
      <c r="F13" s="106"/>
      <c r="G13" s="345">
        <f>G9+G10+G11+G12</f>
        <v>20693.349999999813</v>
      </c>
      <c r="H13" s="330">
        <f>G13+'2'!H13</f>
        <v>41745.050000000003</v>
      </c>
      <c r="I13" s="346">
        <f>G7-G13</f>
        <v>708.37000000015905</v>
      </c>
      <c r="J13" s="332">
        <f>H13/DAY(B2)</f>
        <v>13915.016666666668</v>
      </c>
      <c r="K13" s="81"/>
      <c r="L13" s="68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443" t="s">
        <v>139</v>
      </c>
      <c r="B15" s="438"/>
      <c r="C15" s="438"/>
      <c r="D15" s="175" t="s">
        <v>140</v>
      </c>
      <c r="E15" s="106">
        <f>'2'!F15</f>
        <v>1731254.25</v>
      </c>
      <c r="F15" s="136">
        <v>1732010.135</v>
      </c>
      <c r="G15" s="430">
        <f>F15-E15</f>
        <v>755.88500000000931</v>
      </c>
      <c r="H15" s="330">
        <f>G15+'2'!H15</f>
        <v>2456.1350000000093</v>
      </c>
      <c r="I15" s="125">
        <v>800</v>
      </c>
      <c r="J15" s="204">
        <f>H15/DAY(B2)</f>
        <v>818.71166666666977</v>
      </c>
      <c r="K15" s="81"/>
      <c r="L15" s="68"/>
      <c r="O15" s="73"/>
    </row>
    <row r="16" spans="1:15">
      <c r="A16" s="441"/>
      <c r="B16" s="442"/>
      <c r="C16" s="442"/>
      <c r="D16" s="439"/>
      <c r="E16" s="440"/>
      <c r="F16" s="136"/>
      <c r="G16" s="685"/>
      <c r="H16" s="137"/>
      <c r="I16" s="138">
        <f>I15-J15</f>
        <v>-18.711666666669771</v>
      </c>
      <c r="J16" s="204"/>
      <c r="K16" s="81"/>
      <c r="L16" s="68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48" t="s">
        <v>142</v>
      </c>
      <c r="B18" s="1249"/>
      <c r="C18" s="1250"/>
      <c r="D18" s="288" t="s">
        <v>143</v>
      </c>
      <c r="E18" s="129">
        <v>6</v>
      </c>
      <c r="F18" s="129">
        <v>14</v>
      </c>
      <c r="G18" s="345">
        <f>F18*10</f>
        <v>140</v>
      </c>
      <c r="H18" s="330">
        <f>G18+'2'!H18</f>
        <v>500</v>
      </c>
      <c r="I18" s="331">
        <f>'[1]1'!I18</f>
        <v>65</v>
      </c>
      <c r="J18" s="332">
        <f>H18/DAY(B2)</f>
        <v>166.66666666666666</v>
      </c>
      <c r="K18" s="81"/>
      <c r="L18" s="68"/>
      <c r="O18" s="73"/>
    </row>
    <row r="19" spans="1:15" ht="27.75">
      <c r="A19" s="1248" t="s">
        <v>70</v>
      </c>
      <c r="B19" s="1249"/>
      <c r="C19" s="1250"/>
      <c r="D19" s="288" t="s">
        <v>143</v>
      </c>
      <c r="E19" s="106">
        <f>'2'!F19</f>
        <v>143517</v>
      </c>
      <c r="F19" s="129">
        <v>143573</v>
      </c>
      <c r="G19" s="340">
        <f>F19-E19</f>
        <v>56</v>
      </c>
      <c r="H19" s="330">
        <f>G19+'2'!H19</f>
        <v>183</v>
      </c>
      <c r="I19" s="347"/>
      <c r="J19" s="332">
        <f>H19/DAY(B2)</f>
        <v>61</v>
      </c>
      <c r="K19" s="81"/>
      <c r="L19" s="68"/>
      <c r="O19" s="73"/>
    </row>
    <row r="20" spans="1:15">
      <c r="A20" s="343" t="s">
        <v>144</v>
      </c>
      <c r="B20" s="344"/>
      <c r="C20" s="344"/>
      <c r="D20" s="288"/>
      <c r="E20" s="288"/>
      <c r="F20" s="174"/>
      <c r="G20" s="684">
        <f>G18+G19</f>
        <v>196</v>
      </c>
      <c r="H20" s="330">
        <f>G20+'2'!H20</f>
        <v>683</v>
      </c>
      <c r="I20" s="349">
        <f>I18-J20</f>
        <v>-162.66666666666666</v>
      </c>
      <c r="J20" s="332">
        <f>H20/DAY(B2)</f>
        <v>227.66666666666666</v>
      </c>
      <c r="K20" s="81"/>
      <c r="L20" s="68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31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31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21488.819999999949</v>
      </c>
      <c r="F27" s="152">
        <v>9</v>
      </c>
      <c r="G27" s="153">
        <f>E27*F27</f>
        <v>193399.37999999954</v>
      </c>
      <c r="H27" s="330">
        <f>G27+'2'!H27</f>
        <v>593015.12999999954</v>
      </c>
      <c r="I27" s="154"/>
      <c r="J27" s="203">
        <f>H27/DAY(B2)</f>
        <v>197671.70999999985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755.88500000000931</v>
      </c>
      <c r="F28" s="152">
        <v>54.5</v>
      </c>
      <c r="G28" s="153">
        <f>E28*F28</f>
        <v>41195.732500000508</v>
      </c>
      <c r="H28" s="330">
        <f>G28+'2'!H28</f>
        <v>133859.35750000051</v>
      </c>
      <c r="I28" s="156"/>
      <c r="J28" s="203">
        <f>H28/DAY(B2)</f>
        <v>44619.785833333503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56</v>
      </c>
      <c r="F30" s="152">
        <v>146</v>
      </c>
      <c r="G30" s="153">
        <f>E30*F30</f>
        <v>8176</v>
      </c>
      <c r="H30" s="330">
        <f>G30+'2'!H30</f>
        <v>26718</v>
      </c>
      <c r="I30" s="156"/>
      <c r="J30" s="203">
        <f>H30/DAY(B2)</f>
        <v>8906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G31+'2'!H31</f>
        <v>40000</v>
      </c>
      <c r="I31" s="156"/>
      <c r="J31" s="203">
        <f>H31/DAY(B2)</f>
        <v>13333.333333333334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253971.11250000005</v>
      </c>
      <c r="H32" s="330">
        <f>G32+'2'!H32</f>
        <v>793592.48750000005</v>
      </c>
      <c r="I32" s="160"/>
      <c r="J32" s="203">
        <f>H32/DAY(B2)</f>
        <v>264530.82916666666</v>
      </c>
      <c r="K32" s="65"/>
      <c r="L32" s="94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O33" s="73"/>
    </row>
    <row r="34" spans="1:15">
      <c r="A34" s="249" t="s">
        <v>162</v>
      </c>
      <c r="B34" s="936"/>
      <c r="C34" s="936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'2'!F36</f>
        <v>48079.89</v>
      </c>
      <c r="F36" s="161">
        <v>48882.68</v>
      </c>
      <c r="G36" s="124">
        <f t="shared" si="2"/>
        <v>802.79000000000087</v>
      </c>
      <c r="H36" s="330">
        <f>G36+'2'!H36</f>
        <v>2084.6800000000003</v>
      </c>
      <c r="I36" s="106"/>
      <c r="J36" s="203">
        <f>H36/DAY(B2)</f>
        <v>694.89333333333343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'2'!F37</f>
        <v>229429.55</v>
      </c>
      <c r="F37" s="161">
        <v>231028.65</v>
      </c>
      <c r="G37" s="124">
        <f t="shared" si="2"/>
        <v>1599.1000000000058</v>
      </c>
      <c r="H37" s="330">
        <f>G37+'2'!H37</f>
        <v>4855.6499999999942</v>
      </c>
      <c r="I37" s="106"/>
      <c r="J37" s="203">
        <f>H37/DAY(B2)</f>
        <v>1618.5499999999981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'2'!F38</f>
        <v>251963.29</v>
      </c>
      <c r="F38" s="120">
        <v>253575.69</v>
      </c>
      <c r="G38" s="124">
        <f t="shared" si="2"/>
        <v>1612.3999999999942</v>
      </c>
      <c r="H38" s="330">
        <f>G38+'2'!H38</f>
        <v>5016.6900000000023</v>
      </c>
      <c r="I38" s="106"/>
      <c r="J38" s="203">
        <f>H38/DAY(B2)</f>
        <v>1672.2300000000007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'2'!F39</f>
        <v>528039.67000000004</v>
      </c>
      <c r="F39" s="161">
        <v>531765.94999999995</v>
      </c>
      <c r="G39" s="124">
        <f t="shared" si="2"/>
        <v>3726.2799999999115</v>
      </c>
      <c r="H39" s="330">
        <f>G39+'2'!H39</f>
        <v>11247.949999999953</v>
      </c>
      <c r="I39" s="106"/>
      <c r="J39" s="203">
        <f>H39/DAY(B2)</f>
        <v>3749.3166666666511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'2'!F40</f>
        <v>21156.04</v>
      </c>
      <c r="F40" s="161">
        <v>21545.98</v>
      </c>
      <c r="G40" s="124">
        <f t="shared" si="2"/>
        <v>389.93999999999869</v>
      </c>
      <c r="H40" s="330">
        <f>G40+'2'!H40</f>
        <v>1372.9799999999996</v>
      </c>
      <c r="I40" s="106"/>
      <c r="J40" s="203">
        <f>H40/DAY(B2)</f>
        <v>457.65999999999985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'2'!F41</f>
        <v>366839.55</v>
      </c>
      <c r="F41" s="161">
        <v>367737.47</v>
      </c>
      <c r="G41" s="124">
        <f t="shared" si="2"/>
        <v>897.9199999999837</v>
      </c>
      <c r="H41" s="330">
        <f>G41+'2'!H41</f>
        <v>897.46999999997206</v>
      </c>
      <c r="I41" s="106"/>
      <c r="J41" s="203">
        <f>H41/DAY(B2)</f>
        <v>299.15666666665737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'2'!F42</f>
        <v>125908.48</v>
      </c>
      <c r="F42" s="161">
        <v>131346.12</v>
      </c>
      <c r="G42" s="124">
        <f>F42-E42</f>
        <v>5437.6399999999994</v>
      </c>
      <c r="H42" s="330">
        <f>G42+'2'!H42</f>
        <v>15834.119999999995</v>
      </c>
      <c r="I42" s="106"/>
      <c r="J42" s="203">
        <f>H42/DAY(B2)</f>
        <v>5278.0399999999981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'2'!F43</f>
        <v>1209688.2</v>
      </c>
      <c r="F43" s="161">
        <v>1212359.8</v>
      </c>
      <c r="G43" s="124">
        <f t="shared" si="2"/>
        <v>2671.6000000000931</v>
      </c>
      <c r="H43" s="330">
        <f>G43+'2'!H43</f>
        <v>7898.8000000000466</v>
      </c>
      <c r="I43" s="106"/>
      <c r="J43" s="203">
        <f>H43/DAY(B2)</f>
        <v>2632.9333333333489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17938.669999999987</v>
      </c>
      <c r="H47" s="330">
        <f>G47+'2'!H47</f>
        <v>50009.339999999967</v>
      </c>
      <c r="I47" s="106"/>
      <c r="J47" s="203">
        <f>H47/DAY(B2)</f>
        <v>16669.779999999988</v>
      </c>
      <c r="K47" s="81"/>
      <c r="L47" s="68"/>
      <c r="N47" s="73"/>
      <c r="O47" s="73"/>
    </row>
    <row r="48" spans="1:15">
      <c r="A48" s="249" t="s">
        <v>176</v>
      </c>
      <c r="B48" s="936"/>
      <c r="C48" s="936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'2'!F49</f>
        <v>330269.55</v>
      </c>
      <c r="F49" s="161">
        <v>333234.45</v>
      </c>
      <c r="G49" s="124">
        <f t="shared" ref="G49:G58" si="3">F49-E49</f>
        <v>2964.9000000000233</v>
      </c>
      <c r="H49" s="330">
        <f>G49+'2'!H49</f>
        <v>9146.4500000000116</v>
      </c>
      <c r="I49" s="106"/>
      <c r="J49" s="203">
        <f>H49/DAY(B2)</f>
        <v>3048.8166666666707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'2'!F50</f>
        <v>572600.94999999995</v>
      </c>
      <c r="F50" s="161">
        <v>573559.87</v>
      </c>
      <c r="G50" s="124">
        <f t="shared" si="3"/>
        <v>958.92000000004191</v>
      </c>
      <c r="H50" s="330">
        <f>G50+'2'!H50</f>
        <v>3634.8699999999953</v>
      </c>
      <c r="I50" s="106"/>
      <c r="J50" s="203">
        <f>H50/DAY(B2)</f>
        <v>1211.6233333333319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'2'!F51</f>
        <v>144639.87</v>
      </c>
      <c r="F51" s="161">
        <v>144639.87</v>
      </c>
      <c r="G51" s="124">
        <f t="shared" si="3"/>
        <v>0</v>
      </c>
      <c r="H51" s="330">
        <f>G51+'2'!H51</f>
        <v>-0.13000000000465661</v>
      </c>
      <c r="I51" s="106"/>
      <c r="J51" s="203">
        <f>H51/DAY(B2)</f>
        <v>-4.3333333334885538E-2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'2'!F52</f>
        <v>539606</v>
      </c>
      <c r="F52" s="161">
        <v>539606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'2'!F53</f>
        <v>434231.59</v>
      </c>
      <c r="F53" s="161">
        <v>434231.59</v>
      </c>
      <c r="G53" s="124">
        <f t="shared" si="3"/>
        <v>0</v>
      </c>
      <c r="H53" s="330">
        <f>G53+'2'!H53</f>
        <v>-0.40999999997438863</v>
      </c>
      <c r="I53" s="106"/>
      <c r="J53" s="203">
        <f>H53/DAY(B2)</f>
        <v>-0.13666666665812954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'2'!F54</f>
        <v>14967</v>
      </c>
      <c r="F54" s="304">
        <v>14967</v>
      </c>
      <c r="G54" s="124">
        <f t="shared" si="3"/>
        <v>0</v>
      </c>
      <c r="H54" s="330">
        <f>G54+'2'!H54</f>
        <v>0</v>
      </c>
      <c r="I54" s="106"/>
      <c r="J54" s="203">
        <f>H54/DAY(B2)</f>
        <v>0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'2'!F55</f>
        <v>238249.99</v>
      </c>
      <c r="F55" s="304">
        <v>238749.99</v>
      </c>
      <c r="G55" s="124">
        <f t="shared" si="3"/>
        <v>500</v>
      </c>
      <c r="H55" s="330">
        <f>G55+'2'!H55</f>
        <v>3075.9899999999907</v>
      </c>
      <c r="I55" s="106"/>
      <c r="J55" s="203">
        <f>H55/DAY(B2)</f>
        <v>1025.329999999997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'2'!F56</f>
        <v>649383.31000000006</v>
      </c>
      <c r="F56" s="304">
        <v>649393.75</v>
      </c>
      <c r="G56" s="124">
        <f t="shared" si="3"/>
        <v>10.439999999944121</v>
      </c>
      <c r="H56" s="330">
        <f>G56+'2'!H56</f>
        <v>32.75</v>
      </c>
      <c r="I56" s="106"/>
      <c r="J56" s="203">
        <f>H56/DAY(B2)</f>
        <v>10.916666666666666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'2'!F58</f>
        <v>60115.59</v>
      </c>
      <c r="F58" s="304">
        <v>60321.59</v>
      </c>
      <c r="G58" s="124">
        <f t="shared" si="3"/>
        <v>206</v>
      </c>
      <c r="H58" s="330">
        <f>G58+'2'!H58</f>
        <v>642.58999999999651</v>
      </c>
      <c r="I58" s="106"/>
      <c r="J58" s="203">
        <f>H58/DAY(B2)</f>
        <v>214.19666666666549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4640.2600000000093</v>
      </c>
      <c r="H59" s="330">
        <f>G59+'2'!H59</f>
        <v>16532.110000000015</v>
      </c>
      <c r="I59" s="106">
        <f>G7-G60</f>
        <v>-1177.2100000000246</v>
      </c>
      <c r="J59" s="203">
        <f>H59/DAY(B2)</f>
        <v>5510.7033333333384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22578.929999999997</v>
      </c>
      <c r="H60" s="330">
        <f>G60+'2'!H60</f>
        <v>66541.449999999983</v>
      </c>
      <c r="I60" s="106">
        <f>G13-G60</f>
        <v>-1885.5800000001836</v>
      </c>
      <c r="J60" s="203">
        <f>H60/DAY(B2)</f>
        <v>22180.483333333326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06">
        <f>'2'!F64</f>
        <v>182632.63</v>
      </c>
      <c r="F64" s="129">
        <v>182982.32</v>
      </c>
      <c r="G64" s="124">
        <f t="shared" si="4"/>
        <v>349.69000000000233</v>
      </c>
      <c r="H64" s="330">
        <f>G64+'2'!H64</f>
        <v>1122.320000000007</v>
      </c>
      <c r="I64" s="131"/>
      <c r="J64" s="203">
        <f>H64/DAY(B2)</f>
        <v>374.10666666666901</v>
      </c>
      <c r="K64" s="81"/>
      <c r="L64" s="68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06">
        <f>'2'!F65</f>
        <v>182984.51</v>
      </c>
      <c r="F65" s="302">
        <v>183386.09</v>
      </c>
      <c r="G65" s="124">
        <f t="shared" si="4"/>
        <v>401.57999999998719</v>
      </c>
      <c r="H65" s="330">
        <f>G65+'2'!H65</f>
        <v>1177.0899999999965</v>
      </c>
      <c r="I65" s="140"/>
      <c r="J65" s="203">
        <f>H65/DAY(B2)</f>
        <v>392.36333333333215</v>
      </c>
      <c r="K65" s="81"/>
      <c r="L65" s="68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06">
        <f>'2'!F66</f>
        <v>81494.259999999995</v>
      </c>
      <c r="F66" s="129">
        <v>81890.31</v>
      </c>
      <c r="G66" s="124">
        <f t="shared" si="4"/>
        <v>396.05000000000291</v>
      </c>
      <c r="H66" s="330">
        <f>G66+'2'!H66</f>
        <v>1218.3099999999977</v>
      </c>
      <c r="I66" s="131"/>
      <c r="J66" s="203">
        <f>H66/DAY(B2)</f>
        <v>406.10333333333256</v>
      </c>
      <c r="K66" s="81"/>
      <c r="L66" s="68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06">
        <f>'2'!F67</f>
        <v>281037.67</v>
      </c>
      <c r="F67" s="129">
        <v>281506.11</v>
      </c>
      <c r="G67" s="124">
        <f t="shared" si="4"/>
        <v>468.44000000000233</v>
      </c>
      <c r="H67" s="330">
        <f>G67+'2'!H67</f>
        <v>1448.109999999986</v>
      </c>
      <c r="I67" s="140"/>
      <c r="J67" s="203">
        <f>H67/DAY(B2)</f>
        <v>482.70333333332866</v>
      </c>
      <c r="K67" s="82"/>
      <c r="L67" s="68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06">
        <f>'2'!F69</f>
        <v>97201.01</v>
      </c>
      <c r="F69" s="129">
        <v>97500.07</v>
      </c>
      <c r="G69" s="124">
        <f t="shared" si="4"/>
        <v>299.06000000001222</v>
      </c>
      <c r="H69" s="330">
        <f>G69+'2'!H69</f>
        <v>943.07000000000698</v>
      </c>
      <c r="I69" s="167"/>
      <c r="J69" s="203">
        <f>H69/DAY(B2)</f>
        <v>314.35666666666901</v>
      </c>
      <c r="K69" s="84"/>
      <c r="L69" s="68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06">
        <f>'2'!F72</f>
        <v>856635</v>
      </c>
      <c r="F72" s="305">
        <v>856649</v>
      </c>
      <c r="G72" s="124">
        <f t="shared" ref="G72:G84" si="5">F72-E72</f>
        <v>14</v>
      </c>
      <c r="H72" s="330">
        <f>G72+'2'!H72</f>
        <v>40</v>
      </c>
      <c r="I72" s="131"/>
      <c r="J72" s="203">
        <f>H72/DAY(B2)</f>
        <v>13.333333333333334</v>
      </c>
      <c r="K72" s="84"/>
      <c r="L72" s="68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06">
        <f>'2'!F73</f>
        <v>886016</v>
      </c>
      <c r="F73" s="306">
        <v>886017</v>
      </c>
      <c r="G73" s="303">
        <f t="shared" si="5"/>
        <v>1</v>
      </c>
      <c r="H73" s="330">
        <f>G73+'2'!H73</f>
        <v>4</v>
      </c>
      <c r="I73" s="131"/>
      <c r="J73" s="203">
        <f>H73/DAY(B2)</f>
        <v>1.3333333333333333</v>
      </c>
      <c r="K73" s="83"/>
      <c r="L73" s="68"/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06">
        <f>'2'!F74</f>
        <v>88736</v>
      </c>
      <c r="F74" s="307">
        <v>88737.2</v>
      </c>
      <c r="G74" s="124">
        <f t="shared" si="5"/>
        <v>1.1999999999970896</v>
      </c>
      <c r="H74" s="330">
        <f>G74+'2'!H74</f>
        <v>4.1999999999970896</v>
      </c>
      <c r="I74" s="131"/>
      <c r="J74" s="203">
        <f>H74/DAY(B2)</f>
        <v>1.3999999999990298</v>
      </c>
      <c r="K74" s="84"/>
      <c r="L74" s="68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06">
        <f>'2'!F75</f>
        <v>21266.36</v>
      </c>
      <c r="F75" s="307">
        <v>21416.04</v>
      </c>
      <c r="G75" s="124">
        <f t="shared" si="5"/>
        <v>149.68000000000029</v>
      </c>
      <c r="H75" s="330">
        <f>G75+'2'!H75</f>
        <v>469.04000000000087</v>
      </c>
      <c r="I75" s="131"/>
      <c r="J75" s="203">
        <f>H75/DAY(B2)</f>
        <v>156.34666666666695</v>
      </c>
      <c r="K75" s="83"/>
      <c r="L75" s="68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06">
        <f>'2'!F76</f>
        <v>11543.14</v>
      </c>
      <c r="F76" s="306">
        <v>11588.32</v>
      </c>
      <c r="G76" s="124">
        <f t="shared" si="5"/>
        <v>45.180000000000291</v>
      </c>
      <c r="H76" s="330">
        <f>G76+'2'!H76</f>
        <v>161.31999999999971</v>
      </c>
      <c r="I76" s="156"/>
      <c r="J76" s="203">
        <f>H76/DAY(B2)</f>
        <v>53.773333333333234</v>
      </c>
      <c r="K76" s="83"/>
      <c r="L76" s="68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06">
        <f>'2'!F77</f>
        <v>706579</v>
      </c>
      <c r="F77" s="306">
        <v>706646</v>
      </c>
      <c r="G77" s="303">
        <f t="shared" si="5"/>
        <v>67</v>
      </c>
      <c r="H77" s="330">
        <f>G77+'2'!H77</f>
        <v>193</v>
      </c>
      <c r="I77" s="156"/>
      <c r="J77" s="203">
        <f>H77/DAY(B2)</f>
        <v>64.333333333333329</v>
      </c>
      <c r="K77" s="83"/>
      <c r="L77" s="68"/>
      <c r="O77" s="73"/>
    </row>
    <row r="78" spans="1:15" ht="27.75">
      <c r="A78" s="934" t="s">
        <v>196</v>
      </c>
      <c r="B78" s="927"/>
      <c r="C78" s="927"/>
      <c r="D78" s="174" t="s">
        <v>186</v>
      </c>
      <c r="E78" s="106">
        <f>'2'!F78</f>
        <v>679101</v>
      </c>
      <c r="F78" s="307">
        <v>679190</v>
      </c>
      <c r="G78" s="124">
        <f t="shared" si="5"/>
        <v>89</v>
      </c>
      <c r="H78" s="330">
        <f>G78+'2'!H78</f>
        <v>337</v>
      </c>
      <c r="I78" s="156"/>
      <c r="J78" s="203">
        <f>H78/DAY(B2)</f>
        <v>112.33333333333333</v>
      </c>
      <c r="K78" s="83"/>
      <c r="L78" s="68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06">
        <f>'2'!F79</f>
        <v>840511</v>
      </c>
      <c r="F79" s="307">
        <v>840659</v>
      </c>
      <c r="G79" s="124">
        <f t="shared" si="5"/>
        <v>148</v>
      </c>
      <c r="H79" s="330">
        <f>G79+'2'!H79</f>
        <v>444</v>
      </c>
      <c r="I79" s="156"/>
      <c r="J79" s="203">
        <f>H79/DAY(B2)</f>
        <v>148</v>
      </c>
      <c r="K79" s="83"/>
      <c r="L79" s="68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06">
        <f>'2'!F80</f>
        <v>552804</v>
      </c>
      <c r="F80" s="306">
        <v>553190.64</v>
      </c>
      <c r="G80" s="124">
        <f t="shared" si="5"/>
        <v>386.64000000001397</v>
      </c>
      <c r="H80" s="330">
        <f>G80+'2'!H80</f>
        <v>1238.640000000014</v>
      </c>
      <c r="I80" s="156"/>
      <c r="J80" s="203">
        <f>H80/DAY(B2)</f>
        <v>412.88000000000466</v>
      </c>
      <c r="K80" s="83"/>
      <c r="L80" s="68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06">
        <f>'2'!F81</f>
        <v>649296.6</v>
      </c>
      <c r="F81" s="306">
        <v>649428.80000000005</v>
      </c>
      <c r="G81" s="124">
        <f t="shared" si="5"/>
        <v>132.20000000006985</v>
      </c>
      <c r="H81" s="330">
        <f>G81+'2'!H81</f>
        <v>410.80000000004657</v>
      </c>
      <c r="I81" s="156"/>
      <c r="J81" s="203">
        <f>H81/DAY(B2)</f>
        <v>136.93333333334886</v>
      </c>
      <c r="K81" s="83"/>
      <c r="L81" s="68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06">
        <f>'2'!F82</f>
        <v>109375.4</v>
      </c>
      <c r="F82" s="302">
        <v>109388.01</v>
      </c>
      <c r="G82" s="124">
        <f t="shared" si="5"/>
        <v>12.610000000000582</v>
      </c>
      <c r="H82" s="330">
        <f>G82+'2'!H82</f>
        <v>52.009999999994761</v>
      </c>
      <c r="I82" s="137"/>
      <c r="J82" s="203">
        <f>H82/DAY(B2)</f>
        <v>17.336666666664922</v>
      </c>
      <c r="K82" s="83"/>
      <c r="L82" s="68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06">
        <f>'2'!F83</f>
        <v>35656</v>
      </c>
      <c r="F83" s="162">
        <v>35984</v>
      </c>
      <c r="G83" s="124">
        <f t="shared" si="5"/>
        <v>328</v>
      </c>
      <c r="H83" s="330">
        <f>G83+'2'!H83</f>
        <v>959</v>
      </c>
      <c r="I83" s="132"/>
      <c r="J83" s="203">
        <f>H83/DAY(B2)</f>
        <v>319.66666666666669</v>
      </c>
      <c r="K83" s="82"/>
      <c r="L83" s="68"/>
      <c r="O83" s="73"/>
    </row>
    <row r="84" spans="1:15">
      <c r="A84" s="935" t="s">
        <v>200</v>
      </c>
      <c r="B84" s="222"/>
      <c r="C84" s="222"/>
      <c r="D84" s="129" t="s">
        <v>131</v>
      </c>
      <c r="E84" s="106">
        <f>'2'!F84</f>
        <v>548984</v>
      </c>
      <c r="F84" s="278">
        <v>549631</v>
      </c>
      <c r="G84" s="124">
        <f t="shared" si="5"/>
        <v>647</v>
      </c>
      <c r="H84" s="330">
        <f>G84+'2'!H84</f>
        <v>2238</v>
      </c>
      <c r="I84" s="132"/>
      <c r="J84" s="203">
        <f>H84/DAY(B2)</f>
        <v>746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2021.5100000000821</v>
      </c>
      <c r="H85" s="330">
        <f>G85+'2'!H85</f>
        <v>6551.010000000053</v>
      </c>
      <c r="I85" s="132"/>
      <c r="J85" s="203">
        <f>H85/DAY(B2)</f>
        <v>2183.6700000000178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'2'!F86</f>
        <v>462948</v>
      </c>
      <c r="F86" s="298">
        <v>462954.52</v>
      </c>
      <c r="G86" s="356">
        <f t="shared" ref="G86:G91" si="6">F86-E86</f>
        <v>6.5200000000186265</v>
      </c>
      <c r="H86" s="330">
        <f>G86+'2'!H86</f>
        <v>447.52000000001863</v>
      </c>
      <c r="I86" s="303"/>
      <c r="J86" s="358">
        <f>H86/DAY(B2)</f>
        <v>149.17333333333954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'2'!F87</f>
        <v>82995.199999999997</v>
      </c>
      <c r="F87" s="298">
        <v>83024</v>
      </c>
      <c r="G87" s="356">
        <f t="shared" si="6"/>
        <v>28.80000000000291</v>
      </c>
      <c r="H87" s="330">
        <f>G87+'2'!H87</f>
        <v>70</v>
      </c>
      <c r="I87" s="303"/>
      <c r="J87" s="358">
        <f>H87/DAY(B2)</f>
        <v>23.333333333333332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'2'!F89</f>
        <v>67166.600000000006</v>
      </c>
      <c r="F89" s="298">
        <v>67200.7</v>
      </c>
      <c r="G89" s="356">
        <f t="shared" si="6"/>
        <v>34.099999999991269</v>
      </c>
      <c r="H89" s="330">
        <f>G89+'2'!H89</f>
        <v>111.69999999999709</v>
      </c>
      <c r="I89" s="303"/>
      <c r="J89" s="358">
        <f>H89/DAY(B2)</f>
        <v>37.233333333332361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'2'!F90</f>
        <v>3469.4</v>
      </c>
      <c r="F90" s="298">
        <v>3472.8</v>
      </c>
      <c r="G90" s="356">
        <f t="shared" si="6"/>
        <v>3.4000000000000909</v>
      </c>
      <c r="H90" s="330">
        <f>G90+'2'!H90</f>
        <v>8.8000000000001819</v>
      </c>
      <c r="I90" s="303"/>
      <c r="J90" s="358">
        <f>H90/DAY(B2)</f>
        <v>2.933333333333394</v>
      </c>
      <c r="K90" s="384" t="e">
        <f t="shared" si="7"/>
        <v>#VALUE!</v>
      </c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106">
        <f>'2'!F91</f>
        <v>28514.77</v>
      </c>
      <c r="F91" s="298">
        <v>28524.59</v>
      </c>
      <c r="G91" s="356">
        <f t="shared" si="6"/>
        <v>9.819999999999709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06">
        <f>'2'!F93</f>
        <v>250531</v>
      </c>
      <c r="F93" s="129">
        <v>250603</v>
      </c>
      <c r="G93" s="124">
        <f t="shared" ref="G93:G94" si="8">F93-E93</f>
        <v>72</v>
      </c>
      <c r="H93" s="330">
        <f>G93+'2'!H93</f>
        <v>289</v>
      </c>
      <c r="I93" s="131"/>
      <c r="J93" s="203">
        <f>H93/DAY(B2)</f>
        <v>96.333333333333329</v>
      </c>
      <c r="K93" s="82"/>
      <c r="L93" s="68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06">
        <f>'2'!F94</f>
        <v>193264</v>
      </c>
      <c r="F94" s="129">
        <v>193395</v>
      </c>
      <c r="G94" s="124">
        <f t="shared" si="8"/>
        <v>131</v>
      </c>
      <c r="H94" s="330">
        <f>G94+'2'!H94</f>
        <v>497</v>
      </c>
      <c r="I94" s="131"/>
      <c r="J94" s="203">
        <f>H94/DAY(B2)</f>
        <v>165.66666666666666</v>
      </c>
      <c r="K94" s="71"/>
      <c r="L94" s="68"/>
      <c r="O94" s="73"/>
    </row>
    <row r="95" spans="1:15">
      <c r="A95" s="1232" t="s">
        <v>207</v>
      </c>
      <c r="B95" s="1233"/>
      <c r="C95" s="1234"/>
      <c r="D95" s="174"/>
      <c r="E95" s="106">
        <f>'2'!F95</f>
        <v>0</v>
      </c>
      <c r="F95" s="129"/>
      <c r="G95" s="124">
        <f>G93+G94</f>
        <v>203</v>
      </c>
      <c r="H95" s="330">
        <f>G95+'2'!H95</f>
        <v>480</v>
      </c>
      <c r="I95" s="131"/>
      <c r="J95" s="203">
        <f>H95/DAY(B2)</f>
        <v>160</v>
      </c>
      <c r="K95" s="71"/>
      <c r="L95" s="68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06">
        <f>'2'!F96</f>
        <v>418674</v>
      </c>
      <c r="F96" s="129">
        <v>418736</v>
      </c>
      <c r="G96" s="124">
        <f t="shared" ref="G96:G101" si="9">F96-E96</f>
        <v>62</v>
      </c>
      <c r="H96" s="330">
        <f>G96+'2'!H96</f>
        <v>200</v>
      </c>
      <c r="I96" s="131"/>
      <c r="J96" s="203">
        <f>H96/DAY(B2)</f>
        <v>66.666666666666671</v>
      </c>
      <c r="K96" s="71"/>
      <c r="L96" s="68"/>
      <c r="O96" s="73"/>
    </row>
    <row r="97" spans="1:15" ht="27.75">
      <c r="A97" s="931" t="s">
        <v>209</v>
      </c>
      <c r="B97" s="932"/>
      <c r="C97" s="932"/>
      <c r="D97" s="174" t="s">
        <v>143</v>
      </c>
      <c r="E97" s="106">
        <f>'2'!F97</f>
        <v>103909</v>
      </c>
      <c r="F97" s="129">
        <v>103930</v>
      </c>
      <c r="G97" s="124">
        <f t="shared" si="9"/>
        <v>21</v>
      </c>
      <c r="H97" s="330">
        <f>G97+'2'!H97</f>
        <v>81</v>
      </c>
      <c r="I97" s="131"/>
      <c r="J97" s="203">
        <f>H97/DAY(B2)</f>
        <v>27</v>
      </c>
      <c r="K97" s="80"/>
      <c r="L97" s="68"/>
      <c r="O97" s="73"/>
    </row>
    <row r="98" spans="1:15" ht="27.75">
      <c r="A98" s="931" t="s">
        <v>210</v>
      </c>
      <c r="B98" s="932"/>
      <c r="C98" s="932"/>
      <c r="D98" s="174" t="s">
        <v>143</v>
      </c>
      <c r="E98" s="106">
        <f>'2'!F98</f>
        <v>99518</v>
      </c>
      <c r="F98" s="129">
        <v>99541</v>
      </c>
      <c r="G98" s="124">
        <f t="shared" si="9"/>
        <v>23</v>
      </c>
      <c r="H98" s="330">
        <f>G98+'2'!H98</f>
        <v>93</v>
      </c>
      <c r="I98" s="131"/>
      <c r="J98" s="203">
        <f>H98/DAY(B2)</f>
        <v>31</v>
      </c>
      <c r="K98" s="85"/>
      <c r="L98" s="68"/>
      <c r="O98" s="73"/>
    </row>
    <row r="99" spans="1:15" ht="27.75">
      <c r="A99" s="931" t="s">
        <v>211</v>
      </c>
      <c r="B99" s="932"/>
      <c r="C99" s="932"/>
      <c r="D99" s="174" t="s">
        <v>143</v>
      </c>
      <c r="E99" s="106">
        <f>'2'!F99</f>
        <v>151302</v>
      </c>
      <c r="F99" s="129">
        <v>151309</v>
      </c>
      <c r="G99" s="124">
        <f t="shared" si="9"/>
        <v>7</v>
      </c>
      <c r="H99" s="330">
        <f>G99+'2'!H99</f>
        <v>58</v>
      </c>
      <c r="I99" s="131"/>
      <c r="J99" s="203">
        <f>H99/DAY(B2)</f>
        <v>19.333333333333332</v>
      </c>
      <c r="K99" s="71"/>
      <c r="L99" s="68"/>
      <c r="O99" s="73"/>
    </row>
    <row r="100" spans="1:15" ht="27.75">
      <c r="A100" s="931" t="s">
        <v>212</v>
      </c>
      <c r="B100" s="932"/>
      <c r="C100" s="932"/>
      <c r="D100" s="174" t="s">
        <v>143</v>
      </c>
      <c r="E100" s="106">
        <f>'2'!F100</f>
        <v>8208</v>
      </c>
      <c r="F100" s="129">
        <v>8219</v>
      </c>
      <c r="G100" s="124">
        <f t="shared" si="9"/>
        <v>11</v>
      </c>
      <c r="H100" s="330">
        <f>G100+'2'!H100</f>
        <v>54</v>
      </c>
      <c r="I100" s="131"/>
      <c r="J100" s="203">
        <f>H100/DAY(B2)</f>
        <v>18</v>
      </c>
      <c r="K100" s="71"/>
      <c r="L100" s="68"/>
      <c r="O100" s="73"/>
    </row>
    <row r="101" spans="1:15" ht="27.75">
      <c r="A101" s="931" t="s">
        <v>213</v>
      </c>
      <c r="B101" s="932"/>
      <c r="C101" s="932"/>
      <c r="D101" s="174" t="s">
        <v>143</v>
      </c>
      <c r="E101" s="106">
        <f>'2'!F101</f>
        <v>6023</v>
      </c>
      <c r="F101" s="129">
        <v>6030</v>
      </c>
      <c r="G101" s="124">
        <f t="shared" si="9"/>
        <v>7</v>
      </c>
      <c r="H101" s="330">
        <f>G101+'2'!H101</f>
        <v>39</v>
      </c>
      <c r="I101" s="131"/>
      <c r="J101" s="203">
        <f>H101/DAY(B2)</f>
        <v>13</v>
      </c>
      <c r="K101" s="71"/>
      <c r="L101" s="68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131</v>
      </c>
      <c r="H102" s="330">
        <f>G102+'2'!H102</f>
        <v>525</v>
      </c>
      <c r="I102" s="177"/>
      <c r="J102" s="203">
        <f>H102/DAY(B2)</f>
        <v>175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35" t="s">
        <v>217</v>
      </c>
      <c r="B104" s="1236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>
      <c r="A105" s="1190" t="s">
        <v>218</v>
      </c>
      <c r="B105" s="1191"/>
      <c r="C105" s="929"/>
      <c r="D105" s="273" t="s">
        <v>143</v>
      </c>
      <c r="E105" s="106">
        <f>'2'!F105</f>
        <v>7637</v>
      </c>
      <c r="F105" s="309">
        <v>7637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>
      <c r="A106" s="1190" t="s">
        <v>76</v>
      </c>
      <c r="B106" s="1191"/>
      <c r="C106" s="929"/>
      <c r="D106" s="273" t="s">
        <v>143</v>
      </c>
      <c r="E106" s="106">
        <f>'2'!F106</f>
        <v>36481</v>
      </c>
      <c r="F106" s="310">
        <v>36491</v>
      </c>
      <c r="G106" s="183">
        <f t="shared" ref="G106:G107" si="10">F106-E106</f>
        <v>10</v>
      </c>
      <c r="H106" s="330">
        <f>G106+'2'!H106</f>
        <v>31</v>
      </c>
      <c r="I106" s="183"/>
      <c r="J106" s="209">
        <f>H106/DAY(B2)</f>
        <v>10.333333333333334</v>
      </c>
      <c r="O106" s="73"/>
    </row>
    <row r="107" spans="1:15" s="93" customFormat="1" ht="27.75">
      <c r="A107" s="1190" t="s">
        <v>77</v>
      </c>
      <c r="B107" s="1246"/>
      <c r="C107" s="1191"/>
      <c r="D107" s="273" t="s">
        <v>143</v>
      </c>
      <c r="E107" s="106">
        <f>'2'!F107</f>
        <v>19972</v>
      </c>
      <c r="F107" s="310">
        <v>19978</v>
      </c>
      <c r="G107" s="183">
        <f t="shared" si="10"/>
        <v>6</v>
      </c>
      <c r="H107" s="330">
        <f>G107+'2'!H107</f>
        <v>15</v>
      </c>
      <c r="I107" s="183"/>
      <c r="J107" s="209">
        <f>H107/DAY(B2)</f>
        <v>5</v>
      </c>
      <c r="O107" s="73"/>
    </row>
    <row r="108" spans="1:15" s="93" customFormat="1" ht="27.75">
      <c r="A108" s="1196" t="s">
        <v>201</v>
      </c>
      <c r="B108" s="1197"/>
      <c r="C108" s="929"/>
      <c r="D108" s="273"/>
      <c r="E108" s="106"/>
      <c r="F108" s="310" t="s">
        <v>267</v>
      </c>
      <c r="G108" s="183">
        <f>SUM(G105:G107)</f>
        <v>16</v>
      </c>
      <c r="H108" s="330">
        <f>G108+'2'!H108</f>
        <v>46</v>
      </c>
      <c r="I108" s="183"/>
      <c r="J108" s="209">
        <f>H108/DAY(B2)</f>
        <v>15.333333333333334</v>
      </c>
      <c r="O108" s="73"/>
    </row>
    <row r="109" spans="1:15" s="93" customFormat="1" ht="27.75">
      <c r="A109" s="1244" t="s">
        <v>78</v>
      </c>
      <c r="B109" s="1245"/>
      <c r="C109" s="929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>
      <c r="A110" s="1190" t="s">
        <v>219</v>
      </c>
      <c r="B110" s="1191"/>
      <c r="C110" s="929"/>
      <c r="D110" s="273" t="s">
        <v>143</v>
      </c>
      <c r="E110" s="106">
        <f>'2'!F110</f>
        <v>67247</v>
      </c>
      <c r="F110" s="310">
        <v>67323</v>
      </c>
      <c r="G110" s="183">
        <f>F110-E110</f>
        <v>76</v>
      </c>
      <c r="H110" s="330">
        <f>G110+'2'!H110</f>
        <v>220</v>
      </c>
      <c r="I110" s="183"/>
      <c r="J110" s="209">
        <f>H110/DAY(B2)</f>
        <v>73.333333333333329</v>
      </c>
      <c r="O110" s="73"/>
    </row>
    <row r="111" spans="1:15" s="93" customFormat="1" ht="27.75">
      <c r="A111" s="1190" t="s">
        <v>220</v>
      </c>
      <c r="B111" s="1191"/>
      <c r="C111" s="929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>
      <c r="A112" s="1190" t="s">
        <v>221</v>
      </c>
      <c r="B112" s="1191"/>
      <c r="C112" s="929"/>
      <c r="D112" s="273" t="s">
        <v>143</v>
      </c>
      <c r="E112" s="106">
        <f>'2'!F112</f>
        <v>4659</v>
      </c>
      <c r="F112" s="310">
        <v>4659</v>
      </c>
      <c r="G112" s="183">
        <f t="shared" si="11"/>
        <v>0</v>
      </c>
      <c r="H112" s="330">
        <f>G112+'2'!H112</f>
        <v>37</v>
      </c>
      <c r="I112" s="183"/>
      <c r="J112" s="209">
        <f>H112/DAY(B2)</f>
        <v>12.333333333333334</v>
      </c>
      <c r="O112" s="73"/>
    </row>
    <row r="113" spans="1:15" s="93" customFormat="1" ht="27.75">
      <c r="A113" s="1196" t="s">
        <v>109</v>
      </c>
      <c r="B113" s="1197"/>
      <c r="C113" s="929"/>
      <c r="D113" s="273"/>
      <c r="E113" s="106"/>
      <c r="F113" s="310"/>
      <c r="G113" s="183">
        <f>SUM(G110:G112)</f>
        <v>76</v>
      </c>
      <c r="H113" s="330">
        <f>G113+'2'!H113</f>
        <v>257</v>
      </c>
      <c r="I113" s="183"/>
      <c r="J113" s="209">
        <f>H113/DAY(B2)</f>
        <v>85.666666666666671</v>
      </c>
      <c r="O113" s="73"/>
    </row>
    <row r="114" spans="1:15" s="93" customFormat="1" ht="27.75">
      <c r="A114" s="1244" t="s">
        <v>222</v>
      </c>
      <c r="B114" s="1245"/>
      <c r="C114" s="929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>
      <c r="A115" s="1190" t="s">
        <v>223</v>
      </c>
      <c r="B115" s="1191"/>
      <c r="C115" s="928"/>
      <c r="D115" s="273" t="s">
        <v>143</v>
      </c>
      <c r="E115" s="106">
        <f>'2'!F115</f>
        <v>12514</v>
      </c>
      <c r="F115" s="310">
        <v>12529</v>
      </c>
      <c r="G115" s="185">
        <f>F115-E115</f>
        <v>15</v>
      </c>
      <c r="H115" s="330">
        <f>G115+'2'!H115</f>
        <v>64</v>
      </c>
      <c r="I115" s="183"/>
      <c r="J115" s="209">
        <f>H115/DAY(B2)</f>
        <v>21.333333333333332</v>
      </c>
      <c r="O115" s="73"/>
    </row>
    <row r="116" spans="1:15" s="93" customFormat="1" ht="27.75">
      <c r="A116" s="1190" t="s">
        <v>224</v>
      </c>
      <c r="B116" s="1191"/>
      <c r="C116" s="928"/>
      <c r="D116" s="273" t="s">
        <v>143</v>
      </c>
      <c r="E116" s="106">
        <f>'2'!F116</f>
        <v>8847</v>
      </c>
      <c r="F116" s="310">
        <v>8857</v>
      </c>
      <c r="G116" s="185">
        <f t="shared" ref="G116:G117" si="12">F116-E116</f>
        <v>10</v>
      </c>
      <c r="H116" s="330">
        <f>G116+'2'!H116</f>
        <v>37</v>
      </c>
      <c r="I116" s="183"/>
      <c r="J116" s="209">
        <f>H116/DAY(B2)</f>
        <v>12.333333333333334</v>
      </c>
      <c r="O116" s="73"/>
    </row>
    <row r="117" spans="1:15" s="93" customFormat="1" ht="27.75">
      <c r="A117" s="1190" t="s">
        <v>225</v>
      </c>
      <c r="B117" s="1191"/>
      <c r="C117" s="928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>
      <c r="A118" s="1196" t="s">
        <v>201</v>
      </c>
      <c r="B118" s="1197"/>
      <c r="C118" s="928"/>
      <c r="D118" s="431"/>
      <c r="E118" s="106"/>
      <c r="F118" s="310"/>
      <c r="G118" s="185">
        <f>SUM(G115:G117)</f>
        <v>25</v>
      </c>
      <c r="H118" s="330">
        <f>G118+'2'!H118</f>
        <v>101</v>
      </c>
      <c r="I118" s="185"/>
      <c r="J118" s="209">
        <f>H118/DAY(B2)</f>
        <v>33.666666666666664</v>
      </c>
      <c r="O118" s="73"/>
    </row>
    <row r="119" spans="1:15" s="96" customFormat="1" ht="27.75">
      <c r="A119" s="1188" t="s">
        <v>226</v>
      </c>
      <c r="B119" s="1189"/>
      <c r="C119" s="928"/>
      <c r="D119" s="275" t="s">
        <v>143</v>
      </c>
      <c r="E119" s="106"/>
      <c r="F119" s="311">
        <f>SUM(G19+G93)</f>
        <v>128</v>
      </c>
      <c r="G119" s="187">
        <f>SUM(G19+G93)</f>
        <v>128</v>
      </c>
      <c r="H119" s="330">
        <f>G119+'2'!H119</f>
        <v>472</v>
      </c>
      <c r="I119" s="186"/>
      <c r="J119" s="210">
        <f>H119/DAY(B2)</f>
        <v>157.33333333333334</v>
      </c>
      <c r="O119" s="73"/>
    </row>
    <row r="120" spans="1:15" s="96" customFormat="1" ht="27.75">
      <c r="A120" s="1188" t="s">
        <v>227</v>
      </c>
      <c r="B120" s="1189"/>
      <c r="C120" s="928"/>
      <c r="D120" s="275" t="s">
        <v>143</v>
      </c>
      <c r="E120" s="187"/>
      <c r="F120" s="311">
        <f>SUM(G96,G97,G98,G100,G101)</f>
        <v>124</v>
      </c>
      <c r="G120" s="187">
        <f>SUM(G96,G97,G98,G100,G101)</f>
        <v>124</v>
      </c>
      <c r="H120" s="330">
        <f>G120+'2'!H120</f>
        <v>467</v>
      </c>
      <c r="I120" s="186"/>
      <c r="J120" s="210">
        <f>H120/DAY(B2)</f>
        <v>155.66666666666666</v>
      </c>
      <c r="O120" s="73"/>
    </row>
    <row r="121" spans="1:15" s="96" customFormat="1" ht="27.75">
      <c r="A121" s="1188" t="s">
        <v>228</v>
      </c>
      <c r="B121" s="1189"/>
      <c r="C121" s="928"/>
      <c r="D121" s="275" t="s">
        <v>143</v>
      </c>
      <c r="E121" s="185"/>
      <c r="F121" s="310">
        <f>SUM(G113)</f>
        <v>76</v>
      </c>
      <c r="G121" s="185">
        <f>SUM(G113)</f>
        <v>76</v>
      </c>
      <c r="H121" s="330">
        <f>G121+'2'!H121</f>
        <v>257</v>
      </c>
      <c r="I121" s="186"/>
      <c r="J121" s="210">
        <f>H121/DAY(B2)</f>
        <v>85.666666666666671</v>
      </c>
      <c r="O121" s="73"/>
    </row>
    <row r="122" spans="1:15" s="93" customFormat="1" ht="27.75">
      <c r="A122" s="1190"/>
      <c r="B122" s="1191"/>
      <c r="C122" s="929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31" t="s">
        <v>230</v>
      </c>
      <c r="B124" s="932"/>
      <c r="C124" s="932"/>
      <c r="D124" s="174" t="s">
        <v>140</v>
      </c>
      <c r="E124" s="106">
        <f>'2'!F124</f>
        <v>848502.96</v>
      </c>
      <c r="F124" s="302">
        <v>848755.86</v>
      </c>
      <c r="G124" s="124">
        <f t="shared" ref="G124:G128" si="13">F124-E124</f>
        <v>252.90000000002328</v>
      </c>
      <c r="H124" s="330">
        <f>G124+'2'!H124</f>
        <v>789.85999999998603</v>
      </c>
      <c r="I124" s="177"/>
      <c r="J124" s="203">
        <f>H124/DAY(B2)</f>
        <v>263.28666666666203</v>
      </c>
      <c r="K124" s="71"/>
      <c r="L124" s="68"/>
      <c r="O124" s="73"/>
    </row>
    <row r="125" spans="1:15" ht="27.75">
      <c r="A125" s="931" t="s">
        <v>231</v>
      </c>
      <c r="B125" s="932"/>
      <c r="C125" s="932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06">
        <f>'2'!F126</f>
        <v>151477.72</v>
      </c>
      <c r="F126" s="302">
        <v>151562.57999999999</v>
      </c>
      <c r="G126" s="124">
        <f t="shared" si="13"/>
        <v>84.85999999998603</v>
      </c>
      <c r="H126" s="330">
        <f>G126+'2'!H126</f>
        <v>241.57999999998719</v>
      </c>
      <c r="I126" s="177"/>
      <c r="J126" s="203">
        <f>H126/DAY(B2)</f>
        <v>80.526666666662393</v>
      </c>
      <c r="K126" s="71"/>
      <c r="L126" s="68"/>
      <c r="O126" s="73"/>
    </row>
    <row r="127" spans="1:15" ht="27.75">
      <c r="A127" s="260" t="s">
        <v>233</v>
      </c>
      <c r="B127" s="932"/>
      <c r="C127" s="932"/>
      <c r="D127" s="174" t="s">
        <v>140</v>
      </c>
      <c r="E127" s="106">
        <f>'2'!F127</f>
        <v>33377.699999999997</v>
      </c>
      <c r="F127" s="302">
        <v>33419.800000000003</v>
      </c>
      <c r="G127" s="124">
        <f t="shared" si="13"/>
        <v>42.100000000005821</v>
      </c>
      <c r="H127" s="330">
        <f>G127+'2'!H127</f>
        <v>131.80000000000291</v>
      </c>
      <c r="I127" s="177"/>
      <c r="J127" s="203">
        <f>H127/DAY(B2)</f>
        <v>43.933333333334303</v>
      </c>
      <c r="K127" s="71"/>
      <c r="L127" s="68"/>
      <c r="O127" s="73"/>
    </row>
    <row r="128" spans="1:15" ht="27.75">
      <c r="A128" s="260" t="s">
        <v>234</v>
      </c>
      <c r="B128" s="932"/>
      <c r="C128" s="932"/>
      <c r="D128" s="174" t="s">
        <v>140</v>
      </c>
      <c r="E128" s="106">
        <f>'2'!F128</f>
        <v>9117.6</v>
      </c>
      <c r="F128" s="302">
        <v>9119</v>
      </c>
      <c r="G128" s="124">
        <f t="shared" si="13"/>
        <v>1.3999999999996362</v>
      </c>
      <c r="H128" s="330">
        <f>G128+'2'!H128</f>
        <v>6</v>
      </c>
      <c r="I128" s="131"/>
      <c r="J128" s="203">
        <f>H128/DAY(B2)</f>
        <v>2</v>
      </c>
      <c r="K128" s="71"/>
      <c r="L128" s="68"/>
      <c r="O128" s="73"/>
    </row>
    <row r="129" spans="1:15" s="57" customFormat="1" ht="27.75">
      <c r="A129" s="260" t="s">
        <v>235</v>
      </c>
      <c r="B129" s="932"/>
      <c r="C129" s="932"/>
      <c r="D129" s="174"/>
      <c r="E129" s="106">
        <f>'2'!F129</f>
        <v>0</v>
      </c>
      <c r="F129" s="129"/>
      <c r="G129" s="124">
        <f>G15-SUM(G124:G128)</f>
        <v>374.62499999999454</v>
      </c>
      <c r="H129" s="330">
        <f>G129+'2'!H129</f>
        <v>1286.8950000000332</v>
      </c>
      <c r="I129" s="131"/>
      <c r="J129" s="203">
        <f>H129/DAY(B2)</f>
        <v>428.96500000001106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31" t="s">
        <v>237</v>
      </c>
      <c r="B131" s="932"/>
      <c r="C131" s="932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>
      <c r="A132" s="931" t="s">
        <v>239</v>
      </c>
      <c r="B132" s="932"/>
      <c r="C132" s="932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>
      <c r="A133" s="931" t="s">
        <v>240</v>
      </c>
      <c r="B133" s="932"/>
      <c r="C133" s="932"/>
      <c r="D133" s="174" t="s">
        <v>238</v>
      </c>
      <c r="E133" s="106">
        <f>'2'!F133</f>
        <v>40619.050000000003</v>
      </c>
      <c r="F133" s="302">
        <v>40623.15</v>
      </c>
      <c r="G133" s="124">
        <f t="shared" si="14"/>
        <v>4.0999999999985448</v>
      </c>
      <c r="H133" s="330">
        <f>G133+'2'!H133</f>
        <v>4.1500000000014552</v>
      </c>
      <c r="I133" s="131"/>
      <c r="J133" s="203">
        <f>H133/DAY(B2)</f>
        <v>1.3833333333338185</v>
      </c>
      <c r="O133" s="73"/>
    </row>
    <row r="134" spans="1:15" ht="27.75">
      <c r="A134" s="931" t="s">
        <v>241</v>
      </c>
      <c r="B134" s="932"/>
      <c r="C134" s="932"/>
      <c r="D134" s="174" t="s">
        <v>238</v>
      </c>
      <c r="E134" s="106">
        <f>'2'!F134</f>
        <v>621.21</v>
      </c>
      <c r="F134" s="302">
        <v>645.15</v>
      </c>
      <c r="G134" s="124">
        <f t="shared" si="14"/>
        <v>23.939999999999941</v>
      </c>
      <c r="H134" s="330">
        <f>G134+'2'!H134</f>
        <v>71.149999999999977</v>
      </c>
      <c r="I134" s="131"/>
      <c r="J134" s="203">
        <f>H134/DAY(B2)</f>
        <v>23.716666666666658</v>
      </c>
      <c r="O134" s="73"/>
    </row>
    <row r="135" spans="1:15" ht="27.75">
      <c r="A135" s="931" t="s">
        <v>242</v>
      </c>
      <c r="B135" s="932"/>
      <c r="C135" s="932"/>
      <c r="D135" s="174" t="s">
        <v>238</v>
      </c>
      <c r="E135" s="106">
        <f>'2'!F135</f>
        <v>42512.43</v>
      </c>
      <c r="F135" s="302">
        <v>42512.43</v>
      </c>
      <c r="G135" s="124">
        <f t="shared" si="14"/>
        <v>0</v>
      </c>
      <c r="H135" s="330">
        <f>G135+'2'!H135</f>
        <v>13.430000000000291</v>
      </c>
      <c r="I135" s="131"/>
      <c r="J135" s="203">
        <f>H135/DAY(B2)</f>
        <v>4.4766666666667634</v>
      </c>
      <c r="O135" s="73"/>
    </row>
    <row r="136" spans="1:15" ht="27.75">
      <c r="A136" s="931" t="s">
        <v>243</v>
      </c>
      <c r="B136" s="932"/>
      <c r="C136" s="932"/>
      <c r="D136" s="174" t="s">
        <v>238</v>
      </c>
      <c r="E136" s="106">
        <f>'2'!F136</f>
        <v>32874.050000000003</v>
      </c>
      <c r="F136" s="302">
        <v>32874</v>
      </c>
      <c r="G136" s="124">
        <f t="shared" si="14"/>
        <v>-5.0000000002910383E-2</v>
      </c>
      <c r="H136" s="330">
        <f>G136+'2'!H136</f>
        <v>0</v>
      </c>
      <c r="I136" s="131">
        <f t="shared" ref="I136" si="15">G133+G134+G135+G136</f>
        <v>27.989999999995575</v>
      </c>
      <c r="J136" s="203">
        <f>H136/DAY(B2)</f>
        <v>0</v>
      </c>
      <c r="O136" s="73"/>
    </row>
    <row r="137" spans="1:15" ht="27.75">
      <c r="A137" s="931" t="s">
        <v>244</v>
      </c>
      <c r="B137" s="932"/>
      <c r="C137" s="932"/>
      <c r="D137" s="174" t="s">
        <v>238</v>
      </c>
      <c r="E137" s="106">
        <f>'2'!F137</f>
        <v>23123.18</v>
      </c>
      <c r="F137" s="302">
        <v>23129.83</v>
      </c>
      <c r="G137" s="124">
        <f t="shared" si="14"/>
        <v>6.6500000000014552</v>
      </c>
      <c r="H137" s="330">
        <f>G137+'2'!H137</f>
        <v>23.270000000000437</v>
      </c>
      <c r="I137" s="131"/>
      <c r="J137" s="203">
        <f>H137/DAY(B2)</f>
        <v>7.7566666666668125</v>
      </c>
      <c r="O137" s="73"/>
    </row>
    <row r="138" spans="1:15" ht="27.75">
      <c r="A138" s="931" t="s">
        <v>245</v>
      </c>
      <c r="B138" s="932"/>
      <c r="C138" s="932"/>
      <c r="D138" s="174" t="s">
        <v>238</v>
      </c>
      <c r="E138" s="106">
        <f>'2'!F138</f>
        <v>25119.45</v>
      </c>
      <c r="F138" s="302">
        <v>25119.453000000001</v>
      </c>
      <c r="G138" s="124">
        <f t="shared" si="14"/>
        <v>3.0000000006111804E-3</v>
      </c>
      <c r="H138" s="330">
        <f>G138+'2'!H138</f>
        <v>3.0000000006111804E-3</v>
      </c>
      <c r="I138" s="131"/>
      <c r="J138" s="203">
        <f>H138/DAY(B2)</f>
        <v>1.0000000002037268E-3</v>
      </c>
      <c r="O138" s="73"/>
    </row>
    <row r="139" spans="1:15" ht="27.75">
      <c r="A139" s="931" t="s">
        <v>246</v>
      </c>
      <c r="B139" s="932"/>
      <c r="C139" s="932"/>
      <c r="D139" s="174" t="s">
        <v>238</v>
      </c>
      <c r="E139" s="106">
        <f>'2'!F139</f>
        <v>70516.600000000006</v>
      </c>
      <c r="F139" s="302">
        <v>70516.600000000006</v>
      </c>
      <c r="G139" s="124">
        <f t="shared" si="14"/>
        <v>0</v>
      </c>
      <c r="H139" s="330">
        <f>G139+'2'!H139</f>
        <v>0</v>
      </c>
      <c r="I139" s="131">
        <f>G137+G138+G139</f>
        <v>6.6530000000020664</v>
      </c>
      <c r="J139" s="203">
        <f>H139/DAY(B2)</f>
        <v>0</v>
      </c>
      <c r="O139" s="73"/>
    </row>
    <row r="140" spans="1:15" ht="27.75">
      <c r="A140" s="931" t="s">
        <v>247</v>
      </c>
      <c r="B140" s="932"/>
      <c r="C140" s="932"/>
      <c r="D140" s="174" t="s">
        <v>238</v>
      </c>
      <c r="E140" s="106">
        <f>'2'!F140</f>
        <v>2331.33</v>
      </c>
      <c r="F140" s="302">
        <v>2340.64</v>
      </c>
      <c r="G140" s="124">
        <f t="shared" si="14"/>
        <v>9.3099999999999454</v>
      </c>
      <c r="H140" s="330">
        <f>G140+'2'!H140</f>
        <v>29.079999999999927</v>
      </c>
      <c r="I140" s="193"/>
      <c r="J140" s="203">
        <f>H140/DAY(B2)</f>
        <v>9.6933333333333085</v>
      </c>
      <c r="O140" s="73"/>
    </row>
    <row r="141" spans="1:15" ht="27.75">
      <c r="A141" s="931" t="s">
        <v>248</v>
      </c>
      <c r="B141" s="932"/>
      <c r="C141" s="932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>
      <c r="A142" s="1203" t="s">
        <v>249</v>
      </c>
      <c r="B142" s="1204"/>
      <c r="C142" s="93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5636.5000000001164</v>
      </c>
      <c r="H143" s="330">
        <f>G143+'2'!H143</f>
        <v>17045.250000000058</v>
      </c>
      <c r="I143" s="131"/>
      <c r="J143" s="203">
        <f>H143/DAY(B2)</f>
        <v>5681.7500000000191</v>
      </c>
      <c r="K143" s="71"/>
      <c r="L143" s="68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0.26336668267784663</v>
      </c>
      <c r="H144" s="330">
        <f>G144+'2'!H144</f>
        <v>0.77970067585898128</v>
      </c>
      <c r="I144" s="195"/>
      <c r="J144" s="203">
        <f>H144/DAY(B2)</f>
        <v>0.25990022528632711</v>
      </c>
      <c r="K144" s="71"/>
      <c r="L144" s="68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6845.9999999999272</v>
      </c>
      <c r="H145" s="330">
        <f>G145+'2'!H145</f>
        <v>19840.329999999958</v>
      </c>
      <c r="I145" s="131"/>
      <c r="J145" s="203">
        <f>H145/DAY(B2)</f>
        <v>6613.4433333333191</v>
      </c>
      <c r="K145" s="71"/>
      <c r="L145" s="68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0.31988083200789169</v>
      </c>
      <c r="H146" s="330">
        <f>G146+'2'!H146</f>
        <v>0.90829359175939506</v>
      </c>
      <c r="I146" s="195"/>
      <c r="J146" s="203">
        <f>H146/DAY(B2)</f>
        <v>0.30276453058646502</v>
      </c>
      <c r="K146" s="71"/>
      <c r="L146" s="68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3726.2799999999115</v>
      </c>
      <c r="H147" s="330">
        <f>G147+'2'!H147</f>
        <v>11247.539999999979</v>
      </c>
      <c r="I147" s="196"/>
      <c r="J147" s="203">
        <f>H147/DAY(B2)</f>
        <v>3749.179999999993</v>
      </c>
      <c r="K147" s="71"/>
      <c r="L147" s="68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0.17411123965736944</v>
      </c>
      <c r="H148" s="330">
        <f>G148+'2'!H148</f>
        <v>0.51461083048011469</v>
      </c>
      <c r="I148" s="196"/>
      <c r="J148" s="203">
        <f>H148/DAY(B2)</f>
        <v>0.17153694349337156</v>
      </c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1612.3999999999942</v>
      </c>
      <c r="H149" s="330">
        <f>G149+'2'!H149</f>
        <v>5016.6900000000023</v>
      </c>
      <c r="I149" s="131"/>
      <c r="J149" s="203">
        <f>H149/DAY(B2)</f>
        <v>1672.2300000000007</v>
      </c>
      <c r="K149" s="72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7.533973904901084E-2</v>
      </c>
      <c r="H150" s="330">
        <f>G150+'2'!H150</f>
        <v>0.22940018076879329</v>
      </c>
      <c r="I150" s="196"/>
      <c r="J150" s="203">
        <f>H150/DAY(B2)</f>
        <v>7.6466726922931091E-2</v>
      </c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1761.7100000000428</v>
      </c>
      <c r="H151" s="330">
        <f>G151+'2'!H151</f>
        <v>5719.5499999999956</v>
      </c>
      <c r="I151" s="196"/>
      <c r="J151" s="203">
        <f>H151/DAY(B2)</f>
        <v>1906.5166666666653</v>
      </c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8.2316281121332546E-2</v>
      </c>
      <c r="H152" s="330">
        <f>G152+'2'!H152</f>
        <v>0.26103623148197935</v>
      </c>
      <c r="I152" s="131"/>
      <c r="J152" s="203">
        <f>H152/DAY(B2)</f>
        <v>8.7012077160659784E-2</v>
      </c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1599.1000000000058</v>
      </c>
      <c r="H153" s="330">
        <f>G153+'2'!H153</f>
        <v>4855.5199999999895</v>
      </c>
      <c r="I153" s="131"/>
      <c r="J153" s="203">
        <f>H153/DAY(B2)</f>
        <v>1618.5066666666632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7.471829366985494E-2</v>
      </c>
      <c r="H154" s="330">
        <f>G154+'2'!H154</f>
        <v>0.22210482294445916</v>
      </c>
      <c r="I154" s="219"/>
      <c r="J154" s="220">
        <f>H154/DAY(B2)</f>
        <v>7.4034940981486386E-2</v>
      </c>
      <c r="O154" s="73"/>
    </row>
    <row r="155" spans="1:15">
      <c r="O155" s="73"/>
    </row>
    <row r="158" spans="1:15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'2'!F161</f>
        <v>43489.59</v>
      </c>
      <c r="F161" s="309">
        <v>43569.99</v>
      </c>
      <c r="G161" s="124">
        <f t="shared" ref="G161:G172" si="16">F161-E161</f>
        <v>80.400000000001455</v>
      </c>
    </row>
    <row r="162" spans="1:15">
      <c r="A162" s="435" t="s">
        <v>263</v>
      </c>
      <c r="B162" s="436"/>
      <c r="C162" s="436"/>
      <c r="D162" s="162" t="s">
        <v>186</v>
      </c>
      <c r="E162" s="106">
        <f>'2'!F162</f>
        <v>123006</v>
      </c>
      <c r="F162" s="309">
        <v>123438.3</v>
      </c>
      <c r="G162" s="124">
        <f t="shared" si="16"/>
        <v>432.30000000000291</v>
      </c>
    </row>
    <row r="163" spans="1:15">
      <c r="A163" s="435" t="s">
        <v>264</v>
      </c>
      <c r="B163" s="436"/>
      <c r="C163" s="436"/>
      <c r="D163" s="162" t="s">
        <v>186</v>
      </c>
      <c r="E163" s="106">
        <f>'2'!F163</f>
        <v>67898.289999999994</v>
      </c>
      <c r="F163" s="309">
        <v>68101.45</v>
      </c>
      <c r="G163" s="124">
        <f t="shared" si="16"/>
        <v>203.16000000000349</v>
      </c>
    </row>
    <row r="164" spans="1:15">
      <c r="A164" s="435" t="s">
        <v>265</v>
      </c>
      <c r="B164" s="436"/>
      <c r="C164" s="436"/>
      <c r="D164" s="162" t="s">
        <v>186</v>
      </c>
      <c r="E164" s="106">
        <f>'2'!F164</f>
        <v>7161.72</v>
      </c>
      <c r="F164" s="309">
        <v>7172.01</v>
      </c>
      <c r="G164" s="124">
        <f t="shared" si="16"/>
        <v>10.289999999999964</v>
      </c>
    </row>
    <row r="165" spans="1:15">
      <c r="A165" s="437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'2'!F166</f>
        <v>0</v>
      </c>
      <c r="F166" s="165">
        <v>2370</v>
      </c>
      <c r="G166" s="124">
        <f t="shared" si="16"/>
        <v>2370</v>
      </c>
    </row>
    <row r="167" spans="1:15" ht="21.75" customHeight="1">
      <c r="A167" s="1187" t="s">
        <v>98</v>
      </c>
      <c r="B167" s="1187"/>
      <c r="C167" s="1187"/>
      <c r="D167" s="174" t="s">
        <v>186</v>
      </c>
      <c r="E167" s="106">
        <f>'2'!F167</f>
        <v>182632.63</v>
      </c>
      <c r="F167" s="165">
        <f t="shared" ref="F167:F172" si="17">F64</f>
        <v>182982.32</v>
      </c>
      <c r="G167" s="124">
        <f t="shared" si="16"/>
        <v>349.69000000000233</v>
      </c>
    </row>
    <row r="168" spans="1:15" ht="21.75" customHeight="1">
      <c r="A168" s="1187" t="s">
        <v>99</v>
      </c>
      <c r="B168" s="1187"/>
      <c r="C168" s="1187"/>
      <c r="D168" s="174" t="s">
        <v>186</v>
      </c>
      <c r="E168" s="106">
        <f>'2'!F168</f>
        <v>182984.51</v>
      </c>
      <c r="F168" s="165">
        <f t="shared" si="17"/>
        <v>183386.09</v>
      </c>
      <c r="G168" s="124">
        <f t="shared" si="16"/>
        <v>401.57999999998719</v>
      </c>
    </row>
    <row r="169" spans="1:15" ht="21.75" customHeight="1">
      <c r="A169" s="1187" t="s">
        <v>100</v>
      </c>
      <c r="B169" s="1187"/>
      <c r="C169" s="1187"/>
      <c r="D169" s="174" t="s">
        <v>186</v>
      </c>
      <c r="E169" s="106">
        <f>'2'!F169</f>
        <v>81494.259999999995</v>
      </c>
      <c r="F169" s="165">
        <f t="shared" si="17"/>
        <v>81890.31</v>
      </c>
      <c r="G169" s="124">
        <f t="shared" si="16"/>
        <v>396.05000000000291</v>
      </c>
      <c r="J169" s="190">
        <v>25</v>
      </c>
    </row>
    <row r="170" spans="1:15" ht="27.75" customHeight="1">
      <c r="A170" s="1187" t="s">
        <v>101</v>
      </c>
      <c r="B170" s="1187"/>
      <c r="C170" s="1187"/>
      <c r="D170" s="174" t="s">
        <v>186</v>
      </c>
      <c r="E170" s="106">
        <f>'2'!F170</f>
        <v>281037.67</v>
      </c>
      <c r="F170" s="165">
        <f t="shared" si="17"/>
        <v>281506.11</v>
      </c>
      <c r="G170" s="124">
        <f t="shared" si="16"/>
        <v>468.44000000000233</v>
      </c>
      <c r="J170" s="190">
        <v>40118</v>
      </c>
    </row>
    <row r="171" spans="1:15" ht="24" customHeight="1">
      <c r="A171" s="1187" t="s">
        <v>102</v>
      </c>
      <c r="B171" s="1187"/>
      <c r="C171" s="1187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>
      <c r="A172" s="1187" t="s">
        <v>103</v>
      </c>
      <c r="B172" s="1187"/>
      <c r="C172" s="1187"/>
      <c r="D172" s="174" t="s">
        <v>186</v>
      </c>
      <c r="E172" s="106">
        <f>'2'!F172</f>
        <v>97201.01</v>
      </c>
      <c r="F172" s="165">
        <f t="shared" si="17"/>
        <v>97500.07</v>
      </c>
      <c r="G172" s="124">
        <f t="shared" si="16"/>
        <v>299.06000000001222</v>
      </c>
      <c r="J172" s="190">
        <v>70354</v>
      </c>
    </row>
    <row r="173" spans="1:15">
      <c r="J173" s="190">
        <v>19017</v>
      </c>
    </row>
    <row r="174" spans="1:15" ht="21.95" customHeight="1">
      <c r="A174" s="1247" t="s">
        <v>338</v>
      </c>
      <c r="B174" s="1247"/>
      <c r="C174" s="1134"/>
      <c r="D174" s="1135" t="s">
        <v>186</v>
      </c>
      <c r="E174" s="1136">
        <f>'2'!F174</f>
        <v>19140.8</v>
      </c>
      <c r="F174" s="1137">
        <v>19144.099999999999</v>
      </c>
      <c r="G174" s="1138">
        <f t="shared" ref="G174:G176" si="18">F174-E174</f>
        <v>3.2999999999992724</v>
      </c>
      <c r="O174" s="68"/>
    </row>
    <row r="175" spans="1:15" ht="21.95" customHeight="1">
      <c r="A175" s="1247" t="s">
        <v>338</v>
      </c>
      <c r="B175" s="1247"/>
      <c r="C175" s="1134"/>
      <c r="D175" s="1135" t="s">
        <v>186</v>
      </c>
      <c r="E175" s="1136">
        <f>'2'!F175</f>
        <v>70543.399999999994</v>
      </c>
      <c r="F175" s="1137">
        <v>70550.399999999994</v>
      </c>
      <c r="G175" s="1138">
        <f t="shared" si="18"/>
        <v>7</v>
      </c>
      <c r="O175" s="68"/>
    </row>
    <row r="176" spans="1:15" ht="21.95" customHeight="1">
      <c r="A176" s="1247" t="s">
        <v>339</v>
      </c>
      <c r="B176" s="1247"/>
      <c r="C176" s="1134"/>
      <c r="D176" s="1135" t="s">
        <v>186</v>
      </c>
      <c r="E176" s="1136">
        <f>'2'!F176</f>
        <v>27804.7</v>
      </c>
      <c r="F176" s="1137">
        <v>27809.9</v>
      </c>
      <c r="G176" s="1138">
        <f t="shared" si="18"/>
        <v>5.2000000000007276</v>
      </c>
      <c r="O176" s="68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43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4" s="57" customFormat="1" ht="27">
      <c r="A2" s="226" t="s">
        <v>358</v>
      </c>
      <c r="B2" s="682">
        <v>44412</v>
      </c>
      <c r="C2" s="933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933" t="s">
        <v>119</v>
      </c>
      <c r="D3" s="263">
        <v>34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933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08" t="s">
        <v>129</v>
      </c>
      <c r="B6" s="1209"/>
      <c r="C6" s="1210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'3'!F7</f>
        <v>673264.87</v>
      </c>
      <c r="F7" s="284">
        <v>697948</v>
      </c>
      <c r="G7" s="340">
        <f>F7-E7</f>
        <v>24683.130000000005</v>
      </c>
      <c r="H7" s="330">
        <f>G7+'3'!H7</f>
        <v>90275</v>
      </c>
      <c r="I7" s="331">
        <f>'[1]1'!I7</f>
        <v>12000</v>
      </c>
      <c r="J7" s="332">
        <f>H7/DAY(B2)</f>
        <v>22568.75</v>
      </c>
      <c r="K7" s="200"/>
      <c r="L7" s="68"/>
      <c r="N7" s="73"/>
    </row>
    <row r="8" spans="1:14" ht="27.75" thickBot="1">
      <c r="A8" s="333" t="s">
        <v>132</v>
      </c>
      <c r="B8" s="334"/>
      <c r="C8" s="335"/>
      <c r="D8" s="336" t="s">
        <v>25</v>
      </c>
      <c r="E8" s="284">
        <f>'3'!F8</f>
        <v>681487.57</v>
      </c>
      <c r="F8" s="284">
        <v>706368.71</v>
      </c>
      <c r="G8" s="699">
        <f>F8-E8</f>
        <v>24881.140000000014</v>
      </c>
      <c r="H8" s="330">
        <f>G8+'3'!H8</f>
        <v>90771.709999999963</v>
      </c>
      <c r="I8" s="337">
        <v>12000</v>
      </c>
      <c r="J8" s="332">
        <f>H8/DAY(B2)</f>
        <v>22692.927499999991</v>
      </c>
      <c r="K8" s="200"/>
      <c r="L8" s="78"/>
      <c r="M8" s="91"/>
      <c r="N8" s="354">
        <f>G7/G8</f>
        <v>0.99204176335971705</v>
      </c>
    </row>
    <row r="9" spans="1:14">
      <c r="A9" s="338" t="s">
        <v>133</v>
      </c>
      <c r="B9" s="339"/>
      <c r="C9" s="339"/>
      <c r="D9" s="288" t="s">
        <v>131</v>
      </c>
      <c r="E9" s="284">
        <f>'3'!F9</f>
        <v>2760144.5</v>
      </c>
      <c r="F9" s="285">
        <v>2783560</v>
      </c>
      <c r="G9" s="353">
        <f t="shared" ref="G9:G12" si="0">F9-E9</f>
        <v>23415.5</v>
      </c>
      <c r="H9" s="330">
        <f>G9+'3'!H9</f>
        <v>86925</v>
      </c>
      <c r="I9" s="341">
        <f>I8-J8</f>
        <v>-10692.927499999991</v>
      </c>
      <c r="J9" s="332">
        <f>H9/DAY(B2)</f>
        <v>21731.25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284"/>
      <c r="G13" s="345">
        <f>G9+G10+G11+G12</f>
        <v>23415.5</v>
      </c>
      <c r="H13" s="330">
        <f>G13+'3'!H13</f>
        <v>65160.55</v>
      </c>
      <c r="I13" s="346">
        <f>G7-G13</f>
        <v>1267.6300000000047</v>
      </c>
      <c r="J13" s="332">
        <f>H13/DAY(B2)</f>
        <v>16290.137500000001</v>
      </c>
      <c r="K13" s="81"/>
      <c r="L13" s="68"/>
      <c r="N13" s="73"/>
    </row>
    <row r="14" spans="1:14">
      <c r="A14" s="1211" t="s">
        <v>138</v>
      </c>
      <c r="B14" s="1212"/>
      <c r="C14" s="1213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>
      <c r="A15" s="443" t="s">
        <v>139</v>
      </c>
      <c r="B15" s="438"/>
      <c r="C15" s="438"/>
      <c r="D15" s="175" t="s">
        <v>140</v>
      </c>
      <c r="E15" s="136">
        <f>'3'!F15</f>
        <v>1732010.135</v>
      </c>
      <c r="F15" s="277">
        <v>1732899.192</v>
      </c>
      <c r="G15" s="424">
        <f>(F15-E15)</f>
        <v>889.0570000000298</v>
      </c>
      <c r="H15" s="330">
        <f>G15+'3'!H15</f>
        <v>3345.1920000000391</v>
      </c>
      <c r="I15" s="125">
        <v>800</v>
      </c>
      <c r="J15" s="204">
        <f>H15/DAY(B2)</f>
        <v>836.29800000000978</v>
      </c>
      <c r="K15" s="81"/>
      <c r="L15" s="68"/>
      <c r="N15" s="73"/>
    </row>
    <row r="16" spans="1:14">
      <c r="A16" s="441"/>
      <c r="B16" s="442"/>
      <c r="C16" s="442"/>
      <c r="D16" s="175"/>
      <c r="E16" s="136"/>
      <c r="F16" s="136"/>
      <c r="G16" s="124"/>
      <c r="H16" s="137"/>
      <c r="I16" s="138">
        <f>I15-J15</f>
        <v>-36.298000000009779</v>
      </c>
      <c r="J16" s="204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'3'!F18</f>
        <v>14</v>
      </c>
      <c r="F18" s="285">
        <v>13</v>
      </c>
      <c r="G18" s="345">
        <f>F18*10</f>
        <v>130</v>
      </c>
      <c r="H18" s="330">
        <f>G18+'3'!H18</f>
        <v>630</v>
      </c>
      <c r="I18" s="331">
        <f>'[1]1'!I18</f>
        <v>65</v>
      </c>
      <c r="J18" s="332">
        <f>H18/DAY(B2)</f>
        <v>157.5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'3'!F19</f>
        <v>143573</v>
      </c>
      <c r="F19" s="285">
        <v>143634</v>
      </c>
      <c r="G19" s="340">
        <f t="shared" ref="G19" si="1">F19-E19</f>
        <v>61</v>
      </c>
      <c r="H19" s="330">
        <f>G19+'3'!H19</f>
        <v>244</v>
      </c>
      <c r="I19" s="347"/>
      <c r="J19" s="332">
        <f>H19/DAY(B2)</f>
        <v>61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5">
        <f>'3'!F20</f>
        <v>0</v>
      </c>
      <c r="F20" s="288"/>
      <c r="G20" s="698">
        <f>G18+G19</f>
        <v>191</v>
      </c>
      <c r="H20" s="330">
        <f>G20+'3'!H20</f>
        <v>874</v>
      </c>
      <c r="I20" s="349">
        <f>I18-J20</f>
        <v>-153.5</v>
      </c>
      <c r="J20" s="332">
        <f>H20/DAY(B2)</f>
        <v>218.5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>
      <c r="A22" s="931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694973.52</v>
      </c>
      <c r="J22" s="203">
        <f>H22/DAY(B2)</f>
        <v>0</v>
      </c>
      <c r="K22" s="81"/>
      <c r="L22" s="68"/>
      <c r="M22" s="67" t="s">
        <v>268</v>
      </c>
      <c r="N22" s="73"/>
    </row>
    <row r="23" spans="1:14">
      <c r="A23" s="931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703354.16999999993</v>
      </c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24881.140000000014</v>
      </c>
      <c r="F27" s="152">
        <v>9</v>
      </c>
      <c r="G27" s="153">
        <f>E27*F27</f>
        <v>223930.26000000013</v>
      </c>
      <c r="H27" s="330">
        <f>G27+'3'!H27</f>
        <v>816945.38999999966</v>
      </c>
      <c r="I27" s="154"/>
      <c r="J27" s="203">
        <f>H27/DAY(B2)</f>
        <v>204236.34749999992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889.0570000000298</v>
      </c>
      <c r="F28" s="152">
        <v>54.5</v>
      </c>
      <c r="G28" s="153">
        <f>E28*F28</f>
        <v>48453.606500001624</v>
      </c>
      <c r="H28" s="330">
        <f>G28+'3'!H28</f>
        <v>182312.96400000213</v>
      </c>
      <c r="I28" s="156"/>
      <c r="J28" s="203">
        <f>H28/DAY(B2)</f>
        <v>45578.241000000533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G30+'3'!H30</f>
        <v>35624</v>
      </c>
      <c r="I30" s="156"/>
      <c r="J30" s="203">
        <f>H30/DAY(B2)</f>
        <v>8906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330">
        <f>G31+'3'!H31</f>
        <v>50400</v>
      </c>
      <c r="I31" s="156"/>
      <c r="J31" s="203">
        <f>H31/DAY(B2)</f>
        <v>12600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291689.86650000175</v>
      </c>
      <c r="H32" s="330">
        <f>G32+'3'!H32</f>
        <v>1085282.3540000017</v>
      </c>
      <c r="I32" s="160"/>
      <c r="J32" s="203">
        <f>H32/DAY(B2)</f>
        <v>271320.58850000042</v>
      </c>
      <c r="K32" s="65"/>
      <c r="L32" s="94"/>
      <c r="N32" s="73"/>
    </row>
    <row r="33" spans="1:14" ht="25.5" customHeight="1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936"/>
      <c r="C34" s="936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'3'!F36</f>
        <v>48882.68</v>
      </c>
      <c r="F36" s="290">
        <v>49865.4</v>
      </c>
      <c r="G36" s="124">
        <f t="shared" si="3"/>
        <v>982.72000000000116</v>
      </c>
      <c r="H36" s="330">
        <f>G36+'3'!H36</f>
        <v>3067.4000000000015</v>
      </c>
      <c r="I36" s="106"/>
      <c r="J36" s="203">
        <f>H36/DAY(B2)</f>
        <v>766.85000000000036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'3'!F37</f>
        <v>231028.65</v>
      </c>
      <c r="F37" s="290">
        <v>232634</v>
      </c>
      <c r="G37" s="124">
        <f t="shared" si="3"/>
        <v>1605.3500000000058</v>
      </c>
      <c r="H37" s="330">
        <f>G37+'3'!H37</f>
        <v>6461</v>
      </c>
      <c r="I37" s="106"/>
      <c r="J37" s="203">
        <f>H37/DAY(B2)</f>
        <v>1615.25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'3'!F38</f>
        <v>253575.69</v>
      </c>
      <c r="F38" s="291">
        <v>255260</v>
      </c>
      <c r="G38" s="124">
        <f t="shared" si="3"/>
        <v>1684.3099999999977</v>
      </c>
      <c r="H38" s="330">
        <f>G38+'3'!H38</f>
        <v>6701</v>
      </c>
      <c r="I38" s="106"/>
      <c r="J38" s="203">
        <f>H38/DAY(B2)</f>
        <v>1675.25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'3'!F39</f>
        <v>531765.94999999995</v>
      </c>
      <c r="F39" s="290">
        <v>535501</v>
      </c>
      <c r="G39" s="124">
        <f t="shared" si="3"/>
        <v>3735.0500000000466</v>
      </c>
      <c r="H39" s="330">
        <f>G39+'3'!H39</f>
        <v>14983</v>
      </c>
      <c r="I39" s="106"/>
      <c r="J39" s="203">
        <f>H39/DAY(B2)</f>
        <v>3745.75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'3'!F40</f>
        <v>21545.98</v>
      </c>
      <c r="F40" s="290">
        <v>22194.1</v>
      </c>
      <c r="G40" s="124">
        <f t="shared" si="3"/>
        <v>648.11999999999898</v>
      </c>
      <c r="H40" s="330">
        <f>G40+'3'!H40</f>
        <v>2021.0999999999985</v>
      </c>
      <c r="I40" s="106"/>
      <c r="J40" s="203">
        <f>H40/DAY(B2)</f>
        <v>505.27499999999964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'3'!F41</f>
        <v>367737.47</v>
      </c>
      <c r="F41" s="290">
        <v>367737.47</v>
      </c>
      <c r="G41" s="124">
        <f t="shared" si="3"/>
        <v>0</v>
      </c>
      <c r="H41" s="330">
        <f>G41+'3'!H41</f>
        <v>897.46999999997206</v>
      </c>
      <c r="I41" s="106"/>
      <c r="J41" s="203">
        <f>H41/DAY(B2)</f>
        <v>224.36749999999302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'3'!F42</f>
        <v>131346.12</v>
      </c>
      <c r="F42" s="290">
        <v>136521</v>
      </c>
      <c r="G42" s="124">
        <f t="shared" si="3"/>
        <v>5174.8800000000047</v>
      </c>
      <c r="H42" s="330">
        <f>G42+'3'!H42</f>
        <v>21009</v>
      </c>
      <c r="I42" s="106"/>
      <c r="J42" s="203">
        <f>H42/DAY(B2)</f>
        <v>5252.25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'3'!F43</f>
        <v>1212359.8</v>
      </c>
      <c r="F43" s="290">
        <v>1215360</v>
      </c>
      <c r="G43" s="124">
        <f t="shared" si="3"/>
        <v>3000.1999999999534</v>
      </c>
      <c r="H43" s="330">
        <f>G43+'3'!H43</f>
        <v>10899</v>
      </c>
      <c r="I43" s="106"/>
      <c r="J43" s="203">
        <f>H43/DAY(B2)</f>
        <v>2724.75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16830.630000000008</v>
      </c>
      <c r="H47" s="330">
        <f>G47+'3'!H47</f>
        <v>66839.969999999972</v>
      </c>
      <c r="I47" s="106"/>
      <c r="J47" s="203">
        <f>H47/DAY(B2)</f>
        <v>16709.992499999993</v>
      </c>
      <c r="K47" s="81"/>
      <c r="L47" s="68"/>
      <c r="N47" s="73"/>
    </row>
    <row r="48" spans="1:14">
      <c r="A48" s="249" t="s">
        <v>176</v>
      </c>
      <c r="B48" s="936"/>
      <c r="C48" s="936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'3'!F49</f>
        <v>333234.45</v>
      </c>
      <c r="F49" s="290">
        <v>336325</v>
      </c>
      <c r="G49" s="124">
        <f t="shared" ref="G49:G58" si="4">F49-E49</f>
        <v>3090.5499999999884</v>
      </c>
      <c r="H49" s="330">
        <f>G49+'3'!H49</f>
        <v>12237</v>
      </c>
      <c r="I49" s="106"/>
      <c r="J49" s="203">
        <f>H49/DAY(B2)</f>
        <v>3059.25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'3'!F50</f>
        <v>573559.87</v>
      </c>
      <c r="F50" s="290">
        <v>574653</v>
      </c>
      <c r="G50" s="124">
        <f t="shared" si="4"/>
        <v>1093.1300000000047</v>
      </c>
      <c r="H50" s="330">
        <f>G50+'3'!H50</f>
        <v>4728</v>
      </c>
      <c r="I50" s="106"/>
      <c r="J50" s="203">
        <f>H50/DAY(B2)</f>
        <v>1182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'3'!F51</f>
        <v>144639.87</v>
      </c>
      <c r="F51" s="290">
        <v>144639.87</v>
      </c>
      <c r="G51" s="124">
        <f t="shared" si="4"/>
        <v>0</v>
      </c>
      <c r="H51" s="330">
        <f>G51+'3'!H51</f>
        <v>-0.13000000000465661</v>
      </c>
      <c r="I51" s="106"/>
      <c r="J51" s="203">
        <f>H51/DAY(B2)</f>
        <v>-3.2500000001164153E-2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'3'!F52</f>
        <v>539606</v>
      </c>
      <c r="F52" s="290">
        <v>539606.06999999995</v>
      </c>
      <c r="G52" s="124">
        <f t="shared" si="4"/>
        <v>6.9999999948777258E-2</v>
      </c>
      <c r="H52" s="330">
        <f>G52+'3'!H52</f>
        <v>6.9999999948777258E-2</v>
      </c>
      <c r="I52" s="106"/>
      <c r="J52" s="203">
        <f>H52/DAY(B2)</f>
        <v>1.7499999987194315E-2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'3'!F53</f>
        <v>434231.59</v>
      </c>
      <c r="F53" s="290">
        <v>434231.59</v>
      </c>
      <c r="G53" s="124">
        <f t="shared" si="4"/>
        <v>0</v>
      </c>
      <c r="H53" s="330">
        <f>G53+'3'!H53</f>
        <v>-0.40999999997438863</v>
      </c>
      <c r="I53" s="106"/>
      <c r="J53" s="203">
        <f>H53/DAY(B2)</f>
        <v>-0.10249999999359716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'3'!F54</f>
        <v>14967</v>
      </c>
      <c r="F54" s="290">
        <v>14967</v>
      </c>
      <c r="G54" s="124">
        <f t="shared" si="4"/>
        <v>0</v>
      </c>
      <c r="H54" s="330">
        <f>G54+'3'!H54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'3'!F55</f>
        <v>238749.99</v>
      </c>
      <c r="F55" s="293">
        <v>241059</v>
      </c>
      <c r="G55" s="124">
        <f t="shared" si="4"/>
        <v>2309.0100000000093</v>
      </c>
      <c r="H55" s="330">
        <f>G55+'3'!H55</f>
        <v>5385</v>
      </c>
      <c r="I55" s="106"/>
      <c r="J55" s="203">
        <f>H55/DAY(B2)</f>
        <v>1346.25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'3'!F56</f>
        <v>649393.75</v>
      </c>
      <c r="F56" s="293">
        <v>649405</v>
      </c>
      <c r="G56" s="124">
        <f t="shared" si="4"/>
        <v>11.25</v>
      </c>
      <c r="H56" s="330">
        <f>G56+'3'!H56</f>
        <v>44</v>
      </c>
      <c r="I56" s="106"/>
      <c r="J56" s="203">
        <f>H56/DAY(B2)</f>
        <v>11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'3'!F58</f>
        <v>60321.59</v>
      </c>
      <c r="F58" s="293">
        <v>60531.9</v>
      </c>
      <c r="G58" s="124">
        <f t="shared" si="4"/>
        <v>210.31000000000495</v>
      </c>
      <c r="H58" s="330">
        <f>G58+'3'!H58</f>
        <v>852.90000000000146</v>
      </c>
      <c r="I58" s="106"/>
      <c r="J58" s="203">
        <f>H58/DAY(B2)</f>
        <v>213.22500000000036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6714.3199999999561</v>
      </c>
      <c r="H59" s="330">
        <f>G59+'3'!H59</f>
        <v>23246.429999999971</v>
      </c>
      <c r="I59" s="106">
        <f>G7-G60</f>
        <v>1138.1800000000403</v>
      </c>
      <c r="J59" s="203">
        <f>H59/DAY(B2)</f>
        <v>5811.6074999999928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292"/>
      <c r="G60" s="132">
        <f>G47+G59</f>
        <v>23544.949999999964</v>
      </c>
      <c r="H60" s="330">
        <f>G60+'3'!H60</f>
        <v>90086.399999999951</v>
      </c>
      <c r="I60" s="106">
        <f>G13-G60</f>
        <v>-129.44999999996435</v>
      </c>
      <c r="J60" s="203">
        <f>H60/DAY(B2)</f>
        <v>22521.599999999988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65">
        <f>'3'!F64</f>
        <v>182982.32</v>
      </c>
      <c r="F64" s="285">
        <v>183332</v>
      </c>
      <c r="G64" s="124">
        <f t="shared" si="5"/>
        <v>349.67999999999302</v>
      </c>
      <c r="H64" s="330">
        <f>G64+'3'!H64</f>
        <v>1472</v>
      </c>
      <c r="I64" s="131"/>
      <c r="J64" s="203">
        <f>H64/DAY(B2)</f>
        <v>368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65">
        <f>'3'!F65</f>
        <v>183386.09</v>
      </c>
      <c r="F65" s="286">
        <v>183771</v>
      </c>
      <c r="G65" s="124">
        <f t="shared" si="5"/>
        <v>384.91000000000349</v>
      </c>
      <c r="H65" s="330">
        <f>G65+'3'!H65</f>
        <v>1562</v>
      </c>
      <c r="I65" s="140"/>
      <c r="J65" s="203">
        <f>H65/DAY(B2)</f>
        <v>390.5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65">
        <f>'3'!F66</f>
        <v>81890.31</v>
      </c>
      <c r="F66" s="285">
        <v>82283.399999999994</v>
      </c>
      <c r="G66" s="124">
        <f t="shared" si="5"/>
        <v>393.08999999999651</v>
      </c>
      <c r="H66" s="330">
        <f>G66+'3'!H66</f>
        <v>1611.3999999999942</v>
      </c>
      <c r="I66" s="131"/>
      <c r="J66" s="203">
        <f>H66/DAY(B2)</f>
        <v>402.84999999999854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65">
        <f>'3'!F67</f>
        <v>281506.11</v>
      </c>
      <c r="F67" s="285">
        <v>281982</v>
      </c>
      <c r="G67" s="124">
        <f t="shared" si="5"/>
        <v>475.89000000001397</v>
      </c>
      <c r="H67" s="330">
        <f>G67+'3'!H67</f>
        <v>1924</v>
      </c>
      <c r="I67" s="140"/>
      <c r="J67" s="203">
        <f>H67/DAY(B2)</f>
        <v>481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65">
        <f>'3'!F69</f>
        <v>97500.07</v>
      </c>
      <c r="F69" s="285">
        <v>97810.2</v>
      </c>
      <c r="G69" s="124">
        <f t="shared" si="5"/>
        <v>310.1299999999901</v>
      </c>
      <c r="H69" s="330">
        <f>G69+'3'!H69</f>
        <v>1253.1999999999971</v>
      </c>
      <c r="I69" s="167"/>
      <c r="J69" s="203">
        <f>H69/DAY(B2)</f>
        <v>313.29999999999927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>
      <c r="A71" s="1225"/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305">
        <f>'3'!F72</f>
        <v>856649</v>
      </c>
      <c r="F72" s="297">
        <v>856663</v>
      </c>
      <c r="G72" s="124">
        <f t="shared" ref="G72:G84" si="6">F72-E72</f>
        <v>14</v>
      </c>
      <c r="H72" s="330">
        <f>G72+'3'!H72</f>
        <v>54</v>
      </c>
      <c r="I72" s="131"/>
      <c r="J72" s="203">
        <f>H72/DAY(B2)</f>
        <v>13.5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305">
        <f>'3'!F73</f>
        <v>886017</v>
      </c>
      <c r="F73" s="297">
        <v>886018</v>
      </c>
      <c r="G73" s="303">
        <f t="shared" si="6"/>
        <v>1</v>
      </c>
      <c r="H73" s="330">
        <f>G73+'3'!H73</f>
        <v>5</v>
      </c>
      <c r="I73" s="131"/>
      <c r="J73" s="203">
        <f>H73/DAY(B2)</f>
        <v>1.25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305">
        <f>'3'!F74</f>
        <v>88737.2</v>
      </c>
      <c r="F74" s="297">
        <v>88738.5</v>
      </c>
      <c r="G74" s="124">
        <f>F74-E74</f>
        <v>1.3000000000029104</v>
      </c>
      <c r="H74" s="330">
        <f>G74+'3'!H74</f>
        <v>5.5</v>
      </c>
      <c r="I74" s="131"/>
      <c r="J74" s="203">
        <f>H74/DAY(B2)</f>
        <v>1.375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305">
        <f>'3'!F75</f>
        <v>21416.04</v>
      </c>
      <c r="F75" s="297">
        <v>21575.7</v>
      </c>
      <c r="G75" s="124">
        <f t="shared" si="6"/>
        <v>159.65999999999985</v>
      </c>
      <c r="H75" s="330">
        <f>G75+'3'!H75</f>
        <v>628.70000000000073</v>
      </c>
      <c r="I75" s="131"/>
      <c r="J75" s="203">
        <f>H75/DAY(B2)</f>
        <v>157.17500000000018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305">
        <f>'3'!F76</f>
        <v>11588.32</v>
      </c>
      <c r="F76" s="297">
        <v>11641.2</v>
      </c>
      <c r="G76" s="124">
        <f t="shared" si="6"/>
        <v>52.880000000001019</v>
      </c>
      <c r="H76" s="330">
        <f>G76+'3'!H76</f>
        <v>214.20000000000073</v>
      </c>
      <c r="I76" s="156"/>
      <c r="J76" s="203">
        <f>H76/DAY(B2)</f>
        <v>53.550000000000182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305">
        <f>'3'!F77</f>
        <v>706646</v>
      </c>
      <c r="F77" s="297">
        <v>706719</v>
      </c>
      <c r="G77" s="303">
        <f t="shared" si="6"/>
        <v>73</v>
      </c>
      <c r="H77" s="330">
        <f>G77+'3'!H77</f>
        <v>266</v>
      </c>
      <c r="I77" s="156"/>
      <c r="J77" s="203">
        <f>H77/DAY(B2)</f>
        <v>66.5</v>
      </c>
      <c r="K77" s="83"/>
      <c r="L77" s="68"/>
      <c r="N77" s="73"/>
    </row>
    <row r="78" spans="1:14" ht="27.75">
      <c r="A78" s="934" t="s">
        <v>196</v>
      </c>
      <c r="B78" s="927"/>
      <c r="C78" s="927"/>
      <c r="D78" s="174" t="s">
        <v>186</v>
      </c>
      <c r="E78" s="305">
        <f>'3'!F78</f>
        <v>679190</v>
      </c>
      <c r="F78" s="297">
        <v>679308</v>
      </c>
      <c r="G78" s="124">
        <f t="shared" si="6"/>
        <v>118</v>
      </c>
      <c r="H78" s="330">
        <f>G78+'3'!H78</f>
        <v>455</v>
      </c>
      <c r="I78" s="156"/>
      <c r="J78" s="203">
        <f>H78/DAY(B2)</f>
        <v>113.75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305">
        <f>'3'!F79</f>
        <v>840659</v>
      </c>
      <c r="F79" s="297">
        <v>840821</v>
      </c>
      <c r="G79" s="124">
        <f t="shared" si="6"/>
        <v>162</v>
      </c>
      <c r="H79" s="330">
        <f>G79+'3'!H79</f>
        <v>606</v>
      </c>
      <c r="I79" s="156"/>
      <c r="J79" s="203">
        <f>H79/DAY(B2)</f>
        <v>151.5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305">
        <f>'3'!F80</f>
        <v>553190.64</v>
      </c>
      <c r="F80" s="297">
        <v>553576.84</v>
      </c>
      <c r="G80" s="124">
        <f t="shared" si="6"/>
        <v>386.19999999995343</v>
      </c>
      <c r="H80" s="330">
        <f>G80+'3'!H80</f>
        <v>1624.8399999999674</v>
      </c>
      <c r="I80" s="156"/>
      <c r="J80" s="203">
        <f>H80/DAY(B2)</f>
        <v>406.20999999999185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305">
        <f>'3'!F81</f>
        <v>649428.80000000005</v>
      </c>
      <c r="F81" s="297">
        <v>649629.96</v>
      </c>
      <c r="G81" s="124">
        <f t="shared" si="6"/>
        <v>201.15999999991618</v>
      </c>
      <c r="H81" s="330">
        <f>G81+'3'!H81</f>
        <v>611.95999999996275</v>
      </c>
      <c r="I81" s="156"/>
      <c r="J81" s="203">
        <f>H81/DAY(B2)</f>
        <v>152.98999999999069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305">
        <f>'3'!F82</f>
        <v>109388.01</v>
      </c>
      <c r="F82" s="305">
        <v>109413</v>
      </c>
      <c r="G82" s="124">
        <f t="shared" si="6"/>
        <v>24.990000000005239</v>
      </c>
      <c r="H82" s="330">
        <f>G82+'3'!H82</f>
        <v>77</v>
      </c>
      <c r="I82" s="137"/>
      <c r="J82" s="203">
        <f>H82/DAY(B2)</f>
        <v>19.25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305">
        <f>'3'!F83</f>
        <v>35984</v>
      </c>
      <c r="F83" s="1031">
        <v>36306</v>
      </c>
      <c r="G83" s="124">
        <f t="shared" si="6"/>
        <v>322</v>
      </c>
      <c r="H83" s="330">
        <f>G83+'3'!H83</f>
        <v>1281</v>
      </c>
      <c r="I83" s="132"/>
      <c r="J83" s="203">
        <f>H83/DAY(B2)</f>
        <v>320.25</v>
      </c>
      <c r="K83" s="82"/>
      <c r="L83" s="68"/>
      <c r="N83" s="73"/>
    </row>
    <row r="84" spans="1:15">
      <c r="A84" s="935" t="s">
        <v>200</v>
      </c>
      <c r="B84" s="222"/>
      <c r="C84" s="222"/>
      <c r="D84" s="129" t="s">
        <v>131</v>
      </c>
      <c r="E84" s="305">
        <f>'3'!F84</f>
        <v>549631</v>
      </c>
      <c r="F84" s="298">
        <v>550318</v>
      </c>
      <c r="G84" s="124">
        <f t="shared" si="6"/>
        <v>687</v>
      </c>
      <c r="H84" s="330">
        <f>G84+'3'!H84</f>
        <v>2925</v>
      </c>
      <c r="I84" s="132"/>
      <c r="J84" s="203">
        <f>H84/DAY(B2)</f>
        <v>731.25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2203.1899999998786</v>
      </c>
      <c r="H85" s="330">
        <f>G85+'3'!H85</f>
        <v>8754.1999999999316</v>
      </c>
      <c r="I85" s="132"/>
      <c r="J85" s="203">
        <f>H85/DAY(B2)</f>
        <v>2188.5499999999829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'3'!F86</f>
        <v>462954.52</v>
      </c>
      <c r="F86" s="298">
        <v>462966.04</v>
      </c>
      <c r="G86" s="356">
        <f t="shared" ref="G86:G87" si="7">F86-E86</f>
        <v>11.519999999960419</v>
      </c>
      <c r="H86" s="330">
        <f>G86+'3'!H86</f>
        <v>459.03999999997905</v>
      </c>
      <c r="I86" s="303"/>
      <c r="J86" s="358">
        <f>H86/DAY(B2)</f>
        <v>114.75999999999476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'3'!F87</f>
        <v>83024</v>
      </c>
      <c r="F87" s="298">
        <v>83053.7</v>
      </c>
      <c r="G87" s="356">
        <f t="shared" si="7"/>
        <v>29.69999999999709</v>
      </c>
      <c r="H87" s="330">
        <f>G87+'3'!H87</f>
        <v>99.69999999999709</v>
      </c>
      <c r="I87" s="303"/>
      <c r="J87" s="358">
        <f>H87/DAY(B2)</f>
        <v>24.924999999999272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'3'!F89</f>
        <v>67200.7</v>
      </c>
      <c r="F89" s="298">
        <v>67237.600000000006</v>
      </c>
      <c r="G89" s="356">
        <f>F89-E89</f>
        <v>36.900000000008731</v>
      </c>
      <c r="H89" s="330">
        <f>G89+'3'!H89</f>
        <v>148.60000000000582</v>
      </c>
      <c r="I89" s="303"/>
      <c r="J89" s="358">
        <f>H89/DAY(B2)</f>
        <v>37.150000000001455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'3'!F90</f>
        <v>3472.8</v>
      </c>
      <c r="F90" s="298">
        <v>3477.4</v>
      </c>
      <c r="G90" s="356">
        <f t="shared" ref="G90:G91" si="8">F90-E90</f>
        <v>4.5999999999999091</v>
      </c>
      <c r="H90" s="330">
        <f>G90+'3'!H90</f>
        <v>13.400000000000091</v>
      </c>
      <c r="I90" s="303"/>
      <c r="J90" s="358">
        <f>H90/DAY(B2)</f>
        <v>3.3500000000000227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'3'!F91</f>
        <v>28524.59</v>
      </c>
      <c r="F91" s="298">
        <v>28535.599999999999</v>
      </c>
      <c r="G91" s="356">
        <f t="shared" si="8"/>
        <v>11.009999999998399</v>
      </c>
      <c r="H91" s="330">
        <f>G91+'3'!H91</f>
        <v>11.009999999998399</v>
      </c>
      <c r="I91" s="303"/>
      <c r="J91" s="358">
        <f>H91/DAY(B2)</f>
        <v>2.7524999999995998</v>
      </c>
      <c r="K91" s="384"/>
      <c r="L91" s="385"/>
      <c r="N91" s="428"/>
      <c r="O91" s="73"/>
    </row>
    <row r="92" spans="1:15" s="70" customFormat="1">
      <c r="A92" s="257" t="s">
        <v>204</v>
      </c>
      <c r="B92" s="937"/>
      <c r="C92" s="937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'3'!F93</f>
        <v>250603</v>
      </c>
      <c r="F93" s="285">
        <v>250700</v>
      </c>
      <c r="G93" s="124">
        <f t="shared" ref="G93:G94" si="9">F93-E93</f>
        <v>97</v>
      </c>
      <c r="H93" s="330">
        <f>G93+'3'!H93</f>
        <v>386</v>
      </c>
      <c r="I93" s="131"/>
      <c r="J93" s="203">
        <f>H93/DAY(B2)</f>
        <v>96.5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'3'!F94</f>
        <v>193395</v>
      </c>
      <c r="F94" s="285">
        <v>193523</v>
      </c>
      <c r="G94" s="124">
        <f t="shared" si="9"/>
        <v>128</v>
      </c>
      <c r="H94" s="330">
        <f>G94+'3'!H94</f>
        <v>625</v>
      </c>
      <c r="I94" s="131"/>
      <c r="J94" s="203">
        <f>H94/DAY(B2)</f>
        <v>156.25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/>
      <c r="F95" s="285"/>
      <c r="G95" s="124">
        <f>G93+G94</f>
        <v>225</v>
      </c>
      <c r="H95" s="330">
        <f>G95+'3'!H95</f>
        <v>705</v>
      </c>
      <c r="I95" s="131"/>
      <c r="J95" s="203">
        <f>H95/DAY(B2)</f>
        <v>176.25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'3'!F96</f>
        <v>418736</v>
      </c>
      <c r="F96" s="285">
        <v>418827</v>
      </c>
      <c r="G96" s="124">
        <f t="shared" ref="G96:G101" si="10">F96-E96</f>
        <v>91</v>
      </c>
      <c r="H96" s="330">
        <f>G96+'3'!H96</f>
        <v>291</v>
      </c>
      <c r="I96" s="131"/>
      <c r="J96" s="203">
        <f>H96/DAY(B2)</f>
        <v>72.75</v>
      </c>
      <c r="K96" s="71"/>
      <c r="L96" s="68"/>
      <c r="N96" s="73"/>
    </row>
    <row r="97" spans="1:14" ht="27.75">
      <c r="A97" s="931" t="s">
        <v>209</v>
      </c>
      <c r="B97" s="932"/>
      <c r="C97" s="932"/>
      <c r="D97" s="174" t="s">
        <v>143</v>
      </c>
      <c r="E97" s="135">
        <f>'3'!F97</f>
        <v>103930</v>
      </c>
      <c r="F97" s="285">
        <v>103952</v>
      </c>
      <c r="G97" s="124">
        <f t="shared" si="10"/>
        <v>22</v>
      </c>
      <c r="H97" s="330">
        <f>G97+'3'!H97</f>
        <v>103</v>
      </c>
      <c r="I97" s="131"/>
      <c r="J97" s="203">
        <f>H97/DAY(B2)</f>
        <v>25.75</v>
      </c>
      <c r="K97" s="80"/>
      <c r="L97" s="68"/>
      <c r="N97" s="73"/>
    </row>
    <row r="98" spans="1:14" ht="27.75">
      <c r="A98" s="931" t="s">
        <v>210</v>
      </c>
      <c r="B98" s="932"/>
      <c r="C98" s="932"/>
      <c r="D98" s="174" t="s">
        <v>143</v>
      </c>
      <c r="E98" s="135">
        <f>'3'!F98</f>
        <v>99541</v>
      </c>
      <c r="F98" s="285">
        <v>99566</v>
      </c>
      <c r="G98" s="124">
        <f t="shared" si="10"/>
        <v>25</v>
      </c>
      <c r="H98" s="330">
        <f>G98+'3'!H98</f>
        <v>118</v>
      </c>
      <c r="I98" s="131"/>
      <c r="J98" s="203">
        <f>H98/DAY(B2)</f>
        <v>29.5</v>
      </c>
      <c r="K98" s="85"/>
      <c r="L98" s="68"/>
      <c r="N98" s="73"/>
    </row>
    <row r="99" spans="1:14" ht="27.75">
      <c r="A99" s="931" t="s">
        <v>211</v>
      </c>
      <c r="B99" s="932"/>
      <c r="C99" s="932"/>
      <c r="D99" s="174" t="s">
        <v>143</v>
      </c>
      <c r="E99" s="135">
        <f>'3'!F99</f>
        <v>151309</v>
      </c>
      <c r="F99" s="285">
        <v>151333</v>
      </c>
      <c r="G99" s="124">
        <f t="shared" si="10"/>
        <v>24</v>
      </c>
      <c r="H99" s="330">
        <f>G99+'3'!H99</f>
        <v>82</v>
      </c>
      <c r="I99" s="131"/>
      <c r="J99" s="203">
        <f>H99/DAY(B2)</f>
        <v>20.5</v>
      </c>
      <c r="K99" s="71"/>
      <c r="L99" s="68"/>
      <c r="N99" s="73"/>
    </row>
    <row r="100" spans="1:14" ht="27.75">
      <c r="A100" s="931" t="s">
        <v>212</v>
      </c>
      <c r="B100" s="932"/>
      <c r="C100" s="932"/>
      <c r="D100" s="174" t="s">
        <v>143</v>
      </c>
      <c r="E100" s="135">
        <f>'3'!F100</f>
        <v>8219</v>
      </c>
      <c r="F100" s="285">
        <v>8229</v>
      </c>
      <c r="G100" s="124">
        <f t="shared" si="10"/>
        <v>10</v>
      </c>
      <c r="H100" s="330">
        <f>G100+'3'!H100</f>
        <v>64</v>
      </c>
      <c r="I100" s="131"/>
      <c r="J100" s="203">
        <f>H100/DAY(B2)</f>
        <v>16</v>
      </c>
      <c r="K100" s="71"/>
      <c r="L100" s="68"/>
      <c r="N100" s="73"/>
    </row>
    <row r="101" spans="1:14" ht="27.75">
      <c r="A101" s="931" t="s">
        <v>213</v>
      </c>
      <c r="B101" s="932"/>
      <c r="C101" s="932"/>
      <c r="D101" s="174" t="s">
        <v>143</v>
      </c>
      <c r="E101" s="135">
        <f>'3'!F101</f>
        <v>6030</v>
      </c>
      <c r="F101" s="285">
        <v>6039</v>
      </c>
      <c r="G101" s="124">
        <f t="shared" si="10"/>
        <v>9</v>
      </c>
      <c r="H101" s="330">
        <f>G101+'3'!H101</f>
        <v>48</v>
      </c>
      <c r="I101" s="131"/>
      <c r="J101" s="203">
        <f>H101/DAY(B2)</f>
        <v>12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289"/>
      <c r="G102" s="176">
        <f>SUM(G96:G101)</f>
        <v>181</v>
      </c>
      <c r="H102" s="330">
        <f>G102+'3'!H102</f>
        <v>706</v>
      </c>
      <c r="I102" s="177"/>
      <c r="J102" s="203">
        <f>H102/DAY(B2)</f>
        <v>176.5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930"/>
      <c r="D105" s="273" t="s">
        <v>143</v>
      </c>
      <c r="E105" s="183">
        <f>'3'!F105</f>
        <v>7637</v>
      </c>
      <c r="F105" s="1159">
        <v>7836</v>
      </c>
      <c r="G105" s="941">
        <f>F105-E105</f>
        <v>199</v>
      </c>
      <c r="H105" s="330">
        <f>G105+'3'!H105</f>
        <v>199</v>
      </c>
      <c r="I105" s="183"/>
      <c r="J105" s="209">
        <f>H105/DAY(B2)</f>
        <v>49.75</v>
      </c>
      <c r="N105" s="73"/>
    </row>
    <row r="106" spans="1:14" s="93" customFormat="1" ht="27.75">
      <c r="A106" s="1192" t="s">
        <v>76</v>
      </c>
      <c r="B106" s="1193"/>
      <c r="C106" s="930"/>
      <c r="D106" s="273" t="s">
        <v>143</v>
      </c>
      <c r="E106" s="183">
        <f>'3'!F106</f>
        <v>36491</v>
      </c>
      <c r="F106" s="185">
        <v>36501</v>
      </c>
      <c r="G106" s="183">
        <f t="shared" ref="G106:G107" si="11">F106-E106</f>
        <v>10</v>
      </c>
      <c r="H106" s="330">
        <f>G106+'3'!H106</f>
        <v>41</v>
      </c>
      <c r="I106" s="183"/>
      <c r="J106" s="209">
        <f>H106/DAY(B2)</f>
        <v>10.25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'3'!F107</f>
        <v>19978</v>
      </c>
      <c r="F107" s="697">
        <v>19986</v>
      </c>
      <c r="G107" s="183">
        <f t="shared" si="11"/>
        <v>8</v>
      </c>
      <c r="H107" s="330">
        <f>G107+'3'!H107</f>
        <v>23</v>
      </c>
      <c r="I107" s="183"/>
      <c r="J107" s="209">
        <f>H107/DAY(B2)</f>
        <v>5.75</v>
      </c>
      <c r="N107" s="73"/>
    </row>
    <row r="108" spans="1:14" s="93" customFormat="1" ht="27.75">
      <c r="A108" s="1194" t="s">
        <v>201</v>
      </c>
      <c r="B108" s="1195"/>
      <c r="C108" s="930"/>
      <c r="D108" s="273"/>
      <c r="E108" s="183" t="str">
        <f>'3'!F108</f>
        <v>.</v>
      </c>
      <c r="F108" s="183"/>
      <c r="G108" s="183">
        <f>SUM(G105:G107)</f>
        <v>217</v>
      </c>
      <c r="H108" s="330">
        <f>G108+'3'!H108</f>
        <v>263</v>
      </c>
      <c r="I108" s="183"/>
      <c r="J108" s="209">
        <f>H108/DAY(B2)</f>
        <v>65.75</v>
      </c>
      <c r="N108" s="73"/>
    </row>
    <row r="109" spans="1:14" s="93" customFormat="1" ht="27.75">
      <c r="A109" s="1198" t="s">
        <v>78</v>
      </c>
      <c r="B109" s="1199"/>
      <c r="C109" s="930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930"/>
      <c r="D110" s="273" t="s">
        <v>143</v>
      </c>
      <c r="E110" s="183">
        <f>'3'!F110</f>
        <v>67323</v>
      </c>
      <c r="F110" s="183">
        <v>67424</v>
      </c>
      <c r="G110" s="183">
        <f>F110-E110</f>
        <v>101</v>
      </c>
      <c r="H110" s="330">
        <f>G110+'3'!H110</f>
        <v>321</v>
      </c>
      <c r="I110" s="183"/>
      <c r="J110" s="209">
        <f>H110/DAY(B2)</f>
        <v>80.25</v>
      </c>
      <c r="N110" s="73"/>
    </row>
    <row r="111" spans="1:14" s="93" customFormat="1" ht="27.75">
      <c r="A111" s="1192" t="s">
        <v>220</v>
      </c>
      <c r="B111" s="1193"/>
      <c r="C111" s="930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930"/>
      <c r="D112" s="273" t="s">
        <v>143</v>
      </c>
      <c r="E112" s="183">
        <f>'3'!F112</f>
        <v>4659</v>
      </c>
      <c r="F112" s="183">
        <v>4664</v>
      </c>
      <c r="G112" s="183">
        <f t="shared" si="12"/>
        <v>5</v>
      </c>
      <c r="H112" s="330">
        <f>G112+'3'!H112</f>
        <v>42</v>
      </c>
      <c r="I112" s="183"/>
      <c r="J112" s="209">
        <f>H112/DAY(B2)</f>
        <v>10.5</v>
      </c>
      <c r="N112" s="73"/>
    </row>
    <row r="113" spans="1:14" s="93" customFormat="1" ht="27.75">
      <c r="A113" s="1194" t="s">
        <v>109</v>
      </c>
      <c r="B113" s="1195"/>
      <c r="C113" s="930"/>
      <c r="D113" s="273"/>
      <c r="E113" s="183">
        <f>'3'!F113</f>
        <v>0</v>
      </c>
      <c r="F113" s="183"/>
      <c r="G113" s="183">
        <f>SUM(G110:G112)</f>
        <v>106</v>
      </c>
      <c r="H113" s="330">
        <f>G113+'3'!H113</f>
        <v>363</v>
      </c>
      <c r="I113" s="183"/>
      <c r="J113" s="209">
        <f>H113/DAY(B2)</f>
        <v>90.75</v>
      </c>
      <c r="N113" s="73"/>
    </row>
    <row r="114" spans="1:14" s="93" customFormat="1" ht="27.75">
      <c r="A114" s="1198" t="s">
        <v>222</v>
      </c>
      <c r="B114" s="1199"/>
      <c r="C114" s="930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'3'!F115</f>
        <v>12529</v>
      </c>
      <c r="F115" s="185">
        <v>12540</v>
      </c>
      <c r="G115" s="185">
        <f>F115-E115</f>
        <v>11</v>
      </c>
      <c r="H115" s="330">
        <f>G115+'3'!H115</f>
        <v>75</v>
      </c>
      <c r="I115" s="183"/>
      <c r="J115" s="209">
        <f>H115/DAY(B2)</f>
        <v>18.75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'3'!F116</f>
        <v>8857</v>
      </c>
      <c r="F116" s="185">
        <v>8864</v>
      </c>
      <c r="G116" s="185">
        <f t="shared" ref="G116:G117" si="13">F116-E116</f>
        <v>7</v>
      </c>
      <c r="H116" s="330">
        <f>G116+'3'!H116</f>
        <v>44</v>
      </c>
      <c r="I116" s="183"/>
      <c r="J116" s="209">
        <f>H116/DAY(B2)</f>
        <v>11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18</v>
      </c>
      <c r="H118" s="330">
        <f>G118+'3'!H118</f>
        <v>119</v>
      </c>
      <c r="I118" s="185"/>
      <c r="J118" s="209">
        <f>H118/DAY(B2)</f>
        <v>29.75</v>
      </c>
      <c r="N118" s="73"/>
    </row>
    <row r="119" spans="1:14" s="97" customFormat="1" ht="27.75">
      <c r="A119" s="1188" t="s">
        <v>226</v>
      </c>
      <c r="B119" s="1189"/>
      <c r="C119" s="928"/>
      <c r="D119" s="275" t="s">
        <v>143</v>
      </c>
      <c r="E119" s="187"/>
      <c r="F119" s="187">
        <f>SUM(G19+G93)</f>
        <v>158</v>
      </c>
      <c r="G119" s="187">
        <f>SUM(G19+G93)</f>
        <v>158</v>
      </c>
      <c r="H119" s="330">
        <f>G119+'3'!H119</f>
        <v>630</v>
      </c>
      <c r="I119" s="186"/>
      <c r="J119" s="210">
        <f>H119/DAY(B2)</f>
        <v>157.5</v>
      </c>
      <c r="N119" s="73"/>
    </row>
    <row r="120" spans="1:14" s="97" customFormat="1" ht="27.75">
      <c r="A120" s="1188" t="s">
        <v>227</v>
      </c>
      <c r="B120" s="1189"/>
      <c r="C120" s="928"/>
      <c r="D120" s="275" t="s">
        <v>143</v>
      </c>
      <c r="E120" s="187"/>
      <c r="F120" s="187">
        <f>SUM(G96,G97,G98,G100,G101)</f>
        <v>157</v>
      </c>
      <c r="G120" s="187">
        <f>SUM(G96,G97,G98,G100,G101)</f>
        <v>157</v>
      </c>
      <c r="H120" s="330">
        <f>G120+'3'!H120</f>
        <v>624</v>
      </c>
      <c r="I120" s="186"/>
      <c r="J120" s="210">
        <f>H120/DAY(B2)</f>
        <v>156</v>
      </c>
      <c r="N120" s="73"/>
    </row>
    <row r="121" spans="1:14" s="97" customFormat="1" ht="27.75">
      <c r="A121" s="1188" t="s">
        <v>228</v>
      </c>
      <c r="B121" s="1189"/>
      <c r="C121" s="928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330">
        <f>G121+'3'!H121</f>
        <v>363</v>
      </c>
      <c r="I121" s="186"/>
      <c r="J121" s="210">
        <f>H121/DAY(B2)</f>
        <v>90.75</v>
      </c>
      <c r="N121" s="73"/>
    </row>
    <row r="122" spans="1:14" s="93" customFormat="1" ht="27.75">
      <c r="A122" s="1190"/>
      <c r="B122" s="1191"/>
      <c r="C122" s="929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>
      <c r="A124" s="931" t="s">
        <v>230</v>
      </c>
      <c r="B124" s="932"/>
      <c r="C124" s="932"/>
      <c r="D124" s="174" t="s">
        <v>140</v>
      </c>
      <c r="E124" s="129">
        <f>'3'!F124</f>
        <v>848755.86</v>
      </c>
      <c r="F124" s="285">
        <v>849018.56299999997</v>
      </c>
      <c r="G124" s="124">
        <f t="shared" ref="G124:G128" si="14">F124-E124</f>
        <v>262.70299999997951</v>
      </c>
      <c r="H124" s="330">
        <f>G124+'3'!H124</f>
        <v>1052.5629999999655</v>
      </c>
      <c r="I124" s="177"/>
      <c r="J124" s="203">
        <f>H124/DAY(B2)</f>
        <v>263.14074999999139</v>
      </c>
      <c r="K124" s="71"/>
      <c r="L124" s="68"/>
      <c r="N124" s="73"/>
    </row>
    <row r="125" spans="1:14" ht="27.75">
      <c r="A125" s="931" t="s">
        <v>231</v>
      </c>
      <c r="B125" s="932"/>
      <c r="C125" s="932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'3'!F126</f>
        <v>151562.57999999999</v>
      </c>
      <c r="F126" s="285">
        <v>151638.17000000001</v>
      </c>
      <c r="G126" s="124">
        <f t="shared" si="14"/>
        <v>75.590000000025611</v>
      </c>
      <c r="H126" s="330">
        <f>G126+'3'!H126</f>
        <v>317.17000000001281</v>
      </c>
      <c r="I126" s="177"/>
      <c r="J126" s="203">
        <f>H126/DAY(B2)</f>
        <v>79.292500000003201</v>
      </c>
      <c r="K126" s="71"/>
      <c r="L126" s="68"/>
      <c r="N126" s="73"/>
    </row>
    <row r="127" spans="1:14" ht="27.75">
      <c r="A127" s="260" t="s">
        <v>233</v>
      </c>
      <c r="B127" s="932"/>
      <c r="C127" s="932"/>
      <c r="D127" s="174" t="s">
        <v>140</v>
      </c>
      <c r="E127" s="129">
        <f>'3'!F127</f>
        <v>33419.800000000003</v>
      </c>
      <c r="F127" s="300">
        <v>33464.699999999997</v>
      </c>
      <c r="G127" s="124">
        <f t="shared" si="14"/>
        <v>44.899999999994179</v>
      </c>
      <c r="H127" s="330">
        <f>G127+'3'!H127</f>
        <v>176.69999999999709</v>
      </c>
      <c r="I127" s="177"/>
      <c r="J127" s="203">
        <f>H127/DAY(B2)</f>
        <v>44.174999999999272</v>
      </c>
      <c r="K127" s="71"/>
      <c r="L127" s="68"/>
      <c r="N127" s="73"/>
    </row>
    <row r="128" spans="1:14" ht="27.75">
      <c r="A128" s="260" t="s">
        <v>234</v>
      </c>
      <c r="B128" s="932"/>
      <c r="C128" s="932"/>
      <c r="D128" s="174" t="s">
        <v>140</v>
      </c>
      <c r="E128" s="129">
        <f>'3'!F128</f>
        <v>9119</v>
      </c>
      <c r="F128" s="300">
        <v>9120.5</v>
      </c>
      <c r="G128" s="124">
        <f t="shared" si="14"/>
        <v>1.5</v>
      </c>
      <c r="H128" s="330">
        <f>G128+'3'!H128</f>
        <v>7.5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>
      <c r="A129" s="260" t="s">
        <v>235</v>
      </c>
      <c r="B129" s="932"/>
      <c r="C129" s="932"/>
      <c r="D129" s="174"/>
      <c r="E129" s="129"/>
      <c r="F129" s="285"/>
      <c r="G129" s="124">
        <f>G15-SUM(G124:G128)</f>
        <v>504.3640000000305</v>
      </c>
      <c r="H129" s="330">
        <f>G129+'3'!H129</f>
        <v>1791.2590000000637</v>
      </c>
      <c r="I129" s="131"/>
      <c r="J129" s="203">
        <f>H129/DAY(B2)</f>
        <v>447.81475000001592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>
      <c r="A131" s="931" t="s">
        <v>237</v>
      </c>
      <c r="B131" s="932"/>
      <c r="C131" s="932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>
      <c r="A132" s="1139" t="s">
        <v>267</v>
      </c>
      <c r="B132" s="932"/>
      <c r="C132" s="932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>
      <c r="A133" s="931" t="s">
        <v>240</v>
      </c>
      <c r="B133" s="932"/>
      <c r="C133" s="932"/>
      <c r="D133" s="174" t="s">
        <v>238</v>
      </c>
      <c r="E133" s="135">
        <f>'3'!F133</f>
        <v>40623.15</v>
      </c>
      <c r="F133" s="286">
        <v>40623.15</v>
      </c>
      <c r="G133" s="124">
        <f t="shared" si="15"/>
        <v>0</v>
      </c>
      <c r="H133" s="330">
        <f>G133+'3'!H133</f>
        <v>4.1500000000014552</v>
      </c>
      <c r="I133" s="131"/>
      <c r="J133" s="203">
        <f>H133/DAY(B2)</f>
        <v>1.0375000000003638</v>
      </c>
      <c r="N133" s="73"/>
    </row>
    <row r="134" spans="1:14" ht="27.75">
      <c r="A134" s="931" t="s">
        <v>241</v>
      </c>
      <c r="B134" s="932"/>
      <c r="C134" s="932"/>
      <c r="D134" s="174" t="s">
        <v>238</v>
      </c>
      <c r="E134" s="135">
        <f>'3'!F134</f>
        <v>645.15</v>
      </c>
      <c r="F134" s="300">
        <v>668.54</v>
      </c>
      <c r="G134" s="124">
        <f t="shared" si="15"/>
        <v>23.389999999999986</v>
      </c>
      <c r="H134" s="330">
        <f>G134+'3'!H134</f>
        <v>94.539999999999964</v>
      </c>
      <c r="I134" s="131">
        <f>G133+G134+G135+G136</f>
        <v>37.30999999999824</v>
      </c>
      <c r="J134" s="203">
        <f>H134/DAY(B2)</f>
        <v>23.634999999999991</v>
      </c>
      <c r="N134" s="73"/>
    </row>
    <row r="135" spans="1:14" ht="27.75">
      <c r="A135" s="931" t="s">
        <v>242</v>
      </c>
      <c r="B135" s="932"/>
      <c r="C135" s="932"/>
      <c r="D135" s="174" t="s">
        <v>238</v>
      </c>
      <c r="E135" s="135">
        <f>'3'!F135</f>
        <v>42512.43</v>
      </c>
      <c r="F135" s="300">
        <v>42526.35</v>
      </c>
      <c r="G135" s="124">
        <f t="shared" si="15"/>
        <v>13.919999999998254</v>
      </c>
      <c r="H135" s="330">
        <f>G135+'3'!H135</f>
        <v>27.349999999998545</v>
      </c>
      <c r="I135" s="131"/>
      <c r="J135" s="203">
        <f>H135/DAY(B2)</f>
        <v>6.8374999999996362</v>
      </c>
      <c r="N135" s="73"/>
    </row>
    <row r="136" spans="1:14" ht="27.75">
      <c r="A136" s="931" t="s">
        <v>243</v>
      </c>
      <c r="B136" s="932"/>
      <c r="C136" s="932"/>
      <c r="D136" s="174" t="s">
        <v>238</v>
      </c>
      <c r="E136" s="135">
        <f>'3'!F136</f>
        <v>32874</v>
      </c>
      <c r="F136" s="300">
        <v>32874</v>
      </c>
      <c r="G136" s="124">
        <f t="shared" si="15"/>
        <v>0</v>
      </c>
      <c r="H136" s="330">
        <f>G136+'3'!H136</f>
        <v>0</v>
      </c>
      <c r="I136" s="131"/>
      <c r="J136" s="203">
        <f>H136/DAY(B2)</f>
        <v>0</v>
      </c>
      <c r="N136" s="73"/>
    </row>
    <row r="137" spans="1:14" ht="27.75">
      <c r="A137" s="931" t="s">
        <v>244</v>
      </c>
      <c r="B137" s="932"/>
      <c r="C137" s="932"/>
      <c r="D137" s="174" t="s">
        <v>238</v>
      </c>
      <c r="E137" s="135">
        <f>'3'!F137</f>
        <v>23129.83</v>
      </c>
      <c r="F137" s="286">
        <v>23138.76</v>
      </c>
      <c r="G137" s="124">
        <f t="shared" si="15"/>
        <v>8.9299999999966531</v>
      </c>
      <c r="H137" s="330">
        <f>G137+'3'!H137</f>
        <v>32.19999999999709</v>
      </c>
      <c r="I137" s="131">
        <f>G137+G138+G139</f>
        <v>10.586999999984982</v>
      </c>
      <c r="J137" s="203">
        <f>H137/DAY(B2)</f>
        <v>8.0499999999992724</v>
      </c>
      <c r="N137" s="73"/>
    </row>
    <row r="138" spans="1:14" ht="27.75">
      <c r="A138" s="931" t="s">
        <v>245</v>
      </c>
      <c r="B138" s="932"/>
      <c r="C138" s="932"/>
      <c r="D138" s="174" t="s">
        <v>238</v>
      </c>
      <c r="E138" s="135">
        <f>'3'!F138</f>
        <v>25119.453000000001</v>
      </c>
      <c r="F138" s="286">
        <v>25119.45</v>
      </c>
      <c r="G138" s="124">
        <f t="shared" si="15"/>
        <v>-3.0000000006111804E-3</v>
      </c>
      <c r="H138" s="330">
        <f>G138+'3'!H138</f>
        <v>0</v>
      </c>
      <c r="I138" s="131"/>
      <c r="J138" s="203">
        <f>H138/DAY(B2)</f>
        <v>0</v>
      </c>
      <c r="N138" s="73"/>
    </row>
    <row r="139" spans="1:14" ht="27.75">
      <c r="A139" s="931" t="s">
        <v>246</v>
      </c>
      <c r="B139" s="932"/>
      <c r="C139" s="932"/>
      <c r="D139" s="174" t="s">
        <v>238</v>
      </c>
      <c r="E139" s="135">
        <f>'3'!F139</f>
        <v>70516.600000000006</v>
      </c>
      <c r="F139" s="286">
        <v>70518.259999999995</v>
      </c>
      <c r="G139" s="124">
        <f t="shared" si="15"/>
        <v>1.6599999999889405</v>
      </c>
      <c r="H139" s="330">
        <f>G139+'3'!H139</f>
        <v>1.6599999999889405</v>
      </c>
      <c r="I139" s="131"/>
      <c r="J139" s="203">
        <f>H139/DAY(B2)</f>
        <v>0.41499999999723514</v>
      </c>
      <c r="N139" s="73"/>
    </row>
    <row r="140" spans="1:14" ht="27.75">
      <c r="A140" s="931" t="s">
        <v>247</v>
      </c>
      <c r="B140" s="932"/>
      <c r="C140" s="932"/>
      <c r="D140" s="174" t="s">
        <v>238</v>
      </c>
      <c r="E140" s="135">
        <f>'3'!F140</f>
        <v>2340.64</v>
      </c>
      <c r="F140" s="300">
        <v>2350.23</v>
      </c>
      <c r="G140" s="124">
        <f t="shared" si="15"/>
        <v>9.5900000000001455</v>
      </c>
      <c r="H140" s="330">
        <f>G140+'3'!H140</f>
        <v>38.670000000000073</v>
      </c>
      <c r="I140" s="193">
        <f>G140+G141</f>
        <v>9.5900000000001455</v>
      </c>
      <c r="J140" s="203">
        <f>H140/DAY(B2)</f>
        <v>9.6675000000000182</v>
      </c>
      <c r="N140" s="73"/>
    </row>
    <row r="141" spans="1:14" ht="27.75">
      <c r="A141" s="931" t="s">
        <v>248</v>
      </c>
      <c r="B141" s="932"/>
      <c r="C141" s="932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>
      <c r="A142" s="1203" t="s">
        <v>249</v>
      </c>
      <c r="B142" s="1204"/>
      <c r="C142" s="937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288"/>
      <c r="G143" s="111">
        <f>G35+G43+G49+G57</f>
        <v>6090.7499999999418</v>
      </c>
      <c r="H143" s="330">
        <f>G143+'3'!H143</f>
        <v>23136</v>
      </c>
      <c r="I143" s="131"/>
      <c r="J143" s="203">
        <f>H143/DAY(B2)</f>
        <v>5784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292"/>
      <c r="G144" s="194">
        <f>G143/G7</f>
        <v>0.24675760326992324</v>
      </c>
      <c r="H144" s="330">
        <f>G144+'3'!H144</f>
        <v>1.0264582791289045</v>
      </c>
      <c r="I144" s="195"/>
      <c r="J144" s="203">
        <f>H144/DAY(B2)</f>
        <v>0.25661456978222613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284"/>
      <c r="G145" s="111">
        <f>G41+G42+G55+G56</f>
        <v>7495.140000000014</v>
      </c>
      <c r="H145" s="330">
        <f>G145+'3'!H145</f>
        <v>27335.469999999972</v>
      </c>
      <c r="I145" s="131"/>
      <c r="J145" s="203">
        <f>H145/DAY(B2)</f>
        <v>6833.867499999993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284"/>
      <c r="G146" s="194">
        <f>G145/G7</f>
        <v>0.30365435826007531</v>
      </c>
      <c r="H146" s="330">
        <f>G146+'3'!H146</f>
        <v>1.2119479500194703</v>
      </c>
      <c r="I146" s="195"/>
      <c r="J146" s="203">
        <f>H146/DAY(B2)</f>
        <v>0.30298698750486758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284"/>
      <c r="G147" s="111">
        <f>G39+G53</f>
        <v>3735.0500000000466</v>
      </c>
      <c r="H147" s="330">
        <f>G147+'3'!H147</f>
        <v>14982.590000000026</v>
      </c>
      <c r="I147" s="196"/>
      <c r="J147" s="203">
        <f>H147/DAY(B2)</f>
        <v>3745.6475000000064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284"/>
      <c r="G148" s="194">
        <f>G147/G7</f>
        <v>0.15131995010357463</v>
      </c>
      <c r="H148" s="330">
        <f>G148+'3'!H148</f>
        <v>0.66593078058368937</v>
      </c>
      <c r="I148" s="196"/>
      <c r="J148" s="203">
        <f>H148/DAY(B2)</f>
        <v>0.16648269514592234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284"/>
      <c r="G149" s="111">
        <f>G38+G52</f>
        <v>1684.3799999999464</v>
      </c>
      <c r="H149" s="330">
        <f>G149+'3'!H149</f>
        <v>6701.0699999999488</v>
      </c>
      <c r="I149" s="131"/>
      <c r="J149" s="203">
        <f>H149/DAY(B2)</f>
        <v>1675.2674999999872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284"/>
      <c r="G150" s="194">
        <f>G149/G7</f>
        <v>6.8240129999718277E-2</v>
      </c>
      <c r="H150" s="330">
        <f>G150+'3'!H150</f>
        <v>0.29764031076851155</v>
      </c>
      <c r="I150" s="196"/>
      <c r="J150" s="203">
        <f>H150/DAY(B2)</f>
        <v>7.4410077692127888E-2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284"/>
      <c r="G151" s="111">
        <f>G36+G50</f>
        <v>2075.8500000000058</v>
      </c>
      <c r="H151" s="330">
        <f>G151+'3'!H151</f>
        <v>7795.4000000000015</v>
      </c>
      <c r="I151" s="196"/>
      <c r="J151" s="203">
        <f>H151/DAY(B2)</f>
        <v>1948.8500000000004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284"/>
      <c r="G152" s="194">
        <f>G151/G7</f>
        <v>8.4099950046854083E-2</v>
      </c>
      <c r="H152" s="330">
        <f>G152+'3'!H152</f>
        <v>0.34513618152883341</v>
      </c>
      <c r="I152" s="131"/>
      <c r="J152" s="203">
        <f>H152/DAY(B2)</f>
        <v>8.6284045382208352E-2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284"/>
      <c r="G153" s="111">
        <f>G37+G51</f>
        <v>1605.3500000000058</v>
      </c>
      <c r="H153" s="330">
        <f>G153+'3'!H153</f>
        <v>6460.8699999999953</v>
      </c>
      <c r="I153" s="131"/>
      <c r="J153" s="203">
        <f>H153/DAY(B2)</f>
        <v>1615.2174999999988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301"/>
      <c r="G154" s="217">
        <f>G153/G7</f>
        <v>6.5038348053913966E-2</v>
      </c>
      <c r="H154" s="330">
        <f>G154+'3'!H154</f>
        <v>0.28714317099837311</v>
      </c>
      <c r="I154" s="219"/>
      <c r="J154" s="220">
        <f>H154/DAY(B2)</f>
        <v>7.1785792749593277E-2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309">
        <f>'3'!F161</f>
        <v>43569.99</v>
      </c>
      <c r="F161" s="309">
        <v>43649.5</v>
      </c>
      <c r="G161" s="124">
        <f t="shared" ref="G161:G174" si="16">F161-E161</f>
        <v>79.510000000002037</v>
      </c>
    </row>
    <row r="162" spans="1:15">
      <c r="A162" s="435" t="s">
        <v>263</v>
      </c>
      <c r="B162" s="436"/>
      <c r="C162" s="436"/>
      <c r="D162" s="162" t="s">
        <v>186</v>
      </c>
      <c r="E162" s="309">
        <f>'3'!F162</f>
        <v>123438.3</v>
      </c>
      <c r="F162" s="309">
        <v>123882</v>
      </c>
      <c r="G162" s="124">
        <f t="shared" si="16"/>
        <v>443.69999999999709</v>
      </c>
    </row>
    <row r="163" spans="1:15">
      <c r="A163" s="435" t="s">
        <v>264</v>
      </c>
      <c r="B163" s="436"/>
      <c r="C163" s="436"/>
      <c r="D163" s="162" t="s">
        <v>186</v>
      </c>
      <c r="E163" s="309">
        <v>58100.3</v>
      </c>
      <c r="F163" s="309">
        <v>58302.400000000001</v>
      </c>
      <c r="G163" s="124">
        <f t="shared" si="16"/>
        <v>202.09999999999854</v>
      </c>
    </row>
    <row r="164" spans="1:15">
      <c r="A164" s="435" t="s">
        <v>265</v>
      </c>
      <c r="B164" s="436"/>
      <c r="C164" s="436"/>
      <c r="D164" s="162" t="s">
        <v>186</v>
      </c>
      <c r="E164" s="309">
        <f>'3'!F164</f>
        <v>7172.01</v>
      </c>
      <c r="F164" s="309">
        <v>7181.73</v>
      </c>
      <c r="G164" s="124">
        <f t="shared" si="16"/>
        <v>9.7199999999993452</v>
      </c>
    </row>
    <row r="165" spans="1:15">
      <c r="A165" s="437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>
      <c r="A167" s="1187" t="s">
        <v>98</v>
      </c>
      <c r="B167" s="1187"/>
      <c r="C167" s="1187"/>
      <c r="D167" s="174" t="s">
        <v>186</v>
      </c>
      <c r="E167" s="402">
        <f>'3'!F64</f>
        <v>182982.32</v>
      </c>
      <c r="F167" s="165">
        <f t="shared" ref="F167:F172" si="17">F64</f>
        <v>183332</v>
      </c>
      <c r="G167" s="124">
        <f>F167-E167</f>
        <v>349.67999999999302</v>
      </c>
    </row>
    <row r="168" spans="1:15" ht="24.75" customHeight="1">
      <c r="A168" s="1187" t="s">
        <v>99</v>
      </c>
      <c r="B168" s="1187"/>
      <c r="C168" s="1187"/>
      <c r="D168" s="174" t="s">
        <v>186</v>
      </c>
      <c r="E168" s="402">
        <f>'3'!F65</f>
        <v>183386.09</v>
      </c>
      <c r="F168" s="165">
        <f t="shared" si="17"/>
        <v>183771</v>
      </c>
      <c r="G168" s="124">
        <f t="shared" si="16"/>
        <v>384.91000000000349</v>
      </c>
    </row>
    <row r="169" spans="1:15" ht="28.5" customHeight="1">
      <c r="A169" s="1187" t="s">
        <v>100</v>
      </c>
      <c r="B169" s="1187"/>
      <c r="C169" s="1187"/>
      <c r="D169" s="174" t="s">
        <v>186</v>
      </c>
      <c r="E169" s="402">
        <f>'3'!F66</f>
        <v>81890.31</v>
      </c>
      <c r="F169" s="165">
        <f t="shared" si="17"/>
        <v>82283.399999999994</v>
      </c>
      <c r="G169" s="124">
        <f t="shared" si="16"/>
        <v>393.08999999999651</v>
      </c>
    </row>
    <row r="170" spans="1:15" ht="24.75" customHeight="1">
      <c r="A170" s="1187" t="s">
        <v>101</v>
      </c>
      <c r="B170" s="1187"/>
      <c r="C170" s="1187"/>
      <c r="D170" s="174" t="s">
        <v>186</v>
      </c>
      <c r="E170" s="402">
        <f>'3'!F67</f>
        <v>281506.11</v>
      </c>
      <c r="F170" s="165">
        <f t="shared" si="17"/>
        <v>281982</v>
      </c>
      <c r="G170" s="124">
        <f t="shared" si="16"/>
        <v>475.89000000001397</v>
      </c>
    </row>
    <row r="171" spans="1:15" ht="24" customHeight="1">
      <c r="A171" s="1187" t="s">
        <v>102</v>
      </c>
      <c r="B171" s="1187"/>
      <c r="C171" s="1187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>
      <c r="A172" s="1187" t="s">
        <v>103</v>
      </c>
      <c r="B172" s="1187"/>
      <c r="C172" s="1187"/>
      <c r="D172" s="174" t="s">
        <v>186</v>
      </c>
      <c r="E172" s="402">
        <f>'3'!F69</f>
        <v>97500.07</v>
      </c>
      <c r="F172" s="165">
        <f t="shared" si="17"/>
        <v>97810.2</v>
      </c>
      <c r="G172" s="124">
        <f t="shared" si="16"/>
        <v>310.1299999999901</v>
      </c>
    </row>
    <row r="173" spans="1:15" ht="21.95" customHeight="1">
      <c r="A173" s="1247" t="s">
        <v>338</v>
      </c>
      <c r="B173" s="1247"/>
      <c r="C173" s="1134"/>
      <c r="D173" s="1135" t="s">
        <v>186</v>
      </c>
      <c r="E173" s="1140">
        <f>'3'!F174</f>
        <v>19144.099999999999</v>
      </c>
      <c r="F173" s="1137">
        <v>19146.3</v>
      </c>
      <c r="G173" s="1138">
        <f t="shared" si="16"/>
        <v>2.2000000000007276</v>
      </c>
      <c r="O173" s="68"/>
    </row>
    <row r="174" spans="1:15" ht="21.95" customHeight="1">
      <c r="A174" s="1247" t="s">
        <v>338</v>
      </c>
      <c r="B174" s="1247"/>
      <c r="C174" s="1134"/>
      <c r="D174" s="1135" t="s">
        <v>186</v>
      </c>
      <c r="E174" s="1140">
        <f>'3'!F175</f>
        <v>70550.399999999994</v>
      </c>
      <c r="F174" s="1137">
        <v>70557.600000000006</v>
      </c>
      <c r="G174" s="1138">
        <f t="shared" si="16"/>
        <v>7.2000000000116415</v>
      </c>
      <c r="O174" s="68"/>
    </row>
    <row r="175" spans="1:15" ht="27.75">
      <c r="A175" s="1247" t="s">
        <v>339</v>
      </c>
      <c r="B175" s="1247"/>
      <c r="C175" s="1134"/>
      <c r="D175" s="1135" t="s">
        <v>186</v>
      </c>
      <c r="E175" s="1140">
        <f>'3'!F176</f>
        <v>27809.9</v>
      </c>
      <c r="F175" s="1137">
        <v>27815.4</v>
      </c>
      <c r="G175" s="1138">
        <f>F175-E175</f>
        <v>5.5</v>
      </c>
      <c r="O175" s="68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48" zoomScaleSheetLayoutView="55" workbookViewId="0">
      <selection activeCell="D3" sqref="D3"/>
    </sheetView>
  </sheetViews>
  <sheetFormatPr defaultColWidth="22.33203125" defaultRowHeight="29.2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340</v>
      </c>
      <c r="B2" s="682">
        <v>44413</v>
      </c>
      <c r="C2" s="773" t="s">
        <v>68</v>
      </c>
      <c r="D2" s="262">
        <v>0.78710000000000002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34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73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285">
        <f>'4'!F7</f>
        <v>697948</v>
      </c>
      <c r="F7" s="876">
        <v>721003.83</v>
      </c>
      <c r="G7" s="880">
        <f>F7-E7</f>
        <v>23055.829999999958</v>
      </c>
      <c r="H7" s="330">
        <f>G7+'4'!H7</f>
        <v>113330.82999999996</v>
      </c>
      <c r="I7" s="331">
        <f>'1'!I7</f>
        <v>12000</v>
      </c>
      <c r="J7" s="332">
        <f>H7/DAY(B2)</f>
        <v>22666.16599999999</v>
      </c>
      <c r="K7" s="200"/>
      <c r="L7" s="68"/>
      <c r="N7" s="73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285">
        <f>'4'!F8</f>
        <v>706368.71</v>
      </c>
      <c r="F8" s="877">
        <v>729551.99</v>
      </c>
      <c r="G8" s="880">
        <f t="shared" ref="G8:G9" si="0">F8-E8</f>
        <v>23183.280000000028</v>
      </c>
      <c r="H8" s="330">
        <f>G8+'4'!H8</f>
        <v>113954.98999999999</v>
      </c>
      <c r="I8" s="337">
        <v>12000</v>
      </c>
      <c r="J8" s="332">
        <f>H8/DAY(B2)</f>
        <v>22790.998</v>
      </c>
      <c r="K8" s="200"/>
      <c r="L8" s="78"/>
      <c r="M8" s="91"/>
      <c r="N8" s="354"/>
      <c r="O8" s="73"/>
    </row>
    <row r="9" spans="1:15">
      <c r="A9" s="338" t="s">
        <v>133</v>
      </c>
      <c r="B9" s="339"/>
      <c r="C9" s="339"/>
      <c r="D9" s="288" t="s">
        <v>131</v>
      </c>
      <c r="E9" s="285">
        <f>'4'!F9</f>
        <v>2783560</v>
      </c>
      <c r="F9" s="873">
        <v>2806440</v>
      </c>
      <c r="G9" s="880">
        <f t="shared" si="0"/>
        <v>22880</v>
      </c>
      <c r="H9" s="330">
        <f>G9+'4'!H9</f>
        <v>109805</v>
      </c>
      <c r="I9" s="341">
        <f>I8-J8</f>
        <v>-10790.998</v>
      </c>
      <c r="J9" s="332">
        <f>H9/DAY(B2)</f>
        <v>21961</v>
      </c>
      <c r="K9" s="81"/>
      <c r="L9" s="68"/>
      <c r="N9" s="73"/>
      <c r="O9" s="73"/>
    </row>
    <row r="10" spans="1:15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73">
        <v>2606.5500000000002</v>
      </c>
      <c r="G10" s="880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76">
        <v>37000</v>
      </c>
      <c r="G11" s="880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73">
        <v>40010</v>
      </c>
      <c r="G12" s="880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>
      <c r="A13" s="343" t="s">
        <v>137</v>
      </c>
      <c r="B13" s="344"/>
      <c r="C13" s="344"/>
      <c r="D13" s="288"/>
      <c r="E13" s="284"/>
      <c r="F13" s="876"/>
      <c r="G13" s="880">
        <f>G9+G10+G11+G12</f>
        <v>22880</v>
      </c>
      <c r="H13" s="330">
        <f>G13+'4'!H13</f>
        <v>88040.55</v>
      </c>
      <c r="I13" s="346">
        <f>G7-G13</f>
        <v>175.82999999995809</v>
      </c>
      <c r="J13" s="332">
        <f>H13/DAY(B2)</f>
        <v>17608.11</v>
      </c>
      <c r="K13" s="81"/>
      <c r="L13" s="68"/>
      <c r="N13" s="73">
        <v>349</v>
      </c>
      <c r="O13" s="73"/>
    </row>
    <row r="14" spans="1:15">
      <c r="A14" s="1211" t="s">
        <v>138</v>
      </c>
      <c r="B14" s="1212"/>
      <c r="C14" s="1213"/>
      <c r="D14" s="123"/>
      <c r="E14" s="123"/>
      <c r="F14" s="744"/>
      <c r="G14" s="883"/>
      <c r="H14" s="123"/>
      <c r="I14" s="123"/>
      <c r="J14" s="202"/>
      <c r="K14" s="82"/>
      <c r="L14" s="68"/>
      <c r="N14" s="73">
        <v>432</v>
      </c>
      <c r="O14" s="73"/>
    </row>
    <row r="15" spans="1:15" s="1145" customFormat="1">
      <c r="A15" s="443" t="s">
        <v>139</v>
      </c>
      <c r="B15" s="444"/>
      <c r="C15" s="444"/>
      <c r="D15" s="175" t="s">
        <v>140</v>
      </c>
      <c r="E15" s="136">
        <f>'4'!F15</f>
        <v>1732899.192</v>
      </c>
      <c r="F15" s="136">
        <v>1733637.28</v>
      </c>
      <c r="G15" s="124">
        <f t="shared" ref="G15" si="2">F15-E15</f>
        <v>738.08799999998882</v>
      </c>
      <c r="H15" s="137">
        <f>G15+'4'!H15</f>
        <v>4083.2800000000279</v>
      </c>
      <c r="I15" s="125">
        <v>800</v>
      </c>
      <c r="J15" s="204">
        <f>H15/DAY(B2)</f>
        <v>816.65600000000563</v>
      </c>
      <c r="K15" s="81"/>
      <c r="L15" s="1144"/>
      <c r="N15" s="1146"/>
      <c r="O15" s="1146"/>
    </row>
    <row r="16" spans="1:15">
      <c r="A16" s="441"/>
      <c r="B16" s="442"/>
      <c r="C16" s="442"/>
      <c r="D16" s="439"/>
      <c r="E16" s="879"/>
      <c r="F16" s="879"/>
      <c r="G16" s="880"/>
      <c r="H16" s="881"/>
      <c r="I16" s="742">
        <f>I15-J15</f>
        <v>-16.656000000005633</v>
      </c>
      <c r="J16" s="882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744"/>
      <c r="G17" s="881"/>
      <c r="H17" s="123"/>
      <c r="I17" s="123"/>
      <c r="J17" s="202"/>
      <c r="K17" s="81"/>
      <c r="L17" s="68"/>
      <c r="N17" s="73"/>
      <c r="O17" s="73"/>
    </row>
    <row r="18" spans="1:15" ht="27.75">
      <c r="A18" s="1248" t="s">
        <v>142</v>
      </c>
      <c r="B18" s="1249"/>
      <c r="C18" s="1250"/>
      <c r="D18" s="288" t="s">
        <v>143</v>
      </c>
      <c r="E18" s="879">
        <f>'4'!F18</f>
        <v>13</v>
      </c>
      <c r="F18" s="873">
        <v>18</v>
      </c>
      <c r="G18" s="880">
        <f>F18*10</f>
        <v>180</v>
      </c>
      <c r="H18" s="330">
        <f>G18+'4'!H18</f>
        <v>810</v>
      </c>
      <c r="I18" s="331">
        <f>'1'!I18</f>
        <v>65</v>
      </c>
      <c r="J18" s="332">
        <f>H18/DAY(B2)</f>
        <v>162</v>
      </c>
      <c r="K18" s="81"/>
      <c r="L18" s="68"/>
      <c r="N18" s="73"/>
      <c r="O18" s="73"/>
    </row>
    <row r="19" spans="1:15" ht="27.75">
      <c r="A19" s="1248" t="s">
        <v>70</v>
      </c>
      <c r="B19" s="1249"/>
      <c r="C19" s="1250"/>
      <c r="D19" s="288" t="s">
        <v>143</v>
      </c>
      <c r="E19" s="285">
        <f>'4'!F19</f>
        <v>143634</v>
      </c>
      <c r="F19" s="873">
        <v>143696</v>
      </c>
      <c r="G19" s="880">
        <f t="shared" ref="G19" si="3">F19-E19</f>
        <v>62</v>
      </c>
      <c r="H19" s="330">
        <f>G19+'4'!H19</f>
        <v>306</v>
      </c>
      <c r="I19" s="347"/>
      <c r="J19" s="332">
        <f>H19/DAY(B2)</f>
        <v>61.2</v>
      </c>
      <c r="K19" s="81"/>
      <c r="L19" s="68"/>
      <c r="N19" s="73"/>
      <c r="O19" s="73"/>
    </row>
    <row r="20" spans="1:15">
      <c r="A20" s="343" t="s">
        <v>144</v>
      </c>
      <c r="B20" s="344"/>
      <c r="C20" s="344"/>
      <c r="D20" s="288"/>
      <c r="E20" s="288"/>
      <c r="F20" s="288"/>
      <c r="G20" s="884">
        <f>G18+G19</f>
        <v>242</v>
      </c>
      <c r="H20" s="330">
        <f>G20+'4'!H20</f>
        <v>1116</v>
      </c>
      <c r="I20" s="349">
        <f>I18-J20</f>
        <v>-158.19999999999999</v>
      </c>
      <c r="J20" s="332">
        <f>H20/DAY(B2)</f>
        <v>223.2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23183.280000000028</v>
      </c>
      <c r="F27" s="152">
        <v>9</v>
      </c>
      <c r="G27" s="153">
        <f>E27*F27</f>
        <v>208649.52000000025</v>
      </c>
      <c r="H27" s="111">
        <f>G27+'4'!H27</f>
        <v>1025594.9099999999</v>
      </c>
      <c r="I27" s="154"/>
      <c r="J27" s="203">
        <f>H27/DAY(B2)</f>
        <v>205118.98199999999</v>
      </c>
      <c r="K27" s="65"/>
      <c r="L27" s="94"/>
      <c r="N27" s="73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738.08799999998882</v>
      </c>
      <c r="F28" s="152">
        <v>54.5</v>
      </c>
      <c r="G28" s="153">
        <f>E28*F28</f>
        <v>40225.795999999391</v>
      </c>
      <c r="H28" s="111">
        <f>G28+'4'!H28</f>
        <v>222538.76000000152</v>
      </c>
      <c r="I28" s="156"/>
      <c r="J28" s="203">
        <f>H28/DAY(B2)</f>
        <v>44507.752000000306</v>
      </c>
      <c r="K28" s="65"/>
      <c r="L28" s="94"/>
      <c r="N28" s="73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G30+'4'!H30</f>
        <v>44676</v>
      </c>
      <c r="I30" s="156"/>
      <c r="J30" s="203">
        <f>H30/DAY(B2)</f>
        <v>8935.2000000000007</v>
      </c>
      <c r="K30" s="65"/>
      <c r="L30" s="94"/>
      <c r="N30" s="73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G31+'4'!H31</f>
        <v>64800</v>
      </c>
      <c r="I31" s="156"/>
      <c r="J31" s="203">
        <f>H31/DAY(B2)</f>
        <v>12960</v>
      </c>
      <c r="K31" s="65"/>
      <c r="L31" s="94"/>
      <c r="N31" s="73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272327.31599999964</v>
      </c>
      <c r="H32" s="111">
        <f>G32+'4'!H32</f>
        <v>1357609.6700000013</v>
      </c>
      <c r="I32" s="160"/>
      <c r="J32" s="203">
        <f>H32/DAY(B2)</f>
        <v>271521.93400000024</v>
      </c>
      <c r="K32" s="65"/>
      <c r="L32" s="94"/>
      <c r="N32" s="73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66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>
      <c r="A36" s="229" t="s">
        <v>164</v>
      </c>
      <c r="B36" s="230"/>
      <c r="C36" s="230"/>
      <c r="D36" s="174" t="s">
        <v>131</v>
      </c>
      <c r="E36" s="161">
        <f>'4'!F36</f>
        <v>49865.4</v>
      </c>
      <c r="F36" s="866">
        <v>50623.64</v>
      </c>
      <c r="G36" s="124">
        <f t="shared" si="5"/>
        <v>758.23999999999796</v>
      </c>
      <c r="H36" s="111">
        <f>G36+'4'!H36</f>
        <v>3825.6399999999994</v>
      </c>
      <c r="I36" s="106"/>
      <c r="J36" s="203">
        <f>H36/DAY(B2)</f>
        <v>765.12799999999993</v>
      </c>
      <c r="K36" s="81"/>
      <c r="L36" s="68"/>
      <c r="N36" s="279"/>
      <c r="O36" s="73"/>
    </row>
    <row r="37" spans="1:15">
      <c r="A37" s="229" t="s">
        <v>165</v>
      </c>
      <c r="B37" s="230"/>
      <c r="C37" s="230"/>
      <c r="D37" s="174" t="s">
        <v>131</v>
      </c>
      <c r="E37" s="161">
        <f>'4'!F37</f>
        <v>232634</v>
      </c>
      <c r="F37" s="866">
        <v>234259</v>
      </c>
      <c r="G37" s="124">
        <f t="shared" si="5"/>
        <v>1625</v>
      </c>
      <c r="H37" s="111">
        <f>G37+'4'!H37</f>
        <v>8086</v>
      </c>
      <c r="I37" s="106"/>
      <c r="J37" s="203">
        <f>H37/DAY(B2)</f>
        <v>1617.2</v>
      </c>
      <c r="K37" s="81"/>
      <c r="L37" s="68"/>
      <c r="N37" s="280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'4'!F38</f>
        <v>255260</v>
      </c>
      <c r="F38" s="867">
        <v>256974</v>
      </c>
      <c r="G38" s="124">
        <f t="shared" si="5"/>
        <v>1714</v>
      </c>
      <c r="H38" s="111">
        <f>G38+'4'!H38</f>
        <v>8415</v>
      </c>
      <c r="I38" s="106"/>
      <c r="J38" s="203">
        <f>H38/DAY(B2)</f>
        <v>1683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'4'!F39</f>
        <v>535501</v>
      </c>
      <c r="F39" s="866">
        <v>539262</v>
      </c>
      <c r="G39" s="124">
        <f t="shared" si="5"/>
        <v>3761</v>
      </c>
      <c r="H39" s="111">
        <f>G39+'4'!H39</f>
        <v>18744</v>
      </c>
      <c r="I39" s="106"/>
      <c r="J39" s="203">
        <f>H39/DAY(B2)</f>
        <v>3748.8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'4'!F40</f>
        <v>22194.1</v>
      </c>
      <c r="F40" s="866">
        <v>22715.4</v>
      </c>
      <c r="G40" s="124">
        <f t="shared" si="5"/>
        <v>521.30000000000291</v>
      </c>
      <c r="H40" s="111">
        <f>G40+'4'!H40</f>
        <v>2542.4000000000015</v>
      </c>
      <c r="I40" s="106"/>
      <c r="J40" s="203">
        <f>H40/DAY(B2)</f>
        <v>508.4800000000003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'4'!F41</f>
        <v>367737.47</v>
      </c>
      <c r="F41" s="866">
        <v>367737.47</v>
      </c>
      <c r="G41" s="124">
        <f t="shared" si="5"/>
        <v>0</v>
      </c>
      <c r="H41" s="111">
        <f>G41+'4'!H41</f>
        <v>897.46999999997206</v>
      </c>
      <c r="I41" s="106"/>
      <c r="J41" s="203">
        <f>H41/DAY(B2)</f>
        <v>179.4939999999944</v>
      </c>
      <c r="K41" s="81"/>
      <c r="L41" s="68"/>
      <c r="N41" s="73"/>
      <c r="O41" s="73"/>
    </row>
    <row r="42" spans="1:15">
      <c r="A42" s="229" t="s">
        <v>170</v>
      </c>
      <c r="B42" s="230"/>
      <c r="C42" s="230"/>
      <c r="D42" s="174" t="s">
        <v>131</v>
      </c>
      <c r="E42" s="161">
        <f>'4'!F42</f>
        <v>136521</v>
      </c>
      <c r="F42" s="866">
        <v>138752</v>
      </c>
      <c r="G42" s="124">
        <f t="shared" si="5"/>
        <v>2231</v>
      </c>
      <c r="H42" s="111">
        <f>G42+'4'!H42</f>
        <v>23240</v>
      </c>
      <c r="I42" s="106"/>
      <c r="J42" s="203">
        <f>H42/DAY(B2)</f>
        <v>4648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'4'!F43</f>
        <v>1215360</v>
      </c>
      <c r="F43" s="866">
        <v>1218280</v>
      </c>
      <c r="G43" s="124">
        <f t="shared" si="5"/>
        <v>2920</v>
      </c>
      <c r="H43" s="111">
        <f>G43+'4'!H43</f>
        <v>13819</v>
      </c>
      <c r="I43" s="106"/>
      <c r="J43" s="203">
        <f>H43/DAY(B2)</f>
        <v>2763.8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'4'!F44</f>
        <v>0</v>
      </c>
      <c r="F44" s="866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66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66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868"/>
      <c r="G47" s="132">
        <f>G35+G36+G37+G38+G39+G40+G41+G42+G43+G44+G45+G46</f>
        <v>13530.54</v>
      </c>
      <c r="H47" s="111">
        <f>G47+'4'!H47</f>
        <v>80370.50999999998</v>
      </c>
      <c r="I47" s="106"/>
      <c r="J47" s="203">
        <f>H47/DAY(B2)</f>
        <v>16074.101999999995</v>
      </c>
      <c r="K47" s="81"/>
      <c r="L47" s="68"/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869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'4'!F49</f>
        <v>336325</v>
      </c>
      <c r="F49" s="866">
        <v>339450</v>
      </c>
      <c r="G49" s="124">
        <f t="shared" ref="G49:G58" si="6">F49-E49</f>
        <v>3125</v>
      </c>
      <c r="H49" s="111">
        <f>G49+'4'!H49</f>
        <v>15362</v>
      </c>
      <c r="I49" s="106"/>
      <c r="J49" s="203">
        <f>H49/DAY(B2)</f>
        <v>3072.4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'4'!F50</f>
        <v>574653</v>
      </c>
      <c r="F50" s="866">
        <v>576068</v>
      </c>
      <c r="G50" s="124">
        <f t="shared" si="6"/>
        <v>1415</v>
      </c>
      <c r="H50" s="111">
        <f>G50+'4'!H50</f>
        <v>6143</v>
      </c>
      <c r="I50" s="106"/>
      <c r="J50" s="203">
        <f>H50/DAY(B2)</f>
        <v>1228.5999999999999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'4'!F51</f>
        <v>144639.87</v>
      </c>
      <c r="F51" s="866">
        <v>144639.87</v>
      </c>
      <c r="G51" s="124">
        <f t="shared" si="6"/>
        <v>0</v>
      </c>
      <c r="H51" s="111">
        <f>G51+'4'!H51</f>
        <v>-0.13000000000465661</v>
      </c>
      <c r="I51" s="106"/>
      <c r="J51" s="203">
        <f>H51/DAY(B2)</f>
        <v>-2.6000000000931323E-2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'4'!F52</f>
        <v>539606.06999999995</v>
      </c>
      <c r="F52" s="866">
        <v>539606.06999999995</v>
      </c>
      <c r="G52" s="124">
        <f t="shared" si="6"/>
        <v>0</v>
      </c>
      <c r="H52" s="111">
        <f>G52+'4'!H52</f>
        <v>6.9999999948777258E-2</v>
      </c>
      <c r="I52" s="106"/>
      <c r="J52" s="203">
        <f>H52/DAY(B2)</f>
        <v>1.3999999989755452E-2</v>
      </c>
      <c r="K52" s="81"/>
      <c r="L52" s="68"/>
      <c r="N52" s="73"/>
      <c r="O52" s="73"/>
    </row>
    <row r="53" spans="1:15">
      <c r="A53" s="229" t="s">
        <v>167</v>
      </c>
      <c r="B53" s="252"/>
      <c r="C53" s="252"/>
      <c r="D53" s="174" t="s">
        <v>131</v>
      </c>
      <c r="E53" s="161">
        <f>'4'!F53</f>
        <v>434231.59</v>
      </c>
      <c r="F53" s="866">
        <v>434231.59</v>
      </c>
      <c r="G53" s="124">
        <f t="shared" si="6"/>
        <v>0</v>
      </c>
      <c r="H53" s="111">
        <f>G53+'4'!H53</f>
        <v>-0.40999999997438863</v>
      </c>
      <c r="I53" s="106"/>
      <c r="J53" s="203">
        <f>H53/DAY(B2)</f>
        <v>-8.1999999994877726E-2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'4'!F54</f>
        <v>14967</v>
      </c>
      <c r="F54" s="866">
        <v>14967</v>
      </c>
      <c r="G54" s="124">
        <f t="shared" si="6"/>
        <v>0</v>
      </c>
      <c r="H54" s="111">
        <f>G54+'4'!H54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'4'!F55</f>
        <v>241059</v>
      </c>
      <c r="F55" s="878">
        <v>246446</v>
      </c>
      <c r="G55" s="124">
        <f t="shared" si="6"/>
        <v>5387</v>
      </c>
      <c r="H55" s="111">
        <f>G55+'4'!H55</f>
        <v>10772</v>
      </c>
      <c r="I55" s="106"/>
      <c r="J55" s="203">
        <f>H55/DAY(B2)</f>
        <v>2154.4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'4'!F56</f>
        <v>649405</v>
      </c>
      <c r="F56" s="878">
        <v>649417</v>
      </c>
      <c r="G56" s="124">
        <f t="shared" si="6"/>
        <v>12</v>
      </c>
      <c r="H56" s="111">
        <f>G56+'4'!H56</f>
        <v>56</v>
      </c>
      <c r="I56" s="106"/>
      <c r="J56" s="203">
        <f>H56/DAY(B2)</f>
        <v>11.2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66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'4'!F58</f>
        <v>60531.9</v>
      </c>
      <c r="F58" s="870">
        <v>60727.9</v>
      </c>
      <c r="G58" s="124">
        <f t="shared" si="6"/>
        <v>196</v>
      </c>
      <c r="H58" s="111">
        <f>G58+'4'!H58</f>
        <v>1048.9000000000015</v>
      </c>
      <c r="I58" s="106"/>
      <c r="J58" s="203">
        <f>H58/DAY(B2)</f>
        <v>209.78000000000029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868"/>
      <c r="G59" s="132">
        <f>G49+G50+G51+G52+G53+G54+G55+G56+G57+G58</f>
        <v>10135</v>
      </c>
      <c r="H59" s="111">
        <f>G59+'4'!H59</f>
        <v>33381.429999999971</v>
      </c>
      <c r="I59" s="106">
        <f>G7-G60</f>
        <v>-609.71000000004278</v>
      </c>
      <c r="J59" s="203">
        <f>H59/DAY(B2)</f>
        <v>6676.2859999999946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868"/>
      <c r="G60" s="132">
        <f>G47+G59</f>
        <v>23665.54</v>
      </c>
      <c r="H60" s="111">
        <f>G60+'4'!H60</f>
        <v>113751.93999999994</v>
      </c>
      <c r="I60" s="106">
        <f>G13-G60</f>
        <v>-785.54000000000087</v>
      </c>
      <c r="J60" s="203">
        <f>H60/DAY(B2)</f>
        <v>22750.387999999988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871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'4'!F62</f>
        <v>0</v>
      </c>
      <c r="F62" s="872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'4'!F63</f>
        <v>0</v>
      </c>
      <c r="F63" s="872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'4'!F64</f>
        <v>183332</v>
      </c>
      <c r="F64" s="873">
        <v>183709</v>
      </c>
      <c r="G64" s="124">
        <f t="shared" si="7"/>
        <v>377</v>
      </c>
      <c r="H64" s="111">
        <f>G64+'4'!H64</f>
        <v>1849</v>
      </c>
      <c r="I64" s="131"/>
      <c r="J64" s="203">
        <f>H64/DAY(B2)</f>
        <v>369.8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'4'!F65</f>
        <v>183771</v>
      </c>
      <c r="F65" s="874">
        <v>184160</v>
      </c>
      <c r="G65" s="124">
        <f t="shared" si="7"/>
        <v>389</v>
      </c>
      <c r="H65" s="111">
        <f>G65+'4'!H65</f>
        <v>1951</v>
      </c>
      <c r="I65" s="140"/>
      <c r="J65" s="203">
        <f>H65/DAY(B2)</f>
        <v>390.2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'4'!F66</f>
        <v>82283.399999999994</v>
      </c>
      <c r="F66" s="873">
        <v>82676.100000000006</v>
      </c>
      <c r="G66" s="124">
        <f t="shared" si="7"/>
        <v>392.70000000001164</v>
      </c>
      <c r="H66" s="111">
        <f>G66+'4'!H66</f>
        <v>2004.1000000000058</v>
      </c>
      <c r="I66" s="131"/>
      <c r="J66" s="203">
        <f>H66/DAY(B2)</f>
        <v>400.82000000000119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'4'!F67</f>
        <v>281982</v>
      </c>
      <c r="F67" s="873">
        <v>282467</v>
      </c>
      <c r="G67" s="124">
        <f t="shared" si="7"/>
        <v>485</v>
      </c>
      <c r="H67" s="111">
        <f>G67+'4'!H67</f>
        <v>2409</v>
      </c>
      <c r="I67" s="140"/>
      <c r="J67" s="203">
        <f>H67/DAY(B2)</f>
        <v>481.8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'4'!F68</f>
        <v>85321</v>
      </c>
      <c r="F68" s="873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'4'!F69</f>
        <v>97810.2</v>
      </c>
      <c r="F69" s="873">
        <v>98142.8</v>
      </c>
      <c r="G69" s="124">
        <f t="shared" si="7"/>
        <v>332.60000000000582</v>
      </c>
      <c r="H69" s="111">
        <f>G69+'4'!H69</f>
        <v>1585.8000000000029</v>
      </c>
      <c r="I69" s="167"/>
      <c r="J69" s="203">
        <f>H69/DAY(B2)</f>
        <v>317.16000000000059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875"/>
      <c r="G70" s="169"/>
      <c r="H70" s="111"/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'4'!F72</f>
        <v>856663</v>
      </c>
      <c r="F72" s="885">
        <v>856676</v>
      </c>
      <c r="G72" s="124">
        <f t="shared" ref="G72:G84" si="8">F72-E72</f>
        <v>13</v>
      </c>
      <c r="H72" s="111">
        <f>G72+'4'!H72</f>
        <v>67</v>
      </c>
      <c r="I72" s="131"/>
      <c r="J72" s="203">
        <f>H72/DAY(B2)</f>
        <v>13.4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f>'4'!F73</f>
        <v>886018</v>
      </c>
      <c r="F73" s="886">
        <v>886020</v>
      </c>
      <c r="G73" s="303">
        <f t="shared" si="8"/>
        <v>2</v>
      </c>
      <c r="H73" s="111">
        <f>G73+'4'!H73</f>
        <v>7</v>
      </c>
      <c r="I73" s="131"/>
      <c r="J73" s="203">
        <f>H73/DAY(B2)</f>
        <v>1.4</v>
      </c>
      <c r="K73" s="83"/>
      <c r="L73" s="68"/>
      <c r="N73" s="73"/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72">
        <f>'4'!F74</f>
        <v>88738.5</v>
      </c>
      <c r="F74" s="885">
        <v>88739.8</v>
      </c>
      <c r="G74" s="124">
        <f t="shared" si="8"/>
        <v>1.3000000000029104</v>
      </c>
      <c r="H74" s="111">
        <f>G74+'4'!H74</f>
        <v>6.8000000000029104</v>
      </c>
      <c r="I74" s="131"/>
      <c r="J74" s="203">
        <f>H74/DAY(B2)</f>
        <v>1.3600000000005821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f>'4'!F75</f>
        <v>21575.7</v>
      </c>
      <c r="F75" s="887">
        <v>21756.9</v>
      </c>
      <c r="G75" s="124">
        <f t="shared" si="8"/>
        <v>181.20000000000073</v>
      </c>
      <c r="H75" s="111">
        <f>G75+'4'!H75</f>
        <v>809.90000000000146</v>
      </c>
      <c r="I75" s="131"/>
      <c r="J75" s="203">
        <f>H75/DAY(B2)</f>
        <v>161.9800000000003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f>'4'!F76</f>
        <v>11641.2</v>
      </c>
      <c r="F76" s="886">
        <v>11698.2</v>
      </c>
      <c r="G76" s="124">
        <f t="shared" si="8"/>
        <v>57</v>
      </c>
      <c r="H76" s="111">
        <f>G76+'4'!H76</f>
        <v>271.20000000000073</v>
      </c>
      <c r="I76" s="156"/>
      <c r="J76" s="203">
        <f>H76/DAY(B2)</f>
        <v>54.240000000000144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1">
        <f>'4'!F77</f>
        <v>706719</v>
      </c>
      <c r="F77" s="886">
        <v>706783</v>
      </c>
      <c r="G77" s="303">
        <f t="shared" si="8"/>
        <v>64</v>
      </c>
      <c r="H77" s="111">
        <f>G77+'4'!H77</f>
        <v>330</v>
      </c>
      <c r="I77" s="156"/>
      <c r="J77" s="203">
        <f>H77/DAY(B2)</f>
        <v>66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2">
        <f>'4'!F78</f>
        <v>679308</v>
      </c>
      <c r="F78" s="887">
        <v>679416</v>
      </c>
      <c r="G78" s="124">
        <f t="shared" si="8"/>
        <v>108</v>
      </c>
      <c r="H78" s="111">
        <f>G78+'4'!H78</f>
        <v>563</v>
      </c>
      <c r="I78" s="156"/>
      <c r="J78" s="203">
        <f>H78/DAY(B2)</f>
        <v>112.6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'4'!F79</f>
        <v>840821</v>
      </c>
      <c r="F79" s="887">
        <v>840972</v>
      </c>
      <c r="G79" s="124">
        <f t="shared" si="8"/>
        <v>151</v>
      </c>
      <c r="H79" s="111">
        <f>G79+'4'!H79</f>
        <v>757</v>
      </c>
      <c r="I79" s="156"/>
      <c r="J79" s="203">
        <f>H79/DAY(B2)</f>
        <v>151.4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'4'!F80</f>
        <v>553576.84</v>
      </c>
      <c r="F80" s="886">
        <v>553953.31999999995</v>
      </c>
      <c r="G80" s="124">
        <f t="shared" si="8"/>
        <v>376.47999999998137</v>
      </c>
      <c r="H80" s="111">
        <f>G80+'4'!H80</f>
        <v>2001.3199999999488</v>
      </c>
      <c r="I80" s="156"/>
      <c r="J80" s="203">
        <f>H80/DAY(B2)</f>
        <v>400.26399999998978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'4'!F81</f>
        <v>649629.96</v>
      </c>
      <c r="F81" s="886">
        <v>649827.31999999995</v>
      </c>
      <c r="G81" s="124">
        <f t="shared" si="8"/>
        <v>197.35999999998603</v>
      </c>
      <c r="H81" s="111">
        <f>G81+'4'!H81</f>
        <v>809.31999999994878</v>
      </c>
      <c r="I81" s="156"/>
      <c r="J81" s="203">
        <f>H81/DAY(B2)</f>
        <v>161.86399999998974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'4'!F82</f>
        <v>109413</v>
      </c>
      <c r="F82" s="874">
        <v>109427</v>
      </c>
      <c r="G82" s="124">
        <f t="shared" si="8"/>
        <v>14</v>
      </c>
      <c r="H82" s="111">
        <f>G82+'4'!H82</f>
        <v>91</v>
      </c>
      <c r="I82" s="137"/>
      <c r="J82" s="203">
        <f>H82/DAY(B2)</f>
        <v>18.2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'4'!F83</f>
        <v>36306</v>
      </c>
      <c r="F83" s="868">
        <v>36592</v>
      </c>
      <c r="G83" s="124">
        <f t="shared" si="8"/>
        <v>286</v>
      </c>
      <c r="H83" s="111">
        <f>G83+'4'!H83</f>
        <v>1567</v>
      </c>
      <c r="I83" s="132"/>
      <c r="J83" s="203">
        <f>H83/DAY(B2)</f>
        <v>313.39999999999998</v>
      </c>
      <c r="K83" s="82"/>
      <c r="L83" s="68"/>
      <c r="N83" s="73"/>
      <c r="O83" s="73"/>
    </row>
    <row r="84" spans="1:15">
      <c r="A84" s="775" t="s">
        <v>200</v>
      </c>
      <c r="B84" s="222"/>
      <c r="C84" s="222"/>
      <c r="D84" s="129" t="s">
        <v>131</v>
      </c>
      <c r="E84" s="278">
        <f>'4'!F84</f>
        <v>550318</v>
      </c>
      <c r="F84" s="888">
        <v>551099</v>
      </c>
      <c r="G84" s="124">
        <f t="shared" si="8"/>
        <v>781</v>
      </c>
      <c r="H84" s="111">
        <f>G84+'4'!H84</f>
        <v>3706</v>
      </c>
      <c r="I84" s="132"/>
      <c r="J84" s="203">
        <f>H84/DAY(B2)</f>
        <v>741.2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278">
        <f>'4'!F85</f>
        <v>0</v>
      </c>
      <c r="F85" s="747"/>
      <c r="G85" s="111">
        <f xml:space="preserve"> SUM(G71:G84)</f>
        <v>2232.339999999971</v>
      </c>
      <c r="H85" s="111">
        <f>G85+'4'!H85</f>
        <v>10986.539999999903</v>
      </c>
      <c r="I85" s="132"/>
      <c r="J85" s="203">
        <f>H85/DAY(B2)</f>
        <v>2197.3079999999804</v>
      </c>
      <c r="K85" s="71"/>
      <c r="L85" s="69"/>
      <c r="N85" s="73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'4'!F86</f>
        <v>462966.04</v>
      </c>
      <c r="F86" s="888">
        <v>462983.4</v>
      </c>
      <c r="G86" s="356">
        <f t="shared" ref="G86:G91" si="9">F86-E86</f>
        <v>17.360000000044238</v>
      </c>
      <c r="H86" s="111">
        <f>G86+'4'!H86</f>
        <v>476.40000000002328</v>
      </c>
      <c r="I86" s="303"/>
      <c r="J86" s="358">
        <f>H86/DAY(B2)</f>
        <v>95.280000000004662</v>
      </c>
      <c r="K86" s="384"/>
      <c r="L86" s="385"/>
      <c r="N86" s="428">
        <f>G86-173</f>
        <v>-155.63999999995576</v>
      </c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'4'!F87</f>
        <v>83053.7</v>
      </c>
      <c r="F87" s="888">
        <v>83088.600000000006</v>
      </c>
      <c r="G87" s="356">
        <f t="shared" si="9"/>
        <v>34.900000000008731</v>
      </c>
      <c r="H87" s="111">
        <f>G87+'4'!H87</f>
        <v>134.60000000000582</v>
      </c>
      <c r="I87" s="303"/>
      <c r="J87" s="358">
        <f>H87/DAY(B2)</f>
        <v>26.920000000001163</v>
      </c>
      <c r="K87" s="384"/>
      <c r="L87" s="385"/>
      <c r="N87" s="386">
        <v>108</v>
      </c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88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78">
        <f>'4'!F89</f>
        <v>67237.600000000006</v>
      </c>
      <c r="F89" s="888">
        <v>67271.8</v>
      </c>
      <c r="G89" s="356">
        <f t="shared" si="9"/>
        <v>34.19999999999709</v>
      </c>
      <c r="H89" s="111">
        <f>G89+'4'!H89</f>
        <v>182.80000000000291</v>
      </c>
      <c r="I89" s="303"/>
      <c r="J89" s="358">
        <f>H89/DAY(B2)</f>
        <v>36.560000000000585</v>
      </c>
      <c r="K89" s="384"/>
      <c r="L89" s="385"/>
      <c r="N89" s="428">
        <v>342</v>
      </c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'4'!F90</f>
        <v>3477.4</v>
      </c>
      <c r="F90" s="888">
        <v>3482.9</v>
      </c>
      <c r="G90" s="356">
        <f t="shared" si="9"/>
        <v>5.5</v>
      </c>
      <c r="H90" s="111">
        <f>G90+'4'!H90</f>
        <v>18.900000000000091</v>
      </c>
      <c r="I90" s="303"/>
      <c r="J90" s="358">
        <f>H90/DAY(B2)</f>
        <v>3.780000000000018</v>
      </c>
      <c r="K90" s="384"/>
      <c r="L90" s="385"/>
      <c r="N90" s="428">
        <v>349</v>
      </c>
      <c r="O90" s="73"/>
    </row>
    <row r="91" spans="1:15" s="386" customFormat="1">
      <c r="A91" s="381" t="s">
        <v>336</v>
      </c>
      <c r="B91" s="382"/>
      <c r="C91" s="382"/>
      <c r="D91" s="383"/>
      <c r="E91" s="278">
        <f>'4'!F91</f>
        <v>28535.599999999999</v>
      </c>
      <c r="F91" s="298">
        <v>28545.9</v>
      </c>
      <c r="G91" s="356">
        <f t="shared" si="9"/>
        <v>10.30000000000291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744"/>
      <c r="G92" s="139"/>
      <c r="H92" s="123"/>
      <c r="I92" s="123"/>
      <c r="J92" s="202"/>
      <c r="K92" s="71"/>
      <c r="L92" s="69"/>
      <c r="N92" s="73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'4'!F93</f>
        <v>250700</v>
      </c>
      <c r="F93" s="873">
        <v>250828</v>
      </c>
      <c r="G93" s="124">
        <f t="shared" ref="G93:G94" si="10">F93-E93</f>
        <v>128</v>
      </c>
      <c r="H93" s="111">
        <f>G93+'4'!H93</f>
        <v>514</v>
      </c>
      <c r="I93" s="131"/>
      <c r="J93" s="203">
        <f>H93/DAY(B2)</f>
        <v>102.8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'4'!F94</f>
        <v>193523</v>
      </c>
      <c r="F94" s="873">
        <v>193654</v>
      </c>
      <c r="G94" s="124">
        <f t="shared" si="10"/>
        <v>131</v>
      </c>
      <c r="H94" s="111">
        <f>G94+'4'!H94</f>
        <v>756</v>
      </c>
      <c r="I94" s="131"/>
      <c r="J94" s="203">
        <f>H94/DAY(B2)</f>
        <v>151.19999999999999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/>
      <c r="F95" s="873"/>
      <c r="G95" s="124">
        <f>G93+G94</f>
        <v>259</v>
      </c>
      <c r="H95" s="111">
        <f>G95+'4'!H95</f>
        <v>964</v>
      </c>
      <c r="I95" s="131"/>
      <c r="J95" s="203">
        <f>H95/DAY(B2)</f>
        <v>192.8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'4'!F96</f>
        <v>418827</v>
      </c>
      <c r="F96" s="873">
        <v>418952</v>
      </c>
      <c r="G96" s="124">
        <f t="shared" ref="G96:G101" si="11">F96-E96</f>
        <v>125</v>
      </c>
      <c r="H96" s="111">
        <f>G96+'4'!H96</f>
        <v>416</v>
      </c>
      <c r="I96" s="131"/>
      <c r="J96" s="203">
        <f>H96/DAY(B2)</f>
        <v>83.2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'4'!F97</f>
        <v>103952</v>
      </c>
      <c r="F97" s="873">
        <v>103976</v>
      </c>
      <c r="G97" s="124">
        <f t="shared" si="11"/>
        <v>24</v>
      </c>
      <c r="H97" s="111">
        <f>G97+'4'!H97</f>
        <v>127</v>
      </c>
      <c r="I97" s="131"/>
      <c r="J97" s="203">
        <f>H97/DAY(B2)</f>
        <v>25.4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'4'!F98</f>
        <v>99566</v>
      </c>
      <c r="F98" s="873">
        <v>99596</v>
      </c>
      <c r="G98" s="124">
        <f t="shared" si="11"/>
        <v>30</v>
      </c>
      <c r="H98" s="111">
        <f>G98+'4'!H98</f>
        <v>148</v>
      </c>
      <c r="I98" s="131"/>
      <c r="J98" s="203">
        <f>H98/DAY(B2)</f>
        <v>29.6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'4'!F99</f>
        <v>151333</v>
      </c>
      <c r="F99" s="873">
        <v>151354</v>
      </c>
      <c r="G99" s="124">
        <f t="shared" si="11"/>
        <v>21</v>
      </c>
      <c r="H99" s="111">
        <f>G99+'4'!H99</f>
        <v>103</v>
      </c>
      <c r="I99" s="131"/>
      <c r="J99" s="203">
        <f>H99/DAY(B2)</f>
        <v>20.6</v>
      </c>
      <c r="K99" s="71"/>
      <c r="L99" s="68"/>
      <c r="N99" s="355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'4'!F100</f>
        <v>8229</v>
      </c>
      <c r="F100" s="873">
        <v>8242</v>
      </c>
      <c r="G100" s="124">
        <f t="shared" si="11"/>
        <v>13</v>
      </c>
      <c r="H100" s="111">
        <f>G100+'4'!H100</f>
        <v>77</v>
      </c>
      <c r="I100" s="131"/>
      <c r="J100" s="203">
        <f>H100/DAY(B2)</f>
        <v>15.4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'4'!F101</f>
        <v>6039</v>
      </c>
      <c r="F101" s="873">
        <v>6047</v>
      </c>
      <c r="G101" s="124">
        <f t="shared" si="11"/>
        <v>8</v>
      </c>
      <c r="H101" s="111">
        <f>G101+'4'!H101</f>
        <v>56</v>
      </c>
      <c r="I101" s="131"/>
      <c r="J101" s="203">
        <f>H101/DAY(B2)</f>
        <v>11.2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883"/>
      <c r="G102" s="176">
        <f>SUM(G96:G101)</f>
        <v>221</v>
      </c>
      <c r="H102" s="111">
        <f>G102+'4'!H102</f>
        <v>927</v>
      </c>
      <c r="I102" s="177"/>
      <c r="J102" s="203">
        <f>H102/DAY(B2)</f>
        <v>185.4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889"/>
      <c r="G103" s="180"/>
      <c r="H103" s="181"/>
      <c r="I103" s="182"/>
      <c r="J103" s="208"/>
      <c r="N103" s="73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890"/>
      <c r="G104" s="183"/>
      <c r="H104" s="184"/>
      <c r="I104" s="183"/>
      <c r="J104" s="209"/>
      <c r="N104" s="73"/>
      <c r="O104" s="73"/>
    </row>
    <row r="105" spans="1:15" s="93" customFormat="1" ht="27.75">
      <c r="A105" s="1192" t="s">
        <v>218</v>
      </c>
      <c r="B105" s="1193"/>
      <c r="C105" s="770"/>
      <c r="D105" s="273" t="s">
        <v>143</v>
      </c>
      <c r="E105" s="135">
        <f>'4'!F105</f>
        <v>7836</v>
      </c>
      <c r="F105" s="890">
        <v>7937</v>
      </c>
      <c r="G105" s="183">
        <f>F105-E105</f>
        <v>101</v>
      </c>
      <c r="H105" s="111">
        <f>G105+'4'!H105</f>
        <v>300</v>
      </c>
      <c r="I105" s="183"/>
      <c r="J105" s="209">
        <f>H105/DAY(B2)</f>
        <v>60</v>
      </c>
      <c r="N105" s="73"/>
      <c r="O105" s="73"/>
    </row>
    <row r="106" spans="1:15" s="93" customFormat="1" ht="27.75">
      <c r="A106" s="1192" t="s">
        <v>76</v>
      </c>
      <c r="B106" s="1193"/>
      <c r="C106" s="770"/>
      <c r="D106" s="273" t="s">
        <v>143</v>
      </c>
      <c r="E106" s="135">
        <f>'4'!F106</f>
        <v>36501</v>
      </c>
      <c r="F106" s="896">
        <v>36511</v>
      </c>
      <c r="G106" s="183">
        <f t="shared" ref="G106:G107" si="12">F106-E106</f>
        <v>10</v>
      </c>
      <c r="H106" s="111">
        <f>G106+'4'!H106</f>
        <v>51</v>
      </c>
      <c r="I106" s="183"/>
      <c r="J106" s="209">
        <f>H106/DAY(B2)</f>
        <v>10.199999999999999</v>
      </c>
      <c r="N106" s="73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35">
        <f>'4'!F107</f>
        <v>19986</v>
      </c>
      <c r="F107" s="890">
        <v>19992</v>
      </c>
      <c r="G107" s="183">
        <f t="shared" si="12"/>
        <v>6</v>
      </c>
      <c r="H107" s="111">
        <f>G107+'4'!H107</f>
        <v>29</v>
      </c>
      <c r="I107" s="183"/>
      <c r="J107" s="209">
        <f>H107/DAY(B2)</f>
        <v>5.8</v>
      </c>
      <c r="N107" s="73"/>
      <c r="O107" s="73"/>
    </row>
    <row r="108" spans="1:15" s="93" customFormat="1" ht="27.75">
      <c r="A108" s="1194" t="s">
        <v>201</v>
      </c>
      <c r="B108" s="1195"/>
      <c r="C108" s="770"/>
      <c r="D108" s="273"/>
      <c r="E108" s="135"/>
      <c r="F108" s="890"/>
      <c r="G108" s="183">
        <f>SUM(G105:G107)</f>
        <v>117</v>
      </c>
      <c r="H108" s="111">
        <f>G108+'4'!H108</f>
        <v>380</v>
      </c>
      <c r="I108" s="183"/>
      <c r="J108" s="209">
        <f>H108/DAY(B2)</f>
        <v>76</v>
      </c>
      <c r="N108" s="73"/>
      <c r="O108" s="73"/>
    </row>
    <row r="109" spans="1:15" s="93" customFormat="1" ht="27.75">
      <c r="A109" s="1198" t="s">
        <v>78</v>
      </c>
      <c r="B109" s="1199"/>
      <c r="C109" s="770"/>
      <c r="D109" s="273" t="s">
        <v>143</v>
      </c>
      <c r="E109" s="135">
        <f>'4'!F109</f>
        <v>0</v>
      </c>
      <c r="F109" s="890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>
      <c r="A110" s="1192" t="s">
        <v>219</v>
      </c>
      <c r="B110" s="1193"/>
      <c r="C110" s="770"/>
      <c r="D110" s="273" t="s">
        <v>143</v>
      </c>
      <c r="E110" s="135">
        <f>'4'!F110</f>
        <v>67424</v>
      </c>
      <c r="F110" s="890">
        <v>67499</v>
      </c>
      <c r="G110" s="183">
        <f>F110-E110</f>
        <v>75</v>
      </c>
      <c r="H110" s="111">
        <f>G110+'4'!H110</f>
        <v>396</v>
      </c>
      <c r="I110" s="183"/>
      <c r="J110" s="209">
        <f>H110/DAY(B2)</f>
        <v>79.2</v>
      </c>
      <c r="N110" s="73"/>
    </row>
    <row r="111" spans="1:15" s="93" customFormat="1" ht="27.75">
      <c r="A111" s="1192" t="s">
        <v>220</v>
      </c>
      <c r="B111" s="1193"/>
      <c r="C111" s="770"/>
      <c r="D111" s="273" t="s">
        <v>143</v>
      </c>
      <c r="E111" s="135">
        <f>'4'!F111</f>
        <v>33886</v>
      </c>
      <c r="F111" s="890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>
      <c r="A112" s="1192" t="s">
        <v>221</v>
      </c>
      <c r="B112" s="1193"/>
      <c r="C112" s="770"/>
      <c r="D112" s="273" t="s">
        <v>143</v>
      </c>
      <c r="E112" s="135">
        <f>'4'!F112</f>
        <v>4664</v>
      </c>
      <c r="F112" s="890">
        <v>4664</v>
      </c>
      <c r="G112" s="183">
        <f t="shared" si="13"/>
        <v>0</v>
      </c>
      <c r="H112" s="111">
        <f>G112+'4'!H112</f>
        <v>42</v>
      </c>
      <c r="I112" s="183"/>
      <c r="J112" s="209">
        <f>H112/DAY(B2)</f>
        <v>8.4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35"/>
      <c r="F113" s="890"/>
      <c r="G113" s="183">
        <f>SUM(G110:G112)</f>
        <v>75</v>
      </c>
      <c r="H113" s="111">
        <f>G113+'4'!H113</f>
        <v>438</v>
      </c>
      <c r="I113" s="183"/>
      <c r="J113" s="209">
        <f>H113/DAY(B2)</f>
        <v>87.6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35"/>
      <c r="F114" s="890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35">
        <f>'4'!F115</f>
        <v>12540</v>
      </c>
      <c r="F115" s="891">
        <v>12557</v>
      </c>
      <c r="G115" s="185">
        <f>F115-E115</f>
        <v>17</v>
      </c>
      <c r="H115" s="111">
        <f>G115+'4'!H115</f>
        <v>92</v>
      </c>
      <c r="I115" s="183"/>
      <c r="J115" s="209">
        <f>H115/DAY(B2)</f>
        <v>18.399999999999999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35">
        <f>'4'!F116</f>
        <v>8864</v>
      </c>
      <c r="F116" s="891">
        <v>8880</v>
      </c>
      <c r="G116" s="185">
        <f t="shared" ref="G116:G117" si="14">F116-E116</f>
        <v>16</v>
      </c>
      <c r="H116" s="111">
        <f>G116+'4'!H116</f>
        <v>60</v>
      </c>
      <c r="I116" s="183"/>
      <c r="J116" s="209">
        <f>H116/DAY(B2)</f>
        <v>12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35">
        <f>'4'!F117</f>
        <v>0</v>
      </c>
      <c r="F117" s="891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35"/>
      <c r="F118" s="891"/>
      <c r="G118" s="185">
        <f>SUM(G115:G117)</f>
        <v>33</v>
      </c>
      <c r="H118" s="111">
        <f>G118+'4'!H118</f>
        <v>152</v>
      </c>
      <c r="I118" s="185"/>
      <c r="J118" s="209">
        <f>H118/DAY(B2)</f>
        <v>30.4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35">
        <f>'4'!F119</f>
        <v>158</v>
      </c>
      <c r="F119" s="892">
        <f>SUM(G19+G93)</f>
        <v>190</v>
      </c>
      <c r="G119" s="187">
        <f>SUM(G19+G93)</f>
        <v>190</v>
      </c>
      <c r="H119" s="111">
        <f>G119+'4'!H119</f>
        <v>820</v>
      </c>
      <c r="I119" s="186"/>
      <c r="J119" s="210">
        <f>H119/DAY(B2)</f>
        <v>164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35">
        <f>'4'!F120</f>
        <v>157</v>
      </c>
      <c r="F120" s="892">
        <f>SUM(G96,G97,G98,G100,G101)</f>
        <v>200</v>
      </c>
      <c r="G120" s="187">
        <f>SUM(G96,G97,G98,G100,G101)</f>
        <v>200</v>
      </c>
      <c r="H120" s="111">
        <f>G120+'4'!H120</f>
        <v>824</v>
      </c>
      <c r="I120" s="186"/>
      <c r="J120" s="210">
        <f>H120/DAY(B2)</f>
        <v>164.8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35">
        <f>'4'!F121</f>
        <v>106</v>
      </c>
      <c r="F121" s="891">
        <f>SUM(G113)</f>
        <v>75</v>
      </c>
      <c r="G121" s="185">
        <f>SUM(G113)</f>
        <v>75</v>
      </c>
      <c r="H121" s="111">
        <f>G121+'4'!H121</f>
        <v>438</v>
      </c>
      <c r="I121" s="186"/>
      <c r="J121" s="210">
        <f>H121/DAY(B2)</f>
        <v>87.6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893" t="s">
        <v>214</v>
      </c>
      <c r="G122" s="211"/>
      <c r="H122" s="111">
        <f>G122+'4'!H122</f>
        <v>0</v>
      </c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744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'4'!F124</f>
        <v>849018.56299999997</v>
      </c>
      <c r="F124" s="873">
        <v>849278.48</v>
      </c>
      <c r="G124" s="124">
        <f t="shared" ref="G124:G128" si="15">F124-E124</f>
        <v>259.91700000001583</v>
      </c>
      <c r="H124" s="111">
        <f>G124+'4'!H124</f>
        <v>1312.4799999999814</v>
      </c>
      <c r="I124" s="177"/>
      <c r="J124" s="203">
        <f>H124/DAY(B2)</f>
        <v>262.49599999999629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277">
        <f>'4'!F125</f>
        <v>73583.399999999994</v>
      </c>
      <c r="F125" s="894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'4'!F126</f>
        <v>151638.17000000001</v>
      </c>
      <c r="F126" s="873">
        <v>151709.57</v>
      </c>
      <c r="G126" s="124">
        <f t="shared" si="15"/>
        <v>71.399999999994179</v>
      </c>
      <c r="H126" s="111">
        <f>G126+'4'!H126</f>
        <v>388.57000000000698</v>
      </c>
      <c r="I126" s="177"/>
      <c r="J126" s="203">
        <f>H126/DAY(B2)</f>
        <v>77.714000000001391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277">
        <f>'4'!F127</f>
        <v>33464.699999999997</v>
      </c>
      <c r="F127" s="894">
        <v>33503.4</v>
      </c>
      <c r="G127" s="124">
        <f t="shared" si="15"/>
        <v>38.700000000004366</v>
      </c>
      <c r="H127" s="111">
        <f>G127+'4'!H127</f>
        <v>215.40000000000146</v>
      </c>
      <c r="I127" s="177"/>
      <c r="J127" s="203">
        <f>H127/DAY(B2)</f>
        <v>43.08000000000029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277">
        <f>'4'!F128</f>
        <v>9120.5</v>
      </c>
      <c r="F128" s="894">
        <v>9121.5</v>
      </c>
      <c r="G128" s="124">
        <f t="shared" si="15"/>
        <v>1</v>
      </c>
      <c r="H128" s="111">
        <f>G128+'4'!H128</f>
        <v>8.5</v>
      </c>
      <c r="I128" s="131"/>
      <c r="J128" s="203">
        <f>H128/DAY(B2)</f>
        <v>1.7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873"/>
      <c r="G129" s="124">
        <f>G15-SUM(G124:G128)</f>
        <v>367.07099999997445</v>
      </c>
      <c r="H129" s="111">
        <f>G129+'4'!H129</f>
        <v>2158.3300000000381</v>
      </c>
      <c r="I129" s="131"/>
      <c r="J129" s="203">
        <f>H129/DAY(B2)</f>
        <v>431.66600000000761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869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'4'!F131</f>
        <v>0</v>
      </c>
      <c r="F131" s="873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'4'!F132</f>
        <v>0</v>
      </c>
      <c r="F132" s="873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'4'!F133</f>
        <v>40623.15</v>
      </c>
      <c r="F133" s="874">
        <v>40623.15</v>
      </c>
      <c r="G133" s="124">
        <f t="shared" si="16"/>
        <v>0</v>
      </c>
      <c r="H133" s="111">
        <f>G133+'4'!H133</f>
        <v>4.1500000000014552</v>
      </c>
      <c r="I133" s="131"/>
      <c r="J133" s="203">
        <f>H133/DAY(B2)</f>
        <v>0.83000000000029106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352">
        <f>'4'!F134</f>
        <v>668.54</v>
      </c>
      <c r="F134" s="894">
        <v>680.01</v>
      </c>
      <c r="G134" s="124">
        <f t="shared" si="16"/>
        <v>11.470000000000027</v>
      </c>
      <c r="H134" s="111">
        <f>G134+'4'!H134</f>
        <v>106.00999999999999</v>
      </c>
      <c r="I134" s="131">
        <f>G131+G132+G133+G134</f>
        <v>11.470000000000027</v>
      </c>
      <c r="J134" s="203">
        <f>H134/DAY(B2)</f>
        <v>21.201999999999998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352">
        <f>'4'!F135</f>
        <v>42526.35</v>
      </c>
      <c r="F135" s="894">
        <v>42549.47</v>
      </c>
      <c r="G135" s="124">
        <f t="shared" si="16"/>
        <v>23.120000000002619</v>
      </c>
      <c r="H135" s="111">
        <f>G135+'4'!H135</f>
        <v>50.470000000001164</v>
      </c>
      <c r="I135" s="131"/>
      <c r="J135" s="203">
        <f>H135/DAY(B2)</f>
        <v>10.094000000000232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352">
        <f>'4'!F136</f>
        <v>32874</v>
      </c>
      <c r="F136" s="894">
        <v>32874.050000000003</v>
      </c>
      <c r="G136" s="124">
        <f t="shared" si="16"/>
        <v>5.0000000002910383E-2</v>
      </c>
      <c r="H136" s="111">
        <f>G136+'4'!H136</f>
        <v>5.0000000002910383E-2</v>
      </c>
      <c r="I136" s="131"/>
      <c r="J136" s="203">
        <f>H136/DAY(B2)</f>
        <v>1.0000000000582076E-2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'4'!F137</f>
        <v>23138.76</v>
      </c>
      <c r="F137" s="874">
        <v>23145.74</v>
      </c>
      <c r="G137" s="124">
        <f t="shared" si="16"/>
        <v>6.9800000000032014</v>
      </c>
      <c r="H137" s="111">
        <f>G137+'4'!H137</f>
        <v>39.180000000000291</v>
      </c>
      <c r="I137" s="131">
        <f>G137+G138+G139</f>
        <v>6.9200000000055297</v>
      </c>
      <c r="J137" s="203">
        <f>H137/DAY(B2)</f>
        <v>7.836000000000058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'4'!F138</f>
        <v>25119.45</v>
      </c>
      <c r="F138" s="874">
        <v>25119.45</v>
      </c>
      <c r="G138" s="124">
        <f t="shared" si="16"/>
        <v>0</v>
      </c>
      <c r="H138" s="111">
        <f>G138+'4'!H138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92">
        <f>'4'!F139</f>
        <v>70518.259999999995</v>
      </c>
      <c r="F139" s="874">
        <v>70518.2</v>
      </c>
      <c r="G139" s="124">
        <f t="shared" si="16"/>
        <v>-5.9999999997671694E-2</v>
      </c>
      <c r="H139" s="111">
        <f>G139+'4'!H139</f>
        <v>1.5999999999912689</v>
      </c>
      <c r="I139" s="131"/>
      <c r="J139" s="203">
        <f>H139/DAY(B2)</f>
        <v>0.31999999999825379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352">
        <f>'4'!F140</f>
        <v>2350.23</v>
      </c>
      <c r="F140" s="894">
        <v>2359.81</v>
      </c>
      <c r="G140" s="124">
        <f t="shared" si="16"/>
        <v>9.5799999999999272</v>
      </c>
      <c r="H140" s="111">
        <f>G140+'4'!H140</f>
        <v>48.25</v>
      </c>
      <c r="I140" s="193">
        <f>G140+G141</f>
        <v>9.5799999999999272</v>
      </c>
      <c r="J140" s="203">
        <f>H140/DAY(B2)</f>
        <v>9.65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'4'!F141</f>
        <v>4753.67</v>
      </c>
      <c r="F141" s="873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744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747"/>
      <c r="G143" s="111">
        <f>G35+G43+G49+G57</f>
        <v>6045</v>
      </c>
      <c r="H143" s="111">
        <f>G143+'4'!H143</f>
        <v>29181</v>
      </c>
      <c r="I143" s="131" t="s">
        <v>267</v>
      </c>
      <c r="J143" s="203">
        <f>H143/DAY(B2)</f>
        <v>5836.2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868"/>
      <c r="G144" s="194">
        <f>G143/G7</f>
        <v>0.26218965007982842</v>
      </c>
      <c r="H144" s="111">
        <f>G144+'4'!H144</f>
        <v>1.2886479292087329</v>
      </c>
      <c r="I144" s="195"/>
      <c r="J144" s="203">
        <f>H144/DAY(B2)</f>
        <v>0.2577295858417466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876"/>
      <c r="G145" s="111">
        <f>G41+G42+G55+G56</f>
        <v>7630</v>
      </c>
      <c r="H145" s="111">
        <f>G145+'4'!H145</f>
        <v>34965.469999999972</v>
      </c>
      <c r="I145" s="131"/>
      <c r="J145" s="203">
        <f>H145/DAY(B2)</f>
        <v>6993.0939999999946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876"/>
      <c r="G146" s="194">
        <f>G145/G7</f>
        <v>0.33093581970373714</v>
      </c>
      <c r="H146" s="111">
        <f>G146+'4'!H146</f>
        <v>1.5428837697232074</v>
      </c>
      <c r="I146" s="195"/>
      <c r="J146" s="203">
        <f>H146/DAY(B2)</f>
        <v>0.30857675394464146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876"/>
      <c r="G147" s="111">
        <f>G39+G53</f>
        <v>3761</v>
      </c>
      <c r="H147" s="111">
        <f>G147+'4'!H147</f>
        <v>18743.590000000026</v>
      </c>
      <c r="I147" s="196"/>
      <c r="J147" s="203">
        <f>H147/DAY(B2)</f>
        <v>3748.7180000000053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876"/>
      <c r="G148" s="194">
        <f>G147/G7</f>
        <v>0.16312576905711079</v>
      </c>
      <c r="H148" s="111">
        <f>G148+'4'!H148</f>
        <v>0.82905654964080022</v>
      </c>
      <c r="I148" s="196"/>
      <c r="J148" s="203">
        <f>H148/DAY(B2)</f>
        <v>0.16581130992816004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876"/>
      <c r="G149" s="111">
        <f>G38+G52</f>
        <v>1714</v>
      </c>
      <c r="H149" s="111">
        <f>G149+'4'!H149</f>
        <v>8415.0699999999488</v>
      </c>
      <c r="I149" s="131"/>
      <c r="J149" s="203">
        <f>H149/DAY(B2)</f>
        <v>1683.0139999999897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876"/>
      <c r="G150" s="194">
        <f>G149/G7</f>
        <v>7.4341283744718933E-2</v>
      </c>
      <c r="H150" s="111">
        <f>G150+'4'!H150</f>
        <v>0.37198159451323048</v>
      </c>
      <c r="I150" s="196"/>
      <c r="J150" s="203">
        <f>H150/DAY(B2)</f>
        <v>7.43963189026461E-2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876"/>
      <c r="G151" s="111">
        <f>G36+G50</f>
        <v>2173.239999999998</v>
      </c>
      <c r="H151" s="111">
        <f>G151+'4'!H151</f>
        <v>9968.64</v>
      </c>
      <c r="I151" s="196"/>
      <c r="J151" s="203">
        <f>H151/DAY(B2)</f>
        <v>1993.7279999999998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876"/>
      <c r="G152" s="194">
        <f>G151/G7</f>
        <v>9.4259890014803283E-2</v>
      </c>
      <c r="H152" s="111">
        <f>G152+'4'!H152</f>
        <v>0.43939607154363669</v>
      </c>
      <c r="I152" s="131"/>
      <c r="J152" s="203">
        <f>H152/DAY(B2)</f>
        <v>8.7879214308727333E-2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876"/>
      <c r="G153" s="111">
        <f>G37+G51</f>
        <v>1625</v>
      </c>
      <c r="H153" s="111">
        <f>G153+'4'!H153</f>
        <v>8085.8699999999953</v>
      </c>
      <c r="I153" s="131"/>
      <c r="J153" s="203">
        <f>H153/DAY(B2)</f>
        <v>1617.1739999999991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895"/>
      <c r="G154" s="217">
        <f>G153/G7</f>
        <v>7.0481088731136676E-2</v>
      </c>
      <c r="H154" s="111">
        <f>G154+'4'!H154</f>
        <v>0.35762425972950979</v>
      </c>
      <c r="I154" s="219"/>
      <c r="J154" s="220">
        <f>H154/DAY(B2)</f>
        <v>7.1524851945901954E-2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35">
        <f>'4'!F161</f>
        <v>43649.5</v>
      </c>
      <c r="F161" s="309">
        <v>43729.4</v>
      </c>
      <c r="G161" s="124">
        <f t="shared" ref="G161:G175" si="17">F161-E161</f>
        <v>79.900000000001455</v>
      </c>
    </row>
    <row r="162" spans="1:7">
      <c r="A162" s="435" t="s">
        <v>263</v>
      </c>
      <c r="B162" s="436"/>
      <c r="C162" s="436"/>
      <c r="D162" s="162" t="s">
        <v>186</v>
      </c>
      <c r="E162" s="135">
        <f>'4'!F162</f>
        <v>123882</v>
      </c>
      <c r="F162" s="309">
        <v>124377</v>
      </c>
      <c r="G162" s="124">
        <f t="shared" si="17"/>
        <v>495</v>
      </c>
    </row>
    <row r="163" spans="1:7">
      <c r="A163" s="435" t="s">
        <v>264</v>
      </c>
      <c r="B163" s="436"/>
      <c r="C163" s="436"/>
      <c r="D163" s="162" t="s">
        <v>186</v>
      </c>
      <c r="E163" s="135">
        <f>'4'!F163</f>
        <v>58302.400000000001</v>
      </c>
      <c r="F163" s="309">
        <v>58506.2</v>
      </c>
      <c r="G163" s="124">
        <f t="shared" si="17"/>
        <v>203.79999999999563</v>
      </c>
    </row>
    <row r="164" spans="1:7">
      <c r="A164" s="435" t="s">
        <v>265</v>
      </c>
      <c r="B164" s="436"/>
      <c r="C164" s="436"/>
      <c r="D164" s="162" t="s">
        <v>186</v>
      </c>
      <c r="E164" s="135">
        <f>'4'!F164</f>
        <v>7181.73</v>
      </c>
      <c r="F164" s="309">
        <v>7190.76</v>
      </c>
      <c r="G164" s="124">
        <f t="shared" si="17"/>
        <v>9.0300000000006548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ref="E167" si="20">E64</f>
        <v>183332</v>
      </c>
      <c r="F167" s="165">
        <f t="shared" si="19"/>
        <v>183709</v>
      </c>
      <c r="G167" s="124">
        <f t="shared" si="17"/>
        <v>377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ref="E168" si="21">E65</f>
        <v>183771</v>
      </c>
      <c r="F168" s="165">
        <f t="shared" si="19"/>
        <v>184160</v>
      </c>
      <c r="G168" s="124">
        <f t="shared" si="17"/>
        <v>389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ref="E169" si="22">E66</f>
        <v>82283.399999999994</v>
      </c>
      <c r="F169" s="165">
        <f t="shared" si="19"/>
        <v>82676.100000000006</v>
      </c>
      <c r="G169" s="124">
        <f t="shared" si="17"/>
        <v>392.70000000001164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ref="E170" si="23">E67</f>
        <v>281982</v>
      </c>
      <c r="F170" s="165">
        <f t="shared" si="19"/>
        <v>282467</v>
      </c>
      <c r="G170" s="124">
        <f t="shared" si="17"/>
        <v>485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ref="E172" si="25">E69</f>
        <v>97810.2</v>
      </c>
      <c r="F172" s="165">
        <f t="shared" si="19"/>
        <v>98142.8</v>
      </c>
      <c r="G172" s="124">
        <f t="shared" si="17"/>
        <v>332.60000000000582</v>
      </c>
    </row>
    <row r="173" spans="1:7" ht="27.75">
      <c r="A173" s="1228" t="s">
        <v>338</v>
      </c>
      <c r="B173" s="1191"/>
      <c r="C173" s="1141"/>
      <c r="D173" s="174" t="s">
        <v>186</v>
      </c>
      <c r="E173" s="165">
        <f>'4'!F173</f>
        <v>19146.3</v>
      </c>
      <c r="F173" s="165">
        <v>19149.599999999999</v>
      </c>
      <c r="G173" s="124">
        <f t="shared" si="17"/>
        <v>3.2999999999992724</v>
      </c>
    </row>
    <row r="174" spans="1:7">
      <c r="A174" s="1228" t="s">
        <v>338</v>
      </c>
      <c r="B174" s="1191"/>
      <c r="C174" s="436"/>
      <c r="D174" s="174" t="s">
        <v>186</v>
      </c>
      <c r="E174" s="165">
        <f>'4'!F174</f>
        <v>70557.600000000006</v>
      </c>
      <c r="F174" s="183">
        <v>70565.100000000006</v>
      </c>
      <c r="G174" s="124">
        <f t="shared" si="17"/>
        <v>7.5</v>
      </c>
    </row>
    <row r="175" spans="1:7">
      <c r="A175" s="1142" t="s">
        <v>339</v>
      </c>
      <c r="B175" s="1143"/>
      <c r="C175" s="436"/>
      <c r="D175" s="174" t="s">
        <v>186</v>
      </c>
      <c r="E175" s="165">
        <f>'4'!F175</f>
        <v>27815.4</v>
      </c>
      <c r="F175" s="183">
        <v>27820.6</v>
      </c>
      <c r="G175" s="124">
        <f t="shared" si="17"/>
        <v>5.1999999999970896</v>
      </c>
    </row>
    <row r="177" spans="9:9">
      <c r="I177" s="188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85" zoomScale="60" workbookViewId="0">
      <selection activeCell="O36" sqref="O36:O40"/>
    </sheetView>
  </sheetViews>
  <sheetFormatPr defaultColWidth="22.33203125" defaultRowHeight="29.2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7" s="57" customFormat="1" ht="27">
      <c r="A2" s="226" t="s">
        <v>340</v>
      </c>
      <c r="B2" s="682">
        <v>44414</v>
      </c>
      <c r="C2" s="773" t="s">
        <v>68</v>
      </c>
      <c r="D2" s="262">
        <v>0.9032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>
      <c r="A3" s="221"/>
      <c r="B3" s="265"/>
      <c r="C3" s="773" t="s">
        <v>119</v>
      </c>
      <c r="D3" s="263">
        <v>34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7" s="57" customFormat="1" ht="27">
      <c r="A4" s="227"/>
      <c r="B4" s="267"/>
      <c r="C4" s="773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>
      <c r="A7" s="327" t="s">
        <v>130</v>
      </c>
      <c r="B7" s="328"/>
      <c r="C7" s="328"/>
      <c r="D7" s="288" t="s">
        <v>131</v>
      </c>
      <c r="E7" s="284">
        <f>'5'!F7</f>
        <v>721003.83</v>
      </c>
      <c r="F7" s="106">
        <v>745131</v>
      </c>
      <c r="G7" s="340">
        <f>F7-E7</f>
        <v>24127.170000000042</v>
      </c>
      <c r="H7" s="330">
        <f>G7+'5'!H7</f>
        <v>137458</v>
      </c>
      <c r="I7" s="331">
        <f>'1'!I7</f>
        <v>12000</v>
      </c>
      <c r="J7" s="332">
        <f>H7/DAY(B2)</f>
        <v>22909.666666666668</v>
      </c>
      <c r="K7" s="200"/>
      <c r="L7" s="68"/>
      <c r="N7" s="359"/>
    </row>
    <row r="8" spans="1:17" ht="27.75" thickBot="1">
      <c r="A8" s="333" t="s">
        <v>132</v>
      </c>
      <c r="B8" s="334"/>
      <c r="C8" s="335"/>
      <c r="D8" s="336" t="s">
        <v>25</v>
      </c>
      <c r="E8" s="284">
        <f>'5'!F8</f>
        <v>729551.99</v>
      </c>
      <c r="F8" s="126">
        <v>753768.63</v>
      </c>
      <c r="G8" s="340">
        <f t="shared" ref="G8:G12" si="0">F8-E8</f>
        <v>24216.640000000014</v>
      </c>
      <c r="H8" s="330">
        <f>G8+'5'!H8</f>
        <v>138171.63</v>
      </c>
      <c r="I8" s="337">
        <v>12000</v>
      </c>
      <c r="J8" s="332">
        <f>H8/DAY(B2)</f>
        <v>23028.605</v>
      </c>
      <c r="K8" s="200"/>
      <c r="L8" s="78"/>
      <c r="M8" s="91"/>
      <c r="N8" s="354"/>
      <c r="O8" s="73"/>
    </row>
    <row r="9" spans="1:17">
      <c r="A9" s="338" t="s">
        <v>133</v>
      </c>
      <c r="B9" s="339"/>
      <c r="C9" s="339"/>
      <c r="D9" s="288" t="s">
        <v>131</v>
      </c>
      <c r="E9" s="284">
        <f>'5'!F9</f>
        <v>2806440</v>
      </c>
      <c r="F9" s="129">
        <v>2829790</v>
      </c>
      <c r="G9" s="340">
        <f t="shared" si="0"/>
        <v>23350</v>
      </c>
      <c r="H9" s="330">
        <f>G9+'5'!H9</f>
        <v>133155</v>
      </c>
      <c r="I9" s="341">
        <f>I8-J8</f>
        <v>-11028.605</v>
      </c>
      <c r="J9" s="332">
        <f>H9/DAY(B2)</f>
        <v>22192.5</v>
      </c>
      <c r="K9" s="81"/>
      <c r="L9" s="68"/>
      <c r="N9" s="73"/>
      <c r="O9" s="91"/>
    </row>
    <row r="10" spans="1:17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23350</v>
      </c>
      <c r="H13" s="330">
        <f>G13+'5'!H13</f>
        <v>111390.55</v>
      </c>
      <c r="I13" s="346">
        <f>G7-G13</f>
        <v>777.17000000004191</v>
      </c>
      <c r="J13" s="332">
        <f>H13/DAY(B2)</f>
        <v>18565.091666666667</v>
      </c>
      <c r="K13" s="81"/>
      <c r="L13" s="68"/>
      <c r="N13" s="73"/>
      <c r="O13" s="91"/>
      <c r="Q13" s="91"/>
    </row>
    <row r="14" spans="1:17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>
      <c r="A15" s="443" t="s">
        <v>139</v>
      </c>
      <c r="B15" s="438"/>
      <c r="C15" s="438"/>
      <c r="D15" s="175" t="s">
        <v>140</v>
      </c>
      <c r="E15" s="136">
        <f>'5'!F15</f>
        <v>1733637.28</v>
      </c>
      <c r="F15" s="136">
        <v>1734605.46</v>
      </c>
      <c r="G15" s="124">
        <f>(F15-E15)</f>
        <v>968.17999999993481</v>
      </c>
      <c r="H15" s="137">
        <f>G15+'5'!H15</f>
        <v>5051.4599999999627</v>
      </c>
      <c r="I15" s="125">
        <v>800</v>
      </c>
      <c r="J15" s="204">
        <f>H15/DAY(B2)</f>
        <v>841.90999999999383</v>
      </c>
      <c r="K15" s="81"/>
      <c r="L15" s="68"/>
      <c r="N15" s="73"/>
    </row>
    <row r="16" spans="1:17">
      <c r="A16" s="441"/>
      <c r="B16" s="442"/>
      <c r="C16" s="442"/>
      <c r="D16" s="439"/>
      <c r="E16" s="440"/>
      <c r="F16" s="136"/>
      <c r="G16" s="685"/>
      <c r="H16" s="702"/>
      <c r="I16" s="138">
        <f>I15-J15</f>
        <v>-41.909999999993829</v>
      </c>
      <c r="J16" s="703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9" t="s">
        <v>143</v>
      </c>
      <c r="E18" s="287">
        <f>'5'!F18</f>
        <v>18</v>
      </c>
      <c r="F18" s="136">
        <v>20</v>
      </c>
      <c r="G18" s="340">
        <f>F18*10</f>
        <v>200</v>
      </c>
      <c r="H18" s="330">
        <f>G18+'5'!H18</f>
        <v>1010</v>
      </c>
      <c r="I18" s="331">
        <f>'1'!I18</f>
        <v>65</v>
      </c>
      <c r="J18" s="332">
        <f>H18/DAY(B2)</f>
        <v>168.33333333333334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'5'!F19</f>
        <v>143696</v>
      </c>
      <c r="F19" s="129">
        <v>143757</v>
      </c>
      <c r="G19" s="340">
        <f t="shared" ref="G19" si="1">F19-E19</f>
        <v>61</v>
      </c>
      <c r="H19" s="330">
        <f>G19+'5'!H19</f>
        <v>367</v>
      </c>
      <c r="I19" s="347"/>
      <c r="J19" s="332">
        <f>H19/DAY(B2)</f>
        <v>61.166666666666664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261</v>
      </c>
      <c r="H20" s="330">
        <f>G20+'5'!H20</f>
        <v>1377</v>
      </c>
      <c r="I20" s="349">
        <f>I18-J20</f>
        <v>-164.5</v>
      </c>
      <c r="J20" s="332">
        <f>H20/DAY(B2)</f>
        <v>229.5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24216.640000000014</v>
      </c>
      <c r="F27" s="152">
        <v>9</v>
      </c>
      <c r="G27" s="153">
        <f>E27*F27</f>
        <v>217949.76000000013</v>
      </c>
      <c r="H27" s="111">
        <f>G27+'5'!H27</f>
        <v>1243544.67</v>
      </c>
      <c r="I27" s="154"/>
      <c r="J27" s="203">
        <f>H27/DAY(B2)</f>
        <v>207257.44499999998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968.17999999993481</v>
      </c>
      <c r="F28" s="152">
        <v>54.5</v>
      </c>
      <c r="G28" s="153">
        <f t="shared" ref="G28:G31" si="3">E28*F28</f>
        <v>52765.809999996447</v>
      </c>
      <c r="H28" s="111">
        <f>G28+'5'!H28</f>
        <v>275304.56999999797</v>
      </c>
      <c r="I28" s="156"/>
      <c r="J28" s="203">
        <f>H28/DAY(B2)</f>
        <v>45884.094999999659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 t="shared" si="3"/>
        <v>8906</v>
      </c>
      <c r="H30" s="111">
        <f>G30+'5'!H30</f>
        <v>53582</v>
      </c>
      <c r="I30" s="156"/>
      <c r="J30" s="203">
        <f>H30/DAY(B2)</f>
        <v>8930.3333333333339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 t="shared" si="3"/>
        <v>16000</v>
      </c>
      <c r="H31" s="111">
        <f>G31+'5'!H31</f>
        <v>80800</v>
      </c>
      <c r="I31" s="156"/>
      <c r="J31" s="203">
        <f>H31/DAY(B2)</f>
        <v>13466.666666666666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295621.56999999657</v>
      </c>
      <c r="H32" s="111">
        <f>G32+'5'!H32</f>
        <v>1653231.2399999979</v>
      </c>
      <c r="I32" s="160"/>
      <c r="J32" s="203">
        <f>H32/DAY(B2)</f>
        <v>275538.53999999963</v>
      </c>
      <c r="K32" s="65"/>
      <c r="L32" s="94"/>
      <c r="N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5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>
      <c r="A36" s="229" t="s">
        <v>164</v>
      </c>
      <c r="B36" s="230"/>
      <c r="C36" s="230"/>
      <c r="D36" s="174" t="s">
        <v>131</v>
      </c>
      <c r="E36" s="161">
        <f>'5'!F36</f>
        <v>50623.64</v>
      </c>
      <c r="F36" s="161">
        <v>51322.6</v>
      </c>
      <c r="G36" s="124">
        <f t="shared" si="4"/>
        <v>698.95999999999913</v>
      </c>
      <c r="H36" s="111">
        <f>G36+'5'!H36</f>
        <v>4524.5999999999985</v>
      </c>
      <c r="I36" s="106"/>
      <c r="J36" s="203">
        <f>H36/DAY(B2)</f>
        <v>754.0999999999998</v>
      </c>
      <c r="K36" s="81"/>
      <c r="L36" s="68"/>
      <c r="N36" s="279"/>
      <c r="O36" s="152"/>
    </row>
    <row r="37" spans="1:15">
      <c r="A37" s="229" t="s">
        <v>165</v>
      </c>
      <c r="B37" s="230"/>
      <c r="C37" s="230"/>
      <c r="D37" s="174" t="s">
        <v>131</v>
      </c>
      <c r="E37" s="161">
        <f>'5'!F37</f>
        <v>234259</v>
      </c>
      <c r="F37" s="161">
        <v>235872</v>
      </c>
      <c r="G37" s="124">
        <f t="shared" si="4"/>
        <v>1613</v>
      </c>
      <c r="H37" s="111">
        <f>G37+'5'!H37</f>
        <v>9699</v>
      </c>
      <c r="I37" s="106"/>
      <c r="J37" s="203">
        <f>H37/DAY(B2)</f>
        <v>1616.5</v>
      </c>
      <c r="K37" s="81"/>
      <c r="L37" s="68"/>
      <c r="N37" s="280"/>
      <c r="O37" s="152"/>
    </row>
    <row r="38" spans="1:15">
      <c r="A38" s="229" t="s">
        <v>166</v>
      </c>
      <c r="B38" s="230"/>
      <c r="C38" s="230"/>
      <c r="D38" s="174" t="s">
        <v>131</v>
      </c>
      <c r="E38" s="120">
        <f>'5'!F38</f>
        <v>256974</v>
      </c>
      <c r="F38" s="120">
        <v>258687</v>
      </c>
      <c r="G38" s="124">
        <f t="shared" si="4"/>
        <v>1713</v>
      </c>
      <c r="H38" s="111">
        <f>G38+'5'!H38</f>
        <v>10128</v>
      </c>
      <c r="I38" s="106"/>
      <c r="J38" s="203">
        <f>H38/DAY(B2)</f>
        <v>1688</v>
      </c>
      <c r="K38" s="81"/>
      <c r="L38" s="68"/>
      <c r="N38" s="73"/>
      <c r="O38" s="152"/>
    </row>
    <row r="39" spans="1:15">
      <c r="A39" s="229" t="s">
        <v>167</v>
      </c>
      <c r="B39" s="230"/>
      <c r="C39" s="230"/>
      <c r="D39" s="174" t="s">
        <v>131</v>
      </c>
      <c r="E39" s="161">
        <f>'5'!F39</f>
        <v>539262</v>
      </c>
      <c r="F39" s="161">
        <v>543012</v>
      </c>
      <c r="G39" s="124">
        <f t="shared" si="4"/>
        <v>3750</v>
      </c>
      <c r="H39" s="111">
        <f>G39+'5'!H39</f>
        <v>22494</v>
      </c>
      <c r="I39" s="106"/>
      <c r="J39" s="203">
        <f>H39/DAY(B2)</f>
        <v>3749</v>
      </c>
      <c r="K39" s="81"/>
      <c r="L39" s="68"/>
      <c r="N39" s="73"/>
      <c r="O39" s="152"/>
    </row>
    <row r="40" spans="1:15">
      <c r="A40" s="250" t="s">
        <v>168</v>
      </c>
      <c r="B40" s="251"/>
      <c r="C40" s="251"/>
      <c r="D40" s="174" t="s">
        <v>131</v>
      </c>
      <c r="E40" s="161">
        <f>'5'!F40</f>
        <v>22715.4</v>
      </c>
      <c r="F40" s="161">
        <v>23313</v>
      </c>
      <c r="G40" s="124">
        <f t="shared" si="4"/>
        <v>597.59999999999854</v>
      </c>
      <c r="H40" s="111">
        <f>G40+'5'!H40</f>
        <v>3140</v>
      </c>
      <c r="I40" s="106"/>
      <c r="J40" s="203">
        <f>H40/DAY(B2)</f>
        <v>523.33333333333337</v>
      </c>
      <c r="K40" s="82"/>
      <c r="L40" s="68"/>
      <c r="N40" s="73"/>
      <c r="O40" s="152"/>
    </row>
    <row r="41" spans="1:15">
      <c r="A41" s="229" t="s">
        <v>169</v>
      </c>
      <c r="B41" s="230"/>
      <c r="C41" s="230"/>
      <c r="D41" s="174" t="s">
        <v>131</v>
      </c>
      <c r="E41" s="161">
        <f>'5'!F41</f>
        <v>367737.47</v>
      </c>
      <c r="F41" s="161">
        <v>367737.47</v>
      </c>
      <c r="G41" s="124">
        <f>F41-E41</f>
        <v>0</v>
      </c>
      <c r="H41" s="111">
        <f>G41+'5'!H41</f>
        <v>897.46999999997206</v>
      </c>
      <c r="I41" s="106"/>
      <c r="J41" s="203">
        <f>H41/DAY(B2)</f>
        <v>149.57833333332869</v>
      </c>
      <c r="K41" s="81"/>
      <c r="L41" s="68"/>
      <c r="N41" s="73"/>
    </row>
    <row r="42" spans="1:15">
      <c r="A42" s="229" t="s">
        <v>170</v>
      </c>
      <c r="B42" s="230"/>
      <c r="C42" s="230"/>
      <c r="D42" s="174" t="s">
        <v>131</v>
      </c>
      <c r="E42" s="161">
        <f>'5'!F42</f>
        <v>138752</v>
      </c>
      <c r="F42" s="161">
        <v>141209</v>
      </c>
      <c r="G42" s="124">
        <f t="shared" si="4"/>
        <v>2457</v>
      </c>
      <c r="H42" s="111">
        <f>G42+'5'!H42</f>
        <v>25697</v>
      </c>
      <c r="I42" s="106"/>
      <c r="J42" s="203">
        <f>H42/DAY(B2)</f>
        <v>4282.833333333333</v>
      </c>
      <c r="K42" s="81"/>
      <c r="L42" s="68"/>
      <c r="N42" s="73"/>
    </row>
    <row r="43" spans="1:15">
      <c r="A43" s="229" t="s">
        <v>171</v>
      </c>
      <c r="B43" s="230"/>
      <c r="C43" s="230"/>
      <c r="D43" s="174" t="s">
        <v>131</v>
      </c>
      <c r="E43" s="161">
        <f>'5'!F43</f>
        <v>1218280</v>
      </c>
      <c r="F43" s="161">
        <v>1221260</v>
      </c>
      <c r="G43" s="124">
        <f t="shared" si="4"/>
        <v>2980</v>
      </c>
      <c r="H43" s="111">
        <f>G43+'5'!H43</f>
        <v>16799</v>
      </c>
      <c r="I43" s="106"/>
      <c r="J43" s="203">
        <f>H43/DAY(B2)</f>
        <v>2799.8333333333335</v>
      </c>
      <c r="K43" s="81"/>
      <c r="L43" s="68"/>
      <c r="N43" s="73"/>
    </row>
    <row r="44" spans="1:15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13809.559999999998</v>
      </c>
      <c r="H47" s="111">
        <f>G47+'5'!H47</f>
        <v>94180.069999999978</v>
      </c>
      <c r="I47" s="106"/>
      <c r="J47" s="203">
        <f>H47/DAY(B2)</f>
        <v>15696.67833333333</v>
      </c>
      <c r="K47" s="81"/>
      <c r="L47" s="68"/>
      <c r="N47" s="73"/>
    </row>
    <row r="48" spans="1:1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'5'!F49</f>
        <v>339450</v>
      </c>
      <c r="F49" s="683">
        <v>342658</v>
      </c>
      <c r="G49" s="124">
        <f t="shared" ref="G49:G58" si="5">F49-E49</f>
        <v>3208</v>
      </c>
      <c r="H49" s="111">
        <f>G49+'5'!H49</f>
        <v>18570</v>
      </c>
      <c r="I49" s="106"/>
      <c r="J49" s="203">
        <f>H49/DAY(B2)</f>
        <v>3095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'5'!F50</f>
        <v>576068</v>
      </c>
      <c r="F50" s="161">
        <v>577587</v>
      </c>
      <c r="G50" s="124">
        <f t="shared" si="5"/>
        <v>1519</v>
      </c>
      <c r="H50" s="111">
        <f>G50+'5'!H50</f>
        <v>7662</v>
      </c>
      <c r="I50" s="106"/>
      <c r="J50" s="203">
        <f>H50/DAY(B2)</f>
        <v>1277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'5'!F51</f>
        <v>144639.87</v>
      </c>
      <c r="F51" s="161">
        <v>144639.87</v>
      </c>
      <c r="G51" s="124">
        <f t="shared" si="5"/>
        <v>0</v>
      </c>
      <c r="H51" s="111">
        <f>G51+'5'!H51</f>
        <v>-0.13000000000465661</v>
      </c>
      <c r="I51" s="106"/>
      <c r="J51" s="203">
        <f>H51/DAY(B2)</f>
        <v>-2.1666666667442769E-2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'5'!F52</f>
        <v>539606.06999999995</v>
      </c>
      <c r="F52" s="161">
        <v>539606.06999999995</v>
      </c>
      <c r="G52" s="124">
        <f t="shared" si="5"/>
        <v>0</v>
      </c>
      <c r="H52" s="111">
        <f>G52+'5'!H52</f>
        <v>6.9999999948777258E-2</v>
      </c>
      <c r="I52" s="106"/>
      <c r="J52" s="203">
        <f>H52/DAY(B2)</f>
        <v>1.1666666658129543E-2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'5'!F53</f>
        <v>434231.59</v>
      </c>
      <c r="F53" s="161">
        <v>434231.59</v>
      </c>
      <c r="G53" s="124">
        <f t="shared" si="5"/>
        <v>0</v>
      </c>
      <c r="H53" s="111">
        <f>G53+'5'!H53</f>
        <v>-0.40999999997438863</v>
      </c>
      <c r="I53" s="106"/>
      <c r="J53" s="203">
        <f>H53/DAY(B2)</f>
        <v>-6.8333333329064772E-2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'5'!F54</f>
        <v>14967</v>
      </c>
      <c r="F54" s="161">
        <v>14967</v>
      </c>
      <c r="G54" s="124">
        <f t="shared" si="5"/>
        <v>0</v>
      </c>
      <c r="H54" s="111">
        <f>G54+'5'!H54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'5'!F55</f>
        <v>246446</v>
      </c>
      <c r="F55" s="304">
        <v>251912</v>
      </c>
      <c r="G55" s="303">
        <f t="shared" si="5"/>
        <v>5466</v>
      </c>
      <c r="H55" s="356">
        <f>G55+'5'!H55</f>
        <v>16238</v>
      </c>
      <c r="I55" s="357"/>
      <c r="J55" s="358">
        <f>H55/DAY(B2)</f>
        <v>2706.3333333333335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'5'!F56</f>
        <v>649417</v>
      </c>
      <c r="F56" s="706">
        <v>649428</v>
      </c>
      <c r="G56" s="124">
        <f t="shared" si="5"/>
        <v>11</v>
      </c>
      <c r="H56" s="111">
        <f>G56+'5'!H56</f>
        <v>67</v>
      </c>
      <c r="I56" s="106"/>
      <c r="J56" s="203">
        <f>H56/DAY(B2)</f>
        <v>11.166666666666666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3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'5'!F58</f>
        <v>60727.9</v>
      </c>
      <c r="F58" s="304">
        <v>60926.400000000001</v>
      </c>
      <c r="G58" s="124">
        <f t="shared" si="5"/>
        <v>198.5</v>
      </c>
      <c r="H58" s="111">
        <f>G58+'5'!H58</f>
        <v>1247.4000000000015</v>
      </c>
      <c r="I58" s="106"/>
      <c r="J58" s="203">
        <f>H58/DAY(B2)</f>
        <v>207.90000000000023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10402.5</v>
      </c>
      <c r="H59" s="111">
        <f>G59+'5'!H59</f>
        <v>43783.929999999971</v>
      </c>
      <c r="I59" s="106">
        <f>G7-G60</f>
        <v>-84.889999999955762</v>
      </c>
      <c r="J59" s="203">
        <f>H59/DAY(B2)</f>
        <v>7297.3216666666622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24212.059999999998</v>
      </c>
      <c r="H60" s="111">
        <f>G60+'5'!H60</f>
        <v>137963.99999999994</v>
      </c>
      <c r="I60" s="106">
        <f>G13-G60</f>
        <v>-862.05999999999767</v>
      </c>
      <c r="J60" s="203">
        <f>H60/DAY(B2)</f>
        <v>22993.999999999989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0</v>
      </c>
      <c r="G63" s="124">
        <f t="shared" si="6"/>
        <v>0</v>
      </c>
      <c r="H63" s="111">
        <f>G63+'5'!H63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35">
        <f>'5'!F64</f>
        <v>183709</v>
      </c>
      <c r="F64" s="129">
        <v>184096</v>
      </c>
      <c r="G64" s="124">
        <f t="shared" si="6"/>
        <v>387</v>
      </c>
      <c r="H64" s="111">
        <f>G64+'5'!H64</f>
        <v>2236</v>
      </c>
      <c r="I64" s="131"/>
      <c r="J64" s="203">
        <f>H64/DAY(B2)</f>
        <v>372.66666666666669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35">
        <f>'5'!F65</f>
        <v>184160</v>
      </c>
      <c r="F65" s="302">
        <v>184564</v>
      </c>
      <c r="G65" s="124">
        <f t="shared" si="6"/>
        <v>404</v>
      </c>
      <c r="H65" s="111">
        <f>G65+'5'!H65</f>
        <v>2355</v>
      </c>
      <c r="I65" s="140"/>
      <c r="J65" s="203">
        <f>H65/DAY(B2)</f>
        <v>392.5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35">
        <f>'5'!F66</f>
        <v>82676.100000000006</v>
      </c>
      <c r="F66" s="129">
        <v>83071</v>
      </c>
      <c r="G66" s="124">
        <f t="shared" si="6"/>
        <v>394.89999999999418</v>
      </c>
      <c r="H66" s="111">
        <f>G66+'5'!H66</f>
        <v>2399</v>
      </c>
      <c r="I66" s="131"/>
      <c r="J66" s="203">
        <f>H66/DAY(B2)</f>
        <v>399.83333333333331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35">
        <f>'5'!F67</f>
        <v>282467</v>
      </c>
      <c r="F67" s="129">
        <v>282944</v>
      </c>
      <c r="G67" s="124">
        <f t="shared" si="6"/>
        <v>477</v>
      </c>
      <c r="H67" s="111">
        <f>G67+'5'!H67</f>
        <v>2886</v>
      </c>
      <c r="I67" s="140"/>
      <c r="J67" s="203">
        <f>H67/DAY(B2)</f>
        <v>481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35">
        <f>'5'!F69</f>
        <v>98142.8</v>
      </c>
      <c r="F69" s="129">
        <v>98471.8</v>
      </c>
      <c r="G69" s="124">
        <f t="shared" si="6"/>
        <v>329</v>
      </c>
      <c r="H69" s="111">
        <f>G69+'5'!H69</f>
        <v>1914.8000000000029</v>
      </c>
      <c r="I69" s="167"/>
      <c r="J69" s="203">
        <f>H69/DAY(B2)</f>
        <v>319.13333333333384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'5'!F72</f>
        <v>856676</v>
      </c>
      <c r="F72" s="305">
        <v>856688</v>
      </c>
      <c r="G72" s="124">
        <f t="shared" ref="G72:G84" si="7">F72-E72</f>
        <v>12</v>
      </c>
      <c r="H72" s="111">
        <f>G72+'5'!H72</f>
        <v>79</v>
      </c>
      <c r="I72" s="131"/>
      <c r="J72" s="203">
        <f>H72/DAY(B2)</f>
        <v>13.166666666666666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1">
        <f>'5'!F73</f>
        <v>886020</v>
      </c>
      <c r="F73" s="306">
        <v>886021</v>
      </c>
      <c r="G73" s="303">
        <f t="shared" si="7"/>
        <v>1</v>
      </c>
      <c r="H73" s="111">
        <f>G73+'5'!H73</f>
        <v>8</v>
      </c>
      <c r="I73" s="131"/>
      <c r="J73" s="203">
        <f>H73/DAY(B2)</f>
        <v>1.3333333333333333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2">
        <f>'5'!F74</f>
        <v>88739.8</v>
      </c>
      <c r="F74" s="305">
        <v>88741</v>
      </c>
      <c r="G74" s="124">
        <f t="shared" si="7"/>
        <v>1.1999999999970896</v>
      </c>
      <c r="H74" s="111">
        <f>G74+'5'!H74</f>
        <v>8</v>
      </c>
      <c r="I74" s="131"/>
      <c r="J74" s="203">
        <f>H74/DAY(B2)</f>
        <v>1.3333333333333333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1">
        <f>'5'!F75</f>
        <v>21756.9</v>
      </c>
      <c r="F75" s="306">
        <v>21940.6</v>
      </c>
      <c r="G75" s="124">
        <f t="shared" si="7"/>
        <v>183.69999999999709</v>
      </c>
      <c r="H75" s="111">
        <f>G75+'5'!H75</f>
        <v>993.59999999999854</v>
      </c>
      <c r="I75" s="131"/>
      <c r="J75" s="203">
        <f>H75/DAY(B2)</f>
        <v>165.59999999999977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1">
        <f>'5'!F76</f>
        <v>11698.2</v>
      </c>
      <c r="F76" s="306">
        <v>11754</v>
      </c>
      <c r="G76" s="124">
        <f t="shared" si="7"/>
        <v>55.799999999999272</v>
      </c>
      <c r="H76" s="111">
        <f>G76+'5'!H76</f>
        <v>327</v>
      </c>
      <c r="I76" s="156"/>
      <c r="J76" s="203">
        <f>H76/DAY(B2)</f>
        <v>54.5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1">
        <f>'5'!F77</f>
        <v>706783</v>
      </c>
      <c r="F77" s="306">
        <v>706849</v>
      </c>
      <c r="G77" s="303">
        <f t="shared" si="7"/>
        <v>66</v>
      </c>
      <c r="H77" s="111">
        <f>G77+'5'!H77</f>
        <v>396</v>
      </c>
      <c r="I77" s="156"/>
      <c r="J77" s="203">
        <f>H77/DAY(B2)</f>
        <v>66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2">
        <f>'5'!F78</f>
        <v>679416</v>
      </c>
      <c r="F78" s="307">
        <v>679519</v>
      </c>
      <c r="G78" s="124">
        <f t="shared" si="7"/>
        <v>103</v>
      </c>
      <c r="H78" s="111">
        <f>G78+'5'!H78</f>
        <v>666</v>
      </c>
      <c r="I78" s="156"/>
      <c r="J78" s="203">
        <f>H78/DAY(B2)</f>
        <v>111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2">
        <f>'5'!F79</f>
        <v>840972</v>
      </c>
      <c r="F79" s="307">
        <v>841127</v>
      </c>
      <c r="G79" s="124">
        <f t="shared" si="7"/>
        <v>155</v>
      </c>
      <c r="H79" s="111">
        <f>G79+'5'!H79</f>
        <v>912</v>
      </c>
      <c r="I79" s="156"/>
      <c r="J79" s="203">
        <f>H79/DAY(B2)</f>
        <v>152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1">
        <f>'5'!F80</f>
        <v>553953.31999999995</v>
      </c>
      <c r="F80" s="306">
        <v>554331.80000000005</v>
      </c>
      <c r="G80" s="124">
        <f t="shared" si="7"/>
        <v>378.48000000009779</v>
      </c>
      <c r="H80" s="111">
        <f>G80+'5'!H80</f>
        <v>2379.8000000000466</v>
      </c>
      <c r="I80" s="156"/>
      <c r="J80" s="203">
        <f>H80/DAY(B2)</f>
        <v>396.63333333334111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'5'!F81</f>
        <v>649827.31999999995</v>
      </c>
      <c r="F81" s="306">
        <v>649977.96</v>
      </c>
      <c r="G81" s="124">
        <f t="shared" si="7"/>
        <v>150.64000000001397</v>
      </c>
      <c r="H81" s="111">
        <f>G81+'5'!H81</f>
        <v>959.95999999996275</v>
      </c>
      <c r="I81" s="156"/>
      <c r="J81" s="203">
        <f>H81/DAY(B2)</f>
        <v>159.99333333332712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'5'!F82</f>
        <v>109427</v>
      </c>
      <c r="F82" s="302">
        <v>109454</v>
      </c>
      <c r="G82" s="124">
        <f t="shared" si="7"/>
        <v>27</v>
      </c>
      <c r="H82" s="111">
        <f>G82+'5'!H82</f>
        <v>118</v>
      </c>
      <c r="I82" s="137"/>
      <c r="J82" s="203">
        <f>H82/DAY(B2)</f>
        <v>19.666666666666668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'5'!F83</f>
        <v>36592</v>
      </c>
      <c r="F83" s="162">
        <v>36924</v>
      </c>
      <c r="G83" s="124">
        <f t="shared" si="7"/>
        <v>332</v>
      </c>
      <c r="H83" s="111">
        <f>G83+'5'!H83</f>
        <v>1899</v>
      </c>
      <c r="I83" s="132"/>
      <c r="J83" s="203">
        <f>H83/DAY(B2)</f>
        <v>316.5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278">
        <f>'5'!F84</f>
        <v>551099</v>
      </c>
      <c r="F84" s="278">
        <v>551940</v>
      </c>
      <c r="G84" s="124">
        <f t="shared" si="7"/>
        <v>841</v>
      </c>
      <c r="H84" s="111">
        <f>G84+'5'!H84</f>
        <v>4547</v>
      </c>
      <c r="I84" s="132"/>
      <c r="J84" s="203">
        <f>H84/DAY(B2)</f>
        <v>757.83333333333337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2306.8200000001052</v>
      </c>
      <c r="H85" s="111">
        <f>G85+'5'!H85</f>
        <v>13293.360000000008</v>
      </c>
      <c r="I85" s="132"/>
      <c r="J85" s="203">
        <f>H85/DAY(B2)</f>
        <v>2215.5600000000013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'5'!F86</f>
        <v>462983.4</v>
      </c>
      <c r="F86" s="298">
        <v>462999.56</v>
      </c>
      <c r="G86" s="356">
        <f t="shared" ref="G86:G91" si="8">F86-E86</f>
        <v>16.159999999974389</v>
      </c>
      <c r="H86" s="111">
        <f>G86+'5'!H86</f>
        <v>492.55999999999767</v>
      </c>
      <c r="I86" s="303"/>
      <c r="J86" s="358">
        <f>H86/DAY(B2)</f>
        <v>82.09333333333295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'5'!F87</f>
        <v>83088.600000000006</v>
      </c>
      <c r="F87" s="298">
        <v>83124.5</v>
      </c>
      <c r="G87" s="356">
        <f t="shared" si="8"/>
        <v>35.899999999994179</v>
      </c>
      <c r="H87" s="111">
        <f>G87+'5'!H87</f>
        <v>170.5</v>
      </c>
      <c r="I87" s="303"/>
      <c r="J87" s="358">
        <f>H87/DAY(B2)</f>
        <v>28.416666666666668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'5'!F89</f>
        <v>67271.8</v>
      </c>
      <c r="F89" s="298">
        <v>67321.3</v>
      </c>
      <c r="G89" s="356">
        <f t="shared" si="8"/>
        <v>49.5</v>
      </c>
      <c r="H89" s="111">
        <f>G89+'5'!H89</f>
        <v>232.30000000000291</v>
      </c>
      <c r="I89" s="303"/>
      <c r="J89" s="358">
        <f>H89/DAY(B2)</f>
        <v>38.716666666667152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'5'!F90</f>
        <v>3482.9</v>
      </c>
      <c r="F90" s="298">
        <v>3489.7</v>
      </c>
      <c r="G90" s="356">
        <f t="shared" si="8"/>
        <v>6.7999999999997272</v>
      </c>
      <c r="H90" s="111">
        <f>G90+'5'!H90</f>
        <v>25.699999999999818</v>
      </c>
      <c r="I90" s="303"/>
      <c r="J90" s="358">
        <f>H90/DAY(B2)</f>
        <v>4.283333333333303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'5'!F91</f>
        <v>28545.9</v>
      </c>
      <c r="F91" s="298">
        <v>28555.08</v>
      </c>
      <c r="G91" s="356">
        <f t="shared" si="8"/>
        <v>9.180000000000291</v>
      </c>
      <c r="H91" s="111">
        <f>G91+'5'!H91</f>
        <v>9.180000000000291</v>
      </c>
      <c r="I91" s="303"/>
      <c r="J91" s="358">
        <f>H91/DAY(B2)</f>
        <v>1.5300000000000484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'5'!F93</f>
        <v>250828</v>
      </c>
      <c r="F93" s="129">
        <v>250942</v>
      </c>
      <c r="G93" s="124">
        <f t="shared" ref="G93:G94" si="9">F93-E93</f>
        <v>114</v>
      </c>
      <c r="H93" s="111">
        <f>G93+'5'!H93</f>
        <v>628</v>
      </c>
      <c r="I93" s="131"/>
      <c r="J93" s="203">
        <f>H93/DAY(B2)</f>
        <v>104.66666666666667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'5'!F94</f>
        <v>193654</v>
      </c>
      <c r="F94" s="129">
        <v>193804</v>
      </c>
      <c r="G94" s="124">
        <f t="shared" si="9"/>
        <v>150</v>
      </c>
      <c r="H94" s="111">
        <f>G94+'5'!H94</f>
        <v>906</v>
      </c>
      <c r="I94" s="131"/>
      <c r="J94" s="203">
        <f>H94/DAY(B2)</f>
        <v>151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'5'!F95</f>
        <v>0</v>
      </c>
      <c r="F95" s="129"/>
      <c r="G95" s="124">
        <f>G93+G94</f>
        <v>264</v>
      </c>
      <c r="H95" s="111">
        <f>G95+'5'!H95</f>
        <v>1228</v>
      </c>
      <c r="I95" s="131"/>
      <c r="J95" s="203">
        <f>H95/DAY(B2)</f>
        <v>204.66666666666666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'5'!F96</f>
        <v>418952</v>
      </c>
      <c r="F96" s="129">
        <v>419026</v>
      </c>
      <c r="G96" s="124">
        <f t="shared" ref="G96:G101" si="10">F96-E96</f>
        <v>74</v>
      </c>
      <c r="H96" s="111">
        <f>G96+'5'!H96</f>
        <v>490</v>
      </c>
      <c r="I96" s="131"/>
      <c r="J96" s="203">
        <f>H96/DAY(B2)</f>
        <v>81.666666666666671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'5'!F97</f>
        <v>103976</v>
      </c>
      <c r="F97" s="129">
        <v>103999</v>
      </c>
      <c r="G97" s="124">
        <f t="shared" si="10"/>
        <v>23</v>
      </c>
      <c r="H97" s="111">
        <f>G97+'5'!H97</f>
        <v>150</v>
      </c>
      <c r="I97" s="131"/>
      <c r="J97" s="203">
        <f>H97/DAY(B2)</f>
        <v>25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'5'!F98</f>
        <v>99596</v>
      </c>
      <c r="F98" s="129">
        <v>99626</v>
      </c>
      <c r="G98" s="124">
        <f t="shared" si="10"/>
        <v>30</v>
      </c>
      <c r="H98" s="111">
        <f>G98+'5'!H98</f>
        <v>178</v>
      </c>
      <c r="I98" s="131"/>
      <c r="J98" s="203">
        <f>H98/DAY(B2)</f>
        <v>29.666666666666668</v>
      </c>
      <c r="K98" s="85"/>
      <c r="L98" s="68"/>
      <c r="N98" s="73"/>
    </row>
    <row r="99" spans="1:14" ht="27.75">
      <c r="A99" s="771" t="s">
        <v>211</v>
      </c>
      <c r="B99" s="772"/>
      <c r="C99" s="772"/>
      <c r="D99" s="174" t="s">
        <v>143</v>
      </c>
      <c r="E99" s="135">
        <f>'5'!F99</f>
        <v>151354</v>
      </c>
      <c r="F99" s="129">
        <v>151367</v>
      </c>
      <c r="G99" s="124">
        <f t="shared" si="10"/>
        <v>13</v>
      </c>
      <c r="H99" s="111">
        <f>G99+'5'!H99</f>
        <v>116</v>
      </c>
      <c r="I99" s="131"/>
      <c r="J99" s="203">
        <f>H99/DAY(B2)</f>
        <v>19.333333333333332</v>
      </c>
      <c r="K99" s="71"/>
      <c r="L99" s="68"/>
      <c r="N99" s="355"/>
    </row>
    <row r="100" spans="1:14" ht="27.75">
      <c r="A100" s="771" t="s">
        <v>212</v>
      </c>
      <c r="B100" s="772"/>
      <c r="C100" s="772"/>
      <c r="D100" s="174" t="s">
        <v>143</v>
      </c>
      <c r="E100" s="135">
        <f>'5'!F100</f>
        <v>8242</v>
      </c>
      <c r="F100" s="129">
        <v>8261</v>
      </c>
      <c r="G100" s="124">
        <f t="shared" si="10"/>
        <v>19</v>
      </c>
      <c r="H100" s="111">
        <f>G100+'5'!H100</f>
        <v>96</v>
      </c>
      <c r="I100" s="131"/>
      <c r="J100" s="203">
        <f>H100/DAY(B2)</f>
        <v>16</v>
      </c>
      <c r="K100" s="71"/>
      <c r="L100" s="68"/>
      <c r="N100" s="73"/>
    </row>
    <row r="101" spans="1:14" ht="27.75">
      <c r="A101" s="771" t="s">
        <v>213</v>
      </c>
      <c r="B101" s="772"/>
      <c r="C101" s="772"/>
      <c r="D101" s="174" t="s">
        <v>143</v>
      </c>
      <c r="E101" s="135">
        <f>'5'!F101</f>
        <v>6047</v>
      </c>
      <c r="F101" s="129">
        <v>6058</v>
      </c>
      <c r="G101" s="124">
        <f t="shared" si="10"/>
        <v>11</v>
      </c>
      <c r="H101" s="111">
        <f>G101+'5'!H101</f>
        <v>67</v>
      </c>
      <c r="I101" s="131"/>
      <c r="J101" s="203">
        <f>H101/DAY(B2)</f>
        <v>11.166666666666666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175" t="s">
        <v>214</v>
      </c>
      <c r="G102" s="176">
        <f>SUM(G96:G101)</f>
        <v>170</v>
      </c>
      <c r="H102" s="111">
        <f>G102+'5'!H102</f>
        <v>1097</v>
      </c>
      <c r="I102" s="177"/>
      <c r="J102" s="203">
        <f>H102/DAY(B2)</f>
        <v>182.83333333333334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83">
        <f>'5'!F105</f>
        <v>7937</v>
      </c>
      <c r="F105" s="309">
        <v>7937</v>
      </c>
      <c r="G105" s="183">
        <f>F105-E105</f>
        <v>0</v>
      </c>
      <c r="H105" s="111">
        <f>G105+'5'!H105</f>
        <v>300</v>
      </c>
      <c r="I105" s="183"/>
      <c r="J105" s="209">
        <f>H105/DAY(B2)</f>
        <v>50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83">
        <f>'5'!F106</f>
        <v>36511</v>
      </c>
      <c r="F106" s="310">
        <v>36519</v>
      </c>
      <c r="G106" s="183">
        <f t="shared" ref="G106" si="11">F106-E106</f>
        <v>8</v>
      </c>
      <c r="H106" s="111">
        <f>G106+'5'!H106</f>
        <v>59</v>
      </c>
      <c r="I106" s="183"/>
      <c r="J106" s="209">
        <f>H106/DAY(B2)</f>
        <v>9.8333333333333339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'5'!F107</f>
        <v>19992</v>
      </c>
      <c r="F107" s="309">
        <v>20001</v>
      </c>
      <c r="G107" s="183">
        <f>F107-E107</f>
        <v>9</v>
      </c>
      <c r="H107" s="111">
        <f>G107+'5'!H107</f>
        <v>38</v>
      </c>
      <c r="I107" s="183"/>
      <c r="J107" s="209">
        <f>H107/DAY(B2)</f>
        <v>6.333333333333333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/>
      <c r="F108" s="309"/>
      <c r="G108" s="183">
        <f>SUM(G105:G107)</f>
        <v>17</v>
      </c>
      <c r="H108" s="111">
        <f>G108+'5'!H108</f>
        <v>397</v>
      </c>
      <c r="I108" s="183"/>
      <c r="J108" s="209">
        <f>H108/DAY(B2)</f>
        <v>66.166666666666671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'5'!F110</f>
        <v>67499</v>
      </c>
      <c r="F110" s="309">
        <v>67576</v>
      </c>
      <c r="G110" s="183">
        <f>F110-E110</f>
        <v>77</v>
      </c>
      <c r="H110" s="111">
        <f>G110+'5'!H110</f>
        <v>473</v>
      </c>
      <c r="I110" s="183"/>
      <c r="J110" s="209">
        <f>H110/DAY(B2)</f>
        <v>78.833333333333329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'5'!F112</f>
        <v>4664</v>
      </c>
      <c r="F112" s="309">
        <v>4677</v>
      </c>
      <c r="G112" s="183">
        <f t="shared" ref="G112" si="12">F112-E112</f>
        <v>13</v>
      </c>
      <c r="H112" s="111">
        <f>G112+'5'!H112</f>
        <v>55</v>
      </c>
      <c r="I112" s="183"/>
      <c r="J112" s="209">
        <f>H112/DAY(B2)</f>
        <v>9.1666666666666661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/>
      <c r="F113" s="309"/>
      <c r="G113" s="183">
        <f>SUM(G110:G112)</f>
        <v>90</v>
      </c>
      <c r="H113" s="111">
        <f>G113+'5'!H113</f>
        <v>528</v>
      </c>
      <c r="I113" s="183"/>
      <c r="J113" s="209">
        <f>H113/DAY(B2)</f>
        <v>88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'5'!F115</f>
        <v>12557</v>
      </c>
      <c r="F115" s="310">
        <v>12579</v>
      </c>
      <c r="G115" s="185">
        <f>F115-E115</f>
        <v>22</v>
      </c>
      <c r="H115" s="111">
        <f>G115+'5'!H115</f>
        <v>114</v>
      </c>
      <c r="I115" s="183"/>
      <c r="J115" s="209">
        <f>H115/DAY(B2)</f>
        <v>19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'5'!F116</f>
        <v>8880</v>
      </c>
      <c r="F116" s="310">
        <v>8886</v>
      </c>
      <c r="G116" s="185">
        <f t="shared" ref="G116:G117" si="13">F116-E116</f>
        <v>6</v>
      </c>
      <c r="H116" s="111">
        <f>G116+'5'!H116</f>
        <v>66</v>
      </c>
      <c r="I116" s="183"/>
      <c r="J116" s="209">
        <f>H116/DAY(B2)</f>
        <v>11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28</v>
      </c>
      <c r="H118" s="111">
        <f>G118+'5'!H118</f>
        <v>180</v>
      </c>
      <c r="I118" s="185"/>
      <c r="J118" s="209">
        <f>H118/DAY(B2)</f>
        <v>30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175</v>
      </c>
      <c r="G119" s="187">
        <f>SUM(G19+G93)</f>
        <v>175</v>
      </c>
      <c r="H119" s="111">
        <f>G119+'5'!H119</f>
        <v>995</v>
      </c>
      <c r="I119" s="186"/>
      <c r="J119" s="210">
        <f>H119/DAY(B2)</f>
        <v>165.83333333333334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157</v>
      </c>
      <c r="G120" s="187">
        <f>SUM(G96,G97,G98,G100,G101)</f>
        <v>157</v>
      </c>
      <c r="H120" s="111">
        <f>G120+'5'!H120</f>
        <v>981</v>
      </c>
      <c r="I120" s="186"/>
      <c r="J120" s="210">
        <f>H120/DAY(B2)</f>
        <v>163.5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90</v>
      </c>
      <c r="G121" s="185">
        <f>SUM(G113)</f>
        <v>90</v>
      </c>
      <c r="H121" s="111">
        <f>G121+'5'!H121</f>
        <v>528</v>
      </c>
      <c r="I121" s="186"/>
      <c r="J121" s="210">
        <f>H121/DAY(B2)</f>
        <v>88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'5'!F124</f>
        <v>849278.48</v>
      </c>
      <c r="F124" s="129">
        <v>849545.37</v>
      </c>
      <c r="G124" s="124">
        <f t="shared" ref="G124:G128" si="14">F124-E124</f>
        <v>266.89000000001397</v>
      </c>
      <c r="H124" s="111">
        <f>G124+'5'!H124</f>
        <v>1579.3699999999953</v>
      </c>
      <c r="I124" s="177"/>
      <c r="J124" s="203">
        <f>H124/DAY(B2)</f>
        <v>263.22833333333256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'5'!F126</f>
        <v>151709.57</v>
      </c>
      <c r="F126" s="129">
        <v>151817.32999999999</v>
      </c>
      <c r="G126" s="124">
        <f t="shared" si="14"/>
        <v>107.75999999998021</v>
      </c>
      <c r="H126" s="111">
        <f>G126+'5'!H126</f>
        <v>496.32999999998719</v>
      </c>
      <c r="I126" s="177"/>
      <c r="J126" s="203">
        <f>H126/DAY(B2)</f>
        <v>82.721666666664532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277">
        <f>'5'!F127</f>
        <v>33503.4</v>
      </c>
      <c r="F127" s="277">
        <v>33556.800000000003</v>
      </c>
      <c r="G127" s="124">
        <f t="shared" si="14"/>
        <v>53.400000000001455</v>
      </c>
      <c r="H127" s="111">
        <f>G127+'5'!H127</f>
        <v>268.80000000000291</v>
      </c>
      <c r="I127" s="177"/>
      <c r="J127" s="203">
        <f>H127/DAY(B2)</f>
        <v>44.800000000000487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277">
        <f>'5'!F128</f>
        <v>9121.5</v>
      </c>
      <c r="F128" s="277">
        <v>9122.6</v>
      </c>
      <c r="G128" s="124">
        <f t="shared" si="14"/>
        <v>1.1000000000003638</v>
      </c>
      <c r="H128" s="111">
        <f>G128+'5'!H128</f>
        <v>9.6000000000003638</v>
      </c>
      <c r="I128" s="131"/>
      <c r="J128" s="203">
        <f>H128/DAY(B2)</f>
        <v>1.6000000000000607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539.02999999993881</v>
      </c>
      <c r="H129" s="111">
        <f>G129+'5'!H129</f>
        <v>2697.3599999999769</v>
      </c>
      <c r="I129" s="131"/>
      <c r="J129" s="203">
        <f>H129/DAY(B2)</f>
        <v>449.55999999999614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'5'!F133</f>
        <v>40623.15</v>
      </c>
      <c r="F133" s="277">
        <v>40623.15</v>
      </c>
      <c r="G133" s="124">
        <f t="shared" si="15"/>
        <v>0</v>
      </c>
      <c r="H133" s="111">
        <f>G133+'5'!H133</f>
        <v>4.1500000000014552</v>
      </c>
      <c r="I133" s="131"/>
      <c r="J133" s="203">
        <f>H133/DAY(B2)</f>
        <v>0.69166666666690924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135">
        <f>'5'!F134</f>
        <v>680.01</v>
      </c>
      <c r="F134" s="277">
        <v>691.38</v>
      </c>
      <c r="G134" s="124">
        <f t="shared" si="15"/>
        <v>11.370000000000005</v>
      </c>
      <c r="H134" s="111">
        <f>G134+'5'!H134</f>
        <v>117.38</v>
      </c>
      <c r="I134" s="131">
        <f>G133+G134+G135+G136</f>
        <v>35.39999999999884</v>
      </c>
      <c r="J134" s="203">
        <f>H134/DAY(B2)</f>
        <v>19.563333333333333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352">
        <f>'5'!F135</f>
        <v>42549.47</v>
      </c>
      <c r="F135" s="277">
        <v>42573.55</v>
      </c>
      <c r="G135" s="124">
        <f t="shared" si="15"/>
        <v>24.080000000001746</v>
      </c>
      <c r="H135" s="111">
        <f>G135+'5'!H135</f>
        <v>74.55000000000291</v>
      </c>
      <c r="I135" s="131"/>
      <c r="J135" s="203">
        <f>H135/DAY(B2)</f>
        <v>12.425000000000486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173">
        <f>'5'!F136</f>
        <v>32874.050000000003</v>
      </c>
      <c r="F136" s="136">
        <v>32874</v>
      </c>
      <c r="G136" s="124">
        <f t="shared" si="15"/>
        <v>-5.0000000002910383E-2</v>
      </c>
      <c r="H136" s="111">
        <f>G136+'5'!H136</f>
        <v>0</v>
      </c>
      <c r="I136" s="131"/>
      <c r="J136" s="203">
        <f>H136/DAY(B2)</f>
        <v>0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'5'!F137</f>
        <v>23145.74</v>
      </c>
      <c r="F137" s="302">
        <v>23155.22</v>
      </c>
      <c r="G137" s="124">
        <f t="shared" si="15"/>
        <v>9.4799999999995634</v>
      </c>
      <c r="H137" s="111">
        <f>G137+'5'!H137</f>
        <v>48.659999999999854</v>
      </c>
      <c r="I137" s="131">
        <f>G137+G138+G139</f>
        <v>9.4799999999995634</v>
      </c>
      <c r="J137" s="203">
        <f>H137/DAY(B2)</f>
        <v>8.1099999999999763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'5'!F138</f>
        <v>25119.45</v>
      </c>
      <c r="F138" s="302">
        <v>25119.45</v>
      </c>
      <c r="G138" s="124">
        <f t="shared" si="15"/>
        <v>0</v>
      </c>
      <c r="H138" s="111">
        <f>G138+'5'!H138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92">
        <f>'5'!F139</f>
        <v>70518.2</v>
      </c>
      <c r="F139" s="302">
        <v>70518.2</v>
      </c>
      <c r="G139" s="124">
        <f t="shared" si="15"/>
        <v>0</v>
      </c>
      <c r="H139" s="111">
        <f>G139+'5'!H139</f>
        <v>1.5999999999912689</v>
      </c>
      <c r="I139" s="131"/>
      <c r="J139" s="203">
        <f>H139/DAY(B2)</f>
        <v>0.26666666666521149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352">
        <f>'5'!F140</f>
        <v>2359.81</v>
      </c>
      <c r="F140" s="277">
        <v>2369.63</v>
      </c>
      <c r="G140" s="124">
        <f t="shared" si="15"/>
        <v>9.8200000000001637</v>
      </c>
      <c r="H140" s="111">
        <f>G140+'5'!H140</f>
        <v>58.070000000000164</v>
      </c>
      <c r="I140" s="193">
        <f>G141+G1279</f>
        <v>0</v>
      </c>
      <c r="J140" s="203">
        <f>H140/DAY(B2)</f>
        <v>9.6783333333333612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'5'!F141</f>
        <v>4753.67</v>
      </c>
      <c r="F141" s="129">
        <v>4753.67</v>
      </c>
      <c r="G141" s="124">
        <f t="shared" si="15"/>
        <v>0</v>
      </c>
      <c r="H141" s="111">
        <f>G141+'5'!H141</f>
        <v>-0.32999999999992724</v>
      </c>
      <c r="I141" s="193"/>
      <c r="J141" s="203">
        <f>H141/DAY(B2)</f>
        <v>-5.4999999999987871E-2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6188</v>
      </c>
      <c r="H143" s="111">
        <f>G143+'5'!H143</f>
        <v>35369</v>
      </c>
      <c r="I143" s="131"/>
      <c r="J143" s="203">
        <f>H143/DAY(B2)</f>
        <v>5894.833333333333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0.25647433992465712</v>
      </c>
      <c r="H144" s="111">
        <f>G144+'5'!H144</f>
        <v>1.5451222691333901</v>
      </c>
      <c r="I144" s="195"/>
      <c r="J144" s="203">
        <f>H144/DAY(B2)</f>
        <v>0.25752037818889834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7934</v>
      </c>
      <c r="H145" s="111">
        <f>G145+'5'!H145</f>
        <v>42899.469999999972</v>
      </c>
      <c r="I145" s="131"/>
      <c r="J145" s="203">
        <f>H145/DAY(B2)</f>
        <v>7149.9116666666623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0.32884088767973974</v>
      </c>
      <c r="H146" s="111">
        <f>G146+'5'!H146</f>
        <v>1.8717246574029471</v>
      </c>
      <c r="I146" s="195"/>
      <c r="J146" s="203">
        <f>H146/DAY(B2)</f>
        <v>0.31195410956715786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3750</v>
      </c>
      <c r="H147" s="111">
        <f>G147+'5'!H147</f>
        <v>22493.590000000026</v>
      </c>
      <c r="I147" s="196"/>
      <c r="J147" s="203">
        <f>H147/DAY(B2)</f>
        <v>3748.9316666666709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0.15542643418187849</v>
      </c>
      <c r="H148" s="111">
        <f>G148+'5'!H148</f>
        <v>0.98448298382267874</v>
      </c>
      <c r="I148" s="196"/>
      <c r="J148" s="203">
        <f>H148/DAY(B2)</f>
        <v>0.1640804973037798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1713</v>
      </c>
      <c r="H149" s="111">
        <f>G149+'5'!H149</f>
        <v>10128.069999999949</v>
      </c>
      <c r="I149" s="131"/>
      <c r="J149" s="203">
        <f>H149/DAY(B2)</f>
        <v>1688.0116666666581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7.0998795134282103E-2</v>
      </c>
      <c r="H150" s="111">
        <f>G150+'5'!H150</f>
        <v>0.44298038964751257</v>
      </c>
      <c r="I150" s="196"/>
      <c r="J150" s="203">
        <f>H150/DAY(B2)</f>
        <v>7.3830064941252091E-2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2217.9599999999991</v>
      </c>
      <c r="H151" s="111">
        <f>G151+'5'!H151</f>
        <v>12186.599999999999</v>
      </c>
      <c r="I151" s="196"/>
      <c r="J151" s="203">
        <f>H151/DAY(B2)</f>
        <v>2031.0999999999997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9.192789705547709E-2</v>
      </c>
      <c r="H152" s="111">
        <f>G152+'5'!H152</f>
        <v>0.53132396859911379</v>
      </c>
      <c r="I152" s="131"/>
      <c r="J152" s="203">
        <f>H152/DAY(B2)</f>
        <v>8.855399476651897E-2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1613</v>
      </c>
      <c r="H153" s="111">
        <f>G153+'5'!H153</f>
        <v>9698.8699999999953</v>
      </c>
      <c r="I153" s="131"/>
      <c r="J153" s="203">
        <f>H153/DAY(B2)</f>
        <v>1616.4783333333326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6.6854090222765339E-2</v>
      </c>
      <c r="H154" s="111">
        <f>G154+'5'!H154</f>
        <v>0.42447834995227512</v>
      </c>
      <c r="I154" s="219"/>
      <c r="J154" s="220">
        <f>H154/DAY(B2)</f>
        <v>7.0746391658712521E-2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35">
        <f>'5'!F161</f>
        <v>43729.4</v>
      </c>
      <c r="F161" s="309">
        <v>43808</v>
      </c>
      <c r="G161" s="124">
        <f t="shared" ref="G161:G175" si="16">F161-E161</f>
        <v>78.599999999998545</v>
      </c>
    </row>
    <row r="162" spans="1:7">
      <c r="A162" s="435" t="s">
        <v>263</v>
      </c>
      <c r="B162" s="436"/>
      <c r="C162" s="436"/>
      <c r="D162" s="162" t="s">
        <v>186</v>
      </c>
      <c r="E162" s="135">
        <f>'5'!F162</f>
        <v>124377</v>
      </c>
      <c r="F162" s="309">
        <v>124868</v>
      </c>
      <c r="G162" s="124">
        <f t="shared" si="16"/>
        <v>491</v>
      </c>
    </row>
    <row r="163" spans="1:7">
      <c r="A163" s="435" t="s">
        <v>264</v>
      </c>
      <c r="B163" s="436"/>
      <c r="C163" s="436"/>
      <c r="D163" s="162" t="s">
        <v>186</v>
      </c>
      <c r="E163" s="135">
        <f>'5'!F163</f>
        <v>58506.2</v>
      </c>
      <c r="F163" s="309">
        <v>58710.3</v>
      </c>
      <c r="G163" s="124">
        <f t="shared" si="16"/>
        <v>204.10000000000582</v>
      </c>
    </row>
    <row r="164" spans="1:7">
      <c r="A164" s="435" t="s">
        <v>265</v>
      </c>
      <c r="B164" s="436"/>
      <c r="C164" s="436"/>
      <c r="D164" s="162" t="s">
        <v>186</v>
      </c>
      <c r="E164" s="135">
        <f>'5'!F164</f>
        <v>7190.76</v>
      </c>
      <c r="F164" s="309">
        <v>7198.42</v>
      </c>
      <c r="G164" s="124">
        <f t="shared" si="16"/>
        <v>7.6599999999998545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0</v>
      </c>
      <c r="G166" s="124">
        <f t="shared" si="16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si="17"/>
        <v>183709</v>
      </c>
      <c r="F167" s="165">
        <f t="shared" si="17"/>
        <v>184096</v>
      </c>
      <c r="G167" s="124">
        <f t="shared" si="16"/>
        <v>387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si="17"/>
        <v>184160</v>
      </c>
      <c r="F168" s="165">
        <f t="shared" si="17"/>
        <v>184564</v>
      </c>
      <c r="G168" s="124">
        <f t="shared" si="16"/>
        <v>404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si="17"/>
        <v>82676.100000000006</v>
      </c>
      <c r="F169" s="165">
        <f t="shared" si="17"/>
        <v>83071</v>
      </c>
      <c r="G169" s="124">
        <f t="shared" si="16"/>
        <v>394.89999999999418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si="17"/>
        <v>282467</v>
      </c>
      <c r="F170" s="165">
        <f t="shared" si="17"/>
        <v>282944</v>
      </c>
      <c r="G170" s="124">
        <f t="shared" si="16"/>
        <v>477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si="17"/>
        <v>98142.8</v>
      </c>
      <c r="F172" s="165">
        <f t="shared" si="17"/>
        <v>98471.8</v>
      </c>
      <c r="G172" s="124">
        <f t="shared" si="16"/>
        <v>329</v>
      </c>
    </row>
    <row r="173" spans="1:7">
      <c r="A173" s="1228" t="s">
        <v>338</v>
      </c>
      <c r="B173" s="1191"/>
      <c r="C173" s="436"/>
      <c r="D173" s="174" t="s">
        <v>186</v>
      </c>
      <c r="E173" s="135">
        <f>'5'!F173</f>
        <v>19149.599999999999</v>
      </c>
      <c r="F173" s="183">
        <v>19152.3</v>
      </c>
      <c r="G173" s="124">
        <f t="shared" si="16"/>
        <v>2.7000000000007276</v>
      </c>
    </row>
    <row r="174" spans="1:7">
      <c r="A174" s="1228" t="s">
        <v>338</v>
      </c>
      <c r="B174" s="1191"/>
      <c r="C174" s="436"/>
      <c r="D174" s="174" t="s">
        <v>186</v>
      </c>
      <c r="E174" s="135">
        <f>'5'!F174</f>
        <v>70565.100000000006</v>
      </c>
      <c r="F174" s="183">
        <v>70571.7</v>
      </c>
      <c r="G174" s="124">
        <f t="shared" si="16"/>
        <v>6.5999999999912689</v>
      </c>
    </row>
    <row r="175" spans="1:7">
      <c r="A175" s="1228" t="s">
        <v>339</v>
      </c>
      <c r="B175" s="1191"/>
      <c r="C175" s="436"/>
      <c r="D175" s="174" t="s">
        <v>186</v>
      </c>
      <c r="E175" s="135">
        <f>'5'!F175</f>
        <v>27820.6</v>
      </c>
      <c r="F175" s="183">
        <v>27826.3</v>
      </c>
      <c r="G175" s="124">
        <f t="shared" si="16"/>
        <v>5.7000000000007276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88" zoomScale="60" zoomScaleNormal="77" workbookViewId="0">
      <selection activeCell="F8" sqref="F8"/>
    </sheetView>
  </sheetViews>
  <sheetFormatPr defaultColWidth="22.33203125" defaultRowHeight="29.2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341</v>
      </c>
      <c r="B2" s="682">
        <v>44415</v>
      </c>
      <c r="C2" s="773" t="s">
        <v>68</v>
      </c>
      <c r="D2" s="262">
        <v>0.99470000000000003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73" t="s">
        <v>119</v>
      </c>
      <c r="D3" s="263">
        <v>33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7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'6'!F7</f>
        <v>745131</v>
      </c>
      <c r="F7" s="106">
        <v>769371</v>
      </c>
      <c r="G7" s="340">
        <f t="shared" ref="G7:G12" si="0">F7-E7</f>
        <v>24240</v>
      </c>
      <c r="H7" s="330">
        <f>G7+'6'!H7</f>
        <v>161698</v>
      </c>
      <c r="I7" s="331">
        <f>'1'!I7</f>
        <v>12000</v>
      </c>
      <c r="J7" s="332">
        <f>H7/DAY(B2)</f>
        <v>23099.714285714286</v>
      </c>
      <c r="K7" s="200"/>
      <c r="L7" s="68"/>
      <c r="N7" s="359"/>
      <c r="P7" s="67" t="s">
        <v>214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'6'!F8</f>
        <v>753768.63</v>
      </c>
      <c r="F8" s="126">
        <v>778174.31</v>
      </c>
      <c r="G8" s="340">
        <f t="shared" si="0"/>
        <v>24405.680000000051</v>
      </c>
      <c r="H8" s="330">
        <f>G8+'6'!H8</f>
        <v>162577.31000000006</v>
      </c>
      <c r="I8" s="337">
        <v>12000</v>
      </c>
      <c r="J8" s="332">
        <f>H8/DAY(B2)</f>
        <v>23225.330000000009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'6'!F9</f>
        <v>2829790</v>
      </c>
      <c r="F9" s="129">
        <v>2853090</v>
      </c>
      <c r="G9" s="340">
        <f t="shared" si="0"/>
        <v>23300</v>
      </c>
      <c r="H9" s="330">
        <f>G9+'6'!H9</f>
        <v>156455</v>
      </c>
      <c r="I9" s="341">
        <f>I8-J8</f>
        <v>-11225.330000000009</v>
      </c>
      <c r="J9" s="332">
        <f>H9/DAY(B2)</f>
        <v>22350.714285714286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23300</v>
      </c>
      <c r="H13" s="330">
        <f>G13+'6'!H13</f>
        <v>134690.54999999999</v>
      </c>
      <c r="I13" s="346">
        <f>G7-G13</f>
        <v>940</v>
      </c>
      <c r="J13" s="332">
        <f>H13/DAY(B2)</f>
        <v>19241.507142857143</v>
      </c>
      <c r="K13" s="81"/>
      <c r="L13" s="68"/>
      <c r="N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443" t="s">
        <v>139</v>
      </c>
      <c r="B15" s="444"/>
      <c r="C15" s="444"/>
      <c r="D15" s="175" t="s">
        <v>140</v>
      </c>
      <c r="E15" s="136">
        <f>'6'!F15</f>
        <v>1734605.46</v>
      </c>
      <c r="F15" s="136">
        <v>1735466.27</v>
      </c>
      <c r="G15" s="315">
        <f>(F15-E15)</f>
        <v>860.81000000005588</v>
      </c>
      <c r="H15" s="137">
        <f>G15+'6'!H15</f>
        <v>5912.2700000000186</v>
      </c>
      <c r="I15" s="715">
        <v>800</v>
      </c>
      <c r="J15" s="204">
        <f>H15/DAY(B2)</f>
        <v>844.61000000000263</v>
      </c>
      <c r="K15" s="81"/>
      <c r="L15" s="68"/>
      <c r="N15" s="73"/>
    </row>
    <row r="16" spans="1:16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-44.610000000002628</v>
      </c>
      <c r="J16" s="204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'6'!F18</f>
        <v>20</v>
      </c>
      <c r="F18" s="129">
        <v>17</v>
      </c>
      <c r="G18" s="345">
        <f>F18*10</f>
        <v>170</v>
      </c>
      <c r="H18" s="330">
        <f>G18+'6'!H18</f>
        <v>1180</v>
      </c>
      <c r="I18" s="331">
        <f>'1'!I18</f>
        <v>65</v>
      </c>
      <c r="J18" s="332">
        <f>H18/DAY(B2)</f>
        <v>168.57142857142858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'6'!F19</f>
        <v>143757</v>
      </c>
      <c r="F19" s="129">
        <v>143812</v>
      </c>
      <c r="G19" s="340">
        <f t="shared" ref="G19" si="1">F19-E19</f>
        <v>55</v>
      </c>
      <c r="H19" s="330">
        <f>G19+'6'!H19</f>
        <v>422</v>
      </c>
      <c r="I19" s="347"/>
      <c r="J19" s="332">
        <f>H19/DAY(B2)</f>
        <v>60.285714285714285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225</v>
      </c>
      <c r="H20" s="330">
        <f>G20+'6'!H20</f>
        <v>1602</v>
      </c>
      <c r="I20" s="349">
        <f>I18-J20</f>
        <v>-163.85714285714286</v>
      </c>
      <c r="J20" s="332">
        <f>H20/DAY(B2)</f>
        <v>228.85714285714286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24405.680000000051</v>
      </c>
      <c r="F27" s="152">
        <v>9</v>
      </c>
      <c r="G27" s="153">
        <f>E27*F27</f>
        <v>219651.12000000046</v>
      </c>
      <c r="H27" s="111">
        <f>G27+'6'!H27</f>
        <v>1463195.7900000005</v>
      </c>
      <c r="I27" s="154"/>
      <c r="J27" s="203">
        <f>H27/DAY(B2)</f>
        <v>209027.97000000006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860.81000000005588</v>
      </c>
      <c r="F28" s="152">
        <v>54.5</v>
      </c>
      <c r="G28" s="153">
        <f>E28*F28</f>
        <v>46914.145000003045</v>
      </c>
      <c r="H28" s="111">
        <f>G28+'6'!H28</f>
        <v>322218.71500000102</v>
      </c>
      <c r="I28" s="156"/>
      <c r="J28" s="203">
        <f>H28/DAY(B2)</f>
        <v>46031.245000000148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55</v>
      </c>
      <c r="F30" s="152">
        <v>146</v>
      </c>
      <c r="G30" s="153">
        <f>E30*F30</f>
        <v>8030</v>
      </c>
      <c r="H30" s="111">
        <f>G30+'6'!H30</f>
        <v>61612</v>
      </c>
      <c r="I30" s="156"/>
      <c r="J30" s="203">
        <f>H30/DAY(B2)</f>
        <v>8801.7142857142862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G31+'6'!H31</f>
        <v>94400</v>
      </c>
      <c r="I31" s="156"/>
      <c r="J31" s="203">
        <f>H31/DAY(B2)</f>
        <v>13485.714285714286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704">
        <f>G27+G28+G29+G30+G31</f>
        <v>288195.26500000351</v>
      </c>
      <c r="H32" s="111">
        <f>G32+'6'!H32</f>
        <v>1941426.5050000013</v>
      </c>
      <c r="I32" s="160"/>
      <c r="J32" s="203">
        <f>H32/DAY(B2)</f>
        <v>277346.64357142878</v>
      </c>
      <c r="K32" s="65"/>
      <c r="L32" s="94"/>
      <c r="N32" s="73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'6'!F36</f>
        <v>51322.6</v>
      </c>
      <c r="F36" s="161">
        <v>52066.5</v>
      </c>
      <c r="G36" s="124">
        <f t="shared" si="3"/>
        <v>743.90000000000146</v>
      </c>
      <c r="H36" s="111">
        <f>G36+'6'!H36</f>
        <v>5268.5</v>
      </c>
      <c r="I36" s="106"/>
      <c r="J36" s="203">
        <f>H36/DAY(B2)</f>
        <v>752.64285714285711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'6'!F37</f>
        <v>235872</v>
      </c>
      <c r="F37" s="161">
        <v>237523</v>
      </c>
      <c r="G37" s="124">
        <f t="shared" si="3"/>
        <v>1651</v>
      </c>
      <c r="H37" s="111">
        <f>G37+'6'!H37</f>
        <v>11350</v>
      </c>
      <c r="I37" s="106"/>
      <c r="J37" s="203">
        <f>H37/DAY(B2)</f>
        <v>1621.4285714285713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'6'!F38</f>
        <v>258687</v>
      </c>
      <c r="F38" s="120">
        <v>260488</v>
      </c>
      <c r="G38" s="124">
        <f t="shared" si="3"/>
        <v>1801</v>
      </c>
      <c r="H38" s="111">
        <f>G38+'6'!H38</f>
        <v>11929</v>
      </c>
      <c r="I38" s="106"/>
      <c r="J38" s="203">
        <f>H38/DAY(B2)</f>
        <v>1704.1428571428571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'6'!F39</f>
        <v>543012</v>
      </c>
      <c r="F39" s="161">
        <v>546784</v>
      </c>
      <c r="G39" s="124">
        <f t="shared" si="3"/>
        <v>3772</v>
      </c>
      <c r="H39" s="111">
        <f>G39+'6'!H39</f>
        <v>26266</v>
      </c>
      <c r="I39" s="106"/>
      <c r="J39" s="203">
        <f>H39/DAY(B2)</f>
        <v>3752.2857142857142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'6'!F40</f>
        <v>23313</v>
      </c>
      <c r="F40" s="161">
        <v>23723</v>
      </c>
      <c r="G40" s="124">
        <f t="shared" si="3"/>
        <v>410</v>
      </c>
      <c r="H40" s="111">
        <f>G40+'6'!H40</f>
        <v>3550</v>
      </c>
      <c r="I40" s="106"/>
      <c r="J40" s="203">
        <f>H40/DAY(B2)</f>
        <v>507.14285714285717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'6'!F41</f>
        <v>367737.47</v>
      </c>
      <c r="F41" s="161">
        <v>367737.47</v>
      </c>
      <c r="G41" s="124">
        <f t="shared" si="3"/>
        <v>0</v>
      </c>
      <c r="H41" s="111">
        <f>G41+'6'!H41</f>
        <v>897.46999999997206</v>
      </c>
      <c r="I41" s="106"/>
      <c r="J41" s="203">
        <f>H41/DAY(B2)</f>
        <v>128.209999999996</v>
      </c>
      <c r="K41" s="81"/>
      <c r="L41" s="68"/>
      <c r="N41" s="73"/>
    </row>
    <row r="42" spans="1:14">
      <c r="A42" s="238" t="s">
        <v>170</v>
      </c>
      <c r="B42" s="239"/>
      <c r="C42" s="239"/>
      <c r="D42" s="175" t="s">
        <v>131</v>
      </c>
      <c r="E42" s="161">
        <f>'6'!F42</f>
        <v>141209</v>
      </c>
      <c r="F42" s="683">
        <v>144113</v>
      </c>
      <c r="G42" s="124">
        <f t="shared" si="3"/>
        <v>2904</v>
      </c>
      <c r="H42" s="111">
        <f>G42+'6'!H42</f>
        <v>28601</v>
      </c>
      <c r="I42" s="106"/>
      <c r="J42" s="203">
        <f>H42/DAY(B2)</f>
        <v>4085.8571428571427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'6'!F43</f>
        <v>1221260</v>
      </c>
      <c r="F43" s="161">
        <v>1224290</v>
      </c>
      <c r="G43" s="124">
        <f t="shared" si="3"/>
        <v>3030</v>
      </c>
      <c r="H43" s="111">
        <f>G43+'6'!H43</f>
        <v>19829</v>
      </c>
      <c r="I43" s="106"/>
      <c r="J43" s="203">
        <f>H43/DAY(B2)</f>
        <v>2832.7142857142858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14311.900000000001</v>
      </c>
      <c r="H47" s="111">
        <f>G47+'6'!H47</f>
        <v>108491.96999999997</v>
      </c>
      <c r="I47" s="106"/>
      <c r="J47" s="203">
        <f>H47/DAY(B2)</f>
        <v>15498.852857142852</v>
      </c>
      <c r="K47" s="81"/>
      <c r="L47" s="68"/>
      <c r="N47" s="73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'6'!F49</f>
        <v>342658</v>
      </c>
      <c r="F49" s="161">
        <v>345726</v>
      </c>
      <c r="G49" s="124">
        <f t="shared" ref="G49:G58" si="4">F49-E49</f>
        <v>3068</v>
      </c>
      <c r="H49" s="111">
        <f>G49+'6'!H49</f>
        <v>21638</v>
      </c>
      <c r="I49" s="106"/>
      <c r="J49" s="203">
        <f>H49/DAY(B2)</f>
        <v>3091.1428571428573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'6'!F50</f>
        <v>577587</v>
      </c>
      <c r="F50" s="161">
        <v>578734</v>
      </c>
      <c r="G50" s="124">
        <f t="shared" si="4"/>
        <v>1147</v>
      </c>
      <c r="H50" s="111">
        <f>G50+'6'!H50</f>
        <v>8809</v>
      </c>
      <c r="I50" s="106"/>
      <c r="J50" s="203">
        <f>H50/DAY(B2)</f>
        <v>1258.4285714285713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'6'!F51</f>
        <v>144639.87</v>
      </c>
      <c r="F51" s="161">
        <v>144639.87</v>
      </c>
      <c r="G51" s="124">
        <f t="shared" si="4"/>
        <v>0</v>
      </c>
      <c r="H51" s="111">
        <f>G51+'6'!H51</f>
        <v>-0.13000000000465661</v>
      </c>
      <c r="I51" s="106"/>
      <c r="J51" s="203">
        <f>H51/DAY(B2)</f>
        <v>-1.85714285720938E-2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'6'!F52</f>
        <v>539606.06999999995</v>
      </c>
      <c r="F52" s="161">
        <v>539606.06999999995</v>
      </c>
      <c r="G52" s="124">
        <f t="shared" si="4"/>
        <v>0</v>
      </c>
      <c r="H52" s="111">
        <f>G52+'6'!H52</f>
        <v>6.9999999948777258E-2</v>
      </c>
      <c r="I52" s="106"/>
      <c r="J52" s="203">
        <f>H52/DAY(B2)</f>
        <v>9.9999999926824647E-3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'6'!F53</f>
        <v>434231.59</v>
      </c>
      <c r="F53" s="161">
        <v>434231.59</v>
      </c>
      <c r="G53" s="124">
        <f t="shared" si="4"/>
        <v>0</v>
      </c>
      <c r="H53" s="111">
        <f>G53+'6'!H53</f>
        <v>-0.40999999997438863</v>
      </c>
      <c r="I53" s="106"/>
      <c r="J53" s="203">
        <f>H53/DAY(B2)</f>
        <v>-5.8571428567769805E-2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'6'!F54</f>
        <v>14967</v>
      </c>
      <c r="F54" s="161">
        <v>14967</v>
      </c>
      <c r="G54" s="124">
        <f t="shared" si="4"/>
        <v>0</v>
      </c>
      <c r="H54" s="111">
        <f>G54+'6'!H54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'6'!F55</f>
        <v>251912</v>
      </c>
      <c r="F55" s="304">
        <v>257269</v>
      </c>
      <c r="G55" s="303">
        <f t="shared" si="4"/>
        <v>5357</v>
      </c>
      <c r="H55" s="356">
        <f>G55+'6'!H55</f>
        <v>21595</v>
      </c>
      <c r="I55" s="357"/>
      <c r="J55" s="358">
        <f>H55/DAY(B2)</f>
        <v>3085</v>
      </c>
      <c r="K55" s="81"/>
      <c r="L55" s="68"/>
      <c r="N55" s="73"/>
    </row>
    <row r="56" spans="1:14">
      <c r="A56" s="238" t="s">
        <v>181</v>
      </c>
      <c r="B56" s="714"/>
      <c r="C56" s="714"/>
      <c r="D56" s="175" t="s">
        <v>182</v>
      </c>
      <c r="E56" s="161">
        <f>'6'!F56</f>
        <v>649428</v>
      </c>
      <c r="F56" s="683">
        <v>649439</v>
      </c>
      <c r="G56" s="424">
        <f t="shared" si="4"/>
        <v>11</v>
      </c>
      <c r="H56" s="111">
        <f>G56+'6'!H56</f>
        <v>78</v>
      </c>
      <c r="I56" s="106"/>
      <c r="J56" s="203">
        <f>H56/DAY(B2)</f>
        <v>11.142857142857142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'6'!F58</f>
        <v>60926.400000000001</v>
      </c>
      <c r="F58" s="304">
        <v>61136.9</v>
      </c>
      <c r="G58" s="124">
        <f t="shared" si="4"/>
        <v>210.5</v>
      </c>
      <c r="H58" s="111">
        <f>G58+'6'!H58</f>
        <v>1457.9000000000015</v>
      </c>
      <c r="I58" s="106"/>
      <c r="J58" s="203">
        <f>H58/DAY(B2)</f>
        <v>208.27142857142877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9793.5</v>
      </c>
      <c r="H59" s="111">
        <f>G59+'6'!H59</f>
        <v>53577.429999999971</v>
      </c>
      <c r="I59" s="106">
        <f>G7-G60</f>
        <v>134.59999999999854</v>
      </c>
      <c r="J59" s="203">
        <f>H59/DAY(B2)</f>
        <v>7653.9185714285677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24105.4</v>
      </c>
      <c r="H60" s="111">
        <f>G60+'6'!H60</f>
        <v>162069.39999999994</v>
      </c>
      <c r="I60" s="106">
        <f>G13-G60</f>
        <v>-805.40000000000146</v>
      </c>
      <c r="J60" s="203">
        <f>H60/DAY(B2)</f>
        <v>23152.771428571421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'6'!F63</f>
        <v>0</v>
      </c>
      <c r="F63" s="165">
        <v>0</v>
      </c>
      <c r="G63" s="124">
        <f t="shared" si="5"/>
        <v>0</v>
      </c>
      <c r="H63" s="111">
        <f>G63+'6'!H63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35">
        <f>'6'!F64</f>
        <v>184096</v>
      </c>
      <c r="F64" s="129">
        <v>184456</v>
      </c>
      <c r="G64" s="124">
        <f t="shared" si="5"/>
        <v>360</v>
      </c>
      <c r="H64" s="111">
        <f>G64+'6'!H64</f>
        <v>2596</v>
      </c>
      <c r="I64" s="131"/>
      <c r="J64" s="203">
        <f>H64/DAY(B2)</f>
        <v>370.85714285714283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35">
        <f>'6'!F65</f>
        <v>184564</v>
      </c>
      <c r="F65" s="302">
        <v>184969</v>
      </c>
      <c r="G65" s="124">
        <f t="shared" si="5"/>
        <v>405</v>
      </c>
      <c r="H65" s="111">
        <f>G65+'6'!H65</f>
        <v>2760</v>
      </c>
      <c r="I65" s="140"/>
      <c r="J65" s="203">
        <f>H65/DAY(B2)</f>
        <v>394.28571428571428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35">
        <f>'6'!F66</f>
        <v>83071</v>
      </c>
      <c r="F66" s="129">
        <v>83496.5</v>
      </c>
      <c r="G66" s="124">
        <f t="shared" si="5"/>
        <v>425.5</v>
      </c>
      <c r="H66" s="111">
        <f>G66+'6'!H66</f>
        <v>2824.5</v>
      </c>
      <c r="I66" s="131"/>
      <c r="J66" s="203">
        <f>H66/DAY(B2)</f>
        <v>403.5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35">
        <f>'6'!F67</f>
        <v>282944</v>
      </c>
      <c r="F67" s="129">
        <v>283448</v>
      </c>
      <c r="G67" s="124">
        <f t="shared" si="5"/>
        <v>504</v>
      </c>
      <c r="H67" s="111">
        <f>G67+'6'!H67</f>
        <v>3390</v>
      </c>
      <c r="I67" s="140"/>
      <c r="J67" s="203">
        <f>H67/DAY(B2)</f>
        <v>484.28571428571428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35">
        <f>'6'!F69</f>
        <v>98471.8</v>
      </c>
      <c r="F69" s="129">
        <v>98803.8</v>
      </c>
      <c r="G69" s="124">
        <f t="shared" si="5"/>
        <v>332</v>
      </c>
      <c r="H69" s="111">
        <f>G69+'6'!H69</f>
        <v>2246.8000000000029</v>
      </c>
      <c r="I69" s="167"/>
      <c r="J69" s="203">
        <f>H69/DAY(B2)</f>
        <v>320.97142857142899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'6'!F72</f>
        <v>856688</v>
      </c>
      <c r="F72" s="305">
        <v>856703</v>
      </c>
      <c r="G72" s="124">
        <f t="shared" ref="G72:G84" si="6">F72-E72</f>
        <v>15</v>
      </c>
      <c r="H72" s="111">
        <f>G72+'6'!H72</f>
        <v>94</v>
      </c>
      <c r="I72" s="131"/>
      <c r="J72" s="203">
        <f>H72/DAY(B2)</f>
        <v>13.428571428571429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0">
        <f>'6'!F73</f>
        <v>886021</v>
      </c>
      <c r="F73" s="306">
        <v>886022</v>
      </c>
      <c r="G73" s="303">
        <f t="shared" si="6"/>
        <v>1</v>
      </c>
      <c r="H73" s="111">
        <f>G73+'6'!H73</f>
        <v>9</v>
      </c>
      <c r="I73" s="131"/>
      <c r="J73" s="203">
        <f>H73/DAY(B2)</f>
        <v>1.2857142857142858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0">
        <f>'6'!F74</f>
        <v>88741</v>
      </c>
      <c r="F74" s="305">
        <v>88742.5</v>
      </c>
      <c r="G74" s="124">
        <f t="shared" si="6"/>
        <v>1.5</v>
      </c>
      <c r="H74" s="111">
        <f>G74+'6'!H74</f>
        <v>9.5</v>
      </c>
      <c r="I74" s="131"/>
      <c r="J74" s="203">
        <f>H74/DAY(B2)</f>
        <v>1.3571428571428572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0">
        <f>'6'!F75</f>
        <v>21940.6</v>
      </c>
      <c r="F75" s="306">
        <v>22120.2</v>
      </c>
      <c r="G75" s="124">
        <f t="shared" si="6"/>
        <v>179.60000000000218</v>
      </c>
      <c r="H75" s="111">
        <f>G75+'6'!H75</f>
        <v>1173.2000000000007</v>
      </c>
      <c r="I75" s="131"/>
      <c r="J75" s="203">
        <f>H75/DAY(B2)</f>
        <v>167.60000000000011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0">
        <f>'6'!F76</f>
        <v>11754</v>
      </c>
      <c r="F76" s="306">
        <v>11809.1</v>
      </c>
      <c r="G76" s="124">
        <f t="shared" si="6"/>
        <v>55.100000000000364</v>
      </c>
      <c r="H76" s="111">
        <f>G76+'6'!H76</f>
        <v>382.10000000000036</v>
      </c>
      <c r="I76" s="156"/>
      <c r="J76" s="203">
        <f>H76/DAY(B2)</f>
        <v>54.585714285714339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0">
        <f>'6'!F77</f>
        <v>706849</v>
      </c>
      <c r="F77" s="306">
        <v>706945</v>
      </c>
      <c r="G77" s="303">
        <f t="shared" si="6"/>
        <v>96</v>
      </c>
      <c r="H77" s="111">
        <f>G77+'6'!H77</f>
        <v>492</v>
      </c>
      <c r="I77" s="156"/>
      <c r="J77" s="203">
        <f>H77/DAY(B2)</f>
        <v>70.285714285714292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0">
        <f>'6'!F78</f>
        <v>679519</v>
      </c>
      <c r="F78" s="307">
        <v>679650</v>
      </c>
      <c r="G78" s="124">
        <f t="shared" si="6"/>
        <v>131</v>
      </c>
      <c r="H78" s="111">
        <f>G78+'6'!H78</f>
        <v>797</v>
      </c>
      <c r="I78" s="156"/>
      <c r="J78" s="203">
        <f>H78/DAY(B2)</f>
        <v>113.85714285714286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0">
        <f>'6'!F79</f>
        <v>841127</v>
      </c>
      <c r="F79" s="305">
        <v>841281</v>
      </c>
      <c r="G79" s="124">
        <f t="shared" si="6"/>
        <v>154</v>
      </c>
      <c r="H79" s="111">
        <f>G79+'6'!H79</f>
        <v>1066</v>
      </c>
      <c r="I79" s="156"/>
      <c r="J79" s="203">
        <f>H79/DAY(B2)</f>
        <v>152.28571428571428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0">
        <f>'6'!F80</f>
        <v>554331.80000000005</v>
      </c>
      <c r="F80" s="306">
        <v>554777.64</v>
      </c>
      <c r="G80" s="124">
        <f t="shared" si="6"/>
        <v>445.8399999999674</v>
      </c>
      <c r="H80" s="111">
        <f>G80+'6'!H80</f>
        <v>2825.640000000014</v>
      </c>
      <c r="I80" s="156"/>
      <c r="J80" s="203">
        <f>H80/DAY(B2)</f>
        <v>403.66285714285914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'6'!F81</f>
        <v>649977.96</v>
      </c>
      <c r="F81" s="306">
        <v>650187.31999999995</v>
      </c>
      <c r="G81" s="124">
        <f t="shared" si="6"/>
        <v>209.35999999998603</v>
      </c>
      <c r="H81" s="111">
        <f>G81+'6'!H81</f>
        <v>1169.3199999999488</v>
      </c>
      <c r="I81" s="156"/>
      <c r="J81" s="203">
        <f>H81/DAY(B2)</f>
        <v>167.04571428570696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'6'!F82</f>
        <v>109454</v>
      </c>
      <c r="F82" s="302">
        <v>109469</v>
      </c>
      <c r="G82" s="124">
        <f t="shared" si="6"/>
        <v>15</v>
      </c>
      <c r="H82" s="111">
        <f>G82+'6'!H82</f>
        <v>133</v>
      </c>
      <c r="I82" s="137"/>
      <c r="J82" s="203">
        <f>H82/DAY(B2)</f>
        <v>19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'6'!F83</f>
        <v>36924</v>
      </c>
      <c r="F83" s="271">
        <v>37267</v>
      </c>
      <c r="G83" s="124">
        <f t="shared" si="6"/>
        <v>343</v>
      </c>
      <c r="H83" s="111">
        <f>G83+'6'!H83</f>
        <v>2242</v>
      </c>
      <c r="I83" s="132"/>
      <c r="J83" s="203">
        <f>H83/DAY(B2)</f>
        <v>320.28571428571428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170">
        <f>'6'!F84</f>
        <v>551940</v>
      </c>
      <c r="F84" s="278">
        <v>552725</v>
      </c>
      <c r="G84" s="124">
        <f t="shared" si="6"/>
        <v>785</v>
      </c>
      <c r="H84" s="111">
        <f>G84+'6'!H84</f>
        <v>5332</v>
      </c>
      <c r="I84" s="132"/>
      <c r="J84" s="203">
        <f>H84/DAY(B2)</f>
        <v>761.71428571428567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2431.399999999956</v>
      </c>
      <c r="H85" s="111">
        <f>G85+'6'!H85</f>
        <v>15724.759999999964</v>
      </c>
      <c r="I85" s="132"/>
      <c r="J85" s="203">
        <f>H85/DAY(B2)</f>
        <v>2246.3942857142806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02" t="s">
        <v>182</v>
      </c>
      <c r="E86" s="278">
        <f>'6'!F86</f>
        <v>462999.56</v>
      </c>
      <c r="F86" s="298">
        <v>463012.04</v>
      </c>
      <c r="G86" s="356">
        <f t="shared" ref="G86:G91" si="7">F86-E86</f>
        <v>12.479999999981374</v>
      </c>
      <c r="H86" s="111">
        <f>G86+'6'!H86</f>
        <v>505.03999999997905</v>
      </c>
      <c r="I86" s="303"/>
      <c r="J86" s="358">
        <f>H86/DAY(B2)</f>
        <v>72.148571428568431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02" t="s">
        <v>182</v>
      </c>
      <c r="E87" s="278">
        <f>'6'!F87</f>
        <v>83124.5</v>
      </c>
      <c r="F87" s="298">
        <v>83160</v>
      </c>
      <c r="G87" s="356">
        <f t="shared" si="7"/>
        <v>35.5</v>
      </c>
      <c r="H87" s="111">
        <f>G87+'6'!H87</f>
        <v>206</v>
      </c>
      <c r="I87" s="303"/>
      <c r="J87" s="358">
        <f>H87/DAY(B2)</f>
        <v>29.428571428571427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02" t="s">
        <v>182</v>
      </c>
      <c r="E89" s="278">
        <f>'6'!F89</f>
        <v>67321.3</v>
      </c>
      <c r="F89" s="298">
        <v>67368.5</v>
      </c>
      <c r="G89" s="356">
        <f t="shared" si="7"/>
        <v>47.19999999999709</v>
      </c>
      <c r="H89" s="111">
        <f>G89+'6'!H89</f>
        <v>279.5</v>
      </c>
      <c r="I89" s="303"/>
      <c r="J89" s="358">
        <f>H89/DAY(B2)</f>
        <v>39.928571428571431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02" t="s">
        <v>182</v>
      </c>
      <c r="E90" s="278">
        <f>'6'!F90</f>
        <v>3489.7</v>
      </c>
      <c r="F90" s="298">
        <v>3491.4</v>
      </c>
      <c r="G90" s="356">
        <f t="shared" si="7"/>
        <v>1.7000000000002728</v>
      </c>
      <c r="H90" s="111">
        <f>G90+'6'!H90</f>
        <v>27.400000000000091</v>
      </c>
      <c r="I90" s="303"/>
      <c r="J90" s="358">
        <f>H90/DAY(B2)</f>
        <v>3.9142857142857275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'6'!F91</f>
        <v>28555.08</v>
      </c>
      <c r="F91" s="298">
        <v>28563.03</v>
      </c>
      <c r="G91" s="356">
        <f t="shared" si="7"/>
        <v>7.9499999999970896</v>
      </c>
      <c r="H91" s="111">
        <f>G91+'6'!H91</f>
        <v>17.129999999997381</v>
      </c>
      <c r="I91" s="303"/>
      <c r="J91" s="358">
        <f>H91/DAY(B2)</f>
        <v>2.4471428571424831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'6'!F93</f>
        <v>250942</v>
      </c>
      <c r="F93" s="136">
        <v>251071</v>
      </c>
      <c r="G93" s="124">
        <f t="shared" ref="G93:G94" si="8">F93-E93</f>
        <v>129</v>
      </c>
      <c r="H93" s="111">
        <f>G93+'6'!H93</f>
        <v>757</v>
      </c>
      <c r="I93" s="131"/>
      <c r="J93" s="203">
        <f>H93/DAY(B2)</f>
        <v>108.14285714285714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'6'!F94</f>
        <v>193804</v>
      </c>
      <c r="F94" s="136">
        <v>193986</v>
      </c>
      <c r="G94" s="124">
        <f t="shared" si="8"/>
        <v>182</v>
      </c>
      <c r="H94" s="111">
        <f>G94+'6'!H94</f>
        <v>1088</v>
      </c>
      <c r="I94" s="131"/>
      <c r="J94" s="203">
        <f>H94/DAY(B2)</f>
        <v>155.42857142857142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'6'!F95</f>
        <v>0</v>
      </c>
      <c r="F95" s="129"/>
      <c r="G95" s="124">
        <f>G93+G94</f>
        <v>311</v>
      </c>
      <c r="H95" s="111">
        <f>G95+'6'!H95</f>
        <v>1539</v>
      </c>
      <c r="I95" s="131"/>
      <c r="J95" s="203">
        <f>H95/DAY(B2)</f>
        <v>219.85714285714286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'6'!F96</f>
        <v>419026</v>
      </c>
      <c r="F96" s="129">
        <v>419112</v>
      </c>
      <c r="G96" s="124">
        <f t="shared" ref="G96:G101" si="9">F96-E96</f>
        <v>86</v>
      </c>
      <c r="H96" s="111">
        <f>G96+'6'!H96</f>
        <v>576</v>
      </c>
      <c r="I96" s="131"/>
      <c r="J96" s="203">
        <f>H96/DAY(B2)</f>
        <v>82.285714285714292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'6'!F97</f>
        <v>103999</v>
      </c>
      <c r="F97" s="129">
        <v>104024</v>
      </c>
      <c r="G97" s="124">
        <f t="shared" si="9"/>
        <v>25</v>
      </c>
      <c r="H97" s="111">
        <f>G97+'6'!H97</f>
        <v>175</v>
      </c>
      <c r="I97" s="131"/>
      <c r="J97" s="203">
        <f>H97/DAY(B2)</f>
        <v>25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'6'!F98</f>
        <v>99626</v>
      </c>
      <c r="F98" s="129">
        <v>99662</v>
      </c>
      <c r="G98" s="124">
        <f t="shared" si="9"/>
        <v>36</v>
      </c>
      <c r="H98" s="111">
        <f>G98+'6'!H98</f>
        <v>214</v>
      </c>
      <c r="I98" s="131"/>
      <c r="J98" s="203">
        <f>H98/DAY(B2)</f>
        <v>30.571428571428573</v>
      </c>
      <c r="K98" s="85"/>
      <c r="L98" s="68"/>
      <c r="N98" s="73"/>
    </row>
    <row r="99" spans="1:14" ht="27.75">
      <c r="A99" s="771" t="s">
        <v>211</v>
      </c>
      <c r="B99" s="772"/>
      <c r="C99" s="772"/>
      <c r="D99" s="174" t="s">
        <v>143</v>
      </c>
      <c r="E99" s="135">
        <f>'6'!F99</f>
        <v>151367</v>
      </c>
      <c r="F99" s="129">
        <v>151403</v>
      </c>
      <c r="G99" s="124">
        <f t="shared" si="9"/>
        <v>36</v>
      </c>
      <c r="H99" s="111">
        <f>G99+'6'!H99</f>
        <v>152</v>
      </c>
      <c r="I99" s="131"/>
      <c r="J99" s="203">
        <f>H99/DAY(B2)</f>
        <v>21.714285714285715</v>
      </c>
      <c r="K99" s="71"/>
      <c r="L99" s="68"/>
      <c r="N99" s="355"/>
    </row>
    <row r="100" spans="1:14" ht="27.75">
      <c r="A100" s="771" t="s">
        <v>212</v>
      </c>
      <c r="B100" s="772"/>
      <c r="C100" s="772"/>
      <c r="D100" s="174" t="s">
        <v>143</v>
      </c>
      <c r="E100" s="135">
        <f>'6'!F100</f>
        <v>8261</v>
      </c>
      <c r="F100" s="129">
        <v>8293</v>
      </c>
      <c r="G100" s="124">
        <f t="shared" si="9"/>
        <v>32</v>
      </c>
      <c r="H100" s="111">
        <f>G100+'6'!H100</f>
        <v>128</v>
      </c>
      <c r="I100" s="131"/>
      <c r="J100" s="203">
        <f>H100/DAY(B2)</f>
        <v>18.285714285714285</v>
      </c>
      <c r="K100" s="71"/>
      <c r="L100" s="68"/>
      <c r="N100" s="73"/>
    </row>
    <row r="101" spans="1:14" ht="27.75">
      <c r="A101" s="771" t="s">
        <v>213</v>
      </c>
      <c r="B101" s="772"/>
      <c r="C101" s="772"/>
      <c r="D101" s="174" t="s">
        <v>143</v>
      </c>
      <c r="E101" s="135">
        <f>'6'!F101</f>
        <v>6058</v>
      </c>
      <c r="F101" s="129">
        <v>6069</v>
      </c>
      <c r="G101" s="124">
        <f t="shared" si="9"/>
        <v>11</v>
      </c>
      <c r="H101" s="111">
        <f>G101+'6'!H101</f>
        <v>78</v>
      </c>
      <c r="I101" s="131"/>
      <c r="J101" s="203">
        <f>H101/DAY(B2)</f>
        <v>11.142857142857142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175"/>
      <c r="G102" s="176">
        <f>SUM(G96:G101)</f>
        <v>226</v>
      </c>
      <c r="H102" s="111">
        <f>G102+'6'!H102</f>
        <v>1323</v>
      </c>
      <c r="I102" s="177"/>
      <c r="J102" s="203">
        <f>H102/DAY(B2)</f>
        <v>189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35">
        <f>'6'!F105</f>
        <v>7937</v>
      </c>
      <c r="F105" s="309">
        <v>7937</v>
      </c>
      <c r="G105" s="183">
        <f>F105-E105</f>
        <v>0</v>
      </c>
      <c r="H105" s="111">
        <f>G105+'6'!H105</f>
        <v>300</v>
      </c>
      <c r="I105" s="183"/>
      <c r="J105" s="209">
        <f>H105/DAY(B2)</f>
        <v>42.857142857142854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35">
        <f>'6'!F106</f>
        <v>36519</v>
      </c>
      <c r="F106" s="310">
        <v>36530</v>
      </c>
      <c r="G106" s="183">
        <f t="shared" ref="G106:G107" si="10">F106-E106</f>
        <v>11</v>
      </c>
      <c r="H106" s="111">
        <f>G106+'6'!H106</f>
        <v>70</v>
      </c>
      <c r="I106" s="183"/>
      <c r="J106" s="209">
        <f>H106/DAY(B2)</f>
        <v>10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35">
        <f>'6'!F107</f>
        <v>20001</v>
      </c>
      <c r="F107" s="310">
        <v>20008</v>
      </c>
      <c r="G107" s="183">
        <f t="shared" si="10"/>
        <v>7</v>
      </c>
      <c r="H107" s="111">
        <f>G107+'6'!H107</f>
        <v>45</v>
      </c>
      <c r="I107" s="183"/>
      <c r="J107" s="209">
        <f>H107/DAY(B2)</f>
        <v>6.4285714285714288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/>
      <c r="F108" s="310"/>
      <c r="G108" s="183">
        <f>SUM(G105:G107)</f>
        <v>18</v>
      </c>
      <c r="H108" s="111">
        <f>G108+'6'!H108</f>
        <v>415</v>
      </c>
      <c r="I108" s="183"/>
      <c r="J108" s="209">
        <f>H108/DAY(B2)</f>
        <v>59.285714285714285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'6'!F110</f>
        <v>67576</v>
      </c>
      <c r="F110" s="310">
        <v>67655</v>
      </c>
      <c r="G110" s="183">
        <f>F110-E110</f>
        <v>79</v>
      </c>
      <c r="H110" s="111">
        <f>G110+'6'!H110</f>
        <v>552</v>
      </c>
      <c r="I110" s="183"/>
      <c r="J110" s="209">
        <f>H110/DAY(B2)</f>
        <v>78.857142857142861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'6'!F112</f>
        <v>4677</v>
      </c>
      <c r="F112" s="310">
        <v>4679</v>
      </c>
      <c r="G112" s="183">
        <f t="shared" si="11"/>
        <v>2</v>
      </c>
      <c r="H112" s="111">
        <f>G112+'6'!H112</f>
        <v>57</v>
      </c>
      <c r="I112" s="183"/>
      <c r="J112" s="209">
        <f>H112/DAY(B2)</f>
        <v>8.1428571428571423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/>
      <c r="F113" s="310"/>
      <c r="G113" s="183">
        <f>SUM(G110:G112)</f>
        <v>81</v>
      </c>
      <c r="H113" s="111">
        <f>G113+'6'!H113</f>
        <v>609</v>
      </c>
      <c r="I113" s="183"/>
      <c r="J113" s="209">
        <f>H113/DAY(B2)</f>
        <v>87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'6'!F115</f>
        <v>12579</v>
      </c>
      <c r="F115" s="310">
        <v>12615</v>
      </c>
      <c r="G115" s="185">
        <f>F115-E115</f>
        <v>36</v>
      </c>
      <c r="H115" s="111">
        <f>G115+'6'!H115</f>
        <v>150</v>
      </c>
      <c r="I115" s="183"/>
      <c r="J115" s="209">
        <f>H115/DAY(B2)</f>
        <v>21.428571428571427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'6'!F116</f>
        <v>8886</v>
      </c>
      <c r="F116" s="310">
        <v>8887</v>
      </c>
      <c r="G116" s="185">
        <f t="shared" ref="G116:G117" si="12">F116-E116</f>
        <v>1</v>
      </c>
      <c r="H116" s="111">
        <f>G116+'6'!H116</f>
        <v>67</v>
      </c>
      <c r="I116" s="183"/>
      <c r="J116" s="209">
        <f>H116/DAY(B2)</f>
        <v>9.5714285714285712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37</v>
      </c>
      <c r="H118" s="111">
        <f>G118+'6'!H118</f>
        <v>217</v>
      </c>
      <c r="I118" s="185"/>
      <c r="J118" s="209">
        <f>H118/DAY(B2)</f>
        <v>31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184</v>
      </c>
      <c r="G119" s="187">
        <f>SUM(G19+G93)</f>
        <v>184</v>
      </c>
      <c r="H119" s="111">
        <f>G119+'6'!H119</f>
        <v>1179</v>
      </c>
      <c r="I119" s="186"/>
      <c r="J119" s="210">
        <f>H119/DAY(B2)</f>
        <v>168.42857142857142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G120+'6'!H120</f>
        <v>1171</v>
      </c>
      <c r="I120" s="186"/>
      <c r="J120" s="210">
        <f>H120/DAY(B2)</f>
        <v>167.28571428571428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G121+'6'!H121</f>
        <v>609</v>
      </c>
      <c r="I121" s="186"/>
      <c r="J121" s="210">
        <f>H121/DAY(B2)</f>
        <v>87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707">
        <f>'6'!F124</f>
        <v>849545.37</v>
      </c>
      <c r="F124" s="707">
        <v>849812.02</v>
      </c>
      <c r="G124" s="708">
        <f t="shared" ref="G124:G128" si="13">F124-E124</f>
        <v>266.65000000002328</v>
      </c>
      <c r="H124" s="111">
        <f>G124+'6'!H124</f>
        <v>1846.0200000000186</v>
      </c>
      <c r="I124" s="177"/>
      <c r="J124" s="203">
        <f>H124/DAY(B2)</f>
        <v>263.71714285714552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707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707">
        <f>'6'!F126</f>
        <v>151817.32999999999</v>
      </c>
      <c r="F126" s="713">
        <v>151913.64000000001</v>
      </c>
      <c r="G126" s="709">
        <f t="shared" si="13"/>
        <v>96.310000000026776</v>
      </c>
      <c r="H126" s="111">
        <f>G126+'6'!H126</f>
        <v>592.64000000001397</v>
      </c>
      <c r="I126" s="177"/>
      <c r="J126" s="203">
        <f>H126/DAY(B2)</f>
        <v>84.662857142859139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707">
        <f>'6'!F127</f>
        <v>33556.800000000003</v>
      </c>
      <c r="F127" s="136">
        <v>33601.9</v>
      </c>
      <c r="G127" s="124">
        <f t="shared" si="13"/>
        <v>45.099999999998545</v>
      </c>
      <c r="H127" s="111">
        <f>G127+'6'!H127</f>
        <v>313.90000000000146</v>
      </c>
      <c r="I127" s="177"/>
      <c r="J127" s="203">
        <f>H127/DAY(B2)</f>
        <v>44.842857142857348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707">
        <f>'6'!F128</f>
        <v>9122.6</v>
      </c>
      <c r="F128" s="136">
        <v>9126.5</v>
      </c>
      <c r="G128" s="124">
        <f t="shared" si="13"/>
        <v>3.8999999999996362</v>
      </c>
      <c r="H128" s="111">
        <f>G128+'6'!H128</f>
        <v>13.5</v>
      </c>
      <c r="I128" s="131"/>
      <c r="J128" s="203">
        <f>H128/DAY(B2)</f>
        <v>1.9285714285714286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705">
        <f>G15-SUM(G124:G128)</f>
        <v>449.25000000000182</v>
      </c>
      <c r="H129" s="111">
        <f>G129+'6'!H129</f>
        <v>3146.6099999999788</v>
      </c>
      <c r="I129" s="131"/>
      <c r="J129" s="203">
        <f>H129/DAY(B2)</f>
        <v>449.51571428571123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73">
        <f>'6'!F133</f>
        <v>40623.15</v>
      </c>
      <c r="F133" s="136">
        <v>40623.15</v>
      </c>
      <c r="G133" s="124">
        <f t="shared" si="14"/>
        <v>0</v>
      </c>
      <c r="H133" s="111">
        <f>G133+'6'!H133</f>
        <v>4.1500000000014552</v>
      </c>
      <c r="I133" s="131"/>
      <c r="J133" s="203">
        <f>H133/DAY(B2)</f>
        <v>0.59285714285735069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352">
        <f>'6'!F134</f>
        <v>691.38</v>
      </c>
      <c r="F134" s="277">
        <v>706.53</v>
      </c>
      <c r="G134" s="424">
        <f t="shared" si="14"/>
        <v>15.149999999999977</v>
      </c>
      <c r="H134" s="111">
        <f>G134+'6'!H134</f>
        <v>132.52999999999997</v>
      </c>
      <c r="I134" s="131">
        <f>G133+G134+G135+G136</f>
        <v>39.599999999997067</v>
      </c>
      <c r="J134" s="203">
        <f>H134/DAY(B2)</f>
        <v>18.932857142857138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173">
        <f>'6'!F135</f>
        <v>42573.55</v>
      </c>
      <c r="F135" s="136">
        <v>42598</v>
      </c>
      <c r="G135" s="124">
        <f t="shared" si="14"/>
        <v>24.44999999999709</v>
      </c>
      <c r="H135" s="111">
        <f>G135+'6'!H135</f>
        <v>99</v>
      </c>
      <c r="I135" s="131"/>
      <c r="J135" s="203">
        <f>H135/DAY(B2)</f>
        <v>14.142857142857142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352">
        <f>'6'!F136</f>
        <v>32874</v>
      </c>
      <c r="F136" s="277">
        <v>32874</v>
      </c>
      <c r="G136" s="424">
        <f t="shared" si="14"/>
        <v>0</v>
      </c>
      <c r="H136" s="111">
        <f>G136+'6'!H136</f>
        <v>0</v>
      </c>
      <c r="I136" s="131"/>
      <c r="J136" s="203">
        <f>H136/DAY(B2)</f>
        <v>0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'6'!F137</f>
        <v>23155.22</v>
      </c>
      <c r="F137" s="302">
        <v>23163.19</v>
      </c>
      <c r="G137" s="124">
        <f t="shared" si="14"/>
        <v>7.9699999999975262</v>
      </c>
      <c r="H137" s="111">
        <f>G137+'6'!H137</f>
        <v>56.629999999997381</v>
      </c>
      <c r="I137" s="131">
        <f>G137+G138+G139</f>
        <v>7.9699999999975262</v>
      </c>
      <c r="J137" s="203">
        <f>H137/DAY(B2)</f>
        <v>8.089999999999625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'6'!F138</f>
        <v>25119.45</v>
      </c>
      <c r="F138" s="302">
        <v>25119.45</v>
      </c>
      <c r="G138" s="124">
        <f t="shared" si="14"/>
        <v>0</v>
      </c>
      <c r="H138" s="111">
        <f>G138+'6'!H138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711">
        <f>'6'!F139</f>
        <v>70518.2</v>
      </c>
      <c r="F139" s="712">
        <v>70518.2</v>
      </c>
      <c r="G139" s="705">
        <f t="shared" si="14"/>
        <v>0</v>
      </c>
      <c r="H139" s="111">
        <f>G139+'6'!H139</f>
        <v>1.5999999999912689</v>
      </c>
      <c r="I139" s="131"/>
      <c r="J139" s="203">
        <f>H139/DAY(B2)</f>
        <v>0.22857142857018126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173">
        <f>'6'!F140</f>
        <v>2369.63</v>
      </c>
      <c r="F140" s="136">
        <v>2379.4499999999998</v>
      </c>
      <c r="G140" s="124">
        <f t="shared" si="14"/>
        <v>9.819999999999709</v>
      </c>
      <c r="H140" s="111">
        <f>G140+'6'!H140</f>
        <v>67.889999999999873</v>
      </c>
      <c r="I140" s="193">
        <f>G140+G141</f>
        <v>9.819999999999709</v>
      </c>
      <c r="J140" s="203">
        <f>H140/DAY(B2)</f>
        <v>9.6985714285714106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710">
        <f>'6'!F141</f>
        <v>4753.67</v>
      </c>
      <c r="F141" s="707">
        <v>4753.67</v>
      </c>
      <c r="G141" s="708">
        <f t="shared" si="14"/>
        <v>0</v>
      </c>
      <c r="H141" s="111">
        <f>G141+'6'!H141</f>
        <v>-0.32999999999992724</v>
      </c>
      <c r="I141" s="193"/>
      <c r="J141" s="203">
        <f>H141/DAY(B2)</f>
        <v>-4.7142857142846752E-2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6098</v>
      </c>
      <c r="H143" s="111">
        <f>G143+'6'!H143</f>
        <v>41467</v>
      </c>
      <c r="I143" s="131"/>
      <c r="J143" s="203">
        <f>H143/DAY(B2)</f>
        <v>5923.8571428571431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0.25156765676567655</v>
      </c>
      <c r="H144" s="111">
        <f>G144+'6'!H144</f>
        <v>1.7966899258990667</v>
      </c>
      <c r="I144" s="195"/>
      <c r="J144" s="203">
        <f>H144/DAY(B2)</f>
        <v>0.25666998941415237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8272</v>
      </c>
      <c r="H145" s="111">
        <f>G145+'6'!H145</f>
        <v>51171.469999999972</v>
      </c>
      <c r="I145" s="131"/>
      <c r="J145" s="203">
        <f>H145/DAY(B2)</f>
        <v>7310.2099999999964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0.34125412541254124</v>
      </c>
      <c r="H146" s="111">
        <f>G146+'6'!H146</f>
        <v>2.2129787828154885</v>
      </c>
      <c r="I146" s="195"/>
      <c r="J146" s="203">
        <f>H146/DAY(B2)</f>
        <v>0.31613982611649838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3772</v>
      </c>
      <c r="H147" s="111">
        <f>G147+'6'!H147</f>
        <v>26265.590000000026</v>
      </c>
      <c r="I147" s="196"/>
      <c r="J147" s="203">
        <f>H147/DAY(B2)</f>
        <v>3752.2271428571466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0.1556105610561056</v>
      </c>
      <c r="H148" s="111">
        <f>G148+'6'!H148</f>
        <v>1.1400935448787843</v>
      </c>
      <c r="I148" s="196"/>
      <c r="J148" s="203">
        <f>H148/DAY(B2)</f>
        <v>0.16287050641125492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1801</v>
      </c>
      <c r="H149" s="111">
        <f>G149+'6'!H149</f>
        <v>11929.069999999949</v>
      </c>
      <c r="I149" s="131"/>
      <c r="J149" s="203">
        <f>H149/DAY(B2)</f>
        <v>1704.1528571428498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7.42986798679868E-2</v>
      </c>
      <c r="H150" s="111">
        <f>G150+'6'!H150</f>
        <v>0.5172790695154994</v>
      </c>
      <c r="I150" s="196"/>
      <c r="J150" s="203">
        <f>H150/DAY(B2)</f>
        <v>7.3897009930785629E-2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1890.9000000000015</v>
      </c>
      <c r="H151" s="111">
        <f>G151+'6'!H151</f>
        <v>14077.5</v>
      </c>
      <c r="I151" s="196"/>
      <c r="J151" s="203">
        <f>H151/DAY(B2)</f>
        <v>2011.0714285714287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7.8007425742574313E-2</v>
      </c>
      <c r="H152" s="111">
        <f>G152+'6'!H152</f>
        <v>0.60933139434168815</v>
      </c>
      <c r="I152" s="131"/>
      <c r="J152" s="203">
        <f>H152/DAY(B2)</f>
        <v>8.7047342048812593E-2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1651</v>
      </c>
      <c r="H153" s="111">
        <f>G153+'6'!H153</f>
        <v>11349.869999999995</v>
      </c>
      <c r="I153" s="131"/>
      <c r="J153" s="203">
        <f>H153/DAY(B2)</f>
        <v>1621.4099999999994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6.8110561056105606E-2</v>
      </c>
      <c r="H154" s="111">
        <f>G154+'6'!H154</f>
        <v>0.49258891100838076</v>
      </c>
      <c r="I154" s="219"/>
      <c r="J154" s="220">
        <f>H154/DAY(B2)</f>
        <v>7.036984442976868E-2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/>
    <row r="157" spans="1:14" hidden="1"/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10">
        <f>'6'!F161</f>
        <v>43808</v>
      </c>
      <c r="F161" s="309">
        <v>43888</v>
      </c>
      <c r="G161" s="124">
        <f t="shared" ref="G161:G175" si="15">F161-E161</f>
        <v>80</v>
      </c>
    </row>
    <row r="162" spans="1:7">
      <c r="A162" s="435" t="s">
        <v>263</v>
      </c>
      <c r="B162" s="436"/>
      <c r="C162" s="436"/>
      <c r="D162" s="162" t="s">
        <v>186</v>
      </c>
      <c r="E162" s="710">
        <f>'6'!F162</f>
        <v>124868</v>
      </c>
      <c r="F162" s="309">
        <v>125355</v>
      </c>
      <c r="G162" s="124">
        <f t="shared" si="15"/>
        <v>487</v>
      </c>
    </row>
    <row r="163" spans="1:7">
      <c r="A163" s="435" t="s">
        <v>264</v>
      </c>
      <c r="B163" s="436"/>
      <c r="C163" s="436"/>
      <c r="D163" s="162" t="s">
        <v>186</v>
      </c>
      <c r="E163" s="710">
        <f>'6'!F163</f>
        <v>58710.3</v>
      </c>
      <c r="F163" s="309">
        <v>58907.4</v>
      </c>
      <c r="G163" s="124">
        <f t="shared" si="15"/>
        <v>197.09999999999854</v>
      </c>
    </row>
    <row r="164" spans="1:7">
      <c r="A164" s="435" t="s">
        <v>265</v>
      </c>
      <c r="B164" s="436"/>
      <c r="C164" s="436"/>
      <c r="D164" s="162" t="s">
        <v>186</v>
      </c>
      <c r="E164" s="710">
        <f>'6'!F164</f>
        <v>7198.42</v>
      </c>
      <c r="F164" s="309">
        <v>7208.72</v>
      </c>
      <c r="G164" s="124">
        <f t="shared" si="15"/>
        <v>10.300000000000182</v>
      </c>
    </row>
    <row r="165" spans="1:7">
      <c r="A165" s="437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10">
        <f>'6'!F166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710">
        <f>'6'!F167</f>
        <v>184096</v>
      </c>
      <c r="F167" s="165">
        <f t="shared" si="16"/>
        <v>184456</v>
      </c>
      <c r="G167" s="124">
        <f t="shared" si="15"/>
        <v>360</v>
      </c>
    </row>
    <row r="168" spans="1:7" ht="27.75">
      <c r="A168" s="1187" t="s">
        <v>99</v>
      </c>
      <c r="B168" s="1187"/>
      <c r="C168" s="1187"/>
      <c r="D168" s="174" t="s">
        <v>186</v>
      </c>
      <c r="E168" s="710">
        <f>'6'!F168</f>
        <v>184564</v>
      </c>
      <c r="F168" s="165">
        <f t="shared" si="16"/>
        <v>184969</v>
      </c>
      <c r="G168" s="124">
        <f t="shared" si="15"/>
        <v>405</v>
      </c>
    </row>
    <row r="169" spans="1:7" ht="27.75">
      <c r="A169" s="1187" t="s">
        <v>100</v>
      </c>
      <c r="B169" s="1187"/>
      <c r="C169" s="1187"/>
      <c r="D169" s="174" t="s">
        <v>186</v>
      </c>
      <c r="E169" s="710">
        <f>'6'!F169</f>
        <v>83071</v>
      </c>
      <c r="F169" s="165">
        <f t="shared" si="16"/>
        <v>83496.5</v>
      </c>
      <c r="G169" s="124">
        <f t="shared" si="15"/>
        <v>425.5</v>
      </c>
    </row>
    <row r="170" spans="1:7" ht="27.75">
      <c r="A170" s="1187" t="s">
        <v>101</v>
      </c>
      <c r="B170" s="1187"/>
      <c r="C170" s="1187"/>
      <c r="D170" s="174" t="s">
        <v>186</v>
      </c>
      <c r="E170" s="710">
        <f>'6'!F170</f>
        <v>282944</v>
      </c>
      <c r="F170" s="165">
        <f t="shared" si="16"/>
        <v>283448</v>
      </c>
      <c r="G170" s="124">
        <f t="shared" si="15"/>
        <v>504</v>
      </c>
    </row>
    <row r="171" spans="1:7" ht="27.75">
      <c r="A171" s="1187" t="s">
        <v>102</v>
      </c>
      <c r="B171" s="1187"/>
      <c r="C171" s="1187"/>
      <c r="D171" s="174" t="s">
        <v>186</v>
      </c>
      <c r="E171" s="710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710">
        <f>'6'!F172</f>
        <v>98471.8</v>
      </c>
      <c r="F172" s="165">
        <f t="shared" si="16"/>
        <v>98803.8</v>
      </c>
      <c r="G172" s="124">
        <f t="shared" si="15"/>
        <v>332</v>
      </c>
    </row>
    <row r="173" spans="1:7">
      <c r="A173" s="1228" t="s">
        <v>338</v>
      </c>
      <c r="B173" s="1191"/>
      <c r="C173" s="436"/>
      <c r="D173" s="174" t="s">
        <v>186</v>
      </c>
      <c r="E173" s="710">
        <f>'6'!F173</f>
        <v>19152.3</v>
      </c>
      <c r="F173" s="183">
        <v>19154.8</v>
      </c>
      <c r="G173" s="124">
        <f t="shared" si="15"/>
        <v>2.5</v>
      </c>
    </row>
    <row r="174" spans="1:7">
      <c r="A174" s="1228" t="s">
        <v>338</v>
      </c>
      <c r="B174" s="1191"/>
      <c r="C174" s="436"/>
      <c r="D174" s="174" t="s">
        <v>186</v>
      </c>
      <c r="E174" s="710">
        <f>'6'!F174</f>
        <v>70571.7</v>
      </c>
      <c r="F174" s="183">
        <v>70578.5</v>
      </c>
      <c r="G174" s="124">
        <f t="shared" si="15"/>
        <v>6.8000000000029104</v>
      </c>
    </row>
    <row r="175" spans="1:7">
      <c r="A175" s="1228" t="s">
        <v>339</v>
      </c>
      <c r="B175" s="1191"/>
      <c r="C175" s="436"/>
      <c r="D175" s="174" t="s">
        <v>186</v>
      </c>
      <c r="E175" s="710">
        <f>'6'!F175</f>
        <v>27826.3</v>
      </c>
      <c r="F175" s="183">
        <v>27831.200000000001</v>
      </c>
      <c r="G175" s="124">
        <f t="shared" si="15"/>
        <v>4.9000000000014552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7"/>
  <sheetViews>
    <sheetView view="pageBreakPreview" zoomScale="55" zoomScaleSheetLayoutView="55" workbookViewId="0">
      <selection activeCell="F8" sqref="F8"/>
    </sheetView>
  </sheetViews>
  <sheetFormatPr defaultColWidth="22.33203125" defaultRowHeight="29.2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350</v>
      </c>
      <c r="B2" s="682">
        <v>44416</v>
      </c>
      <c r="C2" s="773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73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'7'!F7</f>
        <v>769371</v>
      </c>
      <c r="F7" s="106">
        <v>791725</v>
      </c>
      <c r="G7" s="329">
        <f>F7-E7</f>
        <v>22354</v>
      </c>
      <c r="H7" s="330">
        <f>G7+'7'!H7</f>
        <v>184052</v>
      </c>
      <c r="I7" s="331">
        <f>'1'!I7</f>
        <v>12000</v>
      </c>
      <c r="J7" s="332">
        <f>H7/DAY(B2)</f>
        <v>23006.5</v>
      </c>
      <c r="K7" s="200"/>
      <c r="L7" s="68"/>
      <c r="N7" s="359">
        <v>11335</v>
      </c>
      <c r="O7" s="73">
        <f>G7-N7</f>
        <v>11019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'7'!F8</f>
        <v>778174.31</v>
      </c>
      <c r="F8" s="126">
        <v>800610</v>
      </c>
      <c r="G8" s="340">
        <f>F8-E8</f>
        <v>22435.689999999944</v>
      </c>
      <c r="H8" s="330">
        <f>G8+'7'!H8</f>
        <v>185013</v>
      </c>
      <c r="I8" s="337">
        <v>12000</v>
      </c>
      <c r="J8" s="332">
        <f>H8/DAY(B2)</f>
        <v>23126.625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'7'!F9</f>
        <v>2853090</v>
      </c>
      <c r="F9" s="129">
        <v>2874900</v>
      </c>
      <c r="G9" s="353">
        <f t="shared" ref="G9:G12" si="0">F9-E9</f>
        <v>21810</v>
      </c>
      <c r="H9" s="330">
        <f>G9+'7'!H9</f>
        <v>178265</v>
      </c>
      <c r="I9" s="341">
        <f>I7-J7</f>
        <v>-11006.5</v>
      </c>
      <c r="J9" s="332">
        <f>H9/DAY(B2)</f>
        <v>22283.125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21810</v>
      </c>
      <c r="H13" s="330">
        <f>G13+'7'!H13</f>
        <v>156500.54999999999</v>
      </c>
      <c r="I13" s="346">
        <f>G7-G13</f>
        <v>544</v>
      </c>
      <c r="J13" s="332">
        <f>H13/DAY(B2)</f>
        <v>19562.568749999999</v>
      </c>
      <c r="K13" s="81"/>
      <c r="L13" s="68"/>
      <c r="N13" s="73"/>
      <c r="P13" s="67" t="s">
        <v>362</v>
      </c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363</v>
      </c>
    </row>
    <row r="15" spans="1:16">
      <c r="A15" s="316" t="s">
        <v>139</v>
      </c>
      <c r="B15" s="317"/>
      <c r="C15" s="317"/>
      <c r="D15" s="318" t="s">
        <v>140</v>
      </c>
      <c r="E15" s="319">
        <f>'7'!F15</f>
        <v>1735466.27</v>
      </c>
      <c r="F15" s="136">
        <v>1736369</v>
      </c>
      <c r="G15" s="315">
        <f>(F15-E15)</f>
        <v>902.72999999998137</v>
      </c>
      <c r="H15" s="1088">
        <f>G15+'7'!H15</f>
        <v>6815</v>
      </c>
      <c r="I15" s="1089">
        <v>800</v>
      </c>
      <c r="J15" s="1090">
        <f>H15/DAY(B2)</f>
        <v>851.875</v>
      </c>
      <c r="K15" s="81"/>
      <c r="L15" s="68"/>
      <c r="N15" s="73"/>
    </row>
    <row r="16" spans="1:16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-51.875</v>
      </c>
      <c r="J16" s="323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'7'!F18</f>
        <v>17</v>
      </c>
      <c r="F18" s="277">
        <v>21</v>
      </c>
      <c r="G18" s="345">
        <f>F18*10</f>
        <v>210</v>
      </c>
      <c r="H18" s="330">
        <f>G18+'7'!H18</f>
        <v>1390</v>
      </c>
      <c r="I18" s="331">
        <f>'1'!I18</f>
        <v>65</v>
      </c>
      <c r="J18" s="332">
        <f>H18/DAY(B2)</f>
        <v>173.75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'7'!F19</f>
        <v>143812</v>
      </c>
      <c r="F19" s="129">
        <v>143877</v>
      </c>
      <c r="G19" s="340">
        <f t="shared" ref="G19" si="1">F19-E19</f>
        <v>65</v>
      </c>
      <c r="H19" s="330">
        <f>G19+'7'!H19</f>
        <v>487</v>
      </c>
      <c r="I19" s="347"/>
      <c r="J19" s="332">
        <f>H19/DAY(B2)</f>
        <v>60.875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275</v>
      </c>
      <c r="H20" s="330">
        <f>G20+'7'!H20</f>
        <v>1877</v>
      </c>
      <c r="I20" s="349">
        <f>I18-J20</f>
        <v>-169.625</v>
      </c>
      <c r="J20" s="332">
        <f>H20/DAY(B2)</f>
        <v>234.625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161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22435.689999999944</v>
      </c>
      <c r="F27" s="152">
        <v>9</v>
      </c>
      <c r="G27" s="153">
        <f>E27*F27</f>
        <v>201921.2099999995</v>
      </c>
      <c r="H27" s="111">
        <f>G27+'7'!H27</f>
        <v>1665117</v>
      </c>
      <c r="I27" s="154"/>
      <c r="J27" s="203">
        <f>H27/DAY(B2)</f>
        <v>208139.625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902.72999999998137</v>
      </c>
      <c r="F28" s="152">
        <v>54.5</v>
      </c>
      <c r="G28" s="153">
        <f>E28*F28</f>
        <v>49198.784999998985</v>
      </c>
      <c r="H28" s="111">
        <f>G28+'7'!H28</f>
        <v>371417.5</v>
      </c>
      <c r="I28" s="156"/>
      <c r="J28" s="203">
        <f>H28/DAY(B2)</f>
        <v>46427.1875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65</v>
      </c>
      <c r="F30" s="152">
        <v>146</v>
      </c>
      <c r="G30" s="153">
        <f>E30*F30</f>
        <v>9490</v>
      </c>
      <c r="H30" s="111">
        <f>G30+'7'!H30</f>
        <v>71102</v>
      </c>
      <c r="I30" s="156"/>
      <c r="J30" s="203">
        <f>H30/DAY(B2)</f>
        <v>8887.75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210</v>
      </c>
      <c r="F31" s="152">
        <v>80</v>
      </c>
      <c r="G31" s="153">
        <f>E31*F31</f>
        <v>16800</v>
      </c>
      <c r="H31" s="111">
        <f>G31+'7'!H31</f>
        <v>111200</v>
      </c>
      <c r="I31" s="156"/>
      <c r="J31" s="203">
        <f>H31/DAY(B2)</f>
        <v>13900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277409.99499999848</v>
      </c>
      <c r="H32" s="111">
        <f>G32+'7'!H32</f>
        <v>2218836.5</v>
      </c>
      <c r="I32" s="160"/>
      <c r="J32" s="203">
        <f>H32/DAY(B2)</f>
        <v>277354.5625</v>
      </c>
      <c r="K32" s="65"/>
      <c r="L32" s="94"/>
      <c r="N32" s="73"/>
    </row>
    <row r="33" spans="1:14" ht="25.5" customHeight="1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'7'!F36</f>
        <v>52066.5</v>
      </c>
      <c r="F36" s="161">
        <v>52755</v>
      </c>
      <c r="G36" s="124">
        <f t="shared" si="2"/>
        <v>688.5</v>
      </c>
      <c r="H36" s="111">
        <f>G36+'7'!H36</f>
        <v>5957</v>
      </c>
      <c r="I36" s="106"/>
      <c r="J36" s="203">
        <f>H36/DAY(B2)</f>
        <v>744.625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'7'!F37</f>
        <v>237523</v>
      </c>
      <c r="F37" s="161">
        <v>239133</v>
      </c>
      <c r="G37" s="124">
        <f t="shared" si="2"/>
        <v>1610</v>
      </c>
      <c r="H37" s="111">
        <f>G37+'7'!H37</f>
        <v>12960</v>
      </c>
      <c r="I37" s="106"/>
      <c r="J37" s="203">
        <f>H37/DAY(B2)</f>
        <v>1620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20">
        <f>'7'!F38</f>
        <v>260488</v>
      </c>
      <c r="F38" s="120">
        <v>262282</v>
      </c>
      <c r="G38" s="124">
        <f t="shared" si="2"/>
        <v>1794</v>
      </c>
      <c r="H38" s="111">
        <f>G38+'7'!H38</f>
        <v>13723</v>
      </c>
      <c r="I38" s="106"/>
      <c r="J38" s="203">
        <f>H38/DAY(B2)</f>
        <v>1715.375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'7'!F39</f>
        <v>546784</v>
      </c>
      <c r="F39" s="161">
        <v>550430</v>
      </c>
      <c r="G39" s="124">
        <f t="shared" si="2"/>
        <v>3646</v>
      </c>
      <c r="H39" s="111">
        <f>G39+'7'!H39</f>
        <v>29912</v>
      </c>
      <c r="I39" s="106"/>
      <c r="J39" s="203">
        <f>H39/DAY(B2)</f>
        <v>3739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'7'!F40</f>
        <v>23723</v>
      </c>
      <c r="F40" s="161">
        <v>24148</v>
      </c>
      <c r="G40" s="124">
        <f t="shared" si="2"/>
        <v>425</v>
      </c>
      <c r="H40" s="111">
        <f>G40+'7'!H40</f>
        <v>3975</v>
      </c>
      <c r="I40" s="106"/>
      <c r="J40" s="203">
        <f>H40/DAY(B2)</f>
        <v>496.875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'7'!F41</f>
        <v>367737.47</v>
      </c>
      <c r="F41" s="706">
        <v>370432</v>
      </c>
      <c r="G41" s="124">
        <f t="shared" si="2"/>
        <v>2694.5300000000279</v>
      </c>
      <c r="H41" s="111">
        <f>G41+'7'!H41</f>
        <v>3592</v>
      </c>
      <c r="I41" s="106"/>
      <c r="J41" s="203">
        <f>H41/DAY(B2)</f>
        <v>449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'7'!F42</f>
        <v>144113</v>
      </c>
      <c r="F42" s="161">
        <v>147899</v>
      </c>
      <c r="G42" s="124">
        <f t="shared" si="2"/>
        <v>3786</v>
      </c>
      <c r="H42" s="111">
        <f>G42+'7'!H42</f>
        <v>32387</v>
      </c>
      <c r="I42" s="106"/>
      <c r="J42" s="203">
        <f>H42/DAY(B2)</f>
        <v>4048.375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'7'!F43</f>
        <v>1224290</v>
      </c>
      <c r="F43" s="161">
        <v>1227190</v>
      </c>
      <c r="G43" s="124">
        <f t="shared" si="2"/>
        <v>2900</v>
      </c>
      <c r="H43" s="111">
        <f>G43+'7'!H43</f>
        <v>22729</v>
      </c>
      <c r="I43" s="106"/>
      <c r="J43" s="203">
        <f>H43/DAY(B2)</f>
        <v>2841.125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17543.729999999981</v>
      </c>
      <c r="H47" s="111">
        <f>G47+'7'!H47</f>
        <v>126035.69999999995</v>
      </c>
      <c r="I47" s="106"/>
      <c r="J47" s="203">
        <f>H47/DAY(B2)</f>
        <v>15754.462499999994</v>
      </c>
      <c r="K47" s="81"/>
      <c r="L47" s="68"/>
      <c r="N47" s="73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'7'!F49</f>
        <v>345726</v>
      </c>
      <c r="F49" s="706">
        <v>348666</v>
      </c>
      <c r="G49" s="124">
        <f t="shared" ref="G49:G58" si="3">F49-E49</f>
        <v>2940</v>
      </c>
      <c r="H49" s="111">
        <f>G49+'7'!H49</f>
        <v>24578</v>
      </c>
      <c r="I49" s="106"/>
      <c r="J49" s="203">
        <f>H49/DAY(B2)</f>
        <v>3072.25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'7'!F50</f>
        <v>578734</v>
      </c>
      <c r="F50" s="161">
        <v>579823</v>
      </c>
      <c r="G50" s="124">
        <f t="shared" si="3"/>
        <v>1089</v>
      </c>
      <c r="H50" s="111">
        <f>G50+'7'!H50</f>
        <v>9898</v>
      </c>
      <c r="I50" s="106"/>
      <c r="J50" s="203">
        <f>H50/DAY(B2)</f>
        <v>1237.25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'7'!F51</f>
        <v>144639.87</v>
      </c>
      <c r="F51" s="706">
        <v>144639.87</v>
      </c>
      <c r="G51" s="124">
        <f t="shared" si="3"/>
        <v>0</v>
      </c>
      <c r="H51" s="111">
        <f>G51+'7'!H51</f>
        <v>-0.13000000000465661</v>
      </c>
      <c r="I51" s="106"/>
      <c r="J51" s="203">
        <f>H51/DAY(B2)</f>
        <v>-1.6250000000582077E-2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'7'!F52</f>
        <v>539606.06999999995</v>
      </c>
      <c r="F52" s="706">
        <v>539606.06999999995</v>
      </c>
      <c r="G52" s="124">
        <f t="shared" si="3"/>
        <v>0</v>
      </c>
      <c r="H52" s="111">
        <f>G52+'7'!H52</f>
        <v>6.9999999948777258E-2</v>
      </c>
      <c r="I52" s="106"/>
      <c r="J52" s="203">
        <f>H52/DAY(B2)</f>
        <v>8.7499999935971573E-3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'7'!F53</f>
        <v>434231.59</v>
      </c>
      <c r="F53" s="706">
        <v>434231.67</v>
      </c>
      <c r="G53" s="124">
        <f t="shared" si="3"/>
        <v>7.9999999958090484E-2</v>
      </c>
      <c r="H53" s="111">
        <f>G53+'7'!H53</f>
        <v>-0.33000000001629815</v>
      </c>
      <c r="I53" s="106"/>
      <c r="J53" s="203">
        <f>H53/DAY(B2)</f>
        <v>-4.1250000002037268E-2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'7'!F54</f>
        <v>14967</v>
      </c>
      <c r="F54" s="161">
        <v>14967</v>
      </c>
      <c r="G54" s="124">
        <f t="shared" si="3"/>
        <v>0</v>
      </c>
      <c r="H54" s="111">
        <f>G54+'7'!H54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'7'!F55</f>
        <v>257269</v>
      </c>
      <c r="F55" s="304">
        <v>257336</v>
      </c>
      <c r="G55" s="303">
        <f t="shared" si="3"/>
        <v>67</v>
      </c>
      <c r="H55" s="356">
        <f>G55+'7'!H55</f>
        <v>21662</v>
      </c>
      <c r="I55" s="357"/>
      <c r="J55" s="358">
        <f>H55/DAY(B2)</f>
        <v>2707.75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'7'!F56</f>
        <v>649439</v>
      </c>
      <c r="F56" s="304">
        <v>649449</v>
      </c>
      <c r="G56" s="124">
        <f t="shared" si="3"/>
        <v>10</v>
      </c>
      <c r="H56" s="111">
        <f>G56+'7'!H56</f>
        <v>88</v>
      </c>
      <c r="I56" s="106"/>
      <c r="J56" s="203">
        <f>H56/DAY(B2)</f>
        <v>11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6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'7'!F58</f>
        <v>61136.9</v>
      </c>
      <c r="F58" s="304">
        <v>61335</v>
      </c>
      <c r="G58" s="124">
        <f t="shared" si="3"/>
        <v>198.09999999999854</v>
      </c>
      <c r="H58" s="111">
        <f>G58+'7'!H58</f>
        <v>1656</v>
      </c>
      <c r="I58" s="106"/>
      <c r="J58" s="203">
        <f>H58/DAY(B2)</f>
        <v>207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4304.1799999999566</v>
      </c>
      <c r="H59" s="111">
        <f>G59+'7'!H59</f>
        <v>57881.609999999928</v>
      </c>
      <c r="I59" s="106">
        <f>G7-G60</f>
        <v>506.09000000006199</v>
      </c>
      <c r="J59" s="203">
        <f>H59/DAY(B2)</f>
        <v>7235.201249999991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21847.909999999938</v>
      </c>
      <c r="H60" s="111">
        <f>G60+'7'!H60</f>
        <v>183917.30999999988</v>
      </c>
      <c r="I60" s="106">
        <f>G13-G60</f>
        <v>-37.909999999938009</v>
      </c>
      <c r="J60" s="203">
        <f>H60/DAY(B2)</f>
        <v>22989.663749999985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'7'!F63</f>
        <v>0</v>
      </c>
      <c r="F63" s="165">
        <v>0</v>
      </c>
      <c r="G63" s="124">
        <f t="shared" si="4"/>
        <v>0</v>
      </c>
      <c r="H63" s="111">
        <f>G63+'7'!H63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65">
        <f>'7'!F64</f>
        <v>184456</v>
      </c>
      <c r="F64" s="129">
        <v>184804</v>
      </c>
      <c r="G64" s="124">
        <f t="shared" si="4"/>
        <v>348</v>
      </c>
      <c r="H64" s="111">
        <f>G64+'7'!H64</f>
        <v>2944</v>
      </c>
      <c r="I64" s="131"/>
      <c r="J64" s="203">
        <f>H64/DAY(B2)</f>
        <v>368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65">
        <f>'7'!F65</f>
        <v>184969</v>
      </c>
      <c r="F65" s="302">
        <v>185364</v>
      </c>
      <c r="G65" s="124">
        <f t="shared" si="4"/>
        <v>395</v>
      </c>
      <c r="H65" s="111">
        <f>G65+'7'!H65</f>
        <v>3155</v>
      </c>
      <c r="I65" s="140"/>
      <c r="J65" s="203">
        <f>H65/DAY(B2)</f>
        <v>394.375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65">
        <f>'7'!F66</f>
        <v>83496.5</v>
      </c>
      <c r="F66" s="129">
        <v>83873</v>
      </c>
      <c r="G66" s="124">
        <f t="shared" si="4"/>
        <v>376.5</v>
      </c>
      <c r="H66" s="111">
        <f>G66+'7'!H66</f>
        <v>3201</v>
      </c>
      <c r="I66" s="131"/>
      <c r="J66" s="203">
        <f>H66/DAY(B2)</f>
        <v>400.125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65">
        <f>'7'!F67</f>
        <v>283448</v>
      </c>
      <c r="F67" s="129">
        <v>283962</v>
      </c>
      <c r="G67" s="124">
        <f t="shared" si="4"/>
        <v>514</v>
      </c>
      <c r="H67" s="111">
        <f>G67+'7'!H67</f>
        <v>3904</v>
      </c>
      <c r="I67" s="140"/>
      <c r="J67" s="203">
        <f>H67/DAY(B2)</f>
        <v>488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65">
        <f>'7'!F69</f>
        <v>98803.8</v>
      </c>
      <c r="F69" s="129">
        <v>99110</v>
      </c>
      <c r="G69" s="124">
        <f t="shared" si="4"/>
        <v>306.19999999999709</v>
      </c>
      <c r="H69" s="111">
        <f>G69+'7'!H69</f>
        <v>2553</v>
      </c>
      <c r="I69" s="167"/>
      <c r="J69" s="203">
        <f>H69/DAY(B2)</f>
        <v>319.125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'7'!F72</f>
        <v>856703</v>
      </c>
      <c r="F72" s="305">
        <v>856715</v>
      </c>
      <c r="G72" s="124">
        <f t="shared" ref="G72:G84" si="5">F72-E72</f>
        <v>12</v>
      </c>
      <c r="H72" s="111">
        <f>G72+'7'!H72</f>
        <v>106</v>
      </c>
      <c r="I72" s="131"/>
      <c r="J72" s="203">
        <f>H72/DAY(B2)</f>
        <v>13.25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0">
        <f>'7'!F73</f>
        <v>886022</v>
      </c>
      <c r="F73" s="306">
        <v>886023</v>
      </c>
      <c r="G73" s="303">
        <f t="shared" si="5"/>
        <v>1</v>
      </c>
      <c r="H73" s="111">
        <f>G73+'7'!H73</f>
        <v>10</v>
      </c>
      <c r="I73" s="131"/>
      <c r="J73" s="203">
        <f>H73/DAY(B2)</f>
        <v>1.25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0">
        <f>'7'!F74</f>
        <v>88742.5</v>
      </c>
      <c r="F74" s="305">
        <v>88742.5</v>
      </c>
      <c r="G74" s="124">
        <f t="shared" si="5"/>
        <v>0</v>
      </c>
      <c r="H74" s="111">
        <f>G74+'7'!H74</f>
        <v>9.5</v>
      </c>
      <c r="I74" s="131"/>
      <c r="J74" s="203">
        <f>H74/DAY(B2)</f>
        <v>1.1875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0">
        <f>'7'!F75</f>
        <v>22120.2</v>
      </c>
      <c r="F75" s="306">
        <v>22283</v>
      </c>
      <c r="G75" s="124">
        <f t="shared" si="5"/>
        <v>162.79999999999927</v>
      </c>
      <c r="H75" s="111">
        <f>G75+'7'!H75</f>
        <v>1336</v>
      </c>
      <c r="I75" s="131"/>
      <c r="J75" s="203">
        <f>H75/DAY(B2)</f>
        <v>167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0">
        <f>'7'!F76</f>
        <v>11809.1</v>
      </c>
      <c r="F76" s="306">
        <v>11855</v>
      </c>
      <c r="G76" s="124">
        <f t="shared" si="5"/>
        <v>45.899999999999636</v>
      </c>
      <c r="H76" s="111">
        <f>G76+'7'!H76</f>
        <v>428</v>
      </c>
      <c r="I76" s="156"/>
      <c r="J76" s="203">
        <f>H76/DAY(B2)</f>
        <v>53.5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0">
        <f>'7'!F77</f>
        <v>706945</v>
      </c>
      <c r="F77" s="305">
        <v>707019</v>
      </c>
      <c r="G77" s="303">
        <f t="shared" si="5"/>
        <v>74</v>
      </c>
      <c r="H77" s="111">
        <f>G77+'7'!H77</f>
        <v>566</v>
      </c>
      <c r="I77" s="156"/>
      <c r="J77" s="203">
        <f>H77/DAY(B2)</f>
        <v>70.75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0">
        <f>'7'!F78</f>
        <v>679650</v>
      </c>
      <c r="F78" s="307">
        <v>679832</v>
      </c>
      <c r="G78" s="124">
        <f t="shared" si="5"/>
        <v>182</v>
      </c>
      <c r="H78" s="111">
        <f>G78+'7'!H78</f>
        <v>979</v>
      </c>
      <c r="I78" s="156"/>
      <c r="J78" s="203">
        <f>H78/DAY(B2)</f>
        <v>122.375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0">
        <f>'7'!F79</f>
        <v>841281</v>
      </c>
      <c r="F79" s="305">
        <v>841430</v>
      </c>
      <c r="G79" s="124">
        <f t="shared" si="5"/>
        <v>149</v>
      </c>
      <c r="H79" s="111">
        <f>G79+'7'!H79</f>
        <v>1215</v>
      </c>
      <c r="I79" s="156"/>
      <c r="J79" s="203">
        <f>H79/DAY(B2)</f>
        <v>151.875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0">
        <f>'7'!F80</f>
        <v>554777.64</v>
      </c>
      <c r="F80" s="306">
        <v>555182</v>
      </c>
      <c r="G80" s="124">
        <f t="shared" si="5"/>
        <v>404.35999999998603</v>
      </c>
      <c r="H80" s="111">
        <f>G80+'7'!H80</f>
        <v>3230</v>
      </c>
      <c r="I80" s="156"/>
      <c r="J80" s="203">
        <f>H80/DAY(B2)</f>
        <v>403.75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'7'!F81</f>
        <v>650187.31999999995</v>
      </c>
      <c r="F81" s="306">
        <v>650332</v>
      </c>
      <c r="G81" s="124">
        <f t="shared" si="5"/>
        <v>144.68000000005122</v>
      </c>
      <c r="H81" s="111">
        <f>G81+'7'!H81</f>
        <v>1314</v>
      </c>
      <c r="I81" s="156"/>
      <c r="J81" s="203">
        <f>H81/DAY(B2)</f>
        <v>164.25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'7'!F82</f>
        <v>109469</v>
      </c>
      <c r="F82" s="302">
        <v>109495</v>
      </c>
      <c r="G82" s="124">
        <f t="shared" si="5"/>
        <v>26</v>
      </c>
      <c r="H82" s="111">
        <f>G82+'7'!H82</f>
        <v>159</v>
      </c>
      <c r="I82" s="137"/>
      <c r="J82" s="203">
        <f>H82/DAY(B2)</f>
        <v>19.875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'7'!F83</f>
        <v>37267</v>
      </c>
      <c r="F83" s="271">
        <v>37591</v>
      </c>
      <c r="G83" s="124">
        <f t="shared" si="5"/>
        <v>324</v>
      </c>
      <c r="H83" s="111">
        <f>G83+'7'!H83</f>
        <v>2566</v>
      </c>
      <c r="I83" s="132"/>
      <c r="J83" s="203">
        <f>H83/DAY(B2)</f>
        <v>320.75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170">
        <f>'7'!F84</f>
        <v>552725</v>
      </c>
      <c r="F84" s="278">
        <v>553500</v>
      </c>
      <c r="G84" s="124">
        <f t="shared" si="5"/>
        <v>775</v>
      </c>
      <c r="H84" s="111">
        <f>G84+'7'!H84</f>
        <v>6107</v>
      </c>
      <c r="I84" s="132"/>
      <c r="J84" s="203">
        <f>H84/DAY(B2)</f>
        <v>763.375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2300.7400000000362</v>
      </c>
      <c r="H85" s="111">
        <f>G85+'7'!H85</f>
        <v>18025.5</v>
      </c>
      <c r="I85" s="132"/>
      <c r="J85" s="203">
        <f>H85/DAY(B2)</f>
        <v>2253.1875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'7'!F86</f>
        <v>463012.04</v>
      </c>
      <c r="F86" s="298">
        <v>463023</v>
      </c>
      <c r="G86" s="356">
        <f t="shared" ref="G86:G91" si="6">F86-E86</f>
        <v>10.960000000020955</v>
      </c>
      <c r="H86" s="356">
        <f t="shared" ref="H86:H88" si="7">G86</f>
        <v>10.960000000020955</v>
      </c>
      <c r="I86" s="303"/>
      <c r="J86" s="358">
        <f>H86/DAY(B2)</f>
        <v>1.3700000000026193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'7'!F87</f>
        <v>83160</v>
      </c>
      <c r="F87" s="298">
        <v>83179</v>
      </c>
      <c r="G87" s="356">
        <f t="shared" si="6"/>
        <v>19</v>
      </c>
      <c r="H87" s="356">
        <f t="shared" si="7"/>
        <v>19</v>
      </c>
      <c r="I87" s="303"/>
      <c r="J87" s="358">
        <f>H87/DAY(B2)</f>
        <v>2.375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'7'!F89</f>
        <v>67368.5</v>
      </c>
      <c r="F89" s="298">
        <v>67414</v>
      </c>
      <c r="G89" s="356">
        <f t="shared" si="6"/>
        <v>45.5</v>
      </c>
      <c r="H89" s="356">
        <f>G89</f>
        <v>45.5</v>
      </c>
      <c r="I89" s="303"/>
      <c r="J89" s="358">
        <f>H89/DAY(B2)</f>
        <v>5.6875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'7'!F90</f>
        <v>3491.4</v>
      </c>
      <c r="F90" s="298">
        <v>3492.4</v>
      </c>
      <c r="G90" s="356">
        <f t="shared" si="6"/>
        <v>1</v>
      </c>
      <c r="H90" s="356">
        <f>G90</f>
        <v>1</v>
      </c>
      <c r="I90" s="303"/>
      <c r="J90" s="358">
        <f>H90/DAY(B2)</f>
        <v>0.125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'7'!F91</f>
        <v>28563.03</v>
      </c>
      <c r="F91" s="298">
        <v>28563</v>
      </c>
      <c r="G91" s="356">
        <f t="shared" si="6"/>
        <v>-2.9999999998835847E-2</v>
      </c>
      <c r="H91" s="356">
        <f>G91</f>
        <v>-2.9999999998835847E-2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'7'!F93</f>
        <v>251071</v>
      </c>
      <c r="F93" s="129">
        <v>251200</v>
      </c>
      <c r="G93" s="124">
        <f>F93-E93</f>
        <v>129</v>
      </c>
      <c r="H93" s="111">
        <f>G93+'7'!H93</f>
        <v>886</v>
      </c>
      <c r="I93" s="131"/>
      <c r="J93" s="203">
        <f>H93/DAY(B2)</f>
        <v>110.75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'7'!F94</f>
        <v>193986</v>
      </c>
      <c r="F94" s="136">
        <v>194175</v>
      </c>
      <c r="G94" s="124">
        <f>F94-E94</f>
        <v>189</v>
      </c>
      <c r="H94" s="111">
        <f>G94+'7'!H94</f>
        <v>1277</v>
      </c>
      <c r="I94" s="131"/>
      <c r="J94" s="203">
        <f>H94/DAY(B2)</f>
        <v>159.625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'7'!F95</f>
        <v>0</v>
      </c>
      <c r="F95" s="129"/>
      <c r="G95" s="124">
        <f>G93+G94</f>
        <v>318</v>
      </c>
      <c r="H95" s="111">
        <f>G95+'7'!H95</f>
        <v>1857</v>
      </c>
      <c r="I95" s="131"/>
      <c r="J95" s="203">
        <f>H95/DAY(B2)</f>
        <v>232.125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'7'!F96</f>
        <v>419112</v>
      </c>
      <c r="F96" s="129">
        <v>419186</v>
      </c>
      <c r="G96" s="124">
        <f t="shared" ref="G96:G101" si="8">F96-E96</f>
        <v>74</v>
      </c>
      <c r="H96" s="111">
        <f>G96+'7'!H96</f>
        <v>650</v>
      </c>
      <c r="I96" s="131"/>
      <c r="J96" s="203">
        <f>H96/DAY(B2)</f>
        <v>81.25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'7'!F97</f>
        <v>104024</v>
      </c>
      <c r="F97" s="129">
        <v>104059</v>
      </c>
      <c r="G97" s="124">
        <f t="shared" si="8"/>
        <v>35</v>
      </c>
      <c r="H97" s="111">
        <f>G97+'7'!H97</f>
        <v>210</v>
      </c>
      <c r="I97" s="131"/>
      <c r="J97" s="203">
        <f>H97/DAY(B2)</f>
        <v>26.25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'7'!F98</f>
        <v>99662</v>
      </c>
      <c r="F98" s="129">
        <v>99701</v>
      </c>
      <c r="G98" s="124">
        <f t="shared" si="8"/>
        <v>39</v>
      </c>
      <c r="H98" s="111">
        <f>G98+'7'!H98</f>
        <v>253</v>
      </c>
      <c r="I98" s="131"/>
      <c r="J98" s="203">
        <f>H98/DAY(B2)</f>
        <v>31.625</v>
      </c>
      <c r="K98" s="85"/>
      <c r="L98" s="68"/>
      <c r="N98" s="73"/>
    </row>
    <row r="99" spans="1:14" ht="27.75">
      <c r="A99" s="771" t="s">
        <v>211</v>
      </c>
      <c r="B99" s="772"/>
      <c r="C99" s="772"/>
      <c r="D99" s="174" t="s">
        <v>143</v>
      </c>
      <c r="E99" s="135">
        <f>'7'!F99</f>
        <v>151403</v>
      </c>
      <c r="F99" s="129">
        <v>151427</v>
      </c>
      <c r="G99" s="124">
        <f t="shared" si="8"/>
        <v>24</v>
      </c>
      <c r="H99" s="111">
        <f>G99+'7'!H99</f>
        <v>176</v>
      </c>
      <c r="I99" s="131"/>
      <c r="J99" s="203">
        <f>H99/DAY(B2)</f>
        <v>22</v>
      </c>
      <c r="K99" s="71"/>
      <c r="L99" s="68"/>
      <c r="N99" s="355"/>
    </row>
    <row r="100" spans="1:14" ht="27.75">
      <c r="A100" s="771" t="s">
        <v>212</v>
      </c>
      <c r="B100" s="772"/>
      <c r="C100" s="772"/>
      <c r="D100" s="174" t="s">
        <v>143</v>
      </c>
      <c r="E100" s="135">
        <f>'7'!F100</f>
        <v>8293</v>
      </c>
      <c r="F100" s="129">
        <v>8323</v>
      </c>
      <c r="G100" s="124">
        <f t="shared" si="8"/>
        <v>30</v>
      </c>
      <c r="H100" s="111">
        <f>G100+'7'!H100</f>
        <v>158</v>
      </c>
      <c r="I100" s="131"/>
      <c r="J100" s="203">
        <f>H100/DAY(B2)</f>
        <v>19.75</v>
      </c>
      <c r="K100" s="71"/>
      <c r="L100" s="68"/>
      <c r="N100" s="73"/>
    </row>
    <row r="101" spans="1:14" ht="27.75">
      <c r="A101" s="771" t="s">
        <v>213</v>
      </c>
      <c r="B101" s="772"/>
      <c r="C101" s="772"/>
      <c r="D101" s="174" t="s">
        <v>143</v>
      </c>
      <c r="E101" s="135">
        <f>'7'!F101</f>
        <v>6069</v>
      </c>
      <c r="F101" s="129">
        <v>6081</v>
      </c>
      <c r="G101" s="124">
        <f t="shared" si="8"/>
        <v>12</v>
      </c>
      <c r="H101" s="111">
        <f>G101+'7'!H101</f>
        <v>90</v>
      </c>
      <c r="I101" s="131"/>
      <c r="J101" s="203">
        <f>H101/DAY(B2)</f>
        <v>11.25</v>
      </c>
      <c r="K101" s="71"/>
      <c r="L101" s="68"/>
      <c r="N101" s="73"/>
    </row>
    <row r="102" spans="1:14">
      <c r="A102" s="1232" t="s">
        <v>215</v>
      </c>
      <c r="B102" s="1233"/>
      <c r="C102" s="1234"/>
      <c r="D102" s="175"/>
      <c r="E102" s="175"/>
      <c r="F102" s="175"/>
      <c r="G102" s="176">
        <f>SUM(G96:G101)</f>
        <v>214</v>
      </c>
      <c r="H102" s="111">
        <f>G102+'7'!H102</f>
        <v>1537</v>
      </c>
      <c r="I102" s="177"/>
      <c r="J102" s="203">
        <f>H102/DAY(B2)</f>
        <v>192.125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83">
        <f>'7'!F105</f>
        <v>7937</v>
      </c>
      <c r="F105" s="309">
        <v>7937</v>
      </c>
      <c r="G105" s="183">
        <f>F105-E105</f>
        <v>0</v>
      </c>
      <c r="H105" s="111">
        <f>G105+'7'!H105</f>
        <v>300</v>
      </c>
      <c r="I105" s="183"/>
      <c r="J105" s="209">
        <f>H105/DAY(B2)</f>
        <v>37.5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83">
        <f>'7'!F106</f>
        <v>36530</v>
      </c>
      <c r="F106" s="454">
        <v>36538</v>
      </c>
      <c r="G106" s="183">
        <f>F106-E106</f>
        <v>8</v>
      </c>
      <c r="H106" s="111">
        <f>G106+'7'!H106</f>
        <v>78</v>
      </c>
      <c r="I106" s="183"/>
      <c r="J106" s="209">
        <f>H106/DAY(B2)</f>
        <v>9.75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'7'!F107</f>
        <v>20008</v>
      </c>
      <c r="F107" s="310">
        <v>20018</v>
      </c>
      <c r="G107" s="183">
        <f>F107-E107</f>
        <v>10</v>
      </c>
      <c r="H107" s="111">
        <f>G107+'7'!H107</f>
        <v>55</v>
      </c>
      <c r="I107" s="183"/>
      <c r="J107" s="209">
        <f>H107/DAY(B2)</f>
        <v>6.875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/>
      <c r="F108" s="310"/>
      <c r="G108" s="183">
        <f>SUM(G105:G107)</f>
        <v>18</v>
      </c>
      <c r="H108" s="111">
        <f>G108+'7'!H108</f>
        <v>433</v>
      </c>
      <c r="I108" s="183"/>
      <c r="J108" s="209">
        <f>H108/DAY(B2)</f>
        <v>54.125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'7'!F110</f>
        <v>67655</v>
      </c>
      <c r="F110" s="310">
        <v>67736</v>
      </c>
      <c r="G110" s="183">
        <f>F110-E110</f>
        <v>81</v>
      </c>
      <c r="H110" s="111">
        <f>G110+'7'!H110</f>
        <v>633</v>
      </c>
      <c r="I110" s="183"/>
      <c r="J110" s="209">
        <f>H110/DAY(B2)</f>
        <v>79.125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'7'!F111</f>
        <v>33886</v>
      </c>
      <c r="F111" s="454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'7'!F112</f>
        <v>4679</v>
      </c>
      <c r="F112" s="454">
        <v>4679</v>
      </c>
      <c r="G112" s="183">
        <f>F112-E112</f>
        <v>0</v>
      </c>
      <c r="H112" s="111">
        <f>G112+'7'!H112</f>
        <v>57</v>
      </c>
      <c r="I112" s="183"/>
      <c r="J112" s="209">
        <f>H112/DAY(B2)</f>
        <v>7.125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/>
      <c r="F113" s="310"/>
      <c r="G113" s="183">
        <f>SUM(G110:G112)</f>
        <v>81</v>
      </c>
      <c r="H113" s="111">
        <f>G113+'7'!H113</f>
        <v>690</v>
      </c>
      <c r="I113" s="183"/>
      <c r="J113" s="209">
        <f>H113/DAY(B2)</f>
        <v>86.25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'7'!F115</f>
        <v>12615</v>
      </c>
      <c r="F115" s="310">
        <v>12650</v>
      </c>
      <c r="G115" s="185">
        <f>F115-E115</f>
        <v>35</v>
      </c>
      <c r="H115" s="111">
        <f>G115+'7'!H115</f>
        <v>185</v>
      </c>
      <c r="I115" s="183"/>
      <c r="J115" s="209">
        <f>H115/DAY(B2)</f>
        <v>23.125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'7'!F116</f>
        <v>8887</v>
      </c>
      <c r="F116" s="310">
        <v>8899</v>
      </c>
      <c r="G116" s="185">
        <f>F116-E116</f>
        <v>12</v>
      </c>
      <c r="H116" s="111">
        <f>G116+'7'!H116</f>
        <v>79</v>
      </c>
      <c r="I116" s="183"/>
      <c r="J116" s="209">
        <f>H116/DAY(B2)</f>
        <v>9.875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47</v>
      </c>
      <c r="H118" s="111">
        <f>G118+'7'!H118</f>
        <v>264</v>
      </c>
      <c r="I118" s="185"/>
      <c r="J118" s="209">
        <f>H118/DAY(B2)</f>
        <v>33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11">
        <f>G119+'7'!H119</f>
        <v>1373</v>
      </c>
      <c r="I119" s="186"/>
      <c r="J119" s="210">
        <f>H119/DAY(B2)</f>
        <v>171.625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G120+'7'!H120</f>
        <v>1361</v>
      </c>
      <c r="I120" s="186"/>
      <c r="J120" s="210">
        <f>H120/DAY(B2)</f>
        <v>170.125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G121+'7'!H121</f>
        <v>690</v>
      </c>
      <c r="I121" s="186"/>
      <c r="J121" s="210">
        <f>H121/DAY(B2)</f>
        <v>86.25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'7'!F124</f>
        <v>849812.02</v>
      </c>
      <c r="F124" s="129">
        <v>850074</v>
      </c>
      <c r="G124" s="124">
        <f>F124-E124</f>
        <v>261.97999999998137</v>
      </c>
      <c r="H124" s="111">
        <f>G124+'7'!H124</f>
        <v>2108</v>
      </c>
      <c r="I124" s="177"/>
      <c r="J124" s="203">
        <f>H124/DAY(B2)</f>
        <v>263.5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277">
        <f>'7'!F125</f>
        <v>73583</v>
      </c>
      <c r="F125" s="277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'7'!F126</f>
        <v>151913.64000000001</v>
      </c>
      <c r="F126" s="129">
        <v>152009</v>
      </c>
      <c r="G126" s="124">
        <f>F126-E126</f>
        <v>95.35999999998603</v>
      </c>
      <c r="H126" s="111">
        <f>G126+'7'!H126</f>
        <v>688</v>
      </c>
      <c r="I126" s="177"/>
      <c r="J126" s="203">
        <f>H126/DAY(B2)</f>
        <v>86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277">
        <f>'7'!F127</f>
        <v>33601.9</v>
      </c>
      <c r="F127" s="277">
        <v>33637</v>
      </c>
      <c r="G127" s="124">
        <f>F127-E127</f>
        <v>35.099999999998545</v>
      </c>
      <c r="H127" s="111">
        <f>G127+'7'!H127</f>
        <v>349</v>
      </c>
      <c r="I127" s="177"/>
      <c r="J127" s="203">
        <f>H127/DAY(B2)</f>
        <v>43.625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277">
        <f>'7'!F128</f>
        <v>9126.5</v>
      </c>
      <c r="F128" s="277">
        <v>9128</v>
      </c>
      <c r="G128" s="124">
        <f>F128-E128</f>
        <v>1.5</v>
      </c>
      <c r="H128" s="111">
        <f>G128+'7'!H128</f>
        <v>15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508.39000000002125</v>
      </c>
      <c r="H129" s="111"/>
      <c r="I129" s="131"/>
      <c r="J129" s="203"/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'7'!F131</f>
        <v>0</v>
      </c>
      <c r="F131" s="129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'7'!F132</f>
        <v>0</v>
      </c>
      <c r="F132" s="129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'7'!F133</f>
        <v>40623.15</v>
      </c>
      <c r="F133" s="277">
        <v>40637</v>
      </c>
      <c r="G133" s="124">
        <f t="shared" si="9"/>
        <v>13.849999999998545</v>
      </c>
      <c r="H133" s="111">
        <f>G133+'7'!H133</f>
        <v>18</v>
      </c>
      <c r="I133" s="131"/>
      <c r="J133" s="203">
        <f>H133/DAY(B2)</f>
        <v>2.25</v>
      </c>
      <c r="N133" s="73">
        <f>F133-24</f>
        <v>40613</v>
      </c>
    </row>
    <row r="134" spans="1:14" ht="27.75">
      <c r="A134" s="771" t="s">
        <v>241</v>
      </c>
      <c r="B134" s="772"/>
      <c r="C134" s="772"/>
      <c r="D134" s="174" t="s">
        <v>238</v>
      </c>
      <c r="E134" s="173">
        <f>'7'!F134</f>
        <v>706.53</v>
      </c>
      <c r="F134" s="136">
        <v>724.25</v>
      </c>
      <c r="G134" s="124">
        <f t="shared" si="9"/>
        <v>17.720000000000027</v>
      </c>
      <c r="H134" s="111">
        <f>G134+'7'!H134</f>
        <v>150.25</v>
      </c>
      <c r="I134" s="131">
        <f>G131+G132+G133+G134</f>
        <v>31.569999999998572</v>
      </c>
      <c r="J134" s="203">
        <f>H134/DAY(B2)</f>
        <v>18.78125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352">
        <f>'7'!F135</f>
        <v>42598</v>
      </c>
      <c r="F135" s="277">
        <v>42598</v>
      </c>
      <c r="G135" s="124">
        <f t="shared" si="9"/>
        <v>0</v>
      </c>
      <c r="H135" s="111">
        <f>G135+'7'!H135</f>
        <v>99</v>
      </c>
      <c r="I135" s="131"/>
      <c r="J135" s="203">
        <f>H135/DAY(B2)</f>
        <v>12.375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352">
        <f>'7'!F136</f>
        <v>32874</v>
      </c>
      <c r="F136" s="277">
        <v>32874.050000000003</v>
      </c>
      <c r="G136" s="124">
        <f t="shared" si="9"/>
        <v>5.0000000002910383E-2</v>
      </c>
      <c r="H136" s="111">
        <f>G136+'7'!H136</f>
        <v>5.0000000002910383E-2</v>
      </c>
      <c r="I136" s="131"/>
      <c r="J136" s="203">
        <f>H136/DAY(B2)</f>
        <v>6.2500000003637979E-3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92">
        <f>'7'!F137</f>
        <v>23163.19</v>
      </c>
      <c r="F137" s="302">
        <v>23172.43</v>
      </c>
      <c r="G137" s="124">
        <f t="shared" si="9"/>
        <v>9.2400000000016007</v>
      </c>
      <c r="H137" s="111">
        <f>G137+'7'!H137</f>
        <v>65.869999999998981</v>
      </c>
      <c r="I137" s="131">
        <f>G135+G136+G137</f>
        <v>9.2900000000045111</v>
      </c>
      <c r="J137" s="203">
        <f>H137/DAY(B2)</f>
        <v>8.2337499999998727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92">
        <f>'7'!F138</f>
        <v>25119.45</v>
      </c>
      <c r="F138" s="302">
        <v>25119.45</v>
      </c>
      <c r="G138" s="124">
        <f t="shared" si="9"/>
        <v>0</v>
      </c>
      <c r="H138" s="111">
        <f>G138+'7'!H138</f>
        <v>0</v>
      </c>
      <c r="I138" s="131"/>
      <c r="J138" s="203">
        <f>H138/DAY(B2)</f>
        <v>0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92">
        <f>'7'!F139</f>
        <v>70518.2</v>
      </c>
      <c r="F139" s="302">
        <v>70518</v>
      </c>
      <c r="G139" s="124">
        <f t="shared" si="9"/>
        <v>-0.19999999999708962</v>
      </c>
      <c r="H139" s="111">
        <f>G139+'7'!H139</f>
        <v>1.3999999999941792</v>
      </c>
      <c r="I139" s="131">
        <f>G138+G139</f>
        <v>-0.19999999999708962</v>
      </c>
      <c r="J139" s="203">
        <f>H139/DAY(B2)</f>
        <v>0.1749999999992724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352">
        <f>'7'!F140</f>
        <v>2379.4499999999998</v>
      </c>
      <c r="F140" s="277">
        <v>2389</v>
      </c>
      <c r="G140" s="124">
        <f t="shared" si="9"/>
        <v>9.5500000000001819</v>
      </c>
      <c r="H140" s="111">
        <f>G140+'7'!H140</f>
        <v>77.440000000000055</v>
      </c>
      <c r="I140" s="193"/>
      <c r="J140" s="203">
        <f>H140/DAY(B2)</f>
        <v>9.6800000000000068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'7'!F141</f>
        <v>4753.67</v>
      </c>
      <c r="F141" s="129">
        <v>4753.67</v>
      </c>
      <c r="G141" s="124">
        <f t="shared" si="9"/>
        <v>0</v>
      </c>
      <c r="H141" s="111">
        <f>G141+'7'!H141</f>
        <v>-0.32999999999992724</v>
      </c>
      <c r="I141" s="193"/>
      <c r="J141" s="203">
        <f>H141/DAY(B2)</f>
        <v>-4.1249999999990905E-2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5839.6999999999534</v>
      </c>
      <c r="H143" s="111">
        <f>G143+'7'!H143</f>
        <v>47306.699999999953</v>
      </c>
      <c r="I143" s="131"/>
      <c r="J143" s="203">
        <f>H143/DAY(B2)</f>
        <v>5913.3374999999942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0.26123736244072443</v>
      </c>
      <c r="H144" s="111">
        <f>G144+'7'!H144</f>
        <v>2.057927288339791</v>
      </c>
      <c r="I144" s="195"/>
      <c r="J144" s="203">
        <f>H144/DAY(B2)</f>
        <v>0.25724091104247387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6557.5300000000279</v>
      </c>
      <c r="H145" s="111">
        <f>G145+'7'!H145</f>
        <v>57729</v>
      </c>
      <c r="I145" s="131"/>
      <c r="J145" s="203">
        <f>H145/DAY(B2)</f>
        <v>7216.125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0.29334928871790411</v>
      </c>
      <c r="H146" s="111">
        <f>G146+'7'!H146</f>
        <v>2.5063280715333924</v>
      </c>
      <c r="I146" s="195"/>
      <c r="J146" s="203">
        <f>H146/DAY(B2)</f>
        <v>0.31329100894167405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3646.0799999999581</v>
      </c>
      <c r="H147" s="111">
        <f>G147+'7'!H147</f>
        <v>29911.669999999984</v>
      </c>
      <c r="I147" s="196"/>
      <c r="J147" s="203">
        <f>H147/DAY(B2)</f>
        <v>3738.958749999998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0.16310637917151105</v>
      </c>
      <c r="H148" s="111">
        <f>G148+'7'!H148</f>
        <v>1.3031999240502954</v>
      </c>
      <c r="I148" s="196"/>
      <c r="J148" s="203">
        <f>H148/DAY(B2)</f>
        <v>0.16289999050628692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1794</v>
      </c>
      <c r="H149" s="111">
        <f>G149+'7'!H149</f>
        <v>13723.069999999949</v>
      </c>
      <c r="I149" s="131"/>
      <c r="J149" s="203">
        <f>H149/DAY(B2)</f>
        <v>1715.3837499999936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8.0254093227162926E-2</v>
      </c>
      <c r="H150" s="111">
        <f>G150+'7'!H150</f>
        <v>0.59753316274266233</v>
      </c>
      <c r="I150" s="196"/>
      <c r="J150" s="203">
        <f>H150/DAY(B2)</f>
        <v>7.4691645342832791E-2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1777.5</v>
      </c>
      <c r="H151" s="111">
        <f>G151+'7'!H151</f>
        <v>15855</v>
      </c>
      <c r="I151" s="196"/>
      <c r="J151" s="203">
        <f>H151/DAY(B2)</f>
        <v>1981.875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7.9515970296143865E-2</v>
      </c>
      <c r="H152" s="111">
        <f>G152+'7'!H152</f>
        <v>0.68884736463783203</v>
      </c>
      <c r="I152" s="131"/>
      <c r="J152" s="203">
        <f>H152/DAY(B2)</f>
        <v>8.6105920579729003E-2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1610</v>
      </c>
      <c r="H153" s="111">
        <f>G153+'7'!H153</f>
        <v>12959.869999999995</v>
      </c>
      <c r="I153" s="131"/>
      <c r="J153" s="203">
        <f>H153/DAY(B2)</f>
        <v>1619.9837499999994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7.2022904178223143E-2</v>
      </c>
      <c r="H154" s="111">
        <f>G154+'7'!H154</f>
        <v>0.56461181518660386</v>
      </c>
      <c r="I154" s="219"/>
      <c r="J154" s="220">
        <f>H154/DAY(B2)</f>
        <v>7.0576476898325483E-2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10">
        <f>'7'!F161</f>
        <v>43888</v>
      </c>
      <c r="F161" s="309">
        <v>43967</v>
      </c>
      <c r="G161" s="124">
        <f t="shared" ref="G161:G175" si="10">F161-E161</f>
        <v>79</v>
      </c>
    </row>
    <row r="162" spans="1:7">
      <c r="A162" s="435" t="s">
        <v>263</v>
      </c>
      <c r="B162" s="436"/>
      <c r="C162" s="436"/>
      <c r="D162" s="162" t="s">
        <v>186</v>
      </c>
      <c r="E162" s="710">
        <f>'7'!F162</f>
        <v>125355</v>
      </c>
      <c r="F162" s="309">
        <v>125818</v>
      </c>
      <c r="G162" s="124">
        <f t="shared" si="10"/>
        <v>463</v>
      </c>
    </row>
    <row r="163" spans="1:7">
      <c r="A163" s="435" t="s">
        <v>264</v>
      </c>
      <c r="B163" s="436"/>
      <c r="C163" s="436"/>
      <c r="D163" s="162" t="s">
        <v>186</v>
      </c>
      <c r="E163" s="710">
        <f>'7'!F163</f>
        <v>58907.4</v>
      </c>
      <c r="F163" s="309">
        <v>59091</v>
      </c>
      <c r="G163" s="124">
        <f t="shared" si="10"/>
        <v>183.59999999999854</v>
      </c>
    </row>
    <row r="164" spans="1:7">
      <c r="A164" s="435" t="s">
        <v>265</v>
      </c>
      <c r="B164" s="436"/>
      <c r="C164" s="436"/>
      <c r="D164" s="162" t="s">
        <v>186</v>
      </c>
      <c r="E164" s="710">
        <f>'7'!F164</f>
        <v>7208.72</v>
      </c>
      <c r="F164" s="309">
        <v>7218</v>
      </c>
      <c r="G164" s="124">
        <f t="shared" si="10"/>
        <v>9.2799999999997453</v>
      </c>
    </row>
    <row r="165" spans="1:7">
      <c r="A165" s="437" t="s">
        <v>97</v>
      </c>
      <c r="B165" s="255"/>
      <c r="C165" s="255"/>
      <c r="D165" s="162" t="s">
        <v>186</v>
      </c>
      <c r="E165" s="710">
        <f>'7'!F165</f>
        <v>0</v>
      </c>
      <c r="F165" s="165">
        <f>F62</f>
        <v>0</v>
      </c>
      <c r="G165" s="124">
        <f t="shared" si="10"/>
        <v>0</v>
      </c>
    </row>
    <row r="166" spans="1:7">
      <c r="A166" s="437" t="s">
        <v>187</v>
      </c>
      <c r="B166" s="255"/>
      <c r="C166" s="255"/>
      <c r="D166" s="162" t="s">
        <v>186</v>
      </c>
      <c r="E166" s="710">
        <f>'7'!F166</f>
        <v>0</v>
      </c>
      <c r="F166" s="165">
        <f t="shared" ref="F166:F172" si="11">F63</f>
        <v>0</v>
      </c>
      <c r="G166" s="124">
        <f t="shared" si="10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710">
        <f>'7'!F167</f>
        <v>184456</v>
      </c>
      <c r="F167" s="165">
        <f t="shared" si="11"/>
        <v>184804</v>
      </c>
      <c r="G167" s="124">
        <f t="shared" si="10"/>
        <v>348</v>
      </c>
    </row>
    <row r="168" spans="1:7" ht="27.75">
      <c r="A168" s="1187" t="s">
        <v>99</v>
      </c>
      <c r="B168" s="1187"/>
      <c r="C168" s="1187"/>
      <c r="D168" s="174" t="s">
        <v>186</v>
      </c>
      <c r="E168" s="710">
        <f>'7'!F168</f>
        <v>184969</v>
      </c>
      <c r="F168" s="165">
        <f t="shared" si="11"/>
        <v>185364</v>
      </c>
      <c r="G168" s="124">
        <f t="shared" si="10"/>
        <v>395</v>
      </c>
    </row>
    <row r="169" spans="1:7" ht="27.75">
      <c r="A169" s="1187" t="s">
        <v>100</v>
      </c>
      <c r="B169" s="1187"/>
      <c r="C169" s="1187"/>
      <c r="D169" s="174" t="s">
        <v>186</v>
      </c>
      <c r="E169" s="710">
        <f>'7'!F169</f>
        <v>83496.5</v>
      </c>
      <c r="F169" s="165">
        <f t="shared" si="11"/>
        <v>83873</v>
      </c>
      <c r="G169" s="124">
        <f t="shared" si="10"/>
        <v>376.5</v>
      </c>
    </row>
    <row r="170" spans="1:7" ht="27.75">
      <c r="A170" s="1187" t="s">
        <v>101</v>
      </c>
      <c r="B170" s="1187"/>
      <c r="C170" s="1187"/>
      <c r="D170" s="174" t="s">
        <v>186</v>
      </c>
      <c r="E170" s="710">
        <f>'7'!F170</f>
        <v>283448</v>
      </c>
      <c r="F170" s="165">
        <f t="shared" si="11"/>
        <v>283962</v>
      </c>
      <c r="G170" s="124">
        <f t="shared" si="10"/>
        <v>514</v>
      </c>
    </row>
    <row r="171" spans="1:7" ht="27.75">
      <c r="A171" s="1187" t="s">
        <v>102</v>
      </c>
      <c r="B171" s="1187"/>
      <c r="C171" s="1187"/>
      <c r="D171" s="174" t="s">
        <v>186</v>
      </c>
      <c r="E171" s="710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710">
        <f>'7'!F172</f>
        <v>98803.8</v>
      </c>
      <c r="F172" s="165">
        <f t="shared" si="11"/>
        <v>99110</v>
      </c>
      <c r="G172" s="124">
        <f t="shared" si="10"/>
        <v>306.19999999999709</v>
      </c>
    </row>
    <row r="173" spans="1:7">
      <c r="A173" s="1228" t="s">
        <v>338</v>
      </c>
      <c r="B173" s="1191"/>
      <c r="C173" s="436"/>
      <c r="D173" s="174" t="s">
        <v>186</v>
      </c>
      <c r="E173" s="710">
        <f>'7'!F173</f>
        <v>19154.8</v>
      </c>
      <c r="F173" s="183">
        <v>19158</v>
      </c>
      <c r="G173" s="124">
        <f t="shared" si="10"/>
        <v>3.2000000000007276</v>
      </c>
    </row>
    <row r="174" spans="1:7">
      <c r="A174" s="1228" t="s">
        <v>338</v>
      </c>
      <c r="B174" s="1191"/>
      <c r="C174" s="436"/>
      <c r="D174" s="174" t="s">
        <v>186</v>
      </c>
      <c r="E174" s="710">
        <f>'7'!F174</f>
        <v>70578.5</v>
      </c>
      <c r="F174" s="183">
        <v>70584</v>
      </c>
      <c r="G174" s="124">
        <f t="shared" si="10"/>
        <v>5.5</v>
      </c>
    </row>
    <row r="175" spans="1:7">
      <c r="A175" s="1228" t="s">
        <v>339</v>
      </c>
      <c r="B175" s="1191"/>
      <c r="C175" s="436"/>
      <c r="D175" s="174" t="s">
        <v>186</v>
      </c>
      <c r="E175" s="710">
        <f>'7'!F175</f>
        <v>27831.200000000001</v>
      </c>
      <c r="F175" s="183">
        <v>27837</v>
      </c>
      <c r="G175" s="124">
        <f t="shared" si="10"/>
        <v>5.7999999999992724</v>
      </c>
    </row>
    <row r="178" ht="18.75" customHeight="1"/>
    <row r="186" ht="20.25" customHeight="1"/>
    <row r="187" ht="20.2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1"/>
  <sheetViews>
    <sheetView view="pageBreakPreview" topLeftCell="A145" zoomScale="55" zoomScaleNormal="80" zoomScaleSheetLayoutView="55" workbookViewId="0">
      <selection activeCell="N171" sqref="N171"/>
    </sheetView>
  </sheetViews>
  <sheetFormatPr defaultColWidth="22.33203125" defaultRowHeight="29.2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364</v>
      </c>
      <c r="B2" s="682">
        <v>44417</v>
      </c>
      <c r="C2" s="773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>
      <c r="A3" s="221"/>
      <c r="B3" s="265"/>
      <c r="C3" s="773" t="s">
        <v>119</v>
      </c>
      <c r="D3" s="263">
        <v>31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73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  <c r="P6" s="67" t="s">
        <v>365</v>
      </c>
    </row>
    <row r="7" spans="1:16" ht="30" thickBot="1">
      <c r="A7" s="327" t="s">
        <v>130</v>
      </c>
      <c r="B7" s="328"/>
      <c r="C7" s="328"/>
      <c r="D7" s="288" t="s">
        <v>131</v>
      </c>
      <c r="E7" s="284">
        <v>791874</v>
      </c>
      <c r="F7" s="106">
        <v>811195</v>
      </c>
      <c r="G7" s="329">
        <f>F7-E7</f>
        <v>19321</v>
      </c>
      <c r="H7" s="330">
        <f>G7+'8'!H7</f>
        <v>203373</v>
      </c>
      <c r="I7" s="331">
        <f>'1'!I7</f>
        <v>12000</v>
      </c>
      <c r="J7" s="332">
        <f>H7/DAY(B2)</f>
        <v>22597</v>
      </c>
      <c r="K7" s="200"/>
      <c r="L7" s="68"/>
      <c r="N7" s="73">
        <v>11359</v>
      </c>
      <c r="P7" s="67" t="s">
        <v>366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'8'!F8</f>
        <v>800610</v>
      </c>
      <c r="F8" s="126">
        <v>821222</v>
      </c>
      <c r="G8" s="340">
        <f>F8-E8</f>
        <v>20612</v>
      </c>
      <c r="H8" s="330">
        <f>G8+'8'!H8</f>
        <v>205625</v>
      </c>
      <c r="I8" s="337">
        <v>12000</v>
      </c>
      <c r="J8" s="332">
        <f>H8/DAY(B2)</f>
        <v>22847.222222222223</v>
      </c>
      <c r="K8" s="200"/>
      <c r="L8" s="78"/>
      <c r="M8" s="91"/>
      <c r="N8" s="73">
        <v>11487</v>
      </c>
    </row>
    <row r="9" spans="1:16">
      <c r="A9" s="338" t="s">
        <v>133</v>
      </c>
      <c r="B9" s="339"/>
      <c r="C9" s="339"/>
      <c r="D9" s="288" t="s">
        <v>131</v>
      </c>
      <c r="E9" s="284">
        <f>'8'!F9</f>
        <v>2874900</v>
      </c>
      <c r="F9" s="129">
        <v>2894010</v>
      </c>
      <c r="G9" s="353">
        <f t="shared" ref="G9:G12" si="0">F9-E9</f>
        <v>19110</v>
      </c>
      <c r="H9" s="330">
        <f>G9+'8'!H9</f>
        <v>197375</v>
      </c>
      <c r="I9" s="341">
        <f>I7-J7</f>
        <v>-10597</v>
      </c>
      <c r="J9" s="332">
        <f>H9/DAY(B2)</f>
        <v>21930.555555555555</v>
      </c>
      <c r="K9" s="81"/>
      <c r="L9" s="68"/>
      <c r="N9" s="73">
        <v>11077</v>
      </c>
    </row>
    <row r="10" spans="1:16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19110</v>
      </c>
      <c r="H13" s="330">
        <f>G13+'8'!H13</f>
        <v>175610.55</v>
      </c>
      <c r="I13" s="346">
        <f>G7-G13</f>
        <v>211</v>
      </c>
      <c r="J13" s="332">
        <f>H13/DAY(B2)</f>
        <v>19512.283333333333</v>
      </c>
      <c r="K13" s="81"/>
      <c r="L13" s="68"/>
      <c r="N13" s="73">
        <v>11077</v>
      </c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806" t="s">
        <v>139</v>
      </c>
      <c r="B15" s="807"/>
      <c r="C15" s="807"/>
      <c r="D15" s="808" t="s">
        <v>140</v>
      </c>
      <c r="E15" s="351">
        <f>'8'!F15</f>
        <v>1736369</v>
      </c>
      <c r="F15" s="351">
        <v>1737133</v>
      </c>
      <c r="G15" s="329">
        <f>(F15-E15)</f>
        <v>764</v>
      </c>
      <c r="H15" s="801">
        <f>G15+'8'!H15</f>
        <v>7579</v>
      </c>
      <c r="I15" s="802">
        <v>800</v>
      </c>
      <c r="J15" s="803">
        <f>H15/DAY(B2)</f>
        <v>842.11111111111109</v>
      </c>
      <c r="K15" s="795"/>
      <c r="L15" s="796"/>
      <c r="M15" s="797"/>
      <c r="N15" s="798">
        <v>330.54600000008941</v>
      </c>
    </row>
    <row r="16" spans="1:16">
      <c r="A16" s="799"/>
      <c r="B16" s="800"/>
      <c r="C16" s="800"/>
      <c r="D16" s="793"/>
      <c r="E16" s="794"/>
      <c r="F16" s="794"/>
      <c r="G16" s="804"/>
      <c r="H16" s="801"/>
      <c r="I16" s="805">
        <f>I15-J15</f>
        <v>-42.111111111111086</v>
      </c>
      <c r="J16" s="803"/>
      <c r="K16" s="795"/>
      <c r="L16" s="796"/>
      <c r="M16" s="797"/>
      <c r="N16" s="798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'8'!F18</f>
        <v>21</v>
      </c>
      <c r="F18" s="129">
        <v>16</v>
      </c>
      <c r="G18" s="345">
        <f>F18*10</f>
        <v>160</v>
      </c>
      <c r="H18" s="330">
        <f>G18+'8'!H18</f>
        <v>1550</v>
      </c>
      <c r="I18" s="331">
        <v>65</v>
      </c>
      <c r="J18" s="332">
        <f>H18/DAY(B2)</f>
        <v>172.22222222222223</v>
      </c>
      <c r="K18" s="81"/>
      <c r="L18" s="68"/>
      <c r="N18" s="73">
        <v>0</v>
      </c>
    </row>
    <row r="19" spans="1:14" ht="27.75">
      <c r="A19" s="1248" t="s">
        <v>70</v>
      </c>
      <c r="B19" s="1249"/>
      <c r="C19" s="1250"/>
      <c r="D19" s="288" t="s">
        <v>143</v>
      </c>
      <c r="E19" s="285">
        <f>'8'!F19</f>
        <v>143877</v>
      </c>
      <c r="F19" s="129">
        <v>143941</v>
      </c>
      <c r="G19" s="340">
        <f t="shared" ref="G19" si="1">F19-E19</f>
        <v>64</v>
      </c>
      <c r="H19" s="330">
        <f>G19+'8'!H19</f>
        <v>551</v>
      </c>
      <c r="I19" s="347"/>
      <c r="J19" s="332">
        <f>H19/DAY(B2)</f>
        <v>61.222222222222221</v>
      </c>
      <c r="K19" s="81"/>
      <c r="L19" s="68"/>
      <c r="N19" s="73">
        <v>55</v>
      </c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224</v>
      </c>
      <c r="H20" s="330">
        <f>G20+'8'!H20</f>
        <v>2101</v>
      </c>
      <c r="I20" s="349">
        <f>I18-J20</f>
        <v>-168.44444444444446</v>
      </c>
      <c r="J20" s="332">
        <f>H20/DAY(B2)</f>
        <v>233.44444444444446</v>
      </c>
      <c r="K20" s="81"/>
      <c r="L20" s="68"/>
      <c r="N20" s="73">
        <v>55</v>
      </c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>
      <c r="A23" s="771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20612</v>
      </c>
      <c r="F27" s="152">
        <v>9</v>
      </c>
      <c r="G27" s="153">
        <f>E27*F27</f>
        <v>185508</v>
      </c>
      <c r="H27" s="111">
        <f>G27+'8'!H27</f>
        <v>1850625</v>
      </c>
      <c r="I27" s="154"/>
      <c r="J27" s="203">
        <f>H27/DAY(B2)</f>
        <v>205625</v>
      </c>
      <c r="K27" s="65"/>
      <c r="L27" s="94"/>
      <c r="N27" s="73">
        <v>114870</v>
      </c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764</v>
      </c>
      <c r="F28" s="152">
        <v>54.5</v>
      </c>
      <c r="G28" s="153">
        <f>E28*F28</f>
        <v>41638</v>
      </c>
      <c r="H28" s="111">
        <f>G28+'8'!H28</f>
        <v>413055.5</v>
      </c>
      <c r="I28" s="156"/>
      <c r="J28" s="203">
        <f>H28/DAY(B2)</f>
        <v>45895.055555555555</v>
      </c>
      <c r="K28" s="65"/>
      <c r="L28" s="94"/>
      <c r="N28" s="73">
        <v>11569.110000003129</v>
      </c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G30+'8'!H30</f>
        <v>80446</v>
      </c>
      <c r="I30" s="156"/>
      <c r="J30" s="203">
        <f>H30/DAY(B2)</f>
        <v>8938.4444444444453</v>
      </c>
      <c r="K30" s="65"/>
      <c r="L30" s="94"/>
      <c r="N30" s="73">
        <v>7370</v>
      </c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G31+'8'!H31</f>
        <v>124000</v>
      </c>
      <c r="I31" s="156"/>
      <c r="J31" s="203">
        <f>H31/DAY(B2)</f>
        <v>13777.777777777777</v>
      </c>
      <c r="K31" s="65"/>
      <c r="L31" s="94"/>
      <c r="N31" s="73">
        <v>0</v>
      </c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249290</v>
      </c>
      <c r="H32" s="111">
        <f>G32+'8'!H32</f>
        <v>2468126.5</v>
      </c>
      <c r="I32" s="160"/>
      <c r="J32" s="203">
        <f>H32/DAY(B2)</f>
        <v>274236.27777777775</v>
      </c>
      <c r="K32" s="65"/>
      <c r="L32" s="94"/>
      <c r="N32" s="73">
        <v>133809.11000000313</v>
      </c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>
      <c r="A36" s="229" t="s">
        <v>164</v>
      </c>
      <c r="B36" s="230"/>
      <c r="C36" s="230"/>
      <c r="D36" s="174" t="s">
        <v>131</v>
      </c>
      <c r="E36" s="161">
        <f>'8'!F36</f>
        <v>52755</v>
      </c>
      <c r="F36" s="161">
        <v>53414</v>
      </c>
      <c r="G36" s="124">
        <f t="shared" si="3"/>
        <v>659</v>
      </c>
      <c r="H36" s="111">
        <f>G36+'8'!H36</f>
        <v>6616</v>
      </c>
      <c r="I36" s="106"/>
      <c r="J36" s="203">
        <f>H36/DAY(B2)</f>
        <v>735.11111111111109</v>
      </c>
      <c r="K36" s="81"/>
      <c r="L36" s="68"/>
      <c r="N36" s="279">
        <v>514.63999999999942</v>
      </c>
    </row>
    <row r="37" spans="1:14">
      <c r="A37" s="229" t="s">
        <v>165</v>
      </c>
      <c r="B37" s="230"/>
      <c r="C37" s="230"/>
      <c r="D37" s="174" t="s">
        <v>131</v>
      </c>
      <c r="E37" s="161">
        <f>'8'!F37</f>
        <v>239133</v>
      </c>
      <c r="F37" s="161">
        <v>240631</v>
      </c>
      <c r="G37" s="124">
        <f t="shared" si="3"/>
        <v>1498</v>
      </c>
      <c r="H37" s="111">
        <f>G37+'8'!H37</f>
        <v>14458</v>
      </c>
      <c r="I37" s="106"/>
      <c r="J37" s="203">
        <f>H37/DAY(B2)</f>
        <v>1606.4444444444443</v>
      </c>
      <c r="K37" s="81"/>
      <c r="L37" s="68"/>
      <c r="N37" s="280">
        <v>1164.4599999999919</v>
      </c>
    </row>
    <row r="38" spans="1:14">
      <c r="A38" s="229" t="s">
        <v>166</v>
      </c>
      <c r="B38" s="230"/>
      <c r="C38" s="230"/>
      <c r="D38" s="174" t="s">
        <v>131</v>
      </c>
      <c r="E38" s="161">
        <f>'8'!F38</f>
        <v>262282</v>
      </c>
      <c r="F38" s="120">
        <v>263888</v>
      </c>
      <c r="G38" s="124">
        <f t="shared" si="3"/>
        <v>1606</v>
      </c>
      <c r="H38" s="111">
        <f>G38+'8'!H38</f>
        <v>15329</v>
      </c>
      <c r="I38" s="106"/>
      <c r="J38" s="203">
        <f>H38/DAY(B2)</f>
        <v>1703.2222222222222</v>
      </c>
      <c r="K38" s="81"/>
      <c r="L38" s="68"/>
      <c r="N38" s="73">
        <v>0</v>
      </c>
    </row>
    <row r="39" spans="1:14">
      <c r="A39" s="229" t="s">
        <v>167</v>
      </c>
      <c r="B39" s="230"/>
      <c r="C39" s="230"/>
      <c r="D39" s="174" t="s">
        <v>131</v>
      </c>
      <c r="E39" s="161">
        <f>'8'!F39</f>
        <v>550430</v>
      </c>
      <c r="F39" s="161">
        <v>554334</v>
      </c>
      <c r="G39" s="124">
        <f t="shared" si="3"/>
        <v>3904</v>
      </c>
      <c r="H39" s="111">
        <f>G39+'8'!H39</f>
        <v>33816</v>
      </c>
      <c r="I39" s="106"/>
      <c r="J39" s="203">
        <f>H39/DAY(B2)</f>
        <v>3757.3333333333335</v>
      </c>
      <c r="K39" s="81"/>
      <c r="L39" s="68"/>
      <c r="N39" s="73">
        <v>1951.1300000000047</v>
      </c>
    </row>
    <row r="40" spans="1:14">
      <c r="A40" s="250" t="s">
        <v>168</v>
      </c>
      <c r="B40" s="251"/>
      <c r="C40" s="251"/>
      <c r="D40" s="174" t="s">
        <v>131</v>
      </c>
      <c r="E40" s="161">
        <f>'8'!F40</f>
        <v>24148</v>
      </c>
      <c r="F40" s="161">
        <v>24742</v>
      </c>
      <c r="G40" s="124">
        <f t="shared" si="3"/>
        <v>594</v>
      </c>
      <c r="H40" s="111">
        <f>G40+'8'!H40</f>
        <v>4569</v>
      </c>
      <c r="I40" s="106"/>
      <c r="J40" s="203">
        <f>H40/DAY(B2)</f>
        <v>507.66666666666669</v>
      </c>
      <c r="K40" s="82"/>
      <c r="L40" s="68"/>
      <c r="N40" s="73">
        <v>0</v>
      </c>
    </row>
    <row r="41" spans="1:14">
      <c r="A41" s="229" t="s">
        <v>169</v>
      </c>
      <c r="B41" s="230"/>
      <c r="C41" s="230"/>
      <c r="D41" s="174" t="s">
        <v>131</v>
      </c>
      <c r="E41" s="161">
        <f>'8'!F41</f>
        <v>370432</v>
      </c>
      <c r="F41" s="161">
        <v>376041</v>
      </c>
      <c r="G41" s="124">
        <f t="shared" si="3"/>
        <v>5609</v>
      </c>
      <c r="H41" s="111">
        <f>G41+'8'!H41</f>
        <v>9201</v>
      </c>
      <c r="I41" s="106"/>
      <c r="J41" s="203">
        <f>H41/DAY(B2)</f>
        <v>1022.3333333333334</v>
      </c>
      <c r="K41" s="81"/>
      <c r="L41" s="68"/>
      <c r="N41" s="73">
        <v>2876.3199999999779</v>
      </c>
    </row>
    <row r="42" spans="1:14">
      <c r="A42" s="229" t="s">
        <v>170</v>
      </c>
      <c r="B42" s="230"/>
      <c r="C42" s="230"/>
      <c r="D42" s="174" t="s">
        <v>131</v>
      </c>
      <c r="E42" s="161">
        <f>'8'!F42</f>
        <v>147899</v>
      </c>
      <c r="F42" s="161">
        <v>147899</v>
      </c>
      <c r="G42" s="124">
        <f t="shared" si="3"/>
        <v>0</v>
      </c>
      <c r="H42" s="111">
        <f>G42+'8'!H42</f>
        <v>32387</v>
      </c>
      <c r="I42" s="106"/>
      <c r="J42" s="203">
        <f>H42/DAY(B2)</f>
        <v>3598.5555555555557</v>
      </c>
      <c r="K42" s="81"/>
      <c r="L42" s="68"/>
      <c r="N42" s="73">
        <v>0</v>
      </c>
    </row>
    <row r="43" spans="1:14">
      <c r="A43" s="229" t="s">
        <v>171</v>
      </c>
      <c r="B43" s="230"/>
      <c r="C43" s="230"/>
      <c r="D43" s="174" t="s">
        <v>131</v>
      </c>
      <c r="E43" s="161">
        <f>'8'!F43</f>
        <v>1227190</v>
      </c>
      <c r="F43" s="161">
        <v>1229760</v>
      </c>
      <c r="G43" s="124">
        <f t="shared" si="3"/>
        <v>2570</v>
      </c>
      <c r="H43" s="111">
        <f>G43+'8'!H43</f>
        <v>25299</v>
      </c>
      <c r="I43" s="106"/>
      <c r="J43" s="203">
        <f>H43/DAY(B2)</f>
        <v>2811</v>
      </c>
      <c r="K43" s="81"/>
      <c r="L43" s="68"/>
      <c r="N43" s="73">
        <v>1531.2399999999907</v>
      </c>
    </row>
    <row r="44" spans="1:1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16440</v>
      </c>
      <c r="H47" s="111">
        <f>G47+'8'!H47</f>
        <v>142475.69999999995</v>
      </c>
      <c r="I47" s="106"/>
      <c r="J47" s="203">
        <f>H47/DAY(B2)</f>
        <v>15830.633333333328</v>
      </c>
      <c r="K47" s="81"/>
      <c r="L47" s="68"/>
      <c r="N47" s="73">
        <v>9418.6299999999901</v>
      </c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706">
        <f>'8'!F49</f>
        <v>348666</v>
      </c>
      <c r="F49" s="161">
        <v>351400</v>
      </c>
      <c r="G49" s="124">
        <f t="shared" ref="G49:G58" si="4">F49-E49</f>
        <v>2734</v>
      </c>
      <c r="H49" s="111">
        <f>G49+'8'!H49</f>
        <v>27312</v>
      </c>
      <c r="I49" s="106"/>
      <c r="J49" s="203">
        <f>H49/DAY(B2)</f>
        <v>3034.6666666666665</v>
      </c>
      <c r="K49" s="81"/>
      <c r="L49" s="68"/>
      <c r="N49" s="73">
        <v>0</v>
      </c>
    </row>
    <row r="50" spans="1:14">
      <c r="A50" s="229" t="s">
        <v>177</v>
      </c>
      <c r="B50" s="252"/>
      <c r="C50" s="252"/>
      <c r="D50" s="174" t="s">
        <v>131</v>
      </c>
      <c r="E50" s="706">
        <f>'8'!F50</f>
        <v>579823</v>
      </c>
      <c r="F50" s="161">
        <v>580815</v>
      </c>
      <c r="G50" s="124">
        <f t="shared" si="4"/>
        <v>992</v>
      </c>
      <c r="H50" s="111">
        <f>G50+'8'!H50</f>
        <v>10890</v>
      </c>
      <c r="I50" s="106"/>
      <c r="J50" s="203">
        <f>H50/DAY(B2)</f>
        <v>1210</v>
      </c>
      <c r="K50" s="81"/>
      <c r="L50" s="68"/>
      <c r="N50" s="73">
        <v>609.48999999999069</v>
      </c>
    </row>
    <row r="51" spans="1:14">
      <c r="A51" s="229" t="s">
        <v>165</v>
      </c>
      <c r="B51" s="252"/>
      <c r="C51" s="252"/>
      <c r="D51" s="174" t="s">
        <v>131</v>
      </c>
      <c r="E51" s="706">
        <f>'8'!F51</f>
        <v>144639.87</v>
      </c>
      <c r="F51" s="161">
        <v>144639.87</v>
      </c>
      <c r="G51" s="124">
        <f t="shared" si="4"/>
        <v>0</v>
      </c>
      <c r="H51" s="111">
        <f>G51+'8'!H51</f>
        <v>-0.13000000000465661</v>
      </c>
      <c r="I51" s="106"/>
      <c r="J51" s="203">
        <f>H51/DAY(B2)</f>
        <v>-1.4444444444961846E-2</v>
      </c>
      <c r="K51" s="81"/>
      <c r="L51" s="68"/>
      <c r="N51" s="73">
        <v>0</v>
      </c>
    </row>
    <row r="52" spans="1:14">
      <c r="A52" s="229" t="s">
        <v>178</v>
      </c>
      <c r="B52" s="252"/>
      <c r="C52" s="252"/>
      <c r="D52" s="174" t="s">
        <v>131</v>
      </c>
      <c r="E52" s="706">
        <f>'8'!F52</f>
        <v>539606.06999999995</v>
      </c>
      <c r="F52" s="161">
        <v>539606.06999999995</v>
      </c>
      <c r="G52" s="124">
        <f t="shared" si="4"/>
        <v>0</v>
      </c>
      <c r="H52" s="111">
        <f>G52+'8'!H52</f>
        <v>6.9999999948777258E-2</v>
      </c>
      <c r="I52" s="106"/>
      <c r="J52" s="203">
        <f>H52/DAY(B2)</f>
        <v>7.7777777720863623E-3</v>
      </c>
      <c r="K52" s="81"/>
      <c r="L52" s="68"/>
      <c r="N52" s="73">
        <v>1071.8899999999849</v>
      </c>
    </row>
    <row r="53" spans="1:14">
      <c r="A53" s="229" t="s">
        <v>167</v>
      </c>
      <c r="B53" s="252"/>
      <c r="C53" s="252"/>
      <c r="D53" s="174" t="s">
        <v>131</v>
      </c>
      <c r="E53" s="706">
        <f>'8'!F53</f>
        <v>434231.67</v>
      </c>
      <c r="F53" s="161">
        <v>434231.67</v>
      </c>
      <c r="G53" s="124">
        <f t="shared" si="4"/>
        <v>0</v>
      </c>
      <c r="H53" s="111">
        <f>G53+'8'!H53</f>
        <v>-0.33000000001629815</v>
      </c>
      <c r="I53" s="106"/>
      <c r="J53" s="203">
        <f>H53/DAY(B2)</f>
        <v>-3.6666666668477572E-2</v>
      </c>
      <c r="K53" s="81"/>
      <c r="L53" s="68"/>
      <c r="N53" s="73">
        <v>85.455900000000838</v>
      </c>
    </row>
    <row r="54" spans="1:14">
      <c r="A54" s="229" t="s">
        <v>179</v>
      </c>
      <c r="B54" s="252"/>
      <c r="C54" s="252"/>
      <c r="D54" s="174" t="s">
        <v>131</v>
      </c>
      <c r="E54" s="706">
        <f>'8'!F54</f>
        <v>14967</v>
      </c>
      <c r="F54" s="161">
        <v>14967</v>
      </c>
      <c r="G54" s="124">
        <f t="shared" si="4"/>
        <v>0</v>
      </c>
      <c r="H54" s="111">
        <f>G54+'8'!H54</f>
        <v>0</v>
      </c>
      <c r="I54" s="106"/>
      <c r="J54" s="203">
        <f>H54/DAY(B2)</f>
        <v>0</v>
      </c>
      <c r="K54" s="81"/>
      <c r="L54" s="68"/>
      <c r="N54" s="73">
        <v>0</v>
      </c>
    </row>
    <row r="55" spans="1:14">
      <c r="A55" s="229" t="s">
        <v>180</v>
      </c>
      <c r="B55" s="252"/>
      <c r="C55" s="252"/>
      <c r="D55" s="174" t="s">
        <v>131</v>
      </c>
      <c r="E55" s="706">
        <f>'8'!F55</f>
        <v>257336</v>
      </c>
      <c r="F55" s="304">
        <v>257336</v>
      </c>
      <c r="G55" s="303">
        <f t="shared" si="4"/>
        <v>0</v>
      </c>
      <c r="H55" s="356">
        <f>G55+'8'!H55</f>
        <v>21662</v>
      </c>
      <c r="I55" s="357"/>
      <c r="J55" s="358">
        <f>H55/DAY(B2)</f>
        <v>2406.8888888888887</v>
      </c>
      <c r="K55" s="81"/>
      <c r="L55" s="68"/>
      <c r="N55" s="73">
        <v>0</v>
      </c>
    </row>
    <row r="56" spans="1:14">
      <c r="A56" s="229" t="s">
        <v>181</v>
      </c>
      <c r="B56" s="252"/>
      <c r="C56" s="252"/>
      <c r="D56" s="174" t="s">
        <v>182</v>
      </c>
      <c r="E56" s="706">
        <f>'8'!F56</f>
        <v>649449</v>
      </c>
      <c r="F56" s="304">
        <v>649460</v>
      </c>
      <c r="G56" s="124">
        <f t="shared" si="4"/>
        <v>11</v>
      </c>
      <c r="H56" s="111">
        <f>G56+'8'!H56</f>
        <v>99</v>
      </c>
      <c r="I56" s="106"/>
      <c r="J56" s="203">
        <f>H56/DAY(B2)</f>
        <v>11</v>
      </c>
      <c r="K56" s="80"/>
      <c r="L56" s="68"/>
      <c r="N56" s="73">
        <v>0</v>
      </c>
    </row>
    <row r="57" spans="1:14">
      <c r="A57" s="229" t="s">
        <v>171</v>
      </c>
      <c r="B57" s="252"/>
      <c r="C57" s="252"/>
      <c r="D57" s="174" t="s">
        <v>131</v>
      </c>
      <c r="E57" s="706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>
      <c r="A58" s="229" t="s">
        <v>183</v>
      </c>
      <c r="B58" s="252"/>
      <c r="C58" s="252"/>
      <c r="D58" s="174" t="s">
        <v>131</v>
      </c>
      <c r="E58" s="706">
        <f>'8'!F58</f>
        <v>61335</v>
      </c>
      <c r="F58" s="304">
        <v>61555</v>
      </c>
      <c r="G58" s="124">
        <f t="shared" si="4"/>
        <v>220</v>
      </c>
      <c r="H58" s="111">
        <f>G58+'8'!H58</f>
        <v>1876</v>
      </c>
      <c r="I58" s="106"/>
      <c r="J58" s="203">
        <f>H58/DAY(B2)</f>
        <v>208.44444444444446</v>
      </c>
      <c r="K58" s="81"/>
      <c r="L58" s="68"/>
      <c r="N58" s="73">
        <v>-0.29700000000048021</v>
      </c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3957</v>
      </c>
      <c r="H59" s="111">
        <f>G59+'8'!H59</f>
        <v>61838.609999999928</v>
      </c>
      <c r="I59" s="106">
        <f>G7-G60</f>
        <v>-1076</v>
      </c>
      <c r="J59" s="203">
        <f>H59/DAY(B2)</f>
        <v>6870.9566666666587</v>
      </c>
      <c r="K59" s="81"/>
      <c r="L59" s="68"/>
      <c r="N59" s="73">
        <v>1766.5388999999759</v>
      </c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20397</v>
      </c>
      <c r="H60" s="111">
        <f>G60+'8'!H60</f>
        <v>204314.30999999988</v>
      </c>
      <c r="I60" s="106">
        <f>G13-G60</f>
        <v>-1287</v>
      </c>
      <c r="J60" s="203">
        <f>H60/DAY(B2)</f>
        <v>22701.589999999986</v>
      </c>
      <c r="K60" s="81"/>
      <c r="L60" s="68"/>
      <c r="N60" s="73">
        <v>11185.168899999966</v>
      </c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>
      <c r="A63" s="254" t="s">
        <v>187</v>
      </c>
      <c r="B63" s="255"/>
      <c r="C63" s="255"/>
      <c r="D63" s="162" t="s">
        <v>186</v>
      </c>
      <c r="E63" s="165">
        <f>'8'!F63</f>
        <v>0</v>
      </c>
      <c r="F63" s="165">
        <v>0</v>
      </c>
      <c r="G63" s="124">
        <f t="shared" si="5"/>
        <v>0</v>
      </c>
      <c r="H63" s="111">
        <f>G63+'8'!H63</f>
        <v>0</v>
      </c>
      <c r="I63" s="166"/>
      <c r="J63" s="203">
        <f>H63/DAY(B2)</f>
        <v>0</v>
      </c>
      <c r="K63" s="81"/>
      <c r="L63" s="68"/>
      <c r="N63" s="73">
        <v>0</v>
      </c>
    </row>
    <row r="64" spans="1:14" ht="27.75">
      <c r="A64" s="1181" t="s">
        <v>98</v>
      </c>
      <c r="B64" s="1182"/>
      <c r="C64" s="1183"/>
      <c r="D64" s="174" t="s">
        <v>186</v>
      </c>
      <c r="E64" s="165">
        <f>'8'!F64</f>
        <v>184804</v>
      </c>
      <c r="F64" s="129">
        <v>185185</v>
      </c>
      <c r="G64" s="124">
        <f t="shared" si="5"/>
        <v>381</v>
      </c>
      <c r="H64" s="111">
        <f>G64+'8'!H64</f>
        <v>3325</v>
      </c>
      <c r="I64" s="131"/>
      <c r="J64" s="203">
        <f>H64/DAY(B2)</f>
        <v>369.44444444444446</v>
      </c>
      <c r="K64" s="81"/>
      <c r="L64" s="68"/>
      <c r="N64" s="73">
        <v>161.90400000000227</v>
      </c>
    </row>
    <row r="65" spans="1:14" ht="27.75">
      <c r="A65" s="1181" t="s">
        <v>99</v>
      </c>
      <c r="B65" s="1182"/>
      <c r="C65" s="1183"/>
      <c r="D65" s="174" t="s">
        <v>186</v>
      </c>
      <c r="E65" s="165">
        <f>'8'!F65</f>
        <v>185364</v>
      </c>
      <c r="F65" s="302">
        <v>185748</v>
      </c>
      <c r="G65" s="124">
        <f t="shared" si="5"/>
        <v>384</v>
      </c>
      <c r="H65" s="111">
        <f>G65+'8'!H65</f>
        <v>3539</v>
      </c>
      <c r="I65" s="140"/>
      <c r="J65" s="203">
        <f>H65/DAY(B2)</f>
        <v>393.22222222222223</v>
      </c>
      <c r="K65" s="81"/>
      <c r="L65" s="68"/>
      <c r="N65" s="73">
        <v>215.74700000000303</v>
      </c>
    </row>
    <row r="66" spans="1:14" ht="27.75">
      <c r="A66" s="1181" t="s">
        <v>100</v>
      </c>
      <c r="B66" s="1182"/>
      <c r="C66" s="1183"/>
      <c r="D66" s="174" t="s">
        <v>186</v>
      </c>
      <c r="E66" s="165">
        <f>'8'!F66</f>
        <v>83873</v>
      </c>
      <c r="F66" s="302">
        <v>84301</v>
      </c>
      <c r="G66" s="124">
        <f t="shared" si="5"/>
        <v>428</v>
      </c>
      <c r="H66" s="111">
        <f>G66+'8'!H66</f>
        <v>3629</v>
      </c>
      <c r="I66" s="131"/>
      <c r="J66" s="203">
        <f>H66/DAY(B2)</f>
        <v>403.22222222222223</v>
      </c>
      <c r="K66" s="81"/>
      <c r="L66" s="68"/>
      <c r="N66" s="73">
        <v>243.63500000000204</v>
      </c>
    </row>
    <row r="67" spans="1:14" ht="27.75">
      <c r="A67" s="1181" t="s">
        <v>101</v>
      </c>
      <c r="B67" s="1182"/>
      <c r="C67" s="1183"/>
      <c r="D67" s="174" t="s">
        <v>186</v>
      </c>
      <c r="E67" s="165">
        <f>'8'!F67</f>
        <v>283962</v>
      </c>
      <c r="F67" s="129">
        <v>284442</v>
      </c>
      <c r="G67" s="124">
        <f t="shared" si="5"/>
        <v>480</v>
      </c>
      <c r="H67" s="111">
        <f>G67+'8'!H67</f>
        <v>4384</v>
      </c>
      <c r="I67" s="140"/>
      <c r="J67" s="203">
        <f>H67/DAY(B2)</f>
        <v>487.11111111111109</v>
      </c>
      <c r="K67" s="82"/>
      <c r="L67" s="68"/>
      <c r="N67" s="73">
        <v>74.99199999999837</v>
      </c>
    </row>
    <row r="68" spans="1:14" ht="27.75">
      <c r="A68" s="1181" t="s">
        <v>102</v>
      </c>
      <c r="B68" s="1182"/>
      <c r="C68" s="1183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>
      <c r="A69" s="1181" t="s">
        <v>103</v>
      </c>
      <c r="B69" s="1182"/>
      <c r="C69" s="1183"/>
      <c r="D69" s="174" t="s">
        <v>186</v>
      </c>
      <c r="E69" s="165">
        <f>'8'!F69</f>
        <v>99110</v>
      </c>
      <c r="F69" s="129">
        <v>99434</v>
      </c>
      <c r="G69" s="124">
        <f t="shared" si="5"/>
        <v>324</v>
      </c>
      <c r="H69" s="111">
        <f>G69+'8'!H69</f>
        <v>2877</v>
      </c>
      <c r="I69" s="167"/>
      <c r="J69" s="203">
        <f>H69/DAY(B2)</f>
        <v>319.66666666666669</v>
      </c>
      <c r="K69" s="84"/>
      <c r="L69" s="68"/>
      <c r="N69" s="73">
        <v>12.727999999999156</v>
      </c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'8'!F72</f>
        <v>856715</v>
      </c>
      <c r="F72" s="305">
        <v>856729</v>
      </c>
      <c r="G72" s="124">
        <f t="shared" ref="G72:G84" si="6">F72-E72</f>
        <v>14</v>
      </c>
      <c r="H72" s="111">
        <f>G72+'8'!H72</f>
        <v>120</v>
      </c>
      <c r="I72" s="131"/>
      <c r="J72" s="203">
        <f>H72/DAY(B2)</f>
        <v>13.333333333333334</v>
      </c>
      <c r="K72" s="84"/>
      <c r="L72" s="68"/>
      <c r="N72" s="73">
        <v>11</v>
      </c>
    </row>
    <row r="73" spans="1:14" ht="27.75">
      <c r="A73" s="1181" t="s">
        <v>191</v>
      </c>
      <c r="B73" s="1182"/>
      <c r="C73" s="1183"/>
      <c r="D73" s="174" t="s">
        <v>186</v>
      </c>
      <c r="E73" s="170">
        <f>'8'!F73</f>
        <v>886023</v>
      </c>
      <c r="F73" s="306">
        <v>886024</v>
      </c>
      <c r="G73" s="303">
        <f t="shared" si="6"/>
        <v>1</v>
      </c>
      <c r="H73" s="111">
        <f>G73+'8'!H73</f>
        <v>11</v>
      </c>
      <c r="I73" s="131"/>
      <c r="J73" s="203">
        <f>H73/DAY(B2)</f>
        <v>1.2222222222222223</v>
      </c>
      <c r="K73" s="83"/>
      <c r="L73" s="68"/>
      <c r="N73" s="73">
        <v>2</v>
      </c>
    </row>
    <row r="74" spans="1:14" ht="27.75">
      <c r="A74" s="1181" t="s">
        <v>192</v>
      </c>
      <c r="B74" s="1182"/>
      <c r="C74" s="1183"/>
      <c r="D74" s="174" t="s">
        <v>186</v>
      </c>
      <c r="E74" s="170">
        <f>'8'!F74</f>
        <v>88742.5</v>
      </c>
      <c r="F74" s="305">
        <v>88742.5</v>
      </c>
      <c r="G74" s="124">
        <f t="shared" si="6"/>
        <v>0</v>
      </c>
      <c r="H74" s="111">
        <f>G74+'8'!H74</f>
        <v>9.5</v>
      </c>
      <c r="I74" s="131"/>
      <c r="J74" s="203">
        <f>H74/DAY(B2)</f>
        <v>1.0555555555555556</v>
      </c>
      <c r="K74" s="84"/>
      <c r="L74" s="68"/>
      <c r="N74" s="73">
        <v>11</v>
      </c>
    </row>
    <row r="75" spans="1:14" ht="27.75">
      <c r="A75" s="1184" t="s">
        <v>193</v>
      </c>
      <c r="B75" s="1185"/>
      <c r="C75" s="1186"/>
      <c r="D75" s="174" t="s">
        <v>186</v>
      </c>
      <c r="E75" s="170">
        <f>'8'!F75</f>
        <v>22283</v>
      </c>
      <c r="F75" s="306">
        <v>22440</v>
      </c>
      <c r="G75" s="124">
        <f t="shared" si="6"/>
        <v>157</v>
      </c>
      <c r="H75" s="111">
        <f>G75+'8'!H75</f>
        <v>1493</v>
      </c>
      <c r="I75" s="131"/>
      <c r="J75" s="203">
        <f>H75/DAY(B2)</f>
        <v>165.88888888888889</v>
      </c>
      <c r="K75" s="83"/>
      <c r="L75" s="68"/>
      <c r="N75" s="73">
        <v>62</v>
      </c>
    </row>
    <row r="76" spans="1:14" ht="27.75">
      <c r="A76" s="1184" t="s">
        <v>194</v>
      </c>
      <c r="B76" s="1185"/>
      <c r="C76" s="1186"/>
      <c r="D76" s="174" t="s">
        <v>186</v>
      </c>
      <c r="E76" s="170">
        <f>'8'!F76</f>
        <v>11855</v>
      </c>
      <c r="F76" s="306">
        <v>11904</v>
      </c>
      <c r="G76" s="124">
        <f t="shared" si="6"/>
        <v>49</v>
      </c>
      <c r="H76" s="111">
        <f>G76+'8'!H76</f>
        <v>477</v>
      </c>
      <c r="I76" s="156"/>
      <c r="J76" s="203">
        <f>H76/DAY(B2)</f>
        <v>53</v>
      </c>
      <c r="K76" s="83"/>
      <c r="L76" s="68"/>
      <c r="N76" s="73">
        <v>4</v>
      </c>
    </row>
    <row r="77" spans="1:14" ht="27.75">
      <c r="A77" s="1181" t="s">
        <v>195</v>
      </c>
      <c r="B77" s="1182"/>
      <c r="C77" s="1183"/>
      <c r="D77" s="174" t="s">
        <v>186</v>
      </c>
      <c r="E77" s="170">
        <f>'8'!F77</f>
        <v>707019</v>
      </c>
      <c r="F77" s="306">
        <v>707078</v>
      </c>
      <c r="G77" s="303">
        <f t="shared" si="6"/>
        <v>59</v>
      </c>
      <c r="H77" s="111">
        <f>G77+'8'!H77</f>
        <v>625</v>
      </c>
      <c r="I77" s="156"/>
      <c r="J77" s="203">
        <f>H77/DAY(B2)</f>
        <v>69.444444444444443</v>
      </c>
      <c r="K77" s="83"/>
      <c r="L77" s="68"/>
      <c r="N77" s="73">
        <v>19</v>
      </c>
    </row>
    <row r="78" spans="1:14" ht="27.75">
      <c r="A78" s="774" t="s">
        <v>196</v>
      </c>
      <c r="B78" s="766"/>
      <c r="C78" s="766"/>
      <c r="D78" s="174" t="s">
        <v>186</v>
      </c>
      <c r="E78" s="170">
        <f>'8'!F78</f>
        <v>679832</v>
      </c>
      <c r="F78" s="307">
        <v>679975</v>
      </c>
      <c r="G78" s="124">
        <f t="shared" si="6"/>
        <v>143</v>
      </c>
      <c r="H78" s="111">
        <f>G78+'8'!H78</f>
        <v>1122</v>
      </c>
      <c r="I78" s="156"/>
      <c r="J78" s="203">
        <f>H78/DAY(B2)</f>
        <v>124.66666666666667</v>
      </c>
      <c r="K78" s="83"/>
      <c r="L78" s="68"/>
      <c r="N78" s="73">
        <v>31</v>
      </c>
    </row>
    <row r="79" spans="1:14" ht="27.75">
      <c r="A79" s="1184" t="s">
        <v>91</v>
      </c>
      <c r="B79" s="1185"/>
      <c r="C79" s="1186"/>
      <c r="D79" s="175" t="s">
        <v>186</v>
      </c>
      <c r="E79" s="170">
        <f>'8'!F79</f>
        <v>841430</v>
      </c>
      <c r="F79" s="307">
        <v>841587</v>
      </c>
      <c r="G79" s="124">
        <f t="shared" si="6"/>
        <v>157</v>
      </c>
      <c r="H79" s="111">
        <f>G79+'8'!H79</f>
        <v>1372</v>
      </c>
      <c r="I79" s="156"/>
      <c r="J79" s="203">
        <f>H79/DAY(B2)</f>
        <v>152.44444444444446</v>
      </c>
      <c r="K79" s="83"/>
      <c r="L79" s="68"/>
      <c r="N79" s="73">
        <v>100</v>
      </c>
    </row>
    <row r="80" spans="1:14" ht="27.75">
      <c r="A80" s="1184" t="s">
        <v>197</v>
      </c>
      <c r="B80" s="1185"/>
      <c r="C80" s="1186"/>
      <c r="D80" s="175" t="s">
        <v>186</v>
      </c>
      <c r="E80" s="170">
        <f>'8'!F80</f>
        <v>555182</v>
      </c>
      <c r="F80" s="938">
        <v>555582</v>
      </c>
      <c r="G80" s="124">
        <f t="shared" si="6"/>
        <v>400</v>
      </c>
      <c r="H80" s="111">
        <f>G80+'8'!H80</f>
        <v>3630</v>
      </c>
      <c r="I80" s="156"/>
      <c r="J80" s="203">
        <f>H80/DAY(B2)</f>
        <v>403.33333333333331</v>
      </c>
      <c r="K80" s="83"/>
      <c r="L80" s="68"/>
      <c r="N80" s="73">
        <v>158.95999999996275</v>
      </c>
    </row>
    <row r="81" spans="1:15" ht="27.75">
      <c r="A81" s="1184" t="s">
        <v>198</v>
      </c>
      <c r="B81" s="1185"/>
      <c r="C81" s="1186"/>
      <c r="D81" s="175" t="s">
        <v>186</v>
      </c>
      <c r="E81" s="170">
        <f>'8'!F81</f>
        <v>650332</v>
      </c>
      <c r="F81" s="306">
        <v>650491</v>
      </c>
      <c r="G81" s="124">
        <f t="shared" si="6"/>
        <v>159</v>
      </c>
      <c r="H81" s="111">
        <f>G81+'8'!H81</f>
        <v>1473</v>
      </c>
      <c r="I81" s="156"/>
      <c r="J81" s="203">
        <f>H81/DAY(B2)</f>
        <v>163.66666666666666</v>
      </c>
      <c r="K81" s="83"/>
      <c r="L81" s="68"/>
      <c r="N81" s="73">
        <v>79.199999999953434</v>
      </c>
    </row>
    <row r="82" spans="1:15" ht="27.75">
      <c r="A82" s="1184" t="s">
        <v>92</v>
      </c>
      <c r="B82" s="1185"/>
      <c r="C82" s="1186"/>
      <c r="D82" s="136" t="s">
        <v>131</v>
      </c>
      <c r="E82" s="170">
        <f>'8'!F82</f>
        <v>109495</v>
      </c>
      <c r="F82" s="302">
        <v>109504</v>
      </c>
      <c r="G82" s="124">
        <f t="shared" si="6"/>
        <v>9</v>
      </c>
      <c r="H82" s="111">
        <f>G82+'8'!H82</f>
        <v>168</v>
      </c>
      <c r="I82" s="137"/>
      <c r="J82" s="203">
        <f>H82/DAY(B2)</f>
        <v>18.666666666666668</v>
      </c>
      <c r="K82" s="83"/>
      <c r="L82" s="68"/>
      <c r="N82" s="73">
        <v>30.149999999994179</v>
      </c>
    </row>
    <row r="83" spans="1:15" ht="27.75">
      <c r="A83" s="1184" t="s">
        <v>199</v>
      </c>
      <c r="B83" s="1185"/>
      <c r="C83" s="1186"/>
      <c r="D83" s="271" t="s">
        <v>131</v>
      </c>
      <c r="E83" s="170">
        <f>'8'!F83</f>
        <v>37591</v>
      </c>
      <c r="F83" s="162">
        <v>37883</v>
      </c>
      <c r="G83" s="124">
        <f t="shared" si="6"/>
        <v>292</v>
      </c>
      <c r="H83" s="111">
        <f>G83+'8'!H83</f>
        <v>2858</v>
      </c>
      <c r="I83" s="132"/>
      <c r="J83" s="203">
        <f>H83/DAY(B2)</f>
        <v>317.55555555555554</v>
      </c>
      <c r="K83" s="82"/>
      <c r="L83" s="68"/>
      <c r="N83" s="73">
        <v>316</v>
      </c>
    </row>
    <row r="84" spans="1:15">
      <c r="A84" s="775" t="s">
        <v>200</v>
      </c>
      <c r="B84" s="222"/>
      <c r="C84" s="222"/>
      <c r="D84" s="129" t="s">
        <v>131</v>
      </c>
      <c r="E84" s="170">
        <f>'8'!F84</f>
        <v>553500</v>
      </c>
      <c r="F84" s="278">
        <v>554281</v>
      </c>
      <c r="G84" s="124">
        <f t="shared" si="6"/>
        <v>781</v>
      </c>
      <c r="H84" s="111">
        <f>G84+'8'!H84</f>
        <v>6888</v>
      </c>
      <c r="I84" s="132"/>
      <c r="J84" s="203">
        <f>H84/DAY(B2)</f>
        <v>765.33333333333337</v>
      </c>
      <c r="K84" s="71"/>
      <c r="L84" s="68"/>
      <c r="N84" s="73">
        <v>408</v>
      </c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2221</v>
      </c>
      <c r="H85" s="111">
        <f>G85+'8'!H85</f>
        <v>20246.5</v>
      </c>
      <c r="I85" s="132"/>
      <c r="J85" s="203">
        <f>H85/DAY(B2)</f>
        <v>2249.6111111111113</v>
      </c>
      <c r="K85" s="71"/>
      <c r="L85" s="69"/>
      <c r="N85" s="73">
        <v>1232.3099999999104</v>
      </c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'8'!F86</f>
        <v>463023</v>
      </c>
      <c r="F86" s="289">
        <v>463038</v>
      </c>
      <c r="G86" s="356">
        <f t="shared" ref="G86:G91" si="7">F86-E86</f>
        <v>15</v>
      </c>
      <c r="H86" s="111">
        <f>G86+'8'!H86</f>
        <v>25.960000000020955</v>
      </c>
      <c r="I86" s="303"/>
      <c r="J86" s="358">
        <f>H86/DAY(B2)</f>
        <v>2.8844444444467729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'8'!F87</f>
        <v>83179</v>
      </c>
      <c r="F87" s="298">
        <v>83216.5</v>
      </c>
      <c r="G87" s="356">
        <f t="shared" si="7"/>
        <v>37.5</v>
      </c>
      <c r="H87" s="111">
        <f>G87+'8'!H87</f>
        <v>56.5</v>
      </c>
      <c r="I87" s="303"/>
      <c r="J87" s="358">
        <f>H87/DAY(B2)</f>
        <v>6.2777777777777777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'8'!F89</f>
        <v>67414</v>
      </c>
      <c r="F89" s="298">
        <v>67500</v>
      </c>
      <c r="G89" s="356">
        <f t="shared" si="7"/>
        <v>86</v>
      </c>
      <c r="H89" s="111">
        <f>G89+'8'!H89</f>
        <v>131.5</v>
      </c>
      <c r="I89" s="303"/>
      <c r="J89" s="358">
        <f>H89/DAY(B2)</f>
        <v>14.611111111111111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'8'!F90</f>
        <v>3492.4</v>
      </c>
      <c r="F90" s="298">
        <v>3498</v>
      </c>
      <c r="G90" s="356">
        <f t="shared" si="7"/>
        <v>5.5999999999999091</v>
      </c>
      <c r="H90" s="111">
        <f>G90+'8'!H90</f>
        <v>6.5999999999999091</v>
      </c>
      <c r="I90" s="303"/>
      <c r="J90" s="358">
        <f>H90/DAY(B2)</f>
        <v>0.73333333333332318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 t="s">
        <v>131</v>
      </c>
      <c r="E91" s="278">
        <f>'8'!F91</f>
        <v>28563</v>
      </c>
      <c r="F91" s="298">
        <v>28573</v>
      </c>
      <c r="G91" s="356">
        <f t="shared" si="7"/>
        <v>10</v>
      </c>
      <c r="H91" s="111">
        <f>G91+'8'!H91</f>
        <v>9.9700000000011642</v>
      </c>
      <c r="I91" s="303"/>
      <c r="J91" s="358">
        <f>H91/DAY(B2)</f>
        <v>1.1077777777779072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'8'!F93</f>
        <v>251200</v>
      </c>
      <c r="F93" s="129">
        <v>251292</v>
      </c>
      <c r="G93" s="124">
        <f t="shared" ref="G93:G94" si="8">F93-E93</f>
        <v>92</v>
      </c>
      <c r="H93" s="111">
        <f>G93+'8'!H93</f>
        <v>978</v>
      </c>
      <c r="I93" s="131"/>
      <c r="J93" s="203">
        <f>H93/DAY(B2)</f>
        <v>108.66666666666667</v>
      </c>
      <c r="K93" s="82"/>
      <c r="L93" s="68"/>
      <c r="N93" s="73">
        <v>0</v>
      </c>
    </row>
    <row r="94" spans="1:15" ht="27.75">
      <c r="A94" s="1200" t="s">
        <v>206</v>
      </c>
      <c r="B94" s="1201"/>
      <c r="C94" s="1202"/>
      <c r="D94" s="174" t="s">
        <v>143</v>
      </c>
      <c r="E94" s="135">
        <f>'8'!F94</f>
        <v>194175</v>
      </c>
      <c r="F94" s="129">
        <v>194333</v>
      </c>
      <c r="G94" s="124">
        <f t="shared" si="8"/>
        <v>158</v>
      </c>
      <c r="H94" s="111">
        <f>G94+'8'!H94</f>
        <v>1435</v>
      </c>
      <c r="I94" s="131"/>
      <c r="J94" s="203">
        <f>H94/DAY(B2)</f>
        <v>159.44444444444446</v>
      </c>
      <c r="K94" s="71"/>
      <c r="L94" s="68"/>
      <c r="N94" s="73">
        <v>71</v>
      </c>
    </row>
    <row r="95" spans="1:15">
      <c r="A95" s="1232" t="s">
        <v>207</v>
      </c>
      <c r="B95" s="1233"/>
      <c r="C95" s="1234"/>
      <c r="D95" s="174"/>
      <c r="E95" s="135">
        <f>'8'!F95</f>
        <v>0</v>
      </c>
      <c r="F95" s="129"/>
      <c r="G95" s="124">
        <f>G93+G94</f>
        <v>250</v>
      </c>
      <c r="H95" s="111">
        <f>G95+'8'!H95</f>
        <v>2107</v>
      </c>
      <c r="I95" s="131"/>
      <c r="J95" s="203">
        <f>H95/DAY(B2)</f>
        <v>234.11111111111111</v>
      </c>
      <c r="K95" s="71"/>
      <c r="L95" s="68"/>
      <c r="N95" s="73">
        <v>71</v>
      </c>
    </row>
    <row r="96" spans="1:15" ht="27.75">
      <c r="A96" s="1200" t="s">
        <v>208</v>
      </c>
      <c r="B96" s="1201"/>
      <c r="C96" s="1202"/>
      <c r="D96" s="174" t="s">
        <v>143</v>
      </c>
      <c r="E96" s="135">
        <f>'8'!F96</f>
        <v>419186</v>
      </c>
      <c r="F96" s="129">
        <v>419270</v>
      </c>
      <c r="G96" s="124">
        <f t="shared" ref="G96:G101" si="9">F96-E96</f>
        <v>84</v>
      </c>
      <c r="H96" s="111">
        <f>G96+'8'!H96</f>
        <v>734</v>
      </c>
      <c r="I96" s="131"/>
      <c r="J96" s="203">
        <f>H96/DAY(B2)</f>
        <v>81.555555555555557</v>
      </c>
      <c r="K96" s="71"/>
      <c r="L96" s="68"/>
      <c r="N96" s="73">
        <v>26</v>
      </c>
    </row>
    <row r="97" spans="1:14" ht="27.75">
      <c r="A97" s="771" t="s">
        <v>209</v>
      </c>
      <c r="B97" s="772"/>
      <c r="C97" s="772"/>
      <c r="D97" s="174" t="s">
        <v>143</v>
      </c>
      <c r="E97" s="135">
        <f>'8'!F97</f>
        <v>104059</v>
      </c>
      <c r="F97" s="129">
        <v>104088</v>
      </c>
      <c r="G97" s="124">
        <f t="shared" si="9"/>
        <v>29</v>
      </c>
      <c r="H97" s="111">
        <f>G97+'8'!H97</f>
        <v>239</v>
      </c>
      <c r="I97" s="131"/>
      <c r="J97" s="203">
        <f>H97/DAY(B2)</f>
        <v>26.555555555555557</v>
      </c>
      <c r="K97" s="80"/>
      <c r="L97" s="68"/>
      <c r="N97" s="73">
        <v>11</v>
      </c>
    </row>
    <row r="98" spans="1:14" ht="27.75">
      <c r="A98" s="771" t="s">
        <v>210</v>
      </c>
      <c r="B98" s="772"/>
      <c r="C98" s="772"/>
      <c r="D98" s="174" t="s">
        <v>143</v>
      </c>
      <c r="E98" s="135">
        <f>'8'!F98</f>
        <v>99701</v>
      </c>
      <c r="F98" s="129">
        <v>99724</v>
      </c>
      <c r="G98" s="124">
        <f t="shared" si="9"/>
        <v>23</v>
      </c>
      <c r="H98" s="111">
        <f>G98+'8'!H98</f>
        <v>276</v>
      </c>
      <c r="I98" s="131"/>
      <c r="J98" s="203">
        <f>H98/DAY(B2)</f>
        <v>30.666666666666668</v>
      </c>
      <c r="K98" s="85"/>
      <c r="L98" s="68"/>
      <c r="N98" s="73">
        <v>9</v>
      </c>
    </row>
    <row r="99" spans="1:14" ht="27.75">
      <c r="A99" s="771" t="s">
        <v>211</v>
      </c>
      <c r="B99" s="772"/>
      <c r="C99" s="772"/>
      <c r="D99" s="174" t="s">
        <v>143</v>
      </c>
      <c r="E99" s="135">
        <f>'8'!F99</f>
        <v>151427</v>
      </c>
      <c r="F99" s="129">
        <v>151475</v>
      </c>
      <c r="G99" s="124">
        <f t="shared" si="9"/>
        <v>48</v>
      </c>
      <c r="H99" s="111">
        <f>G99+'8'!H99</f>
        <v>224</v>
      </c>
      <c r="I99" s="131"/>
      <c r="J99" s="203">
        <f>H99/DAY(B2)</f>
        <v>24.888888888888889</v>
      </c>
      <c r="K99" s="71"/>
      <c r="L99" s="68"/>
      <c r="N99" s="355">
        <v>24</v>
      </c>
    </row>
    <row r="100" spans="1:14" ht="27.75">
      <c r="A100" s="771" t="s">
        <v>212</v>
      </c>
      <c r="B100" s="772"/>
      <c r="C100" s="772"/>
      <c r="D100" s="174" t="s">
        <v>143</v>
      </c>
      <c r="E100" s="135">
        <f>'8'!F100</f>
        <v>8323</v>
      </c>
      <c r="F100" s="129">
        <v>8337</v>
      </c>
      <c r="G100" s="124">
        <f t="shared" si="9"/>
        <v>14</v>
      </c>
      <c r="H100" s="111">
        <f>G100+'8'!H100</f>
        <v>172</v>
      </c>
      <c r="I100" s="131"/>
      <c r="J100" s="203">
        <f>H100/DAY(B2)</f>
        <v>19.111111111111111</v>
      </c>
      <c r="K100" s="71"/>
      <c r="L100" s="68"/>
      <c r="N100" s="73">
        <v>3</v>
      </c>
    </row>
    <row r="101" spans="1:14" ht="27.75">
      <c r="A101" s="771" t="s">
        <v>213</v>
      </c>
      <c r="B101" s="772"/>
      <c r="C101" s="772"/>
      <c r="D101" s="174" t="s">
        <v>143</v>
      </c>
      <c r="E101" s="135">
        <f>'8'!F101</f>
        <v>6081</v>
      </c>
      <c r="F101" s="129">
        <v>6095</v>
      </c>
      <c r="G101" s="124">
        <f t="shared" si="9"/>
        <v>14</v>
      </c>
      <c r="H101" s="111">
        <f>G101+'8'!H101</f>
        <v>104</v>
      </c>
      <c r="I101" s="131"/>
      <c r="J101" s="203">
        <f>H101/DAY(B2)</f>
        <v>11.555555555555555</v>
      </c>
      <c r="K101" s="71"/>
      <c r="L101" s="68"/>
      <c r="N101" s="73">
        <v>0</v>
      </c>
    </row>
    <row r="102" spans="1:14">
      <c r="A102" s="1232" t="s">
        <v>215</v>
      </c>
      <c r="B102" s="1233"/>
      <c r="C102" s="1234"/>
      <c r="D102" s="175"/>
      <c r="E102" s="135"/>
      <c r="F102" s="175"/>
      <c r="G102" s="176">
        <f>SUM(G96:G101)</f>
        <v>212</v>
      </c>
      <c r="H102" s="111">
        <f>G102+'8'!H102</f>
        <v>1749</v>
      </c>
      <c r="I102" s="177"/>
      <c r="J102" s="203">
        <f>H102/DAY(B2)</f>
        <v>194.33333333333334</v>
      </c>
      <c r="K102" s="71"/>
      <c r="L102" s="68"/>
      <c r="N102" s="73">
        <v>73</v>
      </c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35">
        <f>'8'!F105</f>
        <v>7937</v>
      </c>
      <c r="F105" s="309">
        <v>7937</v>
      </c>
      <c r="G105" s="183">
        <f>F105-E105</f>
        <v>0</v>
      </c>
      <c r="H105" s="111">
        <f>G105+'8'!H105</f>
        <v>300</v>
      </c>
      <c r="I105" s="183"/>
      <c r="J105" s="209">
        <f>H105/DAY(B2)</f>
        <v>33.333333333333336</v>
      </c>
      <c r="N105" s="73">
        <v>0</v>
      </c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35">
        <f>'8'!F106</f>
        <v>36538</v>
      </c>
      <c r="F106" s="310">
        <v>36550</v>
      </c>
      <c r="G106" s="183">
        <f t="shared" ref="G106:G107" si="10">F106-E106</f>
        <v>12</v>
      </c>
      <c r="H106" s="111">
        <f>G106+'8'!H106</f>
        <v>90</v>
      </c>
      <c r="I106" s="183"/>
      <c r="J106" s="209">
        <f>H106/DAY(B2)</f>
        <v>10</v>
      </c>
      <c r="N106" s="73">
        <v>0</v>
      </c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35">
        <f>'8'!F107</f>
        <v>20018</v>
      </c>
      <c r="F107" s="434">
        <v>20028</v>
      </c>
      <c r="G107" s="183">
        <f t="shared" si="10"/>
        <v>10</v>
      </c>
      <c r="H107" s="111">
        <f>G107+'8'!H107</f>
        <v>65</v>
      </c>
      <c r="I107" s="183"/>
      <c r="J107" s="209">
        <f>H107/DAY(B2)</f>
        <v>7.2222222222222223</v>
      </c>
      <c r="N107" s="73">
        <v>4</v>
      </c>
    </row>
    <row r="108" spans="1:14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22</v>
      </c>
      <c r="H108" s="111">
        <f>G108+'8'!H108</f>
        <v>455</v>
      </c>
      <c r="I108" s="183"/>
      <c r="J108" s="209">
        <f>H108/DAY(B2)</f>
        <v>50.555555555555557</v>
      </c>
      <c r="N108" s="73">
        <v>4</v>
      </c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35">
        <f>'8'!F110</f>
        <v>67736</v>
      </c>
      <c r="F110" s="310">
        <v>67837</v>
      </c>
      <c r="G110" s="183">
        <f>F110-E110</f>
        <v>101</v>
      </c>
      <c r="H110" s="111">
        <f>G110+'8'!H110</f>
        <v>734</v>
      </c>
      <c r="I110" s="183"/>
      <c r="J110" s="209">
        <f>H110/DAY(B2)</f>
        <v>81.555555555555557</v>
      </c>
      <c r="N110" s="73">
        <v>40</v>
      </c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35">
        <f>'8'!F112</f>
        <v>4679</v>
      </c>
      <c r="F112" s="310">
        <v>4684</v>
      </c>
      <c r="G112" s="183">
        <f t="shared" si="11"/>
        <v>5</v>
      </c>
      <c r="H112" s="111">
        <f>G112+'8'!H112</f>
        <v>62</v>
      </c>
      <c r="I112" s="183"/>
      <c r="J112" s="209">
        <f>H112/DAY(B2)</f>
        <v>6.8888888888888893</v>
      </c>
      <c r="N112" s="73">
        <v>0</v>
      </c>
    </row>
    <row r="113" spans="1:14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106</v>
      </c>
      <c r="H113" s="111">
        <f>G113+'8'!H113</f>
        <v>796</v>
      </c>
      <c r="I113" s="183"/>
      <c r="J113" s="209">
        <f>H113/DAY(B2)</f>
        <v>88.444444444444443</v>
      </c>
      <c r="N113" s="73">
        <v>83</v>
      </c>
    </row>
    <row r="114" spans="1:14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35">
        <f>'8'!F115</f>
        <v>12650</v>
      </c>
      <c r="F115" s="310">
        <v>12666</v>
      </c>
      <c r="G115" s="185">
        <f>F115-E115</f>
        <v>16</v>
      </c>
      <c r="H115" s="111">
        <f>G115+'8'!H115</f>
        <v>201</v>
      </c>
      <c r="I115" s="183"/>
      <c r="J115" s="209">
        <f>H115/DAY(B2)</f>
        <v>22.333333333333332</v>
      </c>
      <c r="N115" s="73">
        <v>5</v>
      </c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35">
        <f>'8'!F116</f>
        <v>8899</v>
      </c>
      <c r="F116" s="310">
        <v>8909</v>
      </c>
      <c r="G116" s="185">
        <f t="shared" ref="G116:G117" si="12">F116-E116</f>
        <v>10</v>
      </c>
      <c r="H116" s="111">
        <f>G116+'8'!H116</f>
        <v>89</v>
      </c>
      <c r="I116" s="183"/>
      <c r="J116" s="209">
        <f>H116/DAY(B2)</f>
        <v>9.8888888888888893</v>
      </c>
      <c r="N116" s="73">
        <v>3</v>
      </c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26</v>
      </c>
      <c r="H118" s="111">
        <f>G118+'8'!H118</f>
        <v>290</v>
      </c>
      <c r="I118" s="185"/>
      <c r="J118" s="209">
        <f>H118/DAY(B2)</f>
        <v>32.222222222222221</v>
      </c>
      <c r="N118" s="73">
        <v>8</v>
      </c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1529</v>
      </c>
      <c r="I119" s="186"/>
      <c r="J119" s="210">
        <f>H119/DAY(B2)</f>
        <v>169.88888888888889</v>
      </c>
      <c r="N119" s="73">
        <v>55</v>
      </c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11">
        <f>G120+'8'!H120</f>
        <v>1525</v>
      </c>
      <c r="I120" s="186"/>
      <c r="J120" s="210">
        <f>H120/DAY(B2)</f>
        <v>169.44444444444446</v>
      </c>
      <c r="N120" s="73">
        <v>49</v>
      </c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106</v>
      </c>
      <c r="G121" s="185">
        <f>SUM(G113)</f>
        <v>106</v>
      </c>
      <c r="H121" s="111">
        <f>G121+'8'!H121</f>
        <v>796</v>
      </c>
      <c r="I121" s="186"/>
      <c r="J121" s="210">
        <f>H121/DAY(B2)</f>
        <v>88.444444444444443</v>
      </c>
      <c r="N121" s="73">
        <v>83</v>
      </c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'8'!F124</f>
        <v>850074</v>
      </c>
      <c r="F124" s="129">
        <v>850336</v>
      </c>
      <c r="G124" s="124">
        <f t="shared" ref="G124:G128" si="13">F124-E124</f>
        <v>262</v>
      </c>
      <c r="H124" s="111">
        <f>G124+'8'!H124</f>
        <v>2370</v>
      </c>
      <c r="I124" s="177"/>
      <c r="J124" s="203">
        <f>H124/DAY(B2)</f>
        <v>263.33333333333331</v>
      </c>
      <c r="K124" s="71"/>
      <c r="L124" s="68"/>
      <c r="N124" s="73">
        <v>111.45100000000093</v>
      </c>
    </row>
    <row r="125" spans="1:14" ht="27.75">
      <c r="A125" s="771" t="s">
        <v>231</v>
      </c>
      <c r="B125" s="772"/>
      <c r="C125" s="772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>
      <c r="A126" s="1181" t="s">
        <v>232</v>
      </c>
      <c r="B126" s="1182"/>
      <c r="C126" s="1183"/>
      <c r="D126" s="174" t="s">
        <v>140</v>
      </c>
      <c r="E126" s="129">
        <f>'8'!F126</f>
        <v>152009</v>
      </c>
      <c r="F126" s="129">
        <v>152085</v>
      </c>
      <c r="G126" s="124">
        <f t="shared" si="13"/>
        <v>76</v>
      </c>
      <c r="H126" s="111">
        <f>G126+'8'!H126</f>
        <v>764</v>
      </c>
      <c r="I126" s="177"/>
      <c r="J126" s="203">
        <f>H126/DAY(B2)</f>
        <v>84.888888888888886</v>
      </c>
      <c r="K126" s="71"/>
      <c r="L126" s="68"/>
      <c r="N126" s="73">
        <v>43.220000000001164</v>
      </c>
    </row>
    <row r="127" spans="1:14" ht="27.75">
      <c r="A127" s="260" t="s">
        <v>233</v>
      </c>
      <c r="B127" s="772"/>
      <c r="C127" s="772"/>
      <c r="D127" s="174" t="s">
        <v>140</v>
      </c>
      <c r="E127" s="129">
        <f>'8'!F127</f>
        <v>33637</v>
      </c>
      <c r="F127" s="277">
        <v>33669</v>
      </c>
      <c r="G127" s="124">
        <f t="shared" si="13"/>
        <v>32</v>
      </c>
      <c r="H127" s="111">
        <f>G127+'8'!H127</f>
        <v>381</v>
      </c>
      <c r="I127" s="177"/>
      <c r="J127" s="203">
        <f>H127/DAY(B2)</f>
        <v>42.333333333333336</v>
      </c>
      <c r="K127" s="71"/>
      <c r="L127" s="68"/>
      <c r="N127" s="73">
        <v>0</v>
      </c>
    </row>
    <row r="128" spans="1:14" ht="27.75">
      <c r="A128" s="260" t="s">
        <v>234</v>
      </c>
      <c r="B128" s="772"/>
      <c r="C128" s="772"/>
      <c r="D128" s="174" t="s">
        <v>140</v>
      </c>
      <c r="E128" s="129">
        <f>'8'!F128</f>
        <v>9128</v>
      </c>
      <c r="F128" s="277">
        <v>9128.7999999999993</v>
      </c>
      <c r="G128" s="124">
        <f t="shared" si="13"/>
        <v>0.7999999999992724</v>
      </c>
      <c r="H128" s="111">
        <f>G128+'8'!H128</f>
        <v>15.799999999999272</v>
      </c>
      <c r="I128" s="131"/>
      <c r="J128" s="203">
        <f>H128/DAY(B2)</f>
        <v>1.7555555555554747</v>
      </c>
      <c r="K128" s="71"/>
      <c r="L128" s="68"/>
      <c r="N128" s="73">
        <v>0</v>
      </c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393.20000000000073</v>
      </c>
      <c r="H129" s="111"/>
      <c r="I129" s="131"/>
      <c r="J129" s="203"/>
      <c r="K129" s="60"/>
      <c r="L129" s="58"/>
      <c r="N129" s="73">
        <v>175.87500000008731</v>
      </c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>
      <c r="A132" s="771" t="s">
        <v>239</v>
      </c>
      <c r="B132" s="772"/>
      <c r="C132" s="772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>
      <c r="A133" s="771" t="s">
        <v>240</v>
      </c>
      <c r="B133" s="772"/>
      <c r="C133" s="772"/>
      <c r="D133" s="174" t="s">
        <v>238</v>
      </c>
      <c r="E133" s="135">
        <f>'8'!F133</f>
        <v>40637</v>
      </c>
      <c r="F133" s="277">
        <v>40661</v>
      </c>
      <c r="G133" s="124">
        <f t="shared" si="14"/>
        <v>24</v>
      </c>
      <c r="H133" s="111">
        <f>G133+'8'!H133</f>
        <v>42</v>
      </c>
      <c r="I133" s="131"/>
      <c r="J133" s="203">
        <f>H133/DAY(B2)</f>
        <v>4.666666666666667</v>
      </c>
      <c r="N133" s="73">
        <v>22</v>
      </c>
    </row>
    <row r="134" spans="1:14" ht="27.75">
      <c r="A134" s="771" t="s">
        <v>241</v>
      </c>
      <c r="B134" s="772"/>
      <c r="C134" s="772"/>
      <c r="D134" s="174" t="s">
        <v>238</v>
      </c>
      <c r="E134" s="135">
        <f>'8'!F134</f>
        <v>724.25</v>
      </c>
      <c r="F134" s="136">
        <v>724.25</v>
      </c>
      <c r="G134" s="124">
        <f t="shared" si="14"/>
        <v>0</v>
      </c>
      <c r="H134" s="111">
        <f>G134+'8'!H134</f>
        <v>150.25</v>
      </c>
      <c r="I134" s="131">
        <f>G131+G132+G133+G134</f>
        <v>24</v>
      </c>
      <c r="J134" s="203">
        <f>H134/DAY(B2)</f>
        <v>16.694444444444443</v>
      </c>
      <c r="N134" s="73">
        <v>0</v>
      </c>
    </row>
    <row r="135" spans="1:14" ht="27.75">
      <c r="A135" s="771" t="s">
        <v>242</v>
      </c>
      <c r="B135" s="772"/>
      <c r="C135" s="772"/>
      <c r="D135" s="174" t="s">
        <v>238</v>
      </c>
      <c r="E135" s="135">
        <f>'8'!F135</f>
        <v>42598</v>
      </c>
      <c r="F135" s="277">
        <v>42598</v>
      </c>
      <c r="G135" s="124">
        <f t="shared" si="14"/>
        <v>0</v>
      </c>
      <c r="H135" s="111">
        <f>G135+'8'!H135</f>
        <v>99</v>
      </c>
      <c r="I135" s="131"/>
      <c r="J135" s="203">
        <f>H135/DAY(B2)</f>
        <v>11</v>
      </c>
      <c r="N135" s="73">
        <v>0</v>
      </c>
    </row>
    <row r="136" spans="1:14" ht="27.75">
      <c r="A136" s="771" t="s">
        <v>243</v>
      </c>
      <c r="B136" s="772"/>
      <c r="C136" s="772"/>
      <c r="D136" s="174" t="s">
        <v>238</v>
      </c>
      <c r="E136" s="135">
        <f>'8'!F136</f>
        <v>32874.050000000003</v>
      </c>
      <c r="F136" s="277">
        <v>32874.050000000003</v>
      </c>
      <c r="G136" s="124">
        <f t="shared" si="14"/>
        <v>0</v>
      </c>
      <c r="H136" s="111">
        <f>G136+'8'!H136</f>
        <v>5.0000000002910383E-2</v>
      </c>
      <c r="I136" s="131"/>
      <c r="J136" s="203">
        <f>H136/DAY(B2)</f>
        <v>5.5555555558789316E-3</v>
      </c>
      <c r="N136" s="73">
        <v>0</v>
      </c>
    </row>
    <row r="137" spans="1:14" ht="27.75">
      <c r="A137" s="771" t="s">
        <v>244</v>
      </c>
      <c r="B137" s="772"/>
      <c r="C137" s="772"/>
      <c r="D137" s="174" t="s">
        <v>238</v>
      </c>
      <c r="E137" s="135">
        <f>'8'!F137</f>
        <v>23172.43</v>
      </c>
      <c r="F137" s="302">
        <v>23179.41</v>
      </c>
      <c r="G137" s="124">
        <f t="shared" si="14"/>
        <v>6.9799999999995634</v>
      </c>
      <c r="H137" s="111">
        <f>G137+'8'!H137</f>
        <v>72.849999999998545</v>
      </c>
      <c r="I137" s="131">
        <f>G135+G136+G137</f>
        <v>6.9799999999995634</v>
      </c>
      <c r="J137" s="203">
        <f>H137/DAY(B2)</f>
        <v>8.0944444444442833</v>
      </c>
      <c r="N137" s="73">
        <v>-0.2999999999992724</v>
      </c>
    </row>
    <row r="138" spans="1:14" ht="27.75">
      <c r="A138" s="771" t="s">
        <v>245</v>
      </c>
      <c r="B138" s="772"/>
      <c r="C138" s="772"/>
      <c r="D138" s="174" t="s">
        <v>238</v>
      </c>
      <c r="E138" s="135">
        <f>'8'!F138</f>
        <v>25119.45</v>
      </c>
      <c r="F138" s="302">
        <v>25119.45</v>
      </c>
      <c r="G138" s="124">
        <f t="shared" si="14"/>
        <v>0</v>
      </c>
      <c r="H138" s="111">
        <f>G138+'8'!H138</f>
        <v>0</v>
      </c>
      <c r="I138" s="131"/>
      <c r="J138" s="203">
        <f>H138/DAY(B2)</f>
        <v>0</v>
      </c>
      <c r="N138" s="73">
        <v>0</v>
      </c>
    </row>
    <row r="139" spans="1:14" ht="27.75">
      <c r="A139" s="771" t="s">
        <v>246</v>
      </c>
      <c r="B139" s="772"/>
      <c r="C139" s="772"/>
      <c r="D139" s="174" t="s">
        <v>238</v>
      </c>
      <c r="E139" s="135">
        <f>'8'!F139</f>
        <v>70518</v>
      </c>
      <c r="F139" s="302">
        <v>70518</v>
      </c>
      <c r="G139" s="124">
        <f t="shared" si="14"/>
        <v>0</v>
      </c>
      <c r="H139" s="111">
        <f>G139+'8'!H139</f>
        <v>1.3999999999941792</v>
      </c>
      <c r="I139" s="131">
        <f>G138+G139</f>
        <v>0</v>
      </c>
      <c r="J139" s="203">
        <f>H139/DAY(B2)</f>
        <v>0.1555555555549088</v>
      </c>
      <c r="N139" s="73">
        <v>9.7100000000064028</v>
      </c>
    </row>
    <row r="140" spans="1:14" ht="27.75">
      <c r="A140" s="771" t="s">
        <v>247</v>
      </c>
      <c r="B140" s="772"/>
      <c r="C140" s="772"/>
      <c r="D140" s="174" t="s">
        <v>238</v>
      </c>
      <c r="E140" s="135">
        <f>'8'!F140</f>
        <v>2389</v>
      </c>
      <c r="F140" s="277">
        <v>2398.84</v>
      </c>
      <c r="G140" s="124">
        <f t="shared" si="14"/>
        <v>9.8400000000001455</v>
      </c>
      <c r="H140" s="111">
        <f>G140+'8'!H140</f>
        <v>87.2800000000002</v>
      </c>
      <c r="I140" s="193"/>
      <c r="J140" s="203">
        <f>H140/DAY(B2)</f>
        <v>9.6977777777777998</v>
      </c>
      <c r="N140" s="73">
        <v>0</v>
      </c>
    </row>
    <row r="141" spans="1:14" ht="27.75">
      <c r="A141" s="771" t="s">
        <v>248</v>
      </c>
      <c r="B141" s="772"/>
      <c r="C141" s="772"/>
      <c r="D141" s="174" t="s">
        <v>238</v>
      </c>
      <c r="E141" s="135">
        <f>'8'!F141</f>
        <v>4753.67</v>
      </c>
      <c r="F141" s="129">
        <v>4753.67</v>
      </c>
      <c r="G141" s="124">
        <f t="shared" si="14"/>
        <v>0</v>
      </c>
      <c r="H141" s="111">
        <f>G141+'8'!H141</f>
        <v>-0.32999999999992724</v>
      </c>
      <c r="I141" s="193"/>
      <c r="J141" s="203">
        <f>H141/DAY(B2)</f>
        <v>-3.6666666666658583E-2</v>
      </c>
      <c r="N141" s="73">
        <v>3.6500000000000909</v>
      </c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5304</v>
      </c>
      <c r="H143" s="111">
        <f>G143+'8'!H143</f>
        <v>52610.699999999953</v>
      </c>
      <c r="I143" s="131"/>
      <c r="J143" s="203">
        <f>H143/DAY(B2)</f>
        <v>5845.6333333333278</v>
      </c>
      <c r="K143" s="71"/>
      <c r="L143" s="68"/>
      <c r="N143" s="73">
        <v>2912.0800000000163</v>
      </c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0.27451995238341703</v>
      </c>
      <c r="H144" s="111">
        <f>G144+'8'!H144</f>
        <v>2.3324472407232082</v>
      </c>
      <c r="I144" s="195"/>
      <c r="J144" s="203">
        <f>H144/DAY(B2)</f>
        <v>0.25916080452480089</v>
      </c>
      <c r="K144" s="71"/>
      <c r="L144" s="68"/>
      <c r="N144" s="73">
        <v>0.25636763799630391</v>
      </c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5620</v>
      </c>
      <c r="H145" s="111">
        <f>G145+'8'!H145</f>
        <v>63349</v>
      </c>
      <c r="I145" s="131"/>
      <c r="J145" s="203">
        <f>H145/DAY(B2)</f>
        <v>7038.7777777777774</v>
      </c>
      <c r="K145" s="71"/>
      <c r="L145" s="68"/>
      <c r="N145" s="73">
        <v>2876.3199999999779</v>
      </c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0.29087521349826612</v>
      </c>
      <c r="H146" s="111">
        <f>G146+'8'!H146</f>
        <v>2.7972032850316584</v>
      </c>
      <c r="I146" s="195"/>
      <c r="J146" s="203">
        <f>H146/DAY(B2)</f>
        <v>0.3108003650035176</v>
      </c>
      <c r="K146" s="71"/>
      <c r="L146" s="68"/>
      <c r="N146" s="73">
        <v>0.25321947354520452</v>
      </c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3904</v>
      </c>
      <c r="H147" s="111">
        <f>G147+'8'!H147</f>
        <v>33815.669999999984</v>
      </c>
      <c r="I147" s="196"/>
      <c r="J147" s="203">
        <f>H147/DAY(B2)</f>
        <v>3757.2966666666648</v>
      </c>
      <c r="K147" s="71"/>
      <c r="L147" s="68"/>
      <c r="N147" s="73">
        <v>2036.5859000000055</v>
      </c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0.20205993478598416</v>
      </c>
      <c r="H148" s="111">
        <f>G148+'8'!H148</f>
        <v>1.5052598588362796</v>
      </c>
      <c r="I148" s="196"/>
      <c r="J148" s="203">
        <f>H148/DAY(B2)</f>
        <v>0.16725109542625327</v>
      </c>
      <c r="N148" s="73">
        <v>0.17929271062593585</v>
      </c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1606</v>
      </c>
      <c r="H149" s="111">
        <f>G149+'8'!H149</f>
        <v>15329.069999999949</v>
      </c>
      <c r="I149" s="131"/>
      <c r="J149" s="203">
        <f>H149/DAY(B2)</f>
        <v>1703.2299999999943</v>
      </c>
      <c r="K149" s="72"/>
      <c r="N149" s="73">
        <v>1071.8899999999849</v>
      </c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8.3121991615340826E-2</v>
      </c>
      <c r="H150" s="111">
        <f>G150+'8'!H150</f>
        <v>0.68065515435800317</v>
      </c>
      <c r="I150" s="196"/>
      <c r="J150" s="203">
        <f>H150/DAY(B2)</f>
        <v>7.5628350484222576E-2</v>
      </c>
      <c r="N150" s="73">
        <v>9.4364820846904202E-2</v>
      </c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1651</v>
      </c>
      <c r="H151" s="111">
        <f>G151+'8'!H151</f>
        <v>17506</v>
      </c>
      <c r="I151" s="196"/>
      <c r="J151" s="203">
        <f>H151/DAY(B2)</f>
        <v>1945.1111111111111</v>
      </c>
      <c r="N151" s="73">
        <v>1124.1299999999901</v>
      </c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8.545106360954402E-2</v>
      </c>
      <c r="H152" s="111">
        <f>G152+'8'!H152</f>
        <v>0.77429842824737605</v>
      </c>
      <c r="I152" s="131"/>
      <c r="J152" s="203">
        <f>H152/DAY(B2)</f>
        <v>8.60331586941529E-2</v>
      </c>
      <c r="N152" s="73">
        <v>9.8963817237432E-2</v>
      </c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1498</v>
      </c>
      <c r="H153" s="111">
        <f>G153+'8'!H153</f>
        <v>14457.869999999995</v>
      </c>
      <c r="I153" s="131"/>
      <c r="J153" s="203">
        <f>H153/DAY(B2)</f>
        <v>1606.4299999999994</v>
      </c>
      <c r="N153" s="73">
        <v>1164.4599999999919</v>
      </c>
    </row>
    <row r="154" spans="1:14" ht="27" customHeight="1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7.7532218829253138E-2</v>
      </c>
      <c r="H154" s="111">
        <f>G154+'8'!H154</f>
        <v>0.64214403401585696</v>
      </c>
      <c r="I154" s="219"/>
      <c r="J154" s="220">
        <f>H154/DAY(B2)</f>
        <v>7.1349337112873001E-2</v>
      </c>
      <c r="N154" s="73">
        <v>0.10251430583678069</v>
      </c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10">
        <f>'8'!F161</f>
        <v>43967</v>
      </c>
      <c r="F161" s="309">
        <v>44042</v>
      </c>
      <c r="G161" s="124">
        <f t="shared" ref="G161:G175" si="15">F161-E161</f>
        <v>75</v>
      </c>
    </row>
    <row r="162" spans="1:7">
      <c r="A162" s="435" t="s">
        <v>263</v>
      </c>
      <c r="B162" s="436"/>
      <c r="C162" s="436"/>
      <c r="D162" s="162" t="s">
        <v>186</v>
      </c>
      <c r="E162" s="710">
        <f>'8'!F162</f>
        <v>125818</v>
      </c>
      <c r="F162" s="309">
        <v>126278</v>
      </c>
      <c r="G162" s="124">
        <f t="shared" si="15"/>
        <v>460</v>
      </c>
    </row>
    <row r="163" spans="1:7">
      <c r="A163" s="435" t="s">
        <v>264</v>
      </c>
      <c r="B163" s="436"/>
      <c r="C163" s="436"/>
      <c r="D163" s="162" t="s">
        <v>186</v>
      </c>
      <c r="E163" s="710">
        <f>'8'!F163</f>
        <v>59091</v>
      </c>
      <c r="F163" s="309">
        <v>59289</v>
      </c>
      <c r="G163" s="124">
        <f t="shared" si="15"/>
        <v>198</v>
      </c>
    </row>
    <row r="164" spans="1:7">
      <c r="A164" s="435" t="s">
        <v>265</v>
      </c>
      <c r="B164" s="436"/>
      <c r="C164" s="436"/>
      <c r="D164" s="162" t="s">
        <v>186</v>
      </c>
      <c r="E164" s="710">
        <f>'8'!F164</f>
        <v>7218</v>
      </c>
      <c r="F164" s="309">
        <v>7227</v>
      </c>
      <c r="G164" s="124">
        <f t="shared" si="15"/>
        <v>9</v>
      </c>
    </row>
    <row r="165" spans="1:7">
      <c r="A165" s="437" t="s">
        <v>97</v>
      </c>
      <c r="B165" s="255"/>
      <c r="C165" s="255"/>
      <c r="D165" s="162" t="s">
        <v>186</v>
      </c>
      <c r="E165" s="710">
        <f>'8'!F165</f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10">
        <f>'8'!F166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710">
        <f>'8'!F167</f>
        <v>184804</v>
      </c>
      <c r="F167" s="165">
        <f t="shared" si="16"/>
        <v>185185</v>
      </c>
      <c r="G167" s="124">
        <f t="shared" si="15"/>
        <v>381</v>
      </c>
    </row>
    <row r="168" spans="1:7" ht="27.75">
      <c r="A168" s="1187" t="s">
        <v>99</v>
      </c>
      <c r="B168" s="1187"/>
      <c r="C168" s="1187"/>
      <c r="D168" s="174" t="s">
        <v>186</v>
      </c>
      <c r="E168" s="710">
        <f>'8'!F168</f>
        <v>185364</v>
      </c>
      <c r="F168" s="165">
        <f t="shared" si="16"/>
        <v>185748</v>
      </c>
      <c r="G168" s="124">
        <f t="shared" si="15"/>
        <v>384</v>
      </c>
    </row>
    <row r="169" spans="1:7" ht="27.75">
      <c r="A169" s="1187" t="s">
        <v>100</v>
      </c>
      <c r="B169" s="1187"/>
      <c r="C169" s="1187"/>
      <c r="D169" s="174" t="s">
        <v>186</v>
      </c>
      <c r="E169" s="710">
        <f>'8'!F169</f>
        <v>83873</v>
      </c>
      <c r="F169" s="165">
        <f t="shared" si="16"/>
        <v>84301</v>
      </c>
      <c r="G169" s="124">
        <f t="shared" si="15"/>
        <v>428</v>
      </c>
    </row>
    <row r="170" spans="1:7" ht="27.75">
      <c r="A170" s="1187" t="s">
        <v>101</v>
      </c>
      <c r="B170" s="1187"/>
      <c r="C170" s="1187"/>
      <c r="D170" s="174" t="s">
        <v>186</v>
      </c>
      <c r="E170" s="710">
        <f>'8'!F170</f>
        <v>283962</v>
      </c>
      <c r="F170" s="165">
        <f t="shared" si="16"/>
        <v>284442</v>
      </c>
      <c r="G170" s="124">
        <f t="shared" si="15"/>
        <v>480</v>
      </c>
    </row>
    <row r="171" spans="1:7" ht="27.75">
      <c r="A171" s="1187" t="s">
        <v>102</v>
      </c>
      <c r="B171" s="1187"/>
      <c r="C171" s="1187"/>
      <c r="D171" s="174" t="s">
        <v>186</v>
      </c>
      <c r="E171" s="710">
        <f>'8'!F171</f>
        <v>85321</v>
      </c>
      <c r="F171" s="165">
        <f t="shared" si="16"/>
        <v>85321</v>
      </c>
      <c r="G171" s="124">
        <f t="shared" si="15"/>
        <v>0</v>
      </c>
    </row>
    <row r="172" spans="1:7" ht="31.5" customHeight="1">
      <c r="A172" s="1187" t="s">
        <v>103</v>
      </c>
      <c r="B172" s="1187"/>
      <c r="C172" s="1187"/>
      <c r="D172" s="174" t="s">
        <v>186</v>
      </c>
      <c r="E172" s="710">
        <f>'8'!F172</f>
        <v>99110</v>
      </c>
      <c r="F172" s="165">
        <f t="shared" si="16"/>
        <v>99434</v>
      </c>
      <c r="G172" s="124">
        <f t="shared" si="15"/>
        <v>324</v>
      </c>
    </row>
    <row r="173" spans="1:7">
      <c r="A173" s="1228" t="s">
        <v>338</v>
      </c>
      <c r="B173" s="1191"/>
      <c r="C173" s="436"/>
      <c r="D173" s="174" t="s">
        <v>186</v>
      </c>
      <c r="E173" s="183">
        <v>19158</v>
      </c>
      <c r="F173" s="183">
        <v>19161</v>
      </c>
      <c r="G173" s="124">
        <f t="shared" si="15"/>
        <v>3</v>
      </c>
    </row>
    <row r="174" spans="1:7">
      <c r="A174" s="1228" t="s">
        <v>338</v>
      </c>
      <c r="B174" s="1191"/>
      <c r="C174" s="436"/>
      <c r="D174" s="174" t="s">
        <v>186</v>
      </c>
      <c r="E174" s="183">
        <v>70584</v>
      </c>
      <c r="F174" s="183">
        <v>70591</v>
      </c>
      <c r="G174" s="124">
        <f t="shared" si="15"/>
        <v>7</v>
      </c>
    </row>
    <row r="175" spans="1:7">
      <c r="A175" s="1228" t="s">
        <v>339</v>
      </c>
      <c r="B175" s="1191"/>
      <c r="C175" s="436"/>
      <c r="D175" s="174" t="s">
        <v>186</v>
      </c>
      <c r="E175" s="183">
        <v>27837</v>
      </c>
      <c r="F175" s="183">
        <v>27842.5</v>
      </c>
      <c r="G175" s="124">
        <f t="shared" si="15"/>
        <v>5.5</v>
      </c>
    </row>
    <row r="177" spans="6:6" ht="18.75" customHeight="1"/>
    <row r="178" spans="6:6" ht="18.75" customHeight="1">
      <c r="F178" s="314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82" zoomScale="55" zoomScaleNormal="55" zoomScaleSheetLayoutView="55" workbookViewId="0">
      <selection activeCell="P11" sqref="P11"/>
    </sheetView>
  </sheetViews>
  <sheetFormatPr defaultColWidth="22.33203125" defaultRowHeight="29.2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367</v>
      </c>
      <c r="B2" s="682">
        <v>44418</v>
      </c>
      <c r="C2" s="773" t="s">
        <v>68</v>
      </c>
      <c r="D2" s="262">
        <v>0.88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>
      <c r="A3" s="221"/>
      <c r="B3" s="265"/>
      <c r="C3" s="773" t="s">
        <v>119</v>
      </c>
      <c r="D3" s="263">
        <v>28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1"/>
    </row>
    <row r="4" spans="1:16" s="57" customFormat="1" ht="27">
      <c r="A4" s="227"/>
      <c r="B4" s="267"/>
      <c r="C4" s="773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'9'!F7</f>
        <v>811195</v>
      </c>
      <c r="F7" s="106">
        <v>832843</v>
      </c>
      <c r="G7" s="329">
        <f>F7-E7</f>
        <v>21648</v>
      </c>
      <c r="H7" s="330">
        <f>G7+'9'!H7</f>
        <v>225021</v>
      </c>
      <c r="I7" s="331">
        <v>12000</v>
      </c>
      <c r="J7" s="332">
        <f>H7/DAY(B2)</f>
        <v>22502.1</v>
      </c>
      <c r="K7" s="200"/>
      <c r="L7" s="68"/>
      <c r="N7" s="362"/>
    </row>
    <row r="8" spans="1:16" ht="27.75" thickBot="1">
      <c r="A8" s="333" t="s">
        <v>132</v>
      </c>
      <c r="B8" s="334"/>
      <c r="C8" s="335"/>
      <c r="D8" s="336" t="s">
        <v>25</v>
      </c>
      <c r="E8" s="284">
        <f>'9'!F8</f>
        <v>821222</v>
      </c>
      <c r="F8" s="126">
        <v>842889</v>
      </c>
      <c r="G8" s="340">
        <f>F8-E8</f>
        <v>21667</v>
      </c>
      <c r="H8" s="330">
        <f>G8+'9'!H8</f>
        <v>227292</v>
      </c>
      <c r="I8" s="337">
        <v>12000</v>
      </c>
      <c r="J8" s="332">
        <f>H8/DAY(B2)</f>
        <v>22729.200000000001</v>
      </c>
      <c r="K8" s="200"/>
      <c r="L8" s="78"/>
      <c r="M8" s="91"/>
      <c r="N8" s="363"/>
    </row>
    <row r="9" spans="1:16">
      <c r="A9" s="338" t="s">
        <v>133</v>
      </c>
      <c r="B9" s="339"/>
      <c r="C9" s="339"/>
      <c r="D9" s="288" t="s">
        <v>131</v>
      </c>
      <c r="E9" s="284">
        <f>'9'!F9</f>
        <v>2894010</v>
      </c>
      <c r="F9" s="129">
        <v>2914930</v>
      </c>
      <c r="G9" s="353">
        <f t="shared" ref="G9:G12" si="0">F9-E9</f>
        <v>20920</v>
      </c>
      <c r="H9" s="330">
        <f>G9+'9'!H9</f>
        <v>218295</v>
      </c>
      <c r="I9" s="341">
        <f>I7-J7</f>
        <v>-10502.099999999999</v>
      </c>
      <c r="J9" s="332">
        <f>H9/DAY(B2)</f>
        <v>21829.5</v>
      </c>
      <c r="K9" s="81"/>
      <c r="L9" s="68"/>
      <c r="N9" s="364"/>
    </row>
    <row r="10" spans="1:16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370</v>
      </c>
    </row>
    <row r="12" spans="1:16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368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20920</v>
      </c>
      <c r="H13" s="330">
        <f>G13+'9'!H13</f>
        <v>196530.55</v>
      </c>
      <c r="I13" s="346">
        <f>G7-G13</f>
        <v>728</v>
      </c>
      <c r="J13" s="332">
        <f>H13/DAY(B2)</f>
        <v>19653.055</v>
      </c>
      <c r="K13" s="81"/>
      <c r="L13" s="68"/>
      <c r="N13" s="364"/>
      <c r="P13" s="67" t="s">
        <v>369</v>
      </c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>
      <c r="A15" s="443" t="s">
        <v>139</v>
      </c>
      <c r="B15" s="438"/>
      <c r="C15" s="438"/>
      <c r="D15" s="175" t="s">
        <v>140</v>
      </c>
      <c r="E15" s="136">
        <f>'9'!F15</f>
        <v>1737133</v>
      </c>
      <c r="F15" s="351">
        <v>1738040</v>
      </c>
      <c r="G15" s="315">
        <f>(F15-E15)</f>
        <v>907</v>
      </c>
      <c r="H15" s="137">
        <f>G15+'9'!H15</f>
        <v>8486</v>
      </c>
      <c r="I15" s="125">
        <v>800</v>
      </c>
      <c r="J15" s="204">
        <f>H15/DAY(B2)</f>
        <v>848.6</v>
      </c>
      <c r="K15" s="81"/>
      <c r="L15" s="68"/>
      <c r="N15" s="364"/>
    </row>
    <row r="16" spans="1:16">
      <c r="A16" s="441"/>
      <c r="B16" s="442"/>
      <c r="C16" s="442"/>
      <c r="D16" s="439"/>
      <c r="E16" s="440"/>
      <c r="F16" s="136"/>
      <c r="G16" s="320"/>
      <c r="H16" s="137"/>
      <c r="I16" s="133">
        <f>I15-J15</f>
        <v>-48.600000000000023</v>
      </c>
      <c r="J16" s="204"/>
      <c r="K16" s="81"/>
      <c r="L16" s="68"/>
      <c r="N16" s="364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>
      <c r="A18" s="1248" t="s">
        <v>142</v>
      </c>
      <c r="B18" s="1249"/>
      <c r="C18" s="1250"/>
      <c r="D18" s="288" t="s">
        <v>143</v>
      </c>
      <c r="E18" s="285">
        <f>'9'!F18</f>
        <v>16</v>
      </c>
      <c r="F18" s="129">
        <v>13</v>
      </c>
      <c r="G18" s="345">
        <f>F18*10</f>
        <v>130</v>
      </c>
      <c r="H18" s="330">
        <f>G18+'9'!H18</f>
        <v>1680</v>
      </c>
      <c r="I18" s="331">
        <v>65</v>
      </c>
      <c r="J18" s="332">
        <f>H18/DAY(B2)</f>
        <v>168</v>
      </c>
      <c r="K18" s="81"/>
      <c r="L18" s="68"/>
      <c r="N18" s="364"/>
    </row>
    <row r="19" spans="1:14" ht="27.75">
      <c r="A19" s="1248" t="s">
        <v>70</v>
      </c>
      <c r="B19" s="1249"/>
      <c r="C19" s="1250"/>
      <c r="D19" s="288" t="s">
        <v>143</v>
      </c>
      <c r="E19" s="285">
        <f>'9'!F19</f>
        <v>143941</v>
      </c>
      <c r="F19" s="129">
        <v>144008</v>
      </c>
      <c r="G19" s="340">
        <f t="shared" ref="G19" si="1">F19-E19</f>
        <v>67</v>
      </c>
      <c r="H19" s="330">
        <f>G19+'9'!H19</f>
        <v>618</v>
      </c>
      <c r="I19" s="347"/>
      <c r="J19" s="332">
        <f>H19/DAY(B2)</f>
        <v>61.8</v>
      </c>
      <c r="K19" s="81"/>
      <c r="L19" s="68"/>
      <c r="N19" s="364"/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197</v>
      </c>
      <c r="H20" s="330">
        <f>G20+'9'!H20</f>
        <v>2298</v>
      </c>
      <c r="I20" s="349">
        <f>I18-J20</f>
        <v>-164.8</v>
      </c>
      <c r="J20" s="332">
        <f>H20/DAY(B2)</f>
        <v>229.8</v>
      </c>
      <c r="K20" s="81"/>
      <c r="L20" s="68"/>
      <c r="N20" s="364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>
      <c r="A22" s="771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>
      <c r="A23" s="771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21667</v>
      </c>
      <c r="F27" s="152">
        <v>9</v>
      </c>
      <c r="G27" s="153">
        <f>E27*F27</f>
        <v>195003</v>
      </c>
      <c r="H27" s="111">
        <f>G27+'9'!H27</f>
        <v>2045628</v>
      </c>
      <c r="I27" s="154"/>
      <c r="J27" s="203">
        <f>H27/DAY(B2)</f>
        <v>204562.8</v>
      </c>
      <c r="K27" s="65"/>
      <c r="L27" s="94"/>
      <c r="N27" s="364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907</v>
      </c>
      <c r="F28" s="152">
        <v>54.5</v>
      </c>
      <c r="G28" s="153">
        <f>E28*F28</f>
        <v>49431.5</v>
      </c>
      <c r="H28" s="111">
        <f>G28+'9'!H28</f>
        <v>462487</v>
      </c>
      <c r="I28" s="156"/>
      <c r="J28" s="203">
        <f>H28/DAY(B2)</f>
        <v>46248.7</v>
      </c>
      <c r="K28" s="65"/>
      <c r="L28" s="94"/>
      <c r="N28" s="364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67</v>
      </c>
      <c r="F30" s="152">
        <v>146</v>
      </c>
      <c r="G30" s="153">
        <f>E30*F30</f>
        <v>9782</v>
      </c>
      <c r="H30" s="111">
        <f>G30+'9'!H30</f>
        <v>90228</v>
      </c>
      <c r="I30" s="156"/>
      <c r="J30" s="203">
        <f>H30/DAY(B2)</f>
        <v>9022.7999999999993</v>
      </c>
      <c r="K30" s="65"/>
      <c r="L30" s="94"/>
      <c r="N30" s="364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130</v>
      </c>
      <c r="F31" s="152">
        <v>80</v>
      </c>
      <c r="G31" s="153">
        <f>E31*F31</f>
        <v>10400</v>
      </c>
      <c r="H31" s="111">
        <f>G31+'9'!H31</f>
        <v>134400</v>
      </c>
      <c r="I31" s="156"/>
      <c r="J31" s="203">
        <f>H31/DAY(B2)</f>
        <v>13440</v>
      </c>
      <c r="K31" s="65"/>
      <c r="L31" s="94"/>
      <c r="N31" s="364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264616.5</v>
      </c>
      <c r="H32" s="111">
        <f>G32+'9'!H32</f>
        <v>2732743</v>
      </c>
      <c r="I32" s="160"/>
      <c r="J32" s="203">
        <f>H32/DAY(B2)</f>
        <v>273274.3</v>
      </c>
      <c r="K32" s="65"/>
      <c r="L32" s="94"/>
      <c r="N32" s="364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4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3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>
      <c r="A36" s="229" t="s">
        <v>164</v>
      </c>
      <c r="B36" s="230"/>
      <c r="C36" s="230"/>
      <c r="D36" s="174" t="s">
        <v>131</v>
      </c>
      <c r="E36" s="161">
        <f>'9'!F36</f>
        <v>53414</v>
      </c>
      <c r="F36" s="683">
        <v>54128</v>
      </c>
      <c r="G36" s="124">
        <f t="shared" si="3"/>
        <v>714</v>
      </c>
      <c r="H36" s="111">
        <f>G36+'9'!H36</f>
        <v>7330</v>
      </c>
      <c r="I36" s="106"/>
      <c r="J36" s="203">
        <f>H36/DAY(B2)</f>
        <v>733</v>
      </c>
      <c r="K36" s="81"/>
      <c r="L36" s="68"/>
      <c r="N36" s="365"/>
    </row>
    <row r="37" spans="1:14">
      <c r="A37" s="229" t="s">
        <v>165</v>
      </c>
      <c r="B37" s="230"/>
      <c r="C37" s="230"/>
      <c r="D37" s="174" t="s">
        <v>131</v>
      </c>
      <c r="E37" s="161">
        <f>'9'!F37</f>
        <v>240631</v>
      </c>
      <c r="F37" s="683">
        <v>242186</v>
      </c>
      <c r="G37" s="124">
        <f t="shared" si="3"/>
        <v>1555</v>
      </c>
      <c r="H37" s="111">
        <f>G37+'9'!H37</f>
        <v>16013</v>
      </c>
      <c r="I37" s="106"/>
      <c r="J37" s="203">
        <f>H37/DAY(B2)</f>
        <v>1601.3</v>
      </c>
      <c r="K37" s="81"/>
      <c r="L37" s="68"/>
      <c r="N37" s="365"/>
    </row>
    <row r="38" spans="1:14">
      <c r="A38" s="229" t="s">
        <v>166</v>
      </c>
      <c r="B38" s="230"/>
      <c r="C38" s="230"/>
      <c r="D38" s="174" t="s">
        <v>131</v>
      </c>
      <c r="E38" s="161">
        <f>'9'!F38</f>
        <v>263888</v>
      </c>
      <c r="F38" s="118">
        <v>265542</v>
      </c>
      <c r="G38" s="124">
        <f t="shared" si="3"/>
        <v>1654</v>
      </c>
      <c r="H38" s="111">
        <f>G38+'9'!H38</f>
        <v>16983</v>
      </c>
      <c r="I38" s="106"/>
      <c r="J38" s="203">
        <f>H38/DAY(B2)</f>
        <v>1698.3</v>
      </c>
      <c r="K38" s="81"/>
      <c r="L38" s="68"/>
      <c r="N38" s="364"/>
    </row>
    <row r="39" spans="1:14">
      <c r="A39" s="229" t="s">
        <v>167</v>
      </c>
      <c r="B39" s="230"/>
      <c r="C39" s="230"/>
      <c r="D39" s="174" t="s">
        <v>131</v>
      </c>
      <c r="E39" s="161">
        <f>'9'!F39</f>
        <v>554334</v>
      </c>
      <c r="F39" s="683">
        <v>558124</v>
      </c>
      <c r="G39" s="124">
        <f t="shared" si="3"/>
        <v>3790</v>
      </c>
      <c r="H39" s="111">
        <f>G39+'9'!H39</f>
        <v>37606</v>
      </c>
      <c r="I39" s="106"/>
      <c r="J39" s="203">
        <f>H39/DAY(B2)</f>
        <v>3760.6</v>
      </c>
      <c r="K39" s="81"/>
      <c r="L39" s="68"/>
      <c r="N39" s="364"/>
    </row>
    <row r="40" spans="1:14">
      <c r="A40" s="250" t="s">
        <v>168</v>
      </c>
      <c r="B40" s="251"/>
      <c r="C40" s="251"/>
      <c r="D40" s="174" t="s">
        <v>131</v>
      </c>
      <c r="E40" s="161">
        <f>'9'!F40</f>
        <v>24742</v>
      </c>
      <c r="F40" s="683">
        <v>25121</v>
      </c>
      <c r="G40" s="124">
        <f t="shared" si="3"/>
        <v>379</v>
      </c>
      <c r="H40" s="111">
        <f>G40+'9'!H40</f>
        <v>4948</v>
      </c>
      <c r="I40" s="106"/>
      <c r="J40" s="203">
        <f>H40/DAY(B2)</f>
        <v>494.8</v>
      </c>
      <c r="K40" s="82"/>
      <c r="L40" s="68"/>
      <c r="N40" s="364"/>
    </row>
    <row r="41" spans="1:14">
      <c r="A41" s="229" t="s">
        <v>169</v>
      </c>
      <c r="B41" s="230"/>
      <c r="C41" s="230"/>
      <c r="D41" s="174" t="s">
        <v>131</v>
      </c>
      <c r="E41" s="161">
        <f>'9'!F41</f>
        <v>376041</v>
      </c>
      <c r="F41" s="683">
        <v>381058</v>
      </c>
      <c r="G41" s="124">
        <f>F41-E41</f>
        <v>5017</v>
      </c>
      <c r="H41" s="111">
        <f>G41+'9'!H41</f>
        <v>14218</v>
      </c>
      <c r="I41" s="106"/>
      <c r="J41" s="203">
        <f>H41/DAY(B2)</f>
        <v>1421.8</v>
      </c>
      <c r="K41" s="81"/>
      <c r="L41" s="68"/>
      <c r="N41" s="364"/>
    </row>
    <row r="42" spans="1:14">
      <c r="A42" s="229" t="s">
        <v>170</v>
      </c>
      <c r="B42" s="230"/>
      <c r="C42" s="230"/>
      <c r="D42" s="174" t="s">
        <v>131</v>
      </c>
      <c r="E42" s="161">
        <f>'9'!F42</f>
        <v>147899</v>
      </c>
      <c r="F42" s="683">
        <v>147899</v>
      </c>
      <c r="G42" s="124">
        <f t="shared" si="3"/>
        <v>0</v>
      </c>
      <c r="H42" s="111">
        <f>G42+'9'!H42</f>
        <v>32387</v>
      </c>
      <c r="I42" s="106"/>
      <c r="J42" s="203">
        <f>H42/DAY(B2)</f>
        <v>3238.7</v>
      </c>
      <c r="K42" s="81"/>
      <c r="L42" s="68"/>
      <c r="N42" s="364"/>
    </row>
    <row r="43" spans="1:14">
      <c r="A43" s="229" t="s">
        <v>171</v>
      </c>
      <c r="B43" s="230"/>
      <c r="C43" s="230"/>
      <c r="D43" s="174" t="s">
        <v>131</v>
      </c>
      <c r="E43" s="161">
        <f>'9'!F43</f>
        <v>1229760</v>
      </c>
      <c r="F43" s="683">
        <v>1232710</v>
      </c>
      <c r="G43" s="124">
        <f t="shared" si="3"/>
        <v>2950</v>
      </c>
      <c r="H43" s="111">
        <f>G43+'9'!H43</f>
        <v>28249</v>
      </c>
      <c r="I43" s="106"/>
      <c r="J43" s="203">
        <f>H43/DAY(B2)</f>
        <v>2824.9</v>
      </c>
      <c r="K43" s="81"/>
      <c r="L43" s="68"/>
      <c r="N43" s="364"/>
    </row>
    <row r="44" spans="1:1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16059</v>
      </c>
      <c r="H47" s="111">
        <f>G47+'9'!H47</f>
        <v>158534.69999999995</v>
      </c>
      <c r="I47" s="106"/>
      <c r="J47" s="203">
        <f>H47/DAY(B2)</f>
        <v>15853.469999999996</v>
      </c>
      <c r="K47" s="81"/>
      <c r="L47" s="68"/>
      <c r="N47" s="364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>
      <c r="A49" s="229" t="s">
        <v>163</v>
      </c>
      <c r="B49" s="252"/>
      <c r="C49" s="252"/>
      <c r="D49" s="174" t="s">
        <v>131</v>
      </c>
      <c r="E49" s="161">
        <f>'9'!F49</f>
        <v>351400</v>
      </c>
      <c r="F49" s="161">
        <v>354350</v>
      </c>
      <c r="G49" s="124">
        <f t="shared" ref="G49:G58" si="4">F49-E49</f>
        <v>2950</v>
      </c>
      <c r="H49" s="111">
        <f>G49+'9'!H49</f>
        <v>30262</v>
      </c>
      <c r="I49" s="106"/>
      <c r="J49" s="203">
        <f>H49/DAY(B2)</f>
        <v>3026.2</v>
      </c>
      <c r="K49" s="81"/>
      <c r="L49" s="68"/>
      <c r="N49" s="364"/>
    </row>
    <row r="50" spans="1:14">
      <c r="A50" s="229" t="s">
        <v>177</v>
      </c>
      <c r="B50" s="252"/>
      <c r="C50" s="252"/>
      <c r="D50" s="174" t="s">
        <v>131</v>
      </c>
      <c r="E50" s="161">
        <f>'9'!F50</f>
        <v>580815</v>
      </c>
      <c r="F50" s="683">
        <v>581707</v>
      </c>
      <c r="G50" s="124">
        <f t="shared" si="4"/>
        <v>892</v>
      </c>
      <c r="H50" s="111">
        <f>G50+'9'!H50</f>
        <v>11782</v>
      </c>
      <c r="I50" s="106"/>
      <c r="J50" s="203">
        <f>H50/DAY(B2)</f>
        <v>1178.2</v>
      </c>
      <c r="K50" s="81"/>
      <c r="L50" s="68"/>
      <c r="N50" s="364"/>
    </row>
    <row r="51" spans="1:14">
      <c r="A51" s="229" t="s">
        <v>165</v>
      </c>
      <c r="B51" s="252"/>
      <c r="C51" s="252"/>
      <c r="D51" s="174" t="s">
        <v>131</v>
      </c>
      <c r="E51" s="161">
        <f>'9'!F51</f>
        <v>144639.87</v>
      </c>
      <c r="F51" s="161">
        <v>144639.87</v>
      </c>
      <c r="G51" s="124">
        <f t="shared" si="4"/>
        <v>0</v>
      </c>
      <c r="H51" s="111">
        <f>G51+'9'!H51</f>
        <v>-0.13000000000465661</v>
      </c>
      <c r="I51" s="106"/>
      <c r="J51" s="203">
        <f>H51/DAY(B2)</f>
        <v>-1.3000000000465662E-2</v>
      </c>
      <c r="K51" s="81"/>
      <c r="L51" s="68"/>
      <c r="N51" s="364"/>
    </row>
    <row r="52" spans="1:14">
      <c r="A52" s="229" t="s">
        <v>178</v>
      </c>
      <c r="B52" s="252"/>
      <c r="C52" s="252"/>
      <c r="D52" s="174" t="s">
        <v>131</v>
      </c>
      <c r="E52" s="161">
        <f>'9'!F52</f>
        <v>539606.06999999995</v>
      </c>
      <c r="F52" s="161">
        <v>539606.06999999995</v>
      </c>
      <c r="G52" s="124">
        <f t="shared" si="4"/>
        <v>0</v>
      </c>
      <c r="H52" s="111">
        <f>G52+'9'!H52</f>
        <v>6.9999999948777258E-2</v>
      </c>
      <c r="I52" s="106"/>
      <c r="J52" s="203">
        <f>H52/DAY(B2)</f>
        <v>6.999999994877726E-3</v>
      </c>
      <c r="K52" s="81"/>
      <c r="L52" s="68"/>
      <c r="N52" s="364"/>
    </row>
    <row r="53" spans="1:14">
      <c r="A53" s="229" t="s">
        <v>167</v>
      </c>
      <c r="B53" s="252"/>
      <c r="C53" s="252"/>
      <c r="D53" s="174" t="s">
        <v>131</v>
      </c>
      <c r="E53" s="161">
        <f>'9'!F53</f>
        <v>434231.67</v>
      </c>
      <c r="F53" s="161">
        <v>434232</v>
      </c>
      <c r="G53" s="124">
        <f t="shared" si="4"/>
        <v>0.33000000001629815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>
      <c r="A54" s="229" t="s">
        <v>179</v>
      </c>
      <c r="B54" s="252"/>
      <c r="C54" s="252"/>
      <c r="D54" s="174" t="s">
        <v>131</v>
      </c>
      <c r="E54" s="161">
        <f>'9'!F54</f>
        <v>14967</v>
      </c>
      <c r="F54" s="161">
        <v>14967</v>
      </c>
      <c r="G54" s="124">
        <f t="shared" si="4"/>
        <v>0</v>
      </c>
      <c r="H54" s="111">
        <f>G54+'9'!H54</f>
        <v>0</v>
      </c>
      <c r="I54" s="106"/>
      <c r="J54" s="203">
        <f>H54/DAY(B2)</f>
        <v>0</v>
      </c>
      <c r="K54" s="81"/>
      <c r="L54" s="68"/>
      <c r="N54" s="364"/>
    </row>
    <row r="55" spans="1:14">
      <c r="A55" s="229" t="s">
        <v>180</v>
      </c>
      <c r="B55" s="252"/>
      <c r="C55" s="252"/>
      <c r="D55" s="174" t="s">
        <v>131</v>
      </c>
      <c r="E55" s="161">
        <f>'9'!F55</f>
        <v>257336</v>
      </c>
      <c r="F55" s="304">
        <v>258848</v>
      </c>
      <c r="G55" s="303">
        <f t="shared" si="4"/>
        <v>1512</v>
      </c>
      <c r="H55" s="356">
        <f>G55+'9'!H55</f>
        <v>23174</v>
      </c>
      <c r="I55" s="357"/>
      <c r="J55" s="358">
        <f>H55/DAY(B2)</f>
        <v>2317.4</v>
      </c>
      <c r="K55" s="81"/>
      <c r="L55" s="68"/>
      <c r="N55" s="364"/>
    </row>
    <row r="56" spans="1:14">
      <c r="A56" s="229" t="s">
        <v>181</v>
      </c>
      <c r="B56" s="252"/>
      <c r="C56" s="252"/>
      <c r="D56" s="174" t="s">
        <v>182</v>
      </c>
      <c r="E56" s="161">
        <f>'9'!F56</f>
        <v>649460</v>
      </c>
      <c r="F56" s="304">
        <v>649471</v>
      </c>
      <c r="G56" s="124">
        <f t="shared" si="4"/>
        <v>11</v>
      </c>
      <c r="H56" s="111">
        <f>G56+'9'!H56</f>
        <v>110</v>
      </c>
      <c r="I56" s="106"/>
      <c r="J56" s="203">
        <f>H56/DAY(B2)</f>
        <v>11</v>
      </c>
      <c r="K56" s="80"/>
      <c r="L56" s="68"/>
      <c r="N56" s="364"/>
    </row>
    <row r="57" spans="1:1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>
      <c r="A58" s="229" t="s">
        <v>183</v>
      </c>
      <c r="B58" s="252"/>
      <c r="C58" s="252"/>
      <c r="D58" s="174" t="s">
        <v>131</v>
      </c>
      <c r="E58" s="161">
        <f>'9'!F58</f>
        <v>61555</v>
      </c>
      <c r="F58" s="304">
        <v>61767</v>
      </c>
      <c r="G58" s="124">
        <f t="shared" si="4"/>
        <v>212</v>
      </c>
      <c r="H58" s="111">
        <f>G58+'9'!H58</f>
        <v>2088</v>
      </c>
      <c r="I58" s="106"/>
      <c r="J58" s="203">
        <f>H58/DAY(B2)</f>
        <v>208.8</v>
      </c>
      <c r="K58" s="81"/>
      <c r="L58" s="68"/>
      <c r="N58" s="364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5577.3300000000163</v>
      </c>
      <c r="H59" s="111">
        <f>G59+'9'!H59</f>
        <v>67415.939999999944</v>
      </c>
      <c r="I59" s="106">
        <f>G7-G60</f>
        <v>11.669999999983702</v>
      </c>
      <c r="J59" s="203">
        <f>H59/DAY(B2)</f>
        <v>6741.5939999999946</v>
      </c>
      <c r="K59" s="81"/>
      <c r="L59" s="68"/>
      <c r="N59" s="364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21636.330000000016</v>
      </c>
      <c r="H60" s="111">
        <f>G60+'9'!H60</f>
        <v>225950.6399999999</v>
      </c>
      <c r="I60" s="106">
        <f>G13-G60</f>
        <v>-716.3300000000163</v>
      </c>
      <c r="J60" s="203">
        <f>H60/DAY(B2)</f>
        <v>22595.063999999991</v>
      </c>
      <c r="K60" s="81"/>
      <c r="L60" s="68"/>
      <c r="N60" s="364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>
      <c r="A63" s="254" t="s">
        <v>187</v>
      </c>
      <c r="B63" s="255"/>
      <c r="C63" s="255"/>
      <c r="D63" s="162" t="s">
        <v>186</v>
      </c>
      <c r="E63" s="165">
        <f>'9'!F63</f>
        <v>0</v>
      </c>
      <c r="F63" s="165">
        <v>0</v>
      </c>
      <c r="G63" s="124">
        <f t="shared" si="5"/>
        <v>0</v>
      </c>
      <c r="H63" s="111">
        <f>G63+'9'!H63</f>
        <v>0</v>
      </c>
      <c r="I63" s="166"/>
      <c r="J63" s="203">
        <f>H63/DAY(B2)</f>
        <v>0</v>
      </c>
      <c r="K63" s="81"/>
      <c r="L63" s="68"/>
      <c r="N63" s="364"/>
    </row>
    <row r="64" spans="1:14" ht="27.75">
      <c r="A64" s="1181" t="s">
        <v>98</v>
      </c>
      <c r="B64" s="1182"/>
      <c r="C64" s="1183"/>
      <c r="D64" s="174" t="s">
        <v>186</v>
      </c>
      <c r="E64" s="165">
        <f>'9'!F64</f>
        <v>185185</v>
      </c>
      <c r="F64" s="129">
        <v>185573</v>
      </c>
      <c r="G64" s="124">
        <f t="shared" si="5"/>
        <v>388</v>
      </c>
      <c r="H64" s="111">
        <f>G64+'9'!H64</f>
        <v>3713</v>
      </c>
      <c r="I64" s="131"/>
      <c r="J64" s="203">
        <f>H64/DAY(B2)</f>
        <v>371.3</v>
      </c>
      <c r="K64" s="81"/>
      <c r="L64" s="68"/>
      <c r="N64" s="364"/>
    </row>
    <row r="65" spans="1:14" ht="27.75">
      <c r="A65" s="1181" t="s">
        <v>99</v>
      </c>
      <c r="B65" s="1182"/>
      <c r="C65" s="1183"/>
      <c r="D65" s="174" t="s">
        <v>186</v>
      </c>
      <c r="E65" s="165">
        <f>'9'!F65</f>
        <v>185748</v>
      </c>
      <c r="F65" s="302">
        <v>186171</v>
      </c>
      <c r="G65" s="124">
        <f t="shared" si="5"/>
        <v>423</v>
      </c>
      <c r="H65" s="111">
        <f>G65+'9'!H65</f>
        <v>3962</v>
      </c>
      <c r="I65" s="140"/>
      <c r="J65" s="203">
        <f>H65/DAY(B2)</f>
        <v>396.2</v>
      </c>
      <c r="K65" s="81"/>
      <c r="L65" s="68"/>
      <c r="N65" s="364"/>
    </row>
    <row r="66" spans="1:14" ht="27.75">
      <c r="A66" s="1181" t="s">
        <v>100</v>
      </c>
      <c r="B66" s="1182"/>
      <c r="C66" s="1183"/>
      <c r="D66" s="174" t="s">
        <v>186</v>
      </c>
      <c r="E66" s="165">
        <f>'9'!F66</f>
        <v>84301</v>
      </c>
      <c r="F66" s="129">
        <v>84758</v>
      </c>
      <c r="G66" s="124">
        <f t="shared" si="5"/>
        <v>457</v>
      </c>
      <c r="H66" s="111">
        <f>G66+'9'!H66</f>
        <v>4086</v>
      </c>
      <c r="I66" s="131"/>
      <c r="J66" s="203">
        <f>H66/DAY(B2)</f>
        <v>408.6</v>
      </c>
      <c r="K66" s="81"/>
      <c r="L66" s="68"/>
      <c r="N66" s="364"/>
    </row>
    <row r="67" spans="1:14" ht="27.75">
      <c r="A67" s="1181" t="s">
        <v>101</v>
      </c>
      <c r="B67" s="1182"/>
      <c r="C67" s="1183"/>
      <c r="D67" s="174" t="s">
        <v>186</v>
      </c>
      <c r="E67" s="165">
        <f>'9'!F67</f>
        <v>284442</v>
      </c>
      <c r="F67" s="129">
        <v>284900</v>
      </c>
      <c r="G67" s="124">
        <f t="shared" si="5"/>
        <v>458</v>
      </c>
      <c r="H67" s="111">
        <f>G67+'9'!H67</f>
        <v>4842</v>
      </c>
      <c r="I67" s="140"/>
      <c r="J67" s="203">
        <f>H67/DAY(B2)</f>
        <v>484.2</v>
      </c>
      <c r="K67" s="82"/>
      <c r="L67" s="68"/>
      <c r="N67" s="364"/>
    </row>
    <row r="68" spans="1:14" ht="27.75">
      <c r="A68" s="1181" t="s">
        <v>102</v>
      </c>
      <c r="B68" s="1182"/>
      <c r="C68" s="1183"/>
      <c r="D68" s="174" t="s">
        <v>186</v>
      </c>
      <c r="E68" s="165">
        <f>'9'!F68</f>
        <v>85321</v>
      </c>
      <c r="F68" s="129">
        <v>85321</v>
      </c>
      <c r="G68" s="124">
        <f t="shared" si="5"/>
        <v>0</v>
      </c>
      <c r="H68" s="111">
        <f>G68+'9'!H68</f>
        <v>0</v>
      </c>
      <c r="I68" s="167"/>
      <c r="J68" s="203">
        <f>H68/DAY(B2)</f>
        <v>0</v>
      </c>
      <c r="K68" s="83"/>
      <c r="L68" s="68"/>
      <c r="N68" s="364"/>
    </row>
    <row r="69" spans="1:14" ht="27.75">
      <c r="A69" s="1181" t="s">
        <v>103</v>
      </c>
      <c r="B69" s="1182"/>
      <c r="C69" s="1183"/>
      <c r="D69" s="174" t="s">
        <v>186</v>
      </c>
      <c r="E69" s="165">
        <f>'9'!F69</f>
        <v>99434</v>
      </c>
      <c r="F69" s="129">
        <v>99757</v>
      </c>
      <c r="G69" s="124">
        <f t="shared" si="5"/>
        <v>323</v>
      </c>
      <c r="H69" s="111">
        <f>G69+'9'!H69</f>
        <v>3200</v>
      </c>
      <c r="I69" s="167"/>
      <c r="J69" s="203">
        <f>H69/DAY(B2)</f>
        <v>320</v>
      </c>
      <c r="K69" s="84"/>
      <c r="L69" s="68"/>
      <c r="N69" s="364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4"/>
    </row>
    <row r="72" spans="1:14" ht="27.75">
      <c r="A72" s="1181" t="s">
        <v>190</v>
      </c>
      <c r="B72" s="1182"/>
      <c r="C72" s="1183"/>
      <c r="D72" s="174" t="s">
        <v>186</v>
      </c>
      <c r="E72" s="170">
        <f>'9'!F72</f>
        <v>856729</v>
      </c>
      <c r="F72" s="305">
        <v>856743</v>
      </c>
      <c r="G72" s="124">
        <f t="shared" ref="G72:G84" si="6">F72-E72</f>
        <v>14</v>
      </c>
      <c r="H72" s="111">
        <f>G72+'9'!H72</f>
        <v>134</v>
      </c>
      <c r="I72" s="131"/>
      <c r="J72" s="203">
        <f>H72/DAY(B2)</f>
        <v>13.4</v>
      </c>
      <c r="K72" s="84"/>
      <c r="L72" s="68"/>
      <c r="N72" s="364"/>
    </row>
    <row r="73" spans="1:14" ht="27.75">
      <c r="A73" s="1181" t="s">
        <v>191</v>
      </c>
      <c r="B73" s="1182"/>
      <c r="C73" s="1183"/>
      <c r="D73" s="174" t="s">
        <v>186</v>
      </c>
      <c r="E73" s="170">
        <f>'9'!F73</f>
        <v>886024</v>
      </c>
      <c r="F73" s="306">
        <v>886025</v>
      </c>
      <c r="G73" s="303">
        <f t="shared" si="6"/>
        <v>1</v>
      </c>
      <c r="H73" s="111">
        <f>G73+'9'!H73</f>
        <v>12</v>
      </c>
      <c r="I73" s="131"/>
      <c r="J73" s="203">
        <f>H73/DAY(B2)</f>
        <v>1.2</v>
      </c>
      <c r="K73" s="83"/>
      <c r="L73" s="68"/>
      <c r="N73" s="364"/>
    </row>
    <row r="74" spans="1:14" ht="27.75">
      <c r="A74" s="1181" t="s">
        <v>192</v>
      </c>
      <c r="B74" s="1182"/>
      <c r="C74" s="1183"/>
      <c r="D74" s="174" t="s">
        <v>186</v>
      </c>
      <c r="E74" s="170">
        <f>'9'!F74</f>
        <v>88742.5</v>
      </c>
      <c r="F74" s="305">
        <v>88742.5</v>
      </c>
      <c r="G74" s="124">
        <f t="shared" si="6"/>
        <v>0</v>
      </c>
      <c r="H74" s="111">
        <f>G74+'9'!H74</f>
        <v>9.5</v>
      </c>
      <c r="I74" s="131"/>
      <c r="J74" s="203">
        <f>H74/DAY(B2)</f>
        <v>0.95</v>
      </c>
      <c r="K74" s="84"/>
      <c r="L74" s="68"/>
      <c r="N74" s="364"/>
    </row>
    <row r="75" spans="1:14" ht="27.75">
      <c r="A75" s="1184" t="s">
        <v>193</v>
      </c>
      <c r="B75" s="1185"/>
      <c r="C75" s="1186"/>
      <c r="D75" s="174" t="s">
        <v>186</v>
      </c>
      <c r="E75" s="170">
        <f>'9'!F75</f>
        <v>22440</v>
      </c>
      <c r="F75" s="306">
        <v>22603</v>
      </c>
      <c r="G75" s="124">
        <f t="shared" si="6"/>
        <v>163</v>
      </c>
      <c r="H75" s="111">
        <f>G75+'9'!H75</f>
        <v>1656</v>
      </c>
      <c r="I75" s="131"/>
      <c r="J75" s="203">
        <f>H75/DAY(B2)</f>
        <v>165.6</v>
      </c>
      <c r="K75" s="83"/>
      <c r="L75" s="68"/>
      <c r="N75" s="364"/>
    </row>
    <row r="76" spans="1:14" ht="27.75">
      <c r="A76" s="1184" t="s">
        <v>194</v>
      </c>
      <c r="B76" s="1185"/>
      <c r="C76" s="1186"/>
      <c r="D76" s="174" t="s">
        <v>186</v>
      </c>
      <c r="E76" s="170">
        <f>'9'!F76</f>
        <v>11904</v>
      </c>
      <c r="F76" s="306">
        <v>11958</v>
      </c>
      <c r="G76" s="124">
        <f t="shared" si="6"/>
        <v>54</v>
      </c>
      <c r="H76" s="111">
        <f>G76+'9'!H76</f>
        <v>531</v>
      </c>
      <c r="I76" s="156"/>
      <c r="J76" s="203">
        <f>H76/DAY(B2)</f>
        <v>53.1</v>
      </c>
      <c r="K76" s="83"/>
      <c r="L76" s="68"/>
      <c r="N76" s="364"/>
    </row>
    <row r="77" spans="1:14" ht="27.75">
      <c r="A77" s="1181" t="s">
        <v>195</v>
      </c>
      <c r="B77" s="1182"/>
      <c r="C77" s="1183"/>
      <c r="D77" s="174" t="s">
        <v>186</v>
      </c>
      <c r="E77" s="170">
        <f>'9'!F77</f>
        <v>707078</v>
      </c>
      <c r="F77" s="306">
        <v>707131</v>
      </c>
      <c r="G77" s="303">
        <f t="shared" si="6"/>
        <v>53</v>
      </c>
      <c r="H77" s="111">
        <f>G77+'9'!H77</f>
        <v>678</v>
      </c>
      <c r="I77" s="156"/>
      <c r="J77" s="203">
        <f>H77/DAY(B2)</f>
        <v>67.8</v>
      </c>
      <c r="K77" s="83"/>
      <c r="L77" s="68"/>
      <c r="N77" s="364"/>
    </row>
    <row r="78" spans="1:14" ht="27.75">
      <c r="A78" s="774" t="s">
        <v>196</v>
      </c>
      <c r="B78" s="766"/>
      <c r="C78" s="766"/>
      <c r="D78" s="174" t="s">
        <v>186</v>
      </c>
      <c r="E78" s="170">
        <f>'9'!F78</f>
        <v>679975</v>
      </c>
      <c r="F78" s="307">
        <v>680037</v>
      </c>
      <c r="G78" s="124">
        <f t="shared" si="6"/>
        <v>62</v>
      </c>
      <c r="H78" s="111">
        <f>G78+'9'!H78</f>
        <v>1184</v>
      </c>
      <c r="I78" s="156"/>
      <c r="J78" s="203">
        <f>H78/DAY(B2)</f>
        <v>118.4</v>
      </c>
      <c r="K78" s="83"/>
      <c r="L78" s="68"/>
      <c r="N78" s="364"/>
    </row>
    <row r="79" spans="1:14" ht="27.75">
      <c r="A79" s="1184" t="s">
        <v>91</v>
      </c>
      <c r="B79" s="1185"/>
      <c r="C79" s="1186"/>
      <c r="D79" s="175" t="s">
        <v>186</v>
      </c>
      <c r="E79" s="170">
        <f>'9'!F79</f>
        <v>841587</v>
      </c>
      <c r="F79" s="307">
        <v>841736</v>
      </c>
      <c r="G79" s="124">
        <f t="shared" si="6"/>
        <v>149</v>
      </c>
      <c r="H79" s="111">
        <f>G79+'9'!H79</f>
        <v>1521</v>
      </c>
      <c r="I79" s="156"/>
      <c r="J79" s="203">
        <f>H79/DAY(B2)</f>
        <v>152.1</v>
      </c>
      <c r="K79" s="83"/>
      <c r="L79" s="68"/>
      <c r="N79" s="364"/>
    </row>
    <row r="80" spans="1:14" ht="27.75">
      <c r="A80" s="1184" t="s">
        <v>197</v>
      </c>
      <c r="B80" s="1185"/>
      <c r="C80" s="1186"/>
      <c r="D80" s="175" t="s">
        <v>186</v>
      </c>
      <c r="E80" s="170">
        <f>'9'!F80</f>
        <v>555582</v>
      </c>
      <c r="F80" s="306">
        <v>555975</v>
      </c>
      <c r="G80" s="124">
        <f>F80-E80</f>
        <v>393</v>
      </c>
      <c r="H80" s="111">
        <f>G80+'9'!H80</f>
        <v>4023</v>
      </c>
      <c r="I80" s="156"/>
      <c r="J80" s="203">
        <f>H80/DAY(B2)</f>
        <v>402.3</v>
      </c>
      <c r="K80" s="83"/>
      <c r="L80" s="68"/>
      <c r="N80" s="364"/>
    </row>
    <row r="81" spans="1:15" ht="27.75">
      <c r="A81" s="1184" t="s">
        <v>198</v>
      </c>
      <c r="B81" s="1185"/>
      <c r="C81" s="1186"/>
      <c r="D81" s="175" t="s">
        <v>186</v>
      </c>
      <c r="E81" s="170">
        <f>'9'!F81</f>
        <v>650491</v>
      </c>
      <c r="F81" s="306">
        <v>650649</v>
      </c>
      <c r="G81" s="124">
        <f t="shared" si="6"/>
        <v>158</v>
      </c>
      <c r="H81" s="111">
        <f>G81+'9'!H81</f>
        <v>1631</v>
      </c>
      <c r="I81" s="156"/>
      <c r="J81" s="203">
        <f>H81/DAY(B2)</f>
        <v>163.1</v>
      </c>
      <c r="K81" s="83"/>
      <c r="L81" s="68"/>
      <c r="N81" s="364"/>
    </row>
    <row r="82" spans="1:15" ht="27.75">
      <c r="A82" s="1184" t="s">
        <v>92</v>
      </c>
      <c r="B82" s="1185"/>
      <c r="C82" s="1186"/>
      <c r="D82" s="136" t="s">
        <v>131</v>
      </c>
      <c r="E82" s="170">
        <f>'9'!F82</f>
        <v>109504</v>
      </c>
      <c r="F82" s="302">
        <v>109530</v>
      </c>
      <c r="G82" s="124">
        <f t="shared" si="6"/>
        <v>26</v>
      </c>
      <c r="H82" s="111">
        <f>G82+'9'!H82</f>
        <v>194</v>
      </c>
      <c r="I82" s="137"/>
      <c r="J82" s="203">
        <f>H82/DAY(B2)</f>
        <v>19.399999999999999</v>
      </c>
      <c r="K82" s="83"/>
      <c r="L82" s="68"/>
      <c r="N82" s="364"/>
    </row>
    <row r="83" spans="1:15" ht="27.75">
      <c r="A83" s="1184" t="s">
        <v>199</v>
      </c>
      <c r="B83" s="1185"/>
      <c r="C83" s="1186"/>
      <c r="D83" s="271" t="s">
        <v>131</v>
      </c>
      <c r="E83" s="170">
        <f>'9'!F83</f>
        <v>37883</v>
      </c>
      <c r="F83" s="162">
        <v>38172</v>
      </c>
      <c r="G83" s="124">
        <f t="shared" si="6"/>
        <v>289</v>
      </c>
      <c r="H83" s="111">
        <f>G83+'9'!H83</f>
        <v>3147</v>
      </c>
      <c r="I83" s="132"/>
      <c r="J83" s="203">
        <f>H83/DAY(B2)</f>
        <v>314.7</v>
      </c>
      <c r="K83" s="82"/>
      <c r="L83" s="68"/>
      <c r="N83" s="364"/>
    </row>
    <row r="84" spans="1:15">
      <c r="A84" s="775" t="s">
        <v>200</v>
      </c>
      <c r="B84" s="222"/>
      <c r="C84" s="222"/>
      <c r="D84" s="129" t="s">
        <v>131</v>
      </c>
      <c r="E84" s="170">
        <f>'9'!F84</f>
        <v>554281</v>
      </c>
      <c r="F84" s="278">
        <v>555030</v>
      </c>
      <c r="G84" s="124">
        <f t="shared" si="6"/>
        <v>749</v>
      </c>
      <c r="H84" s="111">
        <f>G84+'9'!H84</f>
        <v>7637</v>
      </c>
      <c r="I84" s="132"/>
      <c r="J84" s="203">
        <f>H84/DAY(B2)</f>
        <v>763.7</v>
      </c>
      <c r="K84" s="71"/>
      <c r="L84" s="68"/>
      <c r="N84" s="364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2111</v>
      </c>
      <c r="H85" s="111">
        <f>G85+'9'!H85</f>
        <v>22357.5</v>
      </c>
      <c r="I85" s="132"/>
      <c r="J85" s="203">
        <f>H85/DAY(B2)</f>
        <v>2235.75</v>
      </c>
      <c r="K85" s="71"/>
      <c r="L85" s="69"/>
      <c r="N85" s="364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'9'!F86</f>
        <v>463038</v>
      </c>
      <c r="F86" s="298">
        <v>463063</v>
      </c>
      <c r="G86" s="356">
        <f t="shared" ref="G86:G91" si="7">F86-E86</f>
        <v>25</v>
      </c>
      <c r="H86" s="111">
        <f>G86+'9'!H86</f>
        <v>50.960000000020955</v>
      </c>
      <c r="I86" s="303"/>
      <c r="J86" s="358">
        <f>H86/DAY(B2)</f>
        <v>5.0960000000020953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'9'!F87</f>
        <v>83216.5</v>
      </c>
      <c r="F87" s="298">
        <v>83251</v>
      </c>
      <c r="G87" s="356">
        <f t="shared" si="7"/>
        <v>34.5</v>
      </c>
      <c r="H87" s="111">
        <f>G87+'9'!H87</f>
        <v>91</v>
      </c>
      <c r="I87" s="303"/>
      <c r="J87" s="358">
        <f>H87/DAY(B2)</f>
        <v>9.1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'9'!F89</f>
        <v>67500</v>
      </c>
      <c r="F89" s="298">
        <v>67583</v>
      </c>
      <c r="G89" s="356">
        <f t="shared" si="7"/>
        <v>83</v>
      </c>
      <c r="H89" s="111">
        <f>G89+'9'!H89</f>
        <v>214.5</v>
      </c>
      <c r="I89" s="303"/>
      <c r="J89" s="358">
        <f>H89/DAY(B2)</f>
        <v>21.45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'9'!F90</f>
        <v>3498</v>
      </c>
      <c r="F90" s="298">
        <v>3503</v>
      </c>
      <c r="G90" s="356">
        <f t="shared" si="7"/>
        <v>5</v>
      </c>
      <c r="H90" s="111">
        <f>G90+'9'!H90</f>
        <v>11.599999999999909</v>
      </c>
      <c r="I90" s="303"/>
      <c r="J90" s="358">
        <f>H90/DAY(B2)</f>
        <v>1.1599999999999908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78">
        <f>'9'!F91</f>
        <v>28573</v>
      </c>
      <c r="F91" s="298">
        <v>28583</v>
      </c>
      <c r="G91" s="356">
        <f t="shared" si="7"/>
        <v>10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>
      <c r="A93" s="1200" t="s">
        <v>205</v>
      </c>
      <c r="B93" s="1201"/>
      <c r="C93" s="1202"/>
      <c r="D93" s="174" t="s">
        <v>143</v>
      </c>
      <c r="E93" s="135">
        <f>'9'!F93</f>
        <v>251292</v>
      </c>
      <c r="F93" s="129">
        <v>251379</v>
      </c>
      <c r="G93" s="124">
        <f t="shared" ref="G93:G94" si="8">F93-E93</f>
        <v>87</v>
      </c>
      <c r="H93" s="111">
        <f>G93+'9'!H93</f>
        <v>1065</v>
      </c>
      <c r="I93" s="131"/>
      <c r="J93" s="203">
        <f>H93/DAY(B2)</f>
        <v>106.5</v>
      </c>
      <c r="K93" s="82"/>
      <c r="L93" s="68"/>
      <c r="N93" s="364"/>
    </row>
    <row r="94" spans="1:15" ht="27.75">
      <c r="A94" s="1200" t="s">
        <v>206</v>
      </c>
      <c r="B94" s="1201"/>
      <c r="C94" s="1202"/>
      <c r="D94" s="174" t="s">
        <v>143</v>
      </c>
      <c r="E94" s="135">
        <f>'9'!F94</f>
        <v>194333</v>
      </c>
      <c r="F94" s="129">
        <v>194518</v>
      </c>
      <c r="G94" s="124">
        <f t="shared" si="8"/>
        <v>185</v>
      </c>
      <c r="H94" s="111">
        <f>G94+'9'!H94</f>
        <v>1620</v>
      </c>
      <c r="I94" s="131"/>
      <c r="J94" s="203">
        <f>H94/DAY(B2)</f>
        <v>162</v>
      </c>
      <c r="K94" s="71"/>
      <c r="L94" s="68"/>
      <c r="N94" s="364"/>
    </row>
    <row r="95" spans="1:15">
      <c r="A95" s="1232" t="s">
        <v>207</v>
      </c>
      <c r="B95" s="1233"/>
      <c r="C95" s="1234"/>
      <c r="D95" s="174"/>
      <c r="E95" s="135"/>
      <c r="F95" s="129"/>
      <c r="G95" s="124">
        <f>G93+G94</f>
        <v>272</v>
      </c>
      <c r="H95" s="111">
        <f>G95+'9'!H95</f>
        <v>2379</v>
      </c>
      <c r="I95" s="131"/>
      <c r="J95" s="203">
        <f>H95/DAY(B2)</f>
        <v>237.9</v>
      </c>
      <c r="K95" s="71"/>
      <c r="L95" s="68"/>
      <c r="N95" s="364"/>
    </row>
    <row r="96" spans="1:15" ht="27.75">
      <c r="A96" s="1200" t="s">
        <v>208</v>
      </c>
      <c r="B96" s="1201"/>
      <c r="C96" s="1202"/>
      <c r="D96" s="174" t="s">
        <v>143</v>
      </c>
      <c r="E96" s="135">
        <f>'9'!F96</f>
        <v>419270</v>
      </c>
      <c r="F96" s="129">
        <v>419346</v>
      </c>
      <c r="G96" s="124">
        <f t="shared" ref="G96:G101" si="9">F96-E96</f>
        <v>76</v>
      </c>
      <c r="H96" s="111">
        <f>G96+'9'!H96</f>
        <v>810</v>
      </c>
      <c r="I96" s="131"/>
      <c r="J96" s="203">
        <f>H96/DAY(B2)</f>
        <v>81</v>
      </c>
      <c r="K96" s="71"/>
      <c r="L96" s="68"/>
      <c r="N96" s="364"/>
    </row>
    <row r="97" spans="1:14" ht="27.75">
      <c r="A97" s="771" t="s">
        <v>209</v>
      </c>
      <c r="B97" s="772"/>
      <c r="C97" s="772"/>
      <c r="D97" s="174" t="s">
        <v>143</v>
      </c>
      <c r="E97" s="135">
        <f>'9'!F97</f>
        <v>104088</v>
      </c>
      <c r="F97" s="129">
        <v>104111</v>
      </c>
      <c r="G97" s="124">
        <f t="shared" si="9"/>
        <v>23</v>
      </c>
      <c r="H97" s="111">
        <f>G97+'9'!H97</f>
        <v>262</v>
      </c>
      <c r="I97" s="131"/>
      <c r="J97" s="203">
        <f>H97/DAY(B2)</f>
        <v>26.2</v>
      </c>
      <c r="K97" s="80"/>
      <c r="L97" s="68"/>
      <c r="N97" s="364"/>
    </row>
    <row r="98" spans="1:14" ht="27.75">
      <c r="A98" s="771" t="s">
        <v>210</v>
      </c>
      <c r="B98" s="772"/>
      <c r="C98" s="772"/>
      <c r="D98" s="174" t="s">
        <v>143</v>
      </c>
      <c r="E98" s="135">
        <f>'9'!F98</f>
        <v>99724</v>
      </c>
      <c r="F98" s="129">
        <v>99744</v>
      </c>
      <c r="G98" s="124">
        <f t="shared" si="9"/>
        <v>20</v>
      </c>
      <c r="H98" s="111">
        <f>G98+'9'!H98</f>
        <v>296</v>
      </c>
      <c r="I98" s="131"/>
      <c r="J98" s="203">
        <f>H98/DAY(B2)</f>
        <v>29.6</v>
      </c>
      <c r="K98" s="85"/>
      <c r="L98" s="68"/>
      <c r="N98" s="364"/>
    </row>
    <row r="99" spans="1:14" ht="27.75">
      <c r="A99" s="771" t="s">
        <v>211</v>
      </c>
      <c r="B99" s="772"/>
      <c r="C99" s="772"/>
      <c r="D99" s="174" t="s">
        <v>143</v>
      </c>
      <c r="E99" s="135">
        <f>'9'!F99</f>
        <v>151475</v>
      </c>
      <c r="F99" s="129">
        <v>151493</v>
      </c>
      <c r="G99" s="124">
        <f t="shared" si="9"/>
        <v>18</v>
      </c>
      <c r="H99" s="111">
        <f>G99+'9'!H99</f>
        <v>242</v>
      </c>
      <c r="I99" s="131"/>
      <c r="J99" s="203">
        <f>H99/DAY(B2)</f>
        <v>24.2</v>
      </c>
      <c r="K99" s="71"/>
      <c r="L99" s="68"/>
      <c r="N99" s="366"/>
    </row>
    <row r="100" spans="1:14" ht="27.75">
      <c r="A100" s="771" t="s">
        <v>212</v>
      </c>
      <c r="B100" s="772"/>
      <c r="C100" s="772"/>
      <c r="D100" s="174" t="s">
        <v>143</v>
      </c>
      <c r="E100" s="135">
        <f>'9'!F100</f>
        <v>8337</v>
      </c>
      <c r="F100" s="129">
        <v>8355</v>
      </c>
      <c r="G100" s="124">
        <f t="shared" si="9"/>
        <v>18</v>
      </c>
      <c r="H100" s="111">
        <f>G100+'9'!H100</f>
        <v>190</v>
      </c>
      <c r="I100" s="131"/>
      <c r="J100" s="203">
        <f>H100/DAY(B2)</f>
        <v>19</v>
      </c>
      <c r="K100" s="71"/>
      <c r="L100" s="68"/>
      <c r="N100" s="364"/>
    </row>
    <row r="101" spans="1:14" ht="27.75">
      <c r="A101" s="771" t="s">
        <v>213</v>
      </c>
      <c r="B101" s="772"/>
      <c r="C101" s="772"/>
      <c r="D101" s="174" t="s">
        <v>143</v>
      </c>
      <c r="E101" s="135">
        <f>'9'!F101</f>
        <v>6095</v>
      </c>
      <c r="F101" s="129">
        <v>6107</v>
      </c>
      <c r="G101" s="124">
        <f t="shared" si="9"/>
        <v>12</v>
      </c>
      <c r="H101" s="111">
        <f>G101+'9'!H101</f>
        <v>116</v>
      </c>
      <c r="I101" s="131"/>
      <c r="J101" s="203">
        <f>H101/DAY(B2)</f>
        <v>11.6</v>
      </c>
      <c r="K101" s="71"/>
      <c r="L101" s="68"/>
      <c r="N101" s="364"/>
    </row>
    <row r="102" spans="1:14">
      <c r="A102" s="1232" t="s">
        <v>215</v>
      </c>
      <c r="B102" s="1233"/>
      <c r="C102" s="1234"/>
      <c r="D102" s="175"/>
      <c r="E102" s="135"/>
      <c r="F102" s="175"/>
      <c r="G102" s="176">
        <f>SUM(G96:G101)</f>
        <v>167</v>
      </c>
      <c r="H102" s="111">
        <f>G102+'9'!H102</f>
        <v>1916</v>
      </c>
      <c r="I102" s="177"/>
      <c r="J102" s="203">
        <f>H102/DAY(B2)</f>
        <v>191.6</v>
      </c>
      <c r="K102" s="71"/>
      <c r="L102" s="68"/>
      <c r="N102" s="364"/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35">
        <f>'9'!F105</f>
        <v>7937</v>
      </c>
      <c r="F105" s="309">
        <v>7937</v>
      </c>
      <c r="G105" s="124">
        <f t="shared" ref="G105" si="10">F105-E105</f>
        <v>0</v>
      </c>
      <c r="H105" s="111">
        <f>G105+'9'!H105</f>
        <v>300</v>
      </c>
      <c r="I105" s="183"/>
      <c r="J105" s="209">
        <f>H105/DAY(B2)</f>
        <v>30</v>
      </c>
      <c r="N105" s="364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35">
        <f>'9'!F106</f>
        <v>36550</v>
      </c>
      <c r="F106" s="310">
        <v>36557</v>
      </c>
      <c r="G106" s="183">
        <f t="shared" ref="G106:G107" si="11">F106-E106</f>
        <v>7</v>
      </c>
      <c r="H106" s="111">
        <f>G106+'9'!H106</f>
        <v>97</v>
      </c>
      <c r="I106" s="183"/>
      <c r="J106" s="209">
        <f>H106/DAY(B2)</f>
        <v>9.6999999999999993</v>
      </c>
      <c r="N106" s="364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35">
        <f>'9'!F107</f>
        <v>20028</v>
      </c>
      <c r="F107" s="310">
        <v>20037</v>
      </c>
      <c r="G107" s="183">
        <f t="shared" si="11"/>
        <v>9</v>
      </c>
      <c r="H107" s="111">
        <f>G107+'9'!H107</f>
        <v>74</v>
      </c>
      <c r="I107" s="183"/>
      <c r="J107" s="209">
        <f>H107/DAY(B2)</f>
        <v>7.4</v>
      </c>
      <c r="N107" s="364"/>
    </row>
    <row r="108" spans="1:14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16</v>
      </c>
      <c r="H108" s="111">
        <f>G108+'9'!H108</f>
        <v>471</v>
      </c>
      <c r="I108" s="183"/>
      <c r="J108" s="209">
        <f>H108/DAY(B2)</f>
        <v>47.1</v>
      </c>
      <c r="N108" s="364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35">
        <f>'9'!F110</f>
        <v>67837</v>
      </c>
      <c r="F110" s="310">
        <v>67915</v>
      </c>
      <c r="G110" s="183">
        <f>F110-E110</f>
        <v>78</v>
      </c>
      <c r="H110" s="111">
        <f>G110+'9'!H110</f>
        <v>812</v>
      </c>
      <c r="I110" s="183"/>
      <c r="J110" s="209">
        <f>H110/DAY(B2)</f>
        <v>81.2</v>
      </c>
      <c r="N110" s="364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35">
        <f>'9'!F112</f>
        <v>4684</v>
      </c>
      <c r="F112" s="310">
        <v>4687</v>
      </c>
      <c r="G112" s="183">
        <f t="shared" si="12"/>
        <v>3</v>
      </c>
      <c r="H112" s="111">
        <f>G112+'9'!H112</f>
        <v>65</v>
      </c>
      <c r="I112" s="183"/>
      <c r="J112" s="209">
        <f>H112/DAY(B2)</f>
        <v>6.5</v>
      </c>
      <c r="N112" s="364"/>
    </row>
    <row r="113" spans="1:14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81</v>
      </c>
      <c r="H113" s="111">
        <f>G113+'9'!H113</f>
        <v>877</v>
      </c>
      <c r="I113" s="183"/>
      <c r="J113" s="209">
        <f>H113/DAY(B2)</f>
        <v>87.7</v>
      </c>
      <c r="N113" s="364"/>
    </row>
    <row r="114" spans="1:14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35">
        <f>'9'!F115</f>
        <v>12666</v>
      </c>
      <c r="F115" s="310">
        <v>12688</v>
      </c>
      <c r="G115" s="185">
        <f>F115-E115</f>
        <v>22</v>
      </c>
      <c r="H115" s="111">
        <f>G115+'9'!H115</f>
        <v>223</v>
      </c>
      <c r="I115" s="183"/>
      <c r="J115" s="209">
        <f>H115/DAY(B2)</f>
        <v>22.3</v>
      </c>
      <c r="N115" s="364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35">
        <f>'9'!F116</f>
        <v>8909</v>
      </c>
      <c r="F116" s="310">
        <v>8915</v>
      </c>
      <c r="G116" s="185">
        <f t="shared" ref="G116:G117" si="13">F116-E116</f>
        <v>6</v>
      </c>
      <c r="H116" s="111">
        <f>G116+'9'!H116</f>
        <v>95</v>
      </c>
      <c r="I116" s="183"/>
      <c r="J116" s="209">
        <f>H116/DAY(B2)</f>
        <v>9.5</v>
      </c>
      <c r="N116" s="364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28</v>
      </c>
      <c r="H118" s="111">
        <f>G118+'9'!H118</f>
        <v>318</v>
      </c>
      <c r="I118" s="185"/>
      <c r="J118" s="209">
        <f>H118/DAY(B2)</f>
        <v>31.8</v>
      </c>
      <c r="N118" s="364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G119+'9'!H119</f>
        <v>1683</v>
      </c>
      <c r="I119" s="186"/>
      <c r="J119" s="210">
        <f>H119/DAY(B2)</f>
        <v>168.3</v>
      </c>
      <c r="N119" s="364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149</v>
      </c>
      <c r="G120" s="187">
        <f>SUM(G96,G97,G98,G100,G101)</f>
        <v>149</v>
      </c>
      <c r="H120" s="111">
        <f>G120+'9'!H120</f>
        <v>1674</v>
      </c>
      <c r="I120" s="186"/>
      <c r="J120" s="210">
        <f>H120/DAY(B2)</f>
        <v>167.4</v>
      </c>
      <c r="N120" s="364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G121+'9'!H121</f>
        <v>877</v>
      </c>
      <c r="I121" s="186"/>
      <c r="J121" s="210">
        <f>H121/DAY(B2)</f>
        <v>87.7</v>
      </c>
      <c r="N121" s="364"/>
    </row>
    <row r="122" spans="1:14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>
      <c r="A124" s="771" t="s">
        <v>230</v>
      </c>
      <c r="B124" s="772"/>
      <c r="C124" s="772"/>
      <c r="D124" s="174" t="s">
        <v>140</v>
      </c>
      <c r="E124" s="129">
        <f>'9'!F124</f>
        <v>850336</v>
      </c>
      <c r="F124" s="129">
        <v>850615</v>
      </c>
      <c r="G124" s="124">
        <f t="shared" ref="G124:G128" si="14">F124-E124</f>
        <v>279</v>
      </c>
      <c r="H124" s="111">
        <f>G124+'9'!H124</f>
        <v>2649</v>
      </c>
      <c r="I124" s="177"/>
      <c r="J124" s="203">
        <f>H124/DAY(B2)</f>
        <v>264.89999999999998</v>
      </c>
      <c r="K124" s="71"/>
      <c r="L124" s="68"/>
      <c r="N124" s="364"/>
    </row>
    <row r="125" spans="1:14" ht="27.75">
      <c r="A125" s="771" t="s">
        <v>231</v>
      </c>
      <c r="B125" s="772"/>
      <c r="C125" s="772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'9'!F126</f>
        <v>152085</v>
      </c>
      <c r="F126" s="129">
        <v>152169</v>
      </c>
      <c r="G126" s="124">
        <f t="shared" si="14"/>
        <v>84</v>
      </c>
      <c r="H126" s="111">
        <f>G126+'9'!H126</f>
        <v>848</v>
      </c>
      <c r="I126" s="177"/>
      <c r="J126" s="203">
        <f>H126/DAY(B2)</f>
        <v>84.8</v>
      </c>
      <c r="K126" s="71"/>
      <c r="L126" s="68"/>
      <c r="N126" s="364"/>
    </row>
    <row r="127" spans="1:14" ht="27.75">
      <c r="A127" s="260" t="s">
        <v>233</v>
      </c>
      <c r="B127" s="772"/>
      <c r="C127" s="772"/>
      <c r="D127" s="174" t="s">
        <v>140</v>
      </c>
      <c r="E127" s="277">
        <f>'9'!F127</f>
        <v>33669</v>
      </c>
      <c r="F127" s="277">
        <v>33703</v>
      </c>
      <c r="G127" s="124">
        <f t="shared" si="14"/>
        <v>34</v>
      </c>
      <c r="H127" s="111">
        <f>G127+'9'!H127</f>
        <v>415</v>
      </c>
      <c r="I127" s="177"/>
      <c r="J127" s="203">
        <f>H127/DAY(B2)</f>
        <v>41.5</v>
      </c>
      <c r="K127" s="71"/>
      <c r="L127" s="68"/>
      <c r="N127" s="364"/>
    </row>
    <row r="128" spans="1:14" ht="27.75">
      <c r="A128" s="260" t="s">
        <v>234</v>
      </c>
      <c r="B128" s="772"/>
      <c r="C128" s="772"/>
      <c r="D128" s="174" t="s">
        <v>140</v>
      </c>
      <c r="E128" s="277">
        <f>'9'!F128</f>
        <v>9128.7999999999993</v>
      </c>
      <c r="F128" s="277">
        <v>9131</v>
      </c>
      <c r="G128" s="124">
        <f t="shared" si="14"/>
        <v>2.2000000000007276</v>
      </c>
      <c r="H128" s="111">
        <f>G128+'9'!H128</f>
        <v>18</v>
      </c>
      <c r="I128" s="131"/>
      <c r="J128" s="203">
        <f>H128/DAY(B2)</f>
        <v>1.8</v>
      </c>
      <c r="K128" s="71"/>
      <c r="L128" s="68"/>
      <c r="N128" s="364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507.79999999999927</v>
      </c>
      <c r="H129" s="111"/>
      <c r="I129" s="131"/>
      <c r="J129" s="203"/>
      <c r="K129" s="60"/>
      <c r="L129" s="58"/>
      <c r="N129" s="364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>
      <c r="A131" s="771" t="s">
        <v>237</v>
      </c>
      <c r="B131" s="772"/>
      <c r="C131" s="772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>
      <c r="A132" s="771" t="s">
        <v>239</v>
      </c>
      <c r="B132" s="772"/>
      <c r="C132" s="772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>
      <c r="A133" s="771" t="s">
        <v>240</v>
      </c>
      <c r="B133" s="772"/>
      <c r="C133" s="772"/>
      <c r="D133" s="174" t="s">
        <v>238</v>
      </c>
      <c r="E133" s="135">
        <f>'9'!F133</f>
        <v>40661</v>
      </c>
      <c r="F133" s="1004">
        <v>40685</v>
      </c>
      <c r="G133" s="1005">
        <f t="shared" si="15"/>
        <v>24</v>
      </c>
      <c r="H133" s="111">
        <f>G133+'9'!H133</f>
        <v>66</v>
      </c>
      <c r="I133" s="131"/>
      <c r="J133" s="203">
        <f>H133/DAY(B2)</f>
        <v>6.6</v>
      </c>
      <c r="N133" s="364"/>
    </row>
    <row r="134" spans="1:14" ht="27.75">
      <c r="A134" s="771" t="s">
        <v>241</v>
      </c>
      <c r="B134" s="772"/>
      <c r="C134" s="772"/>
      <c r="D134" s="174" t="s">
        <v>238</v>
      </c>
      <c r="E134" s="135">
        <f>'9'!F134</f>
        <v>724.25</v>
      </c>
      <c r="F134" s="1004">
        <v>724.25</v>
      </c>
      <c r="G134" s="1005">
        <f t="shared" si="15"/>
        <v>0</v>
      </c>
      <c r="H134" s="111">
        <f>G134+'9'!H134</f>
        <v>150.25</v>
      </c>
      <c r="I134" s="131">
        <f>G131+G132+G133+G134</f>
        <v>24</v>
      </c>
      <c r="J134" s="203">
        <f>H134/DAY(B2)</f>
        <v>15.025</v>
      </c>
      <c r="N134" s="364"/>
    </row>
    <row r="135" spans="1:14" ht="27.75">
      <c r="A135" s="771" t="s">
        <v>242</v>
      </c>
      <c r="B135" s="772"/>
      <c r="C135" s="772"/>
      <c r="D135" s="174" t="s">
        <v>238</v>
      </c>
      <c r="E135" s="135">
        <f>'9'!F135</f>
        <v>42598</v>
      </c>
      <c r="F135" s="1004">
        <v>42605.43</v>
      </c>
      <c r="G135" s="1005">
        <f t="shared" si="15"/>
        <v>7.430000000000291</v>
      </c>
      <c r="H135" s="111">
        <f>G135+'9'!H135</f>
        <v>106.43000000000029</v>
      </c>
      <c r="I135" s="131"/>
      <c r="J135" s="203">
        <f>H135/DAY(B2)</f>
        <v>10.643000000000029</v>
      </c>
      <c r="N135" s="364"/>
    </row>
    <row r="136" spans="1:14" ht="27.75">
      <c r="A136" s="771" t="s">
        <v>243</v>
      </c>
      <c r="B136" s="772"/>
      <c r="C136" s="772"/>
      <c r="D136" s="174" t="s">
        <v>238</v>
      </c>
      <c r="E136" s="135">
        <f>'9'!F136</f>
        <v>32874.050000000003</v>
      </c>
      <c r="F136" s="1004">
        <v>32874.050000000003</v>
      </c>
      <c r="G136" s="1005">
        <f t="shared" si="15"/>
        <v>0</v>
      </c>
      <c r="H136" s="111">
        <f>G136+'9'!H136</f>
        <v>5.0000000002910383E-2</v>
      </c>
      <c r="I136" s="131"/>
      <c r="J136" s="203">
        <f>H136/DAY(B2)</f>
        <v>5.0000000002910381E-3</v>
      </c>
      <c r="N136" s="364"/>
    </row>
    <row r="137" spans="1:14" ht="27.75">
      <c r="A137" s="771" t="s">
        <v>244</v>
      </c>
      <c r="B137" s="772"/>
      <c r="C137" s="772"/>
      <c r="D137" s="174" t="s">
        <v>238</v>
      </c>
      <c r="E137" s="135">
        <f>'9'!F137</f>
        <v>23179.41</v>
      </c>
      <c r="F137" s="1004">
        <v>23189</v>
      </c>
      <c r="G137" s="1005">
        <f t="shared" si="15"/>
        <v>9.5900000000001455</v>
      </c>
      <c r="H137" s="111">
        <f>G137+'9'!H137</f>
        <v>82.43999999999869</v>
      </c>
      <c r="I137" s="131">
        <f>G135+G136+G137</f>
        <v>17.020000000000437</v>
      </c>
      <c r="J137" s="203">
        <f>H137/DAY(B2)</f>
        <v>8.2439999999998683</v>
      </c>
      <c r="N137" s="364"/>
    </row>
    <row r="138" spans="1:14" ht="27.75">
      <c r="A138" s="771" t="s">
        <v>245</v>
      </c>
      <c r="B138" s="772"/>
      <c r="C138" s="772"/>
      <c r="D138" s="174" t="s">
        <v>238</v>
      </c>
      <c r="E138" s="135">
        <f>'9'!F138</f>
        <v>25119.45</v>
      </c>
      <c r="F138" s="1004">
        <v>25119</v>
      </c>
      <c r="G138" s="1005">
        <f t="shared" si="15"/>
        <v>-0.4500000000007276</v>
      </c>
      <c r="H138" s="111">
        <f>G138+'9'!H138</f>
        <v>-0.4500000000007276</v>
      </c>
      <c r="I138" s="131"/>
      <c r="J138" s="203">
        <f>H138/DAY(B2)</f>
        <v>-4.500000000007276E-2</v>
      </c>
      <c r="N138" s="364"/>
    </row>
    <row r="139" spans="1:14" ht="27.75">
      <c r="A139" s="771" t="s">
        <v>246</v>
      </c>
      <c r="B139" s="772"/>
      <c r="C139" s="772"/>
      <c r="D139" s="174" t="s">
        <v>238</v>
      </c>
      <c r="E139" s="135">
        <f>'9'!F139</f>
        <v>70518</v>
      </c>
      <c r="F139" s="1004">
        <v>70518</v>
      </c>
      <c r="G139" s="1005">
        <f t="shared" si="15"/>
        <v>0</v>
      </c>
      <c r="H139" s="111">
        <f>G139+'9'!H139</f>
        <v>1.3999999999941792</v>
      </c>
      <c r="I139" s="131">
        <f>G138+G139</f>
        <v>-0.4500000000007276</v>
      </c>
      <c r="J139" s="203">
        <f>H139/DAY(B2)</f>
        <v>0.13999999999941792</v>
      </c>
      <c r="N139" s="364"/>
    </row>
    <row r="140" spans="1:14" ht="27.75">
      <c r="A140" s="771" t="s">
        <v>247</v>
      </c>
      <c r="B140" s="772"/>
      <c r="C140" s="772"/>
      <c r="D140" s="174" t="s">
        <v>238</v>
      </c>
      <c r="E140" s="135">
        <f>'9'!F140</f>
        <v>2398.84</v>
      </c>
      <c r="F140" s="1004">
        <v>2409</v>
      </c>
      <c r="G140" s="1005">
        <f t="shared" si="15"/>
        <v>10.159999999999854</v>
      </c>
      <c r="H140" s="111">
        <f>G140+'9'!H140</f>
        <v>97.440000000000055</v>
      </c>
      <c r="I140" s="193"/>
      <c r="J140" s="203">
        <f>H140/DAY(B2)</f>
        <v>9.7440000000000051</v>
      </c>
      <c r="N140" s="364"/>
    </row>
    <row r="141" spans="1:14" ht="27.75">
      <c r="A141" s="771" t="s">
        <v>248</v>
      </c>
      <c r="B141" s="772"/>
      <c r="C141" s="772"/>
      <c r="D141" s="174" t="s">
        <v>238</v>
      </c>
      <c r="E141" s="135">
        <f>'9'!F141</f>
        <v>4753.67</v>
      </c>
      <c r="F141" s="1004">
        <v>4753.67</v>
      </c>
      <c r="G141" s="1005">
        <f t="shared" si="15"/>
        <v>0</v>
      </c>
      <c r="H141" s="111">
        <f>G141+'9'!H141</f>
        <v>-0.32999999999992724</v>
      </c>
      <c r="I141" s="193"/>
      <c r="J141" s="203">
        <f>H141/DAY(B2)</f>
        <v>-3.2999999999992723E-2</v>
      </c>
      <c r="N141" s="364"/>
    </row>
    <row r="142" spans="1:14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5900</v>
      </c>
      <c r="H143" s="111">
        <f>G143+'9'!H143</f>
        <v>58510.699999999953</v>
      </c>
      <c r="I143" s="131"/>
      <c r="J143" s="203">
        <f>H143/DAY(B2)</f>
        <v>5851.0699999999952</v>
      </c>
      <c r="K143" s="71"/>
      <c r="L143" s="68"/>
      <c r="N143" s="364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0.27254249815225423</v>
      </c>
      <c r="H144" s="111">
        <f>G144+'9'!H144</f>
        <v>2.6049897388754624</v>
      </c>
      <c r="I144" s="195"/>
      <c r="J144" s="203">
        <f>H144/DAY(B2)</f>
        <v>0.26049897388754623</v>
      </c>
      <c r="K144" s="71"/>
      <c r="L144" s="68"/>
      <c r="N144" s="364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6540</v>
      </c>
      <c r="H145" s="111">
        <f>G145+'9'!H145</f>
        <v>69889</v>
      </c>
      <c r="I145" s="131"/>
      <c r="J145" s="203">
        <f>H145/DAY(B2)</f>
        <v>6988.9</v>
      </c>
      <c r="K145" s="71"/>
      <c r="L145" s="68"/>
      <c r="N145" s="364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0.30210643015521066</v>
      </c>
      <c r="H146" s="111">
        <f>G146+'9'!H146</f>
        <v>3.0993097151868692</v>
      </c>
      <c r="I146" s="195"/>
      <c r="J146" s="203">
        <f>H146/DAY(B2)</f>
        <v>0.30993097151868693</v>
      </c>
      <c r="K146" s="71"/>
      <c r="L146" s="68"/>
      <c r="N146" s="364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3790.3300000000163</v>
      </c>
      <c r="H147" s="111">
        <f>G147+'9'!H147</f>
        <v>37606</v>
      </c>
      <c r="I147" s="196"/>
      <c r="J147" s="203">
        <f>H147/DAY(B2)</f>
        <v>3760.6</v>
      </c>
      <c r="K147" s="71"/>
      <c r="L147" s="68"/>
      <c r="N147" s="364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0.17508915373244716</v>
      </c>
      <c r="H148" s="111">
        <f>G148+'9'!H148</f>
        <v>1.6803490125687266</v>
      </c>
      <c r="I148" s="196"/>
      <c r="J148" s="203">
        <f>H148/DAY(B2)</f>
        <v>0.16803490125687265</v>
      </c>
      <c r="N148" s="364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1654</v>
      </c>
      <c r="H149" s="111">
        <f>G149+'9'!H149</f>
        <v>16983.069999999949</v>
      </c>
      <c r="I149" s="131"/>
      <c r="J149" s="203">
        <f>H149/DAY(B2)</f>
        <v>1698.3069999999948</v>
      </c>
      <c r="K149" s="72"/>
      <c r="N149" s="364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7.6404286770140425E-2</v>
      </c>
      <c r="H150" s="111">
        <f>G150+'9'!H150</f>
        <v>0.75705944112814361</v>
      </c>
      <c r="I150" s="196"/>
      <c r="J150" s="203">
        <f>H150/DAY(B2)</f>
        <v>7.5705944112814366E-2</v>
      </c>
      <c r="N150" s="364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1606</v>
      </c>
      <c r="H151" s="111">
        <f>G151+'9'!H151</f>
        <v>19112</v>
      </c>
      <c r="I151" s="196"/>
      <c r="J151" s="203">
        <f>H151/DAY(B2)</f>
        <v>1911.2</v>
      </c>
      <c r="N151" s="364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7.41869918699187E-2</v>
      </c>
      <c r="H152" s="111">
        <f>G152+'9'!H152</f>
        <v>0.84848542011729478</v>
      </c>
      <c r="I152" s="131"/>
      <c r="J152" s="203">
        <f>H152/DAY(B2)</f>
        <v>8.4848542011729478E-2</v>
      </c>
      <c r="N152" s="364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1555</v>
      </c>
      <c r="H153" s="111">
        <f>G153+'9'!H153</f>
        <v>16012.869999999995</v>
      </c>
      <c r="I153" s="131"/>
      <c r="J153" s="203">
        <f>H153/DAY(B2)</f>
        <v>1601.2869999999996</v>
      </c>
      <c r="N153" s="364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7.1831116038433118E-2</v>
      </c>
      <c r="H154" s="218">
        <f>G154+'9'!H154</f>
        <v>0.71397515005429013</v>
      </c>
      <c r="I154" s="219"/>
      <c r="J154" s="220">
        <f>H154/DAY(B2)</f>
        <v>7.1397515005429013E-2</v>
      </c>
      <c r="N154" s="364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>
      <c r="A158" s="1241" t="s">
        <v>266</v>
      </c>
      <c r="B158" s="1242"/>
      <c r="C158" s="1242"/>
      <c r="D158" s="1242"/>
      <c r="E158" s="1242"/>
      <c r="F158" s="1242"/>
      <c r="G158" s="1243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8">
      <c r="A161" s="435" t="s">
        <v>262</v>
      </c>
      <c r="B161" s="436"/>
      <c r="C161" s="436"/>
      <c r="D161" s="162" t="s">
        <v>186</v>
      </c>
      <c r="E161" s="710">
        <f>'9'!F161</f>
        <v>44042</v>
      </c>
      <c r="F161" s="309">
        <v>44121</v>
      </c>
      <c r="G161" s="124">
        <f>F161-E161</f>
        <v>79</v>
      </c>
    </row>
    <row r="162" spans="1:8">
      <c r="A162" s="435" t="s">
        <v>263</v>
      </c>
      <c r="B162" s="436"/>
      <c r="C162" s="436"/>
      <c r="D162" s="162" t="s">
        <v>186</v>
      </c>
      <c r="E162" s="710">
        <f>'9'!F162</f>
        <v>126278</v>
      </c>
      <c r="F162" s="309">
        <v>126756</v>
      </c>
      <c r="G162" s="124">
        <f t="shared" ref="G162:G175" si="16">F162-E162</f>
        <v>478</v>
      </c>
    </row>
    <row r="163" spans="1:8">
      <c r="A163" s="435" t="s">
        <v>264</v>
      </c>
      <c r="B163" s="436"/>
      <c r="C163" s="436"/>
      <c r="D163" s="162" t="s">
        <v>186</v>
      </c>
      <c r="E163" s="710">
        <f>'9'!F163</f>
        <v>59289</v>
      </c>
      <c r="F163" s="309">
        <v>59489</v>
      </c>
      <c r="G163" s="124">
        <f t="shared" si="16"/>
        <v>200</v>
      </c>
      <c r="H163" s="165"/>
    </row>
    <row r="164" spans="1:8">
      <c r="A164" s="435" t="s">
        <v>265</v>
      </c>
      <c r="B164" s="436"/>
      <c r="C164" s="436"/>
      <c r="D164" s="162" t="s">
        <v>186</v>
      </c>
      <c r="E164" s="710">
        <f>'9'!F164</f>
        <v>7227</v>
      </c>
      <c r="F164" s="309">
        <v>7236</v>
      </c>
      <c r="G164" s="124">
        <f t="shared" si="16"/>
        <v>9</v>
      </c>
    </row>
    <row r="165" spans="1:8">
      <c r="A165" s="437" t="s">
        <v>97</v>
      </c>
      <c r="B165" s="255"/>
      <c r="C165" s="255"/>
      <c r="D165" s="162" t="s">
        <v>186</v>
      </c>
      <c r="E165" s="710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>
      <c r="A166" s="437" t="s">
        <v>187</v>
      </c>
      <c r="B166" s="255"/>
      <c r="C166" s="255"/>
      <c r="D166" s="162" t="s">
        <v>186</v>
      </c>
      <c r="E166" s="710">
        <f>'9'!F166</f>
        <v>0</v>
      </c>
      <c r="F166" s="165">
        <f t="shared" ref="F166:F172" si="17">F63</f>
        <v>0</v>
      </c>
      <c r="G166" s="124">
        <f t="shared" si="16"/>
        <v>0</v>
      </c>
    </row>
    <row r="167" spans="1:8" ht="31.5" customHeight="1">
      <c r="A167" s="1187" t="s">
        <v>98</v>
      </c>
      <c r="B167" s="1187"/>
      <c r="C167" s="1187"/>
      <c r="D167" s="174" t="s">
        <v>186</v>
      </c>
      <c r="E167" s="710">
        <f>'9'!F167</f>
        <v>185185</v>
      </c>
      <c r="F167" s="165">
        <f t="shared" si="17"/>
        <v>185573</v>
      </c>
      <c r="G167" s="124">
        <f t="shared" si="16"/>
        <v>388</v>
      </c>
    </row>
    <row r="168" spans="1:8" ht="21.75" customHeight="1">
      <c r="A168" s="1187" t="s">
        <v>99</v>
      </c>
      <c r="B168" s="1187"/>
      <c r="C168" s="1187"/>
      <c r="D168" s="174" t="s">
        <v>186</v>
      </c>
      <c r="E168" s="710">
        <f>'9'!F168</f>
        <v>185748</v>
      </c>
      <c r="F168" s="165">
        <f t="shared" si="17"/>
        <v>186171</v>
      </c>
      <c r="G168" s="124">
        <f t="shared" si="16"/>
        <v>423</v>
      </c>
    </row>
    <row r="169" spans="1:8" ht="27.75" customHeight="1">
      <c r="A169" s="1187" t="s">
        <v>100</v>
      </c>
      <c r="B169" s="1187"/>
      <c r="C169" s="1187"/>
      <c r="D169" s="174" t="s">
        <v>186</v>
      </c>
      <c r="E169" s="710">
        <f>'9'!F169</f>
        <v>84301</v>
      </c>
      <c r="F169" s="165">
        <f t="shared" si="17"/>
        <v>84758</v>
      </c>
      <c r="G169" s="124">
        <f t="shared" si="16"/>
        <v>457</v>
      </c>
    </row>
    <row r="170" spans="1:8" ht="21.75" customHeight="1">
      <c r="A170" s="1187" t="s">
        <v>101</v>
      </c>
      <c r="B170" s="1187"/>
      <c r="C170" s="1187"/>
      <c r="D170" s="174" t="s">
        <v>186</v>
      </c>
      <c r="E170" s="710">
        <f>'9'!F170</f>
        <v>284442</v>
      </c>
      <c r="F170" s="165">
        <f t="shared" si="17"/>
        <v>284900</v>
      </c>
      <c r="G170" s="124">
        <f t="shared" si="16"/>
        <v>458</v>
      </c>
    </row>
    <row r="171" spans="1:8" ht="27.75" customHeight="1">
      <c r="A171" s="1187" t="s">
        <v>102</v>
      </c>
      <c r="B171" s="1187"/>
      <c r="C171" s="1187"/>
      <c r="D171" s="174" t="s">
        <v>186</v>
      </c>
      <c r="E171" s="710">
        <f>'9'!F171</f>
        <v>85321</v>
      </c>
      <c r="F171" s="165">
        <f t="shared" si="17"/>
        <v>85321</v>
      </c>
      <c r="G171" s="124">
        <f t="shared" si="16"/>
        <v>0</v>
      </c>
    </row>
    <row r="172" spans="1:8" ht="27.75">
      <c r="A172" s="1187" t="s">
        <v>103</v>
      </c>
      <c r="B172" s="1187"/>
      <c r="C172" s="1187"/>
      <c r="D172" s="174" t="s">
        <v>186</v>
      </c>
      <c r="E172" s="710">
        <f>'9'!F172</f>
        <v>99434</v>
      </c>
      <c r="F172" s="165">
        <f t="shared" si="17"/>
        <v>99757</v>
      </c>
      <c r="G172" s="124">
        <f t="shared" si="16"/>
        <v>323</v>
      </c>
    </row>
    <row r="173" spans="1:8">
      <c r="A173" s="1228" t="s">
        <v>338</v>
      </c>
      <c r="B173" s="1191"/>
      <c r="C173" s="436"/>
      <c r="D173" s="174" t="s">
        <v>186</v>
      </c>
      <c r="E173" s="183">
        <v>19161</v>
      </c>
      <c r="F173" s="183">
        <v>19164</v>
      </c>
      <c r="G173" s="124">
        <f t="shared" si="16"/>
        <v>3</v>
      </c>
    </row>
    <row r="174" spans="1:8">
      <c r="A174" s="1228" t="s">
        <v>338</v>
      </c>
      <c r="B174" s="1191"/>
      <c r="C174" s="436"/>
      <c r="D174" s="174" t="s">
        <v>186</v>
      </c>
      <c r="E174" s="183">
        <v>70591</v>
      </c>
      <c r="F174" s="183">
        <v>70599</v>
      </c>
      <c r="G174" s="124">
        <f t="shared" si="16"/>
        <v>8</v>
      </c>
    </row>
    <row r="175" spans="1:8">
      <c r="A175" s="1228" t="s">
        <v>339</v>
      </c>
      <c r="B175" s="1191"/>
      <c r="C175" s="436"/>
      <c r="D175" s="174" t="s">
        <v>186</v>
      </c>
      <c r="E175" s="183">
        <v>27842.5</v>
      </c>
      <c r="F175" s="183">
        <v>27848</v>
      </c>
      <c r="G175" s="124">
        <f t="shared" si="16"/>
        <v>5.5</v>
      </c>
    </row>
    <row r="177" spans="1:7" ht="18.75" customHeight="1"/>
    <row r="178" spans="1:7" ht="44.25" customHeight="1">
      <c r="A178" s="105" t="s">
        <v>216</v>
      </c>
    </row>
    <row r="179" spans="1:7" ht="21.75" customHeight="1">
      <c r="A179" s="105" t="s">
        <v>217</v>
      </c>
    </row>
    <row r="180" spans="1:7" ht="21.75" customHeight="1">
      <c r="A180" s="105" t="s">
        <v>218</v>
      </c>
      <c r="D180" s="188" t="s">
        <v>143</v>
      </c>
      <c r="E180" s="188">
        <v>7010</v>
      </c>
      <c r="F180" s="314">
        <v>7010</v>
      </c>
      <c r="G180" s="188">
        <f>F180-E180</f>
        <v>0</v>
      </c>
    </row>
    <row r="181" spans="1:7" ht="21.75" customHeight="1">
      <c r="A181" s="105" t="s">
        <v>76</v>
      </c>
      <c r="D181" s="188" t="s">
        <v>143</v>
      </c>
      <c r="E181" s="188">
        <v>34070</v>
      </c>
      <c r="F181" s="314">
        <v>34070</v>
      </c>
      <c r="G181" s="188">
        <f t="shared" ref="G181:G182" si="18">F181-E181</f>
        <v>0</v>
      </c>
    </row>
    <row r="182" spans="1:7" ht="21.75" customHeight="1">
      <c r="A182" s="105" t="s">
        <v>77</v>
      </c>
      <c r="D182" s="188" t="s">
        <v>143</v>
      </c>
      <c r="E182" s="188">
        <v>18160</v>
      </c>
      <c r="F182" s="314">
        <v>18171</v>
      </c>
      <c r="G182" s="188">
        <f t="shared" si="18"/>
        <v>11</v>
      </c>
    </row>
    <row r="183" spans="1:7" ht="21.75" customHeight="1">
      <c r="A183" s="105" t="s">
        <v>201</v>
      </c>
      <c r="G183" s="188">
        <f>SUM(G180:G182)</f>
        <v>11</v>
      </c>
    </row>
    <row r="184" spans="1:7" ht="21.75" customHeight="1">
      <c r="A184" s="105" t="s">
        <v>78</v>
      </c>
      <c r="D184" s="188" t="s">
        <v>143</v>
      </c>
    </row>
    <row r="185" spans="1:7" ht="21.75" customHeight="1">
      <c r="A185" s="105" t="s">
        <v>219</v>
      </c>
      <c r="D185" s="188" t="s">
        <v>143</v>
      </c>
      <c r="E185" s="188">
        <v>42234</v>
      </c>
      <c r="F185" s="314">
        <v>42285</v>
      </c>
      <c r="G185" s="188">
        <f>F185-E185</f>
        <v>51</v>
      </c>
    </row>
    <row r="186" spans="1:7" ht="21.75" customHeight="1">
      <c r="A186" s="105" t="s">
        <v>220</v>
      </c>
      <c r="D186" s="188" t="s">
        <v>143</v>
      </c>
      <c r="E186" s="188">
        <v>20656</v>
      </c>
      <c r="F186" s="314">
        <v>20656</v>
      </c>
      <c r="G186" s="188">
        <f t="shared" ref="G186:G187" si="19">F186-E186</f>
        <v>0</v>
      </c>
    </row>
    <row r="187" spans="1:7" ht="21.75" customHeight="1">
      <c r="A187" s="105" t="s">
        <v>221</v>
      </c>
      <c r="D187" s="188" t="s">
        <v>143</v>
      </c>
      <c r="E187" s="188">
        <v>2801</v>
      </c>
      <c r="F187" s="314">
        <v>2801</v>
      </c>
      <c r="G187" s="188">
        <f t="shared" si="19"/>
        <v>0</v>
      </c>
    </row>
    <row r="188" spans="1:7" ht="21.75" customHeight="1">
      <c r="A188" s="105" t="s">
        <v>109</v>
      </c>
      <c r="G188" s="188">
        <f>SUM(G185:G187)</f>
        <v>51</v>
      </c>
    </row>
    <row r="189" spans="1:7" ht="21.75" customHeight="1">
      <c r="A189" s="105" t="s">
        <v>222</v>
      </c>
    </row>
    <row r="190" spans="1:7" ht="21.75" customHeight="1">
      <c r="A190" s="105" t="s">
        <v>223</v>
      </c>
      <c r="D190" s="188" t="s">
        <v>143</v>
      </c>
      <c r="E190" s="188">
        <v>6979</v>
      </c>
      <c r="F190" s="314">
        <v>6983</v>
      </c>
      <c r="G190" s="188">
        <f>F190-E190</f>
        <v>4</v>
      </c>
    </row>
    <row r="191" spans="1:7" ht="21.75" customHeight="1">
      <c r="A191" s="105" t="s">
        <v>224</v>
      </c>
      <c r="D191" s="188" t="s">
        <v>143</v>
      </c>
      <c r="E191" s="188">
        <v>5846</v>
      </c>
      <c r="F191" s="314">
        <v>5849</v>
      </c>
      <c r="G191" s="188">
        <f t="shared" ref="G191:G192" si="20">F191-E191</f>
        <v>3</v>
      </c>
    </row>
    <row r="192" spans="1:7" ht="21.75" customHeight="1">
      <c r="A192" s="105" t="s">
        <v>225</v>
      </c>
      <c r="D192" s="188" t="s">
        <v>143</v>
      </c>
      <c r="G192" s="188">
        <f t="shared" si="20"/>
        <v>0</v>
      </c>
    </row>
    <row r="193" spans="1:8" ht="21.75" customHeight="1"/>
    <row r="194" spans="1:8" ht="36.75" customHeight="1">
      <c r="A194" s="105" t="s">
        <v>201</v>
      </c>
      <c r="G194" s="188">
        <f>SUM(G190:G192)</f>
        <v>7</v>
      </c>
    </row>
    <row r="195" spans="1:8">
      <c r="A195" s="105" t="s">
        <v>226</v>
      </c>
      <c r="D195" s="188" t="s">
        <v>143</v>
      </c>
      <c r="F195" s="314">
        <f>SUM(G93+G19)</f>
        <v>154</v>
      </c>
      <c r="G195" s="188">
        <f>F195+'[2]9'!I145</f>
        <v>154</v>
      </c>
      <c r="H195" s="189" t="e">
        <f>G195/DAY(D148)</f>
        <v>#VALUE!</v>
      </c>
    </row>
    <row r="197" spans="1:8">
      <c r="A197" s="105" t="s">
        <v>227</v>
      </c>
      <c r="D197" s="188" t="s">
        <v>143</v>
      </c>
      <c r="F197" s="314">
        <f>SUM(G96:G98,G190:G192)</f>
        <v>126</v>
      </c>
      <c r="G197" s="188">
        <f>F197+'[2]9'!I147</f>
        <v>126</v>
      </c>
      <c r="H197" s="189" t="e">
        <f>G197/DAY(D148)</f>
        <v>#VALUE!</v>
      </c>
    </row>
    <row r="199" spans="1:8">
      <c r="A199" s="105" t="s">
        <v>228</v>
      </c>
      <c r="D199" s="188" t="s">
        <v>143</v>
      </c>
      <c r="F199" s="314">
        <f>H189+H140</f>
        <v>97.440000000000055</v>
      </c>
      <c r="G199" s="188">
        <f>SUM(G99,G185:G187)</f>
        <v>69</v>
      </c>
      <c r="H199" s="189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topLeftCell="A31" zoomScale="55" zoomScaleNormal="55" workbookViewId="0">
      <selection activeCell="F7" sqref="F7"/>
    </sheetView>
  </sheetViews>
  <sheetFormatPr defaultColWidth="22.33203125" defaultRowHeight="29.2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75" customWidth="1"/>
    <col min="6" max="6" width="30" style="1076" customWidth="1"/>
    <col min="7" max="7" width="28.88671875" style="1075" customWidth="1"/>
    <col min="8" max="8" width="39.21875" style="1077" customWidth="1"/>
    <col min="9" max="9" width="16.109375" style="1075" customWidth="1"/>
    <col min="10" max="10" width="24" style="1078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371</v>
      </c>
      <c r="B2" s="682">
        <v>44419</v>
      </c>
      <c r="C2" s="773" t="s">
        <v>68</v>
      </c>
      <c r="D2" s="262">
        <v>0.94</v>
      </c>
      <c r="E2" s="1006"/>
      <c r="F2" s="1006"/>
      <c r="G2" s="1006" t="s">
        <v>117</v>
      </c>
      <c r="H2" s="1006" t="s">
        <v>6</v>
      </c>
      <c r="I2" s="1006" t="s">
        <v>8</v>
      </c>
      <c r="J2" s="1007" t="s">
        <v>118</v>
      </c>
      <c r="N2" s="368"/>
    </row>
    <row r="3" spans="1:16" s="57" customFormat="1" ht="27">
      <c r="A3" s="221"/>
      <c r="B3" s="265"/>
      <c r="C3" s="773" t="s">
        <v>119</v>
      </c>
      <c r="D3" s="263">
        <v>30</v>
      </c>
      <c r="E3" s="1251" t="s">
        <v>120</v>
      </c>
      <c r="F3" s="1252"/>
      <c r="G3" s="1008"/>
      <c r="H3" s="1009"/>
      <c r="I3" s="1009"/>
      <c r="J3" s="1010"/>
      <c r="K3" s="63"/>
      <c r="L3" s="58"/>
      <c r="N3" s="368"/>
    </row>
    <row r="4" spans="1:16" s="57" customFormat="1" ht="27">
      <c r="A4" s="227"/>
      <c r="B4" s="267"/>
      <c r="C4" s="773" t="s">
        <v>121</v>
      </c>
      <c r="D4" s="262">
        <v>0.8</v>
      </c>
      <c r="E4" s="1011"/>
      <c r="F4" s="1011"/>
      <c r="G4" s="1011"/>
      <c r="H4" s="1011"/>
      <c r="I4" s="1012"/>
      <c r="J4" s="1010"/>
      <c r="K4" s="64"/>
      <c r="L4" s="58"/>
      <c r="N4" s="368"/>
    </row>
    <row r="5" spans="1:16">
      <c r="A5" s="228" t="s">
        <v>122</v>
      </c>
      <c r="B5" s="110"/>
      <c r="C5" s="110"/>
      <c r="D5" s="162" t="s">
        <v>123</v>
      </c>
      <c r="E5" s="1013" t="s">
        <v>124</v>
      </c>
      <c r="F5" s="1013" t="s">
        <v>111</v>
      </c>
      <c r="G5" s="1014" t="s">
        <v>125</v>
      </c>
      <c r="H5" s="1013" t="s">
        <v>126</v>
      </c>
      <c r="I5" s="758" t="s">
        <v>127</v>
      </c>
      <c r="J5" s="1015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016"/>
      <c r="F6" s="1016"/>
      <c r="G6" s="1016"/>
      <c r="H6" s="278"/>
      <c r="I6" s="278"/>
      <c r="J6" s="1017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1018">
        <f>'10'!F7</f>
        <v>832843</v>
      </c>
      <c r="F7" s="106">
        <v>854404</v>
      </c>
      <c r="G7" s="1019">
        <f>F7-E7</f>
        <v>21561</v>
      </c>
      <c r="H7" s="400">
        <f>G7+'10'!H7</f>
        <v>246582</v>
      </c>
      <c r="I7" s="1020">
        <v>12000</v>
      </c>
      <c r="J7" s="1021">
        <f>H7/DAY(B2)</f>
        <v>22416.545454545456</v>
      </c>
      <c r="K7" s="200"/>
      <c r="L7" s="68"/>
      <c r="N7" s="369"/>
      <c r="P7" s="372"/>
    </row>
    <row r="8" spans="1:16" ht="27.75" thickBot="1">
      <c r="A8" s="333" t="s">
        <v>132</v>
      </c>
      <c r="B8" s="334"/>
      <c r="C8" s="335"/>
      <c r="D8" s="336" t="s">
        <v>25</v>
      </c>
      <c r="E8" s="1018">
        <f>'10'!F8</f>
        <v>842889</v>
      </c>
      <c r="F8" s="126">
        <v>864602</v>
      </c>
      <c r="G8" s="1019">
        <f t="shared" ref="G8:G12" si="0">F8-E8</f>
        <v>21713</v>
      </c>
      <c r="H8" s="400">
        <f>G8+'10'!H8</f>
        <v>249005</v>
      </c>
      <c r="I8" s="1022">
        <v>12000</v>
      </c>
      <c r="J8" s="1021">
        <f>H8/DAY(B2)</f>
        <v>22636.81818181818</v>
      </c>
      <c r="K8" s="200"/>
      <c r="L8" s="78"/>
      <c r="M8" s="91"/>
      <c r="N8" s="369"/>
      <c r="P8" s="73"/>
    </row>
    <row r="9" spans="1:16">
      <c r="A9" s="338" t="s">
        <v>133</v>
      </c>
      <c r="B9" s="339"/>
      <c r="C9" s="339"/>
      <c r="D9" s="288" t="s">
        <v>131</v>
      </c>
      <c r="E9" s="1018">
        <f>'10'!F9</f>
        <v>2914930</v>
      </c>
      <c r="F9" s="302">
        <v>2935840</v>
      </c>
      <c r="G9" s="1023">
        <f t="shared" si="0"/>
        <v>20910</v>
      </c>
      <c r="H9" s="400">
        <f>G9+'10'!H9</f>
        <v>239205</v>
      </c>
      <c r="I9" s="400">
        <f>I7-J7</f>
        <v>-10416.545454545456</v>
      </c>
      <c r="J9" s="1021">
        <f>H9/DAY(B2)</f>
        <v>21745.909090909092</v>
      </c>
      <c r="K9" s="81"/>
      <c r="L9" s="68"/>
      <c r="N9" s="369"/>
      <c r="P9" s="73"/>
    </row>
    <row r="10" spans="1:16">
      <c r="A10" s="327" t="s">
        <v>134</v>
      </c>
      <c r="B10" s="328"/>
      <c r="C10" s="328"/>
      <c r="D10" s="288" t="s">
        <v>131</v>
      </c>
      <c r="E10" s="1018">
        <f>'10'!F10</f>
        <v>2606.5500000000002</v>
      </c>
      <c r="F10" s="302">
        <v>2606.5500000000002</v>
      </c>
      <c r="G10" s="1019">
        <f t="shared" si="0"/>
        <v>0</v>
      </c>
      <c r="H10" s="400">
        <f>G10+'10'!H10</f>
        <v>-0.4499999999998181</v>
      </c>
      <c r="I10" s="1024"/>
      <c r="J10" s="1021">
        <f>H10/DAY(B2)</f>
        <v>-4.0909090909074373E-2</v>
      </c>
      <c r="K10" s="81"/>
      <c r="L10" s="68"/>
      <c r="N10" s="369"/>
      <c r="P10" s="73"/>
    </row>
    <row r="11" spans="1:16">
      <c r="A11" s="327" t="s">
        <v>135</v>
      </c>
      <c r="B11" s="328"/>
      <c r="C11" s="328"/>
      <c r="D11" s="288" t="s">
        <v>131</v>
      </c>
      <c r="E11" s="1018">
        <f>'10'!F11</f>
        <v>37000</v>
      </c>
      <c r="F11" s="357">
        <v>37000</v>
      </c>
      <c r="G11" s="1019">
        <f t="shared" si="0"/>
        <v>0</v>
      </c>
      <c r="H11" s="400">
        <f>G11+'10'!H11</f>
        <v>0</v>
      </c>
      <c r="I11" s="1024"/>
      <c r="J11" s="1021">
        <f>H11/DAY(B2)</f>
        <v>0</v>
      </c>
      <c r="K11" s="81"/>
      <c r="L11" s="68"/>
      <c r="N11" s="369"/>
      <c r="P11" s="73" t="s">
        <v>372</v>
      </c>
    </row>
    <row r="12" spans="1:16">
      <c r="A12" s="327" t="s">
        <v>136</v>
      </c>
      <c r="B12" s="328"/>
      <c r="C12" s="328"/>
      <c r="D12" s="288" t="s">
        <v>131</v>
      </c>
      <c r="E12" s="1018">
        <f>'10'!F12</f>
        <v>40010</v>
      </c>
      <c r="F12" s="302">
        <v>40010</v>
      </c>
      <c r="G12" s="1019">
        <f t="shared" si="0"/>
        <v>0</v>
      </c>
      <c r="H12" s="400">
        <f>G12+'10'!H12</f>
        <v>0</v>
      </c>
      <c r="I12" s="1024"/>
      <c r="J12" s="1021">
        <f>H12/DAY(B2)</f>
        <v>0</v>
      </c>
      <c r="K12" s="81"/>
      <c r="L12" s="68"/>
      <c r="N12" s="369"/>
      <c r="P12" s="73" t="s">
        <v>373</v>
      </c>
    </row>
    <row r="13" spans="1:16">
      <c r="A13" s="343" t="s">
        <v>137</v>
      </c>
      <c r="B13" s="344"/>
      <c r="C13" s="344"/>
      <c r="D13" s="288"/>
      <c r="E13" s="1018"/>
      <c r="F13" s="357"/>
      <c r="G13" s="1019">
        <f>G9+G10+G11+G12</f>
        <v>20910</v>
      </c>
      <c r="H13" s="400">
        <f>G13+'9'!H13</f>
        <v>196520.55</v>
      </c>
      <c r="I13" s="1018">
        <f>G7-G13</f>
        <v>651</v>
      </c>
      <c r="J13" s="1021">
        <f>H13/DAY(B2)</f>
        <v>17865.504545454543</v>
      </c>
      <c r="K13" s="81"/>
      <c r="L13" s="68"/>
      <c r="N13" s="369"/>
      <c r="P13" s="73"/>
    </row>
    <row r="14" spans="1:16">
      <c r="A14" s="1211" t="s">
        <v>138</v>
      </c>
      <c r="B14" s="1212"/>
      <c r="C14" s="1213"/>
      <c r="D14" s="123"/>
      <c r="E14" s="278"/>
      <c r="F14" s="278"/>
      <c r="G14" s="298"/>
      <c r="H14" s="278"/>
      <c r="I14" s="278"/>
      <c r="J14" s="1017"/>
      <c r="K14" s="82"/>
      <c r="L14" s="68"/>
      <c r="N14" s="369"/>
      <c r="P14" s="73"/>
    </row>
    <row r="15" spans="1:16">
      <c r="A15" s="443" t="s">
        <v>139</v>
      </c>
      <c r="B15" s="444"/>
      <c r="C15" s="444"/>
      <c r="D15" s="175" t="s">
        <v>140</v>
      </c>
      <c r="E15" s="302">
        <f>'10'!F15</f>
        <v>1738040</v>
      </c>
      <c r="F15" s="351">
        <v>1738866</v>
      </c>
      <c r="G15" s="303">
        <f>(F15-E15)</f>
        <v>826</v>
      </c>
      <c r="H15" s="356">
        <f>G15+'10'!H15</f>
        <v>9312</v>
      </c>
      <c r="I15" s="1026">
        <v>800</v>
      </c>
      <c r="J15" s="358">
        <f>H15/DAY(B2)</f>
        <v>846.5454545454545</v>
      </c>
      <c r="K15" s="81"/>
      <c r="L15" s="68"/>
      <c r="N15" s="369"/>
      <c r="P15" s="73"/>
    </row>
    <row r="16" spans="1:16">
      <c r="A16" s="238"/>
      <c r="B16" s="239"/>
      <c r="C16" s="239"/>
      <c r="D16" s="175"/>
      <c r="E16" s="302"/>
      <c r="F16" s="302"/>
      <c r="G16" s="1025"/>
      <c r="H16" s="356"/>
      <c r="I16" s="357">
        <f>I15-J15</f>
        <v>-46.545454545454504</v>
      </c>
      <c r="J16" s="358"/>
      <c r="K16" s="81"/>
      <c r="L16" s="68"/>
      <c r="N16" s="369"/>
      <c r="P16" s="73"/>
    </row>
    <row r="17" spans="1:16">
      <c r="A17" s="1211" t="s">
        <v>141</v>
      </c>
      <c r="B17" s="1212"/>
      <c r="C17" s="1213"/>
      <c r="D17" s="123"/>
      <c r="E17" s="278"/>
      <c r="F17" s="278"/>
      <c r="G17" s="400"/>
      <c r="H17" s="278"/>
      <c r="I17" s="278"/>
      <c r="J17" s="1017"/>
      <c r="K17" s="81"/>
      <c r="L17" s="68"/>
      <c r="N17" s="369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6">
        <f>'10'!F18</f>
        <v>13</v>
      </c>
      <c r="F18" s="302">
        <v>16</v>
      </c>
      <c r="G18" s="1019">
        <f>F18*10</f>
        <v>160</v>
      </c>
      <c r="H18" s="400">
        <f>G18+'10'!H18</f>
        <v>1840</v>
      </c>
      <c r="I18" s="1020">
        <v>65</v>
      </c>
      <c r="J18" s="1021">
        <f>H18/DAY(B2)</f>
        <v>167.27272727272728</v>
      </c>
      <c r="K18" s="81"/>
      <c r="L18" s="68"/>
      <c r="N18" s="369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6">
        <f>'10'!F19</f>
        <v>144008</v>
      </c>
      <c r="F19" s="302">
        <v>144072</v>
      </c>
      <c r="G19" s="1019">
        <f t="shared" ref="G19" si="1">F19-E19</f>
        <v>64</v>
      </c>
      <c r="H19" s="400">
        <f>G19+'10'!H19</f>
        <v>682</v>
      </c>
      <c r="I19" s="1027"/>
      <c r="J19" s="1021">
        <f>H19/DAY(B2)</f>
        <v>62</v>
      </c>
      <c r="K19" s="81"/>
      <c r="L19" s="68"/>
      <c r="N19" s="369"/>
      <c r="P19" s="73"/>
    </row>
    <row r="20" spans="1:16">
      <c r="A20" s="343" t="s">
        <v>144</v>
      </c>
      <c r="B20" s="344"/>
      <c r="C20" s="344"/>
      <c r="D20" s="288"/>
      <c r="E20" s="298"/>
      <c r="F20" s="278"/>
      <c r="G20" s="1028">
        <f>G18+G19</f>
        <v>224</v>
      </c>
      <c r="H20" s="400">
        <f>G20+'10'!H20</f>
        <v>2522</v>
      </c>
      <c r="I20" s="1029">
        <f>I18-J20</f>
        <v>-164.27272727272728</v>
      </c>
      <c r="J20" s="1021">
        <f>H20/DAY(B2)</f>
        <v>229.27272727272728</v>
      </c>
      <c r="K20" s="81"/>
      <c r="L20" s="68"/>
      <c r="N20" s="369"/>
      <c r="P20" s="73"/>
    </row>
    <row r="21" spans="1:16">
      <c r="A21" s="1211" t="s">
        <v>145</v>
      </c>
      <c r="B21" s="1212"/>
      <c r="C21" s="1213"/>
      <c r="D21" s="123"/>
      <c r="E21" s="278"/>
      <c r="F21" s="278"/>
      <c r="G21" s="298"/>
      <c r="H21" s="278"/>
      <c r="I21" s="278"/>
      <c r="J21" s="1017"/>
      <c r="K21" s="81"/>
      <c r="L21" s="68"/>
      <c r="N21" s="369"/>
      <c r="P21" s="73"/>
    </row>
    <row r="22" spans="1:16">
      <c r="A22" s="771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22"/>
      <c r="J22" s="358">
        <f>H22/DAY(B2)</f>
        <v>0</v>
      </c>
      <c r="K22" s="81"/>
      <c r="L22" s="68"/>
      <c r="N22" s="369"/>
      <c r="P22" s="73"/>
    </row>
    <row r="23" spans="1:16">
      <c r="A23" s="771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22"/>
      <c r="J23" s="358">
        <f>H23/DAY(B2)</f>
        <v>0</v>
      </c>
      <c r="K23" s="81"/>
      <c r="L23" s="68"/>
      <c r="N23" s="369"/>
      <c r="P23" s="73"/>
    </row>
    <row r="24" spans="1:16">
      <c r="A24" s="241" t="s">
        <v>149</v>
      </c>
      <c r="B24" s="242"/>
      <c r="C24" s="242"/>
      <c r="D24" s="162" t="s">
        <v>147</v>
      </c>
      <c r="E24" s="1030">
        <f>'10'!F24</f>
        <v>4970</v>
      </c>
      <c r="F24" s="302">
        <v>4970</v>
      </c>
      <c r="G24" s="303">
        <v>0</v>
      </c>
      <c r="H24" s="356">
        <f>G24+'10'!H24</f>
        <v>0</v>
      </c>
      <c r="I24" s="722"/>
      <c r="J24" s="358">
        <f>H24/DAY(B2)</f>
        <v>0</v>
      </c>
      <c r="K24" s="81"/>
      <c r="L24" s="68"/>
      <c r="N24" s="369"/>
      <c r="P24" s="73"/>
    </row>
    <row r="25" spans="1:16" s="93" customFormat="1" ht="27">
      <c r="A25" s="1216" t="s">
        <v>150</v>
      </c>
      <c r="B25" s="1217"/>
      <c r="C25" s="1218"/>
      <c r="D25" s="122"/>
      <c r="E25" s="1016"/>
      <c r="F25" s="1016"/>
      <c r="G25" s="1031"/>
      <c r="H25" s="758"/>
      <c r="I25" s="1032"/>
      <c r="J25" s="1033"/>
      <c r="K25" s="65"/>
      <c r="L25" s="94"/>
      <c r="N25" s="369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034"/>
      <c r="F26" s="357"/>
      <c r="G26" s="1035"/>
      <c r="H26" s="356"/>
      <c r="I26" s="1036"/>
      <c r="J26" s="358"/>
      <c r="K26" s="66"/>
      <c r="L26" s="94"/>
      <c r="N26" s="369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1037">
        <f>G8</f>
        <v>21713</v>
      </c>
      <c r="F27" s="1038">
        <v>9</v>
      </c>
      <c r="G27" s="1039">
        <f>E27*F27</f>
        <v>195417</v>
      </c>
      <c r="H27" s="356">
        <f>G27+'10'!H27</f>
        <v>2241045</v>
      </c>
      <c r="I27" s="1040"/>
      <c r="J27" s="358">
        <f>H27/DAY(B2)</f>
        <v>203731.36363636365</v>
      </c>
      <c r="K27" s="65"/>
      <c r="L27" s="94"/>
      <c r="N27" s="369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1037">
        <f>G15</f>
        <v>826</v>
      </c>
      <c r="F28" s="152">
        <v>54.5</v>
      </c>
      <c r="G28" s="1039">
        <f>E28*F28</f>
        <v>45017</v>
      </c>
      <c r="H28" s="356">
        <f>G28+'10'!H28</f>
        <v>507504</v>
      </c>
      <c r="I28" s="1041"/>
      <c r="J28" s="358">
        <f>H28/DAY(B2)</f>
        <v>46136.727272727272</v>
      </c>
      <c r="K28" s="65"/>
      <c r="L28" s="94"/>
      <c r="N28" s="369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1037">
        <f>G24</f>
        <v>0</v>
      </c>
      <c r="F29" s="1038">
        <v>69</v>
      </c>
      <c r="G29" s="1039">
        <f>E29*F29</f>
        <v>0</v>
      </c>
      <c r="H29" s="356">
        <f>G29+'10'!H29</f>
        <v>0</v>
      </c>
      <c r="I29" s="1041"/>
      <c r="J29" s="358">
        <f>H29/DAY(B2)</f>
        <v>0</v>
      </c>
      <c r="K29" s="65"/>
      <c r="L29" s="94"/>
      <c r="N29" s="369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1037">
        <f>G19</f>
        <v>64</v>
      </c>
      <c r="F30" s="1038">
        <v>146</v>
      </c>
      <c r="G30" s="1039">
        <f>E30*F30</f>
        <v>9344</v>
      </c>
      <c r="H30" s="356">
        <f>G30+'10'!H30</f>
        <v>99572</v>
      </c>
      <c r="I30" s="1041"/>
      <c r="J30" s="358">
        <f>H30/DAY(B2)</f>
        <v>9052</v>
      </c>
      <c r="K30" s="65"/>
      <c r="L30" s="94"/>
      <c r="N30" s="369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1037">
        <f>G18</f>
        <v>160</v>
      </c>
      <c r="F31" s="1038">
        <v>80</v>
      </c>
      <c r="G31" s="1039">
        <f>E31*F31</f>
        <v>12800</v>
      </c>
      <c r="H31" s="356">
        <f>G31+'10'!H31</f>
        <v>147200</v>
      </c>
      <c r="I31" s="1041"/>
      <c r="J31" s="358">
        <f>H31/DAY(B2)</f>
        <v>13381.818181818182</v>
      </c>
      <c r="K31" s="65"/>
      <c r="L31" s="94"/>
      <c r="N31" s="369"/>
      <c r="P31" s="73"/>
    </row>
    <row r="32" spans="1:16" s="93" customFormat="1" ht="27.75">
      <c r="A32" s="246" t="s">
        <v>160</v>
      </c>
      <c r="B32" s="247"/>
      <c r="C32" s="248"/>
      <c r="D32" s="158"/>
      <c r="E32" s="1042"/>
      <c r="F32" s="278"/>
      <c r="G32" s="1043">
        <f>G27+G28+G29+G30+G31</f>
        <v>262578</v>
      </c>
      <c r="H32" s="356">
        <f>G32+'10'!H32</f>
        <v>2995321</v>
      </c>
      <c r="I32" s="1044"/>
      <c r="J32" s="358">
        <f>H32/DAY(B2)</f>
        <v>272301.90909090912</v>
      </c>
      <c r="K32" s="65"/>
      <c r="L32" s="94"/>
      <c r="N32" s="369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P33" s="73"/>
    </row>
    <row r="34" spans="1:16">
      <c r="A34" s="249" t="s">
        <v>162</v>
      </c>
      <c r="B34" s="776"/>
      <c r="C34" s="776"/>
      <c r="D34" s="123"/>
      <c r="E34" s="1016"/>
      <c r="F34" s="1016"/>
      <c r="G34" s="278"/>
      <c r="H34" s="278"/>
      <c r="I34" s="278"/>
      <c r="J34" s="1017"/>
      <c r="K34" s="81"/>
      <c r="L34" s="68"/>
      <c r="N34" s="369"/>
      <c r="P34" s="73"/>
    </row>
    <row r="35" spans="1:16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-0.30000000004656613</v>
      </c>
      <c r="I35" s="357"/>
      <c r="J35" s="358">
        <f>H35/DAY(B2)</f>
        <v>-2.7272727276960559E-2</v>
      </c>
      <c r="K35" s="81"/>
      <c r="L35" s="68"/>
      <c r="N35" s="369"/>
      <c r="P35" s="73"/>
    </row>
    <row r="36" spans="1:16">
      <c r="A36" s="229" t="s">
        <v>164</v>
      </c>
      <c r="B36" s="230"/>
      <c r="C36" s="230"/>
      <c r="D36" s="174" t="s">
        <v>131</v>
      </c>
      <c r="E36" s="304">
        <f>'10'!F36</f>
        <v>54128</v>
      </c>
      <c r="F36" s="304">
        <v>54819</v>
      </c>
      <c r="G36" s="303">
        <f t="shared" si="3"/>
        <v>691</v>
      </c>
      <c r="H36" s="356">
        <f>G36+'10'!H36</f>
        <v>8021</v>
      </c>
      <c r="I36" s="357"/>
      <c r="J36" s="358">
        <f>H36/DAY(B2)</f>
        <v>729.18181818181813</v>
      </c>
      <c r="K36" s="81"/>
      <c r="L36" s="68"/>
      <c r="N36" s="370"/>
      <c r="P36" s="73"/>
    </row>
    <row r="37" spans="1:16">
      <c r="A37" s="229" t="s">
        <v>165</v>
      </c>
      <c r="B37" s="230"/>
      <c r="C37" s="230"/>
      <c r="D37" s="174" t="s">
        <v>131</v>
      </c>
      <c r="E37" s="304">
        <f>'10'!F37</f>
        <v>242186</v>
      </c>
      <c r="F37" s="304">
        <v>243737</v>
      </c>
      <c r="G37" s="303">
        <f t="shared" si="3"/>
        <v>1551</v>
      </c>
      <c r="H37" s="356">
        <f>G37+'10'!H37</f>
        <v>17564</v>
      </c>
      <c r="I37" s="357"/>
      <c r="J37" s="358">
        <f>H37/DAY(B2)</f>
        <v>1596.7272727272727</v>
      </c>
      <c r="K37" s="81"/>
      <c r="L37" s="68"/>
      <c r="N37" s="370"/>
      <c r="P37" s="73"/>
    </row>
    <row r="38" spans="1:16">
      <c r="A38" s="229" t="s">
        <v>166</v>
      </c>
      <c r="B38" s="230"/>
      <c r="C38" s="230"/>
      <c r="D38" s="174" t="s">
        <v>131</v>
      </c>
      <c r="E38" s="304">
        <f>'10'!F38</f>
        <v>265542</v>
      </c>
      <c r="F38" s="1013">
        <v>267173</v>
      </c>
      <c r="G38" s="303">
        <f t="shared" si="3"/>
        <v>1631</v>
      </c>
      <c r="H38" s="356">
        <f>G38+'10'!H38</f>
        <v>18614</v>
      </c>
      <c r="I38" s="357"/>
      <c r="J38" s="358">
        <f>H38/DAY(B2)</f>
        <v>1692.1818181818182</v>
      </c>
      <c r="K38" s="81"/>
      <c r="L38" s="68"/>
      <c r="N38" s="369"/>
      <c r="P38" s="73"/>
    </row>
    <row r="39" spans="1:16">
      <c r="A39" s="229" t="s">
        <v>167</v>
      </c>
      <c r="B39" s="230"/>
      <c r="C39" s="230"/>
      <c r="D39" s="174" t="s">
        <v>131</v>
      </c>
      <c r="E39" s="304">
        <f>'10'!F39</f>
        <v>558124</v>
      </c>
      <c r="F39" s="304">
        <v>561897</v>
      </c>
      <c r="G39" s="303">
        <f t="shared" si="3"/>
        <v>3773</v>
      </c>
      <c r="H39" s="356">
        <f>G39+'10'!H39</f>
        <v>41379</v>
      </c>
      <c r="I39" s="357"/>
      <c r="J39" s="358">
        <f>H39/DAY(B2)</f>
        <v>3761.7272727272725</v>
      </c>
      <c r="K39" s="81"/>
      <c r="L39" s="68"/>
      <c r="N39" s="369"/>
      <c r="P39" s="73"/>
    </row>
    <row r="40" spans="1:16">
      <c r="A40" s="250" t="s">
        <v>168</v>
      </c>
      <c r="B40" s="251"/>
      <c r="C40" s="251"/>
      <c r="D40" s="174" t="s">
        <v>131</v>
      </c>
      <c r="E40" s="304">
        <f>'10'!F40</f>
        <v>25121</v>
      </c>
      <c r="F40" s="304">
        <v>25662</v>
      </c>
      <c r="G40" s="303">
        <f t="shared" si="3"/>
        <v>541</v>
      </c>
      <c r="H40" s="356">
        <f>G40+'10'!H40</f>
        <v>5489</v>
      </c>
      <c r="I40" s="357"/>
      <c r="J40" s="358">
        <f>H40/DAY(B2)</f>
        <v>499</v>
      </c>
      <c r="K40" s="82"/>
      <c r="L40" s="68"/>
      <c r="N40" s="369"/>
      <c r="P40" s="73"/>
    </row>
    <row r="41" spans="1:16">
      <c r="A41" s="229" t="s">
        <v>169</v>
      </c>
      <c r="B41" s="230"/>
      <c r="C41" s="230"/>
      <c r="D41" s="174" t="s">
        <v>131</v>
      </c>
      <c r="E41" s="304">
        <f>'10'!F41</f>
        <v>381058</v>
      </c>
      <c r="F41" s="304">
        <v>385895</v>
      </c>
      <c r="G41" s="303">
        <f t="shared" si="3"/>
        <v>4837</v>
      </c>
      <c r="H41" s="356">
        <f>G41+'10'!H41</f>
        <v>19055</v>
      </c>
      <c r="I41" s="357"/>
      <c r="J41" s="358">
        <f>H41/DAY(B2)</f>
        <v>1732.2727272727273</v>
      </c>
      <c r="K41" s="81"/>
      <c r="L41" s="68"/>
      <c r="N41" s="369"/>
      <c r="P41" s="372"/>
    </row>
    <row r="42" spans="1:16">
      <c r="A42" s="229" t="s">
        <v>170</v>
      </c>
      <c r="B42" s="230"/>
      <c r="C42" s="230"/>
      <c r="D42" s="174" t="s">
        <v>131</v>
      </c>
      <c r="E42" s="304">
        <f>'10'!F42</f>
        <v>147899</v>
      </c>
      <c r="F42" s="304">
        <v>147899</v>
      </c>
      <c r="G42" s="303">
        <f t="shared" si="3"/>
        <v>0</v>
      </c>
      <c r="H42" s="356">
        <f>G42+'10'!H42</f>
        <v>32387</v>
      </c>
      <c r="I42" s="357"/>
      <c r="J42" s="358">
        <f>H42/DAY(B2)</f>
        <v>2944.2727272727275</v>
      </c>
      <c r="K42" s="81"/>
      <c r="L42" s="68"/>
      <c r="N42" s="369"/>
      <c r="P42" s="73"/>
    </row>
    <row r="43" spans="1:16">
      <c r="A43" s="229" t="s">
        <v>171</v>
      </c>
      <c r="B43" s="230"/>
      <c r="C43" s="230"/>
      <c r="D43" s="174" t="s">
        <v>131</v>
      </c>
      <c r="E43" s="304">
        <f>'10'!F43</f>
        <v>1232710</v>
      </c>
      <c r="F43" s="304">
        <v>1235650</v>
      </c>
      <c r="G43" s="303">
        <f>F43-E43</f>
        <v>2940</v>
      </c>
      <c r="H43" s="356">
        <f>G43+'10'!H43</f>
        <v>31189</v>
      </c>
      <c r="I43" s="357"/>
      <c r="J43" s="358">
        <f>H43/DAY(B2)</f>
        <v>2835.3636363636365</v>
      </c>
      <c r="K43" s="81"/>
      <c r="L43" s="68"/>
      <c r="N43" s="369"/>
      <c r="P43" s="73"/>
    </row>
    <row r="44" spans="1:16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>
      <c r="A47" s="236" t="s">
        <v>175</v>
      </c>
      <c r="B47" s="237"/>
      <c r="C47" s="237"/>
      <c r="D47" s="121"/>
      <c r="E47" s="1016"/>
      <c r="F47" s="1016"/>
      <c r="G47" s="303">
        <f>G35+G36+G37+G38+G39+G40+G41+G42+G43+G44+G45+G46</f>
        <v>15964.49</v>
      </c>
      <c r="H47" s="356">
        <f>G47+'10'!H47</f>
        <v>174499.18999999994</v>
      </c>
      <c r="I47" s="357"/>
      <c r="J47" s="358">
        <f>H47/DAY(B2)</f>
        <v>15863.562727272722</v>
      </c>
      <c r="K47" s="81"/>
      <c r="L47" s="68"/>
      <c r="N47" s="369"/>
      <c r="P47" s="73"/>
    </row>
    <row r="48" spans="1:16">
      <c r="A48" s="249" t="s">
        <v>176</v>
      </c>
      <c r="B48" s="776"/>
      <c r="C48" s="776"/>
      <c r="D48" s="123"/>
      <c r="E48" s="1016"/>
      <c r="F48" s="1016"/>
      <c r="G48" s="278"/>
      <c r="H48" s="278"/>
      <c r="I48" s="278"/>
      <c r="J48" s="1017"/>
      <c r="K48" s="81"/>
      <c r="L48" s="68"/>
      <c r="N48" s="369"/>
      <c r="P48" s="73"/>
    </row>
    <row r="49" spans="1:16">
      <c r="A49" s="229" t="s">
        <v>163</v>
      </c>
      <c r="B49" s="252"/>
      <c r="C49" s="252"/>
      <c r="D49" s="174" t="s">
        <v>131</v>
      </c>
      <c r="E49" s="304">
        <f>'10'!F49</f>
        <v>354350</v>
      </c>
      <c r="F49" s="304">
        <v>357423</v>
      </c>
      <c r="G49" s="303">
        <f t="shared" ref="G49:G58" si="4">F49-E49</f>
        <v>3073</v>
      </c>
      <c r="H49" s="356">
        <f>G49+'9'!H49</f>
        <v>30385</v>
      </c>
      <c r="I49" s="357"/>
      <c r="J49" s="358">
        <f>H49/DAY(B2)</f>
        <v>2762.2727272727275</v>
      </c>
      <c r="K49" s="81"/>
      <c r="L49" s="68"/>
      <c r="N49" s="369"/>
      <c r="P49" s="73"/>
    </row>
    <row r="50" spans="1:16">
      <c r="A50" s="229" t="s">
        <v>177</v>
      </c>
      <c r="B50" s="252"/>
      <c r="C50" s="252"/>
      <c r="D50" s="174" t="s">
        <v>131</v>
      </c>
      <c r="E50" s="304">
        <f>'10'!F50</f>
        <v>581707</v>
      </c>
      <c r="F50" s="304">
        <v>582760</v>
      </c>
      <c r="G50" s="303">
        <f t="shared" si="4"/>
        <v>1053</v>
      </c>
      <c r="H50" s="356">
        <f>G50+'9'!H50</f>
        <v>11943</v>
      </c>
      <c r="I50" s="357"/>
      <c r="J50" s="358">
        <f>H50/DAY(B2)</f>
        <v>1085.7272727272727</v>
      </c>
      <c r="K50" s="81"/>
      <c r="L50" s="68"/>
      <c r="N50" s="369"/>
      <c r="P50" s="73"/>
    </row>
    <row r="51" spans="1:16">
      <c r="A51" s="229" t="s">
        <v>165</v>
      </c>
      <c r="B51" s="252"/>
      <c r="C51" s="252"/>
      <c r="D51" s="174" t="s">
        <v>131</v>
      </c>
      <c r="E51" s="304">
        <f>'10'!F51</f>
        <v>144639.87</v>
      </c>
      <c r="F51" s="304">
        <v>144639.87</v>
      </c>
      <c r="G51" s="303">
        <f t="shared" si="4"/>
        <v>0</v>
      </c>
      <c r="H51" s="356">
        <f>G51+'9'!H51</f>
        <v>-0.13000000000465661</v>
      </c>
      <c r="I51" s="357"/>
      <c r="J51" s="358">
        <f>H51/DAY(B2)</f>
        <v>-1.1818181818605146E-2</v>
      </c>
      <c r="K51" s="81"/>
      <c r="L51" s="68"/>
      <c r="N51" s="369"/>
      <c r="P51" s="73"/>
    </row>
    <row r="52" spans="1:16">
      <c r="A52" s="229" t="s">
        <v>178</v>
      </c>
      <c r="B52" s="252"/>
      <c r="C52" s="252"/>
      <c r="D52" s="174" t="s">
        <v>131</v>
      </c>
      <c r="E52" s="304">
        <f>'10'!F52</f>
        <v>539606.06999999995</v>
      </c>
      <c r="F52" s="304">
        <v>539606.06999999995</v>
      </c>
      <c r="G52" s="303">
        <f t="shared" si="4"/>
        <v>0</v>
      </c>
      <c r="H52" s="356">
        <f>G52+'9'!H52</f>
        <v>6.9999999948777258E-2</v>
      </c>
      <c r="I52" s="357"/>
      <c r="J52" s="358">
        <f>H52/DAY(B2)</f>
        <v>6.3636363589797511E-3</v>
      </c>
      <c r="K52" s="81"/>
      <c r="L52" s="68"/>
      <c r="N52" s="369"/>
      <c r="P52" s="73"/>
    </row>
    <row r="53" spans="1:16">
      <c r="A53" s="229" t="s">
        <v>167</v>
      </c>
      <c r="B53" s="252"/>
      <c r="C53" s="252"/>
      <c r="D53" s="174" t="s">
        <v>131</v>
      </c>
      <c r="E53" s="304">
        <f>'10'!F53</f>
        <v>434232</v>
      </c>
      <c r="F53" s="304">
        <v>434231.59</v>
      </c>
      <c r="G53" s="303">
        <f t="shared" si="4"/>
        <v>-0.40999999997438863</v>
      </c>
      <c r="H53" s="356">
        <f>G53+'9'!H53</f>
        <v>-0.73999999999068677</v>
      </c>
      <c r="I53" s="357"/>
      <c r="J53" s="358">
        <f>H53/DAY(B2)</f>
        <v>-6.727272727188062E-2</v>
      </c>
      <c r="K53" s="81"/>
      <c r="L53" s="68"/>
      <c r="N53" s="369"/>
      <c r="P53" s="73"/>
    </row>
    <row r="54" spans="1:16">
      <c r="A54" s="229" t="s">
        <v>179</v>
      </c>
      <c r="B54" s="252"/>
      <c r="C54" s="252"/>
      <c r="D54" s="174" t="s">
        <v>131</v>
      </c>
      <c r="E54" s="304">
        <f>'10'!F54</f>
        <v>14967</v>
      </c>
      <c r="F54" s="304">
        <v>14967</v>
      </c>
      <c r="G54" s="303">
        <f t="shared" si="4"/>
        <v>0</v>
      </c>
      <c r="H54" s="356">
        <f>G54+'9'!H54</f>
        <v>0</v>
      </c>
      <c r="I54" s="357"/>
      <c r="J54" s="358">
        <f>H54/DAY(B2)</f>
        <v>0</v>
      </c>
      <c r="K54" s="81"/>
      <c r="L54" s="68"/>
      <c r="N54" s="369"/>
      <c r="P54" s="73"/>
    </row>
    <row r="55" spans="1:16">
      <c r="A55" s="229" t="s">
        <v>180</v>
      </c>
      <c r="B55" s="252"/>
      <c r="C55" s="252"/>
      <c r="D55" s="174" t="s">
        <v>131</v>
      </c>
      <c r="E55" s="304">
        <f>'10'!F55</f>
        <v>258848</v>
      </c>
      <c r="F55" s="304">
        <v>260303</v>
      </c>
      <c r="G55" s="303">
        <f t="shared" si="4"/>
        <v>1455</v>
      </c>
      <c r="H55" s="356">
        <f>G55+'9'!H55</f>
        <v>23117</v>
      </c>
      <c r="I55" s="357"/>
      <c r="J55" s="358">
        <f>H55/DAY(B2)</f>
        <v>2101.5454545454545</v>
      </c>
      <c r="K55" s="81"/>
      <c r="L55" s="68"/>
      <c r="N55" s="369"/>
      <c r="P55" s="73"/>
    </row>
    <row r="56" spans="1:16">
      <c r="A56" s="229" t="s">
        <v>181</v>
      </c>
      <c r="B56" s="252"/>
      <c r="C56" s="252"/>
      <c r="D56" s="174" t="s">
        <v>182</v>
      </c>
      <c r="E56" s="304">
        <f>'10'!F56</f>
        <v>649471</v>
      </c>
      <c r="F56" s="304">
        <v>649482</v>
      </c>
      <c r="G56" s="303">
        <f t="shared" si="4"/>
        <v>11</v>
      </c>
      <c r="H56" s="356">
        <f>G56+'9'!H56</f>
        <v>110</v>
      </c>
      <c r="I56" s="357"/>
      <c r="J56" s="358">
        <f>H56/DAY(B2)</f>
        <v>10</v>
      </c>
      <c r="K56" s="80"/>
      <c r="L56" s="68"/>
      <c r="N56" s="369"/>
      <c r="P56" s="73"/>
    </row>
    <row r="57" spans="1:16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>
      <c r="A58" s="229" t="s">
        <v>183</v>
      </c>
      <c r="B58" s="252"/>
      <c r="C58" s="252"/>
      <c r="D58" s="174" t="s">
        <v>131</v>
      </c>
      <c r="E58" s="304">
        <f>'10'!F58</f>
        <v>61767</v>
      </c>
      <c r="F58" s="304">
        <v>61955</v>
      </c>
      <c r="G58" s="303">
        <f t="shared" si="4"/>
        <v>188</v>
      </c>
      <c r="H58" s="356">
        <f>G58+'9'!H58</f>
        <v>2064</v>
      </c>
      <c r="I58" s="357"/>
      <c r="J58" s="358">
        <f>H58/DAY(B2)</f>
        <v>187.63636363636363</v>
      </c>
      <c r="K58" s="81"/>
      <c r="L58" s="68"/>
      <c r="N58" s="369"/>
      <c r="P58" s="73"/>
    </row>
    <row r="59" spans="1:16">
      <c r="A59" s="236" t="s">
        <v>175</v>
      </c>
      <c r="B59" s="237"/>
      <c r="C59" s="237"/>
      <c r="D59" s="162"/>
      <c r="E59" s="1016"/>
      <c r="F59" s="1016"/>
      <c r="G59" s="303">
        <f>G49+G50+G51+G52+G53+G54+G55+G56+G57+G58</f>
        <v>5779.5900000000256</v>
      </c>
      <c r="H59" s="356">
        <f>G59+'9'!H59</f>
        <v>67618.199999999953</v>
      </c>
      <c r="I59" s="357">
        <f>G7-G60</f>
        <v>-183.08000000002357</v>
      </c>
      <c r="J59" s="358">
        <f>H59/DAY(B2)</f>
        <v>6147.1090909090863</v>
      </c>
      <c r="K59" s="81"/>
      <c r="L59" s="68"/>
      <c r="N59" s="369"/>
      <c r="P59" s="73"/>
    </row>
    <row r="60" spans="1:16">
      <c r="A60" s="229"/>
      <c r="B60" s="230"/>
      <c r="C60" s="230"/>
      <c r="D60" s="162" t="s">
        <v>184</v>
      </c>
      <c r="E60" s="1016"/>
      <c r="F60" s="1016"/>
      <c r="G60" s="303">
        <f>G47+G59</f>
        <v>21744.080000000024</v>
      </c>
      <c r="H60" s="356">
        <f>G60+'10'!H60</f>
        <v>247694.71999999991</v>
      </c>
      <c r="I60" s="357">
        <f>G13-G60</f>
        <v>-834.08000000002357</v>
      </c>
      <c r="J60" s="358">
        <f>H60/DAY(B2)</f>
        <v>22517.701818181809</v>
      </c>
      <c r="K60" s="81"/>
      <c r="L60" s="68"/>
      <c r="N60" s="369"/>
      <c r="P60" s="73"/>
    </row>
    <row r="61" spans="1:16">
      <c r="A61" s="253" t="s">
        <v>185</v>
      </c>
      <c r="B61" s="104"/>
      <c r="C61" s="104"/>
      <c r="D61" s="164"/>
      <c r="E61" s="1045"/>
      <c r="F61" s="1045"/>
      <c r="G61" s="1046"/>
      <c r="H61" s="1046"/>
      <c r="I61" s="1046"/>
      <c r="J61" s="1047"/>
      <c r="K61" s="81"/>
      <c r="L61" s="68"/>
      <c r="N61" s="369"/>
      <c r="P61" s="73"/>
    </row>
    <row r="62" spans="1:16">
      <c r="A62" s="254" t="s">
        <v>97</v>
      </c>
      <c r="B62" s="255"/>
      <c r="C62" s="255"/>
      <c r="D62" s="162" t="s">
        <v>186</v>
      </c>
      <c r="E62" s="758">
        <f>'10'!F62</f>
        <v>0</v>
      </c>
      <c r="F62" s="758">
        <v>0</v>
      </c>
      <c r="G62" s="303">
        <f t="shared" ref="G62:G69" si="5">F62-E62</f>
        <v>0</v>
      </c>
      <c r="H62" s="356">
        <f>G62+'10'!H62</f>
        <v>1.9999999967694748E-3</v>
      </c>
      <c r="I62" s="1048"/>
      <c r="J62" s="358">
        <f>H62/DAY(B2)</f>
        <v>1.818181815244977E-4</v>
      </c>
      <c r="K62" s="81"/>
      <c r="L62" s="68"/>
      <c r="N62" s="369"/>
      <c r="P62" s="73"/>
    </row>
    <row r="63" spans="1:16">
      <c r="A63" s="254" t="s">
        <v>187</v>
      </c>
      <c r="B63" s="255"/>
      <c r="C63" s="255"/>
      <c r="D63" s="162" t="s">
        <v>186</v>
      </c>
      <c r="E63" s="758">
        <f>'10'!F63</f>
        <v>0</v>
      </c>
      <c r="F63" s="758">
        <v>0</v>
      </c>
      <c r="G63" s="303">
        <f t="shared" si="5"/>
        <v>0</v>
      </c>
      <c r="H63" s="356">
        <f>G63+'10'!H63</f>
        <v>0</v>
      </c>
      <c r="I63" s="1048"/>
      <c r="J63" s="358">
        <f>H63/DAY(B2)</f>
        <v>0</v>
      </c>
      <c r="K63" s="81"/>
      <c r="L63" s="68"/>
      <c r="N63" s="369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758">
        <f>'10'!F64</f>
        <v>185573</v>
      </c>
      <c r="F64" s="302">
        <v>185985</v>
      </c>
      <c r="G64" s="303">
        <f t="shared" si="5"/>
        <v>412</v>
      </c>
      <c r="H64" s="356">
        <f>G64+'10'!H64</f>
        <v>4125</v>
      </c>
      <c r="I64" s="722"/>
      <c r="J64" s="358">
        <f>H64/DAY(B2)</f>
        <v>375</v>
      </c>
      <c r="K64" s="81"/>
      <c r="L64" s="68"/>
      <c r="N64" s="369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758">
        <f>'10'!F65</f>
        <v>186171</v>
      </c>
      <c r="F65" s="302">
        <v>186584</v>
      </c>
      <c r="G65" s="303">
        <f t="shared" si="5"/>
        <v>413</v>
      </c>
      <c r="H65" s="356">
        <f>G65+'10'!H65</f>
        <v>4375</v>
      </c>
      <c r="I65" s="383"/>
      <c r="J65" s="358">
        <f>H65/DAY(B2)</f>
        <v>397.72727272727275</v>
      </c>
      <c r="K65" s="81"/>
      <c r="L65" s="68"/>
      <c r="N65" s="369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758">
        <f>'10'!F66</f>
        <v>84758</v>
      </c>
      <c r="F66" s="302">
        <v>85137</v>
      </c>
      <c r="G66" s="303">
        <f t="shared" si="5"/>
        <v>379</v>
      </c>
      <c r="H66" s="356">
        <f>G66+'10'!H66</f>
        <v>4465</v>
      </c>
      <c r="I66" s="722"/>
      <c r="J66" s="358">
        <f>H66/DAY(B2)</f>
        <v>405.90909090909093</v>
      </c>
      <c r="K66" s="81"/>
      <c r="L66" s="68"/>
      <c r="N66" s="369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758">
        <f>'10'!F67</f>
        <v>284900</v>
      </c>
      <c r="F67" s="302">
        <v>285362</v>
      </c>
      <c r="G67" s="303">
        <f t="shared" si="5"/>
        <v>462</v>
      </c>
      <c r="H67" s="356">
        <f>G67+'10'!H67</f>
        <v>5304</v>
      </c>
      <c r="I67" s="383"/>
      <c r="J67" s="358">
        <f>H67/DAY(B2)</f>
        <v>482.18181818181819</v>
      </c>
      <c r="K67" s="82"/>
      <c r="L67" s="68"/>
      <c r="N67" s="369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758">
        <f>'10'!F68</f>
        <v>85321</v>
      </c>
      <c r="F68" s="302">
        <v>85321</v>
      </c>
      <c r="G68" s="303">
        <f t="shared" si="5"/>
        <v>0</v>
      </c>
      <c r="H68" s="356">
        <f>G68+'10'!H68</f>
        <v>0</v>
      </c>
      <c r="I68" s="1049"/>
      <c r="J68" s="358">
        <f>H68/DAY(B2)</f>
        <v>0</v>
      </c>
      <c r="K68" s="83"/>
      <c r="L68" s="68"/>
      <c r="N68" s="369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758">
        <f>'10'!F69</f>
        <v>99757</v>
      </c>
      <c r="F69" s="302">
        <v>100079</v>
      </c>
      <c r="G69" s="303">
        <f t="shared" si="5"/>
        <v>322</v>
      </c>
      <c r="H69" s="356">
        <f>G69+'10'!H69</f>
        <v>3522</v>
      </c>
      <c r="I69" s="1049"/>
      <c r="J69" s="358">
        <f>H69/DAY(B2)</f>
        <v>320.18181818181819</v>
      </c>
      <c r="K69" s="84"/>
      <c r="L69" s="68"/>
      <c r="N69" s="369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050"/>
      <c r="F70" s="1050"/>
      <c r="G70" s="1050"/>
      <c r="H70" s="356">
        <f>G70+'10'!H70</f>
        <v>0</v>
      </c>
      <c r="I70" s="1050"/>
      <c r="J70" s="1051">
        <f>H70/DAY(B2)</f>
        <v>0</v>
      </c>
      <c r="K70" s="84"/>
      <c r="L70" s="68"/>
      <c r="N70" s="369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1">
        <f>'10'!F72</f>
        <v>856743</v>
      </c>
      <c r="F72" s="306">
        <v>856755</v>
      </c>
      <c r="G72" s="303">
        <f t="shared" ref="G72:G84" si="6">F72-E72</f>
        <v>12</v>
      </c>
      <c r="H72" s="356">
        <f>G72+'10'!H72</f>
        <v>146</v>
      </c>
      <c r="I72" s="722"/>
      <c r="J72" s="358">
        <f>H72/DAY(B2)</f>
        <v>13.272727272727273</v>
      </c>
      <c r="K72" s="84"/>
      <c r="L72" s="68"/>
      <c r="N72" s="369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1">
        <f>'10'!F73</f>
        <v>886025</v>
      </c>
      <c r="F73" s="306">
        <v>886027</v>
      </c>
      <c r="G73" s="303">
        <f t="shared" si="6"/>
        <v>2</v>
      </c>
      <c r="H73" s="356">
        <f>G73+'10'!H73</f>
        <v>14</v>
      </c>
      <c r="I73" s="722"/>
      <c r="J73" s="358">
        <f>H73/DAY(B2)</f>
        <v>1.2727272727272727</v>
      </c>
      <c r="K73" s="83"/>
      <c r="L73" s="68"/>
      <c r="N73" s="369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1">
        <f>'10'!F74</f>
        <v>88742.5</v>
      </c>
      <c r="F74" s="306">
        <v>88745.5</v>
      </c>
      <c r="G74" s="303">
        <f t="shared" si="6"/>
        <v>3</v>
      </c>
      <c r="H74" s="356">
        <f>G74+'10'!H74</f>
        <v>12.5</v>
      </c>
      <c r="I74" s="722"/>
      <c r="J74" s="358">
        <f>H74/DAY(B2)</f>
        <v>1.1363636363636365</v>
      </c>
      <c r="K74" s="84"/>
      <c r="L74" s="68"/>
      <c r="N74" s="369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1">
        <f>'10'!F75</f>
        <v>22603</v>
      </c>
      <c r="F75" s="306">
        <v>22780</v>
      </c>
      <c r="G75" s="303">
        <f t="shared" si="6"/>
        <v>177</v>
      </c>
      <c r="H75" s="356">
        <f>G75+'10'!H75</f>
        <v>1833</v>
      </c>
      <c r="I75" s="722"/>
      <c r="J75" s="358">
        <f>H75/DAY(B2)</f>
        <v>166.63636363636363</v>
      </c>
      <c r="K75" s="83"/>
      <c r="L75" s="68"/>
      <c r="N75" s="369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1">
        <f>'10'!F76</f>
        <v>11958</v>
      </c>
      <c r="F76" s="306">
        <v>12010</v>
      </c>
      <c r="G76" s="303">
        <f t="shared" si="6"/>
        <v>52</v>
      </c>
      <c r="H76" s="356">
        <f>G76+'10'!H76</f>
        <v>583</v>
      </c>
      <c r="I76" s="1041"/>
      <c r="J76" s="358">
        <f>H76/DAY(B2)</f>
        <v>53</v>
      </c>
      <c r="K76" s="83"/>
      <c r="L76" s="68"/>
      <c r="N76" s="369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1">
        <f>'10'!F77</f>
        <v>707131</v>
      </c>
      <c r="F77" s="306">
        <v>707186</v>
      </c>
      <c r="G77" s="303">
        <f t="shared" si="6"/>
        <v>55</v>
      </c>
      <c r="H77" s="356">
        <f>G77+'10'!H77</f>
        <v>733</v>
      </c>
      <c r="I77" s="1041"/>
      <c r="J77" s="358">
        <f>H77/DAY(B2)</f>
        <v>66.63636363636364</v>
      </c>
      <c r="K77" s="83"/>
      <c r="L77" s="68"/>
      <c r="N77" s="369"/>
      <c r="P77" s="73"/>
    </row>
    <row r="78" spans="1:16" ht="27.75">
      <c r="A78" s="774" t="s">
        <v>196</v>
      </c>
      <c r="B78" s="766"/>
      <c r="C78" s="766"/>
      <c r="D78" s="174" t="s">
        <v>186</v>
      </c>
      <c r="E78" s="171">
        <f>'10'!F78</f>
        <v>680037</v>
      </c>
      <c r="F78" s="306">
        <v>680134</v>
      </c>
      <c r="G78" s="303">
        <f t="shared" si="6"/>
        <v>97</v>
      </c>
      <c r="H78" s="356">
        <f>G78+'10'!H78</f>
        <v>1281</v>
      </c>
      <c r="I78" s="1041"/>
      <c r="J78" s="358">
        <f>H78/DAY(B2)</f>
        <v>116.45454545454545</v>
      </c>
      <c r="K78" s="83"/>
      <c r="L78" s="68"/>
      <c r="N78" s="369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1">
        <f>'10'!F79</f>
        <v>841736</v>
      </c>
      <c r="F79" s="306">
        <v>841889</v>
      </c>
      <c r="G79" s="303">
        <f t="shared" si="6"/>
        <v>153</v>
      </c>
      <c r="H79" s="356">
        <f>G79+'10'!H79</f>
        <v>1674</v>
      </c>
      <c r="I79" s="1041"/>
      <c r="J79" s="358">
        <f>H79/DAY(B2)</f>
        <v>152.18181818181819</v>
      </c>
      <c r="K79" s="83"/>
      <c r="L79" s="68"/>
      <c r="N79" s="369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1">
        <f>'10'!F80</f>
        <v>555975</v>
      </c>
      <c r="F80" s="306">
        <v>556376</v>
      </c>
      <c r="G80" s="303">
        <f t="shared" si="6"/>
        <v>401</v>
      </c>
      <c r="H80" s="356">
        <f>G80+'10'!H80</f>
        <v>4424</v>
      </c>
      <c r="I80" s="1041"/>
      <c r="J80" s="358">
        <f>H80/DAY(B2)</f>
        <v>402.18181818181819</v>
      </c>
      <c r="K80" s="83"/>
      <c r="L80" s="68"/>
      <c r="N80" s="369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1">
        <f>'10'!F81</f>
        <v>650649</v>
      </c>
      <c r="F81" s="306">
        <v>650820</v>
      </c>
      <c r="G81" s="303">
        <f t="shared" si="6"/>
        <v>171</v>
      </c>
      <c r="H81" s="356">
        <f>G81+'10'!H81</f>
        <v>1802</v>
      </c>
      <c r="I81" s="1041"/>
      <c r="J81" s="358">
        <f>H81/DAY(B2)</f>
        <v>163.81818181818181</v>
      </c>
      <c r="K81" s="83"/>
      <c r="L81" s="68"/>
      <c r="N81" s="369"/>
      <c r="P81" s="73"/>
    </row>
    <row r="82" spans="1:16" ht="27.75">
      <c r="A82" s="1184" t="s">
        <v>92</v>
      </c>
      <c r="B82" s="1185"/>
      <c r="C82" s="1186"/>
      <c r="D82" s="136" t="s">
        <v>131</v>
      </c>
      <c r="E82" s="171">
        <f>'10'!F82</f>
        <v>109530</v>
      </c>
      <c r="F82" s="302">
        <v>109544</v>
      </c>
      <c r="G82" s="303">
        <f t="shared" si="6"/>
        <v>14</v>
      </c>
      <c r="H82" s="356">
        <f>G82+'10'!H82</f>
        <v>208</v>
      </c>
      <c r="I82" s="356"/>
      <c r="J82" s="358">
        <f>H82/DAY(B2)</f>
        <v>18.90909090909091</v>
      </c>
      <c r="K82" s="83"/>
      <c r="L82" s="68"/>
      <c r="N82" s="369"/>
      <c r="P82" s="73"/>
    </row>
    <row r="83" spans="1:16" ht="27.75">
      <c r="A83" s="1184" t="s">
        <v>199</v>
      </c>
      <c r="B83" s="1185"/>
      <c r="C83" s="1186"/>
      <c r="D83" s="271" t="s">
        <v>131</v>
      </c>
      <c r="E83" s="171">
        <f>'10'!F83</f>
        <v>38172</v>
      </c>
      <c r="F83" s="1016">
        <v>38431</v>
      </c>
      <c r="G83" s="303">
        <f t="shared" si="6"/>
        <v>259</v>
      </c>
      <c r="H83" s="356">
        <f>G83+'10'!H83</f>
        <v>3406</v>
      </c>
      <c r="I83" s="303"/>
      <c r="J83" s="358">
        <f>H83/DAY(B2)</f>
        <v>309.63636363636363</v>
      </c>
      <c r="K83" s="82"/>
      <c r="L83" s="68"/>
      <c r="N83" s="369"/>
      <c r="P83" s="73"/>
    </row>
    <row r="84" spans="1:16">
      <c r="A84" s="775" t="s">
        <v>200</v>
      </c>
      <c r="B84" s="222"/>
      <c r="C84" s="222"/>
      <c r="D84" s="129" t="s">
        <v>131</v>
      </c>
      <c r="E84" s="171">
        <f>'10'!F84</f>
        <v>555030</v>
      </c>
      <c r="F84" s="278">
        <v>555803</v>
      </c>
      <c r="G84" s="303">
        <f t="shared" si="6"/>
        <v>773</v>
      </c>
      <c r="H84" s="356">
        <f>G84+'10'!H84</f>
        <v>8410</v>
      </c>
      <c r="I84" s="303"/>
      <c r="J84" s="358">
        <f>H84/DAY(B2)</f>
        <v>764.5454545454545</v>
      </c>
      <c r="K84" s="71"/>
      <c r="L84" s="68"/>
      <c r="N84" s="369"/>
      <c r="P84" s="73"/>
    </row>
    <row r="85" spans="1:16" s="70" customFormat="1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2169</v>
      </c>
      <c r="H85" s="356">
        <f>G85+'10'!H85</f>
        <v>24526.5</v>
      </c>
      <c r="I85" s="303"/>
      <c r="J85" s="358">
        <f>H85/DAY(B2)</f>
        <v>2229.681818181818</v>
      </c>
      <c r="K85" s="71"/>
      <c r="L85" s="69"/>
      <c r="N85" s="369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'10'!F86</f>
        <v>463063</v>
      </c>
      <c r="F86" s="298">
        <v>463091</v>
      </c>
      <c r="G86" s="356">
        <f>F86-E86</f>
        <v>28</v>
      </c>
      <c r="H86" s="356">
        <f t="shared" ref="H86:H88" si="7">G86</f>
        <v>28</v>
      </c>
      <c r="I86" s="303"/>
      <c r="J86" s="358">
        <f>H86/DAY(B2)</f>
        <v>2.5454545454545454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'10'!F87</f>
        <v>83251</v>
      </c>
      <c r="F87" s="298">
        <v>83286</v>
      </c>
      <c r="G87" s="356">
        <f t="shared" ref="G87:G91" si="8">F87-E87</f>
        <v>35</v>
      </c>
      <c r="H87" s="356">
        <f t="shared" si="7"/>
        <v>35</v>
      </c>
      <c r="I87" s="303"/>
      <c r="J87" s="358">
        <f>H87/DAY(B2)</f>
        <v>3.1818181818181817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'10'!F89</f>
        <v>67583</v>
      </c>
      <c r="F89" s="298">
        <v>67668</v>
      </c>
      <c r="G89" s="356">
        <f t="shared" si="8"/>
        <v>85</v>
      </c>
      <c r="H89" s="356">
        <f>G89</f>
        <v>85</v>
      </c>
      <c r="I89" s="303"/>
      <c r="J89" s="358">
        <f>H89/DAY(B2)</f>
        <v>7.7272727272727275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'10'!F90</f>
        <v>3503</v>
      </c>
      <c r="F90" s="298">
        <v>3510</v>
      </c>
      <c r="G90" s="356">
        <f t="shared" si="8"/>
        <v>7</v>
      </c>
      <c r="H90" s="356">
        <f>G90</f>
        <v>7</v>
      </c>
      <c r="I90" s="303"/>
      <c r="J90" s="358">
        <f>H90/DAY(B2)</f>
        <v>0.63636363636363635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'10'!F91</f>
        <v>28583</v>
      </c>
      <c r="F91" s="298">
        <v>28593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77"/>
      <c r="C92" s="777"/>
      <c r="D92" s="123"/>
      <c r="E92" s="278"/>
      <c r="F92" s="278"/>
      <c r="G92" s="400"/>
      <c r="H92" s="278"/>
      <c r="I92" s="278"/>
      <c r="J92" s="1017"/>
      <c r="K92" s="71"/>
      <c r="L92" s="69"/>
      <c r="N92" s="369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92">
        <f>'10'!F93</f>
        <v>251379</v>
      </c>
      <c r="F93" s="302">
        <v>251464</v>
      </c>
      <c r="G93" s="303">
        <f t="shared" ref="G93:G94" si="9">F93-E93</f>
        <v>85</v>
      </c>
      <c r="H93" s="356">
        <f>G93+'10'!H93</f>
        <v>1150</v>
      </c>
      <c r="I93" s="722"/>
      <c r="J93" s="358">
        <f>H93/DAY(B2)</f>
        <v>104.54545454545455</v>
      </c>
      <c r="K93" s="82"/>
      <c r="L93" s="68"/>
      <c r="N93" s="369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92">
        <f>'10'!F94</f>
        <v>194518</v>
      </c>
      <c r="F94" s="302">
        <v>194651</v>
      </c>
      <c r="G94" s="303">
        <f t="shared" si="9"/>
        <v>133</v>
      </c>
      <c r="H94" s="356">
        <f>G94+'10'!H94</f>
        <v>1753</v>
      </c>
      <c r="I94" s="722"/>
      <c r="J94" s="358">
        <f>H94/DAY(B2)</f>
        <v>159.36363636363637</v>
      </c>
      <c r="K94" s="71"/>
      <c r="L94" s="68"/>
      <c r="N94" s="369"/>
      <c r="P94" s="73"/>
    </row>
    <row r="95" spans="1:16">
      <c r="A95" s="1232" t="s">
        <v>207</v>
      </c>
      <c r="B95" s="1233"/>
      <c r="C95" s="1234"/>
      <c r="D95" s="174"/>
      <c r="E95" s="192">
        <f>'10'!F95</f>
        <v>0</v>
      </c>
      <c r="F95" s="302"/>
      <c r="G95" s="303">
        <f>G93+G94</f>
        <v>218</v>
      </c>
      <c r="H95" s="356">
        <f>G95+'10'!H95</f>
        <v>2597</v>
      </c>
      <c r="I95" s="722"/>
      <c r="J95" s="358">
        <f>H95/DAY(B2)</f>
        <v>236.09090909090909</v>
      </c>
      <c r="K95" s="71"/>
      <c r="L95" s="68"/>
      <c r="N95" s="369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92">
        <f>'10'!F96</f>
        <v>419346</v>
      </c>
      <c r="F96" s="302">
        <v>419415</v>
      </c>
      <c r="G96" s="303">
        <f t="shared" ref="G96:G101" si="10">F96-E96</f>
        <v>69</v>
      </c>
      <c r="H96" s="356">
        <f>G96+'10'!H96</f>
        <v>879</v>
      </c>
      <c r="I96" s="722"/>
      <c r="J96" s="358">
        <f>H96/DAY(B2)</f>
        <v>79.909090909090907</v>
      </c>
      <c r="K96" s="71"/>
      <c r="L96" s="68"/>
      <c r="N96" s="369"/>
      <c r="P96" s="73"/>
    </row>
    <row r="97" spans="1:16" ht="27.75">
      <c r="A97" s="771" t="s">
        <v>209</v>
      </c>
      <c r="B97" s="772"/>
      <c r="C97" s="772"/>
      <c r="D97" s="174" t="s">
        <v>143</v>
      </c>
      <c r="E97" s="192">
        <f>'10'!F97</f>
        <v>104111</v>
      </c>
      <c r="F97" s="302">
        <v>104135</v>
      </c>
      <c r="G97" s="303">
        <f t="shared" si="10"/>
        <v>24</v>
      </c>
      <c r="H97" s="356">
        <f>G97+'10'!H97</f>
        <v>286</v>
      </c>
      <c r="I97" s="722"/>
      <c r="J97" s="358">
        <f>H97/DAY(B2)</f>
        <v>26</v>
      </c>
      <c r="K97" s="80"/>
      <c r="L97" s="68"/>
      <c r="N97" s="369"/>
      <c r="P97" s="73"/>
    </row>
    <row r="98" spans="1:16" ht="27.75">
      <c r="A98" s="771" t="s">
        <v>210</v>
      </c>
      <c r="B98" s="772"/>
      <c r="C98" s="772"/>
      <c r="D98" s="174" t="s">
        <v>143</v>
      </c>
      <c r="E98" s="192">
        <f>'10'!F98</f>
        <v>99744</v>
      </c>
      <c r="F98" s="302">
        <v>99768</v>
      </c>
      <c r="G98" s="303">
        <f t="shared" si="10"/>
        <v>24</v>
      </c>
      <c r="H98" s="356">
        <f>G98+'10'!H98</f>
        <v>320</v>
      </c>
      <c r="I98" s="722"/>
      <c r="J98" s="358">
        <f>H98/DAY(B2)</f>
        <v>29.09090909090909</v>
      </c>
      <c r="K98" s="85"/>
      <c r="L98" s="68"/>
      <c r="N98" s="369"/>
      <c r="P98" s="73"/>
    </row>
    <row r="99" spans="1:16" ht="27.75">
      <c r="A99" s="771" t="s">
        <v>211</v>
      </c>
      <c r="B99" s="772"/>
      <c r="C99" s="772"/>
      <c r="D99" s="174" t="s">
        <v>143</v>
      </c>
      <c r="E99" s="192">
        <f>'10'!F99</f>
        <v>151493</v>
      </c>
      <c r="F99" s="302">
        <v>151513</v>
      </c>
      <c r="G99" s="303">
        <f t="shared" si="10"/>
        <v>20</v>
      </c>
      <c r="H99" s="356">
        <f>G99+'10'!H99</f>
        <v>262</v>
      </c>
      <c r="I99" s="722"/>
      <c r="J99" s="358">
        <f>H99/DAY(B2)</f>
        <v>23.818181818181817</v>
      </c>
      <c r="K99" s="71"/>
      <c r="L99" s="68"/>
      <c r="N99" s="371"/>
      <c r="P99" s="73"/>
    </row>
    <row r="100" spans="1:16" ht="27.75">
      <c r="A100" s="771" t="s">
        <v>212</v>
      </c>
      <c r="B100" s="772"/>
      <c r="C100" s="772"/>
      <c r="D100" s="174" t="s">
        <v>143</v>
      </c>
      <c r="E100" s="192">
        <f>'10'!F100</f>
        <v>8355</v>
      </c>
      <c r="F100" s="302">
        <v>8370</v>
      </c>
      <c r="G100" s="303">
        <f t="shared" si="10"/>
        <v>15</v>
      </c>
      <c r="H100" s="356">
        <f>G100+'10'!H100</f>
        <v>205</v>
      </c>
      <c r="I100" s="722"/>
      <c r="J100" s="358">
        <f>H100/DAY(B2)</f>
        <v>18.636363636363637</v>
      </c>
      <c r="K100" s="71"/>
      <c r="L100" s="68"/>
      <c r="N100" s="369"/>
      <c r="P100" s="73"/>
    </row>
    <row r="101" spans="1:16" ht="27.75">
      <c r="A101" s="771" t="s">
        <v>213</v>
      </c>
      <c r="B101" s="772"/>
      <c r="C101" s="772"/>
      <c r="D101" s="174" t="s">
        <v>143</v>
      </c>
      <c r="E101" s="192">
        <f>'10'!F101</f>
        <v>6107</v>
      </c>
      <c r="F101" s="302">
        <v>6126</v>
      </c>
      <c r="G101" s="303">
        <f t="shared" si="10"/>
        <v>19</v>
      </c>
      <c r="H101" s="356">
        <f>G101+'10'!H101</f>
        <v>135</v>
      </c>
      <c r="I101" s="722"/>
      <c r="J101" s="358">
        <f>H101/DAY(B2)</f>
        <v>12.272727272727273</v>
      </c>
      <c r="K101" s="71"/>
      <c r="L101" s="68"/>
      <c r="N101" s="369"/>
      <c r="P101" s="73"/>
    </row>
    <row r="102" spans="1:16">
      <c r="A102" s="1232" t="s">
        <v>215</v>
      </c>
      <c r="B102" s="1233"/>
      <c r="C102" s="1234"/>
      <c r="D102" s="175"/>
      <c r="E102" s="192"/>
      <c r="F102" s="278"/>
      <c r="G102" s="400">
        <f>SUM(G96:G101)</f>
        <v>171</v>
      </c>
      <c r="H102" s="356">
        <f>G102+'10'!H102</f>
        <v>2087</v>
      </c>
      <c r="I102" s="1052"/>
      <c r="J102" s="358">
        <f>H102/DAY(B2)</f>
        <v>189.72727272727272</v>
      </c>
      <c r="K102" s="71"/>
      <c r="L102" s="68"/>
      <c r="N102" s="369"/>
      <c r="P102" s="73"/>
    </row>
    <row r="103" spans="1:16" s="93" customFormat="1" ht="27">
      <c r="A103" s="258" t="s">
        <v>216</v>
      </c>
      <c r="B103" s="259"/>
      <c r="C103" s="259"/>
      <c r="D103" s="272"/>
      <c r="E103" s="192"/>
      <c r="F103" s="1053"/>
      <c r="G103" s="1054"/>
      <c r="H103" s="1055"/>
      <c r="I103" s="1056"/>
      <c r="J103" s="1057"/>
      <c r="N103" s="369"/>
      <c r="P103" s="73"/>
    </row>
    <row r="104" spans="1:16" s="93" customFormat="1" ht="27.75">
      <c r="A104" s="1235" t="s">
        <v>217</v>
      </c>
      <c r="B104" s="1236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>
      <c r="A105" s="1192" t="s">
        <v>218</v>
      </c>
      <c r="B105" s="1193"/>
      <c r="C105" s="770"/>
      <c r="D105" s="273" t="s">
        <v>143</v>
      </c>
      <c r="E105" s="192">
        <f>'10'!F105</f>
        <v>7937</v>
      </c>
      <c r="F105" s="310">
        <v>7937</v>
      </c>
      <c r="G105" s="185">
        <f>F105-E105</f>
        <v>0</v>
      </c>
      <c r="H105" s="187">
        <f>SUM(G105+'1'!G76)</f>
        <v>59.6299999999992</v>
      </c>
      <c r="I105" s="185"/>
      <c r="J105" s="210">
        <f>H105/DAY(B2)</f>
        <v>5.4209090909090181</v>
      </c>
      <c r="N105" s="369"/>
      <c r="P105" s="73"/>
    </row>
    <row r="106" spans="1:16" s="93" customFormat="1" ht="27.75">
      <c r="A106" s="1192" t="s">
        <v>76</v>
      </c>
      <c r="B106" s="1193"/>
      <c r="C106" s="770"/>
      <c r="D106" s="273" t="s">
        <v>143</v>
      </c>
      <c r="E106" s="192">
        <f>'10'!F106</f>
        <v>36557</v>
      </c>
      <c r="F106" s="310">
        <v>36565</v>
      </c>
      <c r="G106" s="185">
        <f t="shared" ref="G106:G107" si="11">F106-E106</f>
        <v>8</v>
      </c>
      <c r="H106" s="187">
        <f>SUM(G106+'1'!G77)</f>
        <v>67</v>
      </c>
      <c r="I106" s="185"/>
      <c r="J106" s="210">
        <f>H106/DAY(B2)</f>
        <v>6.0909090909090908</v>
      </c>
      <c r="N106" s="369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92">
        <f>'10'!F107</f>
        <v>20037</v>
      </c>
      <c r="F107" s="310">
        <v>20044</v>
      </c>
      <c r="G107" s="185">
        <f t="shared" si="11"/>
        <v>7</v>
      </c>
      <c r="H107" s="187">
        <f>SUM(G107+'1'!G78)</f>
        <v>151</v>
      </c>
      <c r="I107" s="185"/>
      <c r="J107" s="210">
        <f>H107/DAY(B2)</f>
        <v>13.727272727272727</v>
      </c>
      <c r="N107" s="369"/>
      <c r="P107" s="73"/>
    </row>
    <row r="108" spans="1:16" s="93" customFormat="1" ht="27.75">
      <c r="A108" s="1194" t="s">
        <v>201</v>
      </c>
      <c r="B108" s="1195"/>
      <c r="C108" s="770"/>
      <c r="D108" s="273"/>
      <c r="E108" s="192"/>
      <c r="F108" s="310"/>
      <c r="G108" s="185">
        <f>SUM(G105:G107)</f>
        <v>15</v>
      </c>
      <c r="H108" s="187">
        <f>SUM(G108+'1'!G79)</f>
        <v>158</v>
      </c>
      <c r="I108" s="185"/>
      <c r="J108" s="210">
        <f>H108/DAY(B2)</f>
        <v>14.363636363636363</v>
      </c>
      <c r="N108" s="369"/>
      <c r="P108" s="73"/>
    </row>
    <row r="109" spans="1:16" s="93" customFormat="1" ht="27.75">
      <c r="A109" s="1198" t="s">
        <v>78</v>
      </c>
      <c r="B109" s="1199"/>
      <c r="C109" s="770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>
      <c r="A110" s="1192" t="s">
        <v>219</v>
      </c>
      <c r="B110" s="1193"/>
      <c r="C110" s="770"/>
      <c r="D110" s="273" t="s">
        <v>143</v>
      </c>
      <c r="E110" s="192">
        <f>'10'!F110</f>
        <v>67915</v>
      </c>
      <c r="F110" s="310">
        <v>67992</v>
      </c>
      <c r="G110" s="185">
        <f>F110-E110</f>
        <v>77</v>
      </c>
      <c r="H110" s="187">
        <f>SUM(G110+'1'!G81)</f>
        <v>242.56000000005588</v>
      </c>
      <c r="I110" s="185"/>
      <c r="J110" s="210">
        <f>H110/DAY(B2)</f>
        <v>22.050909090914171</v>
      </c>
      <c r="N110" s="369"/>
      <c r="P110" s="73"/>
    </row>
    <row r="111" spans="1:16" s="93" customFormat="1" ht="27.75">
      <c r="A111" s="1192" t="s">
        <v>220</v>
      </c>
      <c r="B111" s="1193"/>
      <c r="C111" s="770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13.279999999998836</v>
      </c>
      <c r="I111" s="185"/>
      <c r="J111" s="210">
        <f>H111/DAY(B2)</f>
        <v>1.2072727272726214</v>
      </c>
      <c r="N111" s="369"/>
      <c r="P111" s="73"/>
    </row>
    <row r="112" spans="1:16" s="93" customFormat="1" ht="27.75">
      <c r="A112" s="1192" t="s">
        <v>221</v>
      </c>
      <c r="B112" s="1193"/>
      <c r="C112" s="770"/>
      <c r="D112" s="273" t="s">
        <v>143</v>
      </c>
      <c r="E112" s="192">
        <f>'10'!F112</f>
        <v>4687</v>
      </c>
      <c r="F112" s="310">
        <v>4689</v>
      </c>
      <c r="G112" s="185">
        <f t="shared" si="12"/>
        <v>2</v>
      </c>
      <c r="H112" s="187">
        <f>SUM(G112+'1'!G83)</f>
        <v>307</v>
      </c>
      <c r="I112" s="185"/>
      <c r="J112" s="210">
        <f>H112/DAY(B2)</f>
        <v>27.90909090909091</v>
      </c>
      <c r="N112" s="369"/>
      <c r="P112" s="73"/>
    </row>
    <row r="113" spans="1:16" s="93" customFormat="1" ht="27.75">
      <c r="A113" s="1194" t="s">
        <v>109</v>
      </c>
      <c r="B113" s="1195"/>
      <c r="C113" s="770"/>
      <c r="D113" s="273"/>
      <c r="E113" s="192"/>
      <c r="F113" s="310"/>
      <c r="G113" s="185">
        <f>SUM(G110:G112)</f>
        <v>79</v>
      </c>
      <c r="H113" s="187">
        <f>SUM(G113+'1'!G84)</f>
        <v>888</v>
      </c>
      <c r="I113" s="185"/>
      <c r="J113" s="210">
        <f>H113/DAY(B2)</f>
        <v>80.727272727272734</v>
      </c>
      <c r="N113" s="369"/>
      <c r="P113" s="73"/>
    </row>
    <row r="114" spans="1:16" s="93" customFormat="1" ht="27.75">
      <c r="A114" s="1198" t="s">
        <v>222</v>
      </c>
      <c r="B114" s="1199"/>
      <c r="C114" s="770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92">
        <f>'10'!F115</f>
        <v>12688</v>
      </c>
      <c r="F115" s="310">
        <v>12705</v>
      </c>
      <c r="G115" s="185">
        <f>F115-E115</f>
        <v>17</v>
      </c>
      <c r="H115" s="187">
        <f>SUM(G115+'1'!G92)</f>
        <v>17</v>
      </c>
      <c r="I115" s="185"/>
      <c r="J115" s="210">
        <f>H115/DAY(B2)</f>
        <v>1.5454545454545454</v>
      </c>
      <c r="N115" s="369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92">
        <f>'10'!F116</f>
        <v>8915</v>
      </c>
      <c r="F116" s="310">
        <v>8930</v>
      </c>
      <c r="G116" s="185">
        <f t="shared" ref="G116:G117" si="13">F116-E116</f>
        <v>15</v>
      </c>
      <c r="H116" s="187">
        <f>SUM(G116+'1'!G93)</f>
        <v>150</v>
      </c>
      <c r="I116" s="185"/>
      <c r="J116" s="210">
        <f>H116/DAY(B2)</f>
        <v>13.636363636363637</v>
      </c>
      <c r="N116" s="369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171</v>
      </c>
      <c r="I117" s="185"/>
      <c r="J117" s="210">
        <f>H117/DAY(B2)</f>
        <v>15.545454545454545</v>
      </c>
      <c r="N117" s="369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32</v>
      </c>
      <c r="H118" s="187">
        <f>SUM(G118+'1'!G96)</f>
        <v>102</v>
      </c>
      <c r="I118" s="185"/>
      <c r="J118" s="210">
        <f>H118/DAY(B2)</f>
        <v>9.2727272727272734</v>
      </c>
      <c r="N118" s="369"/>
      <c r="P118" s="73"/>
    </row>
    <row r="119" spans="1:16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149</v>
      </c>
      <c r="G119" s="187">
        <f>SUM(G19+G93)</f>
        <v>149</v>
      </c>
      <c r="H119" s="187">
        <f>SUM(G119+'1'!G97)</f>
        <v>183</v>
      </c>
      <c r="I119" s="186"/>
      <c r="J119" s="210">
        <f>H119/DAY(B2)</f>
        <v>16.636363636363637</v>
      </c>
      <c r="N119" s="369"/>
      <c r="P119" s="73"/>
    </row>
    <row r="120" spans="1:16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151</v>
      </c>
      <c r="G120" s="187">
        <f>SUM(G96,G97,G98,G100,G101)</f>
        <v>151</v>
      </c>
      <c r="H120" s="187">
        <f>SUM(G120+'1'!G99)</f>
        <v>157</v>
      </c>
      <c r="I120" s="186"/>
      <c r="J120" s="210">
        <f>H120/DAY(B2)</f>
        <v>14.272727272727273</v>
      </c>
      <c r="N120" s="369"/>
      <c r="P120" s="73"/>
    </row>
    <row r="121" spans="1:16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7">
        <f>SUM(G121+'1'!G101)</f>
        <v>94</v>
      </c>
      <c r="I121" s="186"/>
      <c r="J121" s="210">
        <f>H121/DAY(B2)</f>
        <v>8.545454545454545</v>
      </c>
      <c r="N121" s="369"/>
      <c r="P121" s="73"/>
    </row>
    <row r="122" spans="1:16" s="93" customFormat="1" ht="27.75">
      <c r="A122" s="1190"/>
      <c r="B122" s="1191"/>
      <c r="C122" s="769"/>
      <c r="D122" s="211"/>
      <c r="E122" s="1058"/>
      <c r="F122" s="1059" t="s">
        <v>214</v>
      </c>
      <c r="G122" s="1058"/>
      <c r="H122" s="1060"/>
      <c r="I122" s="1058"/>
      <c r="J122" s="1061"/>
      <c r="N122" s="369"/>
      <c r="P122" s="73"/>
    </row>
    <row r="123" spans="1:16">
      <c r="A123" s="1229" t="s">
        <v>229</v>
      </c>
      <c r="B123" s="1230"/>
      <c r="C123" s="1231"/>
      <c r="D123" s="123"/>
      <c r="E123" s="278"/>
      <c r="F123" s="278"/>
      <c r="G123" s="298"/>
      <c r="H123" s="298"/>
      <c r="I123" s="298"/>
      <c r="J123" s="1062"/>
      <c r="K123" s="71"/>
      <c r="L123" s="68"/>
      <c r="N123" s="369"/>
      <c r="P123" s="73"/>
    </row>
    <row r="124" spans="1:16" ht="27.75">
      <c r="A124" s="771" t="s">
        <v>230</v>
      </c>
      <c r="B124" s="772"/>
      <c r="C124" s="772"/>
      <c r="D124" s="174" t="s">
        <v>140</v>
      </c>
      <c r="E124" s="302">
        <f>'10'!F124</f>
        <v>850615</v>
      </c>
      <c r="F124" s="302">
        <v>850896</v>
      </c>
      <c r="G124" s="303">
        <f t="shared" ref="G124:G128" si="14">F124-E124</f>
        <v>281</v>
      </c>
      <c r="H124" s="356">
        <f>G124+'10'!H124</f>
        <v>2930</v>
      </c>
      <c r="I124" s="1052"/>
      <c r="J124" s="358">
        <f>H124/DAY(B2)</f>
        <v>266.36363636363637</v>
      </c>
      <c r="K124" s="71"/>
      <c r="L124" s="68"/>
      <c r="N124" s="369"/>
      <c r="P124" s="73"/>
    </row>
    <row r="125" spans="1:16" ht="27.75">
      <c r="A125" s="771" t="s">
        <v>231</v>
      </c>
      <c r="B125" s="772"/>
      <c r="C125" s="772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52"/>
      <c r="J125" s="358">
        <f>H125/DAY(B2)</f>
        <v>0</v>
      </c>
      <c r="K125" s="71"/>
      <c r="L125" s="68"/>
      <c r="N125" s="369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302">
        <f>'10'!F126</f>
        <v>152169</v>
      </c>
      <c r="F126" s="302">
        <v>152260</v>
      </c>
      <c r="G126" s="303">
        <f t="shared" si="14"/>
        <v>91</v>
      </c>
      <c r="H126" s="356">
        <f>G126+'10'!H126</f>
        <v>939</v>
      </c>
      <c r="I126" s="1052"/>
      <c r="J126" s="358">
        <f>H126/DAY(B2)</f>
        <v>85.36363636363636</v>
      </c>
      <c r="K126" s="71"/>
      <c r="L126" s="68"/>
      <c r="N126" s="369"/>
      <c r="P126" s="73"/>
    </row>
    <row r="127" spans="1:16" ht="27.75">
      <c r="A127" s="260" t="s">
        <v>233</v>
      </c>
      <c r="B127" s="772"/>
      <c r="C127" s="772"/>
      <c r="D127" s="174" t="s">
        <v>140</v>
      </c>
      <c r="E127" s="302">
        <f>'10'!F127</f>
        <v>33703</v>
      </c>
      <c r="F127" s="302">
        <v>33753</v>
      </c>
      <c r="G127" s="303">
        <f t="shared" si="14"/>
        <v>50</v>
      </c>
      <c r="H127" s="356">
        <f>G127+'10'!H127</f>
        <v>465</v>
      </c>
      <c r="I127" s="1052"/>
      <c r="J127" s="358">
        <f>H127/DAY(B2)</f>
        <v>42.272727272727273</v>
      </c>
      <c r="K127" s="71"/>
      <c r="L127" s="68"/>
      <c r="N127" s="369"/>
      <c r="P127" s="73"/>
    </row>
    <row r="128" spans="1:16" ht="27.75">
      <c r="A128" s="260" t="s">
        <v>234</v>
      </c>
      <c r="B128" s="772"/>
      <c r="C128" s="772"/>
      <c r="D128" s="174" t="s">
        <v>140</v>
      </c>
      <c r="E128" s="302">
        <f>'10'!F128</f>
        <v>9131</v>
      </c>
      <c r="F128" s="302">
        <v>9133</v>
      </c>
      <c r="G128" s="303">
        <f t="shared" si="14"/>
        <v>2</v>
      </c>
      <c r="H128" s="356">
        <f>G128+'10'!H128</f>
        <v>20</v>
      </c>
      <c r="I128" s="722"/>
      <c r="J128" s="358">
        <f>H128/DAY(B2)</f>
        <v>1.8181818181818181</v>
      </c>
      <c r="K128" s="71"/>
      <c r="L128" s="68"/>
      <c r="N128" s="369"/>
      <c r="P128" s="73"/>
    </row>
    <row r="129" spans="1:16" s="57" customFormat="1" ht="27.75">
      <c r="A129" s="260" t="s">
        <v>235</v>
      </c>
      <c r="B129" s="772"/>
      <c r="C129" s="772"/>
      <c r="D129" s="174"/>
      <c r="E129" s="302"/>
      <c r="F129" s="302"/>
      <c r="G129" s="303">
        <f>G15-SUM(G124:G128)</f>
        <v>402</v>
      </c>
      <c r="H129" s="356"/>
      <c r="I129" s="722"/>
      <c r="J129" s="358"/>
      <c r="K129" s="60"/>
      <c r="L129" s="58"/>
      <c r="N129" s="369"/>
      <c r="P129" s="73"/>
    </row>
    <row r="130" spans="1:16">
      <c r="A130" s="261" t="s">
        <v>236</v>
      </c>
      <c r="B130" s="109"/>
      <c r="C130" s="109"/>
      <c r="D130" s="122"/>
      <c r="E130" s="1016"/>
      <c r="F130" s="1016"/>
      <c r="G130" s="1063"/>
      <c r="H130" s="1063"/>
      <c r="I130" s="1063"/>
      <c r="J130" s="1064"/>
      <c r="N130" s="369"/>
      <c r="P130" s="73"/>
    </row>
    <row r="131" spans="1:16" ht="27.75">
      <c r="A131" s="771" t="s">
        <v>237</v>
      </c>
      <c r="B131" s="772"/>
      <c r="C131" s="772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22"/>
      <c r="J131" s="358">
        <f>H131/DAY(B2)</f>
        <v>0</v>
      </c>
      <c r="N131" s="369"/>
      <c r="P131" s="73"/>
    </row>
    <row r="132" spans="1:16" ht="27.75">
      <c r="A132" s="771" t="s">
        <v>239</v>
      </c>
      <c r="B132" s="772"/>
      <c r="C132" s="772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22"/>
      <c r="J132" s="358">
        <f>H132/DAY(B2)</f>
        <v>0</v>
      </c>
      <c r="N132" s="369"/>
      <c r="P132" s="73"/>
    </row>
    <row r="133" spans="1:16" ht="27.75">
      <c r="A133" s="771" t="s">
        <v>240</v>
      </c>
      <c r="B133" s="772"/>
      <c r="C133" s="772"/>
      <c r="D133" s="174" t="s">
        <v>238</v>
      </c>
      <c r="E133" s="192">
        <f>'10'!F133</f>
        <v>40685</v>
      </c>
      <c r="F133" s="302">
        <v>40709</v>
      </c>
      <c r="G133" s="303">
        <f t="shared" si="15"/>
        <v>24</v>
      </c>
      <c r="H133" s="356">
        <f>G133+'10'!H133</f>
        <v>90</v>
      </c>
      <c r="I133" s="722"/>
      <c r="J133" s="358">
        <f>H133/DAY(B2)</f>
        <v>8.1818181818181817</v>
      </c>
      <c r="N133" s="369"/>
      <c r="P133" s="73"/>
    </row>
    <row r="134" spans="1:16" ht="27.75">
      <c r="A134" s="771" t="s">
        <v>241</v>
      </c>
      <c r="B134" s="772"/>
      <c r="C134" s="772"/>
      <c r="D134" s="174" t="s">
        <v>238</v>
      </c>
      <c r="E134" s="192">
        <f>'10'!F134</f>
        <v>724.25</v>
      </c>
      <c r="F134" s="302">
        <v>724.25</v>
      </c>
      <c r="G134" s="303">
        <f t="shared" si="15"/>
        <v>0</v>
      </c>
      <c r="H134" s="356">
        <f>G134+'10'!H134</f>
        <v>150.25</v>
      </c>
      <c r="I134" s="722">
        <f>G131+G132+G133+G134</f>
        <v>24</v>
      </c>
      <c r="J134" s="358">
        <f>H134/DAY(B2)</f>
        <v>13.659090909090908</v>
      </c>
      <c r="N134" s="369"/>
      <c r="P134" s="73"/>
    </row>
    <row r="135" spans="1:16" ht="27.75">
      <c r="A135" s="771" t="s">
        <v>242</v>
      </c>
      <c r="B135" s="772"/>
      <c r="C135" s="772"/>
      <c r="D135" s="174" t="s">
        <v>238</v>
      </c>
      <c r="E135" s="192">
        <f>'10'!F135</f>
        <v>42605.43</v>
      </c>
      <c r="F135" s="302">
        <v>42613</v>
      </c>
      <c r="G135" s="303">
        <f t="shared" si="15"/>
        <v>7.569999999999709</v>
      </c>
      <c r="H135" s="356">
        <f>G135+'10'!H135</f>
        <v>114</v>
      </c>
      <c r="I135" s="722"/>
      <c r="J135" s="358">
        <f>H135/DAY(B2)</f>
        <v>10.363636363636363</v>
      </c>
      <c r="N135" s="369"/>
      <c r="P135" s="73"/>
    </row>
    <row r="136" spans="1:16" ht="27.75">
      <c r="A136" s="771" t="s">
        <v>243</v>
      </c>
      <c r="B136" s="772"/>
      <c r="C136" s="772"/>
      <c r="D136" s="174" t="s">
        <v>238</v>
      </c>
      <c r="E136" s="192">
        <f>'10'!F136</f>
        <v>32874.050000000003</v>
      </c>
      <c r="F136" s="302">
        <v>32874.050000000003</v>
      </c>
      <c r="G136" s="303">
        <f t="shared" si="15"/>
        <v>0</v>
      </c>
      <c r="H136" s="356">
        <f>G136+'10'!H136</f>
        <v>5.0000000002910383E-2</v>
      </c>
      <c r="I136" s="722"/>
      <c r="J136" s="358">
        <f>H136/DAY(B2)</f>
        <v>4.5454545457191261E-3</v>
      </c>
      <c r="N136" s="369"/>
      <c r="P136" s="73"/>
    </row>
    <row r="137" spans="1:16" ht="27.75">
      <c r="A137" s="771" t="s">
        <v>244</v>
      </c>
      <c r="B137" s="772"/>
      <c r="C137" s="772"/>
      <c r="D137" s="174" t="s">
        <v>238</v>
      </c>
      <c r="E137" s="192">
        <f>'10'!F137</f>
        <v>23189</v>
      </c>
      <c r="F137" s="302">
        <v>23196</v>
      </c>
      <c r="G137" s="303">
        <f t="shared" si="15"/>
        <v>7</v>
      </c>
      <c r="H137" s="356">
        <f>G137+'10'!H137</f>
        <v>89.43999999999869</v>
      </c>
      <c r="I137" s="722">
        <f>G135+G136+G137</f>
        <v>14.569999999999709</v>
      </c>
      <c r="J137" s="358">
        <f>H137/DAY(B2)</f>
        <v>8.1309090909089718</v>
      </c>
      <c r="N137" s="369"/>
      <c r="P137" s="73"/>
    </row>
    <row r="138" spans="1:16" ht="27.75">
      <c r="A138" s="771" t="s">
        <v>245</v>
      </c>
      <c r="B138" s="772"/>
      <c r="C138" s="772"/>
      <c r="D138" s="174" t="s">
        <v>238</v>
      </c>
      <c r="E138" s="192">
        <f>'10'!F138</f>
        <v>25119</v>
      </c>
      <c r="F138" s="302">
        <v>25119</v>
      </c>
      <c r="G138" s="303">
        <f t="shared" si="15"/>
        <v>0</v>
      </c>
      <c r="H138" s="356">
        <f>G138+'10'!H138</f>
        <v>-0.4500000000007276</v>
      </c>
      <c r="I138" s="722"/>
      <c r="J138" s="358">
        <f>H138/DAY(B2)</f>
        <v>-4.0909090909157057E-2</v>
      </c>
      <c r="N138" s="369"/>
      <c r="P138" s="73"/>
    </row>
    <row r="139" spans="1:16" ht="27.75">
      <c r="A139" s="771" t="s">
        <v>246</v>
      </c>
      <c r="B139" s="772"/>
      <c r="C139" s="772"/>
      <c r="D139" s="174" t="s">
        <v>238</v>
      </c>
      <c r="E139" s="192">
        <f>'10'!F139</f>
        <v>70518</v>
      </c>
      <c r="F139" s="302">
        <v>70518</v>
      </c>
      <c r="G139" s="303">
        <f t="shared" si="15"/>
        <v>0</v>
      </c>
      <c r="H139" s="356">
        <f>G139+'10'!H139</f>
        <v>1.3999999999941792</v>
      </c>
      <c r="I139" s="722">
        <f>G138+G139</f>
        <v>0</v>
      </c>
      <c r="J139" s="358">
        <f>H139/DAY(B2)</f>
        <v>0.1272727272721981</v>
      </c>
      <c r="N139" s="369"/>
      <c r="P139" s="73"/>
    </row>
    <row r="140" spans="1:16" ht="27.75">
      <c r="A140" s="771" t="s">
        <v>247</v>
      </c>
      <c r="B140" s="772"/>
      <c r="C140" s="772"/>
      <c r="D140" s="174" t="s">
        <v>238</v>
      </c>
      <c r="E140" s="192">
        <f>'10'!F140</f>
        <v>2409</v>
      </c>
      <c r="F140" s="302">
        <v>2419</v>
      </c>
      <c r="G140" s="303">
        <f t="shared" si="15"/>
        <v>10</v>
      </c>
      <c r="H140" s="356">
        <f>G140+'10'!H140</f>
        <v>107.44000000000005</v>
      </c>
      <c r="I140" s="186"/>
      <c r="J140" s="358">
        <f>H140/DAY(B2)</f>
        <v>9.7672727272727329</v>
      </c>
      <c r="N140" s="369"/>
      <c r="P140" s="73"/>
    </row>
    <row r="141" spans="1:16" ht="27.75">
      <c r="A141" s="771" t="s">
        <v>248</v>
      </c>
      <c r="B141" s="772"/>
      <c r="C141" s="772"/>
      <c r="D141" s="174" t="s">
        <v>238</v>
      </c>
      <c r="E141" s="192">
        <f>'10'!F141</f>
        <v>4753.67</v>
      </c>
      <c r="F141" s="302">
        <v>4753.67</v>
      </c>
      <c r="G141" s="303">
        <f t="shared" si="15"/>
        <v>0</v>
      </c>
      <c r="H141" s="356">
        <f>G141+'10'!H141</f>
        <v>-0.32999999999992724</v>
      </c>
      <c r="I141" s="186"/>
      <c r="J141" s="358">
        <f>H141/DAY(B2)</f>
        <v>-2.9999999999993386E-2</v>
      </c>
      <c r="N141" s="369"/>
      <c r="P141" s="73"/>
    </row>
    <row r="142" spans="1:16">
      <c r="A142" s="1203" t="s">
        <v>249</v>
      </c>
      <c r="B142" s="1204"/>
      <c r="C142" s="777"/>
      <c r="D142" s="123"/>
      <c r="E142" s="278"/>
      <c r="F142" s="278"/>
      <c r="G142" s="298"/>
      <c r="H142" s="298"/>
      <c r="I142" s="298"/>
      <c r="J142" s="1062"/>
      <c r="K142" s="71"/>
      <c r="L142" s="68"/>
      <c r="N142" s="369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278"/>
      <c r="F143" s="278"/>
      <c r="G143" s="356">
        <f>G35+G43+G49+G57</f>
        <v>6013</v>
      </c>
      <c r="H143" s="356">
        <f>G143+'10'!H143</f>
        <v>64523.699999999953</v>
      </c>
      <c r="I143" s="722"/>
      <c r="J143" s="358">
        <f>H143/DAY(B2)</f>
        <v>5865.7909090909052</v>
      </c>
      <c r="K143" s="71"/>
      <c r="L143" s="68"/>
      <c r="N143" s="369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016"/>
      <c r="F144" s="1016"/>
      <c r="G144" s="1065">
        <f>G143/G7</f>
        <v>0.27888316868419832</v>
      </c>
      <c r="H144" s="356">
        <f>G144+'10'!H144</f>
        <v>2.8838729075596605</v>
      </c>
      <c r="I144" s="195"/>
      <c r="J144" s="358">
        <f>H144/DAY(B2)</f>
        <v>0.26217026432360552</v>
      </c>
      <c r="K144" s="71"/>
      <c r="L144" s="68"/>
      <c r="N144" s="369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357"/>
      <c r="F145" s="357"/>
      <c r="G145" s="356">
        <f>G41+G42+G55+G56</f>
        <v>6303</v>
      </c>
      <c r="H145" s="356">
        <f>G145+'10'!H145</f>
        <v>76192</v>
      </c>
      <c r="I145" s="722"/>
      <c r="J145" s="358">
        <f>H145/DAY(B2)</f>
        <v>6926.545454545455</v>
      </c>
      <c r="K145" s="71"/>
      <c r="L145" s="68"/>
      <c r="N145" s="369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357"/>
      <c r="F146" s="357"/>
      <c r="G146" s="1065">
        <f>G145/G7</f>
        <v>0.29233337971337137</v>
      </c>
      <c r="H146" s="356">
        <f>G146+'10'!H146</f>
        <v>3.3916430949002407</v>
      </c>
      <c r="I146" s="195"/>
      <c r="J146" s="358">
        <f>H146/DAY(B2)</f>
        <v>0.30833119044547641</v>
      </c>
      <c r="K146" s="71"/>
      <c r="L146" s="68"/>
      <c r="N146" s="369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357"/>
      <c r="F147" s="357"/>
      <c r="G147" s="356">
        <f>G39+G53</f>
        <v>3772.5900000000256</v>
      </c>
      <c r="H147" s="356">
        <f>G147+'10'!H147</f>
        <v>41378.590000000026</v>
      </c>
      <c r="I147" s="1066"/>
      <c r="J147" s="358">
        <f>H147/DAY(B2)</f>
        <v>3761.6900000000023</v>
      </c>
      <c r="K147" s="71"/>
      <c r="L147" s="68"/>
      <c r="N147" s="369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357"/>
      <c r="F148" s="357"/>
      <c r="G148" s="1065">
        <f>G147/G7</f>
        <v>0.17497286767775269</v>
      </c>
      <c r="H148" s="356">
        <f>G148+'10'!H148</f>
        <v>1.8553218802464793</v>
      </c>
      <c r="I148" s="1066"/>
      <c r="J148" s="358">
        <f>H148/DAY(B2)</f>
        <v>0.16866562547695266</v>
      </c>
      <c r="N148" s="369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357"/>
      <c r="F149" s="357"/>
      <c r="G149" s="356">
        <f>G38+G52</f>
        <v>1631</v>
      </c>
      <c r="H149" s="356">
        <f>G149+'10'!H149</f>
        <v>18614.069999999949</v>
      </c>
      <c r="I149" s="722"/>
      <c r="J149" s="358">
        <f>H149/DAY(B2)</f>
        <v>1692.1881818181771</v>
      </c>
      <c r="K149" s="72"/>
      <c r="N149" s="369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357"/>
      <c r="F150" s="357" t="s">
        <v>214</v>
      </c>
      <c r="G150" s="1065">
        <f>G149/G7</f>
        <v>7.564584202959046E-2</v>
      </c>
      <c r="H150" s="356">
        <f>G150+'10'!H150</f>
        <v>0.83270528315773407</v>
      </c>
      <c r="I150" s="1066"/>
      <c r="J150" s="358">
        <f>H150/DAY(B2)</f>
        <v>7.5700480287066732E-2</v>
      </c>
      <c r="N150" s="369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357"/>
      <c r="F151" s="357"/>
      <c r="G151" s="356">
        <f>G36+G50</f>
        <v>1744</v>
      </c>
      <c r="H151" s="356">
        <f>G151+'10'!H151</f>
        <v>20856</v>
      </c>
      <c r="I151" s="1066"/>
      <c r="J151" s="358">
        <f>H151/DAY(B2)</f>
        <v>1896</v>
      </c>
      <c r="N151" s="369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357"/>
      <c r="F152" s="357"/>
      <c r="G152" s="1065">
        <f>G151/G7</f>
        <v>8.0886786327164784E-2</v>
      </c>
      <c r="H152" s="356">
        <f>G152+'10'!H152</f>
        <v>0.92937220644445961</v>
      </c>
      <c r="I152" s="722"/>
      <c r="J152" s="358">
        <f>H152/DAY(B2)</f>
        <v>8.4488382404041787E-2</v>
      </c>
      <c r="N152" s="369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357"/>
      <c r="F153" s="357"/>
      <c r="G153" s="356">
        <f>G37+G51</f>
        <v>1551</v>
      </c>
      <c r="H153" s="356">
        <f>G153+'10'!H153</f>
        <v>17563.869999999995</v>
      </c>
      <c r="I153" s="722"/>
      <c r="J153" s="358"/>
      <c r="N153" s="369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1067"/>
      <c r="F154" s="1067"/>
      <c r="G154" s="1068">
        <f>G153/G7</f>
        <v>7.1935438987059966E-2</v>
      </c>
      <c r="H154" s="356">
        <f>G154+'10'!H154</f>
        <v>0.78591058904135014</v>
      </c>
      <c r="I154" s="1069"/>
      <c r="J154" s="1070">
        <f>H154/DAY(B2)</f>
        <v>7.1446417185577288E-2</v>
      </c>
      <c r="N154" s="369"/>
      <c r="P154" s="73"/>
    </row>
    <row r="155" spans="1:16">
      <c r="A155" s="117"/>
      <c r="B155" s="107"/>
      <c r="C155" s="107"/>
      <c r="D155" s="197"/>
      <c r="E155" s="1071"/>
      <c r="F155" s="1072"/>
      <c r="G155" s="1071"/>
      <c r="H155" s="1073"/>
      <c r="I155" s="1071"/>
      <c r="J155" s="1074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302">
        <f>'10'!F161</f>
        <v>44121</v>
      </c>
      <c r="F161" s="310">
        <v>44200</v>
      </c>
      <c r="G161" s="303">
        <f t="shared" ref="G161:G175" si="16">F161-E161</f>
        <v>79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302">
        <f>'10'!F162</f>
        <v>126756</v>
      </c>
      <c r="F162" s="310">
        <v>127225</v>
      </c>
      <c r="G162" s="303">
        <f t="shared" si="16"/>
        <v>469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302">
        <f>'10'!F163</f>
        <v>59489</v>
      </c>
      <c r="F163" s="310">
        <v>59690</v>
      </c>
      <c r="G163" s="303">
        <f t="shared" si="16"/>
        <v>201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302">
        <f>'10'!F164</f>
        <v>7236</v>
      </c>
      <c r="F164" s="310">
        <v>7245</v>
      </c>
      <c r="G164" s="303">
        <f t="shared" si="16"/>
        <v>9</v>
      </c>
      <c r="N164" s="369"/>
    </row>
    <row r="165" spans="1:14" ht="37.5" customHeight="1">
      <c r="A165" s="437" t="s">
        <v>97</v>
      </c>
      <c r="B165" s="255"/>
      <c r="C165" s="255"/>
      <c r="D165" s="162" t="s">
        <v>186</v>
      </c>
      <c r="E165" s="302">
        <f>'10'!F165</f>
        <v>0</v>
      </c>
      <c r="F165" s="758">
        <f>F62</f>
        <v>0</v>
      </c>
      <c r="G165" s="303">
        <f t="shared" si="16"/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302">
        <f>'10'!F166</f>
        <v>0</v>
      </c>
      <c r="F166" s="758">
        <f>F63</f>
        <v>0</v>
      </c>
      <c r="G166" s="303">
        <f t="shared" si="16"/>
        <v>0</v>
      </c>
      <c r="H166" s="1077" t="s">
        <v>272</v>
      </c>
      <c r="N166" s="369"/>
    </row>
    <row r="167" spans="1:14" ht="35.25" customHeight="1">
      <c r="A167" s="1187" t="s">
        <v>98</v>
      </c>
      <c r="B167" s="1187"/>
      <c r="C167" s="1187"/>
      <c r="D167" s="174" t="s">
        <v>186</v>
      </c>
      <c r="E167" s="302">
        <f>'10'!F167</f>
        <v>185573</v>
      </c>
      <c r="F167" s="758">
        <f t="shared" ref="F167:F172" si="17">F64</f>
        <v>185985</v>
      </c>
      <c r="G167" s="303">
        <f t="shared" si="16"/>
        <v>412</v>
      </c>
      <c r="N167" s="369"/>
    </row>
    <row r="168" spans="1:14" ht="33" customHeight="1">
      <c r="A168" s="1187" t="s">
        <v>99</v>
      </c>
      <c r="B168" s="1187"/>
      <c r="C168" s="1187"/>
      <c r="D168" s="174" t="s">
        <v>186</v>
      </c>
      <c r="E168" s="302">
        <f>'10'!F168</f>
        <v>186171</v>
      </c>
      <c r="F168" s="758">
        <f t="shared" si="17"/>
        <v>186584</v>
      </c>
      <c r="G168" s="303">
        <f t="shared" si="16"/>
        <v>413</v>
      </c>
      <c r="N168" s="369"/>
    </row>
    <row r="169" spans="1:14" ht="40.5" customHeight="1">
      <c r="A169" s="1187" t="s">
        <v>100</v>
      </c>
      <c r="B169" s="1187"/>
      <c r="C169" s="1187"/>
      <c r="D169" s="174" t="s">
        <v>186</v>
      </c>
      <c r="E169" s="302">
        <f>'10'!F169</f>
        <v>84758</v>
      </c>
      <c r="F169" s="758">
        <f t="shared" si="17"/>
        <v>85137</v>
      </c>
      <c r="G169" s="303">
        <f t="shared" si="16"/>
        <v>379</v>
      </c>
      <c r="N169" s="369"/>
    </row>
    <row r="170" spans="1:14" ht="30.75" customHeight="1">
      <c r="A170" s="1187" t="s">
        <v>101</v>
      </c>
      <c r="B170" s="1187"/>
      <c r="C170" s="1187"/>
      <c r="D170" s="174" t="s">
        <v>186</v>
      </c>
      <c r="E170" s="302">
        <f>'10'!F170</f>
        <v>284900</v>
      </c>
      <c r="F170" s="758">
        <f t="shared" si="17"/>
        <v>285362</v>
      </c>
      <c r="G170" s="303">
        <f t="shared" si="16"/>
        <v>462</v>
      </c>
      <c r="N170" s="369"/>
    </row>
    <row r="171" spans="1:14" ht="30.75" customHeight="1">
      <c r="A171" s="1187" t="s">
        <v>102</v>
      </c>
      <c r="B171" s="1187"/>
      <c r="C171" s="1187"/>
      <c r="D171" s="174" t="s">
        <v>186</v>
      </c>
      <c r="E171" s="302">
        <f>'10'!F171</f>
        <v>85321</v>
      </c>
      <c r="F171" s="758">
        <f t="shared" si="17"/>
        <v>85321</v>
      </c>
      <c r="G171" s="303">
        <f t="shared" si="16"/>
        <v>0</v>
      </c>
      <c r="N171" s="369"/>
    </row>
    <row r="172" spans="1:14" ht="28.5" customHeight="1">
      <c r="A172" s="1187" t="s">
        <v>103</v>
      </c>
      <c r="B172" s="1187"/>
      <c r="C172" s="1187"/>
      <c r="D172" s="174" t="s">
        <v>186</v>
      </c>
      <c r="E172" s="302">
        <f>'10'!F172</f>
        <v>99757</v>
      </c>
      <c r="F172" s="758">
        <f t="shared" si="17"/>
        <v>100079</v>
      </c>
      <c r="G172" s="303">
        <f t="shared" si="16"/>
        <v>322</v>
      </c>
      <c r="N172" s="369"/>
    </row>
    <row r="173" spans="1:14">
      <c r="A173" s="1228" t="s">
        <v>338</v>
      </c>
      <c r="B173" s="1191"/>
      <c r="C173" s="436"/>
      <c r="D173" s="174" t="s">
        <v>186</v>
      </c>
      <c r="E173" s="183">
        <v>19164</v>
      </c>
      <c r="F173" s="183">
        <v>19165</v>
      </c>
      <c r="G173" s="303">
        <f t="shared" si="16"/>
        <v>1</v>
      </c>
      <c r="N173" s="369"/>
    </row>
    <row r="174" spans="1:14">
      <c r="A174" s="1228" t="s">
        <v>338</v>
      </c>
      <c r="B174" s="1191"/>
      <c r="C174" s="436"/>
      <c r="D174" s="174" t="s">
        <v>186</v>
      </c>
      <c r="E174" s="183">
        <v>70599</v>
      </c>
      <c r="F174" s="183">
        <v>70604</v>
      </c>
      <c r="G174" s="303">
        <f t="shared" si="16"/>
        <v>5</v>
      </c>
      <c r="N174" s="369"/>
    </row>
    <row r="175" spans="1:14">
      <c r="A175" s="1228" t="s">
        <v>339</v>
      </c>
      <c r="B175" s="1191"/>
      <c r="C175" s="436"/>
      <c r="D175" s="174" t="s">
        <v>186</v>
      </c>
      <c r="E175" s="183">
        <v>27848</v>
      </c>
      <c r="F175" s="183">
        <v>27853</v>
      </c>
      <c r="G175" s="303">
        <f t="shared" si="16"/>
        <v>5</v>
      </c>
      <c r="N175" s="369"/>
    </row>
    <row r="176" spans="1:14">
      <c r="N176" s="369"/>
    </row>
    <row r="177" spans="14:14">
      <c r="N177" s="369"/>
    </row>
    <row r="178" spans="14:14" ht="18.75" customHeight="1">
      <c r="N178" s="369"/>
    </row>
    <row r="179" spans="14:14" ht="44.25" customHeight="1">
      <c r="N179" s="369"/>
    </row>
    <row r="180" spans="14:14" ht="21.75" customHeight="1">
      <c r="N180" s="369"/>
    </row>
    <row r="181" spans="14:14" ht="21.75" customHeight="1">
      <c r="N181" s="369"/>
    </row>
    <row r="182" spans="14:14" ht="21.75" customHeight="1">
      <c r="N182" s="369"/>
    </row>
    <row r="183" spans="14:14" ht="21.75" customHeight="1">
      <c r="N183" s="369"/>
    </row>
    <row r="184" spans="14:14" ht="21.75" customHeight="1">
      <c r="N184" s="369"/>
    </row>
    <row r="185" spans="14:14" ht="21.75" customHeight="1">
      <c r="N185" s="369"/>
    </row>
    <row r="186" spans="14:14" ht="21.75" customHeight="1">
      <c r="N186" s="369"/>
    </row>
    <row r="187" spans="14:14" ht="21.75" customHeight="1">
      <c r="N187" s="369"/>
    </row>
    <row r="188" spans="14:14" ht="21.75" customHeight="1">
      <c r="N188" s="369"/>
    </row>
    <row r="189" spans="14:14" ht="21.75" customHeight="1">
      <c r="N189" s="369"/>
    </row>
    <row r="190" spans="14:14" ht="21.75" customHeight="1">
      <c r="N190" s="369"/>
    </row>
    <row r="191" spans="14:14" ht="21.75" customHeight="1">
      <c r="N191" s="369"/>
    </row>
    <row r="192" spans="14:14" ht="21.75" customHeight="1">
      <c r="N192" s="369"/>
    </row>
    <row r="193" spans="14:14" ht="21.75" customHeight="1">
      <c r="N193" s="369"/>
    </row>
    <row r="194" spans="14:14" ht="21.75" customHeight="1">
      <c r="N194" s="369"/>
    </row>
    <row r="195" spans="14:14" ht="36.75" customHeight="1">
      <c r="N195" s="369"/>
    </row>
    <row r="196" spans="14:14">
      <c r="N196" s="369"/>
    </row>
    <row r="197" spans="14:14">
      <c r="N197" s="369"/>
    </row>
    <row r="198" spans="14:14">
      <c r="N198" s="369"/>
    </row>
    <row r="199" spans="14:14">
      <c r="N199" s="369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A100" zoomScale="50" zoomScaleNormal="75" zoomScaleSheetLayoutView="50" workbookViewId="0">
      <selection activeCell="F106" sqref="F106"/>
    </sheetView>
  </sheetViews>
  <sheetFormatPr defaultColWidth="22.33203125" defaultRowHeight="29.2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809"/>
    <col min="16" max="17" width="22.33203125" style="92"/>
    <col min="18" max="16384" width="22.33203125" style="67"/>
  </cols>
  <sheetData>
    <row r="1" spans="1:17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7" s="57" customFormat="1" ht="27">
      <c r="A2" s="226" t="s">
        <v>278</v>
      </c>
      <c r="B2" s="682">
        <v>44420</v>
      </c>
      <c r="C2" s="773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810"/>
      <c r="P2" s="361"/>
      <c r="Q2" s="361"/>
    </row>
    <row r="3" spans="1:17" s="57" customFormat="1" ht="27">
      <c r="A3" s="221"/>
      <c r="B3" s="265"/>
      <c r="C3" s="773" t="s">
        <v>119</v>
      </c>
      <c r="D3" s="263">
        <v>28</v>
      </c>
      <c r="E3" s="1214" t="s">
        <v>120</v>
      </c>
      <c r="F3" s="1215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810"/>
      <c r="P3" s="361"/>
      <c r="Q3" s="361"/>
    </row>
    <row r="4" spans="1:17" s="57" customFormat="1" ht="27">
      <c r="A4" s="227"/>
      <c r="B4" s="267"/>
      <c r="C4" s="773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810"/>
      <c r="P4" s="361"/>
      <c r="Q4" s="361"/>
    </row>
    <row r="5" spans="1:17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370</v>
      </c>
    </row>
    <row r="6" spans="1:17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  <c r="O6" s="73" t="s">
        <v>375</v>
      </c>
    </row>
    <row r="7" spans="1:17" ht="30" thickBot="1">
      <c r="A7" s="327" t="s">
        <v>130</v>
      </c>
      <c r="B7" s="328"/>
      <c r="C7" s="328"/>
      <c r="D7" s="288" t="s">
        <v>131</v>
      </c>
      <c r="E7" s="106">
        <v>854404</v>
      </c>
      <c r="F7" s="106">
        <v>878453</v>
      </c>
      <c r="G7" s="329">
        <f>F7-E7</f>
        <v>24049</v>
      </c>
      <c r="H7" s="330">
        <f>G7+'11'!H7</f>
        <v>270631</v>
      </c>
      <c r="I7" s="331">
        <f>'1'!I7</f>
        <v>12000</v>
      </c>
      <c r="J7" s="332">
        <f>H7/DAY(B2)</f>
        <v>22552.583333333332</v>
      </c>
      <c r="K7" s="200"/>
      <c r="L7" s="68"/>
      <c r="N7" s="369"/>
      <c r="O7" s="73" t="s">
        <v>374</v>
      </c>
      <c r="P7" s="362"/>
    </row>
    <row r="8" spans="1:17" ht="27.75" thickBot="1">
      <c r="A8" s="333" t="s">
        <v>132</v>
      </c>
      <c r="B8" s="334"/>
      <c r="C8" s="335"/>
      <c r="D8" s="336" t="s">
        <v>25</v>
      </c>
      <c r="E8" s="284">
        <f>'11'!F8</f>
        <v>864602</v>
      </c>
      <c r="F8" s="126">
        <v>887655</v>
      </c>
      <c r="G8" s="340">
        <f>F8-E8</f>
        <v>23053</v>
      </c>
      <c r="H8" s="330">
        <f>G8+'11'!H8</f>
        <v>272058</v>
      </c>
      <c r="I8" s="337">
        <f>'1'!I8</f>
        <v>12000</v>
      </c>
      <c r="J8" s="332">
        <f>H8/DAY(B2)</f>
        <v>22671.5</v>
      </c>
      <c r="K8" s="200"/>
      <c r="L8" s="78"/>
      <c r="M8" s="91"/>
      <c r="N8" s="369"/>
      <c r="O8" s="378"/>
      <c r="P8" s="364"/>
    </row>
    <row r="9" spans="1:17">
      <c r="A9" s="338" t="s">
        <v>133</v>
      </c>
      <c r="B9" s="339"/>
      <c r="C9" s="339"/>
      <c r="D9" s="288" t="s">
        <v>131</v>
      </c>
      <c r="E9" s="284">
        <f>'11'!F9</f>
        <v>2935840</v>
      </c>
      <c r="F9" s="129">
        <v>2958860</v>
      </c>
      <c r="G9" s="353">
        <f t="shared" ref="G9:G12" si="0">F9-E9</f>
        <v>23020</v>
      </c>
      <c r="H9" s="330">
        <f>G9+'11'!H9</f>
        <v>262225</v>
      </c>
      <c r="I9" s="341">
        <f>I7-J7</f>
        <v>-10552.583333333332</v>
      </c>
      <c r="J9" s="332">
        <f>H9/DAY(B2)</f>
        <v>21852.083333333332</v>
      </c>
      <c r="K9" s="81"/>
      <c r="L9" s="68"/>
      <c r="N9" s="369"/>
      <c r="O9" s="378"/>
      <c r="P9" s="364"/>
    </row>
    <row r="10" spans="1:17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23020</v>
      </c>
      <c r="H13" s="330">
        <f>G13+'11'!H13</f>
        <v>219540.55</v>
      </c>
      <c r="I13" s="346">
        <f>G7-G13</f>
        <v>1029</v>
      </c>
      <c r="J13" s="332">
        <f>H13/DAY(B2)</f>
        <v>18295.045833333334</v>
      </c>
      <c r="K13" s="81"/>
      <c r="L13" s="68"/>
      <c r="N13" s="369"/>
      <c r="O13" s="378"/>
      <c r="P13" s="364"/>
    </row>
    <row r="14" spans="1:17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>
      <c r="A15" s="443" t="s">
        <v>139</v>
      </c>
      <c r="B15" s="444"/>
      <c r="C15" s="444"/>
      <c r="D15" s="175" t="s">
        <v>140</v>
      </c>
      <c r="E15" s="136">
        <f>'11'!F15</f>
        <v>1738866</v>
      </c>
      <c r="F15" s="351">
        <v>1739796</v>
      </c>
      <c r="G15" s="315">
        <f>(F15-E15)</f>
        <v>930</v>
      </c>
      <c r="H15" s="137">
        <f>G15+'11'!H15</f>
        <v>10242</v>
      </c>
      <c r="I15" s="125">
        <v>800</v>
      </c>
      <c r="J15" s="204">
        <f>H15/DAY(B2)</f>
        <v>853.5</v>
      </c>
      <c r="K15" s="81"/>
      <c r="L15" s="68"/>
      <c r="N15" s="369"/>
      <c r="O15" s="378"/>
      <c r="P15" s="364"/>
    </row>
    <row r="16" spans="1:17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-53.5</v>
      </c>
      <c r="J16" s="204"/>
      <c r="K16" s="81"/>
      <c r="L16" s="68"/>
      <c r="N16" s="369"/>
      <c r="O16" s="378"/>
      <c r="P16" s="364"/>
    </row>
    <row r="17" spans="1:17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>
      <c r="A18" s="1248" t="s">
        <v>142</v>
      </c>
      <c r="B18" s="1249"/>
      <c r="C18" s="1250"/>
      <c r="D18" s="288" t="s">
        <v>143</v>
      </c>
      <c r="E18" s="285">
        <f>'11'!F18</f>
        <v>16</v>
      </c>
      <c r="F18" s="129">
        <v>18</v>
      </c>
      <c r="G18" s="345">
        <f>F18*10</f>
        <v>180</v>
      </c>
      <c r="H18" s="330">
        <f>G18+'11'!H18</f>
        <v>2020</v>
      </c>
      <c r="I18" s="331">
        <f>'1'!I18</f>
        <v>65</v>
      </c>
      <c r="J18" s="332">
        <f>H18/DAY(B2)</f>
        <v>168.33333333333334</v>
      </c>
      <c r="K18" s="81"/>
      <c r="L18" s="68"/>
      <c r="N18" s="369"/>
      <c r="O18" s="378"/>
      <c r="P18" s="364"/>
    </row>
    <row r="19" spans="1:17" ht="27.75">
      <c r="A19" s="1248" t="s">
        <v>70</v>
      </c>
      <c r="B19" s="1249"/>
      <c r="C19" s="1250"/>
      <c r="D19" s="288" t="s">
        <v>143</v>
      </c>
      <c r="E19" s="285">
        <f>'11'!F19</f>
        <v>144072</v>
      </c>
      <c r="F19" s="129">
        <f>E19+60</f>
        <v>144132</v>
      </c>
      <c r="G19" s="340">
        <f t="shared" ref="G19" si="1">F19-E19</f>
        <v>60</v>
      </c>
      <c r="H19" s="330">
        <f>G19+'11'!H19</f>
        <v>742</v>
      </c>
      <c r="I19" s="347"/>
      <c r="J19" s="332">
        <f>H19/DAY(B2)</f>
        <v>61.833333333333336</v>
      </c>
      <c r="K19" s="81"/>
      <c r="L19" s="68"/>
      <c r="N19" s="369"/>
      <c r="O19" s="378"/>
      <c r="P19" s="364"/>
    </row>
    <row r="20" spans="1:17">
      <c r="A20" s="343" t="s">
        <v>144</v>
      </c>
      <c r="B20" s="344"/>
      <c r="C20" s="344"/>
      <c r="D20" s="288"/>
      <c r="E20" s="288"/>
      <c r="F20" s="360"/>
      <c r="G20" s="348">
        <f>G18+G19</f>
        <v>240</v>
      </c>
      <c r="H20" s="330">
        <f>G20+'11'!H20</f>
        <v>2762</v>
      </c>
      <c r="I20" s="349">
        <f>I18-J20</f>
        <v>-165.16666666666666</v>
      </c>
      <c r="J20" s="332">
        <f>H20/DAY(B2)</f>
        <v>230.16666666666666</v>
      </c>
      <c r="K20" s="81"/>
      <c r="L20" s="68"/>
      <c r="N20" s="369"/>
      <c r="O20" s="378"/>
      <c r="P20" s="364"/>
    </row>
    <row r="21" spans="1:17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>
      <c r="A22" s="771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>
      <c r="A23" s="771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>
      <c r="A27" s="243" t="s">
        <v>6</v>
      </c>
      <c r="B27" s="244"/>
      <c r="C27" s="245"/>
      <c r="D27" s="270" t="s">
        <v>25</v>
      </c>
      <c r="E27" s="350">
        <f>G8</f>
        <v>23053</v>
      </c>
      <c r="F27" s="152">
        <v>9</v>
      </c>
      <c r="G27" s="153">
        <f>E27*F27</f>
        <v>207477</v>
      </c>
      <c r="H27" s="111">
        <f>G27+'11'!H27</f>
        <v>2448522</v>
      </c>
      <c r="I27" s="154"/>
      <c r="J27" s="203">
        <f>H27/DAY(B2)</f>
        <v>204043.5</v>
      </c>
      <c r="K27" s="65"/>
      <c r="L27" s="94"/>
      <c r="N27" s="369"/>
      <c r="O27" s="378"/>
      <c r="P27" s="364"/>
      <c r="Q27" s="96"/>
    </row>
    <row r="28" spans="1:17" s="93" customFormat="1" ht="27.75">
      <c r="A28" s="243" t="s">
        <v>153</v>
      </c>
      <c r="B28" s="244"/>
      <c r="C28" s="245"/>
      <c r="D28" s="270" t="s">
        <v>154</v>
      </c>
      <c r="E28" s="350">
        <f>G15</f>
        <v>930</v>
      </c>
      <c r="F28" s="152">
        <v>54.5</v>
      </c>
      <c r="G28" s="153">
        <f>E28*F28</f>
        <v>50685</v>
      </c>
      <c r="H28" s="111">
        <f>G28+'11'!H28</f>
        <v>558189</v>
      </c>
      <c r="I28" s="156"/>
      <c r="J28" s="203">
        <f>H28/DAY(B2)</f>
        <v>46515.75</v>
      </c>
      <c r="K28" s="65"/>
      <c r="L28" s="94"/>
      <c r="N28" s="369"/>
      <c r="O28" s="378"/>
      <c r="P28" s="364"/>
      <c r="Q28" s="96"/>
    </row>
    <row r="29" spans="1:17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G30+'11'!H30</f>
        <v>108332</v>
      </c>
      <c r="I30" s="156"/>
      <c r="J30" s="203">
        <f>H30/DAY(B2)</f>
        <v>9027.6666666666661</v>
      </c>
      <c r="K30" s="65"/>
      <c r="L30" s="94"/>
      <c r="N30" s="369"/>
      <c r="O30" s="378"/>
      <c r="P30" s="364"/>
      <c r="Q30" s="96"/>
    </row>
    <row r="31" spans="1:17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G31+'11'!H31</f>
        <v>161600</v>
      </c>
      <c r="I31" s="156"/>
      <c r="J31" s="203">
        <f>H31/DAY(B2)</f>
        <v>13466.666666666666</v>
      </c>
      <c r="K31" s="65"/>
      <c r="L31" s="94"/>
      <c r="N31" s="369"/>
      <c r="O31" s="378"/>
      <c r="P31" s="364"/>
      <c r="Q31" s="96"/>
    </row>
    <row r="32" spans="1:17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281322</v>
      </c>
      <c r="H32" s="111">
        <f>G32+'11'!H32</f>
        <v>3276643</v>
      </c>
      <c r="I32" s="160"/>
      <c r="J32" s="203">
        <f>H32/DAY(B2)</f>
        <v>273053.58333333331</v>
      </c>
      <c r="K32" s="65"/>
      <c r="L32" s="94"/>
      <c r="N32" s="369"/>
      <c r="O32" s="378"/>
      <c r="P32" s="364"/>
      <c r="Q32" s="96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8"/>
      <c r="P33" s="364"/>
    </row>
    <row r="34" spans="1:16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9"/>
      <c r="O35" s="378"/>
      <c r="P35" s="364"/>
    </row>
    <row r="36" spans="1:16">
      <c r="A36" s="229" t="s">
        <v>164</v>
      </c>
      <c r="B36" s="230"/>
      <c r="C36" s="230"/>
      <c r="D36" s="174" t="s">
        <v>131</v>
      </c>
      <c r="E36" s="161">
        <f>'11'!F36</f>
        <v>54819</v>
      </c>
      <c r="F36" s="161">
        <v>55656.7</v>
      </c>
      <c r="G36" s="124">
        <f t="shared" si="3"/>
        <v>837.69999999999709</v>
      </c>
      <c r="H36" s="111">
        <f>G36+'11'!H36</f>
        <v>8858.6999999999971</v>
      </c>
      <c r="I36" s="106"/>
      <c r="J36" s="203">
        <f>H36/DAY(B2)</f>
        <v>738.2249999999998</v>
      </c>
      <c r="K36" s="81"/>
      <c r="L36" s="68"/>
      <c r="N36" s="370"/>
      <c r="O36" s="378"/>
      <c r="P36" s="364"/>
    </row>
    <row r="37" spans="1:16">
      <c r="A37" s="229" t="s">
        <v>165</v>
      </c>
      <c r="B37" s="230"/>
      <c r="C37" s="230"/>
      <c r="D37" s="174" t="s">
        <v>131</v>
      </c>
      <c r="E37" s="161">
        <f>'11'!F37</f>
        <v>243737</v>
      </c>
      <c r="F37" s="161">
        <v>245366</v>
      </c>
      <c r="G37" s="124">
        <f t="shared" si="3"/>
        <v>1629</v>
      </c>
      <c r="H37" s="111">
        <f>G37+'11'!H37</f>
        <v>19193</v>
      </c>
      <c r="I37" s="106"/>
      <c r="J37" s="203">
        <f>H37/DAY(B2)</f>
        <v>1599.4166666666667</v>
      </c>
      <c r="K37" s="81"/>
      <c r="L37" s="68"/>
      <c r="N37" s="370"/>
      <c r="O37" s="378"/>
      <c r="P37" s="364"/>
    </row>
    <row r="38" spans="1:16">
      <c r="A38" s="229" t="s">
        <v>166</v>
      </c>
      <c r="B38" s="230"/>
      <c r="C38" s="230"/>
      <c r="D38" s="174" t="s">
        <v>131</v>
      </c>
      <c r="E38" s="161">
        <f>'11'!F38</f>
        <v>267173</v>
      </c>
      <c r="F38" s="120">
        <v>268859</v>
      </c>
      <c r="G38" s="124">
        <f t="shared" si="3"/>
        <v>1686</v>
      </c>
      <c r="H38" s="111">
        <f>G38+'11'!H38</f>
        <v>20300</v>
      </c>
      <c r="I38" s="106"/>
      <c r="J38" s="203">
        <f>H38/DAY(B2)</f>
        <v>1691.6666666666667</v>
      </c>
      <c r="K38" s="81"/>
      <c r="L38" s="68"/>
      <c r="N38" s="369"/>
      <c r="O38" s="378"/>
      <c r="P38" s="364"/>
    </row>
    <row r="39" spans="1:16">
      <c r="A39" s="229" t="s">
        <v>167</v>
      </c>
      <c r="B39" s="230"/>
      <c r="C39" s="230"/>
      <c r="D39" s="174" t="s">
        <v>131</v>
      </c>
      <c r="E39" s="161">
        <f>'11'!F39</f>
        <v>561897</v>
      </c>
      <c r="F39" s="161">
        <v>565922</v>
      </c>
      <c r="G39" s="124">
        <f t="shared" si="3"/>
        <v>4025</v>
      </c>
      <c r="H39" s="111">
        <f>G39+'11'!H39</f>
        <v>45404</v>
      </c>
      <c r="I39" s="106"/>
      <c r="J39" s="203">
        <f>H39/DAY(B2)</f>
        <v>3783.6666666666665</v>
      </c>
      <c r="K39" s="81"/>
      <c r="L39" s="68"/>
      <c r="N39" s="369"/>
      <c r="O39" s="378"/>
      <c r="P39" s="364"/>
    </row>
    <row r="40" spans="1:16">
      <c r="A40" s="250" t="s">
        <v>168</v>
      </c>
      <c r="B40" s="251"/>
      <c r="C40" s="251"/>
      <c r="D40" s="174" t="s">
        <v>131</v>
      </c>
      <c r="E40" s="161">
        <f>'11'!F40</f>
        <v>25662</v>
      </c>
      <c r="F40" s="161">
        <v>26025</v>
      </c>
      <c r="G40" s="124">
        <f t="shared" si="3"/>
        <v>363</v>
      </c>
      <c r="H40" s="111">
        <f>G40+'11'!H40</f>
        <v>5852</v>
      </c>
      <c r="I40" s="106"/>
      <c r="J40" s="203">
        <f>H40/DAY(B2)</f>
        <v>487.66666666666669</v>
      </c>
      <c r="K40" s="82"/>
      <c r="L40" s="68"/>
      <c r="N40" s="369"/>
      <c r="O40" s="378"/>
      <c r="P40" s="364"/>
    </row>
    <row r="41" spans="1:16">
      <c r="A41" s="229" t="s">
        <v>169</v>
      </c>
      <c r="B41" s="230"/>
      <c r="C41" s="230"/>
      <c r="D41" s="174" t="s">
        <v>131</v>
      </c>
      <c r="E41" s="161">
        <f>'11'!F41</f>
        <v>385895</v>
      </c>
      <c r="F41" s="161">
        <v>390946</v>
      </c>
      <c r="G41" s="124">
        <f>F41-E41</f>
        <v>5051</v>
      </c>
      <c r="H41" s="111">
        <f>G41+'11'!H41</f>
        <v>24106</v>
      </c>
      <c r="I41" s="106"/>
      <c r="J41" s="203">
        <f>H41/DAY(B2)</f>
        <v>2008.8333333333333</v>
      </c>
      <c r="K41" s="81"/>
      <c r="L41" s="68"/>
      <c r="N41" s="369"/>
      <c r="O41" s="378"/>
      <c r="P41" s="364"/>
    </row>
    <row r="42" spans="1:16">
      <c r="A42" s="229" t="s">
        <v>170</v>
      </c>
      <c r="B42" s="230"/>
      <c r="C42" s="230"/>
      <c r="D42" s="174" t="s">
        <v>131</v>
      </c>
      <c r="E42" s="161">
        <f>'11'!F42</f>
        <v>147899</v>
      </c>
      <c r="F42" s="161">
        <v>147899</v>
      </c>
      <c r="G42" s="124">
        <f t="shared" si="3"/>
        <v>0</v>
      </c>
      <c r="H42" s="111">
        <f>G42+'11'!H42</f>
        <v>32387</v>
      </c>
      <c r="I42" s="106"/>
      <c r="J42" s="203">
        <f>H42/DAY(B2)</f>
        <v>2698.9166666666665</v>
      </c>
      <c r="K42" s="81"/>
      <c r="L42" s="68"/>
      <c r="N42" s="369"/>
      <c r="O42" s="378"/>
      <c r="P42" s="364"/>
    </row>
    <row r="43" spans="1:16">
      <c r="A43" s="229" t="s">
        <v>171</v>
      </c>
      <c r="B43" s="230"/>
      <c r="C43" s="230"/>
      <c r="D43" s="174" t="s">
        <v>131</v>
      </c>
      <c r="E43" s="161">
        <f>'11'!F43</f>
        <v>1235650</v>
      </c>
      <c r="F43" s="161">
        <v>1238860</v>
      </c>
      <c r="G43" s="124">
        <f t="shared" si="3"/>
        <v>3210</v>
      </c>
      <c r="H43" s="111">
        <f>G43+'11'!H43</f>
        <v>34399</v>
      </c>
      <c r="I43" s="106"/>
      <c r="J43" s="203">
        <f>H43/DAY(B2)</f>
        <v>2866.5833333333335</v>
      </c>
      <c r="K43" s="81"/>
      <c r="L43" s="68"/>
      <c r="N43" s="369"/>
      <c r="O43" s="378"/>
      <c r="P43" s="364"/>
    </row>
    <row r="44" spans="1:16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16801.699999999997</v>
      </c>
      <c r="H47" s="111">
        <f>G47+'11'!H47</f>
        <v>191300.88999999996</v>
      </c>
      <c r="I47" s="106"/>
      <c r="J47" s="203">
        <f>H47/DAY(B2)</f>
        <v>15941.74083333333</v>
      </c>
      <c r="K47" s="81"/>
      <c r="L47" s="68"/>
      <c r="N47" s="369"/>
      <c r="O47" s="378"/>
      <c r="P47" s="364"/>
    </row>
    <row r="48" spans="1:16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>
      <c r="A49" s="229" t="s">
        <v>163</v>
      </c>
      <c r="B49" s="252"/>
      <c r="C49" s="252"/>
      <c r="D49" s="174" t="s">
        <v>131</v>
      </c>
      <c r="E49" s="161">
        <f>'11'!F49</f>
        <v>357423</v>
      </c>
      <c r="F49" s="161">
        <v>360569</v>
      </c>
      <c r="G49" s="124">
        <f t="shared" ref="G49:G57" si="4">F49-E49</f>
        <v>3146</v>
      </c>
      <c r="H49" s="111">
        <f>G49+'11'!H49</f>
        <v>33531</v>
      </c>
      <c r="I49" s="106"/>
      <c r="J49" s="203">
        <f>H49/DAY(B2)</f>
        <v>2794.25</v>
      </c>
      <c r="K49" s="81"/>
      <c r="L49" s="68"/>
      <c r="N49" s="369"/>
      <c r="O49" s="378"/>
      <c r="P49" s="364"/>
    </row>
    <row r="50" spans="1:16">
      <c r="A50" s="229" t="s">
        <v>177</v>
      </c>
      <c r="B50" s="252"/>
      <c r="C50" s="252"/>
      <c r="D50" s="174" t="s">
        <v>131</v>
      </c>
      <c r="E50" s="161">
        <f>'11'!F50</f>
        <v>582760</v>
      </c>
      <c r="F50" s="161">
        <v>583725</v>
      </c>
      <c r="G50" s="124">
        <f t="shared" si="4"/>
        <v>965</v>
      </c>
      <c r="H50" s="111">
        <f>G50+'11'!H50</f>
        <v>12908</v>
      </c>
      <c r="I50" s="106"/>
      <c r="J50" s="203">
        <f>H50/DAY(B2)</f>
        <v>1075.6666666666667</v>
      </c>
      <c r="K50" s="81"/>
      <c r="L50" s="68"/>
      <c r="N50" s="369"/>
      <c r="O50" s="378"/>
      <c r="P50" s="364"/>
    </row>
    <row r="51" spans="1:16">
      <c r="A51" s="229" t="s">
        <v>165</v>
      </c>
      <c r="B51" s="252"/>
      <c r="C51" s="252"/>
      <c r="D51" s="174" t="s">
        <v>131</v>
      </c>
      <c r="E51" s="161">
        <f>'11'!F51</f>
        <v>144639.87</v>
      </c>
      <c r="F51" s="161">
        <v>144639.87</v>
      </c>
      <c r="G51" s="124">
        <f t="shared" si="4"/>
        <v>0</v>
      </c>
      <c r="H51" s="111">
        <f>G51+'11'!H51</f>
        <v>-0.13000000000465661</v>
      </c>
      <c r="I51" s="106"/>
      <c r="J51" s="203">
        <f>H51/DAY(B2)</f>
        <v>-1.0833333333721384E-2</v>
      </c>
      <c r="K51" s="81"/>
      <c r="L51" s="68"/>
      <c r="N51" s="369"/>
      <c r="O51" s="378"/>
      <c r="P51" s="364"/>
    </row>
    <row r="52" spans="1:16">
      <c r="A52" s="229" t="s">
        <v>178</v>
      </c>
      <c r="B52" s="252"/>
      <c r="C52" s="252"/>
      <c r="D52" s="174" t="s">
        <v>131</v>
      </c>
      <c r="E52" s="161">
        <f>'11'!F52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>
      <c r="A53" s="229" t="s">
        <v>167</v>
      </c>
      <c r="B53" s="252"/>
      <c r="C53" s="252"/>
      <c r="D53" s="174" t="s">
        <v>131</v>
      </c>
      <c r="E53" s="161">
        <f>'11'!F53</f>
        <v>434231.59</v>
      </c>
      <c r="F53" s="161">
        <v>434232</v>
      </c>
      <c r="G53" s="124">
        <f t="shared" si="4"/>
        <v>0.40999999997438863</v>
      </c>
      <c r="H53" s="111">
        <f>G53+'11'!H53</f>
        <v>-0.33000000001629815</v>
      </c>
      <c r="I53" s="106"/>
      <c r="J53" s="203">
        <f>H53/DAY(B2)</f>
        <v>-2.7500000001358178E-2</v>
      </c>
      <c r="K53" s="81"/>
      <c r="L53" s="68"/>
      <c r="N53" s="369"/>
      <c r="O53" s="378"/>
      <c r="P53" s="364"/>
    </row>
    <row r="54" spans="1:16">
      <c r="A54" s="229" t="s">
        <v>179</v>
      </c>
      <c r="B54" s="252"/>
      <c r="C54" s="252"/>
      <c r="D54" s="174" t="s">
        <v>131</v>
      </c>
      <c r="E54" s="161">
        <f>'11'!F54</f>
        <v>14967</v>
      </c>
      <c r="F54" s="161">
        <v>14967</v>
      </c>
      <c r="G54" s="124">
        <f t="shared" si="4"/>
        <v>0</v>
      </c>
      <c r="H54" s="111">
        <f>G54+'11'!H54</f>
        <v>0</v>
      </c>
      <c r="I54" s="106"/>
      <c r="J54" s="203">
        <f>H54/DAY(B2)</f>
        <v>0</v>
      </c>
      <c r="K54" s="81"/>
      <c r="L54" s="68"/>
      <c r="N54" s="369"/>
      <c r="O54" s="378"/>
      <c r="P54" s="364"/>
    </row>
    <row r="55" spans="1:16">
      <c r="A55" s="229" t="s">
        <v>180</v>
      </c>
      <c r="B55" s="252"/>
      <c r="C55" s="252"/>
      <c r="D55" s="174" t="s">
        <v>131</v>
      </c>
      <c r="E55" s="161">
        <f>'11'!F55</f>
        <v>260303</v>
      </c>
      <c r="F55" s="304">
        <v>262614</v>
      </c>
      <c r="G55" s="303">
        <f t="shared" si="4"/>
        <v>2311</v>
      </c>
      <c r="H55" s="356">
        <f>G55+'11'!H55</f>
        <v>25428</v>
      </c>
      <c r="I55" s="357"/>
      <c r="J55" s="358">
        <f>H55/DAY(B2)</f>
        <v>2119</v>
      </c>
      <c r="K55" s="81"/>
      <c r="L55" s="68"/>
      <c r="N55" s="369"/>
      <c r="O55" s="378"/>
      <c r="P55" s="364"/>
    </row>
    <row r="56" spans="1:16">
      <c r="A56" s="229" t="s">
        <v>181</v>
      </c>
      <c r="B56" s="252"/>
      <c r="C56" s="252"/>
      <c r="D56" s="174" t="s">
        <v>182</v>
      </c>
      <c r="E56" s="161">
        <f>'11'!F56</f>
        <v>649482</v>
      </c>
      <c r="F56" s="304">
        <v>649495</v>
      </c>
      <c r="G56" s="124">
        <f t="shared" si="4"/>
        <v>13</v>
      </c>
      <c r="H56" s="111">
        <f>G56+'11'!H56</f>
        <v>123</v>
      </c>
      <c r="I56" s="106"/>
      <c r="J56" s="203">
        <f>H56/DAY(B2)</f>
        <v>10.25</v>
      </c>
      <c r="K56" s="80"/>
      <c r="L56" s="68"/>
      <c r="N56" s="369"/>
      <c r="O56" s="378"/>
      <c r="P56" s="364"/>
    </row>
    <row r="57" spans="1:16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>
      <c r="A58" s="229" t="s">
        <v>183</v>
      </c>
      <c r="B58" s="252"/>
      <c r="C58" s="252"/>
      <c r="D58" s="174" t="s">
        <v>131</v>
      </c>
      <c r="E58" s="161">
        <f>'11'!F58</f>
        <v>61955</v>
      </c>
      <c r="F58" s="304">
        <v>62161</v>
      </c>
      <c r="G58" s="124">
        <f>F58-E58</f>
        <v>206</v>
      </c>
      <c r="H58" s="111">
        <f>G58+'11'!H58</f>
        <v>2270</v>
      </c>
      <c r="I58" s="106"/>
      <c r="J58" s="203">
        <f>H58/DAY(B2)</f>
        <v>189.16666666666666</v>
      </c>
      <c r="K58" s="81"/>
      <c r="L58" s="68"/>
      <c r="N58" s="369"/>
      <c r="O58" s="378"/>
      <c r="P58" s="364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6641.4099999999744</v>
      </c>
      <c r="H59" s="111">
        <f>G59+'11'!H59</f>
        <v>74259.609999999928</v>
      </c>
      <c r="I59" s="106">
        <f>G7-G60</f>
        <v>605.89000000002852</v>
      </c>
      <c r="J59" s="203">
        <f>H59/DAY(B2)</f>
        <v>6188.3008333333273</v>
      </c>
      <c r="K59" s="81"/>
      <c r="L59" s="68"/>
      <c r="N59" s="369"/>
      <c r="O59" s="378"/>
      <c r="P59" s="364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23443.109999999971</v>
      </c>
      <c r="H60" s="111">
        <f>G60+'11'!H60</f>
        <v>271137.8299999999</v>
      </c>
      <c r="I60" s="106">
        <f>G13-G60</f>
        <v>-423.10999999997148</v>
      </c>
      <c r="J60" s="203">
        <f>H60/DAY(B2)</f>
        <v>22594.819166666657</v>
      </c>
      <c r="K60" s="81"/>
      <c r="L60" s="68"/>
      <c r="N60" s="369"/>
      <c r="O60" s="378"/>
      <c r="P60" s="364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>
      <c r="A63" s="254" t="s">
        <v>187</v>
      </c>
      <c r="B63" s="255"/>
      <c r="C63" s="255"/>
      <c r="D63" s="162" t="s">
        <v>186</v>
      </c>
      <c r="E63" s="165">
        <f>'11'!F63</f>
        <v>0</v>
      </c>
      <c r="F63" s="165">
        <v>0</v>
      </c>
      <c r="G63" s="124">
        <f t="shared" si="5"/>
        <v>0</v>
      </c>
      <c r="H63" s="111">
        <f>G63+'11'!H63</f>
        <v>0</v>
      </c>
      <c r="I63" s="166"/>
      <c r="J63" s="203">
        <f>H63/DAY(B2)</f>
        <v>0</v>
      </c>
      <c r="K63" s="81"/>
      <c r="L63" s="68"/>
      <c r="N63" s="369"/>
      <c r="O63" s="378"/>
      <c r="P63" s="364"/>
    </row>
    <row r="64" spans="1:16" ht="27.75">
      <c r="A64" s="1181" t="s">
        <v>98</v>
      </c>
      <c r="B64" s="1182"/>
      <c r="C64" s="1183"/>
      <c r="D64" s="174" t="s">
        <v>186</v>
      </c>
      <c r="E64" s="165">
        <f>'11'!F64</f>
        <v>185985</v>
      </c>
      <c r="F64" s="129">
        <v>186441</v>
      </c>
      <c r="G64" s="124">
        <f t="shared" si="5"/>
        <v>456</v>
      </c>
      <c r="H64" s="111">
        <f>G64+'11'!H64</f>
        <v>4581</v>
      </c>
      <c r="I64" s="131"/>
      <c r="J64" s="203">
        <f>H64/DAY(B2)</f>
        <v>381.75</v>
      </c>
      <c r="K64" s="81"/>
      <c r="L64" s="68"/>
      <c r="N64" s="369"/>
      <c r="O64" s="378"/>
      <c r="P64" s="364"/>
    </row>
    <row r="65" spans="1:16" ht="27.75">
      <c r="A65" s="1181" t="s">
        <v>99</v>
      </c>
      <c r="B65" s="1182"/>
      <c r="C65" s="1183"/>
      <c r="D65" s="174" t="s">
        <v>186</v>
      </c>
      <c r="E65" s="165">
        <f>'11'!F65</f>
        <v>186584</v>
      </c>
      <c r="F65" s="302">
        <v>186994</v>
      </c>
      <c r="G65" s="124">
        <f t="shared" si="5"/>
        <v>410</v>
      </c>
      <c r="H65" s="111">
        <f>G65+'11'!H65</f>
        <v>4785</v>
      </c>
      <c r="I65" s="140"/>
      <c r="J65" s="203">
        <f>H65/DAY(B2)</f>
        <v>398.75</v>
      </c>
      <c r="K65" s="81"/>
      <c r="L65" s="68"/>
      <c r="N65" s="369"/>
      <c r="O65" s="378"/>
      <c r="P65" s="364"/>
    </row>
    <row r="66" spans="1:16" ht="27.75">
      <c r="A66" s="1181" t="s">
        <v>100</v>
      </c>
      <c r="B66" s="1182"/>
      <c r="C66" s="1183"/>
      <c r="D66" s="174" t="s">
        <v>186</v>
      </c>
      <c r="E66" s="165">
        <f>'11'!F66</f>
        <v>85137</v>
      </c>
      <c r="F66" s="129">
        <v>85550</v>
      </c>
      <c r="G66" s="124">
        <f t="shared" si="5"/>
        <v>413</v>
      </c>
      <c r="H66" s="111">
        <f>G66+'11'!H66</f>
        <v>4878</v>
      </c>
      <c r="I66" s="131"/>
      <c r="J66" s="203">
        <f>H66/DAY(B2)</f>
        <v>406.5</v>
      </c>
      <c r="K66" s="81"/>
      <c r="L66" s="68"/>
      <c r="N66" s="369"/>
      <c r="O66" s="378"/>
      <c r="P66" s="364"/>
    </row>
    <row r="67" spans="1:16" ht="27.75">
      <c r="A67" s="1181" t="s">
        <v>101</v>
      </c>
      <c r="B67" s="1182"/>
      <c r="C67" s="1183"/>
      <c r="D67" s="174" t="s">
        <v>186</v>
      </c>
      <c r="E67" s="165">
        <f>'11'!F67</f>
        <v>285362</v>
      </c>
      <c r="F67" s="129">
        <v>285876</v>
      </c>
      <c r="G67" s="124">
        <f t="shared" si="5"/>
        <v>514</v>
      </c>
      <c r="H67" s="111">
        <f>G67+'11'!H67</f>
        <v>5818</v>
      </c>
      <c r="I67" s="140"/>
      <c r="J67" s="203">
        <f>H67/DAY(B2)</f>
        <v>484.83333333333331</v>
      </c>
      <c r="K67" s="82"/>
      <c r="L67" s="68"/>
      <c r="N67" s="369"/>
      <c r="O67" s="378"/>
      <c r="P67" s="364"/>
    </row>
    <row r="68" spans="1:16" ht="27.75">
      <c r="A68" s="1181" t="s">
        <v>102</v>
      </c>
      <c r="B68" s="1182"/>
      <c r="C68" s="1183"/>
      <c r="D68" s="174" t="s">
        <v>186</v>
      </c>
      <c r="E68" s="165">
        <f>'11'!F68</f>
        <v>85321</v>
      </c>
      <c r="F68" s="129">
        <v>85321</v>
      </c>
      <c r="G68" s="124">
        <f t="shared" si="5"/>
        <v>0</v>
      </c>
      <c r="H68" s="111">
        <f>G68+'11'!H68</f>
        <v>0</v>
      </c>
      <c r="I68" s="167"/>
      <c r="J68" s="203">
        <f>H68/DAY(B2)</f>
        <v>0</v>
      </c>
      <c r="K68" s="83"/>
      <c r="L68" s="68"/>
      <c r="N68" s="369"/>
      <c r="O68" s="378"/>
      <c r="P68" s="364"/>
    </row>
    <row r="69" spans="1:16" ht="27.75">
      <c r="A69" s="1181" t="s">
        <v>103</v>
      </c>
      <c r="B69" s="1182"/>
      <c r="C69" s="1183"/>
      <c r="D69" s="174" t="s">
        <v>186</v>
      </c>
      <c r="E69" s="165">
        <f>'11'!F69</f>
        <v>100079</v>
      </c>
      <c r="F69" s="129">
        <v>100414</v>
      </c>
      <c r="G69" s="124">
        <f t="shared" si="5"/>
        <v>335</v>
      </c>
      <c r="H69" s="111">
        <f>G69+'11'!H69</f>
        <v>3857</v>
      </c>
      <c r="I69" s="167"/>
      <c r="J69" s="203">
        <f>H69/DAY(B2)</f>
        <v>321.41666666666669</v>
      </c>
      <c r="K69" s="84"/>
      <c r="L69" s="68"/>
      <c r="N69" s="369"/>
      <c r="O69" s="378"/>
      <c r="P69" s="364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8"/>
      <c r="P71" s="364"/>
    </row>
    <row r="72" spans="1:16" ht="27.75">
      <c r="A72" s="1181" t="s">
        <v>190</v>
      </c>
      <c r="B72" s="1182"/>
      <c r="C72" s="1183"/>
      <c r="D72" s="174" t="s">
        <v>186</v>
      </c>
      <c r="E72" s="170">
        <f>'11'!F72</f>
        <v>856755</v>
      </c>
      <c r="F72" s="305">
        <v>856768</v>
      </c>
      <c r="G72" s="124">
        <f t="shared" ref="G72:G84" si="6">F72-E72</f>
        <v>13</v>
      </c>
      <c r="H72" s="111">
        <f>G72+'11'!H72</f>
        <v>159</v>
      </c>
      <c r="I72" s="131"/>
      <c r="J72" s="203">
        <f>H72/DAY(B2)</f>
        <v>13.25</v>
      </c>
      <c r="K72" s="84"/>
      <c r="L72" s="68"/>
      <c r="N72" s="369"/>
      <c r="O72" s="378"/>
      <c r="P72" s="364"/>
    </row>
    <row r="73" spans="1:16" ht="27.75">
      <c r="A73" s="1181" t="s">
        <v>191</v>
      </c>
      <c r="B73" s="1182"/>
      <c r="C73" s="1183"/>
      <c r="D73" s="174" t="s">
        <v>186</v>
      </c>
      <c r="E73" s="170">
        <f>'11'!F73</f>
        <v>886027</v>
      </c>
      <c r="F73" s="306">
        <v>886028</v>
      </c>
      <c r="G73" s="303">
        <f t="shared" si="6"/>
        <v>1</v>
      </c>
      <c r="H73" s="111">
        <f>G73+'11'!H73</f>
        <v>15</v>
      </c>
      <c r="I73" s="131"/>
      <c r="J73" s="203">
        <f>H73/DAY(B2)</f>
        <v>1.25</v>
      </c>
      <c r="K73" s="83"/>
      <c r="L73" s="68"/>
      <c r="N73" s="369"/>
      <c r="O73" s="378"/>
      <c r="P73" s="364"/>
    </row>
    <row r="74" spans="1:16" ht="27.75">
      <c r="A74" s="1181" t="s">
        <v>192</v>
      </c>
      <c r="B74" s="1182"/>
      <c r="C74" s="1183"/>
      <c r="D74" s="174" t="s">
        <v>186</v>
      </c>
      <c r="E74" s="170">
        <f>'11'!F74</f>
        <v>88745.5</v>
      </c>
      <c r="F74" s="306">
        <v>88748</v>
      </c>
      <c r="G74" s="124">
        <f t="shared" si="6"/>
        <v>2.5</v>
      </c>
      <c r="H74" s="111">
        <f>G74+'11'!H74</f>
        <v>15</v>
      </c>
      <c r="I74" s="131"/>
      <c r="J74" s="203">
        <f>H74/DAY(B2)</f>
        <v>1.25</v>
      </c>
      <c r="K74" s="84"/>
      <c r="L74" s="68"/>
      <c r="N74" s="369"/>
      <c r="O74" s="378"/>
      <c r="P74" s="364"/>
    </row>
    <row r="75" spans="1:16" ht="27.75">
      <c r="A75" s="1184" t="s">
        <v>193</v>
      </c>
      <c r="B75" s="1185"/>
      <c r="C75" s="1186"/>
      <c r="D75" s="174" t="s">
        <v>186</v>
      </c>
      <c r="E75" s="170">
        <f>'11'!F75</f>
        <v>22780</v>
      </c>
      <c r="F75" s="306">
        <v>22964</v>
      </c>
      <c r="G75" s="124">
        <f t="shared" si="6"/>
        <v>184</v>
      </c>
      <c r="H75" s="111">
        <f>G75+'11'!H75</f>
        <v>2017</v>
      </c>
      <c r="I75" s="131"/>
      <c r="J75" s="203">
        <f>H75/DAY(B2)</f>
        <v>168.08333333333334</v>
      </c>
      <c r="K75" s="83"/>
      <c r="L75" s="68"/>
      <c r="N75" s="369"/>
      <c r="O75" s="378"/>
      <c r="P75" s="364"/>
    </row>
    <row r="76" spans="1:16" ht="27.75">
      <c r="A76" s="1184" t="s">
        <v>194</v>
      </c>
      <c r="B76" s="1185"/>
      <c r="C76" s="1186"/>
      <c r="D76" s="174" t="s">
        <v>186</v>
      </c>
      <c r="E76" s="170">
        <f>'11'!F76</f>
        <v>12010</v>
      </c>
      <c r="F76" s="306">
        <v>12064</v>
      </c>
      <c r="G76" s="124">
        <f t="shared" si="6"/>
        <v>54</v>
      </c>
      <c r="H76" s="111">
        <f>G76+'11'!H76</f>
        <v>637</v>
      </c>
      <c r="I76" s="156"/>
      <c r="J76" s="203">
        <f>H76/DAY(B2)</f>
        <v>53.083333333333336</v>
      </c>
      <c r="K76" s="83"/>
      <c r="L76" s="68"/>
      <c r="N76" s="369"/>
      <c r="O76" s="378"/>
      <c r="P76" s="364"/>
    </row>
    <row r="77" spans="1:16" ht="27.75">
      <c r="A77" s="1181" t="s">
        <v>195</v>
      </c>
      <c r="B77" s="1182"/>
      <c r="C77" s="1183"/>
      <c r="D77" s="174" t="s">
        <v>186</v>
      </c>
      <c r="E77" s="170">
        <f>'11'!F77</f>
        <v>707186</v>
      </c>
      <c r="F77" s="306">
        <v>707239</v>
      </c>
      <c r="G77" s="303">
        <f t="shared" si="6"/>
        <v>53</v>
      </c>
      <c r="H77" s="111">
        <f>G77+'11'!H77</f>
        <v>786</v>
      </c>
      <c r="I77" s="156"/>
      <c r="J77" s="203">
        <f>H77/DAY(B2)</f>
        <v>65.5</v>
      </c>
      <c r="K77" s="83"/>
      <c r="L77" s="68"/>
      <c r="N77" s="369"/>
      <c r="O77" s="378"/>
      <c r="P77" s="364"/>
    </row>
    <row r="78" spans="1:16" ht="27.75">
      <c r="A78" s="774" t="s">
        <v>196</v>
      </c>
      <c r="B78" s="766"/>
      <c r="C78" s="766"/>
      <c r="D78" s="174" t="s">
        <v>186</v>
      </c>
      <c r="E78" s="170">
        <f>'11'!F78</f>
        <v>680134</v>
      </c>
      <c r="F78" s="307">
        <v>680234</v>
      </c>
      <c r="G78" s="124">
        <f t="shared" si="6"/>
        <v>100</v>
      </c>
      <c r="H78" s="111">
        <f>G78+'11'!H78</f>
        <v>1381</v>
      </c>
      <c r="I78" s="156"/>
      <c r="J78" s="203">
        <f>H78/DAY(B2)</f>
        <v>115.08333333333333</v>
      </c>
      <c r="K78" s="83"/>
      <c r="L78" s="68"/>
      <c r="N78" s="369"/>
      <c r="O78" s="378"/>
      <c r="P78" s="364"/>
    </row>
    <row r="79" spans="1:16" ht="27.75">
      <c r="A79" s="1184" t="s">
        <v>91</v>
      </c>
      <c r="B79" s="1185"/>
      <c r="C79" s="1186"/>
      <c r="D79" s="175" t="s">
        <v>186</v>
      </c>
      <c r="E79" s="170">
        <f>'11'!F79</f>
        <v>841889</v>
      </c>
      <c r="F79" s="307">
        <v>842056</v>
      </c>
      <c r="G79" s="124">
        <f t="shared" si="6"/>
        <v>167</v>
      </c>
      <c r="H79" s="111">
        <f>G79+'11'!H79</f>
        <v>1841</v>
      </c>
      <c r="I79" s="156"/>
      <c r="J79" s="203">
        <f>H79/DAY(B2)</f>
        <v>153.41666666666666</v>
      </c>
      <c r="K79" s="83"/>
      <c r="L79" s="68"/>
      <c r="N79" s="369"/>
      <c r="O79" s="378"/>
      <c r="P79" s="364"/>
    </row>
    <row r="80" spans="1:16" ht="27.75">
      <c r="A80" s="1184" t="s">
        <v>197</v>
      </c>
      <c r="B80" s="1185"/>
      <c r="C80" s="1186"/>
      <c r="D80" s="175" t="s">
        <v>186</v>
      </c>
      <c r="E80" s="170">
        <f>'11'!F80</f>
        <v>556376</v>
      </c>
      <c r="F80" s="306">
        <v>556780</v>
      </c>
      <c r="G80" s="124">
        <f t="shared" si="6"/>
        <v>404</v>
      </c>
      <c r="H80" s="111">
        <f>G80+'11'!H80</f>
        <v>4828</v>
      </c>
      <c r="I80" s="156"/>
      <c r="J80" s="203">
        <f>H80/DAY(B2)</f>
        <v>402.33333333333331</v>
      </c>
      <c r="K80" s="83"/>
      <c r="L80" s="68"/>
      <c r="N80" s="369"/>
      <c r="O80" s="378"/>
      <c r="P80" s="364"/>
    </row>
    <row r="81" spans="1:17" ht="27.75">
      <c r="A81" s="1184" t="s">
        <v>198</v>
      </c>
      <c r="B81" s="1185"/>
      <c r="C81" s="1186"/>
      <c r="D81" s="175" t="s">
        <v>186</v>
      </c>
      <c r="E81" s="170">
        <f>'11'!F81</f>
        <v>650820</v>
      </c>
      <c r="F81" s="306">
        <v>651013</v>
      </c>
      <c r="G81" s="124">
        <f t="shared" si="6"/>
        <v>193</v>
      </c>
      <c r="H81" s="111">
        <f>G81+'11'!H81</f>
        <v>1995</v>
      </c>
      <c r="I81" s="156"/>
      <c r="J81" s="203">
        <f>H81/DAY(B2)</f>
        <v>166.25</v>
      </c>
      <c r="K81" s="83"/>
      <c r="L81" s="68"/>
      <c r="N81" s="369"/>
      <c r="O81" s="378"/>
      <c r="P81" s="364"/>
    </row>
    <row r="82" spans="1:17" ht="27.75">
      <c r="A82" s="1184" t="s">
        <v>92</v>
      </c>
      <c r="B82" s="1185"/>
      <c r="C82" s="1186"/>
      <c r="D82" s="136" t="s">
        <v>131</v>
      </c>
      <c r="E82" s="170">
        <f>'11'!F82</f>
        <v>109544</v>
      </c>
      <c r="F82" s="302">
        <v>109568</v>
      </c>
      <c r="G82" s="124">
        <f t="shared" si="6"/>
        <v>24</v>
      </c>
      <c r="H82" s="111">
        <f>G82+'11'!H82</f>
        <v>232</v>
      </c>
      <c r="I82" s="137"/>
      <c r="J82" s="203">
        <f>H82/DAY(B2)</f>
        <v>19.333333333333332</v>
      </c>
      <c r="K82" s="83"/>
      <c r="L82" s="68"/>
      <c r="N82" s="369"/>
      <c r="O82" s="378"/>
      <c r="P82" s="364"/>
    </row>
    <row r="83" spans="1:17" ht="27.75">
      <c r="A83" s="1184" t="s">
        <v>199</v>
      </c>
      <c r="B83" s="1185"/>
      <c r="C83" s="1186"/>
      <c r="D83" s="271" t="s">
        <v>131</v>
      </c>
      <c r="E83" s="170">
        <f>'11'!F83</f>
        <v>38431</v>
      </c>
      <c r="F83" s="162">
        <v>38709</v>
      </c>
      <c r="G83" s="124">
        <f t="shared" si="6"/>
        <v>278</v>
      </c>
      <c r="H83" s="111">
        <f>G83+'11'!H83</f>
        <v>3684</v>
      </c>
      <c r="I83" s="132"/>
      <c r="J83" s="203">
        <f>H83/DAY(B2)</f>
        <v>307</v>
      </c>
      <c r="K83" s="82"/>
      <c r="L83" s="68"/>
      <c r="N83" s="369"/>
      <c r="O83" s="378"/>
      <c r="P83" s="364"/>
    </row>
    <row r="84" spans="1:17">
      <c r="A84" s="775" t="s">
        <v>200</v>
      </c>
      <c r="B84" s="222"/>
      <c r="C84" s="222"/>
      <c r="D84" s="129" t="s">
        <v>131</v>
      </c>
      <c r="E84" s="170">
        <f>'11'!F84</f>
        <v>555803</v>
      </c>
      <c r="F84" s="278">
        <v>556549</v>
      </c>
      <c r="G84" s="124">
        <f t="shared" si="6"/>
        <v>746</v>
      </c>
      <c r="H84" s="111">
        <f>G84+'11'!H84</f>
        <v>9156</v>
      </c>
      <c r="I84" s="132"/>
      <c r="J84" s="203">
        <f>H84/DAY(B2)</f>
        <v>763</v>
      </c>
      <c r="K84" s="71"/>
      <c r="L84" s="68"/>
      <c r="N84" s="369"/>
      <c r="O84" s="378"/>
      <c r="P84" s="364"/>
    </row>
    <row r="85" spans="1:17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2219.5</v>
      </c>
      <c r="H85" s="111">
        <f>G85+'11'!H85</f>
        <v>26746</v>
      </c>
      <c r="I85" s="132"/>
      <c r="J85" s="203">
        <f>H85/DAY(B2)</f>
        <v>2228.8333333333335</v>
      </c>
      <c r="K85" s="71"/>
      <c r="L85" s="69"/>
      <c r="N85" s="369"/>
      <c r="O85" s="378"/>
      <c r="P85" s="364"/>
      <c r="Q85" s="386"/>
    </row>
    <row r="86" spans="1:17" s="386" customFormat="1">
      <c r="A86" s="381" t="s">
        <v>93</v>
      </c>
      <c r="B86" s="382"/>
      <c r="C86" s="382"/>
      <c r="D86" s="383" t="s">
        <v>182</v>
      </c>
      <c r="E86" s="278">
        <f>'11'!F86</f>
        <v>463091</v>
      </c>
      <c r="F86" s="298">
        <v>463099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0.66666666666666663</v>
      </c>
      <c r="K86" s="384"/>
      <c r="L86" s="385"/>
      <c r="O86" s="364"/>
    </row>
    <row r="87" spans="1:17" s="386" customFormat="1">
      <c r="A87" s="381" t="s">
        <v>94</v>
      </c>
      <c r="B87" s="382"/>
      <c r="C87" s="382"/>
      <c r="D87" s="383" t="s">
        <v>182</v>
      </c>
      <c r="E87" s="278">
        <f>'11'!F87</f>
        <v>83286</v>
      </c>
      <c r="F87" s="298">
        <v>83316</v>
      </c>
      <c r="G87" s="356">
        <f t="shared" si="7"/>
        <v>30</v>
      </c>
      <c r="H87" s="356">
        <f t="shared" si="8"/>
        <v>30</v>
      </c>
      <c r="I87" s="303"/>
      <c r="J87" s="358">
        <f>H87/DAY(B2)</f>
        <v>2.5</v>
      </c>
      <c r="K87" s="384"/>
      <c r="L87" s="385"/>
      <c r="O87" s="364"/>
    </row>
    <row r="88" spans="1:17" s="386" customFormat="1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>
      <c r="A89" s="381" t="s">
        <v>203</v>
      </c>
      <c r="B89" s="382"/>
      <c r="C89" s="382"/>
      <c r="D89" s="383" t="s">
        <v>182</v>
      </c>
      <c r="E89" s="278">
        <f>'11'!F89</f>
        <v>67668</v>
      </c>
      <c r="F89" s="298">
        <v>67770</v>
      </c>
      <c r="G89" s="356">
        <f t="shared" si="7"/>
        <v>102</v>
      </c>
      <c r="H89" s="356">
        <f>G89</f>
        <v>102</v>
      </c>
      <c r="I89" s="303"/>
      <c r="J89" s="358">
        <f>H89/DAY(B2)</f>
        <v>8.5</v>
      </c>
      <c r="K89" s="384"/>
      <c r="L89" s="385"/>
      <c r="N89" s="428"/>
      <c r="O89" s="364"/>
    </row>
    <row r="90" spans="1:17" s="386" customFormat="1">
      <c r="A90" s="381" t="s">
        <v>203</v>
      </c>
      <c r="B90" s="382"/>
      <c r="C90" s="382"/>
      <c r="D90" s="383" t="s">
        <v>182</v>
      </c>
      <c r="E90" s="278">
        <f>'11'!F90</f>
        <v>3510</v>
      </c>
      <c r="F90" s="298">
        <v>3516</v>
      </c>
      <c r="G90" s="356">
        <f t="shared" si="7"/>
        <v>6</v>
      </c>
      <c r="H90" s="356">
        <f>G90</f>
        <v>6</v>
      </c>
      <c r="I90" s="303"/>
      <c r="J90" s="358">
        <f>H90/DAY(B2)</f>
        <v>0.5</v>
      </c>
      <c r="K90" s="384"/>
      <c r="L90" s="385"/>
      <c r="N90" s="428"/>
      <c r="O90" s="364"/>
    </row>
    <row r="91" spans="1:17" s="386" customFormat="1">
      <c r="A91" s="381" t="s">
        <v>336</v>
      </c>
      <c r="B91" s="382"/>
      <c r="C91" s="382"/>
      <c r="D91" s="383"/>
      <c r="E91" s="278">
        <f>'11'!F91</f>
        <v>28593</v>
      </c>
      <c r="F91" s="298">
        <v>28602</v>
      </c>
      <c r="G91" s="356">
        <f t="shared" si="7"/>
        <v>9</v>
      </c>
      <c r="H91" s="356">
        <f>G91</f>
        <v>9</v>
      </c>
      <c r="I91" s="303"/>
      <c r="J91" s="358">
        <f>H91/DAY(B2)</f>
        <v>0.75</v>
      </c>
      <c r="K91" s="384"/>
      <c r="L91" s="385"/>
      <c r="N91" s="428"/>
      <c r="O91" s="73"/>
    </row>
    <row r="92" spans="1:17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>
      <c r="A93" s="1200" t="s">
        <v>205</v>
      </c>
      <c r="B93" s="1201"/>
      <c r="C93" s="1202"/>
      <c r="D93" s="174" t="s">
        <v>143</v>
      </c>
      <c r="E93" s="135">
        <f>'11'!F93</f>
        <v>251464</v>
      </c>
      <c r="F93" s="129">
        <v>251558</v>
      </c>
      <c r="G93" s="124">
        <f t="shared" ref="G93:G94" si="9">F93-E93</f>
        <v>94</v>
      </c>
      <c r="H93" s="111">
        <f>G93+'11'!H93</f>
        <v>1244</v>
      </c>
      <c r="I93" s="131"/>
      <c r="J93" s="203">
        <f>H93/DAY(B2)</f>
        <v>103.66666666666667</v>
      </c>
      <c r="K93" s="82"/>
      <c r="L93" s="68"/>
      <c r="N93" s="369"/>
      <c r="O93" s="378"/>
      <c r="P93" s="364"/>
    </row>
    <row r="94" spans="1:17" ht="27.75">
      <c r="A94" s="1200" t="s">
        <v>206</v>
      </c>
      <c r="B94" s="1201"/>
      <c r="C94" s="1202"/>
      <c r="D94" s="174" t="s">
        <v>143</v>
      </c>
      <c r="E94" s="135">
        <f>'11'!F94</f>
        <v>194651</v>
      </c>
      <c r="F94" s="129">
        <v>194744</v>
      </c>
      <c r="G94" s="124">
        <f t="shared" si="9"/>
        <v>93</v>
      </c>
      <c r="H94" s="111">
        <f>G94+'11'!H94</f>
        <v>1846</v>
      </c>
      <c r="I94" s="131"/>
      <c r="J94" s="203">
        <f>H94/DAY(B2)</f>
        <v>153.83333333333334</v>
      </c>
      <c r="K94" s="71"/>
      <c r="L94" s="68"/>
      <c r="N94" s="369"/>
      <c r="O94" s="378"/>
      <c r="P94" s="364"/>
    </row>
    <row r="95" spans="1:17">
      <c r="A95" s="1232" t="s">
        <v>207</v>
      </c>
      <c r="B95" s="1233"/>
      <c r="C95" s="1234"/>
      <c r="D95" s="174"/>
      <c r="E95" s="135">
        <f>'11'!F95</f>
        <v>0</v>
      </c>
      <c r="F95" s="129"/>
      <c r="G95" s="124">
        <f>G93+G94</f>
        <v>187</v>
      </c>
      <c r="H95" s="111">
        <f>G95+'11'!H95</f>
        <v>2784</v>
      </c>
      <c r="I95" s="131"/>
      <c r="J95" s="203">
        <f>H95/DAY(B2)</f>
        <v>232</v>
      </c>
      <c r="K95" s="71"/>
      <c r="L95" s="68"/>
      <c r="N95" s="369"/>
      <c r="O95" s="378"/>
      <c r="P95" s="364"/>
    </row>
    <row r="96" spans="1:17" ht="27.75">
      <c r="A96" s="1200" t="s">
        <v>208</v>
      </c>
      <c r="B96" s="1201"/>
      <c r="C96" s="1202"/>
      <c r="D96" s="174" t="s">
        <v>143</v>
      </c>
      <c r="E96" s="135">
        <f>'11'!F96</f>
        <v>419415</v>
      </c>
      <c r="F96" s="129">
        <v>419502</v>
      </c>
      <c r="G96" s="124">
        <f t="shared" ref="G96:G101" si="10">F96-E96</f>
        <v>87</v>
      </c>
      <c r="H96" s="111">
        <f>G96+'11'!H96</f>
        <v>966</v>
      </c>
      <c r="I96" s="131"/>
      <c r="J96" s="203">
        <f>H96/DAY(B2)</f>
        <v>80.5</v>
      </c>
      <c r="K96" s="71"/>
      <c r="L96" s="68"/>
      <c r="N96" s="369"/>
      <c r="O96" s="378"/>
      <c r="P96" s="364"/>
    </row>
    <row r="97" spans="1:17" ht="27.75">
      <c r="A97" s="771" t="s">
        <v>209</v>
      </c>
      <c r="B97" s="772"/>
      <c r="C97" s="772"/>
      <c r="D97" s="174" t="s">
        <v>143</v>
      </c>
      <c r="E97" s="135">
        <f>'11'!F97</f>
        <v>104135</v>
      </c>
      <c r="F97" s="129">
        <v>104159</v>
      </c>
      <c r="G97" s="124">
        <f t="shared" si="10"/>
        <v>24</v>
      </c>
      <c r="H97" s="111">
        <f>G97+'11'!H97</f>
        <v>310</v>
      </c>
      <c r="I97" s="131"/>
      <c r="J97" s="203">
        <f>H97/DAY(B2)</f>
        <v>25.833333333333332</v>
      </c>
      <c r="K97" s="80"/>
      <c r="L97" s="68"/>
      <c r="N97" s="369"/>
      <c r="O97" s="378"/>
      <c r="P97" s="364"/>
    </row>
    <row r="98" spans="1:17" ht="27.75">
      <c r="A98" s="771" t="s">
        <v>210</v>
      </c>
      <c r="B98" s="772"/>
      <c r="C98" s="772"/>
      <c r="D98" s="174" t="s">
        <v>143</v>
      </c>
      <c r="E98" s="135">
        <f>'11'!F98</f>
        <v>99768</v>
      </c>
      <c r="F98" s="129">
        <v>99794</v>
      </c>
      <c r="G98" s="124">
        <f t="shared" si="10"/>
        <v>26</v>
      </c>
      <c r="H98" s="111">
        <f>G98+'11'!H98</f>
        <v>346</v>
      </c>
      <c r="I98" s="131"/>
      <c r="J98" s="203">
        <f>H98/DAY(B2)</f>
        <v>28.833333333333332</v>
      </c>
      <c r="K98" s="85"/>
      <c r="L98" s="68"/>
      <c r="N98" s="369"/>
      <c r="O98" s="378"/>
      <c r="P98" s="364"/>
    </row>
    <row r="99" spans="1:17" ht="27.75">
      <c r="A99" s="771" t="s">
        <v>211</v>
      </c>
      <c r="B99" s="772"/>
      <c r="C99" s="772"/>
      <c r="D99" s="174" t="s">
        <v>143</v>
      </c>
      <c r="E99" s="135">
        <f>'11'!F99</f>
        <v>151513</v>
      </c>
      <c r="F99" s="129">
        <v>151554</v>
      </c>
      <c r="G99" s="124">
        <f t="shared" si="10"/>
        <v>41</v>
      </c>
      <c r="H99" s="111">
        <f>G99+'11'!H99</f>
        <v>303</v>
      </c>
      <c r="I99" s="131"/>
      <c r="J99" s="203">
        <f>H99/DAY(B2)</f>
        <v>25.25</v>
      </c>
      <c r="K99" s="71"/>
      <c r="L99" s="68"/>
      <c r="N99" s="371"/>
      <c r="O99" s="378"/>
      <c r="P99" s="364"/>
    </row>
    <row r="100" spans="1:17" ht="27.75">
      <c r="A100" s="771" t="s">
        <v>212</v>
      </c>
      <c r="B100" s="772"/>
      <c r="C100" s="772"/>
      <c r="D100" s="174" t="s">
        <v>143</v>
      </c>
      <c r="E100" s="135">
        <f>'11'!F100</f>
        <v>8370</v>
      </c>
      <c r="F100" s="129">
        <v>8381</v>
      </c>
      <c r="G100" s="124">
        <f t="shared" si="10"/>
        <v>11</v>
      </c>
      <c r="H100" s="111">
        <f>G100+'11'!H100</f>
        <v>216</v>
      </c>
      <c r="I100" s="131"/>
      <c r="J100" s="203">
        <f>H100/DAY(B2)</f>
        <v>18</v>
      </c>
      <c r="K100" s="71"/>
      <c r="L100" s="68"/>
      <c r="N100" s="369"/>
      <c r="O100" s="378"/>
      <c r="P100" s="364"/>
    </row>
    <row r="101" spans="1:17" ht="27.75">
      <c r="A101" s="771" t="s">
        <v>213</v>
      </c>
      <c r="B101" s="772"/>
      <c r="C101" s="772"/>
      <c r="D101" s="174" t="s">
        <v>143</v>
      </c>
      <c r="E101" s="135">
        <f>'11'!F101</f>
        <v>6126</v>
      </c>
      <c r="F101" s="129">
        <v>6133</v>
      </c>
      <c r="G101" s="124">
        <f t="shared" si="10"/>
        <v>7</v>
      </c>
      <c r="H101" s="111">
        <f>G101+'11'!H101</f>
        <v>142</v>
      </c>
      <c r="I101" s="131"/>
      <c r="J101" s="203">
        <f>H101/DAY(B2)</f>
        <v>11.833333333333334</v>
      </c>
      <c r="K101" s="71"/>
      <c r="L101" s="68"/>
      <c r="N101" s="369"/>
      <c r="O101" s="378"/>
      <c r="P101" s="364"/>
    </row>
    <row r="102" spans="1:17">
      <c r="A102" s="1232" t="s">
        <v>215</v>
      </c>
      <c r="B102" s="1233"/>
      <c r="C102" s="1234"/>
      <c r="D102" s="175"/>
      <c r="E102" s="135"/>
      <c r="F102" s="175"/>
      <c r="G102" s="176">
        <f>SUM(G96:G101)</f>
        <v>196</v>
      </c>
      <c r="H102" s="111">
        <f>G102+'11'!H102</f>
        <v>2283</v>
      </c>
      <c r="I102" s="177"/>
      <c r="J102" s="203">
        <f>H102/DAY(B2)</f>
        <v>190.25</v>
      </c>
      <c r="K102" s="71"/>
      <c r="L102" s="68"/>
      <c r="N102" s="369"/>
      <c r="O102" s="378"/>
      <c r="P102" s="364"/>
    </row>
    <row r="103" spans="1:17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>
      <c r="A105" s="1192" t="s">
        <v>218</v>
      </c>
      <c r="B105" s="1193"/>
      <c r="C105" s="770"/>
      <c r="D105" s="273" t="s">
        <v>143</v>
      </c>
      <c r="E105" s="135">
        <f>'11'!F105</f>
        <v>7937</v>
      </c>
      <c r="F105" s="309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4.9691666666665997</v>
      </c>
      <c r="N105" s="369"/>
      <c r="O105" s="378"/>
      <c r="P105" s="364"/>
      <c r="Q105" s="96"/>
    </row>
    <row r="106" spans="1:17" s="93" customFormat="1" ht="27.75">
      <c r="A106" s="1192" t="s">
        <v>76</v>
      </c>
      <c r="B106" s="1193"/>
      <c r="C106" s="770"/>
      <c r="D106" s="273" t="s">
        <v>143</v>
      </c>
      <c r="E106" s="135">
        <f>'11'!F106</f>
        <v>36565</v>
      </c>
      <c r="F106" s="310">
        <v>36574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5.666666666666667</v>
      </c>
      <c r="N106" s="369"/>
      <c r="O106" s="378"/>
      <c r="P106" s="364"/>
      <c r="Q106" s="96"/>
    </row>
    <row r="107" spans="1:17" s="93" customFormat="1" ht="27.75">
      <c r="A107" s="1192" t="s">
        <v>77</v>
      </c>
      <c r="B107" s="1237"/>
      <c r="C107" s="1193"/>
      <c r="D107" s="273" t="s">
        <v>143</v>
      </c>
      <c r="E107" s="135">
        <f>'11'!F107</f>
        <v>20044</v>
      </c>
      <c r="F107" s="310">
        <v>20052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12.666666666666666</v>
      </c>
      <c r="N107" s="369"/>
      <c r="O107" s="378"/>
      <c r="P107" s="364"/>
      <c r="Q107" s="96"/>
    </row>
    <row r="108" spans="1:17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13.333333333333334</v>
      </c>
      <c r="N108" s="369"/>
      <c r="O108" s="378"/>
      <c r="P108" s="364"/>
      <c r="Q108" s="96"/>
    </row>
    <row r="109" spans="1:17" s="93" customFormat="1" ht="27.75">
      <c r="A109" s="1198" t="s">
        <v>78</v>
      </c>
      <c r="B109" s="1199"/>
      <c r="C109" s="770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>
      <c r="A110" s="1192" t="s">
        <v>219</v>
      </c>
      <c r="B110" s="1193"/>
      <c r="C110" s="770"/>
      <c r="D110" s="273" t="s">
        <v>143</v>
      </c>
      <c r="E110" s="135">
        <f>'11'!F110</f>
        <v>67992</v>
      </c>
      <c r="F110" s="310">
        <v>68074</v>
      </c>
      <c r="G110" s="183">
        <f>F110-E110</f>
        <v>82</v>
      </c>
      <c r="H110" s="184">
        <f>SUM(G110+'1'!G81)</f>
        <v>247.56000000005588</v>
      </c>
      <c r="I110" s="183"/>
      <c r="J110" s="209">
        <f>H110/DAY(B2)</f>
        <v>20.630000000004657</v>
      </c>
      <c r="N110" s="369"/>
      <c r="O110" s="378"/>
      <c r="P110" s="364"/>
      <c r="Q110" s="96"/>
    </row>
    <row r="111" spans="1:17" s="93" customFormat="1" ht="27.75">
      <c r="A111" s="1192" t="s">
        <v>220</v>
      </c>
      <c r="B111" s="1193"/>
      <c r="C111" s="770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1.1066666666665697</v>
      </c>
      <c r="N111" s="369"/>
      <c r="O111" s="378"/>
      <c r="P111" s="364"/>
      <c r="Q111" s="96"/>
    </row>
    <row r="112" spans="1:17" s="93" customFormat="1" ht="27.75">
      <c r="A112" s="1192" t="s">
        <v>221</v>
      </c>
      <c r="B112" s="1193"/>
      <c r="C112" s="770"/>
      <c r="D112" s="273" t="s">
        <v>143</v>
      </c>
      <c r="E112" s="135">
        <f>'11'!F112</f>
        <v>4689</v>
      </c>
      <c r="F112" s="310">
        <v>4689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25.416666666666668</v>
      </c>
      <c r="N112" s="369"/>
      <c r="O112" s="378"/>
      <c r="P112" s="364"/>
      <c r="Q112" s="96"/>
    </row>
    <row r="113" spans="1:17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82</v>
      </c>
      <c r="H113" s="184">
        <f>SUM(G113+'1'!G84)</f>
        <v>891</v>
      </c>
      <c r="I113" s="183"/>
      <c r="J113" s="209">
        <f>H113/DAY(B2)</f>
        <v>74.25</v>
      </c>
      <c r="N113" s="369"/>
      <c r="O113" s="378"/>
      <c r="P113" s="364"/>
      <c r="Q113" s="96"/>
    </row>
    <row r="114" spans="1:17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>
      <c r="A115" s="1192" t="s">
        <v>223</v>
      </c>
      <c r="B115" s="1193"/>
      <c r="C115" s="225"/>
      <c r="D115" s="273" t="s">
        <v>143</v>
      </c>
      <c r="E115" s="135">
        <f>'11'!F115</f>
        <v>12705</v>
      </c>
      <c r="F115" s="310">
        <v>12719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1.1666666666666667</v>
      </c>
      <c r="N115" s="369"/>
      <c r="O115" s="378"/>
      <c r="P115" s="364"/>
      <c r="Q115" s="96"/>
    </row>
    <row r="116" spans="1:17" s="93" customFormat="1" ht="27.75">
      <c r="A116" s="1192" t="s">
        <v>224</v>
      </c>
      <c r="B116" s="1193"/>
      <c r="C116" s="225"/>
      <c r="D116" s="273" t="s">
        <v>143</v>
      </c>
      <c r="E116" s="135">
        <f>'11'!F116</f>
        <v>8930</v>
      </c>
      <c r="F116" s="310">
        <v>8939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12</v>
      </c>
      <c r="N116" s="369"/>
      <c r="O116" s="378"/>
      <c r="P116" s="364"/>
      <c r="Q116" s="96"/>
    </row>
    <row r="117" spans="1:17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14.25</v>
      </c>
      <c r="N117" s="369"/>
      <c r="O117" s="378"/>
      <c r="P117" s="364"/>
      <c r="Q117" s="96"/>
    </row>
    <row r="118" spans="1:17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23</v>
      </c>
      <c r="H118" s="184">
        <f>SUM(G118+'1'!G96)</f>
        <v>93</v>
      </c>
      <c r="I118" s="185"/>
      <c r="J118" s="209">
        <f>H118/DAY(B2)</f>
        <v>7.75</v>
      </c>
      <c r="N118" s="369"/>
      <c r="O118" s="378"/>
      <c r="P118" s="364"/>
    </row>
    <row r="119" spans="1:17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84">
        <f>SUM(G119+'1'!G97)</f>
        <v>188</v>
      </c>
      <c r="I119" s="186"/>
      <c r="J119" s="210">
        <f>H119/DAY(B2)</f>
        <v>15.666666666666666</v>
      </c>
      <c r="N119" s="369"/>
      <c r="O119" s="378"/>
      <c r="P119" s="364"/>
    </row>
    <row r="120" spans="1:17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155</v>
      </c>
      <c r="G120" s="187">
        <f>SUM(G96,G97,G98,G100,G101)</f>
        <v>155</v>
      </c>
      <c r="H120" s="184">
        <f>SUM(G120+'1'!G99)</f>
        <v>161</v>
      </c>
      <c r="I120" s="186"/>
      <c r="J120" s="210">
        <f>H120/DAY(B2)</f>
        <v>13.416666666666666</v>
      </c>
      <c r="N120" s="369"/>
      <c r="O120" s="378"/>
      <c r="P120" s="364"/>
    </row>
    <row r="121" spans="1:17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82</v>
      </c>
      <c r="G121" s="185">
        <f>SUM(G113)</f>
        <v>82</v>
      </c>
      <c r="H121" s="184">
        <f>SUM(G121+'1'!G101)</f>
        <v>97</v>
      </c>
      <c r="I121" s="186"/>
      <c r="J121" s="210">
        <f>H121/DAY(B2)</f>
        <v>8.0833333333333339</v>
      </c>
      <c r="N121" s="369"/>
      <c r="O121" s="378"/>
      <c r="P121" s="364"/>
    </row>
    <row r="122" spans="1:17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>
      <c r="A124" s="771" t="s">
        <v>230</v>
      </c>
      <c r="B124" s="772"/>
      <c r="C124" s="772"/>
      <c r="D124" s="174" t="s">
        <v>140</v>
      </c>
      <c r="E124" s="129">
        <f>'11'!F124</f>
        <v>850896</v>
      </c>
      <c r="F124" s="129">
        <v>851171</v>
      </c>
      <c r="G124" s="124">
        <f t="shared" ref="G124:G128" si="14">F124-E124</f>
        <v>275</v>
      </c>
      <c r="H124" s="111">
        <f>G124+'11'!H124</f>
        <v>3205</v>
      </c>
      <c r="I124" s="177"/>
      <c r="J124" s="203">
        <f>H124/DAY(B2)</f>
        <v>267.08333333333331</v>
      </c>
      <c r="K124" s="71"/>
      <c r="L124" s="68"/>
      <c r="N124" s="369"/>
      <c r="O124" s="378"/>
      <c r="P124" s="364"/>
    </row>
    <row r="125" spans="1:17" ht="27.75">
      <c r="A125" s="771" t="s">
        <v>231</v>
      </c>
      <c r="B125" s="772"/>
      <c r="C125" s="772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>
      <c r="A126" s="1181" t="s">
        <v>232</v>
      </c>
      <c r="B126" s="1182"/>
      <c r="C126" s="1183"/>
      <c r="D126" s="174" t="s">
        <v>140</v>
      </c>
      <c r="E126" s="129">
        <f>'11'!F126</f>
        <v>152260</v>
      </c>
      <c r="F126" s="129">
        <v>152340</v>
      </c>
      <c r="G126" s="124">
        <f t="shared" si="14"/>
        <v>80</v>
      </c>
      <c r="H126" s="111">
        <f>G126+'11'!H126</f>
        <v>1019</v>
      </c>
      <c r="I126" s="177"/>
      <c r="J126" s="203">
        <f>H126/DAY(B2)</f>
        <v>84.916666666666671</v>
      </c>
      <c r="K126" s="71"/>
      <c r="L126" s="68"/>
      <c r="N126" s="369"/>
      <c r="O126" s="378"/>
      <c r="P126" s="364"/>
    </row>
    <row r="127" spans="1:17" ht="27.75">
      <c r="A127" s="260" t="s">
        <v>233</v>
      </c>
      <c r="B127" s="772"/>
      <c r="C127" s="772"/>
      <c r="D127" s="174" t="s">
        <v>140</v>
      </c>
      <c r="E127" s="277">
        <f>'11'!F127</f>
        <v>33753</v>
      </c>
      <c r="F127" s="277">
        <v>33822</v>
      </c>
      <c r="G127" s="124">
        <f t="shared" si="14"/>
        <v>69</v>
      </c>
      <c r="H127" s="111">
        <f>G127+'11'!H127</f>
        <v>534</v>
      </c>
      <c r="I127" s="177"/>
      <c r="J127" s="203">
        <f>H127/DAY(B2)</f>
        <v>44.5</v>
      </c>
      <c r="K127" s="71"/>
      <c r="L127" s="68"/>
      <c r="N127" s="369"/>
      <c r="O127" s="378"/>
      <c r="P127" s="364"/>
    </row>
    <row r="128" spans="1:17" ht="27.75">
      <c r="A128" s="260" t="s">
        <v>234</v>
      </c>
      <c r="B128" s="772"/>
      <c r="C128" s="772"/>
      <c r="D128" s="174" t="s">
        <v>140</v>
      </c>
      <c r="E128" s="277">
        <f>'11'!F128</f>
        <v>9133</v>
      </c>
      <c r="F128" s="277">
        <v>9135</v>
      </c>
      <c r="G128" s="124">
        <f t="shared" si="14"/>
        <v>2</v>
      </c>
      <c r="H128" s="111">
        <f>G128+'11'!H128</f>
        <v>22</v>
      </c>
      <c r="I128" s="131"/>
      <c r="J128" s="203">
        <f>H128/DAY(B2)</f>
        <v>1.8333333333333333</v>
      </c>
      <c r="K128" s="71"/>
      <c r="L128" s="68"/>
      <c r="N128" s="369"/>
      <c r="O128" s="378"/>
      <c r="P128" s="364"/>
    </row>
    <row r="129" spans="1:17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504.39999999999418</v>
      </c>
      <c r="H129" s="111">
        <f>H15-SUM(H124:H128)</f>
        <v>5462.3999999999942</v>
      </c>
      <c r="I129" s="131"/>
      <c r="J129" s="203"/>
      <c r="K129" s="60"/>
      <c r="L129" s="58"/>
      <c r="N129" s="369"/>
      <c r="O129" s="378"/>
      <c r="P129" s="364"/>
      <c r="Q129" s="361"/>
    </row>
    <row r="130" spans="1:17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>
      <c r="A131" s="771" t="s">
        <v>237</v>
      </c>
      <c r="B131" s="772"/>
      <c r="C131" s="772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>
      <c r="A132" s="771" t="s">
        <v>239</v>
      </c>
      <c r="B132" s="772"/>
      <c r="C132" s="772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>
      <c r="A133" s="771" t="s">
        <v>240</v>
      </c>
      <c r="B133" s="772"/>
      <c r="C133" s="772"/>
      <c r="D133" s="174" t="s">
        <v>238</v>
      </c>
      <c r="E133" s="192">
        <f>'11'!F133</f>
        <v>40709</v>
      </c>
      <c r="F133" s="302">
        <v>40733</v>
      </c>
      <c r="G133" s="124">
        <f t="shared" si="15"/>
        <v>24</v>
      </c>
      <c r="H133" s="111">
        <f>G133+'11'!H133</f>
        <v>114</v>
      </c>
      <c r="I133" s="131"/>
      <c r="J133" s="203">
        <f>H133/DAY(B2)</f>
        <v>9.5</v>
      </c>
      <c r="N133" s="369"/>
      <c r="O133" s="378"/>
      <c r="P133" s="364"/>
    </row>
    <row r="134" spans="1:17" ht="27.75">
      <c r="A134" s="771" t="s">
        <v>241</v>
      </c>
      <c r="B134" s="772"/>
      <c r="C134" s="772"/>
      <c r="D134" s="174" t="s">
        <v>238</v>
      </c>
      <c r="E134" s="352">
        <f>'11'!F134</f>
        <v>724.25</v>
      </c>
      <c r="F134" s="277">
        <v>724.25</v>
      </c>
      <c r="G134" s="124">
        <f t="shared" si="15"/>
        <v>0</v>
      </c>
      <c r="H134" s="111">
        <f>G134+'11'!H134</f>
        <v>150.25</v>
      </c>
      <c r="I134" s="131">
        <f>G131+G132+G133+G134</f>
        <v>24</v>
      </c>
      <c r="J134" s="203">
        <f>H134/DAY(B2)</f>
        <v>12.520833333333334</v>
      </c>
      <c r="N134" s="369"/>
      <c r="O134" s="378"/>
      <c r="P134" s="364"/>
    </row>
    <row r="135" spans="1:17" ht="27.75">
      <c r="A135" s="771" t="s">
        <v>242</v>
      </c>
      <c r="B135" s="772"/>
      <c r="C135" s="772"/>
      <c r="D135" s="174" t="s">
        <v>238</v>
      </c>
      <c r="E135" s="352">
        <f>'11'!F135</f>
        <v>42613</v>
      </c>
      <c r="F135" s="277">
        <v>42625</v>
      </c>
      <c r="G135" s="124">
        <f t="shared" si="15"/>
        <v>12</v>
      </c>
      <c r="H135" s="111">
        <f>G135+'11'!H135</f>
        <v>126</v>
      </c>
      <c r="I135" s="131"/>
      <c r="J135" s="203">
        <f>H135/DAY(B2)</f>
        <v>10.5</v>
      </c>
      <c r="N135" s="369"/>
      <c r="O135" s="378"/>
      <c r="P135" s="364"/>
    </row>
    <row r="136" spans="1:17" ht="27.75">
      <c r="A136" s="771" t="s">
        <v>243</v>
      </c>
      <c r="B136" s="772"/>
      <c r="C136" s="772"/>
      <c r="D136" s="174" t="s">
        <v>238</v>
      </c>
      <c r="E136" s="173">
        <f>'11'!F136</f>
        <v>32874.050000000003</v>
      </c>
      <c r="F136" s="302">
        <v>32874.050000000003</v>
      </c>
      <c r="G136" s="124">
        <f t="shared" si="15"/>
        <v>0</v>
      </c>
      <c r="H136" s="111">
        <f>G136+'11'!H136</f>
        <v>5.0000000002910383E-2</v>
      </c>
      <c r="I136" s="131"/>
      <c r="J136" s="203">
        <f>H136/DAY(B2)</f>
        <v>4.1666666669091983E-3</v>
      </c>
      <c r="N136" s="369"/>
      <c r="O136" s="378"/>
      <c r="P136" s="364"/>
    </row>
    <row r="137" spans="1:17" ht="27.75">
      <c r="A137" s="771" t="s">
        <v>244</v>
      </c>
      <c r="B137" s="772"/>
      <c r="C137" s="772"/>
      <c r="D137" s="174" t="s">
        <v>238</v>
      </c>
      <c r="E137" s="192">
        <f>'11'!F137</f>
        <v>23196</v>
      </c>
      <c r="F137" s="302">
        <v>23205.31</v>
      </c>
      <c r="G137" s="124">
        <f t="shared" si="15"/>
        <v>9.3100000000013097</v>
      </c>
      <c r="H137" s="111">
        <f>G137+'11'!H137</f>
        <v>98.75</v>
      </c>
      <c r="I137" s="131">
        <f>G135+G136+G137</f>
        <v>21.31000000000131</v>
      </c>
      <c r="J137" s="203">
        <f>H137/DAY(B2)</f>
        <v>8.2291666666666661</v>
      </c>
      <c r="N137" s="369"/>
      <c r="O137" s="378"/>
      <c r="P137" s="364"/>
    </row>
    <row r="138" spans="1:17" ht="27.75">
      <c r="A138" s="771" t="s">
        <v>245</v>
      </c>
      <c r="B138" s="772"/>
      <c r="C138" s="772"/>
      <c r="D138" s="174" t="s">
        <v>238</v>
      </c>
      <c r="E138" s="192">
        <f>'11'!F138</f>
        <v>25119</v>
      </c>
      <c r="F138" s="302">
        <v>25119.45</v>
      </c>
      <c r="G138" s="124">
        <f t="shared" si="15"/>
        <v>0.4500000000007276</v>
      </c>
      <c r="H138" s="111">
        <f>G138+'11'!H138</f>
        <v>0</v>
      </c>
      <c r="I138" s="131"/>
      <c r="J138" s="203">
        <f>H138/DAY(B2)</f>
        <v>0</v>
      </c>
      <c r="N138" s="369"/>
      <c r="O138" s="378"/>
      <c r="P138" s="364"/>
    </row>
    <row r="139" spans="1:17" ht="27.75">
      <c r="A139" s="771" t="s">
        <v>246</v>
      </c>
      <c r="B139" s="772"/>
      <c r="C139" s="772"/>
      <c r="D139" s="174" t="s">
        <v>238</v>
      </c>
      <c r="E139" s="192">
        <f>'11'!F139</f>
        <v>70518</v>
      </c>
      <c r="F139" s="302">
        <v>70518</v>
      </c>
      <c r="G139" s="124">
        <f t="shared" si="15"/>
        <v>0</v>
      </c>
      <c r="H139" s="111">
        <f>G139+'11'!H139</f>
        <v>1.3999999999941792</v>
      </c>
      <c r="I139" s="131">
        <f>G138+G139</f>
        <v>0.4500000000007276</v>
      </c>
      <c r="J139" s="203">
        <f>H139/DAY(B2)</f>
        <v>0.1166666666661816</v>
      </c>
      <c r="N139" s="369"/>
      <c r="O139" s="378"/>
      <c r="P139" s="364"/>
    </row>
    <row r="140" spans="1:17" ht="27.75">
      <c r="A140" s="771" t="s">
        <v>247</v>
      </c>
      <c r="B140" s="772"/>
      <c r="C140" s="772"/>
      <c r="D140" s="174" t="s">
        <v>238</v>
      </c>
      <c r="E140" s="352">
        <f>'11'!F140</f>
        <v>2419</v>
      </c>
      <c r="F140" s="277">
        <v>2429.7199999999998</v>
      </c>
      <c r="G140" s="124">
        <f t="shared" si="15"/>
        <v>10.7199999999998</v>
      </c>
      <c r="H140" s="111">
        <f>G140+'11'!H140</f>
        <v>118.15999999999985</v>
      </c>
      <c r="I140" s="193"/>
      <c r="J140" s="203">
        <f>H140/DAY(B2)</f>
        <v>9.8466666666666551</v>
      </c>
      <c r="N140" s="369"/>
      <c r="O140" s="378"/>
      <c r="P140" s="364"/>
    </row>
    <row r="141" spans="1:17" ht="27.75">
      <c r="A141" s="771" t="s">
        <v>248</v>
      </c>
      <c r="B141" s="772"/>
      <c r="C141" s="772"/>
      <c r="D141" s="174" t="s">
        <v>238</v>
      </c>
      <c r="E141" s="135">
        <f>'11'!F141</f>
        <v>4753.67</v>
      </c>
      <c r="F141" s="129">
        <v>4753.67</v>
      </c>
      <c r="G141" s="124">
        <f t="shared" si="15"/>
        <v>0</v>
      </c>
      <c r="H141" s="111">
        <f>G141+'11'!H141</f>
        <v>-0.32999999999992724</v>
      </c>
      <c r="I141" s="193"/>
      <c r="J141" s="203">
        <f>H141/DAY(B2)</f>
        <v>-2.7499999999993936E-2</v>
      </c>
      <c r="N141" s="369"/>
      <c r="O141" s="378"/>
      <c r="P141" s="364"/>
    </row>
    <row r="142" spans="1:17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6356</v>
      </c>
      <c r="H143" s="111">
        <f>G143+'11'!H143</f>
        <v>70879.699999999953</v>
      </c>
      <c r="I143" s="131"/>
      <c r="J143" s="203">
        <f>H143/DAY(B2)</f>
        <v>5906.6416666666628</v>
      </c>
      <c r="K143" s="71"/>
      <c r="L143" s="68"/>
      <c r="N143" s="369"/>
      <c r="O143" s="378"/>
      <c r="P143" s="364"/>
    </row>
    <row r="144" spans="1:17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0.26429373362717784</v>
      </c>
      <c r="H144" s="111">
        <f>G144+'11'!H144</f>
        <v>3.1481666411868385</v>
      </c>
      <c r="I144" s="195"/>
      <c r="J144" s="203">
        <f>H144/DAY(B2)</f>
        <v>0.26234722009890321</v>
      </c>
      <c r="K144" s="71"/>
      <c r="L144" s="68"/>
      <c r="N144" s="369"/>
      <c r="O144" s="378"/>
      <c r="P144" s="364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7375</v>
      </c>
      <c r="H145" s="111">
        <f>G145+'11'!H145</f>
        <v>83567</v>
      </c>
      <c r="I145" s="131"/>
      <c r="J145" s="203">
        <f>H145/DAY(B2)</f>
        <v>6963.916666666667</v>
      </c>
      <c r="K145" s="71"/>
      <c r="L145" s="68"/>
      <c r="N145" s="369"/>
      <c r="O145" s="378"/>
      <c r="P145" s="364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0.30666555781945193</v>
      </c>
      <c r="H146" s="111">
        <f>G146+'11'!H146</f>
        <v>3.6983086527196924</v>
      </c>
      <c r="I146" s="195"/>
      <c r="J146" s="203">
        <f>H146/DAY(B2)</f>
        <v>0.30819238772664104</v>
      </c>
      <c r="K146" s="71"/>
      <c r="L146" s="68"/>
      <c r="N146" s="369"/>
      <c r="O146" s="378"/>
      <c r="P146" s="364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4025.4099999999744</v>
      </c>
      <c r="H147" s="111">
        <f>G147+'11'!H147</f>
        <v>45404</v>
      </c>
      <c r="I147" s="196"/>
      <c r="J147" s="203">
        <f>H147/DAY(B2)</f>
        <v>3783.6666666666665</v>
      </c>
      <c r="K147" s="71"/>
      <c r="L147" s="68"/>
      <c r="N147" s="369"/>
      <c r="O147" s="378"/>
      <c r="P147" s="364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0.16738367499688031</v>
      </c>
      <c r="H148" s="111">
        <f>G148+'11'!H148</f>
        <v>2.0227055552433595</v>
      </c>
      <c r="I148" s="196"/>
      <c r="J148" s="203">
        <f>H148/DAY(B2)</f>
        <v>0.16855879627027995</v>
      </c>
      <c r="N148" s="369"/>
      <c r="O148" s="378"/>
      <c r="P148" s="364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1686</v>
      </c>
      <c r="H149" s="111">
        <f>G149+'11'!H149</f>
        <v>20300.069999999949</v>
      </c>
      <c r="I149" s="131"/>
      <c r="J149" s="203">
        <f>H149/DAY(B2)</f>
        <v>1691.6724999999958</v>
      </c>
      <c r="K149" s="72"/>
      <c r="N149" s="369"/>
      <c r="O149" s="378"/>
      <c r="P149" s="364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7.0106865150318096E-2</v>
      </c>
      <c r="H150" s="111">
        <f>G150+'11'!H150</f>
        <v>0.90281214830805212</v>
      </c>
      <c r="I150" s="196"/>
      <c r="J150" s="203">
        <f>H150/DAY(B2)</f>
        <v>7.5234345692337681E-2</v>
      </c>
      <c r="N150" s="369"/>
      <c r="O150" s="378"/>
      <c r="P150" s="364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1802.6999999999971</v>
      </c>
      <c r="H151" s="111">
        <f>G151+'11'!H151</f>
        <v>22658.699999999997</v>
      </c>
      <c r="I151" s="196"/>
      <c r="J151" s="203">
        <f>H151/DAY(B2)</f>
        <v>1888.2249999999997</v>
      </c>
      <c r="N151" s="369"/>
      <c r="O151" s="378"/>
      <c r="P151" s="364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7.4959457773711879E-2</v>
      </c>
      <c r="H152" s="111">
        <f>G152+'11'!H152</f>
        <v>1.0043316642181714</v>
      </c>
      <c r="I152" s="131"/>
      <c r="J152" s="203">
        <f>H152/DAY(B2)</f>
        <v>8.3694305351514287E-2</v>
      </c>
      <c r="N152" s="369"/>
      <c r="O152" s="378"/>
      <c r="P152" s="364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1629</v>
      </c>
      <c r="H153" s="111">
        <f>G153+'11'!H153</f>
        <v>19192.869999999995</v>
      </c>
      <c r="I153" s="131"/>
      <c r="J153" s="203">
        <f>H153/DAY(B2)</f>
        <v>1599.405833333333</v>
      </c>
      <c r="N153" s="369"/>
      <c r="O153" s="378"/>
      <c r="P153" s="364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6.773670422886606E-2</v>
      </c>
      <c r="H154" s="111">
        <f>G154+'11'!H154</f>
        <v>0.85364729327021616</v>
      </c>
      <c r="I154" s="219"/>
      <c r="J154" s="220">
        <f>H154/DAY(B2)</f>
        <v>7.1137274439184675E-2</v>
      </c>
      <c r="N154" s="369"/>
      <c r="O154" s="378"/>
      <c r="P154" s="364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192">
        <f>'11'!F161</f>
        <v>44200</v>
      </c>
      <c r="F161" s="309">
        <v>44280.6</v>
      </c>
      <c r="G161" s="124">
        <f t="shared" ref="G161:G164" si="16">F161-E161</f>
        <v>80.599999999998545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192">
        <f>'11'!F162</f>
        <v>127225</v>
      </c>
      <c r="F162" s="309">
        <v>127705</v>
      </c>
      <c r="G162" s="124">
        <f t="shared" si="16"/>
        <v>480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192">
        <f>'11'!F163</f>
        <v>59690</v>
      </c>
      <c r="F163" s="309">
        <v>59893</v>
      </c>
      <c r="G163" s="124">
        <f t="shared" si="16"/>
        <v>203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192">
        <f>'11'!F164</f>
        <v>7245</v>
      </c>
      <c r="F164" s="309">
        <v>7253.93</v>
      </c>
      <c r="G164" s="124">
        <f t="shared" si="16"/>
        <v>8.930000000000291</v>
      </c>
      <c r="N164" s="369"/>
    </row>
    <row r="165" spans="1:14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33" customHeight="1">
      <c r="A167" s="1187" t="s">
        <v>98</v>
      </c>
      <c r="B167" s="1187"/>
      <c r="C167" s="1187"/>
      <c r="D167" s="174" t="s">
        <v>186</v>
      </c>
      <c r="E167" s="165">
        <f t="shared" si="18"/>
        <v>185985</v>
      </c>
      <c r="F167" s="165">
        <f t="shared" si="19"/>
        <v>186441</v>
      </c>
      <c r="G167" s="124">
        <f t="shared" si="17"/>
        <v>456</v>
      </c>
      <c r="N167" s="369"/>
    </row>
    <row r="168" spans="1:14" ht="33" customHeight="1">
      <c r="A168" s="1187" t="s">
        <v>99</v>
      </c>
      <c r="B168" s="1187"/>
      <c r="C168" s="1187"/>
      <c r="D168" s="174" t="s">
        <v>186</v>
      </c>
      <c r="E168" s="165">
        <f t="shared" si="18"/>
        <v>186584</v>
      </c>
      <c r="F168" s="165">
        <f t="shared" si="19"/>
        <v>186994</v>
      </c>
      <c r="G168" s="124">
        <f t="shared" si="17"/>
        <v>410</v>
      </c>
      <c r="N168" s="369"/>
    </row>
    <row r="169" spans="1:14" ht="41.25" customHeight="1">
      <c r="A169" s="1187" t="s">
        <v>100</v>
      </c>
      <c r="B169" s="1187"/>
      <c r="C169" s="1187"/>
      <c r="D169" s="174" t="s">
        <v>186</v>
      </c>
      <c r="E169" s="165">
        <f t="shared" si="18"/>
        <v>85137</v>
      </c>
      <c r="F169" s="165">
        <f t="shared" si="19"/>
        <v>85550</v>
      </c>
      <c r="G169" s="124">
        <f t="shared" si="17"/>
        <v>413</v>
      </c>
      <c r="N169" s="369"/>
    </row>
    <row r="170" spans="1:14" ht="26.25" customHeight="1">
      <c r="A170" s="1187" t="s">
        <v>101</v>
      </c>
      <c r="B170" s="1187"/>
      <c r="C170" s="1187"/>
      <c r="D170" s="174" t="s">
        <v>186</v>
      </c>
      <c r="E170" s="165">
        <f t="shared" si="18"/>
        <v>285362</v>
      </c>
      <c r="F170" s="165">
        <f t="shared" si="19"/>
        <v>285876</v>
      </c>
      <c r="G170" s="124">
        <f t="shared" si="17"/>
        <v>514</v>
      </c>
      <c r="N170" s="369"/>
    </row>
    <row r="171" spans="1:14" ht="24" customHeight="1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187" t="s">
        <v>103</v>
      </c>
      <c r="B172" s="1187"/>
      <c r="C172" s="1187"/>
      <c r="D172" s="174" t="s">
        <v>186</v>
      </c>
      <c r="E172" s="165">
        <f t="shared" si="18"/>
        <v>100079</v>
      </c>
      <c r="F172" s="165">
        <f t="shared" si="19"/>
        <v>100414</v>
      </c>
      <c r="G172" s="124">
        <f t="shared" si="17"/>
        <v>335</v>
      </c>
      <c r="N172" s="369"/>
    </row>
    <row r="173" spans="1:14">
      <c r="A173" s="1228" t="s">
        <v>338</v>
      </c>
      <c r="B173" s="1191"/>
      <c r="C173" s="436"/>
      <c r="D173" s="174" t="s">
        <v>186</v>
      </c>
      <c r="E173" s="192">
        <f>'11'!F173</f>
        <v>19165</v>
      </c>
      <c r="F173" s="183">
        <v>19168</v>
      </c>
      <c r="G173" s="124">
        <f t="shared" si="17"/>
        <v>3</v>
      </c>
      <c r="N173" s="369"/>
    </row>
    <row r="174" spans="1:14">
      <c r="A174" s="1228" t="s">
        <v>338</v>
      </c>
      <c r="B174" s="1191"/>
      <c r="C174" s="436"/>
      <c r="D174" s="174" t="s">
        <v>186</v>
      </c>
      <c r="E174" s="192">
        <f>'11'!F174</f>
        <v>70604</v>
      </c>
      <c r="F174" s="183">
        <v>70611</v>
      </c>
      <c r="G174" s="124">
        <f t="shared" si="17"/>
        <v>7</v>
      </c>
      <c r="N174" s="369"/>
    </row>
    <row r="175" spans="1:14">
      <c r="A175" s="1228" t="s">
        <v>339</v>
      </c>
      <c r="B175" s="1191"/>
      <c r="C175" s="436"/>
      <c r="D175" s="174" t="s">
        <v>186</v>
      </c>
      <c r="E175" s="192">
        <f>'11'!F175</f>
        <v>27853</v>
      </c>
      <c r="F175" s="183">
        <v>27856</v>
      </c>
      <c r="G175" s="124">
        <f t="shared" si="17"/>
        <v>3</v>
      </c>
      <c r="N175" s="369"/>
    </row>
    <row r="176" spans="1:14">
      <c r="N176" s="369"/>
    </row>
    <row r="177" spans="14:14">
      <c r="N177" s="369"/>
    </row>
    <row r="178" spans="14:14" ht="18.75" customHeight="1">
      <c r="N178" s="369"/>
    </row>
    <row r="179" spans="14:14" ht="18.75" customHeight="1">
      <c r="N179" s="369"/>
    </row>
    <row r="180" spans="14:14" ht="18.75" customHeight="1">
      <c r="N180" s="369"/>
    </row>
    <row r="181" spans="14:14" ht="18" customHeight="1">
      <c r="N181" s="369"/>
    </row>
    <row r="182" spans="14:14" ht="18.75" customHeight="1">
      <c r="N182" s="369"/>
    </row>
    <row r="183" spans="14:14" ht="18.75" customHeight="1">
      <c r="N183" s="369"/>
    </row>
    <row r="184" spans="14:14" ht="18" customHeight="1">
      <c r="N184" s="369"/>
    </row>
    <row r="185" spans="14:14" ht="18" customHeight="1">
      <c r="N185" s="369"/>
    </row>
    <row r="186" spans="14:14" ht="18" customHeight="1">
      <c r="N186" s="369"/>
    </row>
    <row r="187" spans="14:14" ht="18" customHeight="1">
      <c r="N187" s="369"/>
    </row>
    <row r="188" spans="14:14" ht="18" customHeight="1">
      <c r="N188" s="369"/>
    </row>
    <row r="189" spans="14:14" ht="18" customHeight="1">
      <c r="N189" s="369"/>
    </row>
    <row r="190" spans="14:14" ht="18" customHeight="1">
      <c r="N190" s="369"/>
    </row>
    <row r="191" spans="14:14" ht="18.75" customHeight="1">
      <c r="N191" s="369"/>
    </row>
    <row r="192" spans="14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>
      <c r="N199" s="369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25" zoomScale="50" zoomScaleSheetLayoutView="50" workbookViewId="0">
      <selection activeCell="F27" sqref="F27:F31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342</v>
      </c>
      <c r="B2" s="682">
        <v>44421</v>
      </c>
      <c r="C2" s="773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773" t="s">
        <v>119</v>
      </c>
      <c r="D3" s="263">
        <v>28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773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  <c r="O6" s="67" t="s">
        <v>370</v>
      </c>
    </row>
    <row r="7" spans="1:16" ht="30" thickBot="1">
      <c r="A7" s="327" t="s">
        <v>130</v>
      </c>
      <c r="B7" s="328"/>
      <c r="C7" s="328"/>
      <c r="D7" s="288" t="s">
        <v>131</v>
      </c>
      <c r="E7" s="284">
        <f>'12'!F7</f>
        <v>878453</v>
      </c>
      <c r="F7" s="106">
        <v>899851</v>
      </c>
      <c r="G7" s="329">
        <f>F7-E7</f>
        <v>21398</v>
      </c>
      <c r="H7" s="330">
        <f>G7+'12'!H7</f>
        <v>292029</v>
      </c>
      <c r="I7" s="331">
        <f>'1'!I7</f>
        <v>12000</v>
      </c>
      <c r="J7" s="332">
        <f>H7/DAY(B2)</f>
        <v>22463.76923076923</v>
      </c>
      <c r="K7" s="200"/>
      <c r="L7" s="68"/>
      <c r="N7" s="380">
        <f>G7/G8</f>
        <v>0.94053008658960047</v>
      </c>
      <c r="O7" s="73" t="s">
        <v>376</v>
      </c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'12'!F8</f>
        <v>887655</v>
      </c>
      <c r="F8" s="126">
        <v>910406</v>
      </c>
      <c r="G8" s="340">
        <f>F8-E8</f>
        <v>22751</v>
      </c>
      <c r="H8" s="330">
        <f>G8+'12'!H8</f>
        <v>294809</v>
      </c>
      <c r="I8" s="337">
        <f>'1'!I8</f>
        <v>12000</v>
      </c>
      <c r="J8" s="332">
        <f>H8/DAY(B2)</f>
        <v>22677.615384615383</v>
      </c>
      <c r="K8" s="200"/>
      <c r="L8" s="78"/>
      <c r="M8" s="91"/>
      <c r="N8" s="369"/>
      <c r="O8" s="73" t="s">
        <v>377</v>
      </c>
      <c r="P8" s="73"/>
    </row>
    <row r="9" spans="1:16">
      <c r="A9" s="338" t="s">
        <v>133</v>
      </c>
      <c r="B9" s="339"/>
      <c r="C9" s="339"/>
      <c r="D9" s="288" t="s">
        <v>131</v>
      </c>
      <c r="E9" s="284">
        <f>'12'!F9</f>
        <v>2958860</v>
      </c>
      <c r="F9" s="129">
        <v>2979840</v>
      </c>
      <c r="G9" s="353">
        <f t="shared" ref="G9:G12" si="0">F9-E9</f>
        <v>20980</v>
      </c>
      <c r="H9" s="330">
        <f>G9+'12'!H9</f>
        <v>283205</v>
      </c>
      <c r="I9" s="341">
        <f>I7-J7</f>
        <v>-10463.76923076923</v>
      </c>
      <c r="J9" s="332">
        <f>H9/DAY(B2)</f>
        <v>21785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20980</v>
      </c>
      <c r="H13" s="330">
        <f>G13+'12'!H13</f>
        <v>240520.55</v>
      </c>
      <c r="I13" s="346">
        <f>G7-G13</f>
        <v>418</v>
      </c>
      <c r="J13" s="332">
        <f>H13/DAY(B2)</f>
        <v>18501.580769230768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'12'!F15</f>
        <v>1739796</v>
      </c>
      <c r="F15" s="351">
        <v>1740697</v>
      </c>
      <c r="G15" s="315">
        <f>(F15-E15)</f>
        <v>901</v>
      </c>
      <c r="H15" s="137">
        <f>G15+'12'!H15</f>
        <v>11143</v>
      </c>
      <c r="I15" s="125">
        <v>800</v>
      </c>
      <c r="J15" s="204">
        <f>H15/DAY(B2)</f>
        <v>857.15384615384619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-57.153846153846189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'12'!F18</f>
        <v>18</v>
      </c>
      <c r="F18" s="129">
        <v>18</v>
      </c>
      <c r="G18" s="345">
        <f>F18*10</f>
        <v>180</v>
      </c>
      <c r="H18" s="330">
        <f>G18+'12'!H18</f>
        <v>2200</v>
      </c>
      <c r="I18" s="331">
        <f>'1'!I18</f>
        <v>65</v>
      </c>
      <c r="J18" s="332">
        <f>H18/DAY(B2)</f>
        <v>169.23076923076923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'12'!F19</f>
        <v>144132</v>
      </c>
      <c r="F19" s="129">
        <v>144203</v>
      </c>
      <c r="G19" s="340">
        <f t="shared" ref="G19" si="1">F19-E19</f>
        <v>71</v>
      </c>
      <c r="H19" s="330">
        <f>G19+'12'!H19</f>
        <v>813</v>
      </c>
      <c r="I19" s="347"/>
      <c r="J19" s="332">
        <f>H19/DAY(B2)</f>
        <v>62.53846153846154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251</v>
      </c>
      <c r="H20" s="330">
        <f>G20+'12'!H20</f>
        <v>3013</v>
      </c>
      <c r="I20" s="349">
        <f>I18-J20</f>
        <v>-166.76923076923077</v>
      </c>
      <c r="J20" s="332">
        <f>H20/DAY(B2)</f>
        <v>231.76923076923077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771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771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22751</v>
      </c>
      <c r="F27" s="152">
        <v>9</v>
      </c>
      <c r="G27" s="153">
        <f>E27*F27</f>
        <v>204759</v>
      </c>
      <c r="H27" s="111">
        <f>G27+'12'!H27</f>
        <v>2653281</v>
      </c>
      <c r="I27" s="154"/>
      <c r="J27" s="203">
        <f>H27/DAY(B2)</f>
        <v>204098.53846153847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901</v>
      </c>
      <c r="F28" s="152">
        <v>54.5</v>
      </c>
      <c r="G28" s="153">
        <f>E28*F28</f>
        <v>49104.5</v>
      </c>
      <c r="H28" s="111">
        <f>G28+'12'!H28</f>
        <v>607293.5</v>
      </c>
      <c r="I28" s="156"/>
      <c r="J28" s="203">
        <f>H28/DAY(B2)</f>
        <v>46714.884615384617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71</v>
      </c>
      <c r="F30" s="152">
        <v>146</v>
      </c>
      <c r="G30" s="153">
        <f>E30*F30</f>
        <v>10366</v>
      </c>
      <c r="H30" s="111">
        <f>G30+'12'!H30</f>
        <v>118698</v>
      </c>
      <c r="I30" s="156"/>
      <c r="J30" s="203">
        <f>H30/DAY(B2)</f>
        <v>9130.6153846153848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G31+'12'!H31</f>
        <v>176000</v>
      </c>
      <c r="I31" s="156"/>
      <c r="J31" s="203">
        <f>H31/DAY(B2)</f>
        <v>13538.461538461539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278629.5</v>
      </c>
      <c r="H32" s="111">
        <f>G32+'12'!H32</f>
        <v>3555272.5</v>
      </c>
      <c r="I32" s="160"/>
      <c r="J32" s="203">
        <f>H32/DAY(B2)</f>
        <v>273482.5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'12'!F36</f>
        <v>55656.7</v>
      </c>
      <c r="F36" s="161">
        <v>56383.6</v>
      </c>
      <c r="G36" s="124">
        <f t="shared" si="3"/>
        <v>726.90000000000146</v>
      </c>
      <c r="H36" s="111">
        <f>G36+'12'!H36</f>
        <v>9585.5999999999985</v>
      </c>
      <c r="I36" s="106"/>
      <c r="J36" s="203">
        <f>H36/DAY(B2)</f>
        <v>737.35384615384601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'12'!F37</f>
        <v>245366</v>
      </c>
      <c r="F37" s="161">
        <v>246985</v>
      </c>
      <c r="G37" s="124">
        <f t="shared" si="3"/>
        <v>1619</v>
      </c>
      <c r="H37" s="111">
        <f>G37+'12'!H37</f>
        <v>20812</v>
      </c>
      <c r="I37" s="106"/>
      <c r="J37" s="203">
        <f>H37/DAY(B2)</f>
        <v>1600.9230769230769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'12'!F38</f>
        <v>268859</v>
      </c>
      <c r="F38" s="120">
        <v>270661</v>
      </c>
      <c r="G38" s="124">
        <f t="shared" si="3"/>
        <v>1802</v>
      </c>
      <c r="H38" s="111">
        <f>G38+'12'!H38</f>
        <v>22102</v>
      </c>
      <c r="I38" s="106"/>
      <c r="J38" s="203">
        <f>H38/DAY(B2)</f>
        <v>1700.1538461538462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'12'!F39</f>
        <v>565922</v>
      </c>
      <c r="F39" s="161">
        <v>569539</v>
      </c>
      <c r="G39" s="124">
        <f t="shared" si="3"/>
        <v>3617</v>
      </c>
      <c r="H39" s="111">
        <f>G39+'12'!H39</f>
        <v>49021</v>
      </c>
      <c r="I39" s="106"/>
      <c r="J39" s="203">
        <f>H39/DAY(B2)</f>
        <v>3770.8461538461538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'12'!F40</f>
        <v>26025</v>
      </c>
      <c r="F40" s="161">
        <v>26525</v>
      </c>
      <c r="G40" s="124">
        <f t="shared" si="3"/>
        <v>500</v>
      </c>
      <c r="H40" s="111">
        <f>G40+'12'!H40</f>
        <v>6352</v>
      </c>
      <c r="I40" s="106"/>
      <c r="J40" s="203">
        <f>H40/DAY(B2)</f>
        <v>488.61538461538464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'12'!F41</f>
        <v>390946</v>
      </c>
      <c r="F41" s="161">
        <v>395856</v>
      </c>
      <c r="G41" s="124">
        <f t="shared" si="3"/>
        <v>4910</v>
      </c>
      <c r="H41" s="111">
        <f>G41+'12'!H41</f>
        <v>29016</v>
      </c>
      <c r="I41" s="106"/>
      <c r="J41" s="203">
        <f>H41/DAY(B2)</f>
        <v>2232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'12'!F42</f>
        <v>147899</v>
      </c>
      <c r="F42" s="161">
        <v>147899</v>
      </c>
      <c r="G42" s="124">
        <f t="shared" si="3"/>
        <v>0</v>
      </c>
      <c r="H42" s="111">
        <f>G42+'12'!H42</f>
        <v>32387</v>
      </c>
      <c r="I42" s="106"/>
      <c r="J42" s="203">
        <f>H42/DAY(B2)</f>
        <v>2491.3076923076924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'12'!F43</f>
        <v>1238860</v>
      </c>
      <c r="F43" s="161">
        <v>1241590</v>
      </c>
      <c r="G43" s="124">
        <f t="shared" si="3"/>
        <v>2730</v>
      </c>
      <c r="H43" s="111">
        <f>G43+'12'!H43</f>
        <v>37129</v>
      </c>
      <c r="I43" s="106"/>
      <c r="J43" s="203">
        <f>H43/DAY(B2)</f>
        <v>2856.0769230769229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15904.900000000001</v>
      </c>
      <c r="H47" s="111">
        <f>G47+'12'!H47</f>
        <v>207205.78999999995</v>
      </c>
      <c r="I47" s="106"/>
      <c r="J47" s="203">
        <f>H47/DAY(B2)</f>
        <v>15938.90692307692</v>
      </c>
      <c r="K47" s="81"/>
      <c r="L47" s="68"/>
      <c r="N47" s="369"/>
      <c r="O47" s="376"/>
      <c r="P47" s="73"/>
    </row>
    <row r="48" spans="1:16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'12'!F49</f>
        <v>360569</v>
      </c>
      <c r="F49" s="161">
        <v>363707</v>
      </c>
      <c r="G49" s="124">
        <f t="shared" ref="G49:G58" si="4">F49-E49</f>
        <v>3138</v>
      </c>
      <c r="H49" s="111">
        <f>G49+'12'!H49</f>
        <v>36669</v>
      </c>
      <c r="I49" s="106"/>
      <c r="J49" s="203">
        <f>H49/DAY(B2)</f>
        <v>2820.6923076923076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'12'!F50</f>
        <v>583725</v>
      </c>
      <c r="F50" s="161">
        <v>584921</v>
      </c>
      <c r="G50" s="124">
        <f t="shared" si="4"/>
        <v>1196</v>
      </c>
      <c r="H50" s="111">
        <f>G50+'12'!H50</f>
        <v>14104</v>
      </c>
      <c r="I50" s="106"/>
      <c r="J50" s="203">
        <f>H50/DAY(B2)</f>
        <v>1084.9230769230769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'12'!F51</f>
        <v>144639.87</v>
      </c>
      <c r="F51" s="161">
        <v>144639.87</v>
      </c>
      <c r="G51" s="124">
        <f t="shared" si="4"/>
        <v>0</v>
      </c>
      <c r="H51" s="111">
        <f>G51+'12'!H51</f>
        <v>-0.13000000000465661</v>
      </c>
      <c r="I51" s="106"/>
      <c r="J51" s="203">
        <f>H51/DAY(B2)</f>
        <v>-1.0000000000358202E-2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'12'!F52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'12'!F53</f>
        <v>434232</v>
      </c>
      <c r="F53" s="161">
        <v>434232</v>
      </c>
      <c r="G53" s="124">
        <f t="shared" si="4"/>
        <v>0</v>
      </c>
      <c r="H53" s="111">
        <f>G53+'12'!H53</f>
        <v>-0.33000000001629815</v>
      </c>
      <c r="I53" s="106"/>
      <c r="J53" s="203">
        <f>H53/DAY(B2)</f>
        <v>-2.5384615385869089E-2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'12'!F54</f>
        <v>14967</v>
      </c>
      <c r="F54" s="161">
        <v>14967</v>
      </c>
      <c r="G54" s="124">
        <f t="shared" si="4"/>
        <v>0</v>
      </c>
      <c r="H54" s="111">
        <f>G54+'12'!H54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'12'!F55</f>
        <v>262614</v>
      </c>
      <c r="F55" s="304">
        <v>264363</v>
      </c>
      <c r="G55" s="303">
        <f t="shared" si="4"/>
        <v>1749</v>
      </c>
      <c r="H55" s="356">
        <f>G55+'12'!H55</f>
        <v>27177</v>
      </c>
      <c r="I55" s="357"/>
      <c r="J55" s="358">
        <f>H55/DAY(B2)</f>
        <v>2090.5384615384614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'12'!F56</f>
        <v>649495</v>
      </c>
      <c r="F56" s="304">
        <v>649506</v>
      </c>
      <c r="G56" s="124">
        <f t="shared" si="4"/>
        <v>11</v>
      </c>
      <c r="H56" s="111">
        <f>G56+'12'!H56</f>
        <v>134</v>
      </c>
      <c r="I56" s="106"/>
      <c r="J56" s="203">
        <f>H56/DAY(B2)</f>
        <v>10.307692307692308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'12'!F58</f>
        <v>62161</v>
      </c>
      <c r="F58" s="304">
        <v>62363.8</v>
      </c>
      <c r="G58" s="124">
        <f t="shared" si="4"/>
        <v>202.80000000000291</v>
      </c>
      <c r="H58" s="111">
        <f>G58+'12'!H58</f>
        <v>2472.8000000000029</v>
      </c>
      <c r="I58" s="106"/>
      <c r="J58" s="203">
        <f>H58/DAY(B2)</f>
        <v>190.21538461538483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6297.1300000000028</v>
      </c>
      <c r="H59" s="111">
        <f>G59+'12'!H59</f>
        <v>80556.739999999932</v>
      </c>
      <c r="I59" s="106">
        <f>G7-G60</f>
        <v>-804.03000000000611</v>
      </c>
      <c r="J59" s="203">
        <f>H59/DAY(B2)</f>
        <v>6196.6723076923026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22202.030000000006</v>
      </c>
      <c r="H60" s="111">
        <f>G60+'12'!H60</f>
        <v>293339.85999999993</v>
      </c>
      <c r="I60" s="106">
        <f>G13-G60</f>
        <v>-1222.0300000000061</v>
      </c>
      <c r="J60" s="203">
        <f>H60/DAY(B2)</f>
        <v>22564.604615384611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'12'!F63</f>
        <v>0</v>
      </c>
      <c r="F63" s="165">
        <v>0</v>
      </c>
      <c r="G63" s="124">
        <f t="shared" si="5"/>
        <v>0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'12'!F64</f>
        <v>186441</v>
      </c>
      <c r="F64" s="129">
        <v>186858</v>
      </c>
      <c r="G64" s="124">
        <f t="shared" si="5"/>
        <v>417</v>
      </c>
      <c r="H64" s="111">
        <f>G64+'12'!H64</f>
        <v>4998</v>
      </c>
      <c r="I64" s="131"/>
      <c r="J64" s="203">
        <f>H64/DAY(B2)</f>
        <v>384.46153846153845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'12'!F65</f>
        <v>186994</v>
      </c>
      <c r="F65" s="302">
        <v>187394</v>
      </c>
      <c r="G65" s="124">
        <f t="shared" si="5"/>
        <v>400</v>
      </c>
      <c r="H65" s="111">
        <f>G65+'12'!H65</f>
        <v>5185</v>
      </c>
      <c r="I65" s="140"/>
      <c r="J65" s="203">
        <f>H65/DAY(B2)</f>
        <v>398.84615384615387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'12'!F66</f>
        <v>85550</v>
      </c>
      <c r="F66" s="129">
        <v>85921</v>
      </c>
      <c r="G66" s="124">
        <f t="shared" si="5"/>
        <v>371</v>
      </c>
      <c r="H66" s="111">
        <f>G66+'12'!H66</f>
        <v>5249</v>
      </c>
      <c r="I66" s="131"/>
      <c r="J66" s="203">
        <f>H66/DAY(B2)</f>
        <v>403.76923076923077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'12'!F67</f>
        <v>285876</v>
      </c>
      <c r="F67" s="129">
        <v>286352</v>
      </c>
      <c r="G67" s="124">
        <f t="shared" si="5"/>
        <v>476</v>
      </c>
      <c r="H67" s="111">
        <f>G67+'12'!H67</f>
        <v>6294</v>
      </c>
      <c r="I67" s="140"/>
      <c r="J67" s="203">
        <f>H67/DAY(B2)</f>
        <v>484.15384615384613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'12'!F68</f>
        <v>85321</v>
      </c>
      <c r="F68" s="129">
        <v>85321</v>
      </c>
      <c r="G68" s="124">
        <f t="shared" si="5"/>
        <v>0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'12'!F69</f>
        <v>100414</v>
      </c>
      <c r="F69" s="129">
        <v>100722</v>
      </c>
      <c r="G69" s="124">
        <f t="shared" si="5"/>
        <v>308</v>
      </c>
      <c r="H69" s="111">
        <f>G69+'12'!H69</f>
        <v>4165</v>
      </c>
      <c r="I69" s="167"/>
      <c r="J69" s="203">
        <f>H69/DAY(B2)</f>
        <v>320.38461538461536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'12'!F72</f>
        <v>856768</v>
      </c>
      <c r="F72" s="305">
        <v>856782</v>
      </c>
      <c r="G72" s="124">
        <f t="shared" ref="G72:G84" si="6">F72-E72</f>
        <v>14</v>
      </c>
      <c r="H72" s="111">
        <f>G72+'12'!H72</f>
        <v>173</v>
      </c>
      <c r="I72" s="131"/>
      <c r="J72" s="203">
        <f>H72/DAY(B2)</f>
        <v>13.307692307692308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'12'!F73</f>
        <v>886028</v>
      </c>
      <c r="F73" s="306">
        <v>886029</v>
      </c>
      <c r="G73" s="303">
        <f t="shared" si="6"/>
        <v>1</v>
      </c>
      <c r="H73" s="111">
        <f>G73+'12'!H73</f>
        <v>16</v>
      </c>
      <c r="I73" s="131"/>
      <c r="J73" s="203">
        <f>H73/DAY(B2)</f>
        <v>1.2307692307692308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'12'!F74</f>
        <v>88748</v>
      </c>
      <c r="F74" s="306">
        <v>88751</v>
      </c>
      <c r="G74" s="124">
        <f t="shared" si="6"/>
        <v>3</v>
      </c>
      <c r="H74" s="111">
        <f>G74+'12'!H74</f>
        <v>18</v>
      </c>
      <c r="I74" s="131"/>
      <c r="J74" s="203">
        <f>H74/DAY(B2)</f>
        <v>1.3846153846153846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'12'!F75</f>
        <v>22964</v>
      </c>
      <c r="F75" s="306">
        <v>23134.7</v>
      </c>
      <c r="G75" s="124">
        <f t="shared" si="6"/>
        <v>170.70000000000073</v>
      </c>
      <c r="H75" s="111">
        <f>G75+'12'!H75</f>
        <v>2187.7000000000007</v>
      </c>
      <c r="I75" s="131"/>
      <c r="J75" s="203">
        <f>H75/DAY(B2)</f>
        <v>168.28461538461545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'12'!F76</f>
        <v>12064</v>
      </c>
      <c r="F76" s="306">
        <v>12113.1</v>
      </c>
      <c r="G76" s="124">
        <f t="shared" si="6"/>
        <v>49.100000000000364</v>
      </c>
      <c r="H76" s="111">
        <f>G76+'12'!H76</f>
        <v>686.10000000000036</v>
      </c>
      <c r="I76" s="156"/>
      <c r="J76" s="203">
        <f>H76/DAY(B2)</f>
        <v>52.776923076923104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'12'!F77</f>
        <v>707239</v>
      </c>
      <c r="F77" s="306">
        <v>707291</v>
      </c>
      <c r="G77" s="303">
        <f t="shared" si="6"/>
        <v>52</v>
      </c>
      <c r="H77" s="111">
        <f>G77+'12'!H77</f>
        <v>838</v>
      </c>
      <c r="I77" s="156"/>
      <c r="J77" s="203">
        <f>H77/DAY(B2)</f>
        <v>64.461538461538467</v>
      </c>
      <c r="K77" s="83"/>
      <c r="L77" s="68"/>
      <c r="N77" s="369"/>
      <c r="O77" s="376"/>
      <c r="P77" s="73"/>
    </row>
    <row r="78" spans="1:16" ht="27.75">
      <c r="A78" s="774" t="s">
        <v>196</v>
      </c>
      <c r="B78" s="766"/>
      <c r="C78" s="766"/>
      <c r="D78" s="174" t="s">
        <v>186</v>
      </c>
      <c r="E78" s="170">
        <f>'12'!F78</f>
        <v>680234</v>
      </c>
      <c r="F78" s="307">
        <v>680371</v>
      </c>
      <c r="G78" s="124">
        <f t="shared" si="6"/>
        <v>137</v>
      </c>
      <c r="H78" s="111">
        <f>G78+'12'!H78</f>
        <v>1518</v>
      </c>
      <c r="I78" s="156"/>
      <c r="J78" s="203">
        <f>H78/DAY(B2)</f>
        <v>116.76923076923077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'12'!F79</f>
        <v>842056</v>
      </c>
      <c r="F79" s="307">
        <v>842200</v>
      </c>
      <c r="G79" s="124">
        <f t="shared" si="6"/>
        <v>144</v>
      </c>
      <c r="H79" s="111">
        <f>G79+'12'!H79</f>
        <v>1985</v>
      </c>
      <c r="I79" s="156"/>
      <c r="J79" s="203">
        <f>H79/DAY(B2)</f>
        <v>152.69230769230768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'12'!F80</f>
        <v>556780</v>
      </c>
      <c r="F80" s="306">
        <v>557191</v>
      </c>
      <c r="G80" s="124">
        <f t="shared" si="6"/>
        <v>411</v>
      </c>
      <c r="H80" s="111">
        <f>G80+'12'!H80</f>
        <v>5239</v>
      </c>
      <c r="I80" s="156"/>
      <c r="J80" s="203">
        <f>H80/DAY(B2)</f>
        <v>403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'12'!F81</f>
        <v>651013</v>
      </c>
      <c r="F81" s="306">
        <v>651208</v>
      </c>
      <c r="G81" s="124">
        <f t="shared" si="6"/>
        <v>195</v>
      </c>
      <c r="H81" s="111">
        <f>G81+'12'!H81</f>
        <v>2190</v>
      </c>
      <c r="I81" s="156"/>
      <c r="J81" s="203">
        <f>H81/DAY(B2)</f>
        <v>168.46153846153845</v>
      </c>
      <c r="K81" s="83"/>
      <c r="L81" s="68"/>
      <c r="N81" s="369"/>
      <c r="O81" s="376"/>
      <c r="P81" s="73"/>
    </row>
    <row r="82" spans="1:16" ht="27.75">
      <c r="A82" s="1184" t="s">
        <v>92</v>
      </c>
      <c r="B82" s="1185"/>
      <c r="C82" s="1186"/>
      <c r="D82" s="136" t="s">
        <v>131</v>
      </c>
      <c r="E82" s="170">
        <f>'12'!F82</f>
        <v>109568</v>
      </c>
      <c r="F82" s="302">
        <v>109581</v>
      </c>
      <c r="G82" s="124">
        <f t="shared" si="6"/>
        <v>13</v>
      </c>
      <c r="H82" s="111">
        <f>G82+'12'!H82</f>
        <v>245</v>
      </c>
      <c r="I82" s="137"/>
      <c r="J82" s="203">
        <f>H82/DAY(B2)</f>
        <v>18.846153846153847</v>
      </c>
      <c r="K82" s="83"/>
      <c r="L82" s="68"/>
      <c r="N82" s="369"/>
      <c r="O82" s="376"/>
      <c r="P82" s="73"/>
    </row>
    <row r="83" spans="1:16" ht="27.75">
      <c r="A83" s="1184" t="s">
        <v>199</v>
      </c>
      <c r="B83" s="1185"/>
      <c r="C83" s="1186"/>
      <c r="D83" s="271" t="s">
        <v>131</v>
      </c>
      <c r="E83" s="170">
        <f>'12'!F83</f>
        <v>38709</v>
      </c>
      <c r="F83" s="162">
        <v>39063</v>
      </c>
      <c r="G83" s="124">
        <f t="shared" si="6"/>
        <v>354</v>
      </c>
      <c r="H83" s="111">
        <f>G83+'12'!H83</f>
        <v>4038</v>
      </c>
      <c r="I83" s="132"/>
      <c r="J83" s="203">
        <f>H83/DAY(B2)</f>
        <v>310.61538461538464</v>
      </c>
      <c r="K83" s="82"/>
      <c r="L83" s="68"/>
      <c r="N83" s="369"/>
      <c r="O83" s="376"/>
      <c r="P83" s="73"/>
    </row>
    <row r="84" spans="1:16">
      <c r="A84" s="775" t="s">
        <v>200</v>
      </c>
      <c r="B84" s="222"/>
      <c r="C84" s="222"/>
      <c r="D84" s="129" t="s">
        <v>131</v>
      </c>
      <c r="E84" s="170">
        <f>'12'!F84</f>
        <v>556549</v>
      </c>
      <c r="F84" s="278">
        <v>557353</v>
      </c>
      <c r="G84" s="124">
        <f t="shared" si="6"/>
        <v>804</v>
      </c>
      <c r="H84" s="111">
        <f>G84+'12'!H84</f>
        <v>9960</v>
      </c>
      <c r="I84" s="132"/>
      <c r="J84" s="203">
        <f>H84/DAY(B2)</f>
        <v>766.15384615384619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2347.8000000000011</v>
      </c>
      <c r="H85" s="111">
        <f>G85+'12'!H85</f>
        <v>29093.800000000003</v>
      </c>
      <c r="I85" s="132"/>
      <c r="J85" s="203">
        <f>H85/DAY(B2)</f>
        <v>2237.9846153846156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'12'!F86</f>
        <v>463099</v>
      </c>
      <c r="F86" s="298">
        <v>463107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0.61538461538461542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'12'!F87</f>
        <v>83316</v>
      </c>
      <c r="F87" s="298">
        <v>83349</v>
      </c>
      <c r="G87" s="356">
        <f t="shared" si="7"/>
        <v>33</v>
      </c>
      <c r="H87" s="356">
        <f t="shared" si="8"/>
        <v>33</v>
      </c>
      <c r="I87" s="303"/>
      <c r="J87" s="358">
        <f>H87/DAY(B2)</f>
        <v>2.5384615384615383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'12'!F89</f>
        <v>67770</v>
      </c>
      <c r="F89" s="298">
        <v>67845</v>
      </c>
      <c r="G89" s="356">
        <f t="shared" si="7"/>
        <v>75</v>
      </c>
      <c r="H89" s="356">
        <f>G89</f>
        <v>75</v>
      </c>
      <c r="I89" s="303"/>
      <c r="J89" s="358">
        <f>H89/DAY(B2)</f>
        <v>5.7692307692307692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'12'!F90</f>
        <v>3516</v>
      </c>
      <c r="F90" s="298">
        <v>3524</v>
      </c>
      <c r="G90" s="356">
        <f t="shared" si="7"/>
        <v>8</v>
      </c>
      <c r="H90" s="356">
        <f>G90</f>
        <v>8</v>
      </c>
      <c r="I90" s="303"/>
      <c r="J90" s="358">
        <f>H90/DAY(B2)</f>
        <v>0.61538461538461542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'12'!F91</f>
        <v>28602</v>
      </c>
      <c r="F91" s="298">
        <v>28613</v>
      </c>
      <c r="G91" s="356">
        <f t="shared" si="7"/>
        <v>11</v>
      </c>
      <c r="H91" s="356">
        <f>G91</f>
        <v>11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'12'!F93</f>
        <v>251558</v>
      </c>
      <c r="F93" s="129">
        <v>251663</v>
      </c>
      <c r="G93" s="124">
        <f t="shared" ref="G93:G94" si="9">F93-E93</f>
        <v>105</v>
      </c>
      <c r="H93" s="111">
        <f>G93+'12'!H93</f>
        <v>1349</v>
      </c>
      <c r="I93" s="131"/>
      <c r="J93" s="203">
        <f>H93/DAY(B2)</f>
        <v>103.76923076923077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'12'!F94</f>
        <v>194744</v>
      </c>
      <c r="F94" s="129">
        <v>194908</v>
      </c>
      <c r="G94" s="124">
        <f t="shared" si="9"/>
        <v>164</v>
      </c>
      <c r="H94" s="111">
        <f>G94+'12'!H94</f>
        <v>2010</v>
      </c>
      <c r="I94" s="131"/>
      <c r="J94" s="203">
        <f>H94/DAY(B2)</f>
        <v>154.61538461538461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'12'!F95</f>
        <v>0</v>
      </c>
      <c r="F95" s="129"/>
      <c r="G95" s="124">
        <f>G93+G94</f>
        <v>269</v>
      </c>
      <c r="H95" s="111">
        <f>G95+'12'!H95</f>
        <v>3053</v>
      </c>
      <c r="I95" s="131"/>
      <c r="J95" s="203">
        <f>H95/DAY(B2)</f>
        <v>234.84615384615384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'12'!F96</f>
        <v>419502</v>
      </c>
      <c r="F96" s="129">
        <v>419576</v>
      </c>
      <c r="G96" s="124">
        <f t="shared" ref="G96:G101" si="10">F96-E96</f>
        <v>74</v>
      </c>
      <c r="H96" s="111">
        <f>G96+'12'!H96</f>
        <v>1040</v>
      </c>
      <c r="I96" s="131"/>
      <c r="J96" s="203">
        <f>H96/DAY(B2)</f>
        <v>80</v>
      </c>
      <c r="K96" s="71"/>
      <c r="L96" s="68"/>
      <c r="N96" s="369"/>
      <c r="O96" s="376"/>
      <c r="P96" s="73"/>
    </row>
    <row r="97" spans="1:16" ht="27.75">
      <c r="A97" s="771" t="s">
        <v>209</v>
      </c>
      <c r="B97" s="772"/>
      <c r="C97" s="772"/>
      <c r="D97" s="174" t="s">
        <v>143</v>
      </c>
      <c r="E97" s="135">
        <f>'12'!F97</f>
        <v>104159</v>
      </c>
      <c r="F97" s="129">
        <v>104184</v>
      </c>
      <c r="G97" s="124">
        <f t="shared" si="10"/>
        <v>25</v>
      </c>
      <c r="H97" s="111">
        <f>G97+'12'!H97</f>
        <v>335</v>
      </c>
      <c r="I97" s="131"/>
      <c r="J97" s="203">
        <f>H97/DAY(B2)</f>
        <v>25.76923076923077</v>
      </c>
      <c r="K97" s="80"/>
      <c r="L97" s="68"/>
      <c r="N97" s="369"/>
      <c r="O97" s="376"/>
      <c r="P97" s="73"/>
    </row>
    <row r="98" spans="1:16" ht="27.75">
      <c r="A98" s="771" t="s">
        <v>210</v>
      </c>
      <c r="B98" s="772"/>
      <c r="C98" s="772"/>
      <c r="D98" s="174" t="s">
        <v>143</v>
      </c>
      <c r="E98" s="135">
        <f>'12'!F98</f>
        <v>99794</v>
      </c>
      <c r="F98" s="129">
        <v>99826</v>
      </c>
      <c r="G98" s="124">
        <f t="shared" si="10"/>
        <v>32</v>
      </c>
      <c r="H98" s="111">
        <f>G98+'12'!H98</f>
        <v>378</v>
      </c>
      <c r="I98" s="131"/>
      <c r="J98" s="203">
        <f>H98/DAY(B2)</f>
        <v>29.076923076923077</v>
      </c>
      <c r="K98" s="85"/>
      <c r="L98" s="68"/>
      <c r="N98" s="369"/>
      <c r="O98" s="376"/>
      <c r="P98" s="73"/>
    </row>
    <row r="99" spans="1:16" ht="27.75">
      <c r="A99" s="771" t="s">
        <v>211</v>
      </c>
      <c r="B99" s="772"/>
      <c r="C99" s="772"/>
      <c r="D99" s="174" t="s">
        <v>143</v>
      </c>
      <c r="E99" s="135">
        <f>'12'!F99</f>
        <v>151554</v>
      </c>
      <c r="F99" s="129">
        <v>151585</v>
      </c>
      <c r="G99" s="124">
        <f t="shared" si="10"/>
        <v>31</v>
      </c>
      <c r="H99" s="111">
        <f>G99+'12'!H99</f>
        <v>334</v>
      </c>
      <c r="I99" s="131"/>
      <c r="J99" s="203">
        <f>H99/DAY(B2)</f>
        <v>25.692307692307693</v>
      </c>
      <c r="K99" s="71"/>
      <c r="L99" s="68"/>
      <c r="N99" s="371"/>
      <c r="O99" s="376"/>
      <c r="P99" s="73"/>
    </row>
    <row r="100" spans="1:16" ht="27.75">
      <c r="A100" s="771" t="s">
        <v>212</v>
      </c>
      <c r="B100" s="772"/>
      <c r="C100" s="772"/>
      <c r="D100" s="174" t="s">
        <v>143</v>
      </c>
      <c r="E100" s="135">
        <f>'12'!F100</f>
        <v>8381</v>
      </c>
      <c r="F100" s="129">
        <v>8394</v>
      </c>
      <c r="G100" s="124">
        <f t="shared" si="10"/>
        <v>13</v>
      </c>
      <c r="H100" s="111">
        <f>G100+'12'!H100</f>
        <v>229</v>
      </c>
      <c r="I100" s="131"/>
      <c r="J100" s="203">
        <f>H100/DAY(B2)</f>
        <v>17.615384615384617</v>
      </c>
      <c r="K100" s="71"/>
      <c r="L100" s="68"/>
      <c r="N100" s="369"/>
      <c r="O100" s="376"/>
      <c r="P100" s="73"/>
    </row>
    <row r="101" spans="1:16" ht="27.75">
      <c r="A101" s="771" t="s">
        <v>213</v>
      </c>
      <c r="B101" s="772"/>
      <c r="C101" s="772"/>
      <c r="D101" s="174" t="s">
        <v>143</v>
      </c>
      <c r="E101" s="135">
        <f>'12'!F101</f>
        <v>6133</v>
      </c>
      <c r="F101" s="277">
        <v>6155</v>
      </c>
      <c r="G101" s="124">
        <f t="shared" si="10"/>
        <v>22</v>
      </c>
      <c r="H101" s="111">
        <f>G101+'12'!H101</f>
        <v>164</v>
      </c>
      <c r="I101" s="131"/>
      <c r="J101" s="203">
        <f>H101/DAY(B2)</f>
        <v>12.615384615384615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197</v>
      </c>
      <c r="H102" s="111">
        <f>G102+'12'!H102</f>
        <v>2480</v>
      </c>
      <c r="I102" s="177"/>
      <c r="J102" s="203">
        <f>H102/DAY(B2)</f>
        <v>190.76923076923077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770"/>
      <c r="D105" s="273" t="s">
        <v>143</v>
      </c>
      <c r="E105" s="135">
        <f>'12'!F105</f>
        <v>7937</v>
      </c>
      <c r="F105" s="310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4.5869230769230152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770"/>
      <c r="D106" s="273" t="s">
        <v>143</v>
      </c>
      <c r="E106" s="310">
        <v>36574</v>
      </c>
      <c r="F106" s="310">
        <v>36583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5.2307692307692308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'12'!F107</f>
        <v>20052</v>
      </c>
      <c r="F107" s="310">
        <v>20063</v>
      </c>
      <c r="G107" s="183">
        <f t="shared" si="11"/>
        <v>11</v>
      </c>
      <c r="H107" s="184">
        <f>SUM(G107+'1'!G78)</f>
        <v>155</v>
      </c>
      <c r="I107" s="183"/>
      <c r="J107" s="209">
        <f>H107/DAY(B2)</f>
        <v>11.923076923076923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770"/>
      <c r="D108" s="273"/>
      <c r="E108" s="135"/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12.538461538461538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770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770"/>
      <c r="D110" s="273" t="s">
        <v>143</v>
      </c>
      <c r="E110" s="135">
        <f>'12'!F110</f>
        <v>68074</v>
      </c>
      <c r="F110" s="310">
        <v>68170</v>
      </c>
      <c r="G110" s="183">
        <f>F110-E110</f>
        <v>96</v>
      </c>
      <c r="H110" s="184">
        <f>SUM(G110+'1'!G81)</f>
        <v>261.56000000005588</v>
      </c>
      <c r="I110" s="183"/>
      <c r="J110" s="209">
        <f>H110/DAY(B2)</f>
        <v>20.1200000000043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770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1.021538461538372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770"/>
      <c r="D112" s="273" t="s">
        <v>143</v>
      </c>
      <c r="E112" s="135">
        <f>'12'!F112</f>
        <v>4689</v>
      </c>
      <c r="F112" s="310">
        <v>4692</v>
      </c>
      <c r="G112" s="183">
        <f t="shared" si="12"/>
        <v>3</v>
      </c>
      <c r="H112" s="184">
        <f>SUM(G112+'1'!G83)</f>
        <v>308</v>
      </c>
      <c r="I112" s="183"/>
      <c r="J112" s="209">
        <f>H112/DAY(B2)</f>
        <v>23.692307692307693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770"/>
      <c r="D113" s="273"/>
      <c r="E113" s="135"/>
      <c r="F113" s="310"/>
      <c r="G113" s="183">
        <f>SUM(G110:G112)</f>
        <v>99</v>
      </c>
      <c r="H113" s="184">
        <f>SUM(G113+'1'!G84)</f>
        <v>908</v>
      </c>
      <c r="I113" s="183"/>
      <c r="J113" s="209">
        <f>H113/DAY(B2)</f>
        <v>69.84615384615384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770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'12'!F115</f>
        <v>12719</v>
      </c>
      <c r="F115" s="310">
        <v>12734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'12'!F116</f>
        <v>8939</v>
      </c>
      <c r="F116" s="310">
        <v>8954</v>
      </c>
      <c r="G116" s="185">
        <f t="shared" ref="G116:G117" si="13">F116-E116</f>
        <v>15</v>
      </c>
      <c r="H116" s="184">
        <f>SUM(G116+'1'!G93)</f>
        <v>150</v>
      </c>
      <c r="I116" s="183"/>
      <c r="J116" s="209">
        <f>H116/DAY(B2)</f>
        <v>11.538461538461538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13.153846153846153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30</v>
      </c>
      <c r="H118" s="184">
        <f>SUM(G118+'1'!G96)</f>
        <v>100</v>
      </c>
      <c r="I118" s="185"/>
      <c r="J118" s="209">
        <f>H118/DAY(B2)</f>
        <v>7.6923076923076925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768"/>
      <c r="D119" s="275" t="s">
        <v>143</v>
      </c>
      <c r="E119" s="187"/>
      <c r="F119" s="311">
        <f>SUM(G19+G93)</f>
        <v>176</v>
      </c>
      <c r="G119" s="187">
        <f>SUM(G19+G93)</f>
        <v>176</v>
      </c>
      <c r="H119" s="184">
        <f>SUM(G119+'1'!G97)</f>
        <v>210</v>
      </c>
      <c r="I119" s="186"/>
      <c r="J119" s="210">
        <f>H119/DAY(B2)</f>
        <v>16.153846153846153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768"/>
      <c r="D120" s="275" t="s">
        <v>143</v>
      </c>
      <c r="E120" s="187"/>
      <c r="F120" s="311">
        <f>SUM(G96,G97,G98,G100,G101)</f>
        <v>166</v>
      </c>
      <c r="G120" s="187">
        <f>SUM(G96,G97,G98,G100,G101)</f>
        <v>166</v>
      </c>
      <c r="H120" s="184">
        <f>SUM(G120+'1'!G99)</f>
        <v>172</v>
      </c>
      <c r="I120" s="186"/>
      <c r="J120" s="210">
        <f>H120/DAY(B2)</f>
        <v>13.23076923076923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768"/>
      <c r="D121" s="275" t="s">
        <v>143</v>
      </c>
      <c r="E121" s="185"/>
      <c r="F121" s="310">
        <f>SUM(G113)</f>
        <v>99</v>
      </c>
      <c r="G121" s="185">
        <f>SUM(G113)</f>
        <v>99</v>
      </c>
      <c r="H121" s="184">
        <f>SUM(G121+'1'!G101)</f>
        <v>114</v>
      </c>
      <c r="I121" s="186"/>
      <c r="J121" s="210">
        <f>H121/DAY(B2)</f>
        <v>8.7692307692307701</v>
      </c>
      <c r="N121" s="369"/>
      <c r="O121" s="376"/>
      <c r="P121" s="73"/>
    </row>
    <row r="122" spans="1:16" s="93" customFormat="1" ht="27.75">
      <c r="A122" s="1190"/>
      <c r="B122" s="1191"/>
      <c r="C122" s="76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771" t="s">
        <v>230</v>
      </c>
      <c r="B124" s="772"/>
      <c r="C124" s="772"/>
      <c r="D124" s="174" t="s">
        <v>140</v>
      </c>
      <c r="E124" s="129">
        <f>'12'!F124</f>
        <v>851171</v>
      </c>
      <c r="F124" s="129">
        <v>851448</v>
      </c>
      <c r="G124" s="124">
        <f t="shared" ref="G124:G128" si="14">F124-E124</f>
        <v>277</v>
      </c>
      <c r="H124" s="111">
        <f>G124+'12'!H124</f>
        <v>3482</v>
      </c>
      <c r="I124" s="177"/>
      <c r="J124" s="203">
        <f>H124/DAY(B2)</f>
        <v>267.84615384615387</v>
      </c>
      <c r="K124" s="71"/>
      <c r="L124" s="68"/>
      <c r="N124" s="369"/>
      <c r="O124" s="376"/>
      <c r="P124" s="73"/>
    </row>
    <row r="125" spans="1:16" ht="27.75">
      <c r="A125" s="771" t="s">
        <v>231</v>
      </c>
      <c r="B125" s="772"/>
      <c r="C125" s="772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'12'!F126</f>
        <v>152340</v>
      </c>
      <c r="F126" s="129">
        <v>152441</v>
      </c>
      <c r="G126" s="124">
        <f t="shared" si="14"/>
        <v>101</v>
      </c>
      <c r="H126" s="111">
        <f>G126+'12'!H126</f>
        <v>1120</v>
      </c>
      <c r="I126" s="177"/>
      <c r="J126" s="203">
        <f>H126/DAY(B2)</f>
        <v>86.15384615384616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772"/>
      <c r="C127" s="772"/>
      <c r="D127" s="174" t="s">
        <v>140</v>
      </c>
      <c r="E127" s="277">
        <f>'12'!F127</f>
        <v>33822</v>
      </c>
      <c r="F127" s="277">
        <v>33857</v>
      </c>
      <c r="G127" s="124">
        <f t="shared" si="14"/>
        <v>35</v>
      </c>
      <c r="H127" s="111">
        <f>G127+'12'!H127</f>
        <v>569</v>
      </c>
      <c r="I127" s="177"/>
      <c r="J127" s="203">
        <f>H127/DAY(B2)</f>
        <v>43.769230769230766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772"/>
      <c r="C128" s="772"/>
      <c r="D128" s="174" t="s">
        <v>140</v>
      </c>
      <c r="E128" s="277">
        <f>'12'!F128</f>
        <v>9135</v>
      </c>
      <c r="F128" s="277">
        <v>9137</v>
      </c>
      <c r="G128" s="124">
        <f t="shared" si="14"/>
        <v>2</v>
      </c>
      <c r="H128" s="111">
        <f>G128+'12'!H128</f>
        <v>24</v>
      </c>
      <c r="I128" s="131"/>
      <c r="J128" s="203">
        <f>H128/DAY(B2)</f>
        <v>1.8461538461538463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486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771" t="s">
        <v>237</v>
      </c>
      <c r="B131" s="772"/>
      <c r="C131" s="772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771" t="s">
        <v>239</v>
      </c>
      <c r="B132" s="772"/>
      <c r="C132" s="772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771" t="s">
        <v>240</v>
      </c>
      <c r="B133" s="772"/>
      <c r="C133" s="772"/>
      <c r="D133" s="174" t="s">
        <v>238</v>
      </c>
      <c r="E133" s="192">
        <f>'12'!F133</f>
        <v>40733</v>
      </c>
      <c r="F133" s="302">
        <v>40757</v>
      </c>
      <c r="G133" s="124">
        <f t="shared" si="15"/>
        <v>24</v>
      </c>
      <c r="H133" s="111">
        <f>G133+'12'!H133</f>
        <v>138</v>
      </c>
      <c r="I133" s="131"/>
      <c r="J133" s="203">
        <f>H133/DAY(B2)</f>
        <v>10.615384615384615</v>
      </c>
      <c r="N133" s="369"/>
      <c r="O133" s="376"/>
      <c r="P133" s="73"/>
    </row>
    <row r="134" spans="1:16" ht="27.75">
      <c r="A134" s="771" t="s">
        <v>241</v>
      </c>
      <c r="B134" s="772"/>
      <c r="C134" s="772"/>
      <c r="D134" s="174" t="s">
        <v>238</v>
      </c>
      <c r="E134" s="352">
        <f>'12'!F134</f>
        <v>724.25</v>
      </c>
      <c r="F134" s="277">
        <v>724.25</v>
      </c>
      <c r="G134" s="124">
        <f t="shared" si="15"/>
        <v>0</v>
      </c>
      <c r="H134" s="111">
        <f>G134+'12'!H134</f>
        <v>150.25</v>
      </c>
      <c r="I134" s="131">
        <f>G131+G132+G133+G134</f>
        <v>24</v>
      </c>
      <c r="J134" s="203">
        <f>H134/DAY(B2)</f>
        <v>11.557692307692308</v>
      </c>
      <c r="N134" s="369"/>
      <c r="O134" s="376"/>
      <c r="P134" s="73"/>
    </row>
    <row r="135" spans="1:16" ht="27.75">
      <c r="A135" s="771" t="s">
        <v>242</v>
      </c>
      <c r="B135" s="772"/>
      <c r="C135" s="772"/>
      <c r="D135" s="174" t="s">
        <v>238</v>
      </c>
      <c r="E135" s="352">
        <f>'12'!F135</f>
        <v>42625</v>
      </c>
      <c r="F135" s="277">
        <v>42634</v>
      </c>
      <c r="G135" s="124">
        <f t="shared" si="15"/>
        <v>9</v>
      </c>
      <c r="H135" s="111">
        <f>G135+'12'!H135</f>
        <v>135</v>
      </c>
      <c r="I135" s="131"/>
      <c r="J135" s="203">
        <f>H135/DAY(B2)</f>
        <v>10.384615384615385</v>
      </c>
      <c r="N135" s="369"/>
      <c r="O135" s="376"/>
      <c r="P135" s="73"/>
    </row>
    <row r="136" spans="1:16" ht="27.75">
      <c r="A136" s="771" t="s">
        <v>243</v>
      </c>
      <c r="B136" s="772"/>
      <c r="C136" s="772"/>
      <c r="D136" s="174" t="s">
        <v>238</v>
      </c>
      <c r="E136" s="192">
        <f>'12'!F136</f>
        <v>32874.050000000003</v>
      </c>
      <c r="F136" s="302">
        <v>32874</v>
      </c>
      <c r="G136" s="124">
        <f t="shared" si="15"/>
        <v>-5.0000000002910383E-2</v>
      </c>
      <c r="H136" s="111">
        <f>G136+'12'!H136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771" t="s">
        <v>244</v>
      </c>
      <c r="B137" s="772"/>
      <c r="C137" s="772"/>
      <c r="D137" s="174" t="s">
        <v>238</v>
      </c>
      <c r="E137" s="192">
        <f>'12'!F137</f>
        <v>23205.31</v>
      </c>
      <c r="F137" s="302">
        <v>23210.83</v>
      </c>
      <c r="G137" s="124">
        <f t="shared" si="15"/>
        <v>5.5200000000004366</v>
      </c>
      <c r="H137" s="111">
        <f>G137+'12'!H137</f>
        <v>104.27000000000044</v>
      </c>
      <c r="I137" s="131">
        <f>G135+G136+G137</f>
        <v>14.469999999997526</v>
      </c>
      <c r="J137" s="203">
        <f>H137/DAY(B2)</f>
        <v>8.0207692307692646</v>
      </c>
      <c r="N137" s="369"/>
      <c r="O137" s="376"/>
      <c r="P137" s="73"/>
    </row>
    <row r="138" spans="1:16" ht="27.75">
      <c r="A138" s="771" t="s">
        <v>245</v>
      </c>
      <c r="B138" s="772"/>
      <c r="C138" s="772"/>
      <c r="D138" s="174" t="s">
        <v>238</v>
      </c>
      <c r="E138" s="192">
        <f>'12'!F138</f>
        <v>25119.45</v>
      </c>
      <c r="F138" s="302">
        <v>25123.08</v>
      </c>
      <c r="G138" s="124">
        <f t="shared" si="15"/>
        <v>3.6300000000010186</v>
      </c>
      <c r="H138" s="111">
        <f>G138+'12'!H138</f>
        <v>3.6300000000010186</v>
      </c>
      <c r="I138" s="131"/>
      <c r="J138" s="203">
        <f>H138/DAY(B2)</f>
        <v>0.27923076923084761</v>
      </c>
      <c r="N138" s="369"/>
      <c r="O138" s="376"/>
      <c r="P138" s="73"/>
    </row>
    <row r="139" spans="1:16" ht="27.75">
      <c r="A139" s="771" t="s">
        <v>246</v>
      </c>
      <c r="B139" s="772"/>
      <c r="C139" s="772"/>
      <c r="D139" s="174" t="s">
        <v>238</v>
      </c>
      <c r="E139" s="192">
        <f>'12'!F139</f>
        <v>70518</v>
      </c>
      <c r="F139" s="302">
        <v>70518.2</v>
      </c>
      <c r="G139" s="124">
        <f t="shared" si="15"/>
        <v>0.19999999999708962</v>
      </c>
      <c r="H139" s="111">
        <f>G139+'12'!H139</f>
        <v>1.5999999999912689</v>
      </c>
      <c r="I139" s="131">
        <f>G138+G139</f>
        <v>3.8299999999981083</v>
      </c>
      <c r="J139" s="203">
        <f>H139/DAY(B2)</f>
        <v>0.12307692307625145</v>
      </c>
      <c r="N139" s="369"/>
      <c r="O139" s="376"/>
      <c r="P139" s="73"/>
    </row>
    <row r="140" spans="1:16" ht="27.75">
      <c r="A140" s="771" t="s">
        <v>247</v>
      </c>
      <c r="B140" s="772"/>
      <c r="C140" s="772"/>
      <c r="D140" s="174" t="s">
        <v>238</v>
      </c>
      <c r="E140" s="352">
        <f>'12'!F140</f>
        <v>2429.7199999999998</v>
      </c>
      <c r="F140" s="277">
        <v>2439.92</v>
      </c>
      <c r="G140" s="124">
        <f t="shared" si="15"/>
        <v>10.200000000000273</v>
      </c>
      <c r="H140" s="111">
        <f>G140+'12'!H140</f>
        <v>128.36000000000013</v>
      </c>
      <c r="I140" s="193"/>
      <c r="J140" s="203">
        <f>H140/DAY(B2)</f>
        <v>9.8738461538461628</v>
      </c>
      <c r="N140" s="369"/>
      <c r="O140" s="376"/>
      <c r="P140" s="73"/>
    </row>
    <row r="141" spans="1:16" ht="27.75">
      <c r="A141" s="771" t="s">
        <v>248</v>
      </c>
      <c r="B141" s="772"/>
      <c r="C141" s="772"/>
      <c r="D141" s="174" t="s">
        <v>238</v>
      </c>
      <c r="E141" s="135">
        <f>'12'!F141</f>
        <v>4753.67</v>
      </c>
      <c r="F141" s="129">
        <v>4753.67</v>
      </c>
      <c r="G141" s="124">
        <f t="shared" si="15"/>
        <v>0</v>
      </c>
      <c r="H141" s="111">
        <f>G141+'12'!H141</f>
        <v>-0.32999999999992724</v>
      </c>
      <c r="I141" s="193"/>
      <c r="J141" s="203">
        <f>H141/DAY(B2)</f>
        <v>-2.5384615384609788E-2</v>
      </c>
      <c r="N141" s="369"/>
      <c r="O141" s="376"/>
      <c r="P141" s="73"/>
    </row>
    <row r="142" spans="1:16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5868.33</v>
      </c>
      <c r="H143" s="111">
        <f>G143+'12'!H143</f>
        <v>76748.029999999955</v>
      </c>
      <c r="I143" s="131"/>
      <c r="J143" s="203">
        <f>H143/DAY(B2)</f>
        <v>5903.694615384612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0.27424665856622116</v>
      </c>
      <c r="H144" s="111">
        <f>G144+'12'!H144</f>
        <v>3.4224132997530599</v>
      </c>
      <c r="I144" s="195"/>
      <c r="J144" s="203">
        <f>H144/DAY(B2)</f>
        <v>0.26326256151946614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6670</v>
      </c>
      <c r="H145" s="111">
        <f>G145+'12'!H145</f>
        <v>90237</v>
      </c>
      <c r="I145" s="131"/>
      <c r="J145" s="203">
        <f>H145/DAY(B2)</f>
        <v>6941.3076923076924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0.31171137489485001</v>
      </c>
      <c r="H146" s="111">
        <f>G146+'12'!H146</f>
        <v>4.0100200276145426</v>
      </c>
      <c r="I146" s="195"/>
      <c r="J146" s="203">
        <f>H146/DAY(B2)</f>
        <v>0.30846307904727249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3617</v>
      </c>
      <c r="H147" s="111">
        <f>G147+'12'!H147</f>
        <v>49021</v>
      </c>
      <c r="I147" s="196"/>
      <c r="J147" s="203">
        <f>H147/DAY(B2)</f>
        <v>3770.8461538461538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0.16903448920459857</v>
      </c>
      <c r="H148" s="111">
        <f>G148+'12'!H148</f>
        <v>2.191740044447958</v>
      </c>
      <c r="I148" s="196"/>
      <c r="J148" s="203">
        <f>H148/DAY(B2)</f>
        <v>0.16859538803445831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1802</v>
      </c>
      <c r="H149" s="111">
        <f>G149+'12'!H149</f>
        <v>22102.069999999949</v>
      </c>
      <c r="I149" s="131"/>
      <c r="J149" s="203">
        <f>H149/DAY(B2)</f>
        <v>1700.1592307692267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8.4213477895130381E-2</v>
      </c>
      <c r="H150" s="111">
        <f>G150+'12'!H150</f>
        <v>0.98702562620318246</v>
      </c>
      <c r="I150" s="196"/>
      <c r="J150" s="203">
        <f>H150/DAY(B2)</f>
        <v>7.5925048169475567E-2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1922.9000000000015</v>
      </c>
      <c r="H151" s="111">
        <f>G151+'12'!H151</f>
        <v>24581.599999999999</v>
      </c>
      <c r="I151" s="196"/>
      <c r="J151" s="203">
        <f>H151/DAY(B2)</f>
        <v>1890.8923076923077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8.9863538648471894E-2</v>
      </c>
      <c r="H152" s="111">
        <f>G152+'12'!H152</f>
        <v>1.0941952028666433</v>
      </c>
      <c r="I152" s="131"/>
      <c r="J152" s="203">
        <f>H152/DAY(B2)</f>
        <v>8.4168861758972563E-2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1619</v>
      </c>
      <c r="H153" s="111">
        <f>G153+'12'!H153</f>
        <v>20811.869999999995</v>
      </c>
      <c r="I153" s="131"/>
      <c r="J153" s="203">
        <f>H153/DAY(B2)</f>
        <v>1600.9130769230765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7.5661276754836901E-2</v>
      </c>
      <c r="H154" s="111">
        <f>G154+'12'!H154</f>
        <v>0.92930857002505307</v>
      </c>
      <c r="I154" s="219"/>
      <c r="J154" s="220">
        <f>H154/DAY(B2)</f>
        <v>7.1485274617311773E-2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'12'!F161</f>
        <v>44280.6</v>
      </c>
      <c r="F161" s="454">
        <v>44361.4</v>
      </c>
      <c r="G161" s="124">
        <f t="shared" ref="G161:G164" si="16">F161-E161</f>
        <v>80.80000000000291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'12'!F162</f>
        <v>127705</v>
      </c>
      <c r="F162" s="454">
        <v>128190</v>
      </c>
      <c r="G162" s="124">
        <f t="shared" si="16"/>
        <v>485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'12'!F163</f>
        <v>59893</v>
      </c>
      <c r="F163" s="454">
        <v>60099</v>
      </c>
      <c r="G163" s="124">
        <f t="shared" si="16"/>
        <v>206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'12'!F164</f>
        <v>7253.93</v>
      </c>
      <c r="F164" s="454">
        <v>7261.56</v>
      </c>
      <c r="G164" s="124">
        <f t="shared" si="16"/>
        <v>7.6300000000001091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21.75" customHeight="1">
      <c r="A167" s="1253" t="s">
        <v>98</v>
      </c>
      <c r="B167" s="1253"/>
      <c r="C167" s="1253"/>
      <c r="D167" s="175" t="s">
        <v>186</v>
      </c>
      <c r="E167" s="165">
        <f t="shared" si="18"/>
        <v>186441</v>
      </c>
      <c r="F167" s="165">
        <f t="shared" si="19"/>
        <v>186858</v>
      </c>
      <c r="G167" s="124">
        <f t="shared" si="17"/>
        <v>417</v>
      </c>
      <c r="N167" s="369"/>
    </row>
    <row r="168" spans="1:14" ht="21.75" customHeight="1">
      <c r="A168" s="1253" t="s">
        <v>99</v>
      </c>
      <c r="B168" s="1253"/>
      <c r="C168" s="1253"/>
      <c r="D168" s="175" t="s">
        <v>186</v>
      </c>
      <c r="E168" s="165">
        <f t="shared" si="18"/>
        <v>186994</v>
      </c>
      <c r="F168" s="165">
        <f t="shared" si="19"/>
        <v>187394</v>
      </c>
      <c r="G168" s="124">
        <f t="shared" si="17"/>
        <v>400</v>
      </c>
      <c r="N168" s="369"/>
    </row>
    <row r="169" spans="1:14" ht="21.75" customHeight="1">
      <c r="A169" s="1253" t="s">
        <v>100</v>
      </c>
      <c r="B169" s="1253"/>
      <c r="C169" s="1253"/>
      <c r="D169" s="175" t="s">
        <v>186</v>
      </c>
      <c r="E169" s="165">
        <f t="shared" si="18"/>
        <v>85550</v>
      </c>
      <c r="F169" s="165">
        <f t="shared" si="19"/>
        <v>85921</v>
      </c>
      <c r="G169" s="124">
        <f t="shared" si="17"/>
        <v>371</v>
      </c>
      <c r="N169" s="369"/>
    </row>
    <row r="170" spans="1:14" ht="26.25" customHeight="1">
      <c r="A170" s="1253" t="s">
        <v>101</v>
      </c>
      <c r="B170" s="1253"/>
      <c r="C170" s="1253"/>
      <c r="D170" s="175" t="s">
        <v>186</v>
      </c>
      <c r="E170" s="165">
        <f t="shared" si="18"/>
        <v>285876</v>
      </c>
      <c r="F170" s="165">
        <f t="shared" si="19"/>
        <v>286352</v>
      </c>
      <c r="G170" s="124">
        <f t="shared" si="17"/>
        <v>476</v>
      </c>
      <c r="N170" s="369"/>
    </row>
    <row r="171" spans="1:14" ht="24" customHeight="1">
      <c r="A171" s="1253" t="s">
        <v>102</v>
      </c>
      <c r="B171" s="1253"/>
      <c r="C171" s="1253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65">
        <f t="shared" si="18"/>
        <v>100414</v>
      </c>
      <c r="F172" s="165">
        <f t="shared" si="19"/>
        <v>100722</v>
      </c>
      <c r="G172" s="124">
        <f t="shared" si="17"/>
        <v>308</v>
      </c>
      <c r="N172" s="369"/>
    </row>
    <row r="173" spans="1:14">
      <c r="A173" s="1228"/>
      <c r="B173" s="1191"/>
      <c r="C173" s="436"/>
      <c r="D173" s="174"/>
      <c r="E173" s="183"/>
      <c r="F173" s="183"/>
      <c r="G173" s="124"/>
      <c r="N173" s="369"/>
    </row>
    <row r="174" spans="1:14">
      <c r="A174" s="1228" t="s">
        <v>338</v>
      </c>
      <c r="B174" s="1191"/>
      <c r="C174" s="436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>
      <c r="A175" s="1228" t="s">
        <v>338</v>
      </c>
      <c r="B175" s="1191"/>
      <c r="C175" s="436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>
      <c r="A176" s="1228" t="s">
        <v>339</v>
      </c>
      <c r="B176" s="1191"/>
      <c r="C176" s="436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18.75" customHeight="1">
      <c r="A177" s="1228"/>
      <c r="B177" s="1191"/>
      <c r="C177" s="436"/>
      <c r="D177" s="174"/>
      <c r="E177" s="183"/>
      <c r="F177" s="183"/>
      <c r="G177" s="124"/>
      <c r="N177" s="369"/>
    </row>
    <row r="178" spans="1:14" ht="18.75" customHeight="1">
      <c r="N178" s="369"/>
    </row>
    <row r="179" spans="1:14" ht="18.75" customHeight="1">
      <c r="N179" s="369"/>
    </row>
    <row r="180" spans="1:14" ht="18" customHeight="1">
      <c r="N180" s="369"/>
    </row>
    <row r="181" spans="1:14" ht="18.75" customHeight="1">
      <c r="N181" s="369"/>
    </row>
    <row r="182" spans="1:14" ht="18.75" customHeight="1">
      <c r="N182" s="369"/>
    </row>
    <row r="183" spans="1:14" ht="18" customHeight="1">
      <c r="N183" s="369"/>
    </row>
    <row r="184" spans="1:14" ht="18" customHeight="1">
      <c r="N184" s="369"/>
    </row>
    <row r="185" spans="1:14" ht="18" customHeight="1">
      <c r="N185" s="369"/>
    </row>
    <row r="186" spans="1:14" ht="18" customHeight="1">
      <c r="N186" s="369"/>
    </row>
    <row r="187" spans="1:14" ht="18" customHeight="1">
      <c r="N187" s="369"/>
    </row>
    <row r="188" spans="1:14" ht="18" customHeight="1">
      <c r="N188" s="369"/>
    </row>
    <row r="189" spans="1:14" ht="18" customHeight="1">
      <c r="N189" s="369"/>
    </row>
    <row r="190" spans="1:14" ht="18.75" customHeight="1">
      <c r="N190" s="369"/>
    </row>
    <row r="191" spans="1:14" ht="18.75" customHeight="1">
      <c r="N191" s="369"/>
    </row>
    <row r="192" spans="1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2" zoomScale="50" zoomScaleSheetLayoutView="50" workbookViewId="0">
      <selection activeCell="O10" sqref="O10:O12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269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378</v>
      </c>
      <c r="B2" s="682">
        <v>44422</v>
      </c>
      <c r="C2" s="819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19" t="s">
        <v>119</v>
      </c>
      <c r="D3" s="263">
        <v>28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19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'13'!F7</f>
        <v>899851</v>
      </c>
      <c r="F7" s="106">
        <v>920650</v>
      </c>
      <c r="G7" s="329">
        <f>F7-E7</f>
        <v>20799</v>
      </c>
      <c r="H7" s="330">
        <f>G7+'13'!H7</f>
        <v>312828</v>
      </c>
      <c r="I7" s="331">
        <f>'1'!I7</f>
        <v>12000</v>
      </c>
      <c r="J7" s="332">
        <f>H7/DAY(B2)</f>
        <v>22344.857142857141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'13'!F8</f>
        <v>910406</v>
      </c>
      <c r="F8" s="126">
        <v>931220</v>
      </c>
      <c r="G8" s="340">
        <f>F8-E8</f>
        <v>20814</v>
      </c>
      <c r="H8" s="330">
        <f>G8+'13'!H8</f>
        <v>315623</v>
      </c>
      <c r="I8" s="337">
        <f>'1'!I8</f>
        <v>12000</v>
      </c>
      <c r="J8" s="332">
        <f>H8/DAY(B2)</f>
        <v>22544.5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'13'!F9</f>
        <v>2979840</v>
      </c>
      <c r="F9" s="129">
        <v>2999980</v>
      </c>
      <c r="G9" s="353">
        <f t="shared" ref="G9:G12" si="0">F9-E9</f>
        <v>20140</v>
      </c>
      <c r="H9" s="330">
        <f>G9+'13'!H9</f>
        <v>303345</v>
      </c>
      <c r="I9" s="341">
        <f>I7-J7</f>
        <v>-10344.857142857141</v>
      </c>
      <c r="J9" s="332">
        <f>H9/DAY(B2)</f>
        <v>21667.5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370</v>
      </c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379</v>
      </c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380</v>
      </c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20140</v>
      </c>
      <c r="H13" s="330">
        <f>G13+'13'!H13</f>
        <v>260660.55</v>
      </c>
      <c r="I13" s="346">
        <f>G7-G13</f>
        <v>659</v>
      </c>
      <c r="J13" s="332">
        <f>H13/DAY(B2)</f>
        <v>18618.610714285714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'13'!F15</f>
        <v>1740697</v>
      </c>
      <c r="F15" s="351">
        <v>1741789</v>
      </c>
      <c r="G15" s="315">
        <f>(F15-E15)</f>
        <v>1092</v>
      </c>
      <c r="H15" s="137">
        <f>G15+'13'!H15</f>
        <v>12235</v>
      </c>
      <c r="I15" s="125">
        <v>800</v>
      </c>
      <c r="J15" s="204">
        <f>H15/DAY(B2)</f>
        <v>873.92857142857144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-73.928571428571445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'13'!F18</f>
        <v>18</v>
      </c>
      <c r="F18" s="129">
        <v>16</v>
      </c>
      <c r="G18" s="345">
        <f>F18*10</f>
        <v>160</v>
      </c>
      <c r="H18" s="330">
        <f>G18+'13'!H18</f>
        <v>2360</v>
      </c>
      <c r="I18" s="331">
        <f>'1'!I18</f>
        <v>65</v>
      </c>
      <c r="J18" s="332">
        <f>H18/DAY(B2)</f>
        <v>168.57142857142858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'13'!F19</f>
        <v>144203</v>
      </c>
      <c r="F19" s="129">
        <v>144266</v>
      </c>
      <c r="G19" s="340">
        <f t="shared" ref="G19" si="1">F19-E19</f>
        <v>63</v>
      </c>
      <c r="H19" s="330">
        <f>G19+'13'!H19</f>
        <v>876</v>
      </c>
      <c r="I19" s="347"/>
      <c r="J19" s="332">
        <f>H19/DAY(B2)</f>
        <v>62.571428571428569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G20+'13'!H20</f>
        <v>3236</v>
      </c>
      <c r="I20" s="349">
        <f>I18-J20</f>
        <v>-166.14285714285714</v>
      </c>
      <c r="J20" s="332">
        <f>H20/DAY(B2)</f>
        <v>231.14285714285714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12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12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20814</v>
      </c>
      <c r="F27" s="152">
        <v>9</v>
      </c>
      <c r="G27" s="153">
        <f>E27*F27</f>
        <v>187326</v>
      </c>
      <c r="H27" s="111">
        <f>G27+'13'!H27</f>
        <v>2840607</v>
      </c>
      <c r="I27" s="154"/>
      <c r="J27" s="203">
        <f>H27/DAY(B2)</f>
        <v>202900.5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1092</v>
      </c>
      <c r="F28" s="152">
        <v>54.5</v>
      </c>
      <c r="G28" s="153">
        <f>E28*F28</f>
        <v>59514</v>
      </c>
      <c r="H28" s="111">
        <f>G28+'13'!H28</f>
        <v>666807.5</v>
      </c>
      <c r="I28" s="156"/>
      <c r="J28" s="203">
        <f>H28/DAY(B2)</f>
        <v>47629.107142857145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G30+'13'!H30</f>
        <v>127896</v>
      </c>
      <c r="I30" s="156"/>
      <c r="J30" s="203">
        <f>H30/DAY(B2)</f>
        <v>9135.4285714285706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G31+'13'!H31</f>
        <v>188800</v>
      </c>
      <c r="I31" s="156"/>
      <c r="J31" s="203">
        <f>H31/DAY(B2)</f>
        <v>13485.714285714286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268838</v>
      </c>
      <c r="H32" s="111">
        <f>G32+'13'!H32</f>
        <v>3824110.5</v>
      </c>
      <c r="I32" s="160"/>
      <c r="J32" s="203">
        <f>H32/DAY(B2)</f>
        <v>273150.75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14"/>
      <c r="C34" s="81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'13'!F35</f>
        <v>1058596</v>
      </c>
      <c r="F35" s="161">
        <v>1058596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9"/>
      <c r="O35" s="377" t="s">
        <v>267</v>
      </c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'13'!F36</f>
        <v>56383.6</v>
      </c>
      <c r="F36" s="161">
        <v>57017</v>
      </c>
      <c r="G36" s="124">
        <f t="shared" si="3"/>
        <v>633.40000000000146</v>
      </c>
      <c r="H36" s="111">
        <f>G36+'13'!H36</f>
        <v>10219</v>
      </c>
      <c r="I36" s="106"/>
      <c r="J36" s="203">
        <f>H36/DAY(B2)</f>
        <v>729.92857142857144</v>
      </c>
      <c r="K36" s="81"/>
      <c r="L36" s="68"/>
      <c r="N36" s="370"/>
      <c r="O36" s="377" t="s">
        <v>270</v>
      </c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'13'!F37</f>
        <v>246985</v>
      </c>
      <c r="F37" s="161">
        <v>248539</v>
      </c>
      <c r="G37" s="124">
        <f t="shared" si="3"/>
        <v>1554</v>
      </c>
      <c r="H37" s="111">
        <f>G37+'13'!H37</f>
        <v>22366</v>
      </c>
      <c r="I37" s="106"/>
      <c r="J37" s="203">
        <f>H37/DAY(B2)</f>
        <v>1597.5714285714287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'13'!F38</f>
        <v>270661</v>
      </c>
      <c r="F38" s="120">
        <v>272378</v>
      </c>
      <c r="G38" s="124">
        <f t="shared" si="3"/>
        <v>1717</v>
      </c>
      <c r="H38" s="111">
        <f>G38+'13'!H38</f>
        <v>23819</v>
      </c>
      <c r="I38" s="106"/>
      <c r="J38" s="203">
        <f>H38/DAY(B2)</f>
        <v>1701.3571428571429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'13'!F39</f>
        <v>569539</v>
      </c>
      <c r="F39" s="161">
        <v>573213</v>
      </c>
      <c r="G39" s="124">
        <f t="shared" si="3"/>
        <v>3674</v>
      </c>
      <c r="H39" s="111">
        <f>G39+'13'!H39</f>
        <v>52695</v>
      </c>
      <c r="I39" s="106"/>
      <c r="J39" s="203">
        <f>H39/DAY(B2)</f>
        <v>3763.9285714285716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'13'!F40</f>
        <v>26525</v>
      </c>
      <c r="F40" s="161">
        <v>26877</v>
      </c>
      <c r="G40" s="124">
        <f t="shared" si="3"/>
        <v>352</v>
      </c>
      <c r="H40" s="111">
        <f>G40+'13'!H40</f>
        <v>6704</v>
      </c>
      <c r="I40" s="106"/>
      <c r="J40" s="203">
        <f>H40/DAY(B2)</f>
        <v>478.85714285714283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 t="s">
        <v>214</v>
      </c>
      <c r="D41" s="174" t="s">
        <v>131</v>
      </c>
      <c r="E41" s="161">
        <f>'13'!F41</f>
        <v>395856</v>
      </c>
      <c r="F41" s="161">
        <v>401559</v>
      </c>
      <c r="G41" s="124">
        <f t="shared" si="3"/>
        <v>5703</v>
      </c>
      <c r="H41" s="111">
        <f>G41+'13'!H41</f>
        <v>34719</v>
      </c>
      <c r="I41" s="106"/>
      <c r="J41" s="203">
        <f>H41/DAY(B2)</f>
        <v>2479.9285714285716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'13'!F42</f>
        <v>147899</v>
      </c>
      <c r="F42" s="161">
        <v>147899</v>
      </c>
      <c r="G42" s="124">
        <f t="shared" si="3"/>
        <v>0</v>
      </c>
      <c r="H42" s="111">
        <f>G42+'13'!H42</f>
        <v>32387</v>
      </c>
      <c r="I42" s="106"/>
      <c r="J42" s="203">
        <f>H42/DAY(B2)</f>
        <v>2313.3571428571427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'13'!F43</f>
        <v>1241590</v>
      </c>
      <c r="F43" s="161">
        <v>1244080</v>
      </c>
      <c r="G43" s="124">
        <f t="shared" si="3"/>
        <v>2490</v>
      </c>
      <c r="H43" s="111">
        <f>G43+'13'!H43</f>
        <v>39619</v>
      </c>
      <c r="I43" s="106"/>
      <c r="J43" s="203">
        <f>H43/DAY(B2)</f>
        <v>2829.9285714285716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16123.400000000001</v>
      </c>
      <c r="H47" s="111">
        <f>G47+'13'!H47</f>
        <v>223329.18999999994</v>
      </c>
      <c r="I47" s="106"/>
      <c r="J47" s="203">
        <f>H47/DAY(B2)</f>
        <v>15952.084999999995</v>
      </c>
      <c r="K47" s="81"/>
      <c r="L47" s="68"/>
      <c r="N47" s="369"/>
      <c r="O47" s="376"/>
      <c r="P47" s="73"/>
    </row>
    <row r="48" spans="1:16">
      <c r="A48" s="249" t="s">
        <v>176</v>
      </c>
      <c r="B48" s="814"/>
      <c r="C48" s="81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'13'!F49</f>
        <v>363707</v>
      </c>
      <c r="F49" s="161">
        <v>366771</v>
      </c>
      <c r="G49" s="124">
        <f t="shared" ref="G49:G58" si="4">F49-E49</f>
        <v>3064</v>
      </c>
      <c r="H49" s="111">
        <f>G49+'13'!H49</f>
        <v>39733</v>
      </c>
      <c r="I49" s="106"/>
      <c r="J49" s="203">
        <f>H49/DAY(B2)</f>
        <v>2838.0714285714284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'13'!F50</f>
        <v>584921</v>
      </c>
      <c r="F50" s="161">
        <v>585907</v>
      </c>
      <c r="G50" s="124">
        <f t="shared" si="4"/>
        <v>986</v>
      </c>
      <c r="H50" s="111">
        <f>G50+'13'!H50</f>
        <v>15090</v>
      </c>
      <c r="I50" s="106"/>
      <c r="J50" s="203">
        <f>H50/DAY(B2)</f>
        <v>1077.8571428571429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-0.13000000000465661</v>
      </c>
      <c r="I51" s="106"/>
      <c r="J51" s="203">
        <f>H51/DAY(B2)</f>
        <v>-9.2857142860469002E-3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-0.73999999999068677</v>
      </c>
      <c r="I53" s="106"/>
      <c r="J53" s="203">
        <f>H53/DAY(B2)</f>
        <v>-5.2857142856477628E-2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'13'!F55</f>
        <v>264363</v>
      </c>
      <c r="F55" s="304">
        <v>264669</v>
      </c>
      <c r="G55" s="303">
        <f t="shared" si="4"/>
        <v>306</v>
      </c>
      <c r="H55" s="356">
        <f>G55+'13'!H55</f>
        <v>27483</v>
      </c>
      <c r="I55" s="357"/>
      <c r="J55" s="358">
        <f>H55/DAY(B2)</f>
        <v>1963.0714285714287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'13'!F56</f>
        <v>649506</v>
      </c>
      <c r="F56" s="304">
        <v>649519</v>
      </c>
      <c r="G56" s="124">
        <f t="shared" si="4"/>
        <v>13</v>
      </c>
      <c r="H56" s="111">
        <f>G56+'13'!H56</f>
        <v>147</v>
      </c>
      <c r="I56" s="106"/>
      <c r="J56" s="203">
        <f>H56/DAY(B2)</f>
        <v>10.5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'13'!F58</f>
        <v>62363.8</v>
      </c>
      <c r="F58" s="304">
        <v>62561.7</v>
      </c>
      <c r="G58" s="124">
        <f t="shared" si="4"/>
        <v>197.89999999999418</v>
      </c>
      <c r="H58" s="111">
        <f>G58+'13'!H58</f>
        <v>2670.6999999999971</v>
      </c>
      <c r="I58" s="106"/>
      <c r="J58" s="203">
        <f>H58/DAY(B2)</f>
        <v>190.76428571428551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4566.4900000000198</v>
      </c>
      <c r="H59" s="111">
        <f>G59+'13'!H59</f>
        <v>85123.229999999952</v>
      </c>
      <c r="I59" s="106">
        <f>G7-G60</f>
        <v>109.10999999997875</v>
      </c>
      <c r="J59" s="203">
        <f>H59/DAY(B2)</f>
        <v>6080.2307142857107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20689.890000000021</v>
      </c>
      <c r="H60" s="111">
        <f>G60+'13'!H60</f>
        <v>314029.74999999994</v>
      </c>
      <c r="I60" s="106">
        <f>G13-G60</f>
        <v>-549.89000000002125</v>
      </c>
      <c r="J60" s="203">
        <f>H60/DAY(B2)</f>
        <v>22430.696428571424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'13'!F64</f>
        <v>186858</v>
      </c>
      <c r="F64" s="129">
        <v>187217</v>
      </c>
      <c r="G64" s="124">
        <f t="shared" si="5"/>
        <v>359</v>
      </c>
      <c r="H64" s="111">
        <f>G64+'13'!H64</f>
        <v>5357</v>
      </c>
      <c r="I64" s="131"/>
      <c r="J64" s="203">
        <f>H64/DAY(B2)</f>
        <v>382.64285714285717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'13'!F65</f>
        <v>187394</v>
      </c>
      <c r="F65" s="302">
        <v>187420</v>
      </c>
      <c r="G65" s="124">
        <f t="shared" si="5"/>
        <v>26</v>
      </c>
      <c r="H65" s="111">
        <f>G65+'13'!H65</f>
        <v>5211</v>
      </c>
      <c r="I65" s="140"/>
      <c r="J65" s="203">
        <f>H65/DAY(B2)</f>
        <v>372.21428571428572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'13'!F66</f>
        <v>85921</v>
      </c>
      <c r="F66" s="129">
        <v>86329</v>
      </c>
      <c r="G66" s="124">
        <f t="shared" si="5"/>
        <v>408</v>
      </c>
      <c r="H66" s="111">
        <f>G66+'13'!H66</f>
        <v>5657</v>
      </c>
      <c r="I66" s="131"/>
      <c r="J66" s="203">
        <f>H66/DAY(B2)</f>
        <v>404.07142857142856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'13'!F67</f>
        <v>286352</v>
      </c>
      <c r="F67" s="129">
        <v>286818</v>
      </c>
      <c r="G67" s="124">
        <f t="shared" si="5"/>
        <v>466</v>
      </c>
      <c r="H67" s="111">
        <f>G67+'13'!H67</f>
        <v>6760</v>
      </c>
      <c r="I67" s="140"/>
      <c r="J67" s="203">
        <f>H67/DAY(B2)</f>
        <v>482.85714285714283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'13'!F69</f>
        <v>100722</v>
      </c>
      <c r="F69" s="129">
        <v>101025</v>
      </c>
      <c r="G69" s="124">
        <f t="shared" si="5"/>
        <v>303</v>
      </c>
      <c r="H69" s="111">
        <f>G69+'13'!H69</f>
        <v>4468</v>
      </c>
      <c r="I69" s="167"/>
      <c r="J69" s="203">
        <f>H69/DAY(B2)</f>
        <v>319.14285714285717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'13'!F72</f>
        <v>856782</v>
      </c>
      <c r="F72" s="305">
        <v>856794</v>
      </c>
      <c r="G72" s="124">
        <f t="shared" ref="G72" si="6">F72-E72</f>
        <v>12</v>
      </c>
      <c r="H72" s="111">
        <f>G72+'12'!H72</f>
        <v>171</v>
      </c>
      <c r="I72" s="131"/>
      <c r="J72" s="203">
        <f>H72/DAY(B2)</f>
        <v>12.214285714285714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'13'!F73</f>
        <v>886029</v>
      </c>
      <c r="F73" s="306">
        <v>886030</v>
      </c>
      <c r="G73" s="303">
        <f t="shared" ref="G73:G84" si="7">F73-E73</f>
        <v>1</v>
      </c>
      <c r="H73" s="111">
        <f>G73+'13'!H72</f>
        <v>174</v>
      </c>
      <c r="I73" s="131"/>
      <c r="J73" s="203">
        <f>H73/DAY(B2)</f>
        <v>12.428571428571429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v>88679</v>
      </c>
      <c r="F74" s="306">
        <v>88751</v>
      </c>
      <c r="G74" s="124">
        <f t="shared" si="7"/>
        <v>72</v>
      </c>
      <c r="H74" s="111">
        <f>G74+'13'!H74</f>
        <v>90</v>
      </c>
      <c r="I74" s="131"/>
      <c r="J74" s="203">
        <f>H74/DAY(B2)</f>
        <v>6.4285714285714288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'13'!F75</f>
        <v>23134.7</v>
      </c>
      <c r="F75" s="306">
        <v>23311.5</v>
      </c>
      <c r="G75" s="124">
        <f t="shared" si="7"/>
        <v>176.79999999999927</v>
      </c>
      <c r="H75" s="111">
        <f>G75+'13'!H75</f>
        <v>2364.5</v>
      </c>
      <c r="I75" s="131"/>
      <c r="J75" s="203">
        <f>H75/DAY(B2)</f>
        <v>168.89285714285714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'13'!F76</f>
        <v>12113.1</v>
      </c>
      <c r="F76" s="306">
        <v>12165</v>
      </c>
      <c r="G76" s="124">
        <f t="shared" si="7"/>
        <v>51.899999999999636</v>
      </c>
      <c r="H76" s="111">
        <f>G76+'13'!H75</f>
        <v>2239.6000000000004</v>
      </c>
      <c r="I76" s="156"/>
      <c r="J76" s="203">
        <f>H76/DAY(B2)</f>
        <v>159.97142857142859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'13'!F77</f>
        <v>707291</v>
      </c>
      <c r="F77" s="306">
        <v>707342</v>
      </c>
      <c r="G77" s="303">
        <f t="shared" si="7"/>
        <v>51</v>
      </c>
      <c r="H77" s="111">
        <f>G77+'13'!H77</f>
        <v>889</v>
      </c>
      <c r="I77" s="156"/>
      <c r="J77" s="203">
        <f>H77/DAY(B2)</f>
        <v>63.5</v>
      </c>
      <c r="K77" s="83"/>
      <c r="L77" s="68"/>
      <c r="N77" s="369"/>
      <c r="O77" s="376"/>
      <c r="P77" s="73"/>
    </row>
    <row r="78" spans="1:16" ht="27.75">
      <c r="A78" s="815" t="s">
        <v>196</v>
      </c>
      <c r="B78" s="811"/>
      <c r="C78" s="811"/>
      <c r="D78" s="174" t="s">
        <v>186</v>
      </c>
      <c r="E78" s="170">
        <f>'13'!F78</f>
        <v>680371</v>
      </c>
      <c r="F78" s="307">
        <v>680454</v>
      </c>
      <c r="G78" s="124">
        <f t="shared" si="7"/>
        <v>83</v>
      </c>
      <c r="H78" s="111">
        <f>G78+'13'!H78</f>
        <v>1601</v>
      </c>
      <c r="I78" s="156"/>
      <c r="J78" s="203">
        <f>H78/DAY(B2)</f>
        <v>114.35714285714286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'13'!F79</f>
        <v>842200</v>
      </c>
      <c r="F79" s="307">
        <v>842366</v>
      </c>
      <c r="G79" s="124">
        <f t="shared" si="7"/>
        <v>166</v>
      </c>
      <c r="H79" s="111">
        <f>G79+'13'!H78</f>
        <v>1684</v>
      </c>
      <c r="I79" s="156"/>
      <c r="J79" s="203">
        <f>H79/DAY(B2)</f>
        <v>120.28571428571429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'13'!F80</f>
        <v>557191</v>
      </c>
      <c r="F80" s="306">
        <v>557605</v>
      </c>
      <c r="G80" s="124">
        <f t="shared" si="7"/>
        <v>414</v>
      </c>
      <c r="H80" s="111">
        <f>G80+'13'!H79</f>
        <v>2399</v>
      </c>
      <c r="I80" s="156"/>
      <c r="J80" s="203">
        <f>H80/DAY(B2)</f>
        <v>171.35714285714286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'13'!F81</f>
        <v>651208</v>
      </c>
      <c r="F81" s="306">
        <v>651380</v>
      </c>
      <c r="G81" s="124">
        <f t="shared" si="7"/>
        <v>172</v>
      </c>
      <c r="H81" s="111">
        <f>G81+'13'!H81</f>
        <v>2362</v>
      </c>
      <c r="I81" s="156"/>
      <c r="J81" s="203">
        <f>H81/DAY(B2)</f>
        <v>168.71428571428572</v>
      </c>
      <c r="K81" s="83"/>
      <c r="L81" s="68"/>
      <c r="N81" s="369"/>
      <c r="O81" s="376"/>
      <c r="P81" s="73"/>
    </row>
    <row r="82" spans="1:16" ht="27.75">
      <c r="A82" s="1184" t="s">
        <v>92</v>
      </c>
      <c r="B82" s="1185"/>
      <c r="C82" s="1186"/>
      <c r="D82" s="136" t="s">
        <v>131</v>
      </c>
      <c r="E82" s="170">
        <f>'13'!F82</f>
        <v>109581</v>
      </c>
      <c r="F82" s="302">
        <v>109602</v>
      </c>
      <c r="G82" s="124">
        <f t="shared" si="7"/>
        <v>21</v>
      </c>
      <c r="H82" s="111">
        <f>G82+'13'!H82</f>
        <v>266</v>
      </c>
      <c r="I82" s="137"/>
      <c r="J82" s="203">
        <f>H82/DAY(B2)</f>
        <v>19</v>
      </c>
      <c r="K82" s="83"/>
      <c r="L82" s="68"/>
      <c r="N82" s="369"/>
      <c r="O82" s="376"/>
      <c r="P82" s="73"/>
    </row>
    <row r="83" spans="1:16" ht="27.75">
      <c r="A83" s="1184" t="s">
        <v>199</v>
      </c>
      <c r="B83" s="1185"/>
      <c r="C83" s="1186"/>
      <c r="D83" s="271" t="s">
        <v>131</v>
      </c>
      <c r="E83" s="170">
        <f>'13'!F83</f>
        <v>39063</v>
      </c>
      <c r="F83" s="162">
        <v>39360</v>
      </c>
      <c r="G83" s="124">
        <f t="shared" si="7"/>
        <v>297</v>
      </c>
      <c r="H83" s="111">
        <f>G83+'13'!H83</f>
        <v>4335</v>
      </c>
      <c r="I83" s="132"/>
      <c r="J83" s="203">
        <f>H83/DAY(B2)</f>
        <v>309.64285714285717</v>
      </c>
      <c r="K83" s="82"/>
      <c r="L83" s="68"/>
      <c r="N83" s="369"/>
      <c r="O83" s="376"/>
      <c r="P83" s="73"/>
    </row>
    <row r="84" spans="1:16">
      <c r="A84" s="818" t="s">
        <v>200</v>
      </c>
      <c r="B84" s="222"/>
      <c r="C84" s="222"/>
      <c r="D84" s="129" t="s">
        <v>131</v>
      </c>
      <c r="E84" s="170">
        <f>'13'!F84</f>
        <v>557353</v>
      </c>
      <c r="F84" s="278">
        <v>558160</v>
      </c>
      <c r="G84" s="124">
        <f t="shared" si="7"/>
        <v>807</v>
      </c>
      <c r="H84" s="111">
        <f>G84+'13'!H84</f>
        <v>10767</v>
      </c>
      <c r="I84" s="132"/>
      <c r="J84" s="203">
        <f>H84/DAY(B2)</f>
        <v>769.07142857142856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2324.6999999999989</v>
      </c>
      <c r="H85" s="111">
        <f>G85+'13'!H85</f>
        <v>31418.5</v>
      </c>
      <c r="I85" s="132"/>
      <c r="J85" s="203">
        <f>H85/DAY(B2)</f>
        <v>2244.1785714285716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'13'!F86</f>
        <v>463107</v>
      </c>
      <c r="F86" s="298">
        <v>463115</v>
      </c>
      <c r="G86" s="356">
        <f t="shared" ref="G86:G91" si="8">F86-E86</f>
        <v>8</v>
      </c>
      <c r="H86" s="356">
        <f t="shared" ref="H86:H88" si="9">G86</f>
        <v>8</v>
      </c>
      <c r="I86" s="303"/>
      <c r="J86" s="358">
        <f>H86/DAY(B2)</f>
        <v>0.5714285714285714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'13'!F87</f>
        <v>83349</v>
      </c>
      <c r="F87" s="298">
        <v>83373</v>
      </c>
      <c r="G87" s="356">
        <f t="shared" si="8"/>
        <v>24</v>
      </c>
      <c r="H87" s="356">
        <f t="shared" si="9"/>
        <v>24</v>
      </c>
      <c r="I87" s="303"/>
      <c r="J87" s="358">
        <f>H87/DAY(B2)</f>
        <v>1.7142857142857142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8"/>
        <v>0</v>
      </c>
      <c r="H88" s="356">
        <f t="shared" si="9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'13'!F89</f>
        <v>67845</v>
      </c>
      <c r="F89" s="298">
        <v>67891</v>
      </c>
      <c r="G89" s="356">
        <f t="shared" si="8"/>
        <v>46</v>
      </c>
      <c r="H89" s="356">
        <f>G89</f>
        <v>46</v>
      </c>
      <c r="I89" s="303"/>
      <c r="J89" s="358">
        <f>H89/DAY(B2)</f>
        <v>3.2857142857142856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'13'!F90</f>
        <v>3524</v>
      </c>
      <c r="F90" s="298">
        <v>3525</v>
      </c>
      <c r="G90" s="356">
        <f t="shared" si="8"/>
        <v>1</v>
      </c>
      <c r="H90" s="356">
        <f>G90</f>
        <v>1</v>
      </c>
      <c r="I90" s="303"/>
      <c r="J90" s="358">
        <f>H90/DAY(B2)</f>
        <v>7.1428571428571425E-2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'13'!F91</f>
        <v>28613</v>
      </c>
      <c r="F91" s="298">
        <v>28618</v>
      </c>
      <c r="G91" s="356">
        <f t="shared" si="8"/>
        <v>5</v>
      </c>
      <c r="H91" s="356">
        <f>G91</f>
        <v>5</v>
      </c>
      <c r="I91" s="303"/>
      <c r="J91" s="358">
        <f>H91/DAY(B2)</f>
        <v>0.35714285714285715</v>
      </c>
      <c r="K91" s="384"/>
      <c r="L91" s="385"/>
      <c r="N91" s="428"/>
      <c r="O91" s="73"/>
    </row>
    <row r="92" spans="1:16" s="70" customFormat="1">
      <c r="A92" s="257" t="s">
        <v>204</v>
      </c>
      <c r="B92" s="816"/>
      <c r="C92" s="816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'13'!F93</f>
        <v>251663</v>
      </c>
      <c r="F93" s="129">
        <v>251746</v>
      </c>
      <c r="G93" s="124">
        <f t="shared" ref="G93:G94" si="10">F93-E93</f>
        <v>83</v>
      </c>
      <c r="H93" s="111">
        <f>G93+'13'!H93</f>
        <v>1432</v>
      </c>
      <c r="I93" s="131"/>
      <c r="J93" s="203">
        <f>H93/DAY(B2)</f>
        <v>102.28571428571429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'13'!F94</f>
        <v>194908</v>
      </c>
      <c r="F94" s="302">
        <v>195087</v>
      </c>
      <c r="G94" s="124">
        <f t="shared" si="10"/>
        <v>179</v>
      </c>
      <c r="H94" s="111">
        <f>G94+'13'!H94</f>
        <v>2189</v>
      </c>
      <c r="I94" s="131"/>
      <c r="J94" s="203">
        <f>H94/DAY(B2)</f>
        <v>156.35714285714286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'13'!F95</f>
        <v>0</v>
      </c>
      <c r="F95" s="129"/>
      <c r="G95" s="124">
        <f>G93+G94</f>
        <v>262</v>
      </c>
      <c r="H95" s="111">
        <f>G95+'13'!H95</f>
        <v>3315</v>
      </c>
      <c r="I95" s="131"/>
      <c r="J95" s="203">
        <f>H95/DAY(B2)</f>
        <v>236.78571428571428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'13'!F96</f>
        <v>419576</v>
      </c>
      <c r="F96" s="129">
        <v>419645</v>
      </c>
      <c r="G96" s="124">
        <f t="shared" ref="G96:G101" si="11">F96-E96</f>
        <v>69</v>
      </c>
      <c r="H96" s="111">
        <f>G96+'13'!H96</f>
        <v>1109</v>
      </c>
      <c r="I96" s="131"/>
      <c r="J96" s="203">
        <f>H96/DAY(B2)</f>
        <v>79.214285714285708</v>
      </c>
      <c r="K96" s="71"/>
      <c r="L96" s="68"/>
      <c r="N96" s="369"/>
      <c r="O96" s="376"/>
      <c r="P96" s="73"/>
    </row>
    <row r="97" spans="1:16" ht="27.75">
      <c r="A97" s="812" t="s">
        <v>209</v>
      </c>
      <c r="B97" s="813"/>
      <c r="C97" s="813"/>
      <c r="D97" s="174" t="s">
        <v>143</v>
      </c>
      <c r="E97" s="135">
        <f>'13'!F97</f>
        <v>104184</v>
      </c>
      <c r="F97" s="129">
        <v>104206</v>
      </c>
      <c r="G97" s="124">
        <f t="shared" si="11"/>
        <v>22</v>
      </c>
      <c r="H97" s="111">
        <f>G97+'13'!H97</f>
        <v>357</v>
      </c>
      <c r="I97" s="131"/>
      <c r="J97" s="203">
        <f>H97/DAY(B2)</f>
        <v>25.5</v>
      </c>
      <c r="K97" s="80"/>
      <c r="L97" s="68"/>
      <c r="N97" s="369"/>
      <c r="O97" s="376"/>
      <c r="P97" s="73"/>
    </row>
    <row r="98" spans="1:16" ht="27.75">
      <c r="A98" s="812" t="s">
        <v>210</v>
      </c>
      <c r="B98" s="813"/>
      <c r="C98" s="813"/>
      <c r="D98" s="174" t="s">
        <v>143</v>
      </c>
      <c r="E98" s="135">
        <f>'13'!F98</f>
        <v>99826</v>
      </c>
      <c r="F98" s="129">
        <v>99862</v>
      </c>
      <c r="G98" s="124">
        <f t="shared" si="11"/>
        <v>36</v>
      </c>
      <c r="H98" s="111">
        <f>G98+'13'!H98</f>
        <v>414</v>
      </c>
      <c r="I98" s="131"/>
      <c r="J98" s="203">
        <f>H98/DAY(B2)</f>
        <v>29.571428571428573</v>
      </c>
      <c r="K98" s="85"/>
      <c r="L98" s="68"/>
      <c r="N98" s="369"/>
      <c r="O98" s="376"/>
      <c r="P98" s="73"/>
    </row>
    <row r="99" spans="1:16" ht="27.75">
      <c r="A99" s="812" t="s">
        <v>211</v>
      </c>
      <c r="B99" s="813"/>
      <c r="C99" s="813"/>
      <c r="D99" s="174" t="s">
        <v>143</v>
      </c>
      <c r="E99" s="135">
        <f>'13'!F99</f>
        <v>151585</v>
      </c>
      <c r="F99" s="129">
        <v>151596</v>
      </c>
      <c r="G99" s="124">
        <f t="shared" si="11"/>
        <v>11</v>
      </c>
      <c r="H99" s="111">
        <f>G99+'13'!H99</f>
        <v>345</v>
      </c>
      <c r="I99" s="131"/>
      <c r="J99" s="203">
        <f>H99/DAY(B2)</f>
        <v>24.642857142857142</v>
      </c>
      <c r="K99" s="71"/>
      <c r="L99" s="68"/>
      <c r="N99" s="371"/>
      <c r="O99" s="376"/>
      <c r="P99" s="73"/>
    </row>
    <row r="100" spans="1:16" ht="27.75">
      <c r="A100" s="812" t="s">
        <v>212</v>
      </c>
      <c r="B100" s="813"/>
      <c r="C100" s="813"/>
      <c r="D100" s="174" t="s">
        <v>143</v>
      </c>
      <c r="E100" s="135">
        <f>'13'!F100</f>
        <v>8394</v>
      </c>
      <c r="F100" s="129">
        <v>8405</v>
      </c>
      <c r="G100" s="124">
        <f t="shared" si="11"/>
        <v>11</v>
      </c>
      <c r="H100" s="111">
        <f>G100+'13'!H100</f>
        <v>240</v>
      </c>
      <c r="I100" s="131"/>
      <c r="J100" s="203">
        <f>H100/DAY(B2)</f>
        <v>17.142857142857142</v>
      </c>
      <c r="K100" s="71"/>
      <c r="L100" s="68"/>
      <c r="N100" s="369"/>
      <c r="O100" s="376"/>
      <c r="P100" s="73"/>
    </row>
    <row r="101" spans="1:16" ht="27.75">
      <c r="A101" s="812" t="s">
        <v>213</v>
      </c>
      <c r="B101" s="813"/>
      <c r="C101" s="813"/>
      <c r="D101" s="174" t="s">
        <v>143</v>
      </c>
      <c r="E101" s="135">
        <f>'13'!F101</f>
        <v>6155</v>
      </c>
      <c r="F101" s="129">
        <v>6165</v>
      </c>
      <c r="G101" s="124">
        <f t="shared" si="11"/>
        <v>10</v>
      </c>
      <c r="H101" s="111">
        <f>G101+'13'!H101</f>
        <v>174</v>
      </c>
      <c r="I101" s="131"/>
      <c r="J101" s="203">
        <f>H101/DAY(B2)</f>
        <v>12.428571428571429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159</v>
      </c>
      <c r="H102" s="111">
        <f>G102+'13'!H102</f>
        <v>2639</v>
      </c>
      <c r="I102" s="177"/>
      <c r="J102" s="203">
        <f>H102/DAY(B2)</f>
        <v>188.5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710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17"/>
      <c r="D105" s="273" t="s">
        <v>143</v>
      </c>
      <c r="E105" s="135">
        <f>'13'!F105</f>
        <v>7937</v>
      </c>
      <c r="F105" s="309">
        <v>7952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5.3307142857142287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17"/>
      <c r="D106" s="273" t="s">
        <v>143</v>
      </c>
      <c r="E106" s="135">
        <f>'13'!F106</f>
        <v>36583</v>
      </c>
      <c r="F106" s="310">
        <v>36591</v>
      </c>
      <c r="G106" s="183">
        <f t="shared" ref="G106:G107" si="12">F106-E106</f>
        <v>8</v>
      </c>
      <c r="H106" s="184">
        <f>SUM(G106+'1'!G77)</f>
        <v>67</v>
      </c>
      <c r="I106" s="183"/>
      <c r="J106" s="209">
        <f>H106/DAY(B2)</f>
        <v>4.7857142857142856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'13'!F107</f>
        <v>20063</v>
      </c>
      <c r="F107" s="310">
        <v>20074</v>
      </c>
      <c r="G107" s="183">
        <f t="shared" si="12"/>
        <v>11</v>
      </c>
      <c r="H107" s="184">
        <f>SUM(G107+'1'!G78)</f>
        <v>155</v>
      </c>
      <c r="I107" s="183"/>
      <c r="J107" s="209">
        <f>H107/DAY(B2)</f>
        <v>11.071428571428571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17"/>
      <c r="D108" s="273"/>
      <c r="E108" s="135">
        <f>'13'!F108</f>
        <v>0</v>
      </c>
      <c r="F108" s="310"/>
      <c r="G108" s="183">
        <f>SUM(G105:G107)</f>
        <v>34</v>
      </c>
      <c r="H108" s="184">
        <f>SUM(G108+'1'!G79)</f>
        <v>177</v>
      </c>
      <c r="I108" s="183"/>
      <c r="J108" s="209">
        <f>H108/DAY(B2)</f>
        <v>12.642857142857142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17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17"/>
      <c r="D110" s="273" t="s">
        <v>143</v>
      </c>
      <c r="E110" s="135">
        <f>'13'!F110</f>
        <v>68170</v>
      </c>
      <c r="F110" s="310">
        <v>68241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16.89714285714685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17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3">F111-E111</f>
        <v>0</v>
      </c>
      <c r="H111" s="184">
        <f>SUM(G111+'1'!G82)</f>
        <v>13.279999999998836</v>
      </c>
      <c r="I111" s="183"/>
      <c r="J111" s="209">
        <f>H111/DAY(B2)</f>
        <v>0.94857142857134547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17"/>
      <c r="D112" s="273" t="s">
        <v>143</v>
      </c>
      <c r="E112" s="135">
        <f>'13'!F112</f>
        <v>4692</v>
      </c>
      <c r="F112" s="310">
        <v>4692</v>
      </c>
      <c r="G112" s="183">
        <f t="shared" si="13"/>
        <v>0</v>
      </c>
      <c r="H112" s="184">
        <f>SUM(G112+'1'!G83)</f>
        <v>305</v>
      </c>
      <c r="I112" s="183"/>
      <c r="J112" s="209">
        <f>H112/DAY(B2)</f>
        <v>21.785714285714285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17"/>
      <c r="D113" s="273"/>
      <c r="E113" s="135">
        <f>'13'!F113</f>
        <v>0</v>
      </c>
      <c r="F113" s="310"/>
      <c r="G113" s="183">
        <f>SUM(G110:G112)</f>
        <v>71</v>
      </c>
      <c r="H113" s="184">
        <f>SUM(G113+'1'!G84)</f>
        <v>880</v>
      </c>
      <c r="I113" s="183"/>
      <c r="J113" s="209">
        <f>H113/DAY(B2)</f>
        <v>62.857142857142854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17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'13'!F115</f>
        <v>12734</v>
      </c>
      <c r="F115" s="310">
        <v>12749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1.0714285714285714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'13'!F116</f>
        <v>8954</v>
      </c>
      <c r="F116" s="310">
        <v>8963</v>
      </c>
      <c r="G116" s="185">
        <f t="shared" ref="G116:G117" si="14">F116-E116</f>
        <v>9</v>
      </c>
      <c r="H116" s="184">
        <f>SUM(G116+'1'!G93)</f>
        <v>144</v>
      </c>
      <c r="I116" s="183"/>
      <c r="J116" s="209">
        <f>H116/DAY(B2)</f>
        <v>10.285714285714286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171</v>
      </c>
      <c r="I117" s="183"/>
      <c r="J117" s="209">
        <f>H117/DAY(B2)</f>
        <v>12.214285714285714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6.7142857142857144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20"/>
      <c r="D119" s="275" t="s">
        <v>143</v>
      </c>
      <c r="E119" s="187"/>
      <c r="F119" s="311"/>
      <c r="G119" s="187">
        <f>SUM(G19+G93)</f>
        <v>146</v>
      </c>
      <c r="H119" s="184">
        <f>SUM(G119+'1'!G97)</f>
        <v>180</v>
      </c>
      <c r="I119" s="186"/>
      <c r="J119" s="210">
        <f>H119/DAY(B2)</f>
        <v>12.857142857142858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20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154</v>
      </c>
      <c r="I120" s="186"/>
      <c r="J120" s="210">
        <f>H120/DAY(B2)</f>
        <v>11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20"/>
      <c r="D121" s="275" t="s">
        <v>143</v>
      </c>
      <c r="E121" s="185"/>
      <c r="F121" s="310">
        <f>SUM(G113)</f>
        <v>71</v>
      </c>
      <c r="G121" s="185">
        <f>SUM(G113)</f>
        <v>71</v>
      </c>
      <c r="H121" s="184">
        <f>SUM(G121+'1'!G101)</f>
        <v>86</v>
      </c>
      <c r="I121" s="186"/>
      <c r="J121" s="210">
        <f>H121/DAY(B2)</f>
        <v>6.1428571428571432</v>
      </c>
      <c r="N121" s="369"/>
      <c r="O121" s="376"/>
      <c r="P121" s="73"/>
    </row>
    <row r="122" spans="1:16" s="93" customFormat="1" ht="27.75">
      <c r="A122" s="1190"/>
      <c r="B122" s="1191"/>
      <c r="C122" s="821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12" t="s">
        <v>230</v>
      </c>
      <c r="B124" s="813"/>
      <c r="C124" s="813"/>
      <c r="D124" s="174" t="s">
        <v>140</v>
      </c>
      <c r="E124" s="129">
        <f>'13'!F124</f>
        <v>851448</v>
      </c>
      <c r="F124" s="129">
        <v>851719</v>
      </c>
      <c r="G124" s="124">
        <f t="shared" ref="G124:G128" si="15">F124-E124</f>
        <v>271</v>
      </c>
      <c r="H124" s="111">
        <f>G124+'13'!H124</f>
        <v>3753</v>
      </c>
      <c r="I124" s="177"/>
      <c r="J124" s="203">
        <f>H124/DAY(B2)</f>
        <v>268.07142857142856</v>
      </c>
      <c r="K124" s="71"/>
      <c r="L124" s="68"/>
      <c r="N124" s="369"/>
      <c r="O124" s="376"/>
      <c r="P124" s="73"/>
    </row>
    <row r="125" spans="1:16" ht="27.75">
      <c r="A125" s="812" t="s">
        <v>231</v>
      </c>
      <c r="B125" s="813"/>
      <c r="C125" s="813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'13'!F126</f>
        <v>152441</v>
      </c>
      <c r="F126" s="129">
        <v>152551</v>
      </c>
      <c r="G126" s="124">
        <f t="shared" si="15"/>
        <v>110</v>
      </c>
      <c r="H126" s="111">
        <f>G126+'13'!H126</f>
        <v>1230</v>
      </c>
      <c r="I126" s="177"/>
      <c r="J126" s="203">
        <f>H126/DAY(B2)</f>
        <v>87.857142857142861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13"/>
      <c r="C127" s="813"/>
      <c r="D127" s="174" t="s">
        <v>140</v>
      </c>
      <c r="E127" s="277">
        <f>'13'!F127</f>
        <v>33857</v>
      </c>
      <c r="F127" s="277">
        <v>33904</v>
      </c>
      <c r="G127" s="124">
        <f t="shared" si="15"/>
        <v>47</v>
      </c>
      <c r="H127" s="111">
        <f>G127+'13'!H127</f>
        <v>616</v>
      </c>
      <c r="I127" s="177"/>
      <c r="J127" s="203">
        <f>H127/DAY(B2)</f>
        <v>44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13"/>
      <c r="C128" s="813"/>
      <c r="D128" s="174" t="s">
        <v>140</v>
      </c>
      <c r="E128" s="277">
        <f>'13'!F128</f>
        <v>9137</v>
      </c>
      <c r="F128" s="277">
        <v>9141</v>
      </c>
      <c r="G128" s="124">
        <f t="shared" si="15"/>
        <v>4</v>
      </c>
      <c r="H128" s="111">
        <f>G128+'13'!H128</f>
        <v>28</v>
      </c>
      <c r="I128" s="131"/>
      <c r="J128" s="203">
        <f>H128/DAY(B2)</f>
        <v>2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13"/>
      <c r="C129" s="813"/>
      <c r="D129" s="174"/>
      <c r="E129" s="129"/>
      <c r="F129" s="129"/>
      <c r="G129" s="124">
        <f>G15-SUM(G124:G128)</f>
        <v>659.60000000000582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12" t="s">
        <v>237</v>
      </c>
      <c r="B131" s="813"/>
      <c r="C131" s="813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12" t="s">
        <v>239</v>
      </c>
      <c r="B132" s="813"/>
      <c r="C132" s="813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12" t="s">
        <v>240</v>
      </c>
      <c r="B133" s="813"/>
      <c r="C133" s="813"/>
      <c r="D133" s="174" t="s">
        <v>238</v>
      </c>
      <c r="E133" s="192">
        <f>'13'!F133</f>
        <v>40757</v>
      </c>
      <c r="F133" s="302">
        <v>40781</v>
      </c>
      <c r="G133" s="124">
        <f t="shared" si="16"/>
        <v>24</v>
      </c>
      <c r="H133" s="111">
        <f>G133+'13'!H133</f>
        <v>162</v>
      </c>
      <c r="I133" s="131"/>
      <c r="J133" s="203">
        <f>H133/DAY(B2)</f>
        <v>11.571428571428571</v>
      </c>
      <c r="N133" s="369"/>
      <c r="O133" s="376"/>
      <c r="P133" s="73"/>
    </row>
    <row r="134" spans="1:16" ht="27.75">
      <c r="A134" s="812" t="s">
        <v>241</v>
      </c>
      <c r="B134" s="813"/>
      <c r="C134" s="813"/>
      <c r="D134" s="174" t="s">
        <v>238</v>
      </c>
      <c r="E134" s="352">
        <f>'13'!F134</f>
        <v>724.25</v>
      </c>
      <c r="F134" s="277">
        <v>724.25</v>
      </c>
      <c r="G134" s="124">
        <f t="shared" si="16"/>
        <v>0</v>
      </c>
      <c r="H134" s="111">
        <f>G134+'13'!H134</f>
        <v>150.25</v>
      </c>
      <c r="I134" s="131">
        <f>G131+G132+G133+G134</f>
        <v>24</v>
      </c>
      <c r="J134" s="203">
        <f>H134/DAY(B2)</f>
        <v>10.732142857142858</v>
      </c>
      <c r="N134" s="369"/>
      <c r="O134" s="376"/>
      <c r="P134" s="73"/>
    </row>
    <row r="135" spans="1:16" ht="27.75">
      <c r="A135" s="812" t="s">
        <v>242</v>
      </c>
      <c r="B135" s="813"/>
      <c r="C135" s="813"/>
      <c r="D135" s="174" t="s">
        <v>238</v>
      </c>
      <c r="E135" s="352">
        <f>'13'!F135</f>
        <v>42634</v>
      </c>
      <c r="F135" s="277">
        <v>42635</v>
      </c>
      <c r="G135" s="124">
        <f t="shared" si="16"/>
        <v>1</v>
      </c>
      <c r="H135" s="111">
        <f>G135+'13'!H135</f>
        <v>136</v>
      </c>
      <c r="I135" s="131"/>
      <c r="J135" s="203">
        <f>H135/DAY(B2)</f>
        <v>9.7142857142857135</v>
      </c>
      <c r="N135" s="369"/>
      <c r="O135" s="376"/>
      <c r="P135" s="73"/>
    </row>
    <row r="136" spans="1:16" ht="27.75">
      <c r="A136" s="812" t="s">
        <v>243</v>
      </c>
      <c r="B136" s="813"/>
      <c r="C136" s="813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12" t="s">
        <v>244</v>
      </c>
      <c r="B137" s="813"/>
      <c r="C137" s="813"/>
      <c r="D137" s="174" t="s">
        <v>238</v>
      </c>
      <c r="E137" s="192">
        <f>'13'!F137</f>
        <v>23210.83</v>
      </c>
      <c r="F137" s="302">
        <v>23210.83</v>
      </c>
      <c r="G137" s="124">
        <f t="shared" si="16"/>
        <v>0</v>
      </c>
      <c r="H137" s="111">
        <f>G137+'13'!H137</f>
        <v>104.27000000000044</v>
      </c>
      <c r="I137" s="131">
        <f>G135+G136+G137</f>
        <v>1</v>
      </c>
      <c r="J137" s="203">
        <f>H137/DAY(B2)</f>
        <v>7.447857142857174</v>
      </c>
      <c r="N137" s="369"/>
      <c r="O137" s="376"/>
      <c r="P137" s="73"/>
    </row>
    <row r="138" spans="1:16" ht="27.75">
      <c r="A138" s="812" t="s">
        <v>245</v>
      </c>
      <c r="B138" s="813"/>
      <c r="C138" s="813"/>
      <c r="D138" s="174" t="s">
        <v>238</v>
      </c>
      <c r="E138" s="192">
        <f>'13'!F138</f>
        <v>25123.08</v>
      </c>
      <c r="F138" s="302">
        <v>25132.98</v>
      </c>
      <c r="G138" s="124">
        <f t="shared" si="16"/>
        <v>9.8999999999978172</v>
      </c>
      <c r="H138" s="111">
        <f>G138+'13'!H138</f>
        <v>13.529999999998836</v>
      </c>
      <c r="I138" s="131"/>
      <c r="J138" s="203">
        <f>H138/DAY(B2)</f>
        <v>0.96642857142848826</v>
      </c>
      <c r="N138" s="369"/>
      <c r="O138" s="376"/>
      <c r="P138" s="73"/>
    </row>
    <row r="139" spans="1:16" ht="27.75">
      <c r="A139" s="812" t="s">
        <v>246</v>
      </c>
      <c r="B139" s="813"/>
      <c r="C139" s="813"/>
      <c r="D139" s="174" t="s">
        <v>238</v>
      </c>
      <c r="E139" s="192">
        <f>'13'!F139</f>
        <v>70518.2</v>
      </c>
      <c r="F139" s="302">
        <v>70523.55</v>
      </c>
      <c r="G139" s="124">
        <f t="shared" si="16"/>
        <v>5.3500000000058208</v>
      </c>
      <c r="H139" s="111">
        <f>G139+'13'!H139</f>
        <v>6.9499999999970896</v>
      </c>
      <c r="I139" s="131">
        <f>G138+G139</f>
        <v>15.250000000003638</v>
      </c>
      <c r="J139" s="203">
        <f>H139/DAY(B2)</f>
        <v>0.49642857142836355</v>
      </c>
      <c r="N139" s="369"/>
      <c r="O139" s="376"/>
      <c r="P139" s="73"/>
    </row>
    <row r="140" spans="1:16" ht="27.75">
      <c r="A140" s="812" t="s">
        <v>247</v>
      </c>
      <c r="B140" s="813"/>
      <c r="C140" s="813"/>
      <c r="D140" s="174" t="s">
        <v>238</v>
      </c>
      <c r="E140" s="352">
        <f>'13'!F140</f>
        <v>2439.92</v>
      </c>
      <c r="F140" s="277">
        <v>2449.81</v>
      </c>
      <c r="G140" s="124">
        <f t="shared" si="16"/>
        <v>9.8899999999998727</v>
      </c>
      <c r="H140" s="111">
        <f>G140+'13'!H140</f>
        <v>138.25</v>
      </c>
      <c r="I140" s="193"/>
      <c r="J140" s="203">
        <f>H140/DAY(B2)</f>
        <v>9.875</v>
      </c>
      <c r="N140" s="369"/>
      <c r="O140" s="376"/>
      <c r="P140" s="73"/>
    </row>
    <row r="141" spans="1:16" ht="27.75">
      <c r="A141" s="812" t="s">
        <v>248</v>
      </c>
      <c r="B141" s="813"/>
      <c r="C141" s="813"/>
      <c r="D141" s="174" t="s">
        <v>238</v>
      </c>
      <c r="E141" s="135">
        <f>'13'!F141</f>
        <v>4753.67</v>
      </c>
      <c r="F141" s="129">
        <v>4753.67</v>
      </c>
      <c r="G141" s="124">
        <f t="shared" si="16"/>
        <v>0</v>
      </c>
      <c r="H141" s="111">
        <f>G141+'13'!H141</f>
        <v>-0.32999999999992724</v>
      </c>
      <c r="I141" s="193"/>
      <c r="J141" s="203">
        <f>H141/DAY(B2)</f>
        <v>-2.3571428571423376E-2</v>
      </c>
      <c r="N141" s="369"/>
      <c r="O141" s="376"/>
      <c r="P141" s="73"/>
    </row>
    <row r="142" spans="1:16">
      <c r="A142" s="1203" t="s">
        <v>249</v>
      </c>
      <c r="B142" s="1204"/>
      <c r="C142" s="816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5554</v>
      </c>
      <c r="H143" s="111">
        <f>G143+'13'!H143</f>
        <v>82302.029999999955</v>
      </c>
      <c r="I143" s="131"/>
      <c r="J143" s="203">
        <f>H143/DAY(B2)</f>
        <v>5878.7164285714252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0.2670320688494639</v>
      </c>
      <c r="H144" s="111">
        <f>G144+'13'!H144</f>
        <v>3.6894453686025237</v>
      </c>
      <c r="I144" s="195"/>
      <c r="J144" s="203">
        <f>H144/DAY(B2)</f>
        <v>0.26353181204303738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6022</v>
      </c>
      <c r="H145" s="111">
        <f>G145+'13'!H145</f>
        <v>96259</v>
      </c>
      <c r="I145" s="131"/>
      <c r="J145" s="203">
        <f>H145/DAY(B2)</f>
        <v>6875.6428571428569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0.28953315063224194</v>
      </c>
      <c r="H146" s="111">
        <f>G146+'13'!H146</f>
        <v>4.2995531782467848</v>
      </c>
      <c r="I146" s="195"/>
      <c r="J146" s="203">
        <f>H146/DAY(B2)</f>
        <v>0.30711094130334177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3673.5900000000256</v>
      </c>
      <c r="H147" s="111">
        <f>G147+'13'!H147</f>
        <v>52694.590000000026</v>
      </c>
      <c r="I147" s="196"/>
      <c r="J147" s="203">
        <f>H147/DAY(B2)</f>
        <v>3763.8992857142875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0.17662339535554716</v>
      </c>
      <c r="H148" s="111">
        <f>G148+'13'!H148</f>
        <v>2.3683634398035052</v>
      </c>
      <c r="I148" s="196"/>
      <c r="J148" s="203">
        <f>H148/DAY(B2)</f>
        <v>0.16916881712882179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1717</v>
      </c>
      <c r="H149" s="111">
        <f>G149+'13'!H149</f>
        <v>23819.069999999949</v>
      </c>
      <c r="I149" s="131"/>
      <c r="J149" s="203">
        <f>H149/DAY(B2)</f>
        <v>1701.3621428571391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8.2552045771431312E-2</v>
      </c>
      <c r="H150" s="111">
        <f>G150+'13'!H150</f>
        <v>1.0695776719746137</v>
      </c>
      <c r="I150" s="196"/>
      <c r="J150" s="203">
        <f>H150/DAY(B2)</f>
        <v>7.6398405141043832E-2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1619.4000000000015</v>
      </c>
      <c r="H151" s="111">
        <f>G151+'13'!H151</f>
        <v>26201</v>
      </c>
      <c r="I151" s="196"/>
      <c r="J151" s="203">
        <f>H151/DAY(B2)</f>
        <v>1871.5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7.7859512476561449E-2</v>
      </c>
      <c r="H152" s="111">
        <f>G152+'13'!H152</f>
        <v>1.1720547153432048</v>
      </c>
      <c r="I152" s="131"/>
      <c r="J152" s="203">
        <f>H152/DAY(B2)</f>
        <v>8.3718193953086065E-2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1554</v>
      </c>
      <c r="H153" s="111">
        <f>G153+'13'!H153</f>
        <v>22365.869999999995</v>
      </c>
      <c r="I153" s="131"/>
      <c r="J153" s="203">
        <f>H153/DAY(B2)</f>
        <v>1597.5621428571426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7.4715130535121882E-2</v>
      </c>
      <c r="H154" s="111">
        <f>G154+'13'!H154</f>
        <v>1.0040237005601749</v>
      </c>
      <c r="I154" s="219"/>
      <c r="J154" s="220">
        <f>H154/DAY(B2)</f>
        <v>7.1715978611441064E-2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'13'!F161</f>
        <v>44361.4</v>
      </c>
      <c r="F161" s="454">
        <v>44438</v>
      </c>
      <c r="G161" s="124">
        <f t="shared" ref="G161:G164" si="17">F161-E161</f>
        <v>76.599999999998545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'13'!F162</f>
        <v>128190</v>
      </c>
      <c r="F162" s="454">
        <v>128679</v>
      </c>
      <c r="G162" s="124">
        <f t="shared" si="17"/>
        <v>489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'13'!F163</f>
        <v>60099</v>
      </c>
      <c r="F163" s="454">
        <v>60296</v>
      </c>
      <c r="G163" s="124">
        <f t="shared" si="17"/>
        <v>197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'13'!F164</f>
        <v>7261.56</v>
      </c>
      <c r="F164" s="454">
        <v>7272.57</v>
      </c>
      <c r="G164" s="124">
        <f t="shared" si="17"/>
        <v>11.009999999999309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65">
        <f t="shared" si="19"/>
        <v>186858</v>
      </c>
      <c r="F167" s="165">
        <f t="shared" si="20"/>
        <v>187217</v>
      </c>
      <c r="G167" s="124">
        <f t="shared" si="18"/>
        <v>359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65">
        <f t="shared" si="19"/>
        <v>187394</v>
      </c>
      <c r="F168" s="165">
        <f t="shared" si="20"/>
        <v>187420</v>
      </c>
      <c r="G168" s="124">
        <f t="shared" si="18"/>
        <v>26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65">
        <f t="shared" si="19"/>
        <v>85921</v>
      </c>
      <c r="F169" s="165">
        <f t="shared" si="20"/>
        <v>86329</v>
      </c>
      <c r="G169" s="124">
        <f t="shared" si="18"/>
        <v>408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65">
        <f t="shared" si="19"/>
        <v>286352</v>
      </c>
      <c r="F170" s="165">
        <f t="shared" si="20"/>
        <v>286818</v>
      </c>
      <c r="G170" s="124">
        <f t="shared" si="18"/>
        <v>466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65">
        <f t="shared" si="19"/>
        <v>100722</v>
      </c>
      <c r="F172" s="165">
        <f t="shared" si="20"/>
        <v>101025</v>
      </c>
      <c r="G172" s="124">
        <f t="shared" si="18"/>
        <v>303</v>
      </c>
      <c r="N172" s="369"/>
    </row>
    <row r="173" spans="1:14">
      <c r="A173" s="1228" t="s">
        <v>338</v>
      </c>
      <c r="B173" s="1191"/>
      <c r="C173" s="436"/>
      <c r="D173" s="174" t="s">
        <v>186</v>
      </c>
      <c r="E173" s="183">
        <v>19171</v>
      </c>
      <c r="F173" s="183">
        <v>19173</v>
      </c>
      <c r="G173" s="124">
        <f t="shared" si="18"/>
        <v>2</v>
      </c>
      <c r="N173" s="369"/>
    </row>
    <row r="174" spans="1:14">
      <c r="A174" s="1228" t="s">
        <v>338</v>
      </c>
      <c r="B174" s="1191"/>
      <c r="C174" s="436"/>
      <c r="D174" s="174" t="s">
        <v>186</v>
      </c>
      <c r="E174" s="183">
        <v>70618</v>
      </c>
      <c r="F174" s="183">
        <v>70624</v>
      </c>
      <c r="G174" s="124">
        <f t="shared" si="18"/>
        <v>6</v>
      </c>
      <c r="N174" s="369"/>
    </row>
    <row r="175" spans="1:14">
      <c r="A175" s="1228" t="s">
        <v>339</v>
      </c>
      <c r="B175" s="1191"/>
      <c r="C175" s="436"/>
      <c r="D175" s="174" t="s">
        <v>186</v>
      </c>
      <c r="E175" s="183">
        <v>27864</v>
      </c>
      <c r="F175" s="183">
        <v>27869</v>
      </c>
      <c r="G175" s="124">
        <f t="shared" si="18"/>
        <v>5</v>
      </c>
      <c r="N175" s="369"/>
    </row>
    <row r="176" spans="1:14" ht="22.5" customHeight="1">
      <c r="N176" s="369"/>
    </row>
    <row r="177" spans="14:14" ht="22.5" customHeight="1">
      <c r="N177" s="369"/>
    </row>
    <row r="178" spans="14:14" ht="22.5" customHeight="1">
      <c r="N178" s="369"/>
    </row>
    <row r="179" spans="14:14" ht="22.5" customHeight="1">
      <c r="N179" s="369"/>
    </row>
    <row r="180" spans="14:14" ht="22.5" customHeight="1">
      <c r="N180" s="369"/>
    </row>
    <row r="181" spans="14:14" ht="22.5" customHeight="1">
      <c r="N181" s="369"/>
    </row>
    <row r="182" spans="14:14" ht="22.5" customHeight="1">
      <c r="N182" s="369"/>
    </row>
    <row r="183" spans="14:14" ht="22.5" customHeight="1">
      <c r="N183" s="369"/>
    </row>
    <row r="184" spans="14:14" ht="22.5" customHeight="1">
      <c r="N184" s="369"/>
    </row>
    <row r="185" spans="14:14" ht="22.5" customHeight="1">
      <c r="N185" s="369"/>
    </row>
    <row r="186" spans="14:14" ht="22.5" customHeight="1">
      <c r="N186" s="369"/>
    </row>
    <row r="187" spans="14:14" ht="22.5" customHeight="1">
      <c r="N187" s="369"/>
    </row>
    <row r="188" spans="14:14" ht="22.5" customHeight="1">
      <c r="N188" s="369"/>
    </row>
    <row r="189" spans="14:14" ht="22.5" customHeight="1">
      <c r="N189" s="369"/>
    </row>
    <row r="190" spans="14:14" ht="22.5" customHeight="1">
      <c r="N190" s="369"/>
    </row>
    <row r="191" spans="14:14" ht="22.5" customHeight="1">
      <c r="N191" s="369"/>
    </row>
    <row r="192" spans="14:14" ht="22.5" customHeight="1">
      <c r="N192" s="369"/>
    </row>
    <row r="193" spans="14:14" ht="22.5" customHeight="1">
      <c r="N193" s="369"/>
    </row>
    <row r="194" spans="14:14" ht="22.5" customHeight="1">
      <c r="N194" s="369"/>
    </row>
    <row r="195" spans="14:14" ht="22.5" customHeight="1">
      <c r="N195" s="369"/>
    </row>
    <row r="196" spans="14:14" ht="22.5" customHeight="1">
      <c r="N196" s="369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zoomScale="50" zoomScaleNormal="80" zoomScaleSheetLayoutView="50" workbookViewId="0">
      <selection activeCell="Q14" sqref="Q14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278</v>
      </c>
      <c r="B2" s="682">
        <v>44423</v>
      </c>
      <c r="C2" s="828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28" t="s">
        <v>119</v>
      </c>
      <c r="D3" s="263">
        <v>28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28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'14'!F7</f>
        <v>920650</v>
      </c>
      <c r="F7" s="106">
        <v>942138</v>
      </c>
      <c r="G7" s="329">
        <f t="shared" ref="G7:G12" si="0">F7-E7</f>
        <v>21488</v>
      </c>
      <c r="H7" s="330">
        <f>G7+'14'!H7</f>
        <v>334316</v>
      </c>
      <c r="I7" s="331">
        <f>'1'!I7</f>
        <v>12000</v>
      </c>
      <c r="J7" s="332">
        <f>H7/DAY(B2)</f>
        <v>22287.733333333334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'14'!F8</f>
        <v>931220</v>
      </c>
      <c r="F8" s="126">
        <v>952770</v>
      </c>
      <c r="G8" s="340">
        <f t="shared" si="0"/>
        <v>21550</v>
      </c>
      <c r="H8" s="330">
        <f>G8+'14'!H8</f>
        <v>337173</v>
      </c>
      <c r="I8" s="337">
        <f>'1'!I8</f>
        <v>12000</v>
      </c>
      <c r="J8" s="332">
        <f>H8/DAY(B2)</f>
        <v>22478.2</v>
      </c>
      <c r="K8" s="200"/>
      <c r="L8" s="78"/>
      <c r="M8" s="91"/>
      <c r="N8" s="67" t="s">
        <v>370</v>
      </c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'14'!F9</f>
        <v>2999980</v>
      </c>
      <c r="F9" s="129">
        <v>3020780</v>
      </c>
      <c r="G9" s="353">
        <f t="shared" si="0"/>
        <v>20800</v>
      </c>
      <c r="H9" s="330">
        <f>G9+'14'!H9</f>
        <v>324145</v>
      </c>
      <c r="I9" s="341">
        <f>I7-J7</f>
        <v>-10287.733333333334</v>
      </c>
      <c r="J9" s="332">
        <f>H9/DAY(B2)</f>
        <v>21609.666666666668</v>
      </c>
      <c r="K9" s="81"/>
      <c r="L9" s="68"/>
      <c r="N9" s="73" t="s">
        <v>381</v>
      </c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382</v>
      </c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20800</v>
      </c>
      <c r="H13" s="330">
        <f>G13+'14'!H13</f>
        <v>281460.55</v>
      </c>
      <c r="I13" s="346">
        <f>G7-G13</f>
        <v>688</v>
      </c>
      <c r="J13" s="332">
        <f>H13/DAY(B2)</f>
        <v>18764.036666666667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'14'!F15</f>
        <v>1741789</v>
      </c>
      <c r="F15" s="351">
        <v>1742709</v>
      </c>
      <c r="G15" s="315">
        <f>(F15-E15)</f>
        <v>920</v>
      </c>
      <c r="H15" s="137">
        <f>G15+'14'!H15</f>
        <v>13155</v>
      </c>
      <c r="I15" s="125">
        <v>800</v>
      </c>
      <c r="J15" s="204">
        <f>H15/DAY(B2)</f>
        <v>877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-77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'14'!F18</f>
        <v>16</v>
      </c>
      <c r="F18" s="129">
        <v>19</v>
      </c>
      <c r="G18" s="345">
        <f>F18*10</f>
        <v>190</v>
      </c>
      <c r="H18" s="330">
        <f>G18+'14'!H18</f>
        <v>2550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'14'!F19</f>
        <v>144266</v>
      </c>
      <c r="F19" s="129">
        <v>144330</v>
      </c>
      <c r="G19" s="340">
        <f t="shared" ref="G19" si="1">F19-E19</f>
        <v>64</v>
      </c>
      <c r="H19" s="330">
        <f>G19+'14'!H19</f>
        <v>940</v>
      </c>
      <c r="I19" s="347"/>
      <c r="J19" s="332">
        <f>H19/DAY(B2)</f>
        <v>62.666666666666664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254</v>
      </c>
      <c r="H20" s="330">
        <f>G20+'14'!H20</f>
        <v>3490</v>
      </c>
      <c r="I20" s="349">
        <f>I18-J20</f>
        <v>-167.66666666666666</v>
      </c>
      <c r="J20" s="332">
        <f>H20/DAY(B2)</f>
        <v>232.66666666666666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26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26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21550</v>
      </c>
      <c r="F27" s="152">
        <v>9</v>
      </c>
      <c r="G27" s="153">
        <f>E27*F27</f>
        <v>193950</v>
      </c>
      <c r="H27" s="111">
        <f>G27+'14'!H27</f>
        <v>3034557</v>
      </c>
      <c r="I27" s="154"/>
      <c r="J27" s="203">
        <f>H27/DAY(B2)</f>
        <v>202303.8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920</v>
      </c>
      <c r="F28" s="152">
        <v>54.5</v>
      </c>
      <c r="G28" s="153">
        <f>E28*F28</f>
        <v>50140</v>
      </c>
      <c r="H28" s="111">
        <f>G28+'14'!H28</f>
        <v>716947.5</v>
      </c>
      <c r="I28" s="156"/>
      <c r="J28" s="203">
        <f>H28/DAY(B2)</f>
        <v>47796.5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G30+'14'!H30</f>
        <v>137240</v>
      </c>
      <c r="I30" s="156"/>
      <c r="J30" s="203">
        <f>H30/DAY(B2)</f>
        <v>9149.3333333333339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190</v>
      </c>
      <c r="F31" s="152">
        <v>80</v>
      </c>
      <c r="G31" s="153">
        <f>E31*F31</f>
        <v>15200</v>
      </c>
      <c r="H31" s="111">
        <f>G31+'14'!H31</f>
        <v>204000</v>
      </c>
      <c r="I31" s="156"/>
      <c r="J31" s="203">
        <f>H31/DAY(B2)</f>
        <v>13600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268634</v>
      </c>
      <c r="H32" s="111">
        <f>G32+'14'!H32</f>
        <v>4092744.5</v>
      </c>
      <c r="I32" s="111"/>
      <c r="J32" s="203">
        <f>H32/DAY(B2)</f>
        <v>272849.63333333336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31"/>
      <c r="C34" s="831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'14'!F35</f>
        <v>1058596</v>
      </c>
      <c r="F35" s="161">
        <v>1058596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'14'!F36</f>
        <v>57017</v>
      </c>
      <c r="F36" s="161">
        <v>57840</v>
      </c>
      <c r="G36" s="124">
        <f t="shared" si="3"/>
        <v>823</v>
      </c>
      <c r="H36" s="111">
        <f>G36+'14'!H36</f>
        <v>11042</v>
      </c>
      <c r="I36" s="106"/>
      <c r="J36" s="203">
        <f>H36/DAY(B2)</f>
        <v>736.13333333333333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'14'!F37</f>
        <v>248539</v>
      </c>
      <c r="F37" s="161">
        <v>250093</v>
      </c>
      <c r="G37" s="124">
        <f t="shared" si="3"/>
        <v>1554</v>
      </c>
      <c r="H37" s="111">
        <f>G37+'14'!H37</f>
        <v>23920</v>
      </c>
      <c r="I37" s="106"/>
      <c r="J37" s="203">
        <f>H37/DAY(B2)</f>
        <v>1594.6666666666667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'14'!F38</f>
        <v>272378</v>
      </c>
      <c r="F38" s="120">
        <v>274220</v>
      </c>
      <c r="G38" s="124">
        <f t="shared" si="3"/>
        <v>1842</v>
      </c>
      <c r="H38" s="111">
        <f>G38+'14'!H38</f>
        <v>25661</v>
      </c>
      <c r="I38" s="106"/>
      <c r="J38" s="203">
        <f>H38/DAY(B2)</f>
        <v>1710.7333333333333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'14'!F39</f>
        <v>573213</v>
      </c>
      <c r="F39" s="161">
        <v>576884</v>
      </c>
      <c r="G39" s="124">
        <f t="shared" si="3"/>
        <v>3671</v>
      </c>
      <c r="H39" s="111">
        <f>G39+'14'!H39</f>
        <v>56366</v>
      </c>
      <c r="I39" s="106"/>
      <c r="J39" s="203">
        <f>H39/DAY(B2)</f>
        <v>3757.7333333333331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'14'!F40</f>
        <v>26877</v>
      </c>
      <c r="F40" s="161">
        <v>27308</v>
      </c>
      <c r="G40" s="124">
        <f t="shared" si="3"/>
        <v>431</v>
      </c>
      <c r="H40" s="111">
        <f>G40+'14'!H40</f>
        <v>7135</v>
      </c>
      <c r="I40" s="106"/>
      <c r="J40" s="203">
        <f>H40/DAY(B2)</f>
        <v>475.66666666666669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'14'!F41</f>
        <v>401559</v>
      </c>
      <c r="F41" s="161">
        <v>407117</v>
      </c>
      <c r="G41" s="124">
        <f t="shared" si="3"/>
        <v>5558</v>
      </c>
      <c r="H41" s="111">
        <f>G41+'14'!H41</f>
        <v>40277</v>
      </c>
      <c r="I41" s="106"/>
      <c r="J41" s="203">
        <f>H41/DAY(B2)</f>
        <v>2685.1333333333332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'14'!F42</f>
        <v>147899</v>
      </c>
      <c r="F42" s="161">
        <v>147899</v>
      </c>
      <c r="G42" s="124">
        <f t="shared" si="3"/>
        <v>0</v>
      </c>
      <c r="H42" s="111">
        <f>G42+'14'!H42</f>
        <v>32387</v>
      </c>
      <c r="I42" s="106"/>
      <c r="J42" s="203">
        <f>H42/DAY(B2)</f>
        <v>2159.1333333333332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'14'!F43</f>
        <v>1244080</v>
      </c>
      <c r="F43" s="161">
        <v>1246660</v>
      </c>
      <c r="G43" s="124">
        <f t="shared" si="3"/>
        <v>2580</v>
      </c>
      <c r="H43" s="111">
        <f>G43+'14'!H43</f>
        <v>42199</v>
      </c>
      <c r="I43" s="106"/>
      <c r="J43" s="203">
        <f>H43/DAY(B2)</f>
        <v>2813.2666666666669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16459</v>
      </c>
      <c r="H47" s="111">
        <f>G47+'14'!H47</f>
        <v>239788.18999999994</v>
      </c>
      <c r="I47" s="106"/>
      <c r="J47" s="203">
        <f>H47/DAY(B2)</f>
        <v>15985.879333333329</v>
      </c>
      <c r="K47" s="81"/>
      <c r="L47" s="68"/>
      <c r="N47" s="369"/>
      <c r="O47" s="376"/>
      <c r="P47" s="73"/>
    </row>
    <row r="48" spans="1:16">
      <c r="A48" s="249" t="s">
        <v>176</v>
      </c>
      <c r="B48" s="831"/>
      <c r="C48" s="831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'14'!F49</f>
        <v>366771</v>
      </c>
      <c r="F49" s="161">
        <v>369746</v>
      </c>
      <c r="G49" s="124">
        <f t="shared" ref="G49:G58" si="4">F49-E49</f>
        <v>2975</v>
      </c>
      <c r="H49" s="111">
        <f>G49+'14'!H49</f>
        <v>42708</v>
      </c>
      <c r="I49" s="106"/>
      <c r="J49" s="203">
        <f>H49/DAY(B2)</f>
        <v>2847.2</v>
      </c>
      <c r="K49" s="81">
        <f>E49+242</f>
        <v>367013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'14'!F50</f>
        <v>585907</v>
      </c>
      <c r="F50" s="161">
        <v>587113</v>
      </c>
      <c r="G50" s="124">
        <f t="shared" si="4"/>
        <v>1206</v>
      </c>
      <c r="H50" s="111">
        <f>G50+'14'!H50</f>
        <v>16296</v>
      </c>
      <c r="I50" s="106"/>
      <c r="J50" s="203">
        <f>H50/DAY(B2)</f>
        <v>1086.4000000000001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-0.13000000000465661</v>
      </c>
      <c r="I51" s="106"/>
      <c r="J51" s="203">
        <f>H51/DAY(B2)</f>
        <v>-8.6666666669771072E-3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-0.33000000001629815</v>
      </c>
      <c r="I53" s="106"/>
      <c r="J53" s="203">
        <f>H53/DAY(B2)</f>
        <v>-2.2000000001086543E-2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'14'!F55</f>
        <v>264669</v>
      </c>
      <c r="F55" s="304">
        <v>265307</v>
      </c>
      <c r="G55" s="303">
        <f t="shared" si="4"/>
        <v>638</v>
      </c>
      <c r="H55" s="356">
        <f>G55+'14'!H55</f>
        <v>28121</v>
      </c>
      <c r="I55" s="357"/>
      <c r="J55" s="358">
        <f>H55/DAY(B2)</f>
        <v>1874.7333333333333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'14'!F56</f>
        <v>649519</v>
      </c>
      <c r="F56" s="304">
        <v>649532</v>
      </c>
      <c r="G56" s="124">
        <f t="shared" si="4"/>
        <v>13</v>
      </c>
      <c r="H56" s="111">
        <f>G56+'14'!H56</f>
        <v>160</v>
      </c>
      <c r="I56" s="106"/>
      <c r="J56" s="203">
        <f>H56/DAY(B2)</f>
        <v>10.666666666666666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'14'!F58</f>
        <v>62561.7</v>
      </c>
      <c r="F58" s="304">
        <v>62774</v>
      </c>
      <c r="G58" s="124">
        <f t="shared" si="4"/>
        <v>212.30000000000291</v>
      </c>
      <c r="H58" s="111">
        <f>G58+'14'!H58</f>
        <v>2883</v>
      </c>
      <c r="I58" s="106"/>
      <c r="J58" s="203">
        <f>H58/DAY(B2)</f>
        <v>192.2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5044.6400000000285</v>
      </c>
      <c r="H59" s="111">
        <f>G59+'14'!H59</f>
        <v>90167.869999999981</v>
      </c>
      <c r="I59" s="106">
        <f>G7-G60</f>
        <v>-15.640000000028522</v>
      </c>
      <c r="J59" s="203">
        <f>H59/DAY(B2)</f>
        <v>6011.1913333333323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21503.640000000029</v>
      </c>
      <c r="H60" s="111">
        <f>G60+'14'!H60</f>
        <v>335533.38999999996</v>
      </c>
      <c r="I60" s="106">
        <f>G13-G60</f>
        <v>-703.64000000002852</v>
      </c>
      <c r="J60" s="203">
        <f>H60/DAY(B2)</f>
        <v>22368.892666666663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'14'!F64</f>
        <v>187217</v>
      </c>
      <c r="F64" s="129">
        <v>187579</v>
      </c>
      <c r="G64" s="124">
        <f t="shared" si="5"/>
        <v>362</v>
      </c>
      <c r="H64" s="111">
        <f>G64+'14'!H64</f>
        <v>5719</v>
      </c>
      <c r="I64" s="131"/>
      <c r="J64" s="203">
        <f>H64/DAY(B2)</f>
        <v>381.26666666666665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'14'!F65</f>
        <v>187420</v>
      </c>
      <c r="F65" s="302">
        <v>188197</v>
      </c>
      <c r="G65" s="124">
        <f t="shared" si="5"/>
        <v>777</v>
      </c>
      <c r="H65" s="111">
        <f>G65+'14'!H65</f>
        <v>5988</v>
      </c>
      <c r="I65" s="140"/>
      <c r="J65" s="203">
        <f>H65/DAY(B2)</f>
        <v>399.2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'14'!F66</f>
        <v>86329</v>
      </c>
      <c r="F66" s="129">
        <v>86733</v>
      </c>
      <c r="G66" s="124">
        <f t="shared" si="5"/>
        <v>404</v>
      </c>
      <c r="H66" s="111">
        <f>G66+'14'!H66</f>
        <v>6061</v>
      </c>
      <c r="I66" s="131"/>
      <c r="J66" s="203">
        <f>H66/DAY(B2)</f>
        <v>404.06666666666666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'14'!F67</f>
        <v>286818</v>
      </c>
      <c r="F67" s="129">
        <v>287262</v>
      </c>
      <c r="G67" s="124">
        <f t="shared" si="5"/>
        <v>444</v>
      </c>
      <c r="H67" s="111">
        <f>G67+'14'!H67</f>
        <v>7204</v>
      </c>
      <c r="I67" s="140"/>
      <c r="J67" s="203">
        <f>H67/DAY(B2)</f>
        <v>480.26666666666665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'14'!F69</f>
        <v>101025</v>
      </c>
      <c r="F69" s="129">
        <v>101317</v>
      </c>
      <c r="G69" s="124">
        <f t="shared" si="5"/>
        <v>292</v>
      </c>
      <c r="H69" s="111">
        <f>G69+'14'!H69</f>
        <v>4760</v>
      </c>
      <c r="I69" s="167"/>
      <c r="J69" s="203">
        <f>H69/DAY(B2)</f>
        <v>317.33333333333331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'14'!F72</f>
        <v>856794</v>
      </c>
      <c r="F72" s="305">
        <v>856804</v>
      </c>
      <c r="G72" s="124">
        <f t="shared" ref="G72:G84" si="6">F72-E72</f>
        <v>10</v>
      </c>
      <c r="H72" s="111">
        <f>G72+'14'!H72</f>
        <v>181</v>
      </c>
      <c r="I72" s="131"/>
      <c r="J72" s="203">
        <f>H72/DAY(B2)</f>
        <v>12.066666666666666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'14'!F73</f>
        <v>886030</v>
      </c>
      <c r="F73" s="306">
        <v>886031</v>
      </c>
      <c r="G73" s="303">
        <f t="shared" si="6"/>
        <v>1</v>
      </c>
      <c r="H73" s="111">
        <f>G73+'14'!H73</f>
        <v>175</v>
      </c>
      <c r="I73" s="131"/>
      <c r="J73" s="203">
        <f>H73/DAY(B2)</f>
        <v>11.666666666666666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'14'!F74</f>
        <v>88751</v>
      </c>
      <c r="F74" s="306">
        <v>88752</v>
      </c>
      <c r="G74" s="124">
        <f t="shared" si="6"/>
        <v>1</v>
      </c>
      <c r="H74" s="111">
        <f>G74+'14'!H74</f>
        <v>91</v>
      </c>
      <c r="I74" s="131"/>
      <c r="J74" s="203">
        <f>H74/DAY(B2)</f>
        <v>6.0666666666666664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'14'!F75</f>
        <v>23311.5</v>
      </c>
      <c r="F75" s="306">
        <v>23490.5</v>
      </c>
      <c r="G75" s="124">
        <f t="shared" si="6"/>
        <v>179</v>
      </c>
      <c r="H75" s="111">
        <f>G75+'14'!H75</f>
        <v>2543.5</v>
      </c>
      <c r="I75" s="131"/>
      <c r="J75" s="203">
        <f>H75/DAY(B2)</f>
        <v>169.56666666666666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'14'!F76</f>
        <v>12165</v>
      </c>
      <c r="F76" s="306">
        <v>12212</v>
      </c>
      <c r="G76" s="124">
        <f t="shared" si="6"/>
        <v>47</v>
      </c>
      <c r="H76" s="111">
        <f>G76+'14'!H76</f>
        <v>2286.6000000000004</v>
      </c>
      <c r="I76" s="156"/>
      <c r="J76" s="203">
        <f>H76/DAY(B2)</f>
        <v>152.44000000000003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'14'!F77</f>
        <v>707342</v>
      </c>
      <c r="F77" s="306">
        <v>707386</v>
      </c>
      <c r="G77" s="303">
        <f t="shared" si="6"/>
        <v>44</v>
      </c>
      <c r="H77" s="111">
        <f>G77+'14'!H77</f>
        <v>933</v>
      </c>
      <c r="I77" s="156"/>
      <c r="J77" s="203">
        <f>H77/DAY(B2)</f>
        <v>62.2</v>
      </c>
      <c r="K77" s="83"/>
      <c r="L77" s="68"/>
      <c r="N77" s="369"/>
      <c r="O77" s="376"/>
      <c r="P77" s="73"/>
    </row>
    <row r="78" spans="1:16" ht="27.75">
      <c r="A78" s="829" t="s">
        <v>196</v>
      </c>
      <c r="B78" s="822"/>
      <c r="C78" s="822"/>
      <c r="D78" s="174" t="s">
        <v>186</v>
      </c>
      <c r="E78" s="170">
        <f>'14'!F78</f>
        <v>680454</v>
      </c>
      <c r="F78" s="307">
        <v>680529</v>
      </c>
      <c r="G78" s="124">
        <f t="shared" si="6"/>
        <v>75</v>
      </c>
      <c r="H78" s="111">
        <f>G78+'14'!H78</f>
        <v>1676</v>
      </c>
      <c r="I78" s="156"/>
      <c r="J78" s="203">
        <f>H78/DAY(B2)</f>
        <v>111.73333333333333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'14'!F79</f>
        <v>842366</v>
      </c>
      <c r="F79" s="307">
        <v>842520</v>
      </c>
      <c r="G79" s="124">
        <f t="shared" si="6"/>
        <v>154</v>
      </c>
      <c r="H79" s="111">
        <f>G79+'14'!H79</f>
        <v>1838</v>
      </c>
      <c r="I79" s="156"/>
      <c r="J79" s="203">
        <f>H79/DAY(B2)</f>
        <v>122.53333333333333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'14'!F80</f>
        <v>557605</v>
      </c>
      <c r="F80" s="306">
        <v>558029</v>
      </c>
      <c r="G80" s="124">
        <f t="shared" si="6"/>
        <v>424</v>
      </c>
      <c r="H80" s="111">
        <f>G80+'14'!H80</f>
        <v>2823</v>
      </c>
      <c r="I80" s="156"/>
      <c r="J80" s="203">
        <f>H80/DAY(B2)</f>
        <v>188.2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'14'!F81</f>
        <v>651380</v>
      </c>
      <c r="F81" s="306">
        <v>651590</v>
      </c>
      <c r="G81" s="124">
        <f t="shared" si="6"/>
        <v>210</v>
      </c>
      <c r="H81" s="111">
        <f>G81+'14'!H81</f>
        <v>2572</v>
      </c>
      <c r="I81" s="156"/>
      <c r="J81" s="203">
        <f>H81/DAY(B2)</f>
        <v>171.46666666666667</v>
      </c>
      <c r="K81" s="83"/>
      <c r="L81" s="68"/>
      <c r="N81" s="369"/>
      <c r="O81" s="376"/>
      <c r="P81" s="73"/>
    </row>
    <row r="82" spans="1:16" s="426" customFormat="1" ht="27.75">
      <c r="A82" s="1254" t="s">
        <v>92</v>
      </c>
      <c r="B82" s="1255"/>
      <c r="C82" s="1256"/>
      <c r="D82" s="136" t="s">
        <v>131</v>
      </c>
      <c r="E82" s="170">
        <f>'14'!F82</f>
        <v>109602</v>
      </c>
      <c r="F82" s="136">
        <v>109615</v>
      </c>
      <c r="G82" s="124">
        <f t="shared" si="6"/>
        <v>13</v>
      </c>
      <c r="H82" s="137">
        <f>G82+'14'!H82</f>
        <v>279</v>
      </c>
      <c r="I82" s="137"/>
      <c r="J82" s="204">
        <f>H82/DAY(B2)</f>
        <v>18.600000000000001</v>
      </c>
      <c r="K82" s="844"/>
      <c r="L82" s="845"/>
      <c r="N82" s="373"/>
      <c r="O82" s="377"/>
      <c r="P82" s="372"/>
    </row>
    <row r="83" spans="1:16" s="426" customFormat="1" ht="27.75">
      <c r="A83" s="1257" t="s">
        <v>199</v>
      </c>
      <c r="B83" s="1258"/>
      <c r="C83" s="1259"/>
      <c r="D83" s="939" t="s">
        <v>131</v>
      </c>
      <c r="E83" s="433">
        <f>'14'!F83</f>
        <v>39360</v>
      </c>
      <c r="F83" s="939">
        <v>39750</v>
      </c>
      <c r="G83" s="424">
        <f t="shared" si="6"/>
        <v>390</v>
      </c>
      <c r="H83" s="130">
        <f>G83+'14'!H83</f>
        <v>4725</v>
      </c>
      <c r="I83" s="424"/>
      <c r="J83" s="425">
        <f>H83/DAY(B2)</f>
        <v>315</v>
      </c>
      <c r="K83" s="940"/>
      <c r="L83" s="845"/>
      <c r="N83" s="373"/>
      <c r="O83" s="377"/>
      <c r="P83" s="372"/>
    </row>
    <row r="84" spans="1:16">
      <c r="A84" s="830" t="s">
        <v>200</v>
      </c>
      <c r="B84" s="222"/>
      <c r="C84" s="222"/>
      <c r="D84" s="129" t="s">
        <v>131</v>
      </c>
      <c r="E84" s="170">
        <f>'14'!F84</f>
        <v>558160</v>
      </c>
      <c r="F84" s="278">
        <v>558997</v>
      </c>
      <c r="G84" s="124">
        <f t="shared" si="6"/>
        <v>837</v>
      </c>
      <c r="H84" s="111">
        <f>G84+'14'!H84</f>
        <v>11604</v>
      </c>
      <c r="I84" s="132"/>
      <c r="J84" s="203">
        <f>H84/DAY(B2)</f>
        <v>773.6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2385</v>
      </c>
      <c r="H85" s="111">
        <f>G85+'14'!H85</f>
        <v>33803.5</v>
      </c>
      <c r="I85" s="132"/>
      <c r="J85" s="203">
        <f>H85/DAY(B2)</f>
        <v>2253.5666666666666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'14'!F86</f>
        <v>463115</v>
      </c>
      <c r="F86" s="298">
        <v>463123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0.53333333333333333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'14'!F87</f>
        <v>83373</v>
      </c>
      <c r="F87" s="298">
        <v>83399</v>
      </c>
      <c r="G87" s="356">
        <f t="shared" si="7"/>
        <v>26</v>
      </c>
      <c r="H87" s="356">
        <f t="shared" si="8"/>
        <v>26</v>
      </c>
      <c r="I87" s="303"/>
      <c r="J87" s="358">
        <f>H87/DAY(B2)</f>
        <v>1.7333333333333334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91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'14'!F89</f>
        <v>67891</v>
      </c>
      <c r="F89" s="298">
        <v>67937</v>
      </c>
      <c r="G89" s="356">
        <f t="shared" si="7"/>
        <v>46</v>
      </c>
      <c r="H89" s="356">
        <f>G89</f>
        <v>46</v>
      </c>
      <c r="I89" s="303"/>
      <c r="J89" s="358">
        <f>H89/DAY(B2)</f>
        <v>3.0666666666666669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'14'!F90</f>
        <v>3525</v>
      </c>
      <c r="F90" s="298">
        <v>3526</v>
      </c>
      <c r="G90" s="356">
        <f t="shared" si="7"/>
        <v>1</v>
      </c>
      <c r="H90" s="356">
        <f>G90</f>
        <v>1</v>
      </c>
      <c r="I90" s="303"/>
      <c r="J90" s="358">
        <f>H90/DAY(B2)</f>
        <v>6.6666666666666666E-2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'14'!F91</f>
        <v>28618</v>
      </c>
      <c r="F91" s="298">
        <v>28622</v>
      </c>
      <c r="G91" s="356">
        <f t="shared" si="7"/>
        <v>4</v>
      </c>
      <c r="H91" s="356">
        <f>G91</f>
        <v>4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32"/>
      <c r="C92" s="832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'14'!F93</f>
        <v>251746</v>
      </c>
      <c r="F93" s="129">
        <v>251876</v>
      </c>
      <c r="G93" s="124">
        <f t="shared" ref="G93:G94" si="9">F93-E93</f>
        <v>130</v>
      </c>
      <c r="H93" s="111">
        <f>G93+'14'!H93</f>
        <v>1562</v>
      </c>
      <c r="I93" s="131"/>
      <c r="J93" s="203">
        <f>H93/DAY(B2)</f>
        <v>104.13333333333334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'14'!F94</f>
        <v>195087</v>
      </c>
      <c r="F94" s="129">
        <v>195255</v>
      </c>
      <c r="G94" s="124">
        <f t="shared" si="9"/>
        <v>168</v>
      </c>
      <c r="H94" s="111">
        <f>G94+'14'!H94</f>
        <v>2357</v>
      </c>
      <c r="I94" s="131"/>
      <c r="J94" s="203">
        <f>H94/DAY(B2)</f>
        <v>157.13333333333333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/>
      <c r="F95" s="129"/>
      <c r="G95" s="124">
        <f>G93+G94</f>
        <v>298</v>
      </c>
      <c r="H95" s="111">
        <f>G95+'14'!H95</f>
        <v>3613</v>
      </c>
      <c r="I95" s="131"/>
      <c r="J95" s="203">
        <f>H95/DAY(B2)</f>
        <v>240.86666666666667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'14'!F96</f>
        <v>419645</v>
      </c>
      <c r="F96" s="129">
        <v>419723</v>
      </c>
      <c r="G96" s="124">
        <f t="shared" ref="G96:G101" si="10">F96-E96</f>
        <v>78</v>
      </c>
      <c r="H96" s="111">
        <f>G96+'14'!H96</f>
        <v>1187</v>
      </c>
      <c r="I96" s="131"/>
      <c r="J96" s="203">
        <f>H96/DAY(B2)</f>
        <v>79.13333333333334</v>
      </c>
      <c r="K96" s="71"/>
      <c r="L96" s="68"/>
      <c r="N96" s="369"/>
      <c r="O96" s="376"/>
      <c r="P96" s="73"/>
    </row>
    <row r="97" spans="1:16" ht="27.75">
      <c r="A97" s="826" t="s">
        <v>209</v>
      </c>
      <c r="B97" s="827"/>
      <c r="C97" s="827"/>
      <c r="D97" s="174" t="s">
        <v>143</v>
      </c>
      <c r="E97" s="135">
        <f>'14'!F97</f>
        <v>104206</v>
      </c>
      <c r="F97" s="129">
        <v>104244</v>
      </c>
      <c r="G97" s="124">
        <f t="shared" si="10"/>
        <v>38</v>
      </c>
      <c r="H97" s="111">
        <f>G97+'14'!H97</f>
        <v>395</v>
      </c>
      <c r="I97" s="131"/>
      <c r="J97" s="203">
        <f>H97/DAY(B2)</f>
        <v>26.333333333333332</v>
      </c>
      <c r="K97" s="80"/>
      <c r="L97" s="68"/>
      <c r="N97" s="369"/>
      <c r="O97" s="376"/>
      <c r="P97" s="73"/>
    </row>
    <row r="98" spans="1:16" ht="27.75">
      <c r="A98" s="826" t="s">
        <v>210</v>
      </c>
      <c r="B98" s="827"/>
      <c r="C98" s="827"/>
      <c r="D98" s="174" t="s">
        <v>143</v>
      </c>
      <c r="E98" s="135">
        <f>'14'!F98</f>
        <v>99862</v>
      </c>
      <c r="F98" s="129">
        <v>99903</v>
      </c>
      <c r="G98" s="124">
        <f t="shared" si="10"/>
        <v>41</v>
      </c>
      <c r="H98" s="111">
        <f>G98+'14'!H98</f>
        <v>455</v>
      </c>
      <c r="I98" s="131"/>
      <c r="J98" s="203">
        <f>H98/DAY(B2)</f>
        <v>30.333333333333332</v>
      </c>
      <c r="K98" s="85"/>
      <c r="L98" s="68"/>
      <c r="N98" s="369"/>
      <c r="O98" s="376"/>
      <c r="P98" s="73"/>
    </row>
    <row r="99" spans="1:16" ht="27.75">
      <c r="A99" s="826" t="s">
        <v>211</v>
      </c>
      <c r="B99" s="827"/>
      <c r="C99" s="827"/>
      <c r="D99" s="174" t="s">
        <v>143</v>
      </c>
      <c r="E99" s="135">
        <f>'14'!F99</f>
        <v>151596</v>
      </c>
      <c r="F99" s="129">
        <v>151646</v>
      </c>
      <c r="G99" s="124">
        <f t="shared" si="10"/>
        <v>50</v>
      </c>
      <c r="H99" s="111">
        <f>G99+'14'!H99</f>
        <v>395</v>
      </c>
      <c r="I99" s="131"/>
      <c r="J99" s="203">
        <f>H99/DAY(B2)</f>
        <v>26.333333333333332</v>
      </c>
      <c r="K99" s="71"/>
      <c r="L99" s="68"/>
      <c r="N99" s="371"/>
      <c r="O99" s="376"/>
      <c r="P99" s="73"/>
    </row>
    <row r="100" spans="1:16" ht="27.75">
      <c r="A100" s="826" t="s">
        <v>212</v>
      </c>
      <c r="B100" s="827"/>
      <c r="C100" s="827"/>
      <c r="D100" s="174" t="s">
        <v>143</v>
      </c>
      <c r="E100" s="135">
        <f>'14'!F100</f>
        <v>8405</v>
      </c>
      <c r="F100" s="129">
        <v>8421</v>
      </c>
      <c r="G100" s="124">
        <f t="shared" si="10"/>
        <v>16</v>
      </c>
      <c r="H100" s="111">
        <f>G100+'14'!H100</f>
        <v>256</v>
      </c>
      <c r="I100" s="131"/>
      <c r="J100" s="203">
        <f>H100/DAY(B2)</f>
        <v>17.066666666666666</v>
      </c>
      <c r="K100" s="71"/>
      <c r="L100" s="68"/>
      <c r="N100" s="369"/>
      <c r="O100" s="376"/>
      <c r="P100" s="73"/>
    </row>
    <row r="101" spans="1:16" ht="27.75">
      <c r="A101" s="826" t="s">
        <v>213</v>
      </c>
      <c r="B101" s="827"/>
      <c r="C101" s="827"/>
      <c r="D101" s="174" t="s">
        <v>143</v>
      </c>
      <c r="E101" s="135">
        <f>'14'!F101</f>
        <v>6165</v>
      </c>
      <c r="F101" s="129">
        <v>6184</v>
      </c>
      <c r="G101" s="124">
        <f t="shared" si="10"/>
        <v>19</v>
      </c>
      <c r="H101" s="111">
        <f>G101+'14'!H101</f>
        <v>193</v>
      </c>
      <c r="I101" s="131"/>
      <c r="J101" s="203">
        <f>H101/DAY(B2)</f>
        <v>12.866666666666667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242</v>
      </c>
      <c r="H102" s="111">
        <f>G102+'14'!H102</f>
        <v>2881</v>
      </c>
      <c r="I102" s="177"/>
      <c r="J102" s="203">
        <f>H102/DAY(B2)</f>
        <v>192.06666666666666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25"/>
      <c r="D105" s="273" t="s">
        <v>143</v>
      </c>
      <c r="E105" s="135">
        <f>'14'!F105</f>
        <v>7952</v>
      </c>
      <c r="F105" s="309">
        <v>7952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3.9753333333332801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25"/>
      <c r="D106" s="273" t="s">
        <v>143</v>
      </c>
      <c r="E106" s="135">
        <f>'14'!F106</f>
        <v>36591</v>
      </c>
      <c r="F106" s="310">
        <v>36602</v>
      </c>
      <c r="G106" s="183">
        <f t="shared" ref="G106:G107" si="11">F106-E106</f>
        <v>11</v>
      </c>
      <c r="H106" s="184">
        <f>SUM(G106+'1'!G77)</f>
        <v>70</v>
      </c>
      <c r="I106" s="183"/>
      <c r="J106" s="209">
        <f>H106/DAY(B2)</f>
        <v>4.666666666666667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'14'!F107</f>
        <v>20074</v>
      </c>
      <c r="F107" s="310">
        <v>20083</v>
      </c>
      <c r="G107" s="183">
        <f t="shared" si="11"/>
        <v>9</v>
      </c>
      <c r="H107" s="184">
        <f>SUM(G107+'1'!G78)</f>
        <v>153</v>
      </c>
      <c r="I107" s="183"/>
      <c r="J107" s="209">
        <f>H107/DAY(B2)</f>
        <v>10.199999999999999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25"/>
      <c r="D108" s="273"/>
      <c r="E108" s="135">
        <f>'14'!F108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10.866666666666667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25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25"/>
      <c r="D110" s="273" t="s">
        <v>143</v>
      </c>
      <c r="E110" s="135">
        <f>'14'!F110</f>
        <v>68241</v>
      </c>
      <c r="F110" s="310">
        <v>68288</v>
      </c>
      <c r="G110" s="183">
        <f>F110-E110</f>
        <v>47</v>
      </c>
      <c r="H110" s="184">
        <f>SUM(G110+'1'!G81)</f>
        <v>212.56000000005588</v>
      </c>
      <c r="I110" s="183"/>
      <c r="J110" s="209">
        <f>H110/DAY(B2)</f>
        <v>14.170666666670392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25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0.8853333333332557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25"/>
      <c r="D112" s="273" t="s">
        <v>143</v>
      </c>
      <c r="E112" s="135">
        <f>'14'!F112</f>
        <v>4692</v>
      </c>
      <c r="F112" s="310">
        <v>4692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20.333333333333332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25"/>
      <c r="D113" s="273"/>
      <c r="E113" s="135">
        <f>'14'!F113</f>
        <v>0</v>
      </c>
      <c r="F113" s="310"/>
      <c r="G113" s="183">
        <f>SUM(G110:G112)</f>
        <v>47</v>
      </c>
      <c r="H113" s="184">
        <f>SUM(G113+'1'!G84)</f>
        <v>856</v>
      </c>
      <c r="I113" s="183"/>
      <c r="J113" s="209">
        <f>H113/DAY(B2)</f>
        <v>57.06666666666667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25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'14'!F115</f>
        <v>12749</v>
      </c>
      <c r="F115" s="310">
        <v>12769</v>
      </c>
      <c r="G115" s="185">
        <f>F115-E115</f>
        <v>20</v>
      </c>
      <c r="H115" s="184">
        <f>SUM(G115+'1'!G92)</f>
        <v>20</v>
      </c>
      <c r="I115" s="183"/>
      <c r="J115" s="209">
        <f>H115/DAY(B2)</f>
        <v>1.3333333333333333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'14'!F116</f>
        <v>8963</v>
      </c>
      <c r="F116" s="310">
        <v>8976</v>
      </c>
      <c r="G116" s="185">
        <f t="shared" ref="G116:G117" si="13">F116-E116</f>
        <v>13</v>
      </c>
      <c r="H116" s="184">
        <f>SUM(G116+'1'!G93)</f>
        <v>148</v>
      </c>
      <c r="I116" s="183"/>
      <c r="J116" s="209">
        <f>H116/DAY(B2)</f>
        <v>9.8666666666666671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171</v>
      </c>
      <c r="I117" s="183"/>
      <c r="J117" s="209">
        <f>H117/DAY(B2)</f>
        <v>11.4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33</v>
      </c>
      <c r="H118" s="184">
        <f>SUM(G118+'1'!G96)</f>
        <v>103</v>
      </c>
      <c r="I118" s="185"/>
      <c r="J118" s="209">
        <f>H118/DAY(B2)</f>
        <v>6.8666666666666663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23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84">
        <f>SUM(G119+'1'!G97)</f>
        <v>228</v>
      </c>
      <c r="I119" s="186"/>
      <c r="J119" s="210">
        <f>H119/DAY(B2)</f>
        <v>15.2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23"/>
      <c r="D120" s="275" t="s">
        <v>143</v>
      </c>
      <c r="E120" s="187"/>
      <c r="F120" s="311">
        <f>SUM(G96,G97,G98,G100,G101)</f>
        <v>192</v>
      </c>
      <c r="G120" s="187">
        <f>SUM(G96,G97,G98,G100,G101)</f>
        <v>192</v>
      </c>
      <c r="H120" s="184">
        <f>SUM(G120+'1'!G99)</f>
        <v>198</v>
      </c>
      <c r="I120" s="186"/>
      <c r="J120" s="210">
        <f>H120/DAY(B2)</f>
        <v>13.2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23"/>
      <c r="D121" s="275" t="s">
        <v>143</v>
      </c>
      <c r="E121" s="185"/>
      <c r="F121" s="310">
        <f>SUM(G113)</f>
        <v>47</v>
      </c>
      <c r="G121" s="185">
        <f>SUM(G113)</f>
        <v>47</v>
      </c>
      <c r="H121" s="184">
        <f>SUM(G121+'1'!G101)</f>
        <v>62</v>
      </c>
      <c r="I121" s="186"/>
      <c r="J121" s="210">
        <f>H121/DAY(B2)</f>
        <v>4.1333333333333337</v>
      </c>
      <c r="N121" s="369"/>
      <c r="O121" s="376"/>
      <c r="P121" s="73"/>
    </row>
    <row r="122" spans="1:16" s="93" customFormat="1" ht="27.75">
      <c r="A122" s="1190"/>
      <c r="B122" s="1191"/>
      <c r="C122" s="824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26" t="s">
        <v>230</v>
      </c>
      <c r="B124" s="827"/>
      <c r="C124" s="827"/>
      <c r="D124" s="174" t="s">
        <v>140</v>
      </c>
      <c r="E124" s="129">
        <f>'14'!F124</f>
        <v>851719</v>
      </c>
      <c r="F124" s="129">
        <v>852023</v>
      </c>
      <c r="G124" s="124">
        <f>F124-E124</f>
        <v>304</v>
      </c>
      <c r="H124" s="111">
        <f>G124+'14'!H124</f>
        <v>4057</v>
      </c>
      <c r="I124" s="177"/>
      <c r="J124" s="203">
        <f>H124/DAY(B2)</f>
        <v>270.46666666666664</v>
      </c>
      <c r="K124" s="71"/>
      <c r="L124" s="68"/>
      <c r="N124" s="369"/>
      <c r="O124" s="376"/>
      <c r="P124" s="73"/>
    </row>
    <row r="125" spans="1:16" ht="27.75">
      <c r="A125" s="826" t="s">
        <v>231</v>
      </c>
      <c r="B125" s="827"/>
      <c r="C125" s="827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'14'!F126</f>
        <v>152551</v>
      </c>
      <c r="F126" s="129">
        <v>152637</v>
      </c>
      <c r="G126" s="124">
        <f t="shared" si="14"/>
        <v>86</v>
      </c>
      <c r="H126" s="111">
        <f>G126+'14'!H126</f>
        <v>1316</v>
      </c>
      <c r="I126" s="177"/>
      <c r="J126" s="203">
        <f>H126/DAY(B2)</f>
        <v>87.733333333333334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27"/>
      <c r="C127" s="827"/>
      <c r="D127" s="174" t="s">
        <v>140</v>
      </c>
      <c r="E127" s="277">
        <f>'14'!F127</f>
        <v>33904</v>
      </c>
      <c r="F127" s="277">
        <v>33961</v>
      </c>
      <c r="G127" s="124">
        <f t="shared" si="14"/>
        <v>57</v>
      </c>
      <c r="H127" s="111">
        <f>G127+'14'!H127</f>
        <v>673</v>
      </c>
      <c r="I127" s="177"/>
      <c r="J127" s="203">
        <f>H127/DAY(B2)</f>
        <v>44.866666666666667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27"/>
      <c r="C128" s="827"/>
      <c r="D128" s="174" t="s">
        <v>140</v>
      </c>
      <c r="E128" s="277">
        <f>'14'!F128</f>
        <v>9141</v>
      </c>
      <c r="F128" s="277">
        <v>9144</v>
      </c>
      <c r="G128" s="124">
        <f t="shared" si="14"/>
        <v>3</v>
      </c>
      <c r="H128" s="111">
        <f>G128+'14'!H128</f>
        <v>31</v>
      </c>
      <c r="I128" s="131"/>
      <c r="J128" s="203">
        <f>H128/DAY(B2)</f>
        <v>2.0666666666666669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27"/>
      <c r="C129" s="827"/>
      <c r="D129" s="174"/>
      <c r="E129" s="129"/>
      <c r="F129" s="129"/>
      <c r="G129" s="124">
        <f>G15-SUM(G124:G128)</f>
        <v>470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26" t="s">
        <v>237</v>
      </c>
      <c r="B131" s="827"/>
      <c r="C131" s="827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26" t="s">
        <v>239</v>
      </c>
      <c r="B132" s="827"/>
      <c r="C132" s="827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26" t="s">
        <v>240</v>
      </c>
      <c r="B133" s="827"/>
      <c r="C133" s="827"/>
      <c r="D133" s="174" t="s">
        <v>238</v>
      </c>
      <c r="E133" s="135">
        <f>'14'!F133</f>
        <v>40781</v>
      </c>
      <c r="F133" s="302">
        <v>40805</v>
      </c>
      <c r="G133" s="124">
        <f t="shared" si="15"/>
        <v>24</v>
      </c>
      <c r="H133" s="111">
        <f>G133+'14'!H133</f>
        <v>186</v>
      </c>
      <c r="I133" s="131"/>
      <c r="J133" s="203">
        <f>H133/DAY(B2)</f>
        <v>12.4</v>
      </c>
      <c r="N133" s="369"/>
      <c r="O133" s="376"/>
      <c r="P133" s="73"/>
    </row>
    <row r="134" spans="1:16" ht="27.75">
      <c r="A134" s="826" t="s">
        <v>241</v>
      </c>
      <c r="B134" s="827"/>
      <c r="C134" s="827"/>
      <c r="D134" s="174" t="s">
        <v>238</v>
      </c>
      <c r="E134" s="135">
        <f>'14'!F134</f>
        <v>724.25</v>
      </c>
      <c r="F134" s="277">
        <v>724.25</v>
      </c>
      <c r="G134" s="124">
        <f t="shared" si="15"/>
        <v>0</v>
      </c>
      <c r="H134" s="111">
        <f>G134+'14'!H134</f>
        <v>150.25</v>
      </c>
      <c r="I134" s="131">
        <f>G131+G132+G133+G134</f>
        <v>24</v>
      </c>
      <c r="J134" s="203">
        <f>H134/DAY(B2)</f>
        <v>10.016666666666667</v>
      </c>
      <c r="N134" s="369"/>
      <c r="O134" s="376"/>
      <c r="P134" s="73"/>
    </row>
    <row r="135" spans="1:16" ht="27.75">
      <c r="A135" s="826" t="s">
        <v>242</v>
      </c>
      <c r="B135" s="827"/>
      <c r="C135" s="827"/>
      <c r="D135" s="174" t="s">
        <v>238</v>
      </c>
      <c r="E135" s="135">
        <f>'14'!F135</f>
        <v>42635</v>
      </c>
      <c r="F135" s="277">
        <v>42638</v>
      </c>
      <c r="G135" s="124">
        <f t="shared" si="15"/>
        <v>3</v>
      </c>
      <c r="H135" s="111">
        <f>G135+'14'!H135</f>
        <v>139</v>
      </c>
      <c r="I135" s="131"/>
      <c r="J135" s="203">
        <f>H135/DAY(B2)</f>
        <v>9.2666666666666675</v>
      </c>
      <c r="N135" s="369"/>
      <c r="O135" s="376"/>
      <c r="P135" s="73"/>
    </row>
    <row r="136" spans="1:16" ht="27.75">
      <c r="A136" s="826" t="s">
        <v>243</v>
      </c>
      <c r="B136" s="827"/>
      <c r="C136" s="827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26" t="s">
        <v>244</v>
      </c>
      <c r="B137" s="827"/>
      <c r="C137" s="827"/>
      <c r="D137" s="174" t="s">
        <v>238</v>
      </c>
      <c r="E137" s="135">
        <f>'14'!F137</f>
        <v>23210.83</v>
      </c>
      <c r="F137" s="302">
        <v>23219.46</v>
      </c>
      <c r="G137" s="124">
        <f t="shared" si="15"/>
        <v>8.6299999999973807</v>
      </c>
      <c r="H137" s="111">
        <f>G137+'14'!H137</f>
        <v>112.89999999999782</v>
      </c>
      <c r="I137" s="131">
        <f>G135+G136+G137</f>
        <v>11.629999999997381</v>
      </c>
      <c r="J137" s="203">
        <f>H137/DAY(B2)</f>
        <v>7.5266666666665207</v>
      </c>
      <c r="N137" s="369"/>
      <c r="O137" s="376"/>
      <c r="P137" s="73"/>
    </row>
    <row r="138" spans="1:16" ht="27.75">
      <c r="A138" s="826" t="s">
        <v>245</v>
      </c>
      <c r="B138" s="827"/>
      <c r="C138" s="827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13.529999999998836</v>
      </c>
      <c r="I138" s="131"/>
      <c r="J138" s="203">
        <f>H138/DAY(B2)</f>
        <v>0.90199999999992242</v>
      </c>
      <c r="N138" s="369"/>
      <c r="O138" s="376"/>
      <c r="P138" s="73"/>
    </row>
    <row r="139" spans="1:16" ht="27.75">
      <c r="A139" s="826" t="s">
        <v>246</v>
      </c>
      <c r="B139" s="827"/>
      <c r="C139" s="827"/>
      <c r="D139" s="174" t="s">
        <v>238</v>
      </c>
      <c r="E139" s="135">
        <f>'14'!F139</f>
        <v>70523.55</v>
      </c>
      <c r="F139" s="302">
        <v>70523.55</v>
      </c>
      <c r="G139" s="124">
        <f t="shared" si="15"/>
        <v>0</v>
      </c>
      <c r="H139" s="111">
        <f>G139+'14'!H139</f>
        <v>6.9499999999970896</v>
      </c>
      <c r="I139" s="131">
        <f>G138+G139</f>
        <v>0</v>
      </c>
      <c r="J139" s="203">
        <f>H139/DAY(B2)</f>
        <v>0.46333333333313931</v>
      </c>
      <c r="N139" s="369"/>
      <c r="O139" s="376"/>
      <c r="P139" s="73"/>
    </row>
    <row r="140" spans="1:16" ht="27.75">
      <c r="A140" s="826" t="s">
        <v>247</v>
      </c>
      <c r="B140" s="827"/>
      <c r="C140" s="827"/>
      <c r="D140" s="174" t="s">
        <v>238</v>
      </c>
      <c r="E140" s="135">
        <f>'14'!F140</f>
        <v>2449.81</v>
      </c>
      <c r="F140" s="277">
        <v>2461.0300000000002</v>
      </c>
      <c r="G140" s="124">
        <f t="shared" si="15"/>
        <v>11.220000000000255</v>
      </c>
      <c r="H140" s="111">
        <f>G140+'14'!H140</f>
        <v>149.47000000000025</v>
      </c>
      <c r="I140" s="193"/>
      <c r="J140" s="203">
        <f>H140/DAY(B2)</f>
        <v>9.9646666666666839</v>
      </c>
      <c r="N140" s="369"/>
      <c r="O140" s="376"/>
      <c r="P140" s="73"/>
    </row>
    <row r="141" spans="1:16" ht="27.75">
      <c r="A141" s="826" t="s">
        <v>248</v>
      </c>
      <c r="B141" s="827"/>
      <c r="C141" s="827"/>
      <c r="D141" s="174" t="s">
        <v>238</v>
      </c>
      <c r="E141" s="135">
        <f>'14'!F141</f>
        <v>4753.67</v>
      </c>
      <c r="F141" s="129">
        <v>4753.67</v>
      </c>
      <c r="G141" s="124">
        <f t="shared" si="15"/>
        <v>0</v>
      </c>
      <c r="H141" s="111">
        <f>G141+'14'!H141</f>
        <v>-0.32999999999992724</v>
      </c>
      <c r="I141" s="193"/>
      <c r="J141" s="203">
        <f>H141/DAY(B2)</f>
        <v>-2.1999999999995148E-2</v>
      </c>
      <c r="N141" s="369"/>
      <c r="O141" s="376"/>
      <c r="P141" s="73"/>
    </row>
    <row r="142" spans="1:16">
      <c r="A142" s="1203" t="s">
        <v>249</v>
      </c>
      <c r="B142" s="1204"/>
      <c r="C142" s="832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5555</v>
      </c>
      <c r="H143" s="111">
        <f>G143+'14'!H143</f>
        <v>87857.029999999955</v>
      </c>
      <c r="I143" s="131"/>
      <c r="J143" s="203">
        <f>H143/DAY(B2)</f>
        <v>5857.13533333333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0.25851638123603871</v>
      </c>
      <c r="H144" s="111">
        <f>G144+'14'!H144</f>
        <v>3.9479617498385622</v>
      </c>
      <c r="I144" s="195"/>
      <c r="J144" s="203">
        <f>H144/DAY(B2)</f>
        <v>0.2631974499892375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6209</v>
      </c>
      <c r="H145" s="111">
        <f>G145+'14'!H145</f>
        <v>102468</v>
      </c>
      <c r="I145" s="131"/>
      <c r="J145" s="203">
        <f>H145/DAY(B2)</f>
        <v>6831.2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0.28895197319434102</v>
      </c>
      <c r="H146" s="111">
        <f>G146+'14'!H146</f>
        <v>4.5885051514411259</v>
      </c>
      <c r="I146" s="195"/>
      <c r="J146" s="203">
        <f>H146/DAY(B2)</f>
        <v>0.30590034342940842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3671.4099999999744</v>
      </c>
      <c r="H147" s="111">
        <f>G147+'14'!H147</f>
        <v>56366</v>
      </c>
      <c r="I147" s="196"/>
      <c r="J147" s="203">
        <f>H147/DAY(B2)</f>
        <v>3757.7333333333331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0.17085861876396008</v>
      </c>
      <c r="H148" s="111">
        <f>G148+'14'!H148</f>
        <v>2.5392220585674652</v>
      </c>
      <c r="I148" s="196"/>
      <c r="J148" s="203">
        <f>H148/DAY(B2)</f>
        <v>0.16928147057116436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1841.9300000000512</v>
      </c>
      <c r="H149" s="111">
        <f>G149+'14'!H149</f>
        <v>25661</v>
      </c>
      <c r="I149" s="131"/>
      <c r="J149" s="203">
        <f>H149/DAY(B2)</f>
        <v>1710.7333333333333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8.5719005956815489E-2</v>
      </c>
      <c r="H150" s="111">
        <f>G150+'14'!H150</f>
        <v>1.1552966779314293</v>
      </c>
      <c r="I150" s="196"/>
      <c r="J150" s="203">
        <f>H150/DAY(B2)</f>
        <v>7.7019778528761948E-2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2029</v>
      </c>
      <c r="H151" s="111">
        <f>G151+'14'!H151</f>
        <v>28230</v>
      </c>
      <c r="I151" s="196"/>
      <c r="J151" s="203">
        <f>H151/DAY(B2)</f>
        <v>1882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9.4424795234549511E-2</v>
      </c>
      <c r="H152" s="111">
        <f>G152+'14'!H152</f>
        <v>1.2664795105777544</v>
      </c>
      <c r="I152" s="131"/>
      <c r="J152" s="203">
        <f>H152/DAY(B2)</f>
        <v>8.4431967371850297E-2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1554</v>
      </c>
      <c r="H153" s="111">
        <f>G153+'14'!H153</f>
        <v>23919.869999999995</v>
      </c>
      <c r="I153" s="131"/>
      <c r="J153" s="203">
        <f>H153/DAY(B2)</f>
        <v>1594.6579999999997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7.2319434102755029E-2</v>
      </c>
      <c r="H154" s="111">
        <f>G154+'14'!H154</f>
        <v>1.07634313466293</v>
      </c>
      <c r="I154" s="219"/>
      <c r="J154" s="220">
        <f>H154/DAY(B2)</f>
        <v>7.1756208977528671E-2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'14'!F161</f>
        <v>44438</v>
      </c>
      <c r="F161" s="454">
        <v>44517.4</v>
      </c>
      <c r="G161" s="124">
        <f t="shared" ref="G161:G164" si="16">F161-E161</f>
        <v>79.400000000001455</v>
      </c>
      <c r="N161" s="369"/>
    </row>
    <row r="162" spans="1:14" ht="21.75" customHeight="1">
      <c r="A162" s="445" t="s">
        <v>263</v>
      </c>
      <c r="B162" s="446"/>
      <c r="C162" s="446"/>
      <c r="D162" s="271" t="s">
        <v>186</v>
      </c>
      <c r="E162" s="173">
        <f>'14'!F162</f>
        <v>128679</v>
      </c>
      <c r="F162" s="454">
        <v>129134</v>
      </c>
      <c r="G162" s="124">
        <f t="shared" si="16"/>
        <v>455</v>
      </c>
      <c r="N162" s="369"/>
    </row>
    <row r="163" spans="1:14" ht="21.75" customHeight="1">
      <c r="A163" s="445" t="s">
        <v>264</v>
      </c>
      <c r="B163" s="446"/>
      <c r="C163" s="446"/>
      <c r="D163" s="271" t="s">
        <v>186</v>
      </c>
      <c r="E163" s="173">
        <f>'14'!F163</f>
        <v>60296</v>
      </c>
      <c r="F163" s="454">
        <v>60494</v>
      </c>
      <c r="G163" s="124">
        <f t="shared" si="16"/>
        <v>198</v>
      </c>
      <c r="N163" s="369"/>
    </row>
    <row r="164" spans="1:14" ht="21.75" customHeight="1">
      <c r="A164" s="445" t="s">
        <v>265</v>
      </c>
      <c r="B164" s="446"/>
      <c r="C164" s="446"/>
      <c r="D164" s="271" t="s">
        <v>186</v>
      </c>
      <c r="E164" s="173">
        <f>'14'!F164</f>
        <v>7272.57</v>
      </c>
      <c r="F164" s="454">
        <v>7287.09</v>
      </c>
      <c r="G164" s="124">
        <f t="shared" si="16"/>
        <v>14.520000000000437</v>
      </c>
      <c r="N164" s="369"/>
    </row>
    <row r="165" spans="1:14" ht="21.75" customHeight="1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20419.18</v>
      </c>
      <c r="G165" s="124">
        <f t="shared" ref="G165:G174" si="17">F165-E165</f>
        <v>0.18000000000029104</v>
      </c>
      <c r="N165" s="369"/>
    </row>
    <row r="166" spans="1:14" ht="21.75" customHeight="1">
      <c r="A166" s="447" t="s">
        <v>187</v>
      </c>
      <c r="B166" s="448"/>
      <c r="C166" s="448"/>
      <c r="D166" s="271" t="s">
        <v>186</v>
      </c>
      <c r="E166" s="165">
        <f t="shared" ref="E166:E172" si="18">E63</f>
        <v>0</v>
      </c>
      <c r="F166" s="165">
        <v>2415</v>
      </c>
      <c r="G166" s="124">
        <f t="shared" si="17"/>
        <v>2415</v>
      </c>
      <c r="N166" s="369"/>
    </row>
    <row r="167" spans="1:14" ht="21.75" customHeight="1">
      <c r="A167" s="1253" t="s">
        <v>98</v>
      </c>
      <c r="B167" s="1253"/>
      <c r="C167" s="1253"/>
      <c r="D167" s="175" t="s">
        <v>186</v>
      </c>
      <c r="E167" s="165">
        <f t="shared" si="18"/>
        <v>187217</v>
      </c>
      <c r="F167" s="165">
        <f t="shared" ref="F167:F172" si="19">F64</f>
        <v>187579</v>
      </c>
      <c r="G167" s="124">
        <f t="shared" si="17"/>
        <v>362</v>
      </c>
      <c r="N167" s="369"/>
    </row>
    <row r="168" spans="1:14" ht="21.75" customHeight="1">
      <c r="A168" s="1253" t="s">
        <v>99</v>
      </c>
      <c r="B168" s="1253"/>
      <c r="C168" s="1253"/>
      <c r="D168" s="175" t="s">
        <v>186</v>
      </c>
      <c r="E168" s="165">
        <f t="shared" si="18"/>
        <v>187420</v>
      </c>
      <c r="F168" s="165">
        <f t="shared" si="19"/>
        <v>188197</v>
      </c>
      <c r="G168" s="124">
        <f t="shared" si="17"/>
        <v>777</v>
      </c>
      <c r="N168" s="369"/>
    </row>
    <row r="169" spans="1:14" ht="21.75" customHeight="1">
      <c r="A169" s="1253" t="s">
        <v>100</v>
      </c>
      <c r="B169" s="1253"/>
      <c r="C169" s="1253"/>
      <c r="D169" s="175" t="s">
        <v>186</v>
      </c>
      <c r="E169" s="165">
        <f t="shared" si="18"/>
        <v>86329</v>
      </c>
      <c r="F169" s="165">
        <f t="shared" si="19"/>
        <v>86733</v>
      </c>
      <c r="G169" s="124">
        <f t="shared" si="17"/>
        <v>404</v>
      </c>
      <c r="N169" s="369"/>
    </row>
    <row r="170" spans="1:14" ht="23.25" customHeight="1">
      <c r="A170" s="1253" t="s">
        <v>101</v>
      </c>
      <c r="B170" s="1253"/>
      <c r="C170" s="1253"/>
      <c r="D170" s="175" t="s">
        <v>186</v>
      </c>
      <c r="E170" s="165">
        <f t="shared" si="18"/>
        <v>286818</v>
      </c>
      <c r="F170" s="165">
        <f t="shared" si="19"/>
        <v>287262</v>
      </c>
      <c r="G170" s="124">
        <f t="shared" si="17"/>
        <v>444</v>
      </c>
      <c r="N170" s="369"/>
    </row>
    <row r="171" spans="1:14" ht="24" customHeight="1">
      <c r="A171" s="1253" t="s">
        <v>102</v>
      </c>
      <c r="B171" s="1253"/>
      <c r="C171" s="1253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65">
        <f t="shared" si="18"/>
        <v>101025</v>
      </c>
      <c r="F172" s="165">
        <f t="shared" si="19"/>
        <v>101317</v>
      </c>
      <c r="G172" s="124">
        <f t="shared" si="17"/>
        <v>292</v>
      </c>
      <c r="N172" s="369"/>
    </row>
    <row r="173" spans="1:14">
      <c r="A173" s="1228" t="s">
        <v>338</v>
      </c>
      <c r="B173" s="1191"/>
      <c r="C173" s="436"/>
      <c r="D173" s="174" t="s">
        <v>186</v>
      </c>
      <c r="E173" s="183">
        <v>189285</v>
      </c>
      <c r="F173" s="183">
        <v>189324</v>
      </c>
      <c r="G173" s="124">
        <f t="shared" si="17"/>
        <v>39</v>
      </c>
      <c r="N173" s="369"/>
    </row>
    <row r="174" spans="1:14">
      <c r="A174" s="1228" t="s">
        <v>339</v>
      </c>
      <c r="B174" s="1191"/>
      <c r="C174" s="436"/>
      <c r="D174" s="174" t="s">
        <v>186</v>
      </c>
      <c r="E174" s="183">
        <v>38246</v>
      </c>
      <c r="F174" s="183">
        <v>38345</v>
      </c>
      <c r="G174" s="124">
        <f t="shared" si="17"/>
        <v>99</v>
      </c>
      <c r="N174" s="369"/>
    </row>
    <row r="175" spans="1:14">
      <c r="N175" s="369"/>
    </row>
    <row r="176" spans="1:14">
      <c r="N176" s="369"/>
    </row>
    <row r="177" spans="1:14" ht="18.75" customHeight="1">
      <c r="N177" s="369"/>
    </row>
    <row r="178" spans="1:14">
      <c r="A178" s="1228" t="s">
        <v>338</v>
      </c>
      <c r="B178" s="1191"/>
      <c r="C178" s="436"/>
      <c r="D178" s="174" t="s">
        <v>186</v>
      </c>
      <c r="E178" s="183">
        <v>19173</v>
      </c>
      <c r="F178" s="183">
        <v>19175</v>
      </c>
      <c r="G178" s="124">
        <f t="shared" ref="G178:G180" si="20">F178-E178</f>
        <v>2</v>
      </c>
      <c r="N178" s="369"/>
    </row>
    <row r="179" spans="1:14">
      <c r="A179" s="1228" t="s">
        <v>338</v>
      </c>
      <c r="B179" s="1191"/>
      <c r="C179" s="436"/>
      <c r="D179" s="174" t="s">
        <v>186</v>
      </c>
      <c r="E179" s="183">
        <v>70624</v>
      </c>
      <c r="F179" s="183">
        <v>70637</v>
      </c>
      <c r="G179" s="124">
        <f t="shared" si="20"/>
        <v>13</v>
      </c>
      <c r="N179" s="369"/>
    </row>
    <row r="180" spans="1:14">
      <c r="A180" s="1228" t="s">
        <v>339</v>
      </c>
      <c r="B180" s="1191"/>
      <c r="C180" s="436"/>
      <c r="D180" s="174" t="s">
        <v>186</v>
      </c>
      <c r="E180" s="183">
        <v>27869</v>
      </c>
      <c r="F180" s="183">
        <v>27875</v>
      </c>
      <c r="G180" s="124">
        <f t="shared" si="20"/>
        <v>6</v>
      </c>
      <c r="N180" s="369"/>
    </row>
    <row r="181" spans="1:14" ht="27" customHeight="1">
      <c r="N181" s="369"/>
    </row>
    <row r="182" spans="1:14" ht="27" customHeight="1">
      <c r="N182" s="369"/>
    </row>
    <row r="183" spans="1:14" ht="27" customHeight="1">
      <c r="N183" s="369"/>
    </row>
    <row r="184" spans="1:14" ht="27" customHeight="1">
      <c r="N184" s="369"/>
    </row>
    <row r="185" spans="1:14" ht="27" customHeight="1">
      <c r="N185" s="369"/>
    </row>
    <row r="186" spans="1:14" ht="27" customHeight="1">
      <c r="N186" s="369"/>
    </row>
    <row r="187" spans="1:14" ht="27" customHeight="1">
      <c r="N187" s="369"/>
    </row>
    <row r="188" spans="1:14" ht="27" customHeight="1">
      <c r="N188" s="369"/>
    </row>
    <row r="189" spans="1:14" ht="27" customHeight="1">
      <c r="N189" s="369"/>
    </row>
    <row r="190" spans="1:14" ht="27" customHeight="1">
      <c r="N190" s="369"/>
    </row>
    <row r="191" spans="1:14" ht="27" customHeight="1">
      <c r="N191" s="369"/>
    </row>
    <row r="192" spans="1:14" ht="27" customHeight="1">
      <c r="N192" s="369"/>
    </row>
    <row r="193" spans="14:14" ht="27" customHeight="1">
      <c r="N193" s="369"/>
    </row>
    <row r="194" spans="14:14" ht="27" customHeight="1">
      <c r="N194" s="369"/>
    </row>
    <row r="195" spans="14:14" ht="27" customHeight="1">
      <c r="N195" s="369"/>
    </row>
    <row r="196" spans="14:14" ht="27" customHeight="1">
      <c r="N196" s="369"/>
    </row>
    <row r="197" spans="14:14" ht="27" customHeight="1">
      <c r="N197" s="369"/>
    </row>
    <row r="198" spans="14:14" ht="27" customHeight="1">
      <c r="N198" s="369"/>
    </row>
    <row r="199" spans="14:14" ht="27" customHeight="1">
      <c r="N199" s="369"/>
    </row>
    <row r="200" spans="14:14" ht="27" customHeight="1">
      <c r="N200" s="369"/>
    </row>
    <row r="201" spans="14:14" ht="27" customHeight="1">
      <c r="N201" s="369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B6" zoomScale="95" zoomScaleNormal="90" zoomScaleSheetLayoutView="95" workbookViewId="0">
      <selection activeCell="F19" sqref="F19"/>
    </sheetView>
  </sheetViews>
  <sheetFormatPr defaultColWidth="22.33203125" defaultRowHeight="29.25"/>
  <cols>
    <col min="1" max="1" width="59.6640625" style="105" customWidth="1"/>
    <col min="2" max="2" width="20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343</v>
      </c>
      <c r="B2" s="682">
        <v>44393</v>
      </c>
      <c r="C2" s="841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41" t="s">
        <v>119</v>
      </c>
      <c r="D3" s="263">
        <v>30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4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'15'!F7</f>
        <v>942138</v>
      </c>
      <c r="F7" s="106">
        <f>E7+23250</f>
        <v>965388</v>
      </c>
      <c r="G7" s="329">
        <f>F7-E7</f>
        <v>23250</v>
      </c>
      <c r="H7" s="330">
        <f>G7+'15'!H7</f>
        <v>357566</v>
      </c>
      <c r="I7" s="331">
        <f>'1'!I7</f>
        <v>12000</v>
      </c>
      <c r="J7" s="332">
        <f>H7/DAY(B2)</f>
        <v>22347.875</v>
      </c>
      <c r="K7" s="200">
        <f>'1'!E7-'16'!F7</f>
        <v>-357715</v>
      </c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'15'!F8</f>
        <v>952770</v>
      </c>
      <c r="F8" s="126">
        <v>275803.39</v>
      </c>
      <c r="G8" s="340">
        <f>F8-E8</f>
        <v>-676966.61</v>
      </c>
      <c r="H8" s="330">
        <f>G8+'15'!H8</f>
        <v>-339793.61</v>
      </c>
      <c r="I8" s="337">
        <f>'1'!I8</f>
        <v>12000</v>
      </c>
      <c r="J8" s="332">
        <f>H8/DAY(B2)</f>
        <v>-21237.100624999999</v>
      </c>
      <c r="K8" s="200">
        <f>'1'!E8-'16'!F8</f>
        <v>339793.61</v>
      </c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'15'!F9</f>
        <v>3020780</v>
      </c>
      <c r="F9" s="129">
        <v>2369088.7000000002</v>
      </c>
      <c r="G9" s="353">
        <f t="shared" ref="G9:G12" si="0">F9-E9</f>
        <v>-651691.29999999981</v>
      </c>
      <c r="H9" s="330">
        <f>G9+'15'!H9</f>
        <v>-327546.29999999981</v>
      </c>
      <c r="I9" s="341">
        <f>I7-J7</f>
        <v>-10347.875</v>
      </c>
      <c r="J9" s="332">
        <f>H9/DAY(B2)</f>
        <v>-20471.643749999988</v>
      </c>
      <c r="K9" s="81">
        <f>'1'!E9-'16'!F9</f>
        <v>327546.29999999981</v>
      </c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-676966.61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-651691.29999999981</v>
      </c>
      <c r="H13" s="330">
        <f>G13+'15'!H13</f>
        <v>-370230.74999999983</v>
      </c>
      <c r="I13" s="346">
        <f>G7-G13</f>
        <v>674941.29999999981</v>
      </c>
      <c r="J13" s="332">
        <f>H13/DAY(B2)</f>
        <v>-23139.421874999989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'15'!F15</f>
        <v>1742709</v>
      </c>
      <c r="F15" s="351">
        <f>E15+950</f>
        <v>1743659</v>
      </c>
      <c r="G15" s="315">
        <f>(F15-E15)</f>
        <v>950</v>
      </c>
      <c r="H15" s="137">
        <f>G15+'15'!H15</f>
        <v>14105</v>
      </c>
      <c r="I15" s="125">
        <f>'1'!I15</f>
        <v>800</v>
      </c>
      <c r="J15" s="204">
        <f>H15/DAY(B2)</f>
        <v>881.5625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-81.5625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'15'!F18</f>
        <v>19</v>
      </c>
      <c r="F18" s="129">
        <v>11</v>
      </c>
      <c r="G18" s="345">
        <f>F18*10</f>
        <v>110</v>
      </c>
      <c r="H18" s="330">
        <f>G18+'15'!H18</f>
        <v>2660</v>
      </c>
      <c r="I18" s="331">
        <f>'1'!I18</f>
        <v>65</v>
      </c>
      <c r="J18" s="332">
        <f>H18/DAY(B2)</f>
        <v>166.25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'15'!F19</f>
        <v>144330</v>
      </c>
      <c r="F19" s="129">
        <f>E19+60</f>
        <v>144390</v>
      </c>
      <c r="G19" s="340">
        <f t="shared" ref="G19" si="1">F19-E19</f>
        <v>60</v>
      </c>
      <c r="H19" s="330">
        <f>G19+'15'!H19</f>
        <v>1000</v>
      </c>
      <c r="I19" s="347"/>
      <c r="J19" s="332">
        <f>H19/DAY(B2)</f>
        <v>62.5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170</v>
      </c>
      <c r="H20" s="330">
        <f>G20+'15'!H20</f>
        <v>3660</v>
      </c>
      <c r="I20" s="349">
        <f>I18-J20</f>
        <v>-163.75</v>
      </c>
      <c r="J20" s="332">
        <f>H20/DAY(B2)</f>
        <v>228.75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34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34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-676966.61</v>
      </c>
      <c r="F27" s="152">
        <v>9</v>
      </c>
      <c r="G27" s="153">
        <f>E27*F27</f>
        <v>-6092699.4900000002</v>
      </c>
      <c r="H27" s="111">
        <f>G27+'15'!H27</f>
        <v>-3058142.49</v>
      </c>
      <c r="I27" s="154"/>
      <c r="J27" s="203">
        <f>H27/DAY(B2)</f>
        <v>-191133.90562500001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G28+'15'!H28</f>
        <v>766347.5</v>
      </c>
      <c r="I28" s="156"/>
      <c r="J28" s="203">
        <f>H28/DAY(B2)</f>
        <v>47896.71875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G30+'15'!H30</f>
        <v>146000</v>
      </c>
      <c r="I30" s="156"/>
      <c r="J30" s="203">
        <f>H30/DAY(B2)</f>
        <v>9125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110</v>
      </c>
      <c r="F31" s="152">
        <v>80</v>
      </c>
      <c r="G31" s="153">
        <f>E31*F31</f>
        <v>8800</v>
      </c>
      <c r="H31" s="111">
        <f>G31+'15'!H31</f>
        <v>212800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-6025739.4900000002</v>
      </c>
      <c r="H32" s="111">
        <f>G32+'15'!H32</f>
        <v>-1932994.9900000002</v>
      </c>
      <c r="I32" s="160"/>
      <c r="J32" s="203">
        <f>H32/DAY(B2)</f>
        <v>-120812.18687500001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36"/>
      <c r="C34" s="83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'15'!F35</f>
        <v>1058596</v>
      </c>
      <c r="F35" s="161">
        <v>1058597.3</v>
      </c>
      <c r="G35" s="124">
        <f t="shared" ref="G35:G46" si="3">F35-E35</f>
        <v>1.3000000000465661</v>
      </c>
      <c r="H35" s="111">
        <f>G35+'15'!H35</f>
        <v>1</v>
      </c>
      <c r="I35" s="106"/>
      <c r="J35" s="203">
        <f>H35/DAY(B2)</f>
        <v>6.25E-2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'15'!F36</f>
        <v>57840</v>
      </c>
      <c r="F36" s="161">
        <v>33958.83</v>
      </c>
      <c r="G36" s="124">
        <f t="shared" si="3"/>
        <v>-23881.17</v>
      </c>
      <c r="H36" s="111">
        <f>G36+'15'!H36</f>
        <v>-12839.169999999998</v>
      </c>
      <c r="I36" s="106"/>
      <c r="J36" s="203">
        <f>H36/DAY(B2)</f>
        <v>-802.44812499999989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'15'!F37</f>
        <v>250093</v>
      </c>
      <c r="F37" s="161">
        <v>201544.9</v>
      </c>
      <c r="G37" s="124">
        <f t="shared" si="3"/>
        <v>-48548.100000000006</v>
      </c>
      <c r="H37" s="111">
        <f>G37+'15'!H37</f>
        <v>-24628.100000000006</v>
      </c>
      <c r="I37" s="106"/>
      <c r="J37" s="203">
        <f>H37/DAY(B2)</f>
        <v>-1539.2562500000004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'15'!F38</f>
        <v>274220</v>
      </c>
      <c r="F38" s="120">
        <v>224250.57</v>
      </c>
      <c r="G38" s="124">
        <f t="shared" si="3"/>
        <v>-49969.429999999993</v>
      </c>
      <c r="H38" s="111">
        <f>G38+'15'!H38</f>
        <v>-24308.429999999993</v>
      </c>
      <c r="I38" s="106"/>
      <c r="J38" s="203">
        <f>H38/DAY(B2)</f>
        <v>-1519.2768749999996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'15'!F39</f>
        <v>576884</v>
      </c>
      <c r="F39" s="161">
        <v>463842.9</v>
      </c>
      <c r="G39" s="124">
        <f t="shared" si="3"/>
        <v>-113041.09999999998</v>
      </c>
      <c r="H39" s="111">
        <f>G39+'15'!H39</f>
        <v>-56675.099999999977</v>
      </c>
      <c r="I39" s="106"/>
      <c r="J39" s="203">
        <f>H39/DAY(B2)</f>
        <v>-3542.1937499999985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'15'!F40</f>
        <v>27308</v>
      </c>
      <c r="F40" s="161">
        <v>13152.74</v>
      </c>
      <c r="G40" s="124">
        <f t="shared" si="3"/>
        <v>-14155.26</v>
      </c>
      <c r="H40" s="111">
        <f>G40+'15'!H40</f>
        <v>-7020.26</v>
      </c>
      <c r="I40" s="106"/>
      <c r="J40" s="203">
        <f>H40/DAY(B2)</f>
        <v>-438.76625000000001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'15'!F41</f>
        <v>407117</v>
      </c>
      <c r="F41" s="161">
        <v>365502.35</v>
      </c>
      <c r="G41" s="124">
        <f t="shared" si="3"/>
        <v>-41614.650000000023</v>
      </c>
      <c r="H41" s="111">
        <f>G41+'15'!H41</f>
        <v>-1337.6500000000233</v>
      </c>
      <c r="I41" s="106"/>
      <c r="J41" s="203">
        <f>H41/DAY(B2)</f>
        <v>-83.603125000001455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'15'!F42</f>
        <v>147899</v>
      </c>
      <c r="F42" s="161">
        <v>76541.78</v>
      </c>
      <c r="G42" s="124">
        <f>F42-E42</f>
        <v>-71357.22</v>
      </c>
      <c r="H42" s="111">
        <f>G42+'15'!H42</f>
        <v>-38970.22</v>
      </c>
      <c r="I42" s="106"/>
      <c r="J42" s="203">
        <f>H42/DAY(B2)</f>
        <v>-2435.6387500000001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'15'!F43</f>
        <v>1246660</v>
      </c>
      <c r="F43" s="161">
        <v>1162991.5</v>
      </c>
      <c r="G43" s="124">
        <f t="shared" si="3"/>
        <v>-83668.5</v>
      </c>
      <c r="H43" s="111">
        <f>G43+'15'!H43</f>
        <v>-41469.5</v>
      </c>
      <c r="I43" s="106"/>
      <c r="J43" s="203">
        <f>H43/DAY(B2)</f>
        <v>-2591.84375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-446234.13</v>
      </c>
      <c r="H47" s="111">
        <f>G47+'15'!H47</f>
        <v>-206445.94000000006</v>
      </c>
      <c r="I47" s="106"/>
      <c r="J47" s="203">
        <f>H47/DAY(B2)</f>
        <v>-12902.871250000004</v>
      </c>
      <c r="K47" s="81"/>
      <c r="L47" s="68"/>
      <c r="N47" s="369"/>
      <c r="O47" s="376"/>
      <c r="P47" s="73"/>
    </row>
    <row r="48" spans="1:16">
      <c r="A48" s="249" t="s">
        <v>176</v>
      </c>
      <c r="B48" s="836"/>
      <c r="C48" s="83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'15'!F49</f>
        <v>369746</v>
      </c>
      <c r="F49" s="161">
        <v>278602.17</v>
      </c>
      <c r="G49" s="124">
        <f t="shared" ref="G49:G58" si="4">F49-E49</f>
        <v>-91143.830000000016</v>
      </c>
      <c r="H49" s="111">
        <f>G49+'15'!H49</f>
        <v>-48435.830000000016</v>
      </c>
      <c r="I49" s="106"/>
      <c r="J49" s="203">
        <f>H49/DAY(B2)</f>
        <v>-3027.239375000001</v>
      </c>
      <c r="K49" s="81">
        <f>E49+244</f>
        <v>369990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'15'!F50</f>
        <v>587113</v>
      </c>
      <c r="F50" s="706">
        <v>553515.43000000005</v>
      </c>
      <c r="G50" s="124">
        <f t="shared" si="4"/>
        <v>-33597.569999999949</v>
      </c>
      <c r="H50" s="111">
        <f>G50+'15'!H50</f>
        <v>-17301.569999999949</v>
      </c>
      <c r="I50" s="106"/>
      <c r="J50" s="203">
        <f>H50/DAY(B2)</f>
        <v>-1081.3481249999968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-0.13000000000465661</v>
      </c>
      <c r="I51" s="106"/>
      <c r="J51" s="203">
        <f>H51/DAY(B2)</f>
        <v>-8.1250000002910383E-3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-0.73999999999068677</v>
      </c>
      <c r="I53" s="106"/>
      <c r="J53" s="203">
        <f>H53/DAY(B2)</f>
        <v>-4.6249999999417923E-2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0.27000000000043656</v>
      </c>
      <c r="I54" s="106"/>
      <c r="J54" s="203">
        <f>H54/DAY(B2)</f>
        <v>1.6875000000027285E-2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'15'!F55</f>
        <v>265307</v>
      </c>
      <c r="F55" s="304">
        <v>169786.79</v>
      </c>
      <c r="G55" s="303">
        <f t="shared" si="4"/>
        <v>-95520.209999999992</v>
      </c>
      <c r="H55" s="356">
        <f>G55+'15'!H55</f>
        <v>-67399.209999999992</v>
      </c>
      <c r="I55" s="357"/>
      <c r="J55" s="358">
        <f>H55/DAY(B2)</f>
        <v>-4212.4506249999995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'15'!F56</f>
        <v>649532</v>
      </c>
      <c r="F56" s="304">
        <v>649199.91</v>
      </c>
      <c r="G56" s="124">
        <f t="shared" si="4"/>
        <v>-332.0899999999674</v>
      </c>
      <c r="H56" s="111">
        <f>G56+'15'!H56</f>
        <v>-172.0899999999674</v>
      </c>
      <c r="I56" s="106"/>
      <c r="J56" s="203">
        <f>H56/DAY(B2)</f>
        <v>-10.755624999997963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'15'!F58</f>
        <v>62774</v>
      </c>
      <c r="F58" s="304">
        <v>56816.19</v>
      </c>
      <c r="G58" s="124">
        <f t="shared" si="4"/>
        <v>-5957.8099999999977</v>
      </c>
      <c r="H58" s="111">
        <f>G58+'15'!H58</f>
        <v>-3074.8099999999977</v>
      </c>
      <c r="I58" s="106"/>
      <c r="J58" s="203">
        <f>H58/DAY(B2)</f>
        <v>-192.17562499999985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-226551.57999999996</v>
      </c>
      <c r="H59" s="111">
        <f>G59+'15'!H59</f>
        <v>-136383.70999999996</v>
      </c>
      <c r="I59" s="106">
        <f>G7-G60</f>
        <v>696035.71</v>
      </c>
      <c r="J59" s="203">
        <f>H59/DAY(B2)</f>
        <v>-8523.9818749999977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-672785.71</v>
      </c>
      <c r="H60" s="111">
        <f>G60+'15'!H60</f>
        <v>-337252.32</v>
      </c>
      <c r="I60" s="106">
        <f>G13-G60</f>
        <v>21094.410000000149</v>
      </c>
      <c r="J60" s="203">
        <f>H60/DAY(B2)</f>
        <v>-21078.27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858">
        <f>'15'!F64</f>
        <v>187579</v>
      </c>
      <c r="F64" s="277">
        <v>176328.81</v>
      </c>
      <c r="G64" s="424">
        <f t="shared" si="5"/>
        <v>-11250.190000000002</v>
      </c>
      <c r="H64" s="111">
        <f>G64+'15'!H64</f>
        <v>-5531.1900000000023</v>
      </c>
      <c r="I64" s="131"/>
      <c r="J64" s="203">
        <f>H64/DAY(B2)</f>
        <v>-345.69937500000015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'15'!F65</f>
        <v>188197</v>
      </c>
      <c r="F65" s="302">
        <v>176333.07</v>
      </c>
      <c r="G65" s="124">
        <f t="shared" si="5"/>
        <v>-11863.929999999993</v>
      </c>
      <c r="H65" s="111">
        <f>G65+'15'!H65</f>
        <v>-5875.929999999993</v>
      </c>
      <c r="I65" s="140"/>
      <c r="J65" s="203">
        <f>H65/DAY(B2)</f>
        <v>-367.24562499999956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'15'!F66</f>
        <v>86733</v>
      </c>
      <c r="F66" s="129">
        <v>74541.64</v>
      </c>
      <c r="G66" s="124">
        <f t="shared" si="5"/>
        <v>-12191.36</v>
      </c>
      <c r="H66" s="111">
        <f>G66+'15'!H66</f>
        <v>-6130.3600000000006</v>
      </c>
      <c r="I66" s="131"/>
      <c r="J66" s="203">
        <f>H66/DAY(B2)</f>
        <v>-383.14750000000004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'15'!F67</f>
        <v>287262</v>
      </c>
      <c r="F67" s="129">
        <v>272493.05</v>
      </c>
      <c r="G67" s="124">
        <f t="shared" si="5"/>
        <v>-14768.950000000012</v>
      </c>
      <c r="H67" s="111">
        <f>G67+'15'!H67</f>
        <v>-7564.9500000000116</v>
      </c>
      <c r="I67" s="140"/>
      <c r="J67" s="203">
        <f>H67/DAY(B2)</f>
        <v>-472.80937500000073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'15'!F69</f>
        <v>101317</v>
      </c>
      <c r="F69" s="129">
        <v>91726.12</v>
      </c>
      <c r="G69" s="124">
        <f t="shared" si="5"/>
        <v>-9590.8800000000047</v>
      </c>
      <c r="H69" s="111">
        <f>G69+'15'!H69</f>
        <v>-4830.8800000000047</v>
      </c>
      <c r="I69" s="167"/>
      <c r="J69" s="203">
        <f>H69/DAY(B2)</f>
        <v>-301.93000000000029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25"/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'15'!F72</f>
        <v>856804</v>
      </c>
      <c r="F72" s="305">
        <v>856417</v>
      </c>
      <c r="G72" s="124">
        <f t="shared" ref="G72:G84" si="6">F72-E72</f>
        <v>-387</v>
      </c>
      <c r="H72" s="111">
        <f>G72+'15'!H72</f>
        <v>-206</v>
      </c>
      <c r="I72" s="131"/>
      <c r="J72" s="203">
        <f>H72/DAY(B2)</f>
        <v>-12.875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'15'!F73</f>
        <v>886031</v>
      </c>
      <c r="F73" s="306">
        <v>885994</v>
      </c>
      <c r="G73" s="303">
        <f t="shared" si="6"/>
        <v>-37</v>
      </c>
      <c r="H73" s="111">
        <f>G73+'15'!H73</f>
        <v>138</v>
      </c>
      <c r="I73" s="131"/>
      <c r="J73" s="203">
        <f>H73/DAY(B2)</f>
        <v>8.625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'15'!F74</f>
        <v>88752</v>
      </c>
      <c r="F74" s="306">
        <v>88714.6</v>
      </c>
      <c r="G74" s="124">
        <f t="shared" si="6"/>
        <v>-37.399999999994179</v>
      </c>
      <c r="H74" s="111">
        <f>G74+'15'!H74</f>
        <v>53.600000000005821</v>
      </c>
      <c r="I74" s="131"/>
      <c r="J74" s="203">
        <f>H74/DAY(B2)</f>
        <v>3.3500000000003638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'15'!F75</f>
        <v>23490.5</v>
      </c>
      <c r="F75" s="306">
        <v>18527.59</v>
      </c>
      <c r="G75" s="124">
        <f t="shared" si="6"/>
        <v>-4962.91</v>
      </c>
      <c r="H75" s="111">
        <f>G75+'15'!H75</f>
        <v>-2419.41</v>
      </c>
      <c r="I75" s="131"/>
      <c r="J75" s="203">
        <f>H75/DAY(B2)</f>
        <v>-151.21312499999999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'15'!F76</f>
        <v>12212</v>
      </c>
      <c r="F76" s="306">
        <v>10388.01</v>
      </c>
      <c r="G76" s="124">
        <f t="shared" si="6"/>
        <v>-1823.9899999999998</v>
      </c>
      <c r="H76" s="111">
        <f>G76+'15'!H76</f>
        <v>462.61000000000058</v>
      </c>
      <c r="I76" s="156"/>
      <c r="J76" s="203">
        <f>H76/DAY(B2)</f>
        <v>28.913125000000036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'15'!F77</f>
        <v>707386</v>
      </c>
      <c r="F77" s="306">
        <v>705350</v>
      </c>
      <c r="G77" s="303">
        <f t="shared" si="6"/>
        <v>-2036</v>
      </c>
      <c r="H77" s="111">
        <f>G77+'15'!H77</f>
        <v>-1103</v>
      </c>
      <c r="I77" s="156"/>
      <c r="J77" s="203">
        <f>H77/DAY(B2)</f>
        <v>-68.9375</v>
      </c>
      <c r="K77" s="83"/>
      <c r="L77" s="68"/>
      <c r="N77" s="369"/>
      <c r="O77" s="376"/>
      <c r="P77" s="73"/>
    </row>
    <row r="78" spans="1:16" ht="27.75">
      <c r="A78" s="837" t="s">
        <v>196</v>
      </c>
      <c r="B78" s="833"/>
      <c r="C78" s="833"/>
      <c r="D78" s="174" t="s">
        <v>186</v>
      </c>
      <c r="E78" s="170">
        <f>'15'!F78</f>
        <v>680529</v>
      </c>
      <c r="F78" s="307">
        <v>676996</v>
      </c>
      <c r="G78" s="124">
        <f t="shared" si="6"/>
        <v>-3533</v>
      </c>
      <c r="H78" s="111">
        <f>G78+'15'!H78</f>
        <v>-1857</v>
      </c>
      <c r="I78" s="156"/>
      <c r="J78" s="203">
        <f>H78/DAY(B2)</f>
        <v>-116.0625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'15'!F79</f>
        <v>842520</v>
      </c>
      <c r="F79" s="307">
        <v>837913</v>
      </c>
      <c r="G79" s="124">
        <f t="shared" si="6"/>
        <v>-4607</v>
      </c>
      <c r="H79" s="111">
        <f>G79+'15'!H79</f>
        <v>-2769</v>
      </c>
      <c r="I79" s="156"/>
      <c r="J79" s="203">
        <f>H79/DAY(B2)</f>
        <v>-173.0625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'15'!F80</f>
        <v>558029</v>
      </c>
      <c r="F80" s="938">
        <v>545786.76</v>
      </c>
      <c r="G80" s="124">
        <f t="shared" si="6"/>
        <v>-12242.239999999991</v>
      </c>
      <c r="H80" s="111">
        <f>G80+'15'!H80</f>
        <v>-9419.2399999999907</v>
      </c>
      <c r="I80" s="156"/>
      <c r="J80" s="203">
        <f>H80/DAY(B2)</f>
        <v>-588.70249999999942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'15'!F81</f>
        <v>651590</v>
      </c>
      <c r="F81" s="306">
        <v>645997.07999999996</v>
      </c>
      <c r="G81" s="124">
        <f t="shared" si="6"/>
        <v>-5592.9200000000419</v>
      </c>
      <c r="H81" s="111">
        <f>G81+'15'!H81</f>
        <v>-3020.9200000000419</v>
      </c>
      <c r="I81" s="156"/>
      <c r="J81" s="203">
        <f>H81/DAY(B2)</f>
        <v>-188.80750000000262</v>
      </c>
      <c r="K81" s="83"/>
      <c r="L81" s="68"/>
      <c r="N81" s="369"/>
      <c r="O81" s="376"/>
      <c r="P81" s="73"/>
    </row>
    <row r="82" spans="1:16" s="92" customFormat="1" ht="27.75">
      <c r="A82" s="1260" t="s">
        <v>92</v>
      </c>
      <c r="B82" s="1261"/>
      <c r="C82" s="1262"/>
      <c r="D82" s="302" t="s">
        <v>131</v>
      </c>
      <c r="E82" s="171">
        <f>'15'!F82</f>
        <v>109615</v>
      </c>
      <c r="F82" s="302">
        <v>109014.88</v>
      </c>
      <c r="G82" s="303">
        <f t="shared" si="6"/>
        <v>-600.11999999999534</v>
      </c>
      <c r="H82" s="356">
        <f>G82+'15'!H82</f>
        <v>-321.11999999999534</v>
      </c>
      <c r="I82" s="356"/>
      <c r="J82" s="358">
        <f>H82/DAY(B2)</f>
        <v>-20.069999999999709</v>
      </c>
      <c r="K82" s="942"/>
      <c r="L82" s="756"/>
      <c r="N82" s="369"/>
      <c r="O82" s="378"/>
      <c r="P82" s="364"/>
    </row>
    <row r="83" spans="1:16" ht="27.75">
      <c r="A83" s="1184" t="s">
        <v>199</v>
      </c>
      <c r="B83" s="1185"/>
      <c r="C83" s="1186"/>
      <c r="D83" s="271" t="s">
        <v>131</v>
      </c>
      <c r="E83" s="170">
        <f>'15'!F83</f>
        <v>39750</v>
      </c>
      <c r="F83" s="162">
        <v>31313</v>
      </c>
      <c r="G83" s="124">
        <f t="shared" si="6"/>
        <v>-8437</v>
      </c>
      <c r="H83" s="111">
        <f>G83+'15'!H83</f>
        <v>-3712</v>
      </c>
      <c r="I83" s="132"/>
      <c r="J83" s="203">
        <f>H83/DAY(B2)</f>
        <v>-232</v>
      </c>
      <c r="K83" s="82"/>
      <c r="L83" s="68"/>
      <c r="N83" s="369"/>
      <c r="O83" s="376"/>
      <c r="P83" s="73"/>
    </row>
    <row r="84" spans="1:16">
      <c r="A84" s="840" t="s">
        <v>200</v>
      </c>
      <c r="B84" s="222"/>
      <c r="C84" s="222"/>
      <c r="D84" s="129" t="s">
        <v>131</v>
      </c>
      <c r="E84" s="170">
        <f>'15'!F84</f>
        <v>558997</v>
      </c>
      <c r="F84" s="278">
        <v>535859</v>
      </c>
      <c r="G84" s="124">
        <f t="shared" si="6"/>
        <v>-23138</v>
      </c>
      <c r="H84" s="111">
        <f>G84+'15'!H84</f>
        <v>-11534</v>
      </c>
      <c r="I84" s="132"/>
      <c r="J84" s="203">
        <f>H84/DAY(B2)</f>
        <v>-720.875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-67434.580000000016</v>
      </c>
      <c r="H85" s="111">
        <f>G85+'15'!H85</f>
        <v>-33631.080000000016</v>
      </c>
      <c r="I85" s="132"/>
      <c r="J85" s="203">
        <f>H85/DAY(B2)</f>
        <v>-2101.942500000001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'15'!F86</f>
        <v>463123</v>
      </c>
      <c r="F86" s="1091">
        <v>462211.88</v>
      </c>
      <c r="G86" s="356">
        <f t="shared" ref="G86:G91" si="7">F86-E86</f>
        <v>-911.11999999999534</v>
      </c>
      <c r="H86" s="356">
        <f t="shared" ref="H86:H88" si="8">G86</f>
        <v>-911.11999999999534</v>
      </c>
      <c r="I86" s="303"/>
      <c r="J86" s="358">
        <f>H86/DAY(B2)</f>
        <v>-56.944999999999709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'15'!F87</f>
        <v>83399</v>
      </c>
      <c r="F87" s="298">
        <v>82523.399999999994</v>
      </c>
      <c r="G87" s="356">
        <f t="shared" si="7"/>
        <v>-875.60000000000582</v>
      </c>
      <c r="H87" s="356">
        <f t="shared" si="8"/>
        <v>-875.60000000000582</v>
      </c>
      <c r="I87" s="303"/>
      <c r="J87" s="358">
        <f>H87/DAY(B2)</f>
        <v>-54.725000000000364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1091">
        <v>157124.66</v>
      </c>
      <c r="G88" s="356">
        <f t="shared" si="7"/>
        <v>-1087.3399999999965</v>
      </c>
      <c r="H88" s="356">
        <f t="shared" si="8"/>
        <v>-1087.3399999999965</v>
      </c>
      <c r="I88" s="303"/>
      <c r="J88" s="358">
        <f>H88/DAY(B2)</f>
        <v>-67.958749999999782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'15'!F89</f>
        <v>67937</v>
      </c>
      <c r="F89" s="298">
        <v>66543.199999999997</v>
      </c>
      <c r="G89" s="356">
        <f t="shared" si="7"/>
        <v>-1393.8000000000029</v>
      </c>
      <c r="H89" s="356">
        <f>G89</f>
        <v>-1393.8000000000029</v>
      </c>
      <c r="I89" s="303"/>
      <c r="J89" s="358">
        <f>H89/DAY(B2)</f>
        <v>-87.112500000000182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'15'!F90</f>
        <v>3526</v>
      </c>
      <c r="F90" s="298">
        <v>3404.9</v>
      </c>
      <c r="G90" s="356">
        <f t="shared" si="7"/>
        <v>-121.09999999999991</v>
      </c>
      <c r="H90" s="356">
        <f>G90</f>
        <v>-121.09999999999991</v>
      </c>
      <c r="I90" s="303"/>
      <c r="J90" s="358">
        <f>H90/DAY(B2)</f>
        <v>-7.5687499999999943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'15'!F91</f>
        <v>28622</v>
      </c>
      <c r="F91" s="298">
        <v>28384.31</v>
      </c>
      <c r="G91" s="356">
        <f t="shared" si="7"/>
        <v>-237.68999999999869</v>
      </c>
      <c r="H91" s="356">
        <f>G91</f>
        <v>-237.68999999999869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38"/>
      <c r="C92" s="838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'15'!F93</f>
        <v>251876</v>
      </c>
      <c r="F93" s="129">
        <v>248943</v>
      </c>
      <c r="G93" s="124">
        <f t="shared" ref="G93:G94" si="9">F93-E93</f>
        <v>-2933</v>
      </c>
      <c r="H93" s="111">
        <f>G93+'15'!H93</f>
        <v>-1371</v>
      </c>
      <c r="I93" s="131"/>
      <c r="J93" s="203">
        <f>H93/DAY(B2)</f>
        <v>-85.6875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'15'!F94</f>
        <v>195255</v>
      </c>
      <c r="F94" s="129">
        <v>191265</v>
      </c>
      <c r="G94" s="124">
        <f t="shared" si="9"/>
        <v>-3990</v>
      </c>
      <c r="H94" s="111">
        <f>G94+'15'!H94</f>
        <v>-1633</v>
      </c>
      <c r="I94" s="131"/>
      <c r="J94" s="203">
        <f>H94/DAY(B2)</f>
        <v>-102.0625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'15'!F95</f>
        <v>0</v>
      </c>
      <c r="F95" s="129">
        <v>0</v>
      </c>
      <c r="G95" s="124">
        <f>G93+G94</f>
        <v>-6923</v>
      </c>
      <c r="H95" s="111">
        <f>G95+'15'!H95</f>
        <v>-3310</v>
      </c>
      <c r="I95" s="131"/>
      <c r="J95" s="203">
        <f>H95/DAY(B2)</f>
        <v>-206.875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'15'!F96</f>
        <v>419723</v>
      </c>
      <c r="F96" s="129">
        <v>417455</v>
      </c>
      <c r="G96" s="124">
        <f t="shared" ref="G96:G101" si="10">F96-E96</f>
        <v>-2268</v>
      </c>
      <c r="H96" s="111">
        <f>G96+'15'!H96</f>
        <v>-1081</v>
      </c>
      <c r="I96" s="131"/>
      <c r="J96" s="203">
        <f>H96/DAY(B2)</f>
        <v>-67.5625</v>
      </c>
      <c r="K96" s="71"/>
      <c r="L96" s="68"/>
      <c r="N96" s="369"/>
      <c r="O96" s="376"/>
      <c r="P96" s="73"/>
    </row>
    <row r="97" spans="1:16" ht="27.75">
      <c r="A97" s="834" t="s">
        <v>209</v>
      </c>
      <c r="B97" s="835"/>
      <c r="C97" s="835"/>
      <c r="D97" s="174" t="s">
        <v>143</v>
      </c>
      <c r="E97" s="135">
        <f>'15'!F97</f>
        <v>104244</v>
      </c>
      <c r="F97" s="129">
        <v>103511</v>
      </c>
      <c r="G97" s="124">
        <f t="shared" si="10"/>
        <v>-733</v>
      </c>
      <c r="H97" s="111">
        <f>G97+'15'!H97</f>
        <v>-338</v>
      </c>
      <c r="I97" s="131"/>
      <c r="J97" s="203">
        <f>H97/DAY(B2)</f>
        <v>-21.125</v>
      </c>
      <c r="K97" s="80"/>
      <c r="L97" s="68"/>
      <c r="N97" s="369"/>
      <c r="O97" s="376"/>
      <c r="P97" s="73"/>
    </row>
    <row r="98" spans="1:16" ht="27.75">
      <c r="A98" s="834" t="s">
        <v>210</v>
      </c>
      <c r="B98" s="835"/>
      <c r="C98" s="835"/>
      <c r="D98" s="174" t="s">
        <v>143</v>
      </c>
      <c r="E98" s="135">
        <f>'15'!F98</f>
        <v>99903</v>
      </c>
      <c r="F98" s="129">
        <v>99060</v>
      </c>
      <c r="G98" s="124">
        <f t="shared" si="10"/>
        <v>-843</v>
      </c>
      <c r="H98" s="111">
        <f>G98+'15'!H98</f>
        <v>-388</v>
      </c>
      <c r="I98" s="131"/>
      <c r="J98" s="203">
        <f>H98/DAY(B2)</f>
        <v>-24.25</v>
      </c>
      <c r="K98" s="85"/>
      <c r="L98" s="68"/>
      <c r="N98" s="369">
        <v>96617</v>
      </c>
      <c r="O98" s="376"/>
      <c r="P98" s="73"/>
    </row>
    <row r="99" spans="1:16" ht="27.75">
      <c r="A99" s="834" t="s">
        <v>211</v>
      </c>
      <c r="B99" s="835"/>
      <c r="C99" s="835"/>
      <c r="D99" s="174" t="s">
        <v>143</v>
      </c>
      <c r="E99" s="135">
        <f>'15'!F99</f>
        <v>151646</v>
      </c>
      <c r="F99" s="129">
        <v>150885</v>
      </c>
      <c r="G99" s="124">
        <f t="shared" si="10"/>
        <v>-761</v>
      </c>
      <c r="H99" s="111">
        <f>G99+'15'!H99</f>
        <v>-366</v>
      </c>
      <c r="I99" s="131"/>
      <c r="J99" s="203">
        <f>H99/DAY(B2)</f>
        <v>-22.875</v>
      </c>
      <c r="K99" s="71"/>
      <c r="L99" s="68"/>
      <c r="N99" s="371"/>
      <c r="O99" s="376"/>
      <c r="P99" s="73"/>
    </row>
    <row r="100" spans="1:16" ht="27.75">
      <c r="A100" s="834" t="s">
        <v>212</v>
      </c>
      <c r="B100" s="835"/>
      <c r="C100" s="835"/>
      <c r="D100" s="174" t="s">
        <v>143</v>
      </c>
      <c r="E100" s="135">
        <f>'15'!F100</f>
        <v>8421</v>
      </c>
      <c r="F100" s="129">
        <v>7966</v>
      </c>
      <c r="G100" s="124">
        <f t="shared" si="10"/>
        <v>-455</v>
      </c>
      <c r="H100" s="111">
        <f>G100+'15'!H100</f>
        <v>-199</v>
      </c>
      <c r="I100" s="131"/>
      <c r="J100" s="203">
        <f>H100/DAY(B2)</f>
        <v>-12.4375</v>
      </c>
      <c r="K100" s="71"/>
      <c r="L100" s="68"/>
      <c r="N100" s="369"/>
      <c r="O100" s="376"/>
      <c r="P100" s="73"/>
    </row>
    <row r="101" spans="1:16" ht="27.75">
      <c r="A101" s="834" t="s">
        <v>213</v>
      </c>
      <c r="B101" s="835"/>
      <c r="C101" s="835"/>
      <c r="D101" s="174" t="s">
        <v>143</v>
      </c>
      <c r="E101" s="135">
        <f>'15'!F101</f>
        <v>6184</v>
      </c>
      <c r="F101" s="129">
        <v>5841</v>
      </c>
      <c r="G101" s="124">
        <f t="shared" si="10"/>
        <v>-343</v>
      </c>
      <c r="H101" s="111">
        <f>G101+'15'!H101</f>
        <v>-150</v>
      </c>
      <c r="I101" s="131"/>
      <c r="J101" s="203">
        <f>H101/DAY(B2)</f>
        <v>-9.375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-5403</v>
      </c>
      <c r="H102" s="111">
        <f>G102+'15'!H102</f>
        <v>-2522</v>
      </c>
      <c r="I102" s="177"/>
      <c r="J102" s="203">
        <f>H102/DAY(B2)</f>
        <v>-157.625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39"/>
      <c r="D105" s="273" t="s">
        <v>143</v>
      </c>
      <c r="E105" s="135">
        <f>'15'!F105</f>
        <v>7952</v>
      </c>
      <c r="F105" s="941">
        <v>7767</v>
      </c>
      <c r="G105" s="183">
        <f>F105-E105</f>
        <v>-185</v>
      </c>
      <c r="H105" s="184">
        <f>SUM(G105+'1'!G76)</f>
        <v>-125.3700000000008</v>
      </c>
      <c r="I105" s="183"/>
      <c r="J105" s="209">
        <f>H105/DAY(B2)</f>
        <v>-7.83562500000005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39"/>
      <c r="D106" s="273" t="s">
        <v>143</v>
      </c>
      <c r="E106" s="135">
        <f>'15'!F106</f>
        <v>36602</v>
      </c>
      <c r="F106" s="310">
        <v>36321</v>
      </c>
      <c r="G106" s="183">
        <f t="shared" ref="G106:G107" si="11">F106-E106</f>
        <v>-281</v>
      </c>
      <c r="H106" s="184">
        <f>SUM(G106+'1'!G77)</f>
        <v>-222</v>
      </c>
      <c r="I106" s="183"/>
      <c r="J106" s="209">
        <f>H106/DAY(B2)</f>
        <v>-13.875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'15'!F107</f>
        <v>20083</v>
      </c>
      <c r="F107" s="310">
        <v>19893</v>
      </c>
      <c r="G107" s="183">
        <f t="shared" si="11"/>
        <v>-190</v>
      </c>
      <c r="H107" s="184">
        <f>SUM(G107+'1'!G78)</f>
        <v>-46</v>
      </c>
      <c r="I107" s="183"/>
      <c r="J107" s="209">
        <f>H107/DAY(B2)</f>
        <v>-2.875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39"/>
      <c r="D108" s="273"/>
      <c r="E108" s="135">
        <f>'15'!F108</f>
        <v>0</v>
      </c>
      <c r="F108" s="310"/>
      <c r="G108" s="183">
        <f>SUM(G105:G107)</f>
        <v>-656</v>
      </c>
      <c r="H108" s="184">
        <f>SUM(G108+'1'!G79)</f>
        <v>-513</v>
      </c>
      <c r="I108" s="183"/>
      <c r="J108" s="209">
        <f>H108/DAY(B2)</f>
        <v>-32.0625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39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39"/>
      <c r="D110" s="273" t="s">
        <v>143</v>
      </c>
      <c r="E110" s="135">
        <f>'15'!F110</f>
        <v>68288</v>
      </c>
      <c r="F110" s="310">
        <v>66039</v>
      </c>
      <c r="G110" s="183">
        <f>F110-E110</f>
        <v>-2249</v>
      </c>
      <c r="H110" s="184">
        <f>SUM(G110+'1'!G81)</f>
        <v>-2083.4399999999441</v>
      </c>
      <c r="I110" s="183"/>
      <c r="J110" s="209">
        <f>H110/DAY(B2)</f>
        <v>-130.21499999999651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39"/>
      <c r="D111" s="273" t="s">
        <v>143</v>
      </c>
      <c r="E111" s="135">
        <f>'15'!F111</f>
        <v>33886</v>
      </c>
      <c r="F111" s="310">
        <v>33603</v>
      </c>
      <c r="G111" s="183">
        <f t="shared" ref="G111:G112" si="12">F111-E111</f>
        <v>-283</v>
      </c>
      <c r="H111" s="184">
        <f>SUM(G111+'1'!G82)</f>
        <v>-269.72000000000116</v>
      </c>
      <c r="I111" s="183"/>
      <c r="J111" s="209">
        <f>H111/DAY(B2)</f>
        <v>-16.857500000000073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39"/>
      <c r="D112" s="273" t="s">
        <v>143</v>
      </c>
      <c r="E112" s="135">
        <f>'15'!F112</f>
        <v>4692</v>
      </c>
      <c r="F112" s="310">
        <v>4621.3</v>
      </c>
      <c r="G112" s="183">
        <f t="shared" si="12"/>
        <v>-70.699999999999818</v>
      </c>
      <c r="H112" s="184">
        <f>SUM(G112+'1'!G83)</f>
        <v>234.30000000000018</v>
      </c>
      <c r="I112" s="183"/>
      <c r="J112" s="209">
        <f>H112/DAY(B2)</f>
        <v>14.643750000000011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39"/>
      <c r="D113" s="273"/>
      <c r="E113" s="135">
        <f>'15'!F113</f>
        <v>0</v>
      </c>
      <c r="F113" s="310"/>
      <c r="G113" s="183">
        <f>SUM(G110:G112)</f>
        <v>-2602.6999999999998</v>
      </c>
      <c r="H113" s="184">
        <f>SUM(G113+'1'!G84)</f>
        <v>-1793.6999999999998</v>
      </c>
      <c r="I113" s="183"/>
      <c r="J113" s="209">
        <f>H113/DAY(B2)</f>
        <v>-112.10624999999999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39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'15'!F115</f>
        <v>12769</v>
      </c>
      <c r="F115" s="310">
        <v>12226</v>
      </c>
      <c r="G115" s="185">
        <f>F115-E115</f>
        <v>-543</v>
      </c>
      <c r="H115" s="184">
        <f>SUM(G115+'1'!G92)</f>
        <v>-543</v>
      </c>
      <c r="I115" s="183"/>
      <c r="J115" s="209">
        <f>H115/DAY(B2)</f>
        <v>-33.9375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'15'!F116</f>
        <v>8976</v>
      </c>
      <c r="F116" s="310">
        <v>8694</v>
      </c>
      <c r="G116" s="185">
        <f t="shared" ref="G116:G117" si="13">F116-E116</f>
        <v>-282</v>
      </c>
      <c r="H116" s="184">
        <f>SUM(G116+'1'!G93)</f>
        <v>-147</v>
      </c>
      <c r="I116" s="183"/>
      <c r="J116" s="209">
        <f>H116/DAY(B2)</f>
        <v>-9.1875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10.6875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-825</v>
      </c>
      <c r="H118" s="184">
        <f>SUM(G118+'1'!G96)</f>
        <v>-755</v>
      </c>
      <c r="I118" s="185"/>
      <c r="J118" s="209">
        <f>H118/DAY(B2)</f>
        <v>-47.1875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42"/>
      <c r="D119" s="275" t="s">
        <v>143</v>
      </c>
      <c r="E119" s="187"/>
      <c r="F119" s="311">
        <f>SUM(G19+G93)</f>
        <v>-2873</v>
      </c>
      <c r="G119" s="187">
        <f>SUM(G19+G93)</f>
        <v>-2873</v>
      </c>
      <c r="H119" s="184">
        <f>SUM(G119+'1'!G97)</f>
        <v>-2839</v>
      </c>
      <c r="I119" s="186"/>
      <c r="J119" s="210">
        <f>H119/DAY(B2)</f>
        <v>-177.4375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42"/>
      <c r="D120" s="275" t="s">
        <v>143</v>
      </c>
      <c r="E120" s="187"/>
      <c r="F120" s="311">
        <f>SUM(G96,G97,G98,G100,G101)</f>
        <v>-4642</v>
      </c>
      <c r="G120" s="187">
        <f>SUM(G96,G97,G98,G100,G101)</f>
        <v>-4642</v>
      </c>
      <c r="H120" s="184">
        <f>SUM(G120+'1'!G99)</f>
        <v>-4636</v>
      </c>
      <c r="I120" s="186"/>
      <c r="J120" s="210">
        <f>H120/DAY(B2)</f>
        <v>-289.75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42"/>
      <c r="D121" s="275" t="s">
        <v>143</v>
      </c>
      <c r="E121" s="185"/>
      <c r="F121" s="310">
        <f>SUM(G113)</f>
        <v>-2602.6999999999998</v>
      </c>
      <c r="G121" s="185">
        <f>SUM(G113)</f>
        <v>-2602.6999999999998</v>
      </c>
      <c r="H121" s="184">
        <f>SUM(G121+'1'!G101)</f>
        <v>-2587.6999999999998</v>
      </c>
      <c r="I121" s="186"/>
      <c r="J121" s="210">
        <f>H121/DAY(B2)</f>
        <v>-161.73124999999999</v>
      </c>
      <c r="N121" s="369"/>
      <c r="O121" s="376"/>
      <c r="P121" s="73"/>
    </row>
    <row r="122" spans="1:16" s="93" customFormat="1" ht="27.75">
      <c r="A122" s="1190"/>
      <c r="B122" s="1191"/>
      <c r="C122" s="843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34" t="s">
        <v>230</v>
      </c>
      <c r="B124" s="835"/>
      <c r="C124" s="835"/>
      <c r="D124" s="174" t="s">
        <v>140</v>
      </c>
      <c r="E124" s="129">
        <f>'15'!F124</f>
        <v>852023</v>
      </c>
      <c r="F124" s="129">
        <v>843994.51</v>
      </c>
      <c r="G124" s="124">
        <f t="shared" ref="G124:G128" si="14">F124-E124</f>
        <v>-8028.4899999999907</v>
      </c>
      <c r="H124" s="111">
        <f>G124+'15'!H124</f>
        <v>-3971.4899999999907</v>
      </c>
      <c r="I124" s="177"/>
      <c r="J124" s="203">
        <f>H124/DAY(B2)</f>
        <v>-248.21812499999942</v>
      </c>
      <c r="K124" s="71"/>
      <c r="L124" s="68"/>
      <c r="N124" s="369"/>
      <c r="O124" s="376"/>
      <c r="P124" s="73"/>
    </row>
    <row r="125" spans="1:16" ht="27.75">
      <c r="A125" s="834" t="s">
        <v>231</v>
      </c>
      <c r="B125" s="835"/>
      <c r="C125" s="835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'15'!F126</f>
        <v>152637</v>
      </c>
      <c r="F126" s="129">
        <v>150071.53</v>
      </c>
      <c r="G126" s="124">
        <f t="shared" si="14"/>
        <v>-2565.4700000000012</v>
      </c>
      <c r="H126" s="111">
        <f>G126+'15'!H126</f>
        <v>-1249.4700000000012</v>
      </c>
      <c r="I126" s="177"/>
      <c r="J126" s="203">
        <f>H126/DAY(B2)</f>
        <v>-78.091875000000073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35"/>
      <c r="C127" s="835"/>
      <c r="D127" s="174" t="s">
        <v>140</v>
      </c>
      <c r="E127" s="277">
        <f>'15'!F127</f>
        <v>33961</v>
      </c>
      <c r="F127" s="277">
        <v>32684.2</v>
      </c>
      <c r="G127" s="124">
        <f t="shared" si="14"/>
        <v>-1276.7999999999993</v>
      </c>
      <c r="H127" s="111">
        <f>G127+'15'!H127</f>
        <v>-603.79999999999927</v>
      </c>
      <c r="I127" s="177"/>
      <c r="J127" s="203">
        <f>H127/DAY(B2)</f>
        <v>-37.737499999999955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35"/>
      <c r="C128" s="835"/>
      <c r="D128" s="174" t="s">
        <v>140</v>
      </c>
      <c r="E128" s="277">
        <f>'15'!F128</f>
        <v>9144</v>
      </c>
      <c r="F128" s="277">
        <v>9073.4</v>
      </c>
      <c r="G128" s="124">
        <f t="shared" si="14"/>
        <v>-70.600000000000364</v>
      </c>
      <c r="H128" s="111">
        <f>G128+'15'!H128</f>
        <v>-39.600000000000364</v>
      </c>
      <c r="I128" s="131"/>
      <c r="J128" s="203">
        <f>H128/DAY(B2)</f>
        <v>-2.4750000000000227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35"/>
      <c r="C129" s="835"/>
      <c r="D129" s="174"/>
      <c r="E129" s="129"/>
      <c r="F129" s="129"/>
      <c r="G129" s="124">
        <f>G15-SUM(G124:G128)</f>
        <v>12891.359999999991</v>
      </c>
      <c r="H129" s="111">
        <f>G129+'15'!H129</f>
        <v>12891.359999999991</v>
      </c>
      <c r="I129" s="131"/>
      <c r="J129" s="203">
        <f>H129/DAY(B2)</f>
        <v>805.70999999999947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34" t="s">
        <v>237</v>
      </c>
      <c r="B131" s="835"/>
      <c r="C131" s="835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34" t="s">
        <v>239</v>
      </c>
      <c r="B132" s="835"/>
      <c r="C132" s="835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34" t="s">
        <v>240</v>
      </c>
      <c r="B133" s="835"/>
      <c r="C133" s="835"/>
      <c r="D133" s="174" t="s">
        <v>238</v>
      </c>
      <c r="E133" s="192">
        <f>'15'!F133</f>
        <v>40805</v>
      </c>
      <c r="F133" s="302">
        <v>40612.1</v>
      </c>
      <c r="G133" s="124">
        <f t="shared" si="15"/>
        <v>-192.90000000000146</v>
      </c>
      <c r="H133" s="111">
        <f>G133+'15'!H133</f>
        <v>-6.9000000000014552</v>
      </c>
      <c r="I133" s="131"/>
      <c r="J133" s="203">
        <f>H133/DAY(B2)</f>
        <v>-0.43125000000009095</v>
      </c>
      <c r="N133" s="369"/>
      <c r="O133" s="376"/>
      <c r="P133" s="73"/>
    </row>
    <row r="134" spans="1:16" ht="27.75">
      <c r="A134" s="834" t="s">
        <v>241</v>
      </c>
      <c r="B134" s="835"/>
      <c r="C134" s="835"/>
      <c r="D134" s="174" t="s">
        <v>238</v>
      </c>
      <c r="E134" s="352">
        <f>'15'!F134</f>
        <v>724.25</v>
      </c>
      <c r="F134" s="277">
        <v>384.48</v>
      </c>
      <c r="G134" s="124">
        <f t="shared" si="15"/>
        <v>-339.77</v>
      </c>
      <c r="H134" s="111">
        <f>G134+'15'!H134</f>
        <v>-189.51999999999998</v>
      </c>
      <c r="I134" s="131">
        <f>G131+G132+G133+G134</f>
        <v>-532.67000000000144</v>
      </c>
      <c r="J134" s="203">
        <f>H134/DAY(B2)</f>
        <v>-11.844999999999999</v>
      </c>
      <c r="N134" s="369"/>
      <c r="O134" s="376"/>
      <c r="P134" s="73"/>
    </row>
    <row r="135" spans="1:16" ht="27.75">
      <c r="A135" s="834" t="s">
        <v>242</v>
      </c>
      <c r="B135" s="835"/>
      <c r="C135" s="835"/>
      <c r="D135" s="174" t="s">
        <v>238</v>
      </c>
      <c r="E135" s="352">
        <f>'15'!F135</f>
        <v>42638</v>
      </c>
      <c r="F135" s="277">
        <v>42209</v>
      </c>
      <c r="G135" s="124">
        <f t="shared" si="15"/>
        <v>-429</v>
      </c>
      <c r="H135" s="111">
        <f>G135+'15'!H135</f>
        <v>-290</v>
      </c>
      <c r="I135" s="131"/>
      <c r="J135" s="203">
        <f>H135/DAY(B2)</f>
        <v>-18.125</v>
      </c>
      <c r="N135" s="369"/>
      <c r="O135" s="376"/>
      <c r="P135" s="73"/>
    </row>
    <row r="136" spans="1:16" ht="27.75">
      <c r="A136" s="834" t="s">
        <v>243</v>
      </c>
      <c r="B136" s="835"/>
      <c r="C136" s="835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34" t="s">
        <v>244</v>
      </c>
      <c r="B137" s="835"/>
      <c r="C137" s="835"/>
      <c r="D137" s="174" t="s">
        <v>238</v>
      </c>
      <c r="E137" s="192">
        <f>'15'!F137</f>
        <v>23219.46</v>
      </c>
      <c r="F137" s="302">
        <v>23005.79</v>
      </c>
      <c r="G137" s="124">
        <f t="shared" si="15"/>
        <v>-213.66999999999825</v>
      </c>
      <c r="H137" s="111">
        <f>G137+'15'!H137</f>
        <v>-100.77000000000044</v>
      </c>
      <c r="I137" s="131">
        <f>G135+G136+G137</f>
        <v>-642.66999999999825</v>
      </c>
      <c r="J137" s="203">
        <f>H137/DAY(B2)</f>
        <v>-6.2981250000000273</v>
      </c>
      <c r="N137" s="369"/>
      <c r="O137" s="376"/>
      <c r="P137" s="73"/>
    </row>
    <row r="138" spans="1:16" ht="27.75">
      <c r="A138" s="834" t="s">
        <v>245</v>
      </c>
      <c r="B138" s="835"/>
      <c r="C138" s="835"/>
      <c r="D138" s="174" t="s">
        <v>238</v>
      </c>
      <c r="E138" s="192">
        <f>'15'!F138</f>
        <v>25132.98</v>
      </c>
      <c r="F138" s="302">
        <v>25099.16</v>
      </c>
      <c r="G138" s="124">
        <f t="shared" si="15"/>
        <v>-33.819999999999709</v>
      </c>
      <c r="H138" s="111">
        <f>G138+'15'!H138</f>
        <v>-20.290000000000873</v>
      </c>
      <c r="I138" s="131"/>
      <c r="J138" s="203">
        <f>H138/DAY(B2)</f>
        <v>-1.2681250000000546</v>
      </c>
      <c r="N138" s="369"/>
      <c r="O138" s="376"/>
      <c r="P138" s="73"/>
    </row>
    <row r="139" spans="1:16" ht="27.75">
      <c r="A139" s="834" t="s">
        <v>246</v>
      </c>
      <c r="B139" s="835"/>
      <c r="C139" s="835"/>
      <c r="D139" s="174" t="s">
        <v>238</v>
      </c>
      <c r="E139" s="192">
        <f>'15'!F139</f>
        <v>70523.55</v>
      </c>
      <c r="F139" s="302">
        <v>70516.600000000006</v>
      </c>
      <c r="G139" s="124">
        <f t="shared" si="15"/>
        <v>-6.9499999999970896</v>
      </c>
      <c r="H139" s="111">
        <f>G139+'15'!H139</f>
        <v>0</v>
      </c>
      <c r="I139" s="131">
        <f>G138+G139</f>
        <v>-40.769999999996799</v>
      </c>
      <c r="J139" s="203">
        <f>H139/DAY(B2)</f>
        <v>0</v>
      </c>
      <c r="N139" s="369"/>
      <c r="O139" s="376"/>
      <c r="P139" s="73"/>
    </row>
    <row r="140" spans="1:16" ht="27.75">
      <c r="A140" s="834" t="s">
        <v>247</v>
      </c>
      <c r="B140" s="835"/>
      <c r="C140" s="835"/>
      <c r="D140" s="174" t="s">
        <v>238</v>
      </c>
      <c r="E140" s="352">
        <f>'15'!F140</f>
        <v>2461.0300000000002</v>
      </c>
      <c r="F140" s="277">
        <v>2247.77</v>
      </c>
      <c r="G140" s="124">
        <f t="shared" si="15"/>
        <v>-213.26000000000022</v>
      </c>
      <c r="H140" s="111">
        <f>G140+'15'!H140</f>
        <v>-63.789999999999964</v>
      </c>
      <c r="I140" s="193"/>
      <c r="J140" s="203">
        <f>H140/DAY(B2)</f>
        <v>-3.9868749999999977</v>
      </c>
      <c r="N140" s="369"/>
      <c r="O140" s="376"/>
      <c r="P140" s="73"/>
    </row>
    <row r="141" spans="1:16" ht="27.75">
      <c r="A141" s="834" t="s">
        <v>248</v>
      </c>
      <c r="B141" s="835"/>
      <c r="C141" s="835"/>
      <c r="D141" s="174" t="s">
        <v>238</v>
      </c>
      <c r="E141" s="135">
        <f>'15'!F141</f>
        <v>4753.67</v>
      </c>
      <c r="F141" s="129">
        <v>4675.7700000000004</v>
      </c>
      <c r="G141" s="124">
        <f t="shared" si="15"/>
        <v>-77.899999999999636</v>
      </c>
      <c r="H141" s="111">
        <f>G141+'15'!H141</f>
        <v>-78.229999999999563</v>
      </c>
      <c r="I141" s="193"/>
      <c r="J141" s="203">
        <f>H141/DAY(B2)</f>
        <v>-4.8893749999999727</v>
      </c>
      <c r="N141" s="369"/>
      <c r="O141" s="376"/>
      <c r="P141" s="73"/>
    </row>
    <row r="142" spans="1:16">
      <c r="A142" s="1203" t="s">
        <v>297</v>
      </c>
      <c r="B142" s="1204"/>
      <c r="C142" s="838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-174811.02999999997</v>
      </c>
      <c r="H143" s="111">
        <f>G143+'15'!H143</f>
        <v>-86954.000000000015</v>
      </c>
      <c r="I143" s="131"/>
      <c r="J143" s="203">
        <f>H143/DAY(B2)</f>
        <v>-5434.6250000000009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-7.5187539784946225</v>
      </c>
      <c r="H144" s="111">
        <f>G144+'15'!H144</f>
        <v>-3.5707922286560603</v>
      </c>
      <c r="I144" s="195"/>
      <c r="J144" s="203">
        <f>H144/DAY(B2)</f>
        <v>-0.22317451429100377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-208824.16999999998</v>
      </c>
      <c r="H145" s="111">
        <f>G145+'15'!H145</f>
        <v>-106356.16999999998</v>
      </c>
      <c r="I145" s="131"/>
      <c r="J145" s="203">
        <f>H145/DAY(B2)</f>
        <v>-6647.260624999999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-8.9816847311827956</v>
      </c>
      <c r="H146" s="111">
        <f>G146+'15'!H146</f>
        <v>-4.3931795797416697</v>
      </c>
      <c r="I146" s="195"/>
      <c r="J146" s="203">
        <f>H146/DAY(B2)</f>
        <v>-0.27457372373385436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-113041.50999999995</v>
      </c>
      <c r="H147" s="111">
        <f>G147+'15'!H147</f>
        <v>-56675.509999999951</v>
      </c>
      <c r="I147" s="196"/>
      <c r="J147" s="203">
        <f>H147/DAY(B2)</f>
        <v>-3542.2193749999969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-4.8620004301075248</v>
      </c>
      <c r="H148" s="111">
        <f>G148+'15'!H148</f>
        <v>-2.3227783715400596</v>
      </c>
      <c r="I148" s="196"/>
      <c r="J148" s="203">
        <f>H148/DAY(B2)</f>
        <v>-0.14517364822125373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-49969.360000000044</v>
      </c>
      <c r="H149" s="111">
        <f>G149+'15'!H149</f>
        <v>-24308.360000000044</v>
      </c>
      <c r="I149" s="131"/>
      <c r="J149" s="203">
        <f>H149/DAY(B2)</f>
        <v>-1519.2725000000028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-2.1492197849462387</v>
      </c>
      <c r="H150" s="111">
        <f>G150+'15'!H150</f>
        <v>-0.99392310701480935</v>
      </c>
      <c r="I150" s="196"/>
      <c r="J150" s="203">
        <f>H150/DAY(B2)</f>
        <v>-6.2120194188425584E-2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-57478.739999999947</v>
      </c>
      <c r="H151" s="111">
        <f>G151+'15'!H151</f>
        <v>-29248.739999999947</v>
      </c>
      <c r="I151" s="196"/>
      <c r="J151" s="203">
        <f>H151/DAY(B2)</f>
        <v>-1828.0462499999967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-2.4722038709677396</v>
      </c>
      <c r="H152" s="111">
        <f>G152+'15'!H152</f>
        <v>-1.2057243603899852</v>
      </c>
      <c r="I152" s="131"/>
      <c r="J152" s="203">
        <f>H152/DAY(B2)</f>
        <v>-7.5357772524374075E-2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-48548.100000000006</v>
      </c>
      <c r="H153" s="111">
        <f>G153+'15'!H153</f>
        <v>-24628.23000000001</v>
      </c>
      <c r="I153" s="131"/>
      <c r="J153" s="203">
        <f>H153/DAY(B2)</f>
        <v>-1539.2643750000007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-2.0880903225806455</v>
      </c>
      <c r="H154" s="111">
        <f>G154+'15'!H154</f>
        <v>-1.0117471879177156</v>
      </c>
      <c r="I154" s="219"/>
      <c r="J154" s="220">
        <f>H154/DAY(B2)</f>
        <v>-6.3234199244857223E-2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'15'!F161</f>
        <v>44517.4</v>
      </c>
      <c r="F161" s="454">
        <v>42126.62</v>
      </c>
      <c r="G161" s="124">
        <f t="shared" ref="G161:G164" si="16">F161-E161</f>
        <v>-2390.7799999999988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'15'!F162</f>
        <v>129134</v>
      </c>
      <c r="F162" s="454">
        <v>115140.88</v>
      </c>
      <c r="G162" s="124">
        <f t="shared" si="16"/>
        <v>-13993.119999999995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'15'!F163</f>
        <v>60494</v>
      </c>
      <c r="F163" s="434">
        <v>64518.62</v>
      </c>
      <c r="G163" s="124">
        <f t="shared" si="16"/>
        <v>4024.6200000000026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'15'!F164</f>
        <v>7287.09</v>
      </c>
      <c r="F164" s="454">
        <v>7006.85</v>
      </c>
      <c r="G164" s="124">
        <f t="shared" si="16"/>
        <v>-280.23999999999978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73">
        <f>'15'!F167</f>
        <v>187579</v>
      </c>
      <c r="F167" s="165">
        <f t="shared" si="18"/>
        <v>176328.81</v>
      </c>
      <c r="G167" s="124">
        <f t="shared" si="17"/>
        <v>-11250.190000000002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73">
        <f>'15'!F168</f>
        <v>188197</v>
      </c>
      <c r="F168" s="165">
        <f t="shared" si="18"/>
        <v>176333.07</v>
      </c>
      <c r="G168" s="124">
        <f t="shared" si="17"/>
        <v>-11863.929999999993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73">
        <f>'15'!F169</f>
        <v>86733</v>
      </c>
      <c r="F169" s="165">
        <f t="shared" si="18"/>
        <v>74541.64</v>
      </c>
      <c r="G169" s="124">
        <f t="shared" si="17"/>
        <v>-12191.36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73">
        <f>'15'!F170</f>
        <v>287262</v>
      </c>
      <c r="F170" s="165">
        <f t="shared" si="18"/>
        <v>272493.05</v>
      </c>
      <c r="G170" s="124">
        <f t="shared" si="17"/>
        <v>-14768.950000000012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73">
        <f>'15'!F172</f>
        <v>101317</v>
      </c>
      <c r="F172" s="165">
        <f t="shared" si="18"/>
        <v>91726.12</v>
      </c>
      <c r="G172" s="124">
        <f t="shared" si="17"/>
        <v>-9590.8800000000047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-72304.83</v>
      </c>
      <c r="N173" s="369"/>
    </row>
    <row r="174" spans="1:14">
      <c r="N174" s="369"/>
    </row>
    <row r="175" spans="1:14">
      <c r="A175" s="1228" t="s">
        <v>338</v>
      </c>
      <c r="B175" s="1191"/>
      <c r="C175" s="436"/>
      <c r="D175" s="174" t="s">
        <v>186</v>
      </c>
      <c r="N175" s="369"/>
    </row>
    <row r="176" spans="1:14">
      <c r="A176" s="1228" t="s">
        <v>339</v>
      </c>
      <c r="B176" s="1191"/>
      <c r="C176" s="436"/>
      <c r="D176" s="174" t="s">
        <v>186</v>
      </c>
      <c r="N176" s="369"/>
    </row>
    <row r="177" spans="1:14" ht="18.75" customHeight="1">
      <c r="N177" s="369"/>
    </row>
    <row r="178" spans="1:14">
      <c r="A178" s="1228" t="s">
        <v>338</v>
      </c>
      <c r="B178" s="1191"/>
      <c r="C178" s="436"/>
      <c r="D178" s="174" t="s">
        <v>186</v>
      </c>
      <c r="E178" s="183">
        <f>'15'!F178</f>
        <v>19175</v>
      </c>
      <c r="F178" s="183">
        <v>19077.2</v>
      </c>
      <c r="G178" s="124">
        <f t="shared" ref="G178:G180" si="19">F178-E178</f>
        <v>-97.799999999999272</v>
      </c>
      <c r="N178" s="369"/>
    </row>
    <row r="179" spans="1:14">
      <c r="A179" s="1228" t="s">
        <v>338</v>
      </c>
      <c r="B179" s="1191"/>
      <c r="C179" s="436"/>
      <c r="D179" s="174" t="s">
        <v>186</v>
      </c>
      <c r="E179" s="183">
        <f>'15'!F179</f>
        <v>70637</v>
      </c>
      <c r="F179" s="183">
        <v>70435.8</v>
      </c>
      <c r="G179" s="124">
        <f t="shared" si="19"/>
        <v>-201.19999999999709</v>
      </c>
      <c r="N179" s="369"/>
    </row>
    <row r="180" spans="1:14">
      <c r="A180" s="1228" t="s">
        <v>339</v>
      </c>
      <c r="B180" s="1191"/>
      <c r="C180" s="436"/>
      <c r="D180" s="174" t="s">
        <v>186</v>
      </c>
      <c r="E180" s="183">
        <f>'15'!F180</f>
        <v>27875</v>
      </c>
      <c r="F180" s="183">
        <v>27712</v>
      </c>
      <c r="G180" s="124">
        <f t="shared" si="19"/>
        <v>-163</v>
      </c>
      <c r="N180" s="369"/>
    </row>
    <row r="181" spans="1:14" ht="23.25" customHeight="1">
      <c r="N181" s="369"/>
    </row>
    <row r="182" spans="1:14" ht="23.25" customHeight="1">
      <c r="N182" s="369"/>
    </row>
    <row r="183" spans="1:14" ht="23.25" customHeight="1">
      <c r="N183" s="369"/>
    </row>
    <row r="184" spans="1:14" ht="23.25" customHeight="1"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>
      <c r="N199" s="369"/>
    </row>
    <row r="200" spans="14:14" ht="23.25" customHeight="1">
      <c r="N200" s="369"/>
    </row>
    <row r="201" spans="14:14" ht="23.25" customHeight="1">
      <c r="N201" s="369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B6" zoomScale="95" zoomScaleSheetLayoutView="95" zoomScalePageLayoutView="60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344</v>
      </c>
      <c r="B2" s="682">
        <v>44394</v>
      </c>
      <c r="C2" s="853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53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5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'16'!F7</f>
        <v>965388</v>
      </c>
      <c r="F7" s="106">
        <f>E7+23250</f>
        <v>988638</v>
      </c>
      <c r="G7" s="329">
        <f>F7-E7</f>
        <v>23250</v>
      </c>
      <c r="H7" s="330">
        <f>G7+'16'!H7</f>
        <v>380816</v>
      </c>
      <c r="I7" s="331">
        <f>'1'!I7</f>
        <v>12000</v>
      </c>
      <c r="J7" s="332">
        <f>H7/DAY(B2)</f>
        <v>22400.941176470587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'16'!F8</f>
        <v>275803.39</v>
      </c>
      <c r="F8" s="126">
        <v>300718.13</v>
      </c>
      <c r="G8" s="340">
        <f>F8-E8</f>
        <v>24914.739999999991</v>
      </c>
      <c r="H8" s="330">
        <f>G8+'16'!H8</f>
        <v>-314878.87</v>
      </c>
      <c r="I8" s="337">
        <f>'1'!I8</f>
        <v>12000</v>
      </c>
      <c r="J8" s="332">
        <f>H8/DAY(B2)</f>
        <v>-18522.286470588235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'16'!F9</f>
        <v>2369088.7000000002</v>
      </c>
      <c r="F9" s="129">
        <v>2393068.2999999998</v>
      </c>
      <c r="G9" s="353">
        <f t="shared" ref="G9:G12" si="0">F9-E9</f>
        <v>23979.599999999627</v>
      </c>
      <c r="H9" s="330">
        <f>G9+'16'!H9</f>
        <v>-303566.70000000019</v>
      </c>
      <c r="I9" s="341">
        <f>I7-J7</f>
        <v>-10400.941176470587</v>
      </c>
      <c r="J9" s="332">
        <f>H9/DAY(B2)</f>
        <v>-17856.864705882363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24048.739999999991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23979.899999999627</v>
      </c>
      <c r="H13" s="330">
        <f>G13+'16'!H13</f>
        <v>-346250.85000000021</v>
      </c>
      <c r="I13" s="346">
        <f>G7-G13</f>
        <v>-729.89999999962674</v>
      </c>
      <c r="J13" s="332">
        <f>H13/DAY(B2)</f>
        <v>-20367.697058823542</v>
      </c>
      <c r="K13" s="81"/>
      <c r="L13" s="68"/>
      <c r="N13" s="369"/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'16'!F15</f>
        <v>1743659</v>
      </c>
      <c r="F15" s="351">
        <f>E15+950</f>
        <v>1744609</v>
      </c>
      <c r="G15" s="315">
        <f>(F15-E15)</f>
        <v>950</v>
      </c>
      <c r="H15" s="137">
        <f>G15+'16'!H15</f>
        <v>15055</v>
      </c>
      <c r="I15" s="125">
        <f>'1'!I15</f>
        <v>800</v>
      </c>
      <c r="J15" s="204">
        <f>H15/DAY(B2)</f>
        <v>885.58823529411768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-85.58823529411768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'16'!F18</f>
        <v>11</v>
      </c>
      <c r="F18" s="129">
        <v>14</v>
      </c>
      <c r="G18" s="345">
        <f>F18*10</f>
        <v>140</v>
      </c>
      <c r="H18" s="330">
        <f>G18+'16'!H18</f>
        <v>2800</v>
      </c>
      <c r="I18" s="331">
        <f>'1'!I18</f>
        <v>65</v>
      </c>
      <c r="J18" s="332">
        <f>H18/DAY(B2)</f>
        <v>164.70588235294119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'16'!F19</f>
        <v>144390</v>
      </c>
      <c r="F19" s="129">
        <f>E19+60</f>
        <v>144450</v>
      </c>
      <c r="G19" s="340">
        <f>F19-E19</f>
        <v>60</v>
      </c>
      <c r="H19" s="330">
        <f>G19+'16'!H19</f>
        <v>1060</v>
      </c>
      <c r="I19" s="347"/>
      <c r="J19" s="332">
        <f>H19/DAY(B2)</f>
        <v>62.352941176470587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G20+'16'!H20</f>
        <v>3860</v>
      </c>
      <c r="I20" s="349">
        <f>I18-J20</f>
        <v>-162.05882352941177</v>
      </c>
      <c r="J20" s="332">
        <f>H20/DAY(B2)</f>
        <v>227.05882352941177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51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51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24914.739999999991</v>
      </c>
      <c r="F27" s="152">
        <v>9</v>
      </c>
      <c r="G27" s="153">
        <f>E27*F27</f>
        <v>224232.65999999992</v>
      </c>
      <c r="H27" s="111">
        <f>G27+'16'!H27</f>
        <v>-2833909.83</v>
      </c>
      <c r="I27" s="154"/>
      <c r="J27" s="203">
        <f>H27/DAY(B2)</f>
        <v>-166700.57823529412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G28+'16'!H28</f>
        <v>815747.5</v>
      </c>
      <c r="I28" s="156"/>
      <c r="J28" s="203">
        <f>H28/DAY(B2)</f>
        <v>47985.147058823532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G30+'16'!H30</f>
        <v>154760</v>
      </c>
      <c r="I30" s="156"/>
      <c r="J30" s="203">
        <f>H30/DAY(B2)</f>
        <v>9103.5294117647063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G31+'16'!H31</f>
        <v>224000</v>
      </c>
      <c r="I31" s="156"/>
      <c r="J31" s="203"/>
      <c r="K31" s="65">
        <f>E31*80%</f>
        <v>112</v>
      </c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293592.65999999992</v>
      </c>
      <c r="H32" s="111">
        <f>G32+'16'!H32</f>
        <v>-1639402.3300000003</v>
      </c>
      <c r="I32" s="160"/>
      <c r="J32" s="203">
        <f>H32/DAY(B2)</f>
        <v>-96435.431176470607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856"/>
      <c r="C34" s="856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1</v>
      </c>
      <c r="I35" s="106"/>
      <c r="J35" s="203">
        <f>H35/DAY(B2)</f>
        <v>5.8823529411764705E-2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'16'!F36</f>
        <v>33958.83</v>
      </c>
      <c r="F36" s="161">
        <v>35090.65</v>
      </c>
      <c r="G36" s="124">
        <f t="shared" si="1"/>
        <v>1131.8199999999997</v>
      </c>
      <c r="H36" s="111">
        <f>G36+'16'!H36</f>
        <v>-11707.349999999999</v>
      </c>
      <c r="I36" s="106"/>
      <c r="J36" s="203">
        <f>H36/DAY(B2)</f>
        <v>-688.66764705882349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'16'!F37</f>
        <v>201544.9</v>
      </c>
      <c r="F37" s="161">
        <v>203201.45</v>
      </c>
      <c r="G37" s="124">
        <f t="shared" si="1"/>
        <v>1656.5500000000175</v>
      </c>
      <c r="H37" s="111">
        <f>G37+'16'!H37</f>
        <v>-22971.549999999988</v>
      </c>
      <c r="I37" s="106"/>
      <c r="J37" s="203">
        <f>H37/DAY(B2)</f>
        <v>-1351.2676470588228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'16'!F38</f>
        <v>224250.57</v>
      </c>
      <c r="F38" s="120">
        <v>226010.49</v>
      </c>
      <c r="G38" s="124">
        <f t="shared" si="1"/>
        <v>1759.9199999999837</v>
      </c>
      <c r="H38" s="111">
        <f>G38+'16'!H38</f>
        <v>-22548.510000000009</v>
      </c>
      <c r="I38" s="106"/>
      <c r="J38" s="203">
        <f>H38/DAY(B2)</f>
        <v>-1326.3829411764711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'16'!F39</f>
        <v>463842.9</v>
      </c>
      <c r="F39" s="161">
        <v>467561.43</v>
      </c>
      <c r="G39" s="124">
        <f>F39-E39</f>
        <v>3718.5299999999697</v>
      </c>
      <c r="H39" s="111">
        <f>G39+'16'!H39</f>
        <v>-52956.570000000007</v>
      </c>
      <c r="I39" s="106"/>
      <c r="J39" s="203">
        <f>H39/DAY(B2)</f>
        <v>-3115.0923529411771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'16'!F40</f>
        <v>13152.74</v>
      </c>
      <c r="F40" s="161">
        <v>13572.19</v>
      </c>
      <c r="G40" s="124">
        <f t="shared" si="1"/>
        <v>419.45000000000073</v>
      </c>
      <c r="H40" s="111">
        <f>G40+'16'!H40</f>
        <v>-6600.8099999999995</v>
      </c>
      <c r="I40" s="106"/>
      <c r="J40" s="203">
        <f>H40/DAY(B2)</f>
        <v>-388.28294117647056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'16'!F41</f>
        <v>365502.35</v>
      </c>
      <c r="F41" s="161">
        <v>365502.35</v>
      </c>
      <c r="G41" s="124">
        <f t="shared" si="1"/>
        <v>0</v>
      </c>
      <c r="H41" s="111">
        <f>G41+'16'!H41</f>
        <v>-1337.6500000000233</v>
      </c>
      <c r="I41" s="106"/>
      <c r="J41" s="203">
        <f>H41/DAY(B2)</f>
        <v>-78.685294117648425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'16'!F42</f>
        <v>76541.78</v>
      </c>
      <c r="F42" s="161">
        <v>79273.179999999993</v>
      </c>
      <c r="G42" s="124">
        <f>F42-E42</f>
        <v>2731.3999999999942</v>
      </c>
      <c r="H42" s="111">
        <f>G42+'16'!H42</f>
        <v>-36238.820000000007</v>
      </c>
      <c r="I42" s="106"/>
      <c r="J42" s="203">
        <f>H42/DAY(B2)</f>
        <v>-2131.6952941176473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'16'!F43</f>
        <v>1162991.5</v>
      </c>
      <c r="F43" s="161">
        <v>1166088.8999999999</v>
      </c>
      <c r="G43" s="124">
        <f t="shared" si="1"/>
        <v>3097.3999999999069</v>
      </c>
      <c r="H43" s="111">
        <f>G43+'16'!H43</f>
        <v>-38372.100000000093</v>
      </c>
      <c r="I43" s="106"/>
      <c r="J43" s="203">
        <f>H43/DAY(B2)</f>
        <v>-2257.1823529411818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14515.069999999872</v>
      </c>
      <c r="H47" s="111">
        <f>G47+'16'!H47</f>
        <v>-191930.8700000002</v>
      </c>
      <c r="I47" s="106"/>
      <c r="J47" s="203">
        <f>H47/DAY(B2)</f>
        <v>-11290.051176470601</v>
      </c>
      <c r="K47" s="81"/>
      <c r="L47" s="68"/>
      <c r="N47" s="369"/>
      <c r="O47" s="376"/>
      <c r="P47" s="73"/>
    </row>
    <row r="48" spans="1:16">
      <c r="A48" s="249" t="s">
        <v>176</v>
      </c>
      <c r="B48" s="856"/>
      <c r="C48" s="856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'16'!F49</f>
        <v>278602.17</v>
      </c>
      <c r="F49" s="161">
        <v>281872.59000000003</v>
      </c>
      <c r="G49" s="124">
        <f t="shared" ref="G49:G58" si="2">F49-E49</f>
        <v>3270.4200000000419</v>
      </c>
      <c r="H49" s="111">
        <f>G49+'16'!H49</f>
        <v>-45165.409999999974</v>
      </c>
      <c r="I49" s="106"/>
      <c r="J49" s="203">
        <f>H49/DAY(B2)</f>
        <v>-2656.7888235294104</v>
      </c>
      <c r="K49" s="81">
        <f>E49+242</f>
        <v>278844.17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'16'!F50</f>
        <v>553515.43000000005</v>
      </c>
      <c r="F50" s="161">
        <v>554815.87</v>
      </c>
      <c r="G50" s="124">
        <f t="shared" si="2"/>
        <v>1300.4399999999441</v>
      </c>
      <c r="H50" s="111">
        <f>G50+'16'!H50</f>
        <v>-16001.130000000005</v>
      </c>
      <c r="I50" s="106"/>
      <c r="J50" s="203">
        <f>H50/DAY(B2)</f>
        <v>-941.24294117647082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-0.13000000000465661</v>
      </c>
      <c r="I51" s="106"/>
      <c r="J51" s="203">
        <f>H51/DAY(B2)</f>
        <v>-7.6470588238033302E-3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-0.34000000002561137</v>
      </c>
      <c r="I53" s="106"/>
      <c r="J53" s="203">
        <f>H53/DAY(B2)</f>
        <v>-2.0000000001506552E-2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0.27000000000043656</v>
      </c>
      <c r="I54" s="106"/>
      <c r="J54" s="203">
        <f>H54/DAY(B2)</f>
        <v>1.588235294120215E-2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'16'!F55</f>
        <v>169786.79</v>
      </c>
      <c r="F55" s="304">
        <v>175178.35</v>
      </c>
      <c r="G55" s="303">
        <f t="shared" si="2"/>
        <v>5391.5599999999977</v>
      </c>
      <c r="H55" s="356">
        <f>G55+'16'!H55</f>
        <v>-62007.649999999994</v>
      </c>
      <c r="I55" s="357"/>
      <c r="J55" s="358">
        <f>H55/DAY(B2)</f>
        <v>-3647.5088235294115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'16'!F56</f>
        <v>649199.91</v>
      </c>
      <c r="F56" s="304">
        <v>649210.35</v>
      </c>
      <c r="G56" s="124">
        <f>F56-E56</f>
        <v>10.439999999944121</v>
      </c>
      <c r="H56" s="111">
        <f>G56+'16'!H56</f>
        <v>-161.65000000002328</v>
      </c>
      <c r="I56" s="106"/>
      <c r="J56" s="203">
        <f>H56/DAY(B2)</f>
        <v>-9.5088235294131351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'16'!F58</f>
        <v>56816.19</v>
      </c>
      <c r="F58" s="304">
        <v>57008.56</v>
      </c>
      <c r="G58" s="124">
        <f t="shared" si="2"/>
        <v>192.36999999999534</v>
      </c>
      <c r="H58" s="111">
        <f>G58+'16'!H58</f>
        <v>-2882.4400000000023</v>
      </c>
      <c r="I58" s="106"/>
      <c r="J58" s="203">
        <f>H58/DAY(B2)</f>
        <v>-169.55529411764721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10165.629999999888</v>
      </c>
      <c r="H59" s="111">
        <f>G59+'16'!H59</f>
        <v>-126218.08000000007</v>
      </c>
      <c r="I59" s="106">
        <f>G7-G60</f>
        <v>-1430.6999999997606</v>
      </c>
      <c r="J59" s="203">
        <f>H59/DAY(B2)</f>
        <v>-7424.5929411764746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24680.699999999761</v>
      </c>
      <c r="H60" s="111">
        <f>G60+'16'!H60</f>
        <v>-312571.62000000023</v>
      </c>
      <c r="I60" s="106">
        <f>G13-G60</f>
        <v>-700.80000000013388</v>
      </c>
      <c r="J60" s="203">
        <f>H60/DAY(B2)</f>
        <v>-18386.565882352956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858">
        <f>'16'!F64</f>
        <v>176328.81</v>
      </c>
      <c r="F64" s="277">
        <v>176694.07</v>
      </c>
      <c r="G64" s="424">
        <f t="shared" si="3"/>
        <v>365.26000000000931</v>
      </c>
      <c r="H64" s="111">
        <f>G64+'16'!H64</f>
        <v>-5165.929999999993</v>
      </c>
      <c r="I64" s="131"/>
      <c r="J64" s="203">
        <f>H64/DAY(B2)</f>
        <v>-303.87823529411725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'16'!F65</f>
        <v>176333.07</v>
      </c>
      <c r="F65" s="302">
        <v>176719.61</v>
      </c>
      <c r="G65" s="124">
        <f t="shared" si="3"/>
        <v>386.53999999997905</v>
      </c>
      <c r="H65" s="111">
        <f>G65+'16'!H65</f>
        <v>-5489.390000000014</v>
      </c>
      <c r="I65" s="140"/>
      <c r="J65" s="203">
        <f>H65/DAY(B2)</f>
        <v>-322.90529411764788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'16'!F66</f>
        <v>74541.64</v>
      </c>
      <c r="F66" s="129">
        <v>74932.600000000006</v>
      </c>
      <c r="G66" s="124">
        <f t="shared" si="3"/>
        <v>390.9600000000064</v>
      </c>
      <c r="H66" s="111">
        <f>G66+'16'!H66</f>
        <v>-5739.3999999999942</v>
      </c>
      <c r="I66" s="131"/>
      <c r="J66" s="203">
        <f>H66/DAY(B2)</f>
        <v>-337.61176470588202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'16'!F67</f>
        <v>272493.05</v>
      </c>
      <c r="F67" s="129">
        <v>272970.90999999997</v>
      </c>
      <c r="G67" s="124">
        <f t="shared" si="3"/>
        <v>477.85999999998603</v>
      </c>
      <c r="H67" s="111">
        <f>G67+'16'!H67</f>
        <v>-7087.0900000000256</v>
      </c>
      <c r="I67" s="140"/>
      <c r="J67" s="203">
        <f>H67/DAY(B2)</f>
        <v>-416.88764705882505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'16'!F69</f>
        <v>91726.12</v>
      </c>
      <c r="F69" s="129">
        <v>92028.09</v>
      </c>
      <c r="G69" s="124">
        <f t="shared" si="3"/>
        <v>301.97000000000116</v>
      </c>
      <c r="H69" s="111">
        <f>G69+'16'!H69</f>
        <v>-4528.9100000000035</v>
      </c>
      <c r="I69" s="167"/>
      <c r="J69" s="203">
        <f>H69/DAY(B2)</f>
        <v>-266.40647058823549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25">
        <v>855695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'16'!F72</f>
        <v>856417</v>
      </c>
      <c r="F72" s="305">
        <v>856430</v>
      </c>
      <c r="G72" s="124">
        <f t="shared" ref="G72:G84" si="4">F72-E72</f>
        <v>13</v>
      </c>
      <c r="H72" s="111">
        <f>G72+'16'!H72</f>
        <v>-193</v>
      </c>
      <c r="I72" s="131"/>
      <c r="J72" s="203">
        <f>H72/DAY(B2)</f>
        <v>-11.352941176470589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'16'!F73</f>
        <v>885994</v>
      </c>
      <c r="F73" s="306">
        <v>885995</v>
      </c>
      <c r="G73" s="303">
        <f t="shared" si="4"/>
        <v>1</v>
      </c>
      <c r="H73" s="111">
        <f>G73+'16'!H73</f>
        <v>139</v>
      </c>
      <c r="I73" s="131"/>
      <c r="J73" s="203">
        <f>H73/DAY(B2)</f>
        <v>8.1764705882352935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'16'!F74</f>
        <v>88714.6</v>
      </c>
      <c r="F74" s="306">
        <v>88715.6</v>
      </c>
      <c r="G74" s="124">
        <f t="shared" si="4"/>
        <v>1</v>
      </c>
      <c r="H74" s="111">
        <f>G74+'16'!H74</f>
        <v>54.600000000005821</v>
      </c>
      <c r="I74" s="131"/>
      <c r="J74" s="203">
        <f>H74/DAY(B2)</f>
        <v>3.2117647058826955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'16'!F75</f>
        <v>18527.59</v>
      </c>
      <c r="F75" s="306">
        <v>18704.3</v>
      </c>
      <c r="G75" s="124">
        <f t="shared" si="4"/>
        <v>176.70999999999913</v>
      </c>
      <c r="H75" s="111">
        <f>G75+'16'!H75</f>
        <v>-2242.7000000000007</v>
      </c>
      <c r="I75" s="131"/>
      <c r="J75" s="203">
        <f>H75/DAY(B2)</f>
        <v>-131.92352941176475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'16'!F76</f>
        <v>10388.01</v>
      </c>
      <c r="F76" s="306">
        <v>10453.129999999999</v>
      </c>
      <c r="G76" s="124">
        <f t="shared" si="4"/>
        <v>65.119999999998981</v>
      </c>
      <c r="H76" s="111">
        <f>G76+'16'!H76</f>
        <v>527.72999999999956</v>
      </c>
      <c r="I76" s="156"/>
      <c r="J76" s="203">
        <f>H76/DAY(B2)</f>
        <v>31.042941176470563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'16'!F77</f>
        <v>705350</v>
      </c>
      <c r="F77" s="306">
        <v>705415</v>
      </c>
      <c r="G77" s="303">
        <f t="shared" si="4"/>
        <v>65</v>
      </c>
      <c r="H77" s="111">
        <f>G77+'16'!H77</f>
        <v>-1038</v>
      </c>
      <c r="I77" s="156"/>
      <c r="J77" s="203">
        <f>H77/DAY(B2)</f>
        <v>-61.058823529411768</v>
      </c>
      <c r="K77" s="83"/>
      <c r="L77" s="68"/>
      <c r="N77" s="369"/>
      <c r="O77" s="376"/>
      <c r="P77" s="73"/>
    </row>
    <row r="78" spans="1:16" ht="27.75">
      <c r="A78" s="854" t="s">
        <v>196</v>
      </c>
      <c r="B78" s="847"/>
      <c r="C78" s="847"/>
      <c r="D78" s="174" t="s">
        <v>186</v>
      </c>
      <c r="E78" s="170">
        <f>'16'!F78</f>
        <v>676996</v>
      </c>
      <c r="F78" s="307">
        <v>677096</v>
      </c>
      <c r="G78" s="124">
        <f>F78-E78</f>
        <v>100</v>
      </c>
      <c r="H78" s="111">
        <f>G78+'16'!H78</f>
        <v>-1757</v>
      </c>
      <c r="I78" s="156"/>
      <c r="J78" s="203">
        <f>H78/DAY(B2)</f>
        <v>-103.35294117647059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'16'!F79</f>
        <v>837913</v>
      </c>
      <c r="F79" s="307">
        <v>838112</v>
      </c>
      <c r="G79" s="124">
        <f t="shared" si="4"/>
        <v>199</v>
      </c>
      <c r="H79" s="111">
        <f>G79+'16'!H79</f>
        <v>-2570</v>
      </c>
      <c r="I79" s="156"/>
      <c r="J79" s="203">
        <f>H79/DAY(B2)</f>
        <v>-151.1764705882353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'16'!F80</f>
        <v>545786.76</v>
      </c>
      <c r="F80" s="306">
        <v>546263.31999999995</v>
      </c>
      <c r="G80" s="124">
        <f t="shared" si="4"/>
        <v>476.55999999993946</v>
      </c>
      <c r="H80" s="111">
        <f>G80+'16'!H80</f>
        <v>-8942.6800000000512</v>
      </c>
      <c r="I80" s="156"/>
      <c r="J80" s="203">
        <f>H80/DAY(B2)</f>
        <v>-526.04000000000303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'16'!F81</f>
        <v>645997.07999999996</v>
      </c>
      <c r="F81" s="306">
        <v>646228.28</v>
      </c>
      <c r="G81" s="124">
        <f t="shared" si="4"/>
        <v>231.20000000006985</v>
      </c>
      <c r="H81" s="111">
        <f>G81+'16'!H81</f>
        <v>-2789.7199999999721</v>
      </c>
      <c r="I81" s="156"/>
      <c r="J81" s="203">
        <f>H81/DAY(B2)</f>
        <v>-164.10117647058658</v>
      </c>
      <c r="K81" s="83"/>
      <c r="L81" s="68"/>
      <c r="N81" s="369"/>
      <c r="O81" s="376"/>
      <c r="P81" s="73"/>
    </row>
    <row r="82" spans="1:16" s="426" customFormat="1" ht="27.75">
      <c r="A82" s="1257" t="s">
        <v>92</v>
      </c>
      <c r="B82" s="1258"/>
      <c r="C82" s="1259"/>
      <c r="D82" s="277" t="s">
        <v>131</v>
      </c>
      <c r="E82" s="170">
        <f>'16'!F82</f>
        <v>109014.88</v>
      </c>
      <c r="F82" s="277">
        <v>109042.25</v>
      </c>
      <c r="G82" s="424">
        <f t="shared" si="4"/>
        <v>27.369999999995343</v>
      </c>
      <c r="H82" s="130">
        <f>G82+'16'!H82</f>
        <v>-293.75</v>
      </c>
      <c r="I82" s="130"/>
      <c r="J82" s="425">
        <f>H82/DAY(B2)</f>
        <v>-17.279411764705884</v>
      </c>
      <c r="K82" s="844"/>
      <c r="L82" s="845"/>
      <c r="N82" s="373"/>
      <c r="O82" s="377"/>
      <c r="P82" s="372"/>
    </row>
    <row r="83" spans="1:16" ht="27.75">
      <c r="A83" s="1184" t="s">
        <v>199</v>
      </c>
      <c r="B83" s="1185"/>
      <c r="C83" s="1186"/>
      <c r="D83" s="271" t="s">
        <v>131</v>
      </c>
      <c r="E83" s="170">
        <f>'16'!F83</f>
        <v>31313</v>
      </c>
      <c r="F83" s="162">
        <v>31589</v>
      </c>
      <c r="G83" s="124">
        <f t="shared" si="4"/>
        <v>276</v>
      </c>
      <c r="H83" s="111">
        <f>G83+'16'!H83</f>
        <v>-3436</v>
      </c>
      <c r="I83" s="132"/>
      <c r="J83" s="203">
        <f>H83/DAY(B2)</f>
        <v>-202.11764705882354</v>
      </c>
      <c r="K83" s="82"/>
      <c r="L83" s="68"/>
      <c r="N83" s="369"/>
      <c r="O83" s="376"/>
      <c r="P83" s="73"/>
    </row>
    <row r="84" spans="1:16">
      <c r="A84" s="855" t="s">
        <v>200</v>
      </c>
      <c r="B84" s="222"/>
      <c r="C84" s="222"/>
      <c r="D84" s="129" t="s">
        <v>131</v>
      </c>
      <c r="E84" s="170">
        <f>'16'!F84</f>
        <v>535859</v>
      </c>
      <c r="F84" s="278">
        <v>536537</v>
      </c>
      <c r="G84" s="124">
        <f t="shared" si="4"/>
        <v>678</v>
      </c>
      <c r="H84" s="111">
        <f>G84+'16'!H84</f>
        <v>-10856</v>
      </c>
      <c r="I84" s="132"/>
      <c r="J84" s="203">
        <f>H84/DAY(B2)</f>
        <v>-638.58823529411768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2309.9600000000028</v>
      </c>
      <c r="H85" s="111">
        <f>G85+'16'!H85</f>
        <v>-31321.120000000014</v>
      </c>
      <c r="I85" s="132"/>
      <c r="J85" s="203">
        <f>H85/DAY(B2)</f>
        <v>-1842.4188235294125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'16'!F86</f>
        <v>462211.88</v>
      </c>
      <c r="F86" s="1091">
        <v>462229.84</v>
      </c>
      <c r="G86" s="356">
        <f t="shared" ref="G86:G91" si="5">F86-E86</f>
        <v>17.960000000020955</v>
      </c>
      <c r="H86" s="356">
        <f t="shared" ref="H86:H88" si="6">G86</f>
        <v>17.960000000020955</v>
      </c>
      <c r="I86" s="303"/>
      <c r="J86" s="358">
        <f>H86/DAY(B2)</f>
        <v>1.0564705882365268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'16'!F87</f>
        <v>82523.399999999994</v>
      </c>
      <c r="F87" s="298">
        <v>82543</v>
      </c>
      <c r="G87" s="356">
        <f t="shared" si="5"/>
        <v>19.600000000005821</v>
      </c>
      <c r="H87" s="356">
        <f t="shared" si="6"/>
        <v>19.600000000005821</v>
      </c>
      <c r="I87" s="303"/>
      <c r="J87" s="358">
        <f>H87/DAY(B2)</f>
        <v>1.1529411764709305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'16'!F88</f>
        <v>157124.66</v>
      </c>
      <c r="F88" s="298">
        <v>157245.72</v>
      </c>
      <c r="G88" s="356">
        <f t="shared" si="5"/>
        <v>121.05999999999767</v>
      </c>
      <c r="H88" s="356">
        <f t="shared" si="6"/>
        <v>121.05999999999767</v>
      </c>
      <c r="I88" s="303"/>
      <c r="J88" s="358">
        <f>H88/DAY(B2)</f>
        <v>7.1211764705880984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'16'!F89</f>
        <v>66543.199999999997</v>
      </c>
      <c r="F89" s="298">
        <v>66560.800000000003</v>
      </c>
      <c r="G89" s="356">
        <f t="shared" si="5"/>
        <v>17.600000000005821</v>
      </c>
      <c r="H89" s="356">
        <f>G89</f>
        <v>17.600000000005821</v>
      </c>
      <c r="I89" s="303"/>
      <c r="J89" s="358">
        <f>H89/DAY(B2)</f>
        <v>1.0352941176474013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'16'!F90</f>
        <v>3404.9</v>
      </c>
      <c r="F90" s="298">
        <v>3407</v>
      </c>
      <c r="G90" s="356">
        <f t="shared" si="5"/>
        <v>2.0999999999999091</v>
      </c>
      <c r="H90" s="356">
        <f>G90</f>
        <v>2.0999999999999091</v>
      </c>
      <c r="I90" s="303"/>
      <c r="J90" s="358">
        <f>H90/DAY(B2)</f>
        <v>0.12352941176470053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/>
      <c r="E91" s="278">
        <f>'16'!F91</f>
        <v>28384.31</v>
      </c>
      <c r="F91" s="298">
        <v>28391.759999999998</v>
      </c>
      <c r="G91" s="356">
        <f t="shared" si="5"/>
        <v>7.4499999999970896</v>
      </c>
      <c r="H91" s="356">
        <f>G91</f>
        <v>7.4499999999970896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57"/>
      <c r="C92" s="857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'16'!F93</f>
        <v>248943</v>
      </c>
      <c r="F93" s="129">
        <v>249044</v>
      </c>
      <c r="G93" s="124">
        <f t="shared" ref="G93:G94" si="7">F93-E93</f>
        <v>101</v>
      </c>
      <c r="H93" s="111">
        <f>G93+'16'!H93</f>
        <v>-1270</v>
      </c>
      <c r="I93" s="131"/>
      <c r="J93" s="203">
        <f>H93/DAY(B2)</f>
        <v>-74.705882352941174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'16'!F94</f>
        <v>191265</v>
      </c>
      <c r="F94" s="129">
        <v>191455</v>
      </c>
      <c r="G94" s="124">
        <f t="shared" si="7"/>
        <v>190</v>
      </c>
      <c r="H94" s="111">
        <f>G94+'16'!H94</f>
        <v>-1443</v>
      </c>
      <c r="I94" s="131"/>
      <c r="J94" s="203">
        <f>H94/DAY(B2)</f>
        <v>-84.882352941176464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'16'!F95</f>
        <v>0</v>
      </c>
      <c r="F95" s="129"/>
      <c r="G95" s="124">
        <f>G93+G94</f>
        <v>291</v>
      </c>
      <c r="H95" s="111">
        <f>G95+'16'!H95</f>
        <v>-3019</v>
      </c>
      <c r="I95" s="131"/>
      <c r="J95" s="203">
        <f>H95/DAY(B2)</f>
        <v>-177.58823529411765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'16'!F96</f>
        <v>417455</v>
      </c>
      <c r="F96" s="129">
        <v>417544</v>
      </c>
      <c r="G96" s="124">
        <f t="shared" ref="G96:G101" si="8">F96-E96</f>
        <v>89</v>
      </c>
      <c r="H96" s="111">
        <f>G96+'16'!H96</f>
        <v>-992</v>
      </c>
      <c r="I96" s="131"/>
      <c r="J96" s="203">
        <f>H96/DAY(B2)</f>
        <v>-58.352941176470587</v>
      </c>
      <c r="K96" s="71"/>
      <c r="L96" s="68"/>
      <c r="N96" s="369"/>
      <c r="O96" s="376"/>
      <c r="P96" s="73"/>
    </row>
    <row r="97" spans="1:16" ht="27.75">
      <c r="A97" s="851" t="s">
        <v>209</v>
      </c>
      <c r="B97" s="852"/>
      <c r="C97" s="852"/>
      <c r="D97" s="174" t="s">
        <v>143</v>
      </c>
      <c r="E97" s="135">
        <f>'16'!F97</f>
        <v>103511</v>
      </c>
      <c r="F97" s="129">
        <v>103541</v>
      </c>
      <c r="G97" s="124">
        <f t="shared" si="8"/>
        <v>30</v>
      </c>
      <c r="H97" s="111">
        <f>G97+'16'!H97</f>
        <v>-308</v>
      </c>
      <c r="I97" s="131"/>
      <c r="J97" s="203">
        <f>H97/DAY(B2)</f>
        <v>-18.117647058823529</v>
      </c>
      <c r="K97" s="80"/>
      <c r="L97" s="68"/>
      <c r="N97" s="369"/>
      <c r="O97" s="376"/>
      <c r="P97" s="73"/>
    </row>
    <row r="98" spans="1:16" ht="27.75">
      <c r="A98" s="851" t="s">
        <v>210</v>
      </c>
      <c r="B98" s="852"/>
      <c r="C98" s="852"/>
      <c r="D98" s="174" t="s">
        <v>143</v>
      </c>
      <c r="E98" s="135">
        <f>'16'!F98</f>
        <v>99060</v>
      </c>
      <c r="F98" s="129">
        <v>99090</v>
      </c>
      <c r="G98" s="124">
        <f t="shared" si="8"/>
        <v>30</v>
      </c>
      <c r="H98" s="111">
        <f>G98+'16'!H98</f>
        <v>-358</v>
      </c>
      <c r="I98" s="131"/>
      <c r="J98" s="203">
        <f>H98/DAY(B2)</f>
        <v>-21.058823529411764</v>
      </c>
      <c r="K98" s="85"/>
      <c r="L98" s="68"/>
      <c r="N98" s="369"/>
      <c r="O98" s="376"/>
      <c r="P98" s="73"/>
    </row>
    <row r="99" spans="1:16" ht="27.75">
      <c r="A99" s="851" t="s">
        <v>211</v>
      </c>
      <c r="B99" s="852"/>
      <c r="C99" s="852"/>
      <c r="D99" s="174" t="s">
        <v>143</v>
      </c>
      <c r="E99" s="135">
        <f>'16'!F99</f>
        <v>150885</v>
      </c>
      <c r="F99" s="129">
        <v>150908</v>
      </c>
      <c r="G99" s="124">
        <f t="shared" si="8"/>
        <v>23</v>
      </c>
      <c r="H99" s="111">
        <f>G99+'16'!H99</f>
        <v>-343</v>
      </c>
      <c r="I99" s="131"/>
      <c r="J99" s="203">
        <f>H99/DAY(B2)</f>
        <v>-20.176470588235293</v>
      </c>
      <c r="K99" s="71"/>
      <c r="L99" s="68"/>
      <c r="N99" s="371"/>
      <c r="O99" s="376"/>
      <c r="P99" s="73"/>
    </row>
    <row r="100" spans="1:16" ht="27.75">
      <c r="A100" s="851" t="s">
        <v>212</v>
      </c>
      <c r="B100" s="852"/>
      <c r="C100" s="852"/>
      <c r="D100" s="174" t="s">
        <v>143</v>
      </c>
      <c r="E100" s="135">
        <f>'16'!F100</f>
        <v>7966</v>
      </c>
      <c r="F100" s="129">
        <v>7981</v>
      </c>
      <c r="G100" s="124">
        <f t="shared" si="8"/>
        <v>15</v>
      </c>
      <c r="H100" s="111">
        <f>G100+'16'!H100</f>
        <v>-184</v>
      </c>
      <c r="I100" s="131"/>
      <c r="J100" s="203">
        <f>H100/DAY(B2)</f>
        <v>-10.823529411764707</v>
      </c>
      <c r="K100" s="71"/>
      <c r="L100" s="68"/>
      <c r="N100" s="369"/>
      <c r="O100" s="376"/>
      <c r="P100" s="73"/>
    </row>
    <row r="101" spans="1:16" ht="27.75">
      <c r="A101" s="851" t="s">
        <v>213</v>
      </c>
      <c r="B101" s="852"/>
      <c r="C101" s="852"/>
      <c r="D101" s="174" t="s">
        <v>143</v>
      </c>
      <c r="E101" s="135">
        <f>'16'!F101</f>
        <v>5841</v>
      </c>
      <c r="F101" s="129">
        <v>5848</v>
      </c>
      <c r="G101" s="124">
        <f t="shared" si="8"/>
        <v>7</v>
      </c>
      <c r="H101" s="111">
        <f>G101+'16'!H101</f>
        <v>-143</v>
      </c>
      <c r="I101" s="131"/>
      <c r="J101" s="203">
        <f>H101/DAY(B2)</f>
        <v>-8.4117647058823533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194</v>
      </c>
      <c r="H102" s="111">
        <f>G102+'16'!H102</f>
        <v>-2328</v>
      </c>
      <c r="I102" s="177"/>
      <c r="J102" s="203">
        <f>H102/DAY(B2)</f>
        <v>-136.94117647058823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850"/>
      <c r="D105" s="273" t="s">
        <v>143</v>
      </c>
      <c r="E105" s="135">
        <f>'16'!F105</f>
        <v>7767</v>
      </c>
      <c r="F105" s="309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3.5076470588234825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850"/>
      <c r="D106" s="273" t="s">
        <v>143</v>
      </c>
      <c r="E106" s="135">
        <f>'16'!F106</f>
        <v>36321</v>
      </c>
      <c r="F106" s="310">
        <v>36332</v>
      </c>
      <c r="G106" s="183">
        <f t="shared" ref="G106:G107" si="9">F106-E106</f>
        <v>11</v>
      </c>
      <c r="H106" s="184">
        <f>SUM(G106+'1'!G77)</f>
        <v>70</v>
      </c>
      <c r="I106" s="183"/>
      <c r="J106" s="209">
        <f>H106/DAY(B2)</f>
        <v>4.117647058823529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'16'!F107</f>
        <v>19893</v>
      </c>
      <c r="F107" s="434">
        <v>19897</v>
      </c>
      <c r="G107" s="183">
        <f t="shared" si="9"/>
        <v>4</v>
      </c>
      <c r="H107" s="184">
        <f>SUM(G107+'1'!G78)</f>
        <v>148</v>
      </c>
      <c r="I107" s="183"/>
      <c r="J107" s="209">
        <f>H107/DAY(B2)</f>
        <v>8.7058823529411757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850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9.2941176470588243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850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850"/>
      <c r="D110" s="273" t="s">
        <v>143</v>
      </c>
      <c r="E110" s="135">
        <f>'16'!F110</f>
        <v>66039</v>
      </c>
      <c r="F110" s="310">
        <v>66105</v>
      </c>
      <c r="G110" s="183">
        <f>F110-E110</f>
        <v>66</v>
      </c>
      <c r="H110" s="184">
        <f>SUM(G110+'1'!G81)</f>
        <v>231.56000000005588</v>
      </c>
      <c r="I110" s="183"/>
      <c r="J110" s="209">
        <f>H110/DAY(B2)</f>
        <v>13.621176470591521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850"/>
      <c r="D111" s="273" t="s">
        <v>143</v>
      </c>
      <c r="E111" s="135">
        <f>'16'!F111</f>
        <v>33603</v>
      </c>
      <c r="F111" s="310">
        <v>33629</v>
      </c>
      <c r="G111" s="183">
        <f t="shared" ref="G111:G112" si="10">F111-E111</f>
        <v>26</v>
      </c>
      <c r="H111" s="184">
        <f>SUM(G111+'1'!G82)</f>
        <v>39.279999999998836</v>
      </c>
      <c r="I111" s="183"/>
      <c r="J111" s="209">
        <f>H111/DAY(B2)</f>
        <v>2.3105882352940492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850"/>
      <c r="D112" s="273" t="s">
        <v>143</v>
      </c>
      <c r="E112" s="135">
        <f>'16'!F112</f>
        <v>4621.3</v>
      </c>
      <c r="F112" s="310">
        <v>4621.3</v>
      </c>
      <c r="G112" s="183">
        <f t="shared" si="10"/>
        <v>0</v>
      </c>
      <c r="H112" s="184">
        <f>SUM(G112+'1'!G83)</f>
        <v>305</v>
      </c>
      <c r="I112" s="183"/>
      <c r="J112" s="209">
        <f>H112/DAY(B2)</f>
        <v>17.941176470588236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850"/>
      <c r="D113" s="273"/>
      <c r="E113" s="135">
        <f>'16'!F113</f>
        <v>0</v>
      </c>
      <c r="F113" s="310"/>
      <c r="G113" s="183">
        <f>SUM(G110:G112)</f>
        <v>92</v>
      </c>
      <c r="H113" s="184">
        <f>SUM(G113+'1'!G84)</f>
        <v>901</v>
      </c>
      <c r="I113" s="183"/>
      <c r="J113" s="209">
        <f>H113/DAY(B2)</f>
        <v>53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850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'16'!F115</f>
        <v>12226</v>
      </c>
      <c r="F115" s="310">
        <v>12242</v>
      </c>
      <c r="G115" s="185">
        <f>F115-E115</f>
        <v>16</v>
      </c>
      <c r="H115" s="184">
        <f>SUM(G115+'1'!G92)</f>
        <v>16</v>
      </c>
      <c r="I115" s="183"/>
      <c r="J115" s="209">
        <f>H115/DAY(B2)</f>
        <v>0.94117647058823528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'16'!F116</f>
        <v>8694</v>
      </c>
      <c r="F116" s="310">
        <v>8702</v>
      </c>
      <c r="G116" s="185">
        <f t="shared" ref="G116:G117" si="11">F116-E116</f>
        <v>8</v>
      </c>
      <c r="H116" s="184">
        <f>SUM(G116+'1'!G93)</f>
        <v>143</v>
      </c>
      <c r="I116" s="183"/>
      <c r="J116" s="209">
        <f>H116/DAY(B2)</f>
        <v>8.4117647058823533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171</v>
      </c>
      <c r="I117" s="183"/>
      <c r="J117" s="209">
        <f>H117/DAY(B2)</f>
        <v>10.058823529411764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5.5294117647058822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848"/>
      <c r="D119" s="275" t="s">
        <v>143</v>
      </c>
      <c r="E119" s="187"/>
      <c r="F119" s="311">
        <f>SUM(G19+G93)</f>
        <v>161</v>
      </c>
      <c r="G119" s="187">
        <f>SUM(G19+G93)</f>
        <v>161</v>
      </c>
      <c r="H119" s="184">
        <f>SUM(G119+'1'!G97)</f>
        <v>195</v>
      </c>
      <c r="I119" s="186"/>
      <c r="J119" s="210">
        <f>H119/DAY(B2)</f>
        <v>11.470588235294118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848"/>
      <c r="D120" s="275" t="s">
        <v>143</v>
      </c>
      <c r="E120" s="187"/>
      <c r="F120" s="311">
        <f>SUM(G96,G97,G98,G100,G101)</f>
        <v>171</v>
      </c>
      <c r="G120" s="187">
        <f>SUM(G96,G97,G98,G100,G101)</f>
        <v>171</v>
      </c>
      <c r="H120" s="184">
        <f>SUM(G120+'1'!G99)</f>
        <v>177</v>
      </c>
      <c r="I120" s="186"/>
      <c r="J120" s="210">
        <f>H120/DAY(B2)</f>
        <v>10.411764705882353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848"/>
      <c r="D121" s="275" t="s">
        <v>143</v>
      </c>
      <c r="E121" s="185"/>
      <c r="F121" s="310">
        <f>SUM(G113)</f>
        <v>92</v>
      </c>
      <c r="G121" s="185">
        <f>SUM(G113)</f>
        <v>92</v>
      </c>
      <c r="H121" s="184">
        <f>SUM(G121+'1'!G101)</f>
        <v>107</v>
      </c>
      <c r="I121" s="186"/>
      <c r="J121" s="210">
        <f>H121/DAY(B2)</f>
        <v>6.2941176470588234</v>
      </c>
      <c r="N121" s="369"/>
      <c r="O121" s="376"/>
      <c r="P121" s="73"/>
    </row>
    <row r="122" spans="1:16" s="93" customFormat="1" ht="27.75">
      <c r="A122" s="1190"/>
      <c r="B122" s="1191"/>
      <c r="C122" s="84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51" t="s">
        <v>230</v>
      </c>
      <c r="B124" s="852"/>
      <c r="C124" s="852"/>
      <c r="D124" s="174" t="s">
        <v>140</v>
      </c>
      <c r="E124" s="129">
        <f>'16'!F124</f>
        <v>843994.51</v>
      </c>
      <c r="F124" s="129">
        <v>844283.53</v>
      </c>
      <c r="G124" s="124">
        <f t="shared" ref="G124:G128" si="12">F124-E124</f>
        <v>289.02000000001863</v>
      </c>
      <c r="H124" s="111">
        <f>G124+'16'!H124</f>
        <v>-3682.4699999999721</v>
      </c>
      <c r="I124" s="177"/>
      <c r="J124" s="203">
        <f>H124/DAY(B2)</f>
        <v>-216.61588235293954</v>
      </c>
      <c r="K124" s="71"/>
      <c r="L124" s="68"/>
      <c r="N124" s="369"/>
      <c r="O124" s="376"/>
      <c r="P124" s="73"/>
    </row>
    <row r="125" spans="1:16" ht="27.75">
      <c r="A125" s="851" t="s">
        <v>231</v>
      </c>
      <c r="B125" s="852"/>
      <c r="C125" s="852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'16'!F126</f>
        <v>150071.53</v>
      </c>
      <c r="F126" s="129">
        <v>150185.73000000001</v>
      </c>
      <c r="G126" s="124">
        <f t="shared" si="12"/>
        <v>114.20000000001164</v>
      </c>
      <c r="H126" s="111">
        <f>G126+'16'!H126</f>
        <v>-1135.2699999999895</v>
      </c>
      <c r="I126" s="177"/>
      <c r="J126" s="203">
        <f>H126/DAY(B2)</f>
        <v>-66.780588235293507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52"/>
      <c r="C127" s="852"/>
      <c r="D127" s="174" t="s">
        <v>140</v>
      </c>
      <c r="E127" s="277">
        <f>'16'!F127</f>
        <v>32684.2</v>
      </c>
      <c r="F127" s="277">
        <v>32725.200000000001</v>
      </c>
      <c r="G127" s="124">
        <f t="shared" si="12"/>
        <v>41</v>
      </c>
      <c r="H127" s="111">
        <f>G127+'16'!H127</f>
        <v>-562.79999999999927</v>
      </c>
      <c r="I127" s="177"/>
      <c r="J127" s="203">
        <f>H127/DAY(B2)</f>
        <v>-33.105882352941137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52"/>
      <c r="C128" s="852"/>
      <c r="D128" s="174" t="s">
        <v>140</v>
      </c>
      <c r="E128" s="277">
        <f>'16'!F128</f>
        <v>9073.4</v>
      </c>
      <c r="F128" s="277">
        <v>9080.1</v>
      </c>
      <c r="G128" s="124">
        <f t="shared" si="12"/>
        <v>6.7000000000007276</v>
      </c>
      <c r="H128" s="111">
        <f>G128+'16'!H128</f>
        <v>-32.899999999999636</v>
      </c>
      <c r="I128" s="131"/>
      <c r="J128" s="203">
        <f>H128/DAY(B2)</f>
        <v>-1.9352941176470375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52"/>
      <c r="C129" s="852"/>
      <c r="D129" s="174"/>
      <c r="E129" s="129"/>
      <c r="F129" s="129"/>
      <c r="G129" s="124">
        <f>G15-SUM(G124:G128)</f>
        <v>499.079999999969</v>
      </c>
      <c r="H129" s="111">
        <f>G129+'16'!H129</f>
        <v>13390.43999999996</v>
      </c>
      <c r="I129" s="131"/>
      <c r="J129" s="203">
        <f>H129/DAY(B2)</f>
        <v>787.67294117646827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51" t="s">
        <v>237</v>
      </c>
      <c r="B131" s="852"/>
      <c r="C131" s="852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51" t="s">
        <v>239</v>
      </c>
      <c r="B132" s="852"/>
      <c r="C132" s="852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51" t="s">
        <v>240</v>
      </c>
      <c r="B133" s="852"/>
      <c r="C133" s="852"/>
      <c r="D133" s="174" t="s">
        <v>238</v>
      </c>
      <c r="E133" s="192">
        <f>'16'!F133</f>
        <v>40612.1</v>
      </c>
      <c r="F133" s="302">
        <v>40612.1</v>
      </c>
      <c r="G133" s="124">
        <f>F133-E133</f>
        <v>0</v>
      </c>
      <c r="H133" s="111">
        <f>G133+'16'!H133</f>
        <v>-6.9000000000014552</v>
      </c>
      <c r="I133" s="131"/>
      <c r="J133" s="203">
        <f>H133/DAY(B2)</f>
        <v>-0.40588235294126207</v>
      </c>
      <c r="N133" s="369"/>
      <c r="O133" s="376"/>
      <c r="P133" s="73"/>
    </row>
    <row r="134" spans="1:16" ht="27.75">
      <c r="A134" s="851" t="s">
        <v>241</v>
      </c>
      <c r="B134" s="852"/>
      <c r="C134" s="852"/>
      <c r="D134" s="174" t="s">
        <v>238</v>
      </c>
      <c r="E134" s="352">
        <f>'16'!F134</f>
        <v>384.48</v>
      </c>
      <c r="F134" s="277">
        <v>397.13</v>
      </c>
      <c r="G134" s="124">
        <f t="shared" si="13"/>
        <v>12.649999999999977</v>
      </c>
      <c r="H134" s="111">
        <f>G134+'16'!H134</f>
        <v>-176.87</v>
      </c>
      <c r="I134" s="131">
        <f>G131+G132+G133+G134</f>
        <v>12.649999999999977</v>
      </c>
      <c r="J134" s="203">
        <f>H134/DAY(B2)</f>
        <v>-10.404117647058824</v>
      </c>
      <c r="N134" s="369"/>
      <c r="O134" s="376"/>
      <c r="P134" s="73"/>
    </row>
    <row r="135" spans="1:16" ht="27.75">
      <c r="A135" s="851" t="s">
        <v>242</v>
      </c>
      <c r="B135" s="852"/>
      <c r="C135" s="852"/>
      <c r="D135" s="174" t="s">
        <v>238</v>
      </c>
      <c r="E135" s="352">
        <f>'16'!F135</f>
        <v>42209</v>
      </c>
      <c r="F135" s="277">
        <v>42233.09</v>
      </c>
      <c r="G135" s="124">
        <f t="shared" si="13"/>
        <v>24.089999999996508</v>
      </c>
      <c r="H135" s="111">
        <f>G135+'16'!H135</f>
        <v>-265.91000000000349</v>
      </c>
      <c r="I135" s="131"/>
      <c r="J135" s="203">
        <f>H135/DAY(B2)</f>
        <v>-15.641764705882558</v>
      </c>
      <c r="N135" s="369"/>
      <c r="O135" s="376"/>
      <c r="P135" s="73"/>
    </row>
    <row r="136" spans="1:16" ht="27.75">
      <c r="A136" s="851" t="s">
        <v>243</v>
      </c>
      <c r="B136" s="852"/>
      <c r="C136" s="852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851" t="s">
        <v>244</v>
      </c>
      <c r="B137" s="852"/>
      <c r="C137" s="852"/>
      <c r="D137" s="174" t="s">
        <v>238</v>
      </c>
      <c r="E137" s="192">
        <f>'16'!F137</f>
        <v>23005.79</v>
      </c>
      <c r="F137" s="302">
        <v>23014.9</v>
      </c>
      <c r="G137" s="124">
        <f t="shared" si="13"/>
        <v>9.1100000000005821</v>
      </c>
      <c r="H137" s="111">
        <f>G137+'16'!H137</f>
        <v>-91.659999999999854</v>
      </c>
      <c r="I137" s="131">
        <f>G135+G136+G137</f>
        <v>33.19999999999709</v>
      </c>
      <c r="J137" s="203">
        <f>H137/DAY(B2)</f>
        <v>-5.3917647058823448</v>
      </c>
      <c r="N137" s="369"/>
      <c r="O137" s="376"/>
      <c r="P137" s="73"/>
    </row>
    <row r="138" spans="1:16" ht="27.75">
      <c r="A138" s="851" t="s">
        <v>245</v>
      </c>
      <c r="B138" s="852"/>
      <c r="C138" s="852"/>
      <c r="D138" s="174" t="s">
        <v>238</v>
      </c>
      <c r="E138" s="192">
        <f>'16'!F138</f>
        <v>25099.16</v>
      </c>
      <c r="F138" s="302">
        <v>25099.16</v>
      </c>
      <c r="G138" s="124">
        <f t="shared" si="13"/>
        <v>0</v>
      </c>
      <c r="H138" s="111">
        <f>G138+'16'!H138</f>
        <v>-20.290000000000873</v>
      </c>
      <c r="I138" s="131"/>
      <c r="J138" s="203">
        <f>H138/DAY(B2)</f>
        <v>-1.1935294117647572</v>
      </c>
      <c r="N138" s="369"/>
      <c r="O138" s="376"/>
      <c r="P138" s="73"/>
    </row>
    <row r="139" spans="1:16" ht="27.75">
      <c r="A139" s="851" t="s">
        <v>246</v>
      </c>
      <c r="B139" s="852"/>
      <c r="C139" s="852"/>
      <c r="D139" s="174" t="s">
        <v>238</v>
      </c>
      <c r="E139" s="192">
        <f>'16'!F139</f>
        <v>70516.600000000006</v>
      </c>
      <c r="F139" s="302">
        <v>70516.600000000006</v>
      </c>
      <c r="G139" s="124">
        <f t="shared" si="13"/>
        <v>0</v>
      </c>
      <c r="H139" s="111">
        <f>G139+'16'!H139</f>
        <v>0</v>
      </c>
      <c r="I139" s="131">
        <f>G138+G139</f>
        <v>0</v>
      </c>
      <c r="J139" s="203">
        <f>H139/DAY(B2)</f>
        <v>0</v>
      </c>
      <c r="N139" s="369"/>
      <c r="O139" s="376"/>
      <c r="P139" s="73"/>
    </row>
    <row r="140" spans="1:16" ht="27.75">
      <c r="A140" s="851" t="s">
        <v>247</v>
      </c>
      <c r="B140" s="852"/>
      <c r="C140" s="852"/>
      <c r="D140" s="174" t="s">
        <v>238</v>
      </c>
      <c r="E140" s="352">
        <f>'16'!F140</f>
        <v>2247.77</v>
      </c>
      <c r="F140" s="277">
        <v>2247.77</v>
      </c>
      <c r="G140" s="124">
        <f t="shared" si="13"/>
        <v>0</v>
      </c>
      <c r="H140" s="111">
        <f>G140+'16'!H140</f>
        <v>-63.789999999999964</v>
      </c>
      <c r="I140" s="193"/>
      <c r="J140" s="203">
        <f>H140/DAY(B2)</f>
        <v>-3.7523529411764684</v>
      </c>
      <c r="N140" s="369"/>
      <c r="O140" s="376"/>
      <c r="P140" s="73"/>
    </row>
    <row r="141" spans="1:16" ht="27.75">
      <c r="A141" s="851" t="s">
        <v>248</v>
      </c>
      <c r="B141" s="852"/>
      <c r="C141" s="852"/>
      <c r="D141" s="174" t="s">
        <v>238</v>
      </c>
      <c r="E141" s="135">
        <f>'16'!F141</f>
        <v>4675.7700000000004</v>
      </c>
      <c r="F141" s="129">
        <v>4685.83</v>
      </c>
      <c r="G141" s="124">
        <f t="shared" si="13"/>
        <v>10.059999999999491</v>
      </c>
      <c r="H141" s="111">
        <f>G141+'16'!H141</f>
        <v>-68.170000000000073</v>
      </c>
      <c r="I141" s="193"/>
      <c r="J141" s="203">
        <f>H141/DAY(B2)</f>
        <v>-4.0100000000000042</v>
      </c>
      <c r="N141" s="369"/>
      <c r="O141" s="376"/>
      <c r="P141" s="73"/>
    </row>
    <row r="142" spans="1:16">
      <c r="A142" s="1203" t="s">
        <v>249</v>
      </c>
      <c r="B142" s="1204"/>
      <c r="C142" s="857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v>3349</v>
      </c>
      <c r="H143" s="111">
        <f>G143+'16'!H143</f>
        <v>-83605.000000000015</v>
      </c>
      <c r="I143" s="131"/>
      <c r="J143" s="203">
        <f>H143/DAY(B2)</f>
        <v>-4917.9411764705892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0.14404301075268816</v>
      </c>
      <c r="H144" s="111">
        <f>G144+'16'!H144</f>
        <v>-3.4267492179033723</v>
      </c>
      <c r="I144" s="195"/>
      <c r="J144" s="203">
        <f>H144/DAY(B2)</f>
        <v>-0.20157348340608072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8133.399999999936</v>
      </c>
      <c r="H145" s="111">
        <f>G145+'16'!H145</f>
        <v>-98222.770000000048</v>
      </c>
      <c r="I145" s="131"/>
      <c r="J145" s="203">
        <f>H145/DAY(B2)</f>
        <v>-5777.8100000000031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0.34982365591397574</v>
      </c>
      <c r="H146" s="111">
        <f>G146+'16'!H146</f>
        <v>-4.0433559238276944</v>
      </c>
      <c r="I146" s="195"/>
      <c r="J146" s="203">
        <f>H146/DAY(B2)</f>
        <v>-0.23784446610751142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3718.9299999999348</v>
      </c>
      <c r="H147" s="111">
        <f>G147+'16'!H147</f>
        <v>-52956.580000000016</v>
      </c>
      <c r="I147" s="196"/>
      <c r="J147" s="203">
        <f>H147/DAY(B2)</f>
        <v>-3115.0929411764714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0.15995397849462084</v>
      </c>
      <c r="H148" s="111">
        <f>G148+'16'!H148</f>
        <v>-2.1628243930454389</v>
      </c>
      <c r="I148" s="196"/>
      <c r="J148" s="203">
        <f>H148/DAY(B2)</f>
        <v>-0.12722496429679053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1759.9199999999837</v>
      </c>
      <c r="H149" s="111">
        <f>G149+'16'!H149</f>
        <v>-22548.440000000061</v>
      </c>
      <c r="I149" s="131"/>
      <c r="J149" s="203">
        <f>H149/DAY(B2)</f>
        <v>-1326.3788235294153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7.5695483870967042E-2</v>
      </c>
      <c r="H150" s="111">
        <f>G150+'16'!H150</f>
        <v>-0.91822762314384232</v>
      </c>
      <c r="I150" s="196"/>
      <c r="J150" s="203">
        <f>H150/DAY(B2)</f>
        <v>-5.4013389596696604E-2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2432.2599999999438</v>
      </c>
      <c r="H151" s="111">
        <f>G151+'16'!H151</f>
        <v>-26816.480000000003</v>
      </c>
      <c r="I151" s="196"/>
      <c r="J151" s="203">
        <f>H151/DAY(B2)</f>
        <v>-1577.4400000000003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0.10461333333333092</v>
      </c>
      <c r="H152" s="111">
        <f>G152+'16'!H152</f>
        <v>-1.1011110270566542</v>
      </c>
      <c r="I152" s="131"/>
      <c r="J152" s="203">
        <f>H152/DAY(B2)</f>
        <v>-6.4771236885685535E-2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1656.5500000000175</v>
      </c>
      <c r="H153" s="111">
        <f>G153+'16'!H153</f>
        <v>-22971.679999999993</v>
      </c>
      <c r="I153" s="131"/>
      <c r="J153" s="203">
        <f>H153/DAY(B2)</f>
        <v>-1351.2752941176466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7.1249462365592153E-2</v>
      </c>
      <c r="H154" s="111">
        <f>G154+'16'!H154</f>
        <v>-0.94049772555212341</v>
      </c>
      <c r="I154" s="219"/>
      <c r="J154" s="220">
        <f>H154/DAY(B2)</f>
        <v>-5.5323395620713145E-2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'16'!F161</f>
        <v>42126.62</v>
      </c>
      <c r="F161" s="454">
        <v>42207.75</v>
      </c>
      <c r="G161" s="124">
        <f t="shared" ref="G161:G164" si="14">F161-E161</f>
        <v>81.129999999997381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'16'!F162</f>
        <v>115140.88</v>
      </c>
      <c r="F162" s="454">
        <v>115588.27</v>
      </c>
      <c r="G162" s="124">
        <f t="shared" si="14"/>
        <v>447.38999999999942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'16'!F163</f>
        <v>64518.62</v>
      </c>
      <c r="F163" s="434">
        <v>64721.63</v>
      </c>
      <c r="G163" s="124">
        <f t="shared" si="14"/>
        <v>203.00999999999476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'16'!F164</f>
        <v>7006.85</v>
      </c>
      <c r="F164" s="454">
        <v>7017.85</v>
      </c>
      <c r="G164" s="124">
        <f t="shared" si="14"/>
        <v>11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73">
        <f t="shared" si="16"/>
        <v>176328.81</v>
      </c>
      <c r="F167" s="165">
        <f t="shared" si="17"/>
        <v>176694.07</v>
      </c>
      <c r="G167" s="124">
        <f t="shared" si="15"/>
        <v>365.26000000000931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73">
        <f t="shared" si="16"/>
        <v>176333.07</v>
      </c>
      <c r="F168" s="165">
        <f>F65</f>
        <v>176719.61</v>
      </c>
      <c r="G168" s="124">
        <f t="shared" si="15"/>
        <v>386.53999999997905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73">
        <f t="shared" si="16"/>
        <v>74541.64</v>
      </c>
      <c r="F169" s="165">
        <f t="shared" si="17"/>
        <v>74932.600000000006</v>
      </c>
      <c r="G169" s="124">
        <f t="shared" si="15"/>
        <v>390.9600000000064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73">
        <f t="shared" si="16"/>
        <v>272493.05</v>
      </c>
      <c r="F170" s="165">
        <f t="shared" si="17"/>
        <v>272970.90999999997</v>
      </c>
      <c r="G170" s="124">
        <f t="shared" si="15"/>
        <v>477.85999999998603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73">
        <f t="shared" si="16"/>
        <v>91726.12</v>
      </c>
      <c r="F172" s="165">
        <f t="shared" si="17"/>
        <v>92028.09</v>
      </c>
      <c r="G172" s="124">
        <f t="shared" si="15"/>
        <v>301.97000000000116</v>
      </c>
      <c r="N172" s="369"/>
    </row>
    <row r="173" spans="1:14" ht="18.75" customHeight="1">
      <c r="N173" s="369"/>
    </row>
    <row r="174" spans="1:14">
      <c r="A174" s="1228" t="s">
        <v>338</v>
      </c>
      <c r="B174" s="1191"/>
      <c r="C174" s="436"/>
      <c r="D174" s="174" t="s">
        <v>186</v>
      </c>
      <c r="E174" s="183">
        <f>'16'!F178</f>
        <v>19077.2</v>
      </c>
      <c r="F174" s="183">
        <v>19082.099999999999</v>
      </c>
      <c r="G174" s="124">
        <f t="shared" ref="G174:G176" si="18">F174-E174</f>
        <v>4.8999999999978172</v>
      </c>
      <c r="N174" s="369"/>
    </row>
    <row r="175" spans="1:14">
      <c r="A175" s="1228" t="s">
        <v>338</v>
      </c>
      <c r="B175" s="1191"/>
      <c r="C175" s="436"/>
      <c r="D175" s="174" t="s">
        <v>186</v>
      </c>
      <c r="E175" s="183">
        <f>'16'!F179</f>
        <v>70435.8</v>
      </c>
      <c r="F175" s="183">
        <v>70442</v>
      </c>
      <c r="G175" s="124">
        <f t="shared" si="18"/>
        <v>6.1999999999970896</v>
      </c>
      <c r="N175" s="369"/>
    </row>
    <row r="176" spans="1:14">
      <c r="A176" s="1228" t="s">
        <v>339</v>
      </c>
      <c r="B176" s="1191"/>
      <c r="C176" s="436"/>
      <c r="D176" s="174" t="s">
        <v>186</v>
      </c>
      <c r="E176" s="183">
        <f>'16'!F180</f>
        <v>27712</v>
      </c>
      <c r="F176" s="183">
        <v>27717.200000000001</v>
      </c>
      <c r="G176" s="124">
        <f t="shared" si="18"/>
        <v>5.2000000000007276</v>
      </c>
      <c r="N176" s="369"/>
    </row>
    <row r="177" spans="14:14" ht="18.75" customHeight="1">
      <c r="N177" s="369"/>
    </row>
    <row r="178" spans="14:14" ht="17.25" customHeight="1">
      <c r="N178" s="369"/>
    </row>
    <row r="179" spans="14:14" ht="18.75" customHeight="1">
      <c r="N179" s="369"/>
    </row>
    <row r="180" spans="14:14" ht="18.75" customHeight="1">
      <c r="N180" s="369"/>
    </row>
    <row r="181" spans="14:14" ht="17.25" customHeight="1">
      <c r="N181" s="369"/>
    </row>
    <row r="182" spans="14:14" ht="18.75" customHeight="1">
      <c r="N182" s="369"/>
    </row>
    <row r="183" spans="14:14" ht="18.75" customHeight="1">
      <c r="N183" s="369"/>
    </row>
    <row r="184" spans="14:14" ht="17.25" customHeight="1">
      <c r="N184" s="369"/>
    </row>
    <row r="185" spans="14:14" ht="17.25" customHeight="1">
      <c r="N185" s="369"/>
    </row>
    <row r="186" spans="14:14" ht="17.25" customHeight="1">
      <c r="N186" s="369"/>
    </row>
    <row r="187" spans="14:14" ht="17.25" customHeight="1">
      <c r="N187" s="369"/>
    </row>
    <row r="188" spans="14:14" ht="17.25" customHeight="1">
      <c r="N188" s="369"/>
    </row>
    <row r="189" spans="14:14" ht="17.25" customHeight="1">
      <c r="N189" s="369"/>
    </row>
    <row r="190" spans="14:14" ht="17.25" customHeight="1">
      <c r="N190" s="369"/>
    </row>
    <row r="191" spans="14:14" ht="18.75" customHeight="1">
      <c r="N191" s="369"/>
    </row>
    <row r="192" spans="14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B154" zoomScale="95" zoomScaleNormal="68" zoomScaleSheetLayoutView="95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6" s="57" customFormat="1" ht="27">
      <c r="A2" s="226" t="s">
        <v>345</v>
      </c>
      <c r="B2" s="682">
        <v>44395</v>
      </c>
      <c r="C2" s="950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950" t="s">
        <v>119</v>
      </c>
      <c r="D3" s="263">
        <v>29</v>
      </c>
      <c r="E3" s="1214" t="s">
        <v>120</v>
      </c>
      <c r="F3" s="1215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>
      <c r="A4" s="227"/>
      <c r="B4" s="267"/>
      <c r="C4" s="950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'17'!F7</f>
        <v>988638</v>
      </c>
      <c r="F7" s="106">
        <f>E7+23250</f>
        <v>1011888</v>
      </c>
      <c r="G7" s="329">
        <f>F7-E7</f>
        <v>23250</v>
      </c>
      <c r="H7" s="330">
        <f>G7+'17'!H7</f>
        <v>404066</v>
      </c>
      <c r="I7" s="331">
        <f>'1'!I7</f>
        <v>12000</v>
      </c>
      <c r="J7" s="332">
        <f>H7/DAY(B2)</f>
        <v>22448.111111111109</v>
      </c>
      <c r="K7" s="200"/>
      <c r="L7" s="68"/>
      <c r="N7" s="1147">
        <f>G7-'17'!G7</f>
        <v>0</v>
      </c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'17'!F8</f>
        <v>300718.13</v>
      </c>
      <c r="F8" s="126">
        <v>326669.21000000002</v>
      </c>
      <c r="G8" s="340">
        <f>F8-E8</f>
        <v>25951.080000000016</v>
      </c>
      <c r="H8" s="330">
        <f>G8+'17'!H8</f>
        <v>-288927.78999999998</v>
      </c>
      <c r="I8" s="337">
        <f>'1'!I8</f>
        <v>12000</v>
      </c>
      <c r="J8" s="332">
        <f>H8/DAY(B2)</f>
        <v>-16051.543888888888</v>
      </c>
      <c r="K8" s="200"/>
      <c r="L8" s="78"/>
      <c r="M8" s="91"/>
      <c r="N8" s="1147">
        <f>G8-'17'!G8</f>
        <v>1036.3400000000256</v>
      </c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'17'!F9</f>
        <v>2393068.2999999998</v>
      </c>
      <c r="F9" s="129">
        <v>2418094.1</v>
      </c>
      <c r="G9" s="353">
        <f t="shared" ref="G9:G12" si="0">F9-E9</f>
        <v>25025.800000000279</v>
      </c>
      <c r="H9" s="330">
        <f>G9+'17'!H9</f>
        <v>-278540.89999999991</v>
      </c>
      <c r="I9" s="341">
        <f>I7-J7</f>
        <v>-10448.111111111109</v>
      </c>
      <c r="J9" s="332">
        <f>H9/DAY(B2)</f>
        <v>-15474.494444444439</v>
      </c>
      <c r="K9" s="81"/>
      <c r="L9" s="68"/>
      <c r="N9" s="1147">
        <f>G9-'17'!G9</f>
        <v>1046.2000000006519</v>
      </c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47">
        <f>G10-'17'!G10</f>
        <v>-0.29999999999972715</v>
      </c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47">
        <f>G11-'17'!G11</f>
        <v>0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47">
        <f>G12-'17'!G12</f>
        <v>0</v>
      </c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25025.800000000279</v>
      </c>
      <c r="H13" s="330">
        <f>G13+'17'!H13</f>
        <v>-321225.04999999993</v>
      </c>
      <c r="I13" s="346">
        <f>G7-G13</f>
        <v>-1775.8000000002794</v>
      </c>
      <c r="J13" s="332">
        <f>H13/DAY(B2)</f>
        <v>-17845.836111111108</v>
      </c>
      <c r="K13" s="81"/>
      <c r="L13" s="68"/>
      <c r="N13" s="1147">
        <f>G13-'17'!G13</f>
        <v>1045.9000000006527</v>
      </c>
      <c r="O13" s="376"/>
      <c r="P13" s="73"/>
    </row>
    <row r="14" spans="1:16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846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'17'!F15</f>
        <v>1744609</v>
      </c>
      <c r="F15" s="351">
        <f>E15+950</f>
        <v>1745559</v>
      </c>
      <c r="G15" s="315">
        <f>(F15-E15)</f>
        <v>950</v>
      </c>
      <c r="H15" s="137">
        <f>G15+'17'!H15</f>
        <v>16005</v>
      </c>
      <c r="I15" s="125">
        <f>'1'!I15</f>
        <v>800</v>
      </c>
      <c r="J15" s="204">
        <f>H15/DAY(B2)</f>
        <v>889.16666666666663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-89.166666666666629</v>
      </c>
      <c r="J16" s="204"/>
      <c r="K16" s="81"/>
      <c r="L16" s="68"/>
      <c r="N16" s="369"/>
      <c r="O16" s="376"/>
      <c r="P16" s="73"/>
    </row>
    <row r="17" spans="1:16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48" t="s">
        <v>142</v>
      </c>
      <c r="B18" s="1249"/>
      <c r="C18" s="1250"/>
      <c r="D18" s="288" t="s">
        <v>143</v>
      </c>
      <c r="E18" s="285">
        <f>'17'!F18</f>
        <v>14</v>
      </c>
      <c r="F18" s="129">
        <v>17</v>
      </c>
      <c r="G18" s="345">
        <f>F18*10</f>
        <v>170</v>
      </c>
      <c r="H18" s="330">
        <f>G18+'17'!H18</f>
        <v>2970</v>
      </c>
      <c r="I18" s="331">
        <f>'1'!I18</f>
        <v>65</v>
      </c>
      <c r="J18" s="332">
        <f>H18/DAY(B2)</f>
        <v>165</v>
      </c>
      <c r="K18" s="81"/>
      <c r="L18" s="68"/>
      <c r="N18" s="369"/>
      <c r="O18" s="376"/>
      <c r="P18" s="73"/>
    </row>
    <row r="19" spans="1:16" ht="27.75">
      <c r="A19" s="1248" t="s">
        <v>70</v>
      </c>
      <c r="B19" s="1249"/>
      <c r="C19" s="1250"/>
      <c r="D19" s="288" t="s">
        <v>143</v>
      </c>
      <c r="E19" s="285">
        <f>'17'!F19</f>
        <v>144450</v>
      </c>
      <c r="F19" s="129">
        <f>E19+60</f>
        <v>144510</v>
      </c>
      <c r="G19" s="340">
        <f t="shared" ref="G19" si="1">F19-E19</f>
        <v>60</v>
      </c>
      <c r="H19" s="330">
        <f>G19+'17'!H19</f>
        <v>1120</v>
      </c>
      <c r="I19" s="347"/>
      <c r="J19" s="332">
        <f>H19/DAY(B2)</f>
        <v>62.222222222222221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230</v>
      </c>
      <c r="H20" s="330">
        <f>G20+'17'!H20</f>
        <v>4090</v>
      </c>
      <c r="I20" s="349">
        <f>I18-J20</f>
        <v>-162.22222222222223</v>
      </c>
      <c r="J20" s="332">
        <f>H20/DAY(B2)</f>
        <v>227.22222222222223</v>
      </c>
      <c r="K20" s="81"/>
      <c r="L20" s="68"/>
      <c r="N20" s="369"/>
      <c r="O20" s="376"/>
      <c r="P20" s="73"/>
    </row>
    <row r="21" spans="1:16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948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948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25951.080000000016</v>
      </c>
      <c r="F27" s="152">
        <v>9</v>
      </c>
      <c r="G27" s="153">
        <f>E27*F27</f>
        <v>233559.72000000015</v>
      </c>
      <c r="H27" s="111">
        <f>G27+'17'!H27</f>
        <v>-2600350.11</v>
      </c>
      <c r="I27" s="154"/>
      <c r="J27" s="203">
        <f>H27/DAY(B2)</f>
        <v>-144463.89499999999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G28+'17'!H28</f>
        <v>865147.5</v>
      </c>
      <c r="I28" s="156"/>
      <c r="J28" s="203">
        <f>H28/DAY(B2)</f>
        <v>48063.75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163520</v>
      </c>
      <c r="I30" s="156"/>
      <c r="J30" s="203">
        <f>H30/DAY(B2)</f>
        <v>9084.4444444444453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G31+'17'!H31</f>
        <v>237600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305319.72000000015</v>
      </c>
      <c r="H32" s="111">
        <f>G32+'17'!H32</f>
        <v>-1334082.6100000001</v>
      </c>
      <c r="I32" s="160"/>
      <c r="J32" s="203">
        <f>H32/DAY(B2)</f>
        <v>-74115.700555555566</v>
      </c>
      <c r="K32" s="65"/>
      <c r="L32" s="94"/>
      <c r="N32" s="369"/>
      <c r="O32" s="376"/>
      <c r="P32" s="73"/>
    </row>
    <row r="33" spans="1:16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369"/>
      <c r="O33" s="376"/>
      <c r="P33" s="73"/>
    </row>
    <row r="34" spans="1:16">
      <c r="A34" s="249" t="s">
        <v>162</v>
      </c>
      <c r="B34" s="953"/>
      <c r="C34" s="953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1</v>
      </c>
      <c r="I35" s="106"/>
      <c r="J35" s="203">
        <f>H35/DAY(B2)</f>
        <v>5.5555555555555552E-2</v>
      </c>
      <c r="K35" s="81"/>
      <c r="L35" s="68"/>
      <c r="N35" s="1147">
        <f>G35-'17'!G35</f>
        <v>0</v>
      </c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'17'!F36</f>
        <v>35090.65</v>
      </c>
      <c r="F36" s="161">
        <v>36282.28</v>
      </c>
      <c r="G36" s="124">
        <f t="shared" ref="G36:G46" si="3">F36-E36</f>
        <v>1191.6299999999974</v>
      </c>
      <c r="H36" s="111">
        <f>G36+'17'!H36</f>
        <v>-10515.720000000001</v>
      </c>
      <c r="I36" s="106"/>
      <c r="J36" s="203">
        <f>H36/DAY(B2)</f>
        <v>-584.20666666666671</v>
      </c>
      <c r="K36" s="81"/>
      <c r="L36" s="68"/>
      <c r="N36" s="1147">
        <f>G36-'17'!G36</f>
        <v>59.809999999997672</v>
      </c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'17'!F37</f>
        <v>203201.45</v>
      </c>
      <c r="F37" s="161">
        <v>205047.97</v>
      </c>
      <c r="G37" s="124">
        <f>F37-E37</f>
        <v>1846.5199999999895</v>
      </c>
      <c r="H37" s="111">
        <f>G37+'17'!H37</f>
        <v>-21125.03</v>
      </c>
      <c r="I37" s="106"/>
      <c r="J37" s="203">
        <f>H37/DAY(B2)</f>
        <v>-1173.6127777777776</v>
      </c>
      <c r="K37" s="81"/>
      <c r="L37" s="68"/>
      <c r="N37" s="1147">
        <f>G37-'17'!G37</f>
        <v>189.96999999997206</v>
      </c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'17'!F38</f>
        <v>226010.49</v>
      </c>
      <c r="F38" s="120">
        <v>227851.47</v>
      </c>
      <c r="G38" s="124">
        <f t="shared" si="3"/>
        <v>1840.9800000000105</v>
      </c>
      <c r="H38" s="111">
        <f>G38+'17'!H38</f>
        <v>-20707.53</v>
      </c>
      <c r="I38" s="106"/>
      <c r="J38" s="203">
        <f>H38/DAY(B2)</f>
        <v>-1150.4183333333333</v>
      </c>
      <c r="K38" s="81"/>
      <c r="L38" s="68"/>
      <c r="N38" s="1147">
        <f>G38-'17'!G38</f>
        <v>81.060000000026776</v>
      </c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'17'!F39</f>
        <v>467561.43</v>
      </c>
      <c r="F39" s="161">
        <v>471312.67</v>
      </c>
      <c r="G39" s="124">
        <f>F39-E39</f>
        <v>3751.2399999999907</v>
      </c>
      <c r="H39" s="111">
        <f>G39+'17'!H39</f>
        <v>-49205.330000000016</v>
      </c>
      <c r="I39" s="106"/>
      <c r="J39" s="203">
        <f>H39/DAY(B2)</f>
        <v>-2733.6294444444452</v>
      </c>
      <c r="K39" s="81"/>
      <c r="L39" s="68"/>
      <c r="N39" s="1147">
        <f>G39-'17'!G39</f>
        <v>32.710000000020955</v>
      </c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'17'!F40</f>
        <v>13572.19</v>
      </c>
      <c r="F40" s="161">
        <v>14254.8</v>
      </c>
      <c r="G40" s="124">
        <f t="shared" si="3"/>
        <v>682.60999999999876</v>
      </c>
      <c r="H40" s="111">
        <f>G40+'17'!H40</f>
        <v>-5918.2000000000007</v>
      </c>
      <c r="I40" s="106"/>
      <c r="J40" s="203">
        <f>H40/DAY(B2)</f>
        <v>-328.78888888888895</v>
      </c>
      <c r="K40" s="82"/>
      <c r="L40" s="68"/>
      <c r="N40" s="1147">
        <f>G40-'17'!G40</f>
        <v>263.15999999999804</v>
      </c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'17'!F41</f>
        <v>365502.35</v>
      </c>
      <c r="F41" s="161">
        <v>365502.35</v>
      </c>
      <c r="G41" s="124">
        <f t="shared" si="3"/>
        <v>0</v>
      </c>
      <c r="H41" s="111">
        <f>G41+'17'!H41</f>
        <v>-1337.6500000000233</v>
      </c>
      <c r="I41" s="106"/>
      <c r="J41" s="203">
        <f>H41/DAY(B2)</f>
        <v>-74.313888888890176</v>
      </c>
      <c r="K41" s="81"/>
      <c r="L41" s="68"/>
      <c r="N41" s="1147">
        <f>G41-'17'!G41</f>
        <v>0</v>
      </c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'17'!F42</f>
        <v>79273.179999999993</v>
      </c>
      <c r="F42" s="161">
        <v>82013.91</v>
      </c>
      <c r="G42" s="124">
        <f t="shared" si="3"/>
        <v>2740.7300000000105</v>
      </c>
      <c r="H42" s="111">
        <f>G42+'17'!H42</f>
        <v>-33498.089999999997</v>
      </c>
      <c r="I42" s="106"/>
      <c r="J42" s="203">
        <f>H42/DAY(B2)</f>
        <v>-1861.0049999999999</v>
      </c>
      <c r="K42" s="81"/>
      <c r="L42" s="68"/>
      <c r="N42" s="1147">
        <f>G42-'17'!G42</f>
        <v>9.3300000000162981</v>
      </c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'17'!F43</f>
        <v>1166088.8999999999</v>
      </c>
      <c r="F43" s="161">
        <v>1169234.1000000001</v>
      </c>
      <c r="G43" s="124">
        <f t="shared" si="3"/>
        <v>3145.2000000001863</v>
      </c>
      <c r="H43" s="111">
        <f>G43+'17'!H43</f>
        <v>-35226.899999999907</v>
      </c>
      <c r="I43" s="106"/>
      <c r="J43" s="203">
        <f>H43/DAY(B2)</f>
        <v>-1957.0499999999947</v>
      </c>
      <c r="K43" s="81"/>
      <c r="L43" s="68"/>
      <c r="N43" s="1147">
        <f>G43-'17'!G43</f>
        <v>47.800000000279397</v>
      </c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47">
        <f>G44-'17'!G44</f>
        <v>0</v>
      </c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47">
        <f>G45-'17'!G45</f>
        <v>0</v>
      </c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47">
        <f>G46-'17'!G46</f>
        <v>-5.0000000000011369E-2</v>
      </c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15198.860000000184</v>
      </c>
      <c r="H47" s="111">
        <f>G47+'17'!H47</f>
        <v>-176732.01</v>
      </c>
      <c r="I47" s="106"/>
      <c r="J47" s="203">
        <f>H47/DAY(B2)</f>
        <v>-9818.4449999999997</v>
      </c>
      <c r="K47" s="81"/>
      <c r="L47" s="68"/>
      <c r="N47" s="1147">
        <f>G47-'17'!G47</f>
        <v>683.79000000031192</v>
      </c>
      <c r="O47" s="376"/>
      <c r="P47" s="73"/>
    </row>
    <row r="48" spans="1:16">
      <c r="A48" s="249" t="s">
        <v>176</v>
      </c>
      <c r="B48" s="953"/>
      <c r="C48" s="953"/>
      <c r="D48" s="123"/>
      <c r="E48" s="122"/>
      <c r="F48" s="122"/>
      <c r="G48" s="123"/>
      <c r="H48" s="123"/>
      <c r="I48" s="123"/>
      <c r="J48" s="202"/>
      <c r="K48" s="81"/>
      <c r="L48" s="68"/>
      <c r="N48" s="1147">
        <f>G48-'17'!G48</f>
        <v>0</v>
      </c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'17'!F49</f>
        <v>281872.59000000003</v>
      </c>
      <c r="F49" s="161">
        <v>285357.39799999999</v>
      </c>
      <c r="G49" s="124">
        <f t="shared" ref="G49:G58" si="4">F49-E49</f>
        <v>3484.8079999999609</v>
      </c>
      <c r="H49" s="111">
        <f>G49+'17'!H49</f>
        <v>-41680.602000000014</v>
      </c>
      <c r="I49" s="106"/>
      <c r="J49" s="203">
        <f>H49/DAY(B2)</f>
        <v>-2315.5890000000009</v>
      </c>
      <c r="K49" s="81">
        <f>E49+247</f>
        <v>282119.59000000003</v>
      </c>
      <c r="L49" s="68"/>
      <c r="N49" s="1147">
        <f>G49-'17'!G49</f>
        <v>214.38799999991897</v>
      </c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'17'!F50</f>
        <v>554815.87</v>
      </c>
      <c r="F50" s="161">
        <v>556528.06999999995</v>
      </c>
      <c r="G50" s="124">
        <f t="shared" si="4"/>
        <v>1712.1999999999534</v>
      </c>
      <c r="H50" s="111">
        <f>G50+'17'!H50</f>
        <v>-14288.930000000051</v>
      </c>
      <c r="I50" s="106"/>
      <c r="J50" s="203">
        <f>H50/DAY(B2)</f>
        <v>-793.82944444444729</v>
      </c>
      <c r="K50" s="81"/>
      <c r="L50" s="68"/>
      <c r="N50" s="1147">
        <f>G50-'17'!G50</f>
        <v>411.76000000000931</v>
      </c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-0.13000000000465661</v>
      </c>
      <c r="I51" s="106"/>
      <c r="J51" s="203">
        <f>H51/DAY(B2)</f>
        <v>-7.2222222224809229E-3</v>
      </c>
      <c r="K51" s="81"/>
      <c r="L51" s="68"/>
      <c r="N51" s="1147">
        <f>G51-'17'!G51</f>
        <v>0</v>
      </c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47">
        <f>G52-'17'!G52</f>
        <v>0</v>
      </c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-0.73999999999068677</v>
      </c>
      <c r="I53" s="106"/>
      <c r="J53" s="203">
        <f>H53/DAY(B2)</f>
        <v>-4.1111111110593707E-2</v>
      </c>
      <c r="K53" s="81"/>
      <c r="L53" s="68"/>
      <c r="N53" s="1147">
        <f>G53-'17'!G53</f>
        <v>-0.79999999993015081</v>
      </c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0.3500000000003638</v>
      </c>
      <c r="I54" s="106"/>
      <c r="J54" s="203">
        <f>H54/DAY(B2)</f>
        <v>1.9444444444464654E-2</v>
      </c>
      <c r="K54" s="81"/>
      <c r="L54" s="68"/>
      <c r="N54" s="1147">
        <f>G54-'17'!G54</f>
        <v>7.999999999992724E-2</v>
      </c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'17'!F55</f>
        <v>175178.35</v>
      </c>
      <c r="F55" s="304">
        <v>180567.19</v>
      </c>
      <c r="G55" s="303">
        <f t="shared" si="4"/>
        <v>5388.8399999999965</v>
      </c>
      <c r="H55" s="356">
        <f>G55+'17'!H55</f>
        <v>-56618.81</v>
      </c>
      <c r="I55" s="357"/>
      <c r="J55" s="358">
        <f>H55/DAY(B2)</f>
        <v>-3145.4894444444444</v>
      </c>
      <c r="K55" s="81"/>
      <c r="L55" s="68"/>
      <c r="N55" s="1147">
        <f>G55-'17'!G55</f>
        <v>-2.7200000000011642</v>
      </c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'17'!F56</f>
        <v>649210.35</v>
      </c>
      <c r="F56" s="304">
        <v>649210.35</v>
      </c>
      <c r="G56" s="124">
        <f t="shared" si="4"/>
        <v>0</v>
      </c>
      <c r="H56" s="111">
        <f>G56+'17'!H56</f>
        <v>-161.65000000002328</v>
      </c>
      <c r="I56" s="106"/>
      <c r="J56" s="203">
        <f>H56/DAY(B2)</f>
        <v>-8.9805555555568493</v>
      </c>
      <c r="K56" s="80"/>
      <c r="L56" s="68"/>
      <c r="N56" s="1147">
        <f>G56-'17'!G56</f>
        <v>-10.439999999944121</v>
      </c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47">
        <f>G57-'17'!G57</f>
        <v>0</v>
      </c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'17'!F58</f>
        <v>57008.56</v>
      </c>
      <c r="F58" s="304">
        <v>57200.13</v>
      </c>
      <c r="G58" s="124">
        <f t="shared" si="4"/>
        <v>191.56999999999971</v>
      </c>
      <c r="H58" s="111">
        <f>G58+'17'!H58</f>
        <v>-2690.8700000000026</v>
      </c>
      <c r="I58" s="106"/>
      <c r="J58" s="203">
        <f>H58/DAY(B2)</f>
        <v>-149.49277777777792</v>
      </c>
      <c r="K58" s="81"/>
      <c r="L58" s="68"/>
      <c r="N58" s="1147">
        <f>G58-'17'!G58</f>
        <v>-0.79999999999563443</v>
      </c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10777.097999999945</v>
      </c>
      <c r="H59" s="111">
        <f>G59+'17'!H59</f>
        <v>-115440.98200000013</v>
      </c>
      <c r="I59" s="106">
        <f>G7-G60</f>
        <v>-2725.9580000001297</v>
      </c>
      <c r="J59" s="203">
        <f>H59/DAY(B2)</f>
        <v>-6413.3878888888967</v>
      </c>
      <c r="K59" s="81"/>
      <c r="L59" s="68"/>
      <c r="N59" s="1147">
        <f>G59-'17'!G59</f>
        <v>611.46800000005715</v>
      </c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25975.95800000013</v>
      </c>
      <c r="H60" s="111">
        <f>G60+'17'!H60</f>
        <v>-286595.66200000013</v>
      </c>
      <c r="I60" s="106">
        <f>G13-G60</f>
        <v>-950.15799999985029</v>
      </c>
      <c r="J60" s="203">
        <f>H60/DAY(B2)</f>
        <v>-15921.98122222223</v>
      </c>
      <c r="K60" s="81"/>
      <c r="L60" s="68"/>
      <c r="N60" s="1147">
        <f>G60-'17'!G60</f>
        <v>1295.2580000003691</v>
      </c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181" t="s">
        <v>98</v>
      </c>
      <c r="B64" s="1182"/>
      <c r="C64" s="1183"/>
      <c r="D64" s="174" t="s">
        <v>186</v>
      </c>
      <c r="E64" s="165">
        <f>'17'!F64</f>
        <v>176694.07</v>
      </c>
      <c r="F64" s="277">
        <v>177066.15</v>
      </c>
      <c r="G64" s="424">
        <f t="shared" si="5"/>
        <v>372.07999999998719</v>
      </c>
      <c r="H64" s="111">
        <f>G64+'17'!H64</f>
        <v>-4793.8500000000058</v>
      </c>
      <c r="I64" s="131"/>
      <c r="J64" s="203">
        <f>H64/DAY(B2)</f>
        <v>-266.32500000000033</v>
      </c>
      <c r="K64" s="81"/>
      <c r="L64" s="68"/>
      <c r="N64" s="369"/>
      <c r="O64" s="376"/>
      <c r="P64" s="73"/>
    </row>
    <row r="65" spans="1:16" ht="27.75">
      <c r="A65" s="1181" t="s">
        <v>99</v>
      </c>
      <c r="B65" s="1182"/>
      <c r="C65" s="1183"/>
      <c r="D65" s="174" t="s">
        <v>186</v>
      </c>
      <c r="E65" s="165">
        <f>'17'!F65</f>
        <v>176719.61</v>
      </c>
      <c r="F65" s="302">
        <v>177128.03</v>
      </c>
      <c r="G65" s="124">
        <f t="shared" si="5"/>
        <v>408.42000000001281</v>
      </c>
      <c r="H65" s="111">
        <f>G65+'17'!H65</f>
        <v>-5080.9700000000012</v>
      </c>
      <c r="I65" s="140"/>
      <c r="J65" s="203">
        <f>H65/DAY(B2)</f>
        <v>-282.27611111111116</v>
      </c>
      <c r="K65" s="81"/>
      <c r="L65" s="68"/>
      <c r="N65" s="369"/>
      <c r="O65" s="377"/>
      <c r="P65" s="73"/>
    </row>
    <row r="66" spans="1:16" ht="27.75">
      <c r="A66" s="1181" t="s">
        <v>100</v>
      </c>
      <c r="B66" s="1182"/>
      <c r="C66" s="1183"/>
      <c r="D66" s="174" t="s">
        <v>186</v>
      </c>
      <c r="E66" s="165">
        <f>'17'!F66</f>
        <v>74932.600000000006</v>
      </c>
      <c r="F66" s="129">
        <v>75359.899999999994</v>
      </c>
      <c r="G66" s="124">
        <f t="shared" si="5"/>
        <v>427.29999999998836</v>
      </c>
      <c r="H66" s="111">
        <f>G66+'17'!H66</f>
        <v>-5312.1000000000058</v>
      </c>
      <c r="I66" s="131"/>
      <c r="J66" s="203">
        <f>H66/DAY(B2)</f>
        <v>-295.11666666666702</v>
      </c>
      <c r="K66" s="81"/>
      <c r="L66" s="68"/>
      <c r="N66" s="369"/>
      <c r="O66" s="376"/>
      <c r="P66" s="73"/>
    </row>
    <row r="67" spans="1:16" ht="27.75">
      <c r="A67" s="1181" t="s">
        <v>101</v>
      </c>
      <c r="B67" s="1182"/>
      <c r="C67" s="1183"/>
      <c r="D67" s="174" t="s">
        <v>186</v>
      </c>
      <c r="E67" s="165">
        <f>'17'!F67</f>
        <v>272970.90999999997</v>
      </c>
      <c r="F67" s="129">
        <v>273443.11</v>
      </c>
      <c r="G67" s="124">
        <f t="shared" si="5"/>
        <v>472.20000000001164</v>
      </c>
      <c r="H67" s="111">
        <f>G67+'17'!H67</f>
        <v>-6614.890000000014</v>
      </c>
      <c r="I67" s="140"/>
      <c r="J67" s="203">
        <f>H67/DAY(B2)</f>
        <v>-367.49388888888967</v>
      </c>
      <c r="K67" s="82"/>
      <c r="L67" s="68"/>
      <c r="N67" s="369"/>
      <c r="O67" s="376"/>
      <c r="P67" s="73"/>
    </row>
    <row r="68" spans="1:16" ht="27.75">
      <c r="A68" s="1181" t="s">
        <v>102</v>
      </c>
      <c r="B68" s="1182"/>
      <c r="C68" s="1183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181" t="s">
        <v>103</v>
      </c>
      <c r="B69" s="1182"/>
      <c r="C69" s="1183"/>
      <c r="D69" s="174" t="s">
        <v>186</v>
      </c>
      <c r="E69" s="165">
        <f>'17'!F69</f>
        <v>92028.09</v>
      </c>
      <c r="F69" s="129">
        <v>92335.38</v>
      </c>
      <c r="G69" s="124">
        <f t="shared" si="5"/>
        <v>307.29000000000815</v>
      </c>
      <c r="H69" s="111">
        <f>G69+'17'!H69</f>
        <v>-4221.6199999999953</v>
      </c>
      <c r="I69" s="167"/>
      <c r="J69" s="203">
        <f>H69/DAY(B2)</f>
        <v>-234.53444444444418</v>
      </c>
      <c r="K69" s="84"/>
      <c r="L69" s="68"/>
      <c r="N69" s="369"/>
      <c r="O69" s="376"/>
      <c r="P69" s="73"/>
    </row>
    <row r="70" spans="1:16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369"/>
      <c r="O71" s="376"/>
      <c r="P71" s="73"/>
    </row>
    <row r="72" spans="1:16" ht="27.75">
      <c r="A72" s="1181" t="s">
        <v>190</v>
      </c>
      <c r="B72" s="1182"/>
      <c r="C72" s="1183"/>
      <c r="D72" s="174" t="s">
        <v>186</v>
      </c>
      <c r="E72" s="170">
        <f>'17'!F72</f>
        <v>856430</v>
      </c>
      <c r="F72" s="305">
        <v>856445</v>
      </c>
      <c r="G72" s="124">
        <f t="shared" ref="G72:G84" si="6">F72-E72</f>
        <v>15</v>
      </c>
      <c r="H72" s="111">
        <f>G72+'17'!H72</f>
        <v>-178</v>
      </c>
      <c r="I72" s="131"/>
      <c r="J72" s="203">
        <f>H72/DAY(B2)</f>
        <v>-9.8888888888888893</v>
      </c>
      <c r="K72" s="84"/>
      <c r="L72" s="68"/>
      <c r="N72" s="369"/>
      <c r="O72" s="376"/>
      <c r="P72" s="73"/>
    </row>
    <row r="73" spans="1:16" ht="27.75">
      <c r="A73" s="1181" t="s">
        <v>191</v>
      </c>
      <c r="B73" s="1182"/>
      <c r="C73" s="1183"/>
      <c r="D73" s="174" t="s">
        <v>186</v>
      </c>
      <c r="E73" s="170">
        <f>'17'!F73</f>
        <v>885995</v>
      </c>
      <c r="F73" s="306">
        <v>885996</v>
      </c>
      <c r="G73" s="303">
        <f t="shared" si="6"/>
        <v>1</v>
      </c>
      <c r="H73" s="111">
        <f>G73+'17'!H73</f>
        <v>140</v>
      </c>
      <c r="I73" s="131"/>
      <c r="J73" s="203">
        <f>H73/DAY(B2)</f>
        <v>7.7777777777777777</v>
      </c>
      <c r="K73" s="83"/>
      <c r="L73" s="68"/>
      <c r="N73" s="369"/>
      <c r="O73" s="376"/>
      <c r="P73" s="73"/>
    </row>
    <row r="74" spans="1:16" ht="27.75">
      <c r="A74" s="1181" t="s">
        <v>192</v>
      </c>
      <c r="B74" s="1182"/>
      <c r="C74" s="1183"/>
      <c r="D74" s="174" t="s">
        <v>186</v>
      </c>
      <c r="E74" s="170">
        <f>'17'!F74</f>
        <v>88715.6</v>
      </c>
      <c r="F74" s="306">
        <v>88716.1</v>
      </c>
      <c r="G74" s="124">
        <f t="shared" si="6"/>
        <v>0.5</v>
      </c>
      <c r="H74" s="111">
        <f>G74+'17'!H74</f>
        <v>55.100000000005821</v>
      </c>
      <c r="I74" s="131"/>
      <c r="J74" s="203">
        <f>H74/DAY(B2)</f>
        <v>3.0611111111114346</v>
      </c>
      <c r="K74" s="84"/>
      <c r="L74" s="68"/>
      <c r="N74" s="369"/>
      <c r="O74" s="376"/>
      <c r="P74" s="73"/>
    </row>
    <row r="75" spans="1:16" ht="27.75">
      <c r="A75" s="1184" t="s">
        <v>193</v>
      </c>
      <c r="B75" s="1185"/>
      <c r="C75" s="1186"/>
      <c r="D75" s="174" t="s">
        <v>186</v>
      </c>
      <c r="E75" s="170">
        <f>'17'!F75</f>
        <v>18704.3</v>
      </c>
      <c r="F75" s="306">
        <v>18876.75</v>
      </c>
      <c r="G75" s="124">
        <f t="shared" si="6"/>
        <v>172.45000000000073</v>
      </c>
      <c r="H75" s="111">
        <f>G75+'17'!H75</f>
        <v>-2070.25</v>
      </c>
      <c r="I75" s="131"/>
      <c r="J75" s="203">
        <f>H75/DAY(B2)</f>
        <v>-115.01388888888889</v>
      </c>
      <c r="K75" s="83"/>
      <c r="L75" s="68"/>
      <c r="N75" s="369"/>
      <c r="O75" s="376"/>
      <c r="P75" s="73"/>
    </row>
    <row r="76" spans="1:16" ht="27.75">
      <c r="A76" s="1184" t="s">
        <v>194</v>
      </c>
      <c r="B76" s="1185"/>
      <c r="C76" s="1186"/>
      <c r="D76" s="174" t="s">
        <v>186</v>
      </c>
      <c r="E76" s="170">
        <f>'17'!F76</f>
        <v>10453.129999999999</v>
      </c>
      <c r="F76" s="306">
        <v>10516.28</v>
      </c>
      <c r="G76" s="124">
        <f t="shared" si="6"/>
        <v>63.150000000001455</v>
      </c>
      <c r="H76" s="111">
        <f>G76+'17'!H76</f>
        <v>590.88000000000102</v>
      </c>
      <c r="I76" s="156"/>
      <c r="J76" s="203">
        <f>H76/DAY(B2)</f>
        <v>32.826666666666725</v>
      </c>
      <c r="K76" s="83"/>
      <c r="L76" s="68"/>
      <c r="N76" s="369"/>
      <c r="O76" s="376"/>
      <c r="P76" s="73"/>
    </row>
    <row r="77" spans="1:16" ht="27.75">
      <c r="A77" s="1181" t="s">
        <v>195</v>
      </c>
      <c r="B77" s="1182"/>
      <c r="C77" s="1183"/>
      <c r="D77" s="174" t="s">
        <v>186</v>
      </c>
      <c r="E77" s="170">
        <f>'17'!F77</f>
        <v>705415</v>
      </c>
      <c r="F77" s="306">
        <v>705501</v>
      </c>
      <c r="G77" s="303">
        <f t="shared" si="6"/>
        <v>86</v>
      </c>
      <c r="H77" s="111">
        <f>G77+'17'!H77</f>
        <v>-952</v>
      </c>
      <c r="I77" s="156"/>
      <c r="J77" s="203">
        <f>H77/DAY(B2)</f>
        <v>-52.888888888888886</v>
      </c>
      <c r="K77" s="83"/>
      <c r="L77" s="68"/>
      <c r="N77" s="369"/>
      <c r="O77" s="376"/>
      <c r="P77" s="73"/>
    </row>
    <row r="78" spans="1:16" ht="27.75">
      <c r="A78" s="951" t="s">
        <v>196</v>
      </c>
      <c r="B78" s="944"/>
      <c r="C78" s="944"/>
      <c r="D78" s="174" t="s">
        <v>186</v>
      </c>
      <c r="E78" s="170">
        <f>'17'!F78</f>
        <v>677096</v>
      </c>
      <c r="F78" s="307">
        <v>677200</v>
      </c>
      <c r="G78" s="124">
        <f t="shared" si="6"/>
        <v>104</v>
      </c>
      <c r="H78" s="111">
        <f>G78+'17'!H78</f>
        <v>-1653</v>
      </c>
      <c r="I78" s="156"/>
      <c r="J78" s="203">
        <f>H78/DAY(B2)</f>
        <v>-91.833333333333329</v>
      </c>
      <c r="K78" s="83"/>
      <c r="L78" s="68"/>
      <c r="N78" s="369"/>
      <c r="O78" s="376"/>
      <c r="P78" s="73"/>
    </row>
    <row r="79" spans="1:16" ht="27.75">
      <c r="A79" s="1184" t="s">
        <v>91</v>
      </c>
      <c r="B79" s="1185"/>
      <c r="C79" s="1186"/>
      <c r="D79" s="175" t="s">
        <v>186</v>
      </c>
      <c r="E79" s="170">
        <f>'17'!F79</f>
        <v>838112</v>
      </c>
      <c r="F79" s="307">
        <v>838269</v>
      </c>
      <c r="G79" s="124">
        <f t="shared" si="6"/>
        <v>157</v>
      </c>
      <c r="H79" s="111">
        <f>G79+'17'!H79</f>
        <v>-2413</v>
      </c>
      <c r="I79" s="156"/>
      <c r="J79" s="203">
        <f>H79/DAY(B2)</f>
        <v>-134.05555555555554</v>
      </c>
      <c r="K79" s="83"/>
      <c r="L79" s="68"/>
      <c r="N79" s="369"/>
      <c r="O79" s="376"/>
      <c r="P79" s="73"/>
    </row>
    <row r="80" spans="1:16" ht="27.75">
      <c r="A80" s="1184" t="s">
        <v>197</v>
      </c>
      <c r="B80" s="1185"/>
      <c r="C80" s="1186"/>
      <c r="D80" s="175" t="s">
        <v>186</v>
      </c>
      <c r="E80" s="170">
        <f>'17'!F80</f>
        <v>546263.31999999995</v>
      </c>
      <c r="F80" s="306">
        <v>546767</v>
      </c>
      <c r="G80" s="124">
        <f t="shared" si="6"/>
        <v>503.68000000005122</v>
      </c>
      <c r="H80" s="111">
        <f>G80+'17'!H80</f>
        <v>-8439</v>
      </c>
      <c r="I80" s="156"/>
      <c r="J80" s="203">
        <f>H80/DAY(B2)</f>
        <v>-468.83333333333331</v>
      </c>
      <c r="K80" s="83"/>
      <c r="L80" s="68"/>
      <c r="N80" s="369"/>
      <c r="O80" s="376"/>
      <c r="P80" s="73"/>
    </row>
    <row r="81" spans="1:16" ht="27.75">
      <c r="A81" s="1184" t="s">
        <v>198</v>
      </c>
      <c r="B81" s="1185"/>
      <c r="C81" s="1186"/>
      <c r="D81" s="175" t="s">
        <v>186</v>
      </c>
      <c r="E81" s="170">
        <f>'17'!F81</f>
        <v>646228.28</v>
      </c>
      <c r="F81" s="306">
        <v>646454.52</v>
      </c>
      <c r="G81" s="124">
        <f t="shared" si="6"/>
        <v>226.23999999999069</v>
      </c>
      <c r="H81" s="111">
        <f>G81+'17'!H81</f>
        <v>-2563.4799999999814</v>
      </c>
      <c r="I81" s="156"/>
      <c r="J81" s="203">
        <f>H81/DAY(B2)</f>
        <v>-142.41555555555453</v>
      </c>
      <c r="K81" s="83"/>
      <c r="L81" s="68"/>
      <c r="N81" s="369"/>
      <c r="O81" s="376"/>
      <c r="P81" s="73"/>
    </row>
    <row r="82" spans="1:16" s="426" customFormat="1" ht="27.75">
      <c r="A82" s="1257" t="s">
        <v>92</v>
      </c>
      <c r="B82" s="1258"/>
      <c r="C82" s="1259"/>
      <c r="D82" s="277" t="s">
        <v>131</v>
      </c>
      <c r="E82" s="170">
        <f>'17'!F82</f>
        <v>109042.25</v>
      </c>
      <c r="F82" s="277">
        <v>109064.85</v>
      </c>
      <c r="G82" s="424">
        <f t="shared" si="6"/>
        <v>22.600000000005821</v>
      </c>
      <c r="H82" s="130">
        <f>G82+'17'!H82</f>
        <v>-271.14999999999418</v>
      </c>
      <c r="I82" s="130"/>
      <c r="J82" s="425">
        <f>H82/DAY(B2)</f>
        <v>-15.063888888888565</v>
      </c>
      <c r="K82" s="844"/>
      <c r="L82" s="845"/>
      <c r="N82" s="373"/>
      <c r="O82" s="377"/>
      <c r="P82" s="372"/>
    </row>
    <row r="83" spans="1:16" ht="27.75">
      <c r="A83" s="1184" t="s">
        <v>199</v>
      </c>
      <c r="B83" s="1185"/>
      <c r="C83" s="1186"/>
      <c r="D83" s="271" t="s">
        <v>131</v>
      </c>
      <c r="E83" s="170">
        <f>'17'!F83</f>
        <v>31589</v>
      </c>
      <c r="F83" s="162">
        <v>31818</v>
      </c>
      <c r="G83" s="124">
        <f t="shared" si="6"/>
        <v>229</v>
      </c>
      <c r="H83" s="111">
        <f>G83+'17'!H83</f>
        <v>-3207</v>
      </c>
      <c r="I83" s="132"/>
      <c r="J83" s="203">
        <f>H83/DAY(B2)</f>
        <v>-178.16666666666666</v>
      </c>
      <c r="K83" s="82"/>
      <c r="L83" s="68"/>
      <c r="N83" s="369"/>
      <c r="O83" s="376"/>
      <c r="P83" s="73"/>
    </row>
    <row r="84" spans="1:16">
      <c r="A84" s="952" t="s">
        <v>200</v>
      </c>
      <c r="B84" s="222"/>
      <c r="C84" s="222"/>
      <c r="D84" s="129" t="s">
        <v>131</v>
      </c>
      <c r="E84" s="170">
        <f>'17'!F84</f>
        <v>536537</v>
      </c>
      <c r="F84" s="278">
        <v>537360</v>
      </c>
      <c r="G84" s="124">
        <f t="shared" si="6"/>
        <v>823</v>
      </c>
      <c r="H84" s="111">
        <f>G84+'17'!H84</f>
        <v>-10033</v>
      </c>
      <c r="I84" s="132"/>
      <c r="J84" s="203">
        <f>H84/DAY(B2)</f>
        <v>-557.38888888888891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2403.6200000000499</v>
      </c>
      <c r="H85" s="111">
        <f>G85+'17'!H85</f>
        <v>-28917.499999999964</v>
      </c>
      <c r="I85" s="132"/>
      <c r="J85" s="203">
        <f>H85/DAY(B2)</f>
        <v>-1606.5277777777758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'17'!F86</f>
        <v>462229.84</v>
      </c>
      <c r="F86" s="298">
        <v>462238</v>
      </c>
      <c r="G86" s="356">
        <f t="shared" ref="G86:G91" si="7">F86-E86</f>
        <v>8.1599999999743886</v>
      </c>
      <c r="H86" s="356">
        <f t="shared" ref="H86:H88" si="8">G86</f>
        <v>8.1599999999743886</v>
      </c>
      <c r="I86" s="303"/>
      <c r="J86" s="358">
        <f>H86/DAY(B2)</f>
        <v>0.4533333333319105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'17'!F87</f>
        <v>82543</v>
      </c>
      <c r="F87" s="298">
        <v>82552.600000000006</v>
      </c>
      <c r="G87" s="356">
        <f t="shared" si="7"/>
        <v>9.6000000000058208</v>
      </c>
      <c r="H87" s="356">
        <f t="shared" si="8"/>
        <v>9.6000000000058208</v>
      </c>
      <c r="I87" s="303"/>
      <c r="J87" s="358">
        <f>H87/DAY(B2)</f>
        <v>0.53333333333365673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'17'!F88</f>
        <v>157245.72</v>
      </c>
      <c r="F88" s="298">
        <v>157321</v>
      </c>
      <c r="G88" s="356">
        <f t="shared" si="7"/>
        <v>75.279999999998836</v>
      </c>
      <c r="H88" s="356">
        <f t="shared" si="8"/>
        <v>75.279999999998836</v>
      </c>
      <c r="I88" s="303"/>
      <c r="J88" s="358">
        <f>H88/DAY(B2)</f>
        <v>4.1822222222221574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'17'!F89</f>
        <v>66560.800000000003</v>
      </c>
      <c r="F89" s="298">
        <v>66579</v>
      </c>
      <c r="G89" s="356">
        <f t="shared" si="7"/>
        <v>18.19999999999709</v>
      </c>
      <c r="H89" s="356">
        <f>G89</f>
        <v>18.19999999999709</v>
      </c>
      <c r="I89" s="303"/>
      <c r="J89" s="358">
        <f>H89/DAY(B2)</f>
        <v>1.0111111111109494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'17'!F90</f>
        <v>3407</v>
      </c>
      <c r="F90" s="298">
        <v>3408</v>
      </c>
      <c r="G90" s="356">
        <f t="shared" si="7"/>
        <v>1</v>
      </c>
      <c r="H90" s="356">
        <f>G90</f>
        <v>1</v>
      </c>
      <c r="I90" s="303"/>
      <c r="J90" s="358">
        <f>H90/DAY(B2)</f>
        <v>5.5555555555555552E-2</v>
      </c>
      <c r="K90" s="384"/>
      <c r="L90" s="385"/>
      <c r="N90" s="428"/>
      <c r="O90" s="73"/>
    </row>
    <row r="91" spans="1:16" s="386" customFormat="1">
      <c r="A91" s="381" t="s">
        <v>336</v>
      </c>
      <c r="B91" s="382"/>
      <c r="C91" s="382"/>
      <c r="D91" s="383" t="s">
        <v>131</v>
      </c>
      <c r="E91" s="278">
        <f>'17'!F91</f>
        <v>28391.759999999998</v>
      </c>
      <c r="F91" s="298">
        <v>28393.63</v>
      </c>
      <c r="G91" s="356">
        <f t="shared" si="7"/>
        <v>1.8700000000026193</v>
      </c>
      <c r="H91" s="356">
        <f>G91</f>
        <v>1.8700000000026193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954"/>
      <c r="C92" s="95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00" t="s">
        <v>205</v>
      </c>
      <c r="B93" s="1201"/>
      <c r="C93" s="1202"/>
      <c r="D93" s="174" t="s">
        <v>143</v>
      </c>
      <c r="E93" s="135">
        <f>'17'!F93</f>
        <v>249044</v>
      </c>
      <c r="F93" s="129">
        <v>249207</v>
      </c>
      <c r="G93" s="124">
        <f t="shared" ref="G93:G94" si="9">F93-E93</f>
        <v>163</v>
      </c>
      <c r="H93" s="111">
        <f>G93+'17'!H93</f>
        <v>-1107</v>
      </c>
      <c r="I93" s="131"/>
      <c r="J93" s="203">
        <f>H93/DAY(B2)</f>
        <v>-61.5</v>
      </c>
      <c r="K93" s="82"/>
      <c r="L93" s="68"/>
      <c r="N93" s="369"/>
      <c r="O93" s="376"/>
      <c r="P93" s="73"/>
    </row>
    <row r="94" spans="1:16" ht="27.75">
      <c r="A94" s="1200" t="s">
        <v>206</v>
      </c>
      <c r="B94" s="1201"/>
      <c r="C94" s="1202"/>
      <c r="D94" s="174" t="s">
        <v>143</v>
      </c>
      <c r="E94" s="135">
        <f>'17'!F94</f>
        <v>191455</v>
      </c>
      <c r="F94" s="129">
        <v>191615</v>
      </c>
      <c r="G94" s="124">
        <f t="shared" si="9"/>
        <v>160</v>
      </c>
      <c r="H94" s="111">
        <f>G94+'17'!H94</f>
        <v>-1283</v>
      </c>
      <c r="I94" s="131"/>
      <c r="J94" s="203">
        <f>H94/DAY(B2)</f>
        <v>-71.277777777777771</v>
      </c>
      <c r="K94" s="71"/>
      <c r="L94" s="68"/>
      <c r="N94" s="369"/>
      <c r="O94" s="376"/>
      <c r="P94" s="73"/>
    </row>
    <row r="95" spans="1:16">
      <c r="A95" s="1232" t="s">
        <v>207</v>
      </c>
      <c r="B95" s="1233"/>
      <c r="C95" s="1234"/>
      <c r="D95" s="174"/>
      <c r="E95" s="135">
        <f>'17'!F95</f>
        <v>0</v>
      </c>
      <c r="F95" s="129"/>
      <c r="G95" s="124">
        <f>G93+G94</f>
        <v>323</v>
      </c>
      <c r="H95" s="111">
        <f>G95+'17'!H95</f>
        <v>-2696</v>
      </c>
      <c r="I95" s="131"/>
      <c r="J95" s="203">
        <f>H95/DAY(B2)</f>
        <v>-149.77777777777777</v>
      </c>
      <c r="K95" s="71"/>
      <c r="L95" s="68"/>
      <c r="N95" s="369"/>
      <c r="O95" s="376"/>
      <c r="P95" s="73"/>
    </row>
    <row r="96" spans="1:16" ht="27.75">
      <c r="A96" s="1200" t="s">
        <v>208</v>
      </c>
      <c r="B96" s="1201"/>
      <c r="C96" s="1202"/>
      <c r="D96" s="174" t="s">
        <v>143</v>
      </c>
      <c r="E96" s="135">
        <f>'17'!F96</f>
        <v>417544</v>
      </c>
      <c r="F96" s="129">
        <v>417634</v>
      </c>
      <c r="G96" s="124">
        <f t="shared" ref="G96:G101" si="10">F96-E96</f>
        <v>90</v>
      </c>
      <c r="H96" s="111">
        <f>G96+'17'!H96</f>
        <v>-902</v>
      </c>
      <c r="I96" s="131"/>
      <c r="J96" s="203">
        <f>H96/DAY(B2)</f>
        <v>-50.111111111111114</v>
      </c>
      <c r="K96" s="71"/>
      <c r="L96" s="68"/>
      <c r="N96" s="369"/>
      <c r="O96" s="376"/>
      <c r="P96" s="73"/>
    </row>
    <row r="97" spans="1:16" ht="27.75">
      <c r="A97" s="948" t="s">
        <v>209</v>
      </c>
      <c r="B97" s="949"/>
      <c r="C97" s="949"/>
      <c r="D97" s="174" t="s">
        <v>143</v>
      </c>
      <c r="E97" s="135">
        <f>'17'!F97</f>
        <v>103541</v>
      </c>
      <c r="F97" s="129">
        <v>103571</v>
      </c>
      <c r="G97" s="124">
        <f t="shared" si="10"/>
        <v>30</v>
      </c>
      <c r="H97" s="111">
        <f>G97+'17'!H97</f>
        <v>-278</v>
      </c>
      <c r="I97" s="131"/>
      <c r="J97" s="203">
        <f>H97/DAY(B2)</f>
        <v>-15.444444444444445</v>
      </c>
      <c r="K97" s="80"/>
      <c r="L97" s="68"/>
      <c r="N97" s="369"/>
      <c r="O97" s="376"/>
      <c r="P97" s="73"/>
    </row>
    <row r="98" spans="1:16" ht="27.75">
      <c r="A98" s="948" t="s">
        <v>210</v>
      </c>
      <c r="B98" s="949"/>
      <c r="C98" s="949"/>
      <c r="D98" s="174" t="s">
        <v>143</v>
      </c>
      <c r="E98" s="135">
        <f>'17'!F98</f>
        <v>99090</v>
      </c>
      <c r="F98" s="129">
        <v>99119</v>
      </c>
      <c r="G98" s="124">
        <f t="shared" si="10"/>
        <v>29</v>
      </c>
      <c r="H98" s="111">
        <f>G98+'17'!H98</f>
        <v>-329</v>
      </c>
      <c r="I98" s="131"/>
      <c r="J98" s="203">
        <f>H98/DAY(B2)</f>
        <v>-18.277777777777779</v>
      </c>
      <c r="K98" s="85"/>
      <c r="L98" s="68"/>
      <c r="N98" s="369"/>
      <c r="O98" s="376"/>
      <c r="P98" s="73"/>
    </row>
    <row r="99" spans="1:16" ht="27.75">
      <c r="A99" s="948" t="s">
        <v>211</v>
      </c>
      <c r="B99" s="949"/>
      <c r="C99" s="949"/>
      <c r="D99" s="174" t="s">
        <v>143</v>
      </c>
      <c r="E99" s="135">
        <f>'17'!F99</f>
        <v>150908</v>
      </c>
      <c r="F99" s="129">
        <v>150935</v>
      </c>
      <c r="G99" s="124">
        <f t="shared" si="10"/>
        <v>27</v>
      </c>
      <c r="H99" s="111">
        <f>G99+'17'!H99</f>
        <v>-316</v>
      </c>
      <c r="I99" s="131"/>
      <c r="J99" s="203">
        <f>H99/DAY(B2)</f>
        <v>-17.555555555555557</v>
      </c>
      <c r="K99" s="71"/>
      <c r="L99" s="68"/>
      <c r="N99" s="371"/>
      <c r="O99" s="376"/>
      <c r="P99" s="73"/>
    </row>
    <row r="100" spans="1:16" ht="27.75">
      <c r="A100" s="948" t="s">
        <v>212</v>
      </c>
      <c r="B100" s="949"/>
      <c r="C100" s="949"/>
      <c r="D100" s="174" t="s">
        <v>143</v>
      </c>
      <c r="E100" s="135">
        <f>'17'!F100</f>
        <v>7981</v>
      </c>
      <c r="F100" s="129">
        <v>7997</v>
      </c>
      <c r="G100" s="124">
        <f t="shared" si="10"/>
        <v>16</v>
      </c>
      <c r="H100" s="111">
        <f>G100+'17'!H100</f>
        <v>-168</v>
      </c>
      <c r="I100" s="131"/>
      <c r="J100" s="203">
        <f>H100/DAY(B2)</f>
        <v>-9.3333333333333339</v>
      </c>
      <c r="K100" s="71"/>
      <c r="L100" s="68"/>
      <c r="N100" s="369"/>
      <c r="O100" s="376"/>
      <c r="P100" s="73"/>
    </row>
    <row r="101" spans="1:16" ht="27.75">
      <c r="A101" s="948" t="s">
        <v>213</v>
      </c>
      <c r="B101" s="949"/>
      <c r="C101" s="949"/>
      <c r="D101" s="174" t="s">
        <v>143</v>
      </c>
      <c r="E101" s="135">
        <f>'17'!F101</f>
        <v>5848</v>
      </c>
      <c r="F101" s="129">
        <v>5859</v>
      </c>
      <c r="G101" s="124">
        <f t="shared" si="10"/>
        <v>11</v>
      </c>
      <c r="H101" s="111">
        <f>G101+'17'!H101</f>
        <v>-132</v>
      </c>
      <c r="I101" s="131"/>
      <c r="J101" s="203">
        <f>H101/DAY(B2)</f>
        <v>-7.333333333333333</v>
      </c>
      <c r="K101" s="71"/>
      <c r="L101" s="68"/>
      <c r="N101" s="369"/>
      <c r="O101" s="376"/>
      <c r="P101" s="73"/>
    </row>
    <row r="102" spans="1:16">
      <c r="A102" s="1232" t="s">
        <v>215</v>
      </c>
      <c r="B102" s="1233"/>
      <c r="C102" s="1234"/>
      <c r="D102" s="175"/>
      <c r="E102" s="135"/>
      <c r="F102" s="175"/>
      <c r="G102" s="176">
        <f>SUM(G96:G101)</f>
        <v>203</v>
      </c>
      <c r="H102" s="111">
        <f>G102+'17'!H102</f>
        <v>-2125</v>
      </c>
      <c r="I102" s="177"/>
      <c r="J102" s="203">
        <f>H102/DAY(B2)</f>
        <v>-118.05555555555556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35" t="s">
        <v>217</v>
      </c>
      <c r="B104" s="1236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192" t="s">
        <v>218</v>
      </c>
      <c r="B105" s="1193"/>
      <c r="C105" s="947"/>
      <c r="D105" s="273" t="s">
        <v>143</v>
      </c>
      <c r="E105" s="135">
        <f>'17'!F105</f>
        <v>7767</v>
      </c>
      <c r="F105" s="309">
        <v>7767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3.3127777777777334</v>
      </c>
      <c r="N105" s="369"/>
      <c r="O105" s="376"/>
      <c r="P105" s="73"/>
    </row>
    <row r="106" spans="1:16" s="93" customFormat="1" ht="27.75">
      <c r="A106" s="1192" t="s">
        <v>76</v>
      </c>
      <c r="B106" s="1193"/>
      <c r="C106" s="947"/>
      <c r="D106" s="273" t="s">
        <v>143</v>
      </c>
      <c r="E106" s="135">
        <f>'17'!F106</f>
        <v>36332</v>
      </c>
      <c r="F106" s="310">
        <v>36342</v>
      </c>
      <c r="G106" s="183">
        <f t="shared" ref="G106:G107" si="11">F106-E106</f>
        <v>10</v>
      </c>
      <c r="H106" s="184">
        <f>SUM(G106+'1'!G77)</f>
        <v>69</v>
      </c>
      <c r="I106" s="183"/>
      <c r="J106" s="209">
        <f>H106/DAY(B2)</f>
        <v>3.8333333333333335</v>
      </c>
      <c r="N106" s="369"/>
      <c r="O106" s="376"/>
      <c r="P106" s="73"/>
    </row>
    <row r="107" spans="1:16" s="93" customFormat="1" ht="27.75">
      <c r="A107" s="1192" t="s">
        <v>77</v>
      </c>
      <c r="B107" s="1237"/>
      <c r="C107" s="1193"/>
      <c r="D107" s="273" t="s">
        <v>143</v>
      </c>
      <c r="E107" s="135">
        <f>'17'!F107</f>
        <v>19897</v>
      </c>
      <c r="F107" s="310">
        <v>19902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8.2777777777777786</v>
      </c>
      <c r="N107" s="369"/>
      <c r="O107" s="376"/>
      <c r="P107" s="73"/>
    </row>
    <row r="108" spans="1:16" s="93" customFormat="1" ht="27.75">
      <c r="A108" s="1194" t="s">
        <v>201</v>
      </c>
      <c r="B108" s="1195"/>
      <c r="C108" s="947"/>
      <c r="D108" s="273"/>
      <c r="E108" s="135">
        <f>'17'!F108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8.7777777777777786</v>
      </c>
      <c r="N108" s="369"/>
      <c r="O108" s="376"/>
      <c r="P108" s="73"/>
    </row>
    <row r="109" spans="1:16" s="93" customFormat="1" ht="27.75">
      <c r="A109" s="1198" t="s">
        <v>78</v>
      </c>
      <c r="B109" s="1199"/>
      <c r="C109" s="947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192" t="s">
        <v>219</v>
      </c>
      <c r="B110" s="1193"/>
      <c r="C110" s="947"/>
      <c r="D110" s="273" t="s">
        <v>143</v>
      </c>
      <c r="E110" s="135">
        <f>'17'!F110</f>
        <v>66105</v>
      </c>
      <c r="F110" s="310">
        <v>66170</v>
      </c>
      <c r="G110" s="183">
        <f>F110-E110</f>
        <v>65</v>
      </c>
      <c r="H110" s="184">
        <f>SUM(G110+'1'!G81)</f>
        <v>230.56000000005588</v>
      </c>
      <c r="I110" s="183"/>
      <c r="J110" s="209">
        <f>H110/DAY(B2)</f>
        <v>12.808888888891993</v>
      </c>
      <c r="N110" s="369"/>
      <c r="O110" s="376"/>
      <c r="P110" s="73"/>
    </row>
    <row r="111" spans="1:16" s="93" customFormat="1" ht="27.75">
      <c r="A111" s="1192" t="s">
        <v>220</v>
      </c>
      <c r="B111" s="1193"/>
      <c r="C111" s="947"/>
      <c r="D111" s="273" t="s">
        <v>143</v>
      </c>
      <c r="E111" s="135">
        <f>'17'!F111</f>
        <v>33629</v>
      </c>
      <c r="F111" s="310">
        <v>33641</v>
      </c>
      <c r="G111" s="183">
        <f t="shared" ref="G111:G112" si="12">F111-E111</f>
        <v>12</v>
      </c>
      <c r="H111" s="184">
        <f>SUM(G111+'1'!G82)</f>
        <v>25.279999999998836</v>
      </c>
      <c r="I111" s="183"/>
      <c r="J111" s="209">
        <f>H111/DAY(B2)</f>
        <v>1.4044444444443798</v>
      </c>
      <c r="N111" s="369"/>
      <c r="O111" s="376"/>
      <c r="P111" s="73"/>
    </row>
    <row r="112" spans="1:16" s="93" customFormat="1" ht="27.75">
      <c r="A112" s="1192" t="s">
        <v>221</v>
      </c>
      <c r="B112" s="1193"/>
      <c r="C112" s="947"/>
      <c r="D112" s="273" t="s">
        <v>143</v>
      </c>
      <c r="E112" s="135">
        <f>'17'!F112</f>
        <v>4621.3</v>
      </c>
      <c r="F112" s="310">
        <v>4621.3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16.944444444444443</v>
      </c>
      <c r="N112" s="369"/>
      <c r="O112" s="376"/>
      <c r="P112" s="73"/>
    </row>
    <row r="113" spans="1:16" s="93" customFormat="1" ht="27.75">
      <c r="A113" s="1194" t="s">
        <v>109</v>
      </c>
      <c r="B113" s="1195"/>
      <c r="C113" s="947"/>
      <c r="D113" s="273"/>
      <c r="E113" s="135">
        <f>'17'!F113</f>
        <v>0</v>
      </c>
      <c r="F113" s="310"/>
      <c r="G113" s="183">
        <f>SUM(G110:G112)</f>
        <v>77</v>
      </c>
      <c r="H113" s="184">
        <f>SUM(G113+'1'!G84)</f>
        <v>886</v>
      </c>
      <c r="I113" s="183"/>
      <c r="J113" s="209">
        <f>H113/DAY(B2)</f>
        <v>49.222222222222221</v>
      </c>
      <c r="N113" s="369"/>
      <c r="O113" s="376"/>
      <c r="P113" s="73"/>
    </row>
    <row r="114" spans="1:16" s="93" customFormat="1" ht="27.75">
      <c r="A114" s="1198" t="s">
        <v>222</v>
      </c>
      <c r="B114" s="1199"/>
      <c r="C114" s="947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192" t="s">
        <v>223</v>
      </c>
      <c r="B115" s="1193"/>
      <c r="C115" s="225"/>
      <c r="D115" s="273" t="s">
        <v>143</v>
      </c>
      <c r="E115" s="135">
        <f>'17'!F115</f>
        <v>12242</v>
      </c>
      <c r="F115" s="310">
        <v>12261</v>
      </c>
      <c r="G115" s="185">
        <f>F115-E115</f>
        <v>19</v>
      </c>
      <c r="H115" s="184">
        <f>SUM(G115+'1'!G92)</f>
        <v>19</v>
      </c>
      <c r="I115" s="183"/>
      <c r="J115" s="209">
        <f>H115/DAY(B2)</f>
        <v>1.0555555555555556</v>
      </c>
      <c r="N115" s="369"/>
      <c r="O115" s="376"/>
      <c r="P115" s="73"/>
    </row>
    <row r="116" spans="1:16" s="93" customFormat="1" ht="27.75">
      <c r="A116" s="1192" t="s">
        <v>224</v>
      </c>
      <c r="B116" s="1193"/>
      <c r="C116" s="225"/>
      <c r="D116" s="273" t="s">
        <v>143</v>
      </c>
      <c r="E116" s="135">
        <f>'17'!F116</f>
        <v>8702</v>
      </c>
      <c r="F116" s="310">
        <v>8711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8</v>
      </c>
      <c r="N116" s="369"/>
      <c r="O116" s="376"/>
      <c r="P116" s="73"/>
    </row>
    <row r="117" spans="1:16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9.5</v>
      </c>
      <c r="N117" s="369"/>
      <c r="O117" s="376"/>
      <c r="P117" s="73"/>
    </row>
    <row r="118" spans="1:16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28</v>
      </c>
      <c r="H118" s="184">
        <f>SUM(G118+'1'!G96)</f>
        <v>98</v>
      </c>
      <c r="I118" s="185"/>
      <c r="J118" s="209">
        <f>H118/DAY(B2)</f>
        <v>5.4444444444444446</v>
      </c>
      <c r="N118" s="369"/>
      <c r="O118" s="376"/>
      <c r="P118" s="73"/>
    </row>
    <row r="119" spans="1:16" s="97" customFormat="1" ht="27.75">
      <c r="A119" s="1188" t="s">
        <v>226</v>
      </c>
      <c r="B119" s="1189"/>
      <c r="C119" s="945"/>
      <c r="D119" s="275" t="s">
        <v>143</v>
      </c>
      <c r="E119" s="187"/>
      <c r="F119" s="311">
        <f>SUM(G19+G93)</f>
        <v>223</v>
      </c>
      <c r="G119" s="187">
        <f>SUM(G19+G93)</f>
        <v>223</v>
      </c>
      <c r="H119" s="184">
        <f>SUM(G119+'1'!G97)</f>
        <v>257</v>
      </c>
      <c r="I119" s="186"/>
      <c r="J119" s="210">
        <f>H119/DAY(B2)</f>
        <v>14.277777777777779</v>
      </c>
      <c r="N119" s="369"/>
      <c r="O119" s="376"/>
      <c r="P119" s="73"/>
    </row>
    <row r="120" spans="1:16" s="97" customFormat="1" ht="27.75">
      <c r="A120" s="1188" t="s">
        <v>227</v>
      </c>
      <c r="B120" s="1189"/>
      <c r="C120" s="945"/>
      <c r="D120" s="275" t="s">
        <v>143</v>
      </c>
      <c r="E120" s="187"/>
      <c r="F120" s="311">
        <f>SUM(G96,G97,G98,G100,G101)</f>
        <v>176</v>
      </c>
      <c r="G120" s="187">
        <f>SUM(G96,G97,G98,G100,G101)</f>
        <v>176</v>
      </c>
      <c r="H120" s="184">
        <f>SUM(G120+'1'!G99)</f>
        <v>182</v>
      </c>
      <c r="I120" s="186"/>
      <c r="J120" s="210">
        <f>H120/DAY(B2)</f>
        <v>10.111111111111111</v>
      </c>
      <c r="N120" s="369"/>
      <c r="O120" s="376"/>
      <c r="P120" s="73"/>
    </row>
    <row r="121" spans="1:16" s="97" customFormat="1" ht="27.75">
      <c r="A121" s="1188" t="s">
        <v>228</v>
      </c>
      <c r="B121" s="1189"/>
      <c r="C121" s="945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92</v>
      </c>
      <c r="I121" s="186"/>
      <c r="J121" s="210">
        <f>H121/DAY(B2)</f>
        <v>5.1111111111111107</v>
      </c>
      <c r="N121" s="369"/>
      <c r="O121" s="376"/>
      <c r="P121" s="73"/>
    </row>
    <row r="122" spans="1:16" s="93" customFormat="1" ht="27.75">
      <c r="A122" s="1190"/>
      <c r="B122" s="1191"/>
      <c r="C122" s="94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948" t="s">
        <v>230</v>
      </c>
      <c r="B124" s="949"/>
      <c r="C124" s="949"/>
      <c r="D124" s="174" t="s">
        <v>140</v>
      </c>
      <c r="E124" s="129">
        <f>'17'!F124</f>
        <v>844283.53</v>
      </c>
      <c r="F124" s="129">
        <v>844579.27</v>
      </c>
      <c r="G124" s="124">
        <f t="shared" ref="G124:G128" si="14">F124-E124</f>
        <v>295.73999999999069</v>
      </c>
      <c r="H124" s="111">
        <f>G124+'17'!H124</f>
        <v>-3386.7299999999814</v>
      </c>
      <c r="I124" s="177"/>
      <c r="J124" s="203">
        <f>H124/DAY(B2)</f>
        <v>-188.15166666666562</v>
      </c>
      <c r="K124" s="71"/>
      <c r="L124" s="68"/>
      <c r="N124" s="369"/>
      <c r="O124" s="376"/>
      <c r="P124" s="73"/>
    </row>
    <row r="125" spans="1:16" ht="27.75">
      <c r="A125" s="948" t="s">
        <v>231</v>
      </c>
      <c r="B125" s="949"/>
      <c r="C125" s="949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181" t="s">
        <v>232</v>
      </c>
      <c r="B126" s="1182"/>
      <c r="C126" s="1183"/>
      <c r="D126" s="174" t="s">
        <v>140</v>
      </c>
      <c r="E126" s="129">
        <f>'17'!F126</f>
        <v>150185.73000000001</v>
      </c>
      <c r="F126" s="129">
        <v>150293.53</v>
      </c>
      <c r="G126" s="124">
        <f t="shared" si="14"/>
        <v>107.79999999998836</v>
      </c>
      <c r="H126" s="111">
        <f>G126+'17'!H126</f>
        <v>-1027.4700000000012</v>
      </c>
      <c r="I126" s="177"/>
      <c r="J126" s="203">
        <f>H126/DAY(B2)</f>
        <v>-57.081666666666734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949"/>
      <c r="C127" s="949"/>
      <c r="D127" s="174" t="s">
        <v>140</v>
      </c>
      <c r="E127" s="129">
        <f>'17'!F127</f>
        <v>32725.200000000001</v>
      </c>
      <c r="F127" s="277">
        <v>32770.300000000003</v>
      </c>
      <c r="G127" s="124">
        <f t="shared" si="14"/>
        <v>45.100000000002183</v>
      </c>
      <c r="H127" s="111">
        <f>G127+'17'!H127</f>
        <v>-517.69999999999709</v>
      </c>
      <c r="I127" s="177"/>
      <c r="J127" s="203">
        <f>H127/DAY(B2)</f>
        <v>-28.761111111110949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949"/>
      <c r="C128" s="949"/>
      <c r="D128" s="174" t="s">
        <v>140</v>
      </c>
      <c r="E128" s="129">
        <f>'17'!F128</f>
        <v>9080.1</v>
      </c>
      <c r="F128" s="277">
        <v>9085</v>
      </c>
      <c r="G128" s="124">
        <f t="shared" si="14"/>
        <v>4.8999999999996362</v>
      </c>
      <c r="H128" s="111">
        <f>G128+'17'!H128</f>
        <v>-28</v>
      </c>
      <c r="I128" s="131"/>
      <c r="J128" s="203">
        <f>H128/DAY(B2)</f>
        <v>-1.5555555555555556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949"/>
      <c r="C129" s="949"/>
      <c r="D129" s="174"/>
      <c r="E129" s="129"/>
      <c r="F129" s="129"/>
      <c r="G129" s="124">
        <f>G15-SUM(G124:G128)</f>
        <v>496.46000000001914</v>
      </c>
      <c r="H129" s="111">
        <f>G129+'17'!H129</f>
        <v>13886.89999999998</v>
      </c>
      <c r="I129" s="131"/>
      <c r="J129" s="203">
        <f>H129/DAY(B2)</f>
        <v>771.49444444444327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948" t="s">
        <v>237</v>
      </c>
      <c r="B131" s="949"/>
      <c r="C131" s="949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948" t="s">
        <v>239</v>
      </c>
      <c r="B132" s="949"/>
      <c r="C132" s="949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948" t="s">
        <v>240</v>
      </c>
      <c r="B133" s="949"/>
      <c r="C133" s="949"/>
      <c r="D133" s="174" t="s">
        <v>238</v>
      </c>
      <c r="E133" s="135">
        <f>'17'!F133</f>
        <v>40612.1</v>
      </c>
      <c r="F133" s="302">
        <v>40612.1</v>
      </c>
      <c r="G133" s="124">
        <f t="shared" si="15"/>
        <v>0</v>
      </c>
      <c r="H133" s="111">
        <f>G133+'17'!H133</f>
        <v>-6.9000000000014552</v>
      </c>
      <c r="I133" s="131"/>
      <c r="J133" s="203">
        <f>H133/DAY(B2)</f>
        <v>-0.38333333333341418</v>
      </c>
      <c r="N133" s="369"/>
      <c r="O133" s="376"/>
      <c r="P133" s="73"/>
    </row>
    <row r="134" spans="1:16" ht="27.75">
      <c r="A134" s="948" t="s">
        <v>241</v>
      </c>
      <c r="B134" s="949"/>
      <c r="C134" s="949"/>
      <c r="D134" s="174" t="s">
        <v>238</v>
      </c>
      <c r="E134" s="135">
        <f>'17'!F134</f>
        <v>397.13</v>
      </c>
      <c r="F134" s="277">
        <v>410.18</v>
      </c>
      <c r="G134" s="124">
        <f t="shared" si="15"/>
        <v>13.050000000000011</v>
      </c>
      <c r="H134" s="111">
        <f>G134+'17'!H134</f>
        <v>-163.82</v>
      </c>
      <c r="I134" s="131">
        <f>G131+G132+G133+G134</f>
        <v>13.050000000000011</v>
      </c>
      <c r="J134" s="203">
        <f>H134/DAY(B2)</f>
        <v>-9.1011111111111109</v>
      </c>
      <c r="N134" s="369"/>
      <c r="O134" s="376"/>
      <c r="P134" s="73"/>
    </row>
    <row r="135" spans="1:16" ht="27.75">
      <c r="A135" s="948" t="s">
        <v>242</v>
      </c>
      <c r="B135" s="949"/>
      <c r="C135" s="949"/>
      <c r="D135" s="174" t="s">
        <v>238</v>
      </c>
      <c r="E135" s="135">
        <f>'17'!F135</f>
        <v>42233.09</v>
      </c>
      <c r="F135" s="277">
        <v>42257</v>
      </c>
      <c r="G135" s="124">
        <f t="shared" si="15"/>
        <v>23.910000000003492</v>
      </c>
      <c r="H135" s="111">
        <f>G135+'17'!H135</f>
        <v>-242</v>
      </c>
      <c r="I135" s="131"/>
      <c r="J135" s="203">
        <f>H135/DAY(B2)</f>
        <v>-13.444444444444445</v>
      </c>
      <c r="N135" s="369"/>
      <c r="O135" s="376"/>
      <c r="P135" s="73"/>
    </row>
    <row r="136" spans="1:16" ht="27.75">
      <c r="A136" s="948" t="s">
        <v>243</v>
      </c>
      <c r="B136" s="949"/>
      <c r="C136" s="949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>
      <c r="A137" s="948" t="s">
        <v>244</v>
      </c>
      <c r="B137" s="949"/>
      <c r="C137" s="949"/>
      <c r="D137" s="174" t="s">
        <v>238</v>
      </c>
      <c r="E137" s="135">
        <f>'17'!F137</f>
        <v>23014.9</v>
      </c>
      <c r="F137" s="302">
        <v>23023.439999999999</v>
      </c>
      <c r="G137" s="124">
        <f t="shared" si="15"/>
        <v>8.5399999999972351</v>
      </c>
      <c r="H137" s="111">
        <f>G137+'17'!H137</f>
        <v>-83.120000000002619</v>
      </c>
      <c r="I137" s="131">
        <f>G135+G136+G137</f>
        <v>32.450000000000728</v>
      </c>
      <c r="J137" s="203">
        <f>H137/DAY(B2)</f>
        <v>-4.6177777777779232</v>
      </c>
      <c r="N137" s="369"/>
      <c r="O137" s="376"/>
      <c r="P137" s="73"/>
    </row>
    <row r="138" spans="1:16" ht="27.75">
      <c r="A138" s="948" t="s">
        <v>245</v>
      </c>
      <c r="B138" s="949"/>
      <c r="C138" s="949"/>
      <c r="D138" s="174" t="s">
        <v>238</v>
      </c>
      <c r="E138" s="135">
        <f>'17'!F138</f>
        <v>25099.16</v>
      </c>
      <c r="F138" s="302">
        <v>25099.16</v>
      </c>
      <c r="G138" s="124">
        <f t="shared" si="15"/>
        <v>0</v>
      </c>
      <c r="H138" s="111">
        <f>G138+'17'!H138</f>
        <v>-20.290000000000873</v>
      </c>
      <c r="I138" s="131"/>
      <c r="J138" s="203">
        <f>H138/DAY(B2)</f>
        <v>-1.1272222222222708</v>
      </c>
      <c r="N138" s="369"/>
      <c r="O138" s="376"/>
      <c r="P138" s="73"/>
    </row>
    <row r="139" spans="1:16" ht="27.75">
      <c r="A139" s="948" t="s">
        <v>246</v>
      </c>
      <c r="B139" s="949"/>
      <c r="C139" s="949"/>
      <c r="D139" s="174" t="s">
        <v>238</v>
      </c>
      <c r="E139" s="135">
        <f>'17'!F139</f>
        <v>70516.600000000006</v>
      </c>
      <c r="F139" s="302">
        <v>70516.600000000006</v>
      </c>
      <c r="G139" s="124">
        <f t="shared" si="15"/>
        <v>0</v>
      </c>
      <c r="H139" s="111">
        <f>G139+'17'!H139</f>
        <v>0</v>
      </c>
      <c r="I139" s="131">
        <f>G138+G139</f>
        <v>0</v>
      </c>
      <c r="J139" s="203">
        <f>H139/DAY(B2)</f>
        <v>0</v>
      </c>
      <c r="N139" s="369"/>
      <c r="O139" s="376"/>
      <c r="P139" s="73"/>
    </row>
    <row r="140" spans="1:16" ht="27.75">
      <c r="A140" s="948" t="s">
        <v>247</v>
      </c>
      <c r="B140" s="949"/>
      <c r="C140" s="949"/>
      <c r="D140" s="174" t="s">
        <v>238</v>
      </c>
      <c r="E140" s="135">
        <f>'17'!F140</f>
        <v>2247.77</v>
      </c>
      <c r="F140" s="277">
        <v>2247.77</v>
      </c>
      <c r="G140" s="124">
        <f t="shared" si="15"/>
        <v>0</v>
      </c>
      <c r="H140" s="111">
        <f>G140+'17'!H140</f>
        <v>-63.789999999999964</v>
      </c>
      <c r="I140" s="193"/>
      <c r="J140" s="203">
        <f>H140/DAY(B2)</f>
        <v>-3.5438888888888869</v>
      </c>
      <c r="N140" s="369"/>
      <c r="O140" s="376"/>
      <c r="P140" s="73"/>
    </row>
    <row r="141" spans="1:16" ht="27.75">
      <c r="A141" s="948" t="s">
        <v>248</v>
      </c>
      <c r="B141" s="949"/>
      <c r="C141" s="949"/>
      <c r="D141" s="174" t="s">
        <v>238</v>
      </c>
      <c r="E141" s="135">
        <f>'17'!F141</f>
        <v>4685.83</v>
      </c>
      <c r="F141" s="129">
        <v>4696.12</v>
      </c>
      <c r="G141" s="124">
        <f t="shared" si="15"/>
        <v>10.289999999999964</v>
      </c>
      <c r="H141" s="111">
        <f>G141+'17'!H141</f>
        <v>-57.880000000000109</v>
      </c>
      <c r="I141" s="193"/>
      <c r="J141" s="203">
        <f>H141/DAY(B2)</f>
        <v>-3.2155555555555617</v>
      </c>
      <c r="N141" s="369"/>
      <c r="O141" s="376"/>
      <c r="P141" s="73"/>
    </row>
    <row r="142" spans="1:16">
      <c r="A142" s="1203" t="s">
        <v>249</v>
      </c>
      <c r="B142" s="1204"/>
      <c r="C142" s="95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6630.0080000001471</v>
      </c>
      <c r="H143" s="111">
        <f>G143+'17'!H143</f>
        <v>-76974.991999999867</v>
      </c>
      <c r="I143" s="131"/>
      <c r="J143" s="203">
        <f>H143/DAY(B2)</f>
        <v>-4276.3884444444375</v>
      </c>
      <c r="K143" s="71"/>
      <c r="L143" s="68"/>
      <c r="N143" s="369"/>
      <c r="O143" s="376"/>
      <c r="P143" s="73"/>
    </row>
    <row r="144" spans="1:16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0.28516163440860848</v>
      </c>
      <c r="H144" s="111">
        <f>G144+'17'!H144</f>
        <v>-3.141587583494764</v>
      </c>
      <c r="I144" s="195"/>
      <c r="J144" s="203">
        <f>H144/DAY(B2)</f>
        <v>-0.17453264352748687</v>
      </c>
      <c r="K144" s="71"/>
      <c r="L144" s="68"/>
      <c r="N144" s="369"/>
      <c r="O144" s="376"/>
      <c r="P144" s="73"/>
    </row>
    <row r="145" spans="1:16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8129.570000000007</v>
      </c>
      <c r="H145" s="111">
        <f>G145+'17'!H145</f>
        <v>-90093.200000000041</v>
      </c>
      <c r="I145" s="131"/>
      <c r="J145" s="203">
        <f>H145/DAY(B2)</f>
        <v>-5005.1777777777797</v>
      </c>
      <c r="K145" s="71"/>
      <c r="L145" s="68"/>
      <c r="N145" s="369"/>
      <c r="O145" s="376"/>
      <c r="P145" s="73"/>
    </row>
    <row r="146" spans="1:16" ht="27.75">
      <c r="A146" s="1200" t="s">
        <v>253</v>
      </c>
      <c r="B146" s="1201"/>
      <c r="C146" s="1202"/>
      <c r="D146" s="174" t="s">
        <v>24</v>
      </c>
      <c r="E146" s="106"/>
      <c r="F146" s="106" t="s">
        <v>272</v>
      </c>
      <c r="G146" s="194">
        <f>G145/G7</f>
        <v>0.3496589247311831</v>
      </c>
      <c r="H146" s="111">
        <f>G146+'17'!H146</f>
        <v>-3.6936969990965114</v>
      </c>
      <c r="I146" s="195"/>
      <c r="J146" s="203">
        <f>H146/DAY(B2)</f>
        <v>-0.20520538883869507</v>
      </c>
      <c r="K146" s="71"/>
      <c r="L146" s="68"/>
      <c r="N146" s="369"/>
      <c r="O146" s="376"/>
      <c r="P146" s="73"/>
    </row>
    <row r="147" spans="1:16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3750.8400000000256</v>
      </c>
      <c r="H147" s="111">
        <f>G147+'17'!H147</f>
        <v>-49205.739999999991</v>
      </c>
      <c r="I147" s="196"/>
      <c r="J147" s="203">
        <f>H147/DAY(B2)</f>
        <v>-2733.6522222222216</v>
      </c>
      <c r="K147" s="71"/>
      <c r="L147" s="68"/>
      <c r="N147" s="369"/>
      <c r="O147" s="376"/>
      <c r="P147" s="73"/>
    </row>
    <row r="148" spans="1:16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0.16132645161290432</v>
      </c>
      <c r="H148" s="111">
        <f>G148+'17'!H148</f>
        <v>-2.0014979414325347</v>
      </c>
      <c r="I148" s="196"/>
      <c r="J148" s="203">
        <f>H148/DAY(B2)</f>
        <v>-0.11119433007958526</v>
      </c>
      <c r="N148" s="369"/>
      <c r="O148" s="376"/>
      <c r="P148" s="73"/>
    </row>
    <row r="149" spans="1:16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1840.9800000000105</v>
      </c>
      <c r="H149" s="111">
        <f>G149+'17'!H149</f>
        <v>-20707.46000000005</v>
      </c>
      <c r="I149" s="131"/>
      <c r="J149" s="203">
        <f>H149/DAY(B2)</f>
        <v>-1150.4144444444473</v>
      </c>
      <c r="K149" s="72"/>
      <c r="N149" s="369"/>
      <c r="O149" s="376"/>
      <c r="P149" s="73"/>
    </row>
    <row r="150" spans="1:16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7.9181935483871424E-2</v>
      </c>
      <c r="H150" s="111">
        <f>G150+'17'!H150</f>
        <v>-0.8390456876599709</v>
      </c>
      <c r="I150" s="196"/>
      <c r="J150" s="203">
        <f>H150/DAY(B2)</f>
        <v>-4.6613649314442826E-2</v>
      </c>
      <c r="N150" s="369"/>
      <c r="O150" s="376"/>
      <c r="P150" s="73"/>
    </row>
    <row r="151" spans="1:16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2903.8299999999508</v>
      </c>
      <c r="H151" s="111">
        <f>G151+'17'!H151</f>
        <v>-23912.650000000052</v>
      </c>
      <c r="I151" s="196"/>
      <c r="J151" s="203">
        <f>H151/DAY(B2)</f>
        <v>-1328.4805555555586</v>
      </c>
      <c r="N151" s="369"/>
      <c r="O151" s="376"/>
      <c r="P151" s="73"/>
    </row>
    <row r="152" spans="1:16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0.12489591397849251</v>
      </c>
      <c r="H152" s="111">
        <f>G152+'17'!H152</f>
        <v>-0.97621511307816167</v>
      </c>
      <c r="I152" s="131"/>
      <c r="J152" s="203">
        <f>H152/DAY(B2)</f>
        <v>-5.4234172948786762E-2</v>
      </c>
      <c r="N152" s="369"/>
      <c r="O152" s="376"/>
      <c r="P152" s="73"/>
    </row>
    <row r="153" spans="1:16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1846.5199999999895</v>
      </c>
      <c r="H153" s="111">
        <f>G153+'17'!H153</f>
        <v>-21125.160000000003</v>
      </c>
      <c r="I153" s="131"/>
      <c r="J153" s="203">
        <f>H153/DAY(B2)</f>
        <v>-1173.6200000000001</v>
      </c>
      <c r="N153" s="369"/>
      <c r="O153" s="376"/>
      <c r="P153" s="73"/>
    </row>
    <row r="154" spans="1:16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7.9420215053762996E-2</v>
      </c>
      <c r="H154" s="111">
        <f>G154+'17'!H154</f>
        <v>-0.86107751049836045</v>
      </c>
      <c r="I154" s="219"/>
      <c r="J154" s="220">
        <f>H154/DAY(B2)</f>
        <v>-4.7837639472131134E-2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'17'!F161</f>
        <v>42207.75</v>
      </c>
      <c r="F161" s="454">
        <v>42290.03</v>
      </c>
      <c r="G161" s="124">
        <f t="shared" ref="G161:G166" si="16">F161-E161</f>
        <v>82.279999999998836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'17'!F162</f>
        <v>115588.27</v>
      </c>
      <c r="F162" s="454">
        <v>116042.66</v>
      </c>
      <c r="G162" s="124">
        <f t="shared" si="16"/>
        <v>454.38999999999942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'17'!F163</f>
        <v>64721.63</v>
      </c>
      <c r="F163" s="434">
        <v>64923.45</v>
      </c>
      <c r="G163" s="124">
        <f t="shared" si="16"/>
        <v>201.81999999999971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'17'!F164</f>
        <v>7017.85</v>
      </c>
      <c r="F164" s="454">
        <v>7027.41</v>
      </c>
      <c r="G164" s="124">
        <f t="shared" si="16"/>
        <v>9.5599999999994907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>
      <c r="A167" s="1253" t="s">
        <v>98</v>
      </c>
      <c r="B167" s="1253"/>
      <c r="C167" s="1253"/>
      <c r="D167" s="175" t="s">
        <v>186</v>
      </c>
      <c r="E167" s="173">
        <f>'17'!F167</f>
        <v>176694.07</v>
      </c>
      <c r="F167" s="165">
        <f t="shared" ref="F167:F172" si="17">F64</f>
        <v>177066.15</v>
      </c>
      <c r="G167" s="124">
        <f>F64-E64</f>
        <v>372.07999999998719</v>
      </c>
      <c r="N167" s="369"/>
    </row>
    <row r="168" spans="1:14" ht="27.75">
      <c r="A168" s="1253" t="s">
        <v>99</v>
      </c>
      <c r="B168" s="1253"/>
      <c r="C168" s="1253"/>
      <c r="D168" s="175" t="s">
        <v>186</v>
      </c>
      <c r="E168" s="173">
        <f>'17'!F168</f>
        <v>176719.61</v>
      </c>
      <c r="F168" s="165">
        <f t="shared" si="17"/>
        <v>177128.03</v>
      </c>
      <c r="G168" s="124">
        <f t="shared" ref="G168:G172" si="18">F65-E65</f>
        <v>408.42000000001281</v>
      </c>
      <c r="N168" s="369"/>
    </row>
    <row r="169" spans="1:14" ht="27.75">
      <c r="A169" s="1253" t="s">
        <v>100</v>
      </c>
      <c r="B169" s="1253"/>
      <c r="C169" s="1253"/>
      <c r="D169" s="175" t="s">
        <v>186</v>
      </c>
      <c r="E169" s="173">
        <f>'17'!F169</f>
        <v>74932.600000000006</v>
      </c>
      <c r="F169" s="165">
        <f t="shared" si="17"/>
        <v>75359.899999999994</v>
      </c>
      <c r="G169" s="124">
        <f t="shared" si="18"/>
        <v>427.29999999998836</v>
      </c>
      <c r="N169" s="369"/>
    </row>
    <row r="170" spans="1:14" ht="27.75">
      <c r="A170" s="1253" t="s">
        <v>101</v>
      </c>
      <c r="B170" s="1253"/>
      <c r="C170" s="1253"/>
      <c r="D170" s="175" t="s">
        <v>186</v>
      </c>
      <c r="E170" s="173">
        <f>'17'!F170</f>
        <v>272970.90999999997</v>
      </c>
      <c r="F170" s="165">
        <f t="shared" si="17"/>
        <v>273443.11</v>
      </c>
      <c r="G170" s="124">
        <f t="shared" si="18"/>
        <v>472.20000000001164</v>
      </c>
      <c r="N170" s="369"/>
    </row>
    <row r="171" spans="1:14" ht="27.75">
      <c r="A171" s="1253" t="s">
        <v>102</v>
      </c>
      <c r="B171" s="1253"/>
      <c r="C171" s="1253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>
      <c r="A172" s="1253" t="s">
        <v>103</v>
      </c>
      <c r="B172" s="1253"/>
      <c r="C172" s="1253"/>
      <c r="D172" s="175" t="s">
        <v>186</v>
      </c>
      <c r="E172" s="173">
        <f>'17'!F172</f>
        <v>92028.09</v>
      </c>
      <c r="F172" s="165">
        <f t="shared" si="17"/>
        <v>92335.38</v>
      </c>
      <c r="G172" s="124">
        <f t="shared" si="18"/>
        <v>307.29000000000815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2735.3400000000056</v>
      </c>
      <c r="N173" s="369"/>
    </row>
    <row r="174" spans="1:14">
      <c r="N174" s="369"/>
    </row>
    <row r="175" spans="1:14">
      <c r="A175" s="1228" t="s">
        <v>338</v>
      </c>
      <c r="B175" s="1191"/>
      <c r="C175" s="436"/>
      <c r="D175" s="174" t="s">
        <v>186</v>
      </c>
      <c r="E175" s="183">
        <f>'17'!F174</f>
        <v>19082.099999999999</v>
      </c>
      <c r="F175" s="183">
        <v>19087</v>
      </c>
      <c r="G175" s="124">
        <f>F175-E175</f>
        <v>4.9000000000014552</v>
      </c>
      <c r="N175" s="369"/>
    </row>
    <row r="176" spans="1:14">
      <c r="A176" s="1228" t="s">
        <v>338</v>
      </c>
      <c r="B176" s="1191"/>
      <c r="C176" s="436"/>
      <c r="D176" s="174" t="s">
        <v>186</v>
      </c>
      <c r="E176" s="183">
        <f>'17'!F175</f>
        <v>70442</v>
      </c>
      <c r="F176" s="183">
        <v>70449.100000000006</v>
      </c>
      <c r="G176" s="124">
        <f t="shared" ref="G176:G177" si="19">F176-E176</f>
        <v>7.1000000000058208</v>
      </c>
      <c r="N176" s="369"/>
    </row>
    <row r="177" spans="1:14">
      <c r="A177" s="1228" t="s">
        <v>339</v>
      </c>
      <c r="B177" s="1191"/>
      <c r="C177" s="436"/>
      <c r="D177" s="174" t="s">
        <v>186</v>
      </c>
      <c r="E177" s="183">
        <f>'17'!F176</f>
        <v>27717.200000000001</v>
      </c>
      <c r="F177" s="183">
        <v>27724</v>
      </c>
      <c r="G177" s="124">
        <f t="shared" si="19"/>
        <v>6.7999999999992724</v>
      </c>
      <c r="N177" s="369"/>
    </row>
    <row r="178" spans="1:14" ht="18.75" customHeight="1">
      <c r="N178" s="369"/>
    </row>
    <row r="179" spans="1:14" ht="23.25" customHeight="1">
      <c r="N179" s="369"/>
    </row>
    <row r="180" spans="1:14" ht="23.25" customHeight="1">
      <c r="N180" s="369"/>
    </row>
    <row r="181" spans="1:14" ht="23.25" customHeight="1">
      <c r="N181" s="369"/>
    </row>
    <row r="182" spans="1:14" ht="23.25" customHeight="1">
      <c r="N182" s="369"/>
    </row>
    <row r="183" spans="1:14" ht="23.25" customHeight="1">
      <c r="N183" s="369"/>
    </row>
    <row r="184" spans="1:14" ht="23.25" customHeight="1"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B148" zoomScale="95" zoomScaleNormal="40" zoomScaleSheetLayoutView="95" zoomScalePageLayoutView="60" workbookViewId="0">
      <selection activeCell="F19" sqref="F19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359</v>
      </c>
      <c r="B2" s="682">
        <v>44396</v>
      </c>
      <c r="C2" s="773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7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'18'!F7</f>
        <v>1011888</v>
      </c>
      <c r="F7" s="106">
        <f>E7+23250</f>
        <v>1035138</v>
      </c>
      <c r="G7" s="124">
        <f>F7-E7</f>
        <v>23250</v>
      </c>
      <c r="H7" s="111">
        <f>G7+'18'!H7</f>
        <v>427316</v>
      </c>
      <c r="I7" s="125">
        <f>'1'!I7</f>
        <v>12000</v>
      </c>
      <c r="J7" s="203">
        <f>H7/DAY(B2)</f>
        <v>22490.315789473683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'18'!F8</f>
        <v>326669.21000000002</v>
      </c>
      <c r="F8" s="126">
        <v>348387</v>
      </c>
      <c r="G8" s="127">
        <f>F8-E8</f>
        <v>21717.789999999979</v>
      </c>
      <c r="H8" s="111">
        <f>G8+'18'!H8</f>
        <v>-267210</v>
      </c>
      <c r="I8" s="128">
        <f>'1'!I8</f>
        <v>12000</v>
      </c>
      <c r="J8" s="203">
        <f>H8/DAY(B2)</f>
        <v>-14063.684210526315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'18'!F9</f>
        <v>2418094.1</v>
      </c>
      <c r="F9" s="129">
        <v>2439016</v>
      </c>
      <c r="G9" s="124">
        <f t="shared" ref="G9:G12" si="0">F9-E9</f>
        <v>20921.899999999907</v>
      </c>
      <c r="H9" s="111">
        <f>G9+'18'!H9</f>
        <v>-257619</v>
      </c>
      <c r="I9" s="130">
        <f>I8-J8</f>
        <v>26063.684210526313</v>
      </c>
      <c r="J9" s="203">
        <f>H9/DAY(B2)</f>
        <v>-13558.894736842105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'18'!F10</f>
        <v>2606.85</v>
      </c>
      <c r="F10" s="129">
        <v>2606.85</v>
      </c>
      <c r="G10" s="124">
        <v>0</v>
      </c>
      <c r="H10" s="111">
        <f>G10+'18'!H10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20921.899999999907</v>
      </c>
      <c r="H13" s="111">
        <f>G13+'18'!H13</f>
        <v>-300303.15000000002</v>
      </c>
      <c r="I13" s="133">
        <f>G7-G13</f>
        <v>2328.1000000000931</v>
      </c>
      <c r="J13" s="203">
        <f>H13/DAY(B2)</f>
        <v>-15805.428947368422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771" t="s">
        <v>139</v>
      </c>
      <c r="B15" s="240"/>
      <c r="C15" s="240"/>
      <c r="D15" s="174" t="s">
        <v>140</v>
      </c>
      <c r="E15" s="135">
        <f>'18'!F15</f>
        <v>1745559</v>
      </c>
      <c r="F15" s="351">
        <f>E15+950</f>
        <v>1746509</v>
      </c>
      <c r="G15" s="430">
        <f>(F15-E15)</f>
        <v>950</v>
      </c>
      <c r="H15" s="111">
        <f>G15+'18'!H15</f>
        <v>16955</v>
      </c>
      <c r="I15" s="125">
        <v>800</v>
      </c>
      <c r="J15" s="203">
        <f>H15/DAY(B2)</f>
        <v>892.36842105263156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-92.368421052631561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'18'!F18</f>
        <v>17</v>
      </c>
      <c r="F18" s="135">
        <v>20</v>
      </c>
      <c r="G18" s="132">
        <f>F18*10</f>
        <v>200</v>
      </c>
      <c r="H18" s="111">
        <f>G18+'18'!H18</f>
        <v>3170</v>
      </c>
      <c r="I18" s="125">
        <f>'1'!I18</f>
        <v>65</v>
      </c>
      <c r="J18" s="203">
        <f>H18/DAY(B2)</f>
        <v>166.84210526315789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'18'!F19</f>
        <v>144510</v>
      </c>
      <c r="F19" s="135">
        <f>E19+60</f>
        <v>144570</v>
      </c>
      <c r="G19" s="124">
        <f t="shared" ref="G19" si="1">F19-E19</f>
        <v>60</v>
      </c>
      <c r="H19" s="111">
        <f>G19+'18'!H19</f>
        <v>1180</v>
      </c>
      <c r="I19" s="140"/>
      <c r="J19" s="203">
        <f>H19/DAY(B2)</f>
        <v>62.10526315789474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260</v>
      </c>
      <c r="H20" s="111">
        <f>G20+'18'!H20</f>
        <v>4350</v>
      </c>
      <c r="I20" s="143">
        <f>I18-J20</f>
        <v>-163.94736842105263</v>
      </c>
      <c r="J20" s="203">
        <f>H20/DAY(B2)</f>
        <v>228.94736842105263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G27+'18'!H27</f>
        <v>-2404888.11</v>
      </c>
      <c r="I27" s="154"/>
      <c r="J27" s="203">
        <f>H27/DAY(B2)</f>
        <v>-126573.05842105263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153">
        <f>E28*F28</f>
        <v>49400</v>
      </c>
      <c r="H28" s="111">
        <f>G28+'18'!H28</f>
        <v>914547.5</v>
      </c>
      <c r="I28" s="156"/>
      <c r="J28" s="203">
        <f>H28/DAY(B2)</f>
        <v>48134.07894736842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G30+'18'!H30</f>
        <v>172280</v>
      </c>
      <c r="I30" s="156"/>
      <c r="J30" s="203">
        <f>H30/DAY(B2)</f>
        <v>9067.3684210526317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153">
        <f>E31*F31</f>
        <v>16000</v>
      </c>
      <c r="H31" s="111">
        <f>G31+'18'!H31</f>
        <v>253600</v>
      </c>
      <c r="I31" s="156"/>
      <c r="J31" s="203">
        <f>H31/DAY(B2)</f>
        <v>13347.368421052632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269622</v>
      </c>
      <c r="H32" s="111">
        <f>G32+'18'!H32</f>
        <v>-1064460.6100000001</v>
      </c>
      <c r="I32" s="160"/>
      <c r="J32" s="203">
        <f>H32/DAY(B2)</f>
        <v>-56024.242631578956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'18'!F35</f>
        <v>1058597.3</v>
      </c>
      <c r="F35" s="161">
        <v>1058597</v>
      </c>
      <c r="G35" s="124">
        <f t="shared" ref="G35:G44" si="3">F35-E35</f>
        <v>-0.30000000004656613</v>
      </c>
      <c r="H35" s="111">
        <f>G35+'18'!H35</f>
        <v>0.69999999995343387</v>
      </c>
      <c r="I35" s="106"/>
      <c r="J35" s="203">
        <f>H35/DAY(B2)</f>
        <v>3.6842105260707046E-2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'18'!F36</f>
        <v>36282.28</v>
      </c>
      <c r="F36" s="161">
        <v>37098</v>
      </c>
      <c r="G36" s="124">
        <f t="shared" si="3"/>
        <v>815.72000000000116</v>
      </c>
      <c r="H36" s="111">
        <f>G36+'18'!H36</f>
        <v>-9700</v>
      </c>
      <c r="I36" s="106"/>
      <c r="J36" s="203">
        <f>H36/DAY(B2)</f>
        <v>-510.5263157894737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'18'!F37</f>
        <v>205047.97</v>
      </c>
      <c r="F37" s="120">
        <v>206639</v>
      </c>
      <c r="G37" s="124">
        <f t="shared" si="3"/>
        <v>1591.0299999999988</v>
      </c>
      <c r="H37" s="111">
        <f>G37+'18'!H37</f>
        <v>-19534</v>
      </c>
      <c r="I37" s="106"/>
      <c r="J37" s="203">
        <f>H37/DAY(B2)</f>
        <v>-1028.1052631578948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'18'!F38</f>
        <v>227851.47</v>
      </c>
      <c r="F38" s="161">
        <v>229458</v>
      </c>
      <c r="G38" s="124">
        <f t="shared" si="3"/>
        <v>1606.5299999999988</v>
      </c>
      <c r="H38" s="111">
        <f>G38+'18'!H38</f>
        <v>-19101</v>
      </c>
      <c r="I38" s="106"/>
      <c r="J38" s="203">
        <f>H38/DAY(B2)</f>
        <v>-1005.3157894736842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'18'!F39</f>
        <v>471312.67</v>
      </c>
      <c r="F39" s="161">
        <v>475083</v>
      </c>
      <c r="G39" s="124">
        <f t="shared" si="3"/>
        <v>3770.3300000000163</v>
      </c>
      <c r="H39" s="111">
        <f>G39+'18'!H39</f>
        <v>-45435</v>
      </c>
      <c r="I39" s="106"/>
      <c r="J39" s="203">
        <f>H39/DAY(B2)</f>
        <v>-2391.3157894736842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'18'!F40</f>
        <v>14254.8</v>
      </c>
      <c r="F40" s="161">
        <v>14614</v>
      </c>
      <c r="G40" s="124">
        <f t="shared" si="3"/>
        <v>359.20000000000073</v>
      </c>
      <c r="H40" s="111">
        <f>G40+'18'!H40</f>
        <v>-5559</v>
      </c>
      <c r="I40" s="106"/>
      <c r="J40" s="203">
        <f>H40/DAY(B2)</f>
        <v>-292.57894736842104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'18'!F41</f>
        <v>365502.35</v>
      </c>
      <c r="F41" s="161">
        <v>365502</v>
      </c>
      <c r="G41" s="124">
        <f t="shared" si="3"/>
        <v>-0.34999999997671694</v>
      </c>
      <c r="H41" s="111">
        <f>G41+'18'!H41</f>
        <v>-1338</v>
      </c>
      <c r="I41" s="106"/>
      <c r="J41" s="203">
        <f>H41/DAY(B2)</f>
        <v>-70.421052631578945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'18'!F42</f>
        <v>82013.91</v>
      </c>
      <c r="F42" s="161">
        <v>82838</v>
      </c>
      <c r="G42" s="124">
        <f t="shared" si="3"/>
        <v>824.08999999999651</v>
      </c>
      <c r="H42" s="111">
        <f>G42+'18'!H42</f>
        <v>-32674</v>
      </c>
      <c r="I42" s="106"/>
      <c r="J42" s="203">
        <f>H42/DAY(B2)</f>
        <v>-1719.6842105263158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'18'!F43</f>
        <v>1169234.1000000001</v>
      </c>
      <c r="F43" s="161">
        <v>1171784</v>
      </c>
      <c r="G43" s="124">
        <f t="shared" si="3"/>
        <v>2549.8999999999069</v>
      </c>
      <c r="H43" s="111">
        <f>G43+'18'!H43</f>
        <v>-32677</v>
      </c>
      <c r="I43" s="106"/>
      <c r="J43" s="203">
        <f>H43/DAY(B2)</f>
        <v>-1719.8421052631579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'18'!F44</f>
        <v>0</v>
      </c>
      <c r="F44" s="1122">
        <v>0</v>
      </c>
      <c r="G44" s="124">
        <f t="shared" si="3"/>
        <v>0</v>
      </c>
      <c r="H44" s="111">
        <f>G44+'18'!H44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'18'!F45</f>
        <v>614</v>
      </c>
      <c r="F45" s="161">
        <v>614</v>
      </c>
      <c r="G45" s="124">
        <f t="shared" ref="G45:G46" si="4">F45-E45</f>
        <v>0</v>
      </c>
      <c r="H45" s="111">
        <f>G45+'18'!H45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'18'!F46</f>
        <v>187.44</v>
      </c>
      <c r="F46" s="161">
        <v>187</v>
      </c>
      <c r="G46" s="124">
        <f t="shared" si="4"/>
        <v>-0.43999999999999773</v>
      </c>
      <c r="H46" s="111">
        <f>G46+'18'!H46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>
        <f>'18'!F47</f>
        <v>0</v>
      </c>
      <c r="F47" s="162">
        <v>0</v>
      </c>
      <c r="G47" s="132">
        <f>G35+G36+G37+G38+G39+G40+G41+G42+G43+G44+G45+G46</f>
        <v>11515.709999999895</v>
      </c>
      <c r="H47" s="111">
        <f>G47+'18'!H47</f>
        <v>-165216.3000000001</v>
      </c>
      <c r="I47" s="106"/>
      <c r="J47" s="203">
        <f>H47/DAY(B2)</f>
        <v>-8695.5947368421112</v>
      </c>
      <c r="K47" s="81"/>
      <c r="L47" s="68"/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'18'!F49</f>
        <v>285357.39799999999</v>
      </c>
      <c r="F49" s="161">
        <v>288610</v>
      </c>
      <c r="G49" s="124">
        <f t="shared" ref="G49:G58" si="5">F49-E49</f>
        <v>3252.6020000000135</v>
      </c>
      <c r="H49" s="111">
        <f>G49+'18'!H49</f>
        <v>-38428</v>
      </c>
      <c r="I49" s="106"/>
      <c r="J49" s="203">
        <f>H49/DAY(B2)</f>
        <v>-2022.5263157894738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'18'!F50</f>
        <v>556528.06999999995</v>
      </c>
      <c r="F50" s="161">
        <v>557622</v>
      </c>
      <c r="G50" s="124">
        <f t="shared" si="5"/>
        <v>1093.9300000000512</v>
      </c>
      <c r="H50" s="111">
        <f>G50+'18'!H50</f>
        <v>-13195</v>
      </c>
      <c r="I50" s="106"/>
      <c r="J50" s="203">
        <f>H50/DAY(B2)</f>
        <v>-694.47368421052636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'18'!F51</f>
        <v>144639.87</v>
      </c>
      <c r="F51" s="161">
        <v>144640</v>
      </c>
      <c r="G51" s="124">
        <f t="shared" si="5"/>
        <v>0.13000000000465661</v>
      </c>
      <c r="H51" s="111">
        <f>G51+'18'!H51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'18'!F52</f>
        <v>539606.06999999995</v>
      </c>
      <c r="F52" s="161">
        <v>539606</v>
      </c>
      <c r="G52" s="124">
        <f t="shared" si="5"/>
        <v>-6.9999999948777258E-2</v>
      </c>
      <c r="H52" s="111">
        <f>G52+'18'!H52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'18'!F53</f>
        <v>434231.59</v>
      </c>
      <c r="F53" s="161">
        <v>434231.59</v>
      </c>
      <c r="G53" s="124">
        <f t="shared" si="5"/>
        <v>0</v>
      </c>
      <c r="H53" s="111">
        <f>G53+'18'!H53</f>
        <v>-0.73999999999068677</v>
      </c>
      <c r="I53" s="106"/>
      <c r="J53" s="203">
        <f>H53/DAY(B2)</f>
        <v>-3.8947368420562463E-2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'18'!F54</f>
        <v>14967.35</v>
      </c>
      <c r="F54" s="161">
        <v>14967</v>
      </c>
      <c r="G54" s="124">
        <f t="shared" si="5"/>
        <v>-0.3500000000003638</v>
      </c>
      <c r="H54" s="111">
        <f>G54+'18'!H54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'18'!F55</f>
        <v>180567.19</v>
      </c>
      <c r="F55" s="161">
        <v>186190</v>
      </c>
      <c r="G55" s="124">
        <f t="shared" si="5"/>
        <v>5622.8099999999977</v>
      </c>
      <c r="H55" s="111">
        <f>G55+'18'!H55</f>
        <v>-50996</v>
      </c>
      <c r="I55" s="106"/>
      <c r="J55" s="203">
        <f>H55/DAY(B2)</f>
        <v>-2684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'18'!F56</f>
        <v>649210.35</v>
      </c>
      <c r="F56" s="161">
        <v>649210</v>
      </c>
      <c r="G56" s="124">
        <f t="shared" si="5"/>
        <v>-0.34999999997671694</v>
      </c>
      <c r="H56" s="111">
        <f>G56+'18'!H56</f>
        <v>-162</v>
      </c>
      <c r="I56" s="106"/>
      <c r="J56" s="203">
        <f>H56/DAY(B2)</f>
        <v>-8.526315789473685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'18'!F57</f>
        <v>7711.33</v>
      </c>
      <c r="F57" s="161">
        <v>7711</v>
      </c>
      <c r="G57" s="124">
        <f t="shared" si="5"/>
        <v>-0.32999999999992724</v>
      </c>
      <c r="H57" s="111">
        <f>G57+'18'!H57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'18'!F58</f>
        <v>57200.13</v>
      </c>
      <c r="F58" s="161">
        <v>57418</v>
      </c>
      <c r="G58" s="124">
        <f t="shared" si="5"/>
        <v>217.87000000000262</v>
      </c>
      <c r="H58" s="111">
        <f>G58+'18'!H58</f>
        <v>-2473</v>
      </c>
      <c r="I58" s="106"/>
      <c r="J58" s="203">
        <f>H58/DAY(B2)</f>
        <v>-130.15789473684211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10186.242000000144</v>
      </c>
      <c r="H59" s="111">
        <f>G59+'18'!H59</f>
        <v>-105254.73999999999</v>
      </c>
      <c r="I59" s="106">
        <f>G7-G60</f>
        <v>1548.0479999999588</v>
      </c>
      <c r="J59" s="203">
        <f>H59/DAY(B2)</f>
        <v>-5539.7231578947367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21701.952000000041</v>
      </c>
      <c r="H60" s="111">
        <f>G60+'18'!H60</f>
        <v>-264893.71000000008</v>
      </c>
      <c r="I60" s="106">
        <f>G13-G60</f>
        <v>-780.05200000013429</v>
      </c>
      <c r="J60" s="203">
        <f>H60/DAY(B2)</f>
        <v>-13941.774210526321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'18'!F62</f>
        <v>20419.18</v>
      </c>
      <c r="F62" s="165">
        <v>20419.2</v>
      </c>
      <c r="G62" s="124">
        <f t="shared" ref="G62:G69" si="6">F62-E62</f>
        <v>2.0000000000436557E-2</v>
      </c>
      <c r="H62" s="111">
        <f>G62+'18'!H62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'18'!F63</f>
        <v>0</v>
      </c>
      <c r="F63" s="165">
        <v>0</v>
      </c>
      <c r="G63" s="124">
        <f t="shared" si="6"/>
        <v>0</v>
      </c>
      <c r="H63" s="111">
        <f>G63+'18'!H63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65">
        <f>'18'!F64</f>
        <v>177066.15</v>
      </c>
      <c r="F64" s="135">
        <v>177441</v>
      </c>
      <c r="G64" s="124">
        <f t="shared" si="6"/>
        <v>374.85000000000582</v>
      </c>
      <c r="H64" s="111">
        <f>G64+'18'!H64</f>
        <v>-4419</v>
      </c>
      <c r="I64" s="131"/>
      <c r="J64" s="203">
        <f>H64/DAY(B2)</f>
        <v>-232.57894736842104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65">
        <f>'18'!F65</f>
        <v>177128.03</v>
      </c>
      <c r="F65" s="135">
        <v>177524</v>
      </c>
      <c r="G65" s="124">
        <f t="shared" si="6"/>
        <v>395.97000000000116</v>
      </c>
      <c r="H65" s="111">
        <f>G65+'18'!H65</f>
        <v>-4685</v>
      </c>
      <c r="I65" s="140"/>
      <c r="J65" s="203">
        <f>H65/DAY(B2)</f>
        <v>-246.57894736842104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65">
        <f>'18'!F66</f>
        <v>75359.899999999994</v>
      </c>
      <c r="F66" s="135">
        <v>75789</v>
      </c>
      <c r="G66" s="124">
        <f t="shared" si="6"/>
        <v>429.10000000000582</v>
      </c>
      <c r="H66" s="111">
        <f>G66+'18'!H66</f>
        <v>-4883</v>
      </c>
      <c r="I66" s="131"/>
      <c r="J66" s="203">
        <f>H66/DAY(B2)</f>
        <v>-257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65">
        <f>'18'!F67</f>
        <v>273443.11</v>
      </c>
      <c r="F67" s="135">
        <v>273925</v>
      </c>
      <c r="G67" s="124">
        <f t="shared" si="6"/>
        <v>481.89000000001397</v>
      </c>
      <c r="H67" s="111">
        <f>G67+'18'!H67</f>
        <v>-6133</v>
      </c>
      <c r="I67" s="140"/>
      <c r="J67" s="203">
        <f>H67/DAY(B2)</f>
        <v>-322.78947368421052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65">
        <f>'18'!F68</f>
        <v>85321</v>
      </c>
      <c r="F68" s="135">
        <v>85321</v>
      </c>
      <c r="G68" s="124">
        <f t="shared" si="6"/>
        <v>0</v>
      </c>
      <c r="H68" s="111">
        <f>G68+'18'!H68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65">
        <f>'18'!F69</f>
        <v>92335.38</v>
      </c>
      <c r="F69" s="135">
        <v>92641</v>
      </c>
      <c r="G69" s="124">
        <f t="shared" si="6"/>
        <v>305.61999999999534</v>
      </c>
      <c r="H69" s="111">
        <f>G69+'18'!H69</f>
        <v>-3916</v>
      </c>
      <c r="I69" s="167"/>
      <c r="J69" s="203">
        <f>H69/DAY(B2)</f>
        <v>-206.10526315789474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'18'!F72</f>
        <v>856445</v>
      </c>
      <c r="F72" s="170">
        <v>856459</v>
      </c>
      <c r="G72" s="124">
        <f t="shared" ref="G72:G84" si="7">F72-E72</f>
        <v>14</v>
      </c>
      <c r="H72" s="111">
        <f>G72+'18'!H72</f>
        <v>-164</v>
      </c>
      <c r="I72" s="131"/>
      <c r="J72" s="203">
        <f>H72/DAY(B2)</f>
        <v>-8.6315789473684212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0">
        <f>'18'!F73</f>
        <v>885996</v>
      </c>
      <c r="F73" s="171">
        <v>885998</v>
      </c>
      <c r="G73" s="124">
        <f t="shared" si="7"/>
        <v>2</v>
      </c>
      <c r="H73" s="111">
        <f>G73+'18'!H73</f>
        <v>142</v>
      </c>
      <c r="I73" s="131"/>
      <c r="J73" s="203">
        <f>H73/DAY(B2)</f>
        <v>7.4736842105263159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0">
        <f>'18'!F74</f>
        <v>88716.1</v>
      </c>
      <c r="F74" s="172">
        <v>88716</v>
      </c>
      <c r="G74" s="124">
        <f t="shared" si="7"/>
        <v>-0.10000000000582077</v>
      </c>
      <c r="H74" s="111">
        <f>G74+'18'!H74</f>
        <v>55</v>
      </c>
      <c r="I74" s="131"/>
      <c r="J74" s="203">
        <f>H74/DAY(B2)</f>
        <v>2.8947368421052633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0">
        <f>'18'!F75</f>
        <v>18876.75</v>
      </c>
      <c r="F75" s="172">
        <v>19025</v>
      </c>
      <c r="G75" s="124">
        <f t="shared" si="7"/>
        <v>148.25</v>
      </c>
      <c r="H75" s="111">
        <f>G75+'18'!H75</f>
        <v>-1922</v>
      </c>
      <c r="I75" s="131"/>
      <c r="J75" s="203">
        <f>H75/DAY(B2)</f>
        <v>-101.15789473684211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0">
        <f>'18'!F76</f>
        <v>10516.28</v>
      </c>
      <c r="F76" s="171">
        <v>10577</v>
      </c>
      <c r="G76" s="124">
        <f t="shared" si="7"/>
        <v>60.719999999999345</v>
      </c>
      <c r="H76" s="111">
        <f>G76+'18'!H76</f>
        <v>651.60000000000036</v>
      </c>
      <c r="I76" s="156"/>
      <c r="J76" s="203">
        <f>H76/DAY(B2)</f>
        <v>34.29473684210528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0">
        <f>'18'!F77</f>
        <v>705501</v>
      </c>
      <c r="F77" s="172">
        <v>705569</v>
      </c>
      <c r="G77" s="124">
        <f t="shared" si="7"/>
        <v>68</v>
      </c>
      <c r="H77" s="111">
        <f>G77+'18'!H77</f>
        <v>-884</v>
      </c>
      <c r="I77" s="156"/>
      <c r="J77" s="203">
        <f>H77/DAY(B2)</f>
        <v>-46.526315789473685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0">
        <f>'18'!F78</f>
        <v>677200</v>
      </c>
      <c r="F78" s="172">
        <v>677282</v>
      </c>
      <c r="G78" s="124">
        <f t="shared" si="7"/>
        <v>82</v>
      </c>
      <c r="H78" s="111">
        <f>G78+'18'!H78</f>
        <v>-1571</v>
      </c>
      <c r="I78" s="156"/>
      <c r="J78" s="203">
        <f>H78/DAY(B2)</f>
        <v>-82.684210526315795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0">
        <f>'18'!F79</f>
        <v>838269</v>
      </c>
      <c r="F79" s="172">
        <v>838424</v>
      </c>
      <c r="G79" s="124">
        <f t="shared" si="7"/>
        <v>155</v>
      </c>
      <c r="H79" s="111">
        <f>G79+'18'!H79</f>
        <v>-2258</v>
      </c>
      <c r="I79" s="156"/>
      <c r="J79" s="203">
        <f>H79/DAY(B2)</f>
        <v>-118.84210526315789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0">
        <f>'18'!F80</f>
        <v>546767</v>
      </c>
      <c r="F80" s="171">
        <v>547168</v>
      </c>
      <c r="G80" s="124">
        <f t="shared" si="7"/>
        <v>401</v>
      </c>
      <c r="H80" s="111">
        <f>G80+'18'!H80</f>
        <v>-8038</v>
      </c>
      <c r="I80" s="156"/>
      <c r="J80" s="203">
        <f>H80/DAY(B2)</f>
        <v>-423.05263157894734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'18'!F81</f>
        <v>646454.52</v>
      </c>
      <c r="F81" s="171">
        <v>646674</v>
      </c>
      <c r="G81" s="124">
        <f t="shared" si="7"/>
        <v>219.47999999998137</v>
      </c>
      <c r="H81" s="111">
        <f>G81+'18'!H81</f>
        <v>-2344</v>
      </c>
      <c r="I81" s="156"/>
      <c r="J81" s="203">
        <f>H81/DAY(B2)</f>
        <v>-123.36842105263158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'18'!F82</f>
        <v>109064.85</v>
      </c>
      <c r="F82" s="173">
        <v>109089</v>
      </c>
      <c r="G82" s="124">
        <f t="shared" si="7"/>
        <v>24.149999999994179</v>
      </c>
      <c r="H82" s="111">
        <f>G82+'18'!H82</f>
        <v>-247</v>
      </c>
      <c r="I82" s="137"/>
      <c r="J82" s="203">
        <f>H82/DAY(B2)</f>
        <v>-13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'18'!F83</f>
        <v>31818</v>
      </c>
      <c r="F83" s="162">
        <v>32090</v>
      </c>
      <c r="G83" s="124">
        <f t="shared" si="7"/>
        <v>272</v>
      </c>
      <c r="H83" s="111">
        <f>G83+'18'!H83</f>
        <v>-2935</v>
      </c>
      <c r="I83" s="132"/>
      <c r="J83" s="203">
        <f>H83/DAY(B2)</f>
        <v>-154.47368421052633</v>
      </c>
      <c r="K83" s="82"/>
      <c r="L83" s="68"/>
      <c r="N83" s="73"/>
      <c r="O83" s="372"/>
    </row>
    <row r="84" spans="1:15">
      <c r="A84" s="775" t="s">
        <v>200</v>
      </c>
      <c r="B84" s="222"/>
      <c r="C84" s="222"/>
      <c r="D84" s="129" t="s">
        <v>131</v>
      </c>
      <c r="E84" s="170">
        <f>'18'!F84</f>
        <v>537360</v>
      </c>
      <c r="F84" s="278">
        <v>538136</v>
      </c>
      <c r="G84" s="124">
        <f t="shared" si="7"/>
        <v>776</v>
      </c>
      <c r="H84" s="111">
        <f>G84+'18'!H84</f>
        <v>-9257</v>
      </c>
      <c r="I84" s="132"/>
      <c r="J84" s="203">
        <f>H84/DAY(B2)</f>
        <v>-487.21052631578948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2222.4999999999691</v>
      </c>
      <c r="H85" s="111">
        <f>G85+'18'!H85</f>
        <v>-26694.999999999993</v>
      </c>
      <c r="I85" s="132"/>
      <c r="J85" s="203">
        <f>H85/DAY(B2)</f>
        <v>-1404.9999999999995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'18'!F86</f>
        <v>462238</v>
      </c>
      <c r="F86" s="298">
        <v>462255</v>
      </c>
      <c r="G86" s="356">
        <f t="shared" ref="G86:G91" si="8">F86-E86</f>
        <v>17</v>
      </c>
      <c r="H86" s="111">
        <f>G86+'18'!H86</f>
        <v>25.159999999974389</v>
      </c>
      <c r="I86" s="303"/>
      <c r="J86" s="358">
        <f>H86/DAY(B2)</f>
        <v>1.3242105263144415</v>
      </c>
      <c r="K86" s="384">
        <v>424609</v>
      </c>
      <c r="L86" s="385">
        <f>K86-F86</f>
        <v>-37646</v>
      </c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'18'!F87</f>
        <v>82552.600000000006</v>
      </c>
      <c r="F87" s="298">
        <v>82583</v>
      </c>
      <c r="G87" s="356">
        <f t="shared" si="8"/>
        <v>30.399999999994179</v>
      </c>
      <c r="H87" s="111">
        <f>G87+'18'!H87</f>
        <v>40</v>
      </c>
      <c r="I87" s="303"/>
      <c r="J87" s="358">
        <f>H87/DAY(B2)</f>
        <v>2.1052631578947367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'18'!F88</f>
        <v>157321</v>
      </c>
      <c r="F88" s="298">
        <v>157447</v>
      </c>
      <c r="G88" s="356">
        <f t="shared" si="8"/>
        <v>126</v>
      </c>
      <c r="H88" s="111">
        <f>G88+'18'!H88</f>
        <v>201.27999999999884</v>
      </c>
      <c r="I88" s="303"/>
      <c r="J88" s="358">
        <f>H88/DAY(B2)</f>
        <v>10.593684210526254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'18'!F89</f>
        <v>66579</v>
      </c>
      <c r="F89" s="298">
        <v>66620</v>
      </c>
      <c r="G89" s="356">
        <f t="shared" si="8"/>
        <v>41</v>
      </c>
      <c r="H89" s="111">
        <f>G89+'18'!H89</f>
        <v>59.19999999999709</v>
      </c>
      <c r="I89" s="303"/>
      <c r="J89" s="358">
        <f>H89/DAY(B2)</f>
        <v>3.1157894736840572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'18'!F90</f>
        <v>3408</v>
      </c>
      <c r="F90" s="298">
        <v>3411</v>
      </c>
      <c r="G90" s="356">
        <f t="shared" si="8"/>
        <v>3</v>
      </c>
      <c r="H90" s="356">
        <f>G90</f>
        <v>3</v>
      </c>
      <c r="I90" s="303"/>
      <c r="J90" s="358">
        <f>H90/DAY(B2)</f>
        <v>0.15789473684210525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 t="s">
        <v>131</v>
      </c>
      <c r="E91" s="298">
        <f>'18'!F91</f>
        <v>28393.63</v>
      </c>
      <c r="F91" s="298">
        <v>28403</v>
      </c>
      <c r="G91" s="356">
        <f t="shared" si="8"/>
        <v>9.3699999999989814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298">
        <f>'18'!F93</f>
        <v>249207</v>
      </c>
      <c r="F93" s="135">
        <v>249307</v>
      </c>
      <c r="G93" s="124">
        <f t="shared" ref="G93:G94" si="9">F93-E93</f>
        <v>100</v>
      </c>
      <c r="H93" s="111">
        <f>G93+'18'!H93</f>
        <v>-1007</v>
      </c>
      <c r="I93" s="131"/>
      <c r="J93" s="203">
        <f>H93/DAY(B2)</f>
        <v>-53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'18'!F94</f>
        <v>191615</v>
      </c>
      <c r="F94" s="135">
        <v>191769</v>
      </c>
      <c r="G94" s="124">
        <f t="shared" si="9"/>
        <v>154</v>
      </c>
      <c r="H94" s="111">
        <f>G94+'18'!H94</f>
        <v>-1129</v>
      </c>
      <c r="I94" s="131"/>
      <c r="J94" s="203">
        <f>H94/DAY(B2)</f>
        <v>-59.421052631578945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f>'18'!F95</f>
        <v>0</v>
      </c>
      <c r="F95" s="135"/>
      <c r="G95" s="124">
        <f>G93+G94</f>
        <v>254</v>
      </c>
      <c r="H95" s="111">
        <f>G95+'18'!H95</f>
        <v>-2442</v>
      </c>
      <c r="I95" s="131"/>
      <c r="J95" s="203">
        <f>H95/DAY(B2)</f>
        <v>-128.52631578947367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'18'!F96</f>
        <v>417634</v>
      </c>
      <c r="F96" s="135">
        <v>417710</v>
      </c>
      <c r="G96" s="124">
        <f t="shared" ref="G96:G101" si="10">F96-E96</f>
        <v>76</v>
      </c>
      <c r="H96" s="111">
        <f>G96+'18'!H96</f>
        <v>-826</v>
      </c>
      <c r="I96" s="131"/>
      <c r="J96" s="203">
        <f>H96/DAY(B2)</f>
        <v>-43.473684210526315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'18'!F97</f>
        <v>103571</v>
      </c>
      <c r="F97" s="135">
        <v>103589</v>
      </c>
      <c r="G97" s="124">
        <f t="shared" si="10"/>
        <v>18</v>
      </c>
      <c r="H97" s="111">
        <f>G97+'18'!H97</f>
        <v>-260</v>
      </c>
      <c r="I97" s="131"/>
      <c r="J97" s="203">
        <f>H97/DAY(B2)</f>
        <v>-13.684210526315789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'18'!F98</f>
        <v>99119</v>
      </c>
      <c r="F98" s="135">
        <v>99142</v>
      </c>
      <c r="G98" s="124">
        <f t="shared" si="10"/>
        <v>23</v>
      </c>
      <c r="H98" s="111">
        <f>G98+'18'!H98</f>
        <v>-306</v>
      </c>
      <c r="I98" s="131"/>
      <c r="J98" s="203">
        <f>H98/DAY(B2)</f>
        <v>-16.105263157894736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'18'!F99</f>
        <v>150935</v>
      </c>
      <c r="F99" s="135">
        <v>150970</v>
      </c>
      <c r="G99" s="124">
        <f t="shared" si="10"/>
        <v>35</v>
      </c>
      <c r="H99" s="111">
        <f>G99+'18'!H99</f>
        <v>-281</v>
      </c>
      <c r="I99" s="131"/>
      <c r="J99" s="203">
        <f>H99/DAY(B2)</f>
        <v>-14.789473684210526</v>
      </c>
      <c r="K99" s="71"/>
      <c r="L99" s="68"/>
      <c r="N99" s="73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'18'!F100</f>
        <v>7997</v>
      </c>
      <c r="F100" s="135">
        <v>8006</v>
      </c>
      <c r="G100" s="124">
        <f t="shared" si="10"/>
        <v>9</v>
      </c>
      <c r="H100" s="111">
        <f>G100+'18'!H100</f>
        <v>-159</v>
      </c>
      <c r="I100" s="131"/>
      <c r="J100" s="203">
        <f>H100/DAY(B2)</f>
        <v>-8.3684210526315788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'18'!F101</f>
        <v>5859</v>
      </c>
      <c r="F101" s="135">
        <v>5865</v>
      </c>
      <c r="G101" s="124">
        <f t="shared" si="10"/>
        <v>6</v>
      </c>
      <c r="H101" s="111">
        <f>G101+'18'!H101</f>
        <v>-126</v>
      </c>
      <c r="I101" s="131"/>
      <c r="J101" s="203">
        <f>H101/DAY(B2)</f>
        <v>-6.6315789473684212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176">
        <f>SUM(G96:G101)</f>
        <v>167</v>
      </c>
      <c r="H102" s="111">
        <f>G102+'18'!H102</f>
        <v>-1958</v>
      </c>
      <c r="I102" s="177"/>
      <c r="J102" s="203">
        <f>H102/DAY(B2)</f>
        <v>-103.05263157894737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f>'18'!F105</f>
        <v>7767</v>
      </c>
      <c r="F105" s="183">
        <v>7767</v>
      </c>
      <c r="G105" s="183">
        <f>F105-E105</f>
        <v>0</v>
      </c>
      <c r="H105" s="111">
        <f>G105+'18'!H105</f>
        <v>59.6299999999992</v>
      </c>
      <c r="I105" s="183"/>
      <c r="J105" s="209">
        <f>H105/DAY(B2)</f>
        <v>3.138421052631537</v>
      </c>
      <c r="N105" s="95"/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5">
        <f>'18'!F106</f>
        <v>36342</v>
      </c>
      <c r="F106" s="185">
        <v>36352</v>
      </c>
      <c r="G106" s="183">
        <f t="shared" ref="G106" si="11">F106-E106</f>
        <v>10</v>
      </c>
      <c r="H106" s="111">
        <f>G106+'18'!H106</f>
        <v>79</v>
      </c>
      <c r="I106" s="183"/>
      <c r="J106" s="209">
        <f>H106/DAY(B2)</f>
        <v>4.1578947368421053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'18'!F107</f>
        <v>19902</v>
      </c>
      <c r="F107" s="183">
        <v>19908</v>
      </c>
      <c r="G107" s="183">
        <f>F107-E107</f>
        <v>6</v>
      </c>
      <c r="H107" s="111">
        <f>G107+'18'!H107</f>
        <v>155</v>
      </c>
      <c r="I107" s="183"/>
      <c r="J107" s="209">
        <f>H107/DAY(B2)</f>
        <v>8.1578947368421044</v>
      </c>
      <c r="N107" s="95"/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>
        <f>'18'!F108</f>
        <v>0</v>
      </c>
      <c r="F108" s="183"/>
      <c r="G108" s="183">
        <f>SUM(G105:G107)</f>
        <v>16</v>
      </c>
      <c r="H108" s="111">
        <f>G108+'18'!H108</f>
        <v>174</v>
      </c>
      <c r="I108" s="183"/>
      <c r="J108" s="209">
        <f>H108/DAY(B2)</f>
        <v>9.1578947368421044</v>
      </c>
      <c r="N108" s="95"/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>
        <f>'18'!F109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'18'!F110</f>
        <v>66170</v>
      </c>
      <c r="F110" s="183">
        <v>66236</v>
      </c>
      <c r="G110" s="183">
        <f>F110-E110</f>
        <v>66</v>
      </c>
      <c r="H110" s="111">
        <f>G110+'18'!H110</f>
        <v>296.56000000005588</v>
      </c>
      <c r="I110" s="183"/>
      <c r="J110" s="209">
        <f>H110/DAY(B2)</f>
        <v>15.608421052634521</v>
      </c>
      <c r="N110" s="95"/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'18'!F111</f>
        <v>33641</v>
      </c>
      <c r="F111" s="183">
        <v>33681</v>
      </c>
      <c r="G111" s="183">
        <f t="shared" ref="G111:G112" si="12">F111-E111</f>
        <v>40</v>
      </c>
      <c r="H111" s="111">
        <f>G111+'18'!H111</f>
        <v>65.279999999998836</v>
      </c>
      <c r="I111" s="183"/>
      <c r="J111" s="209">
        <f>H111/DAY(B2)</f>
        <v>3.4357894736841494</v>
      </c>
      <c r="N111" s="95"/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G112+'18'!H112</f>
        <v>305</v>
      </c>
      <c r="I112" s="183"/>
      <c r="J112" s="209">
        <f>H112/DAY(B2)</f>
        <v>16.05263157894737</v>
      </c>
      <c r="N112" s="95"/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>
        <f>'18'!F113</f>
        <v>0</v>
      </c>
      <c r="F113" s="183"/>
      <c r="G113" s="183">
        <f>SUM(G110:G112)</f>
        <v>106</v>
      </c>
      <c r="H113" s="111">
        <f>G113+'18'!H113</f>
        <v>992</v>
      </c>
      <c r="I113" s="183"/>
      <c r="J113" s="209">
        <f>H113/DAY(B2)</f>
        <v>52.210526315789473</v>
      </c>
      <c r="N113" s="95"/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>
        <f>'18'!F114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'18'!F115</f>
        <v>12261</v>
      </c>
      <c r="F115" s="185">
        <v>12272</v>
      </c>
      <c r="G115" s="185">
        <f>F115-E115</f>
        <v>11</v>
      </c>
      <c r="H115" s="111">
        <f>G115+'18'!H115</f>
        <v>30</v>
      </c>
      <c r="I115" s="183"/>
      <c r="J115" s="209">
        <f>H115/DAY(B2)</f>
        <v>1.5789473684210527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'18'!F116</f>
        <v>8711</v>
      </c>
      <c r="F116" s="185">
        <v>8717</v>
      </c>
      <c r="G116" s="185">
        <f t="shared" ref="G116:G117" si="13">F116-E116</f>
        <v>6</v>
      </c>
      <c r="H116" s="111">
        <f>G116+'18'!H116</f>
        <v>150</v>
      </c>
      <c r="I116" s="183"/>
      <c r="J116" s="209">
        <f>H116/DAY(B2)</f>
        <v>7.8947368421052628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G117+'18'!H117</f>
        <v>171</v>
      </c>
      <c r="I117" s="183"/>
      <c r="J117" s="209">
        <f>H117/DAY(B2)</f>
        <v>9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17</v>
      </c>
      <c r="H118" s="111">
        <f>G118+'18'!H118</f>
        <v>115</v>
      </c>
      <c r="I118" s="185"/>
      <c r="J118" s="209">
        <f>H118/DAY(B2)</f>
        <v>6.0526315789473681</v>
      </c>
      <c r="N118" s="98"/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>
        <f>SUM(G19+G93)</f>
        <v>160</v>
      </c>
      <c r="G119" s="187">
        <f>SUM(G19+G93)</f>
        <v>160</v>
      </c>
      <c r="H119" s="111">
        <f>G119+'18'!H119</f>
        <v>417</v>
      </c>
      <c r="I119" s="186"/>
      <c r="J119" s="210">
        <f>H119/DAY(B2)</f>
        <v>21.94736842105263</v>
      </c>
      <c r="N119" s="429"/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>
        <f>SUM(G96,G97,G98,G100,G101)</f>
        <v>132</v>
      </c>
      <c r="G120" s="187">
        <f>SUM(G96,G97,G98,G100,G101)</f>
        <v>132</v>
      </c>
      <c r="H120" s="111">
        <f>G120+'18'!H120</f>
        <v>314</v>
      </c>
      <c r="I120" s="186"/>
      <c r="J120" s="210">
        <f>H120/DAY(B2)</f>
        <v>16.526315789473685</v>
      </c>
      <c r="N120" s="429"/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111">
        <f>G121+'18'!H121</f>
        <v>198</v>
      </c>
      <c r="I121" s="186"/>
      <c r="J121" s="210">
        <f>H121/DAY(B2)</f>
        <v>10.421052631578947</v>
      </c>
      <c r="N121" s="429"/>
      <c r="O121" s="73"/>
    </row>
    <row r="122" spans="1:15" s="93" customFormat="1" ht="27.75">
      <c r="A122" s="1190"/>
      <c r="B122" s="1191"/>
      <c r="C122" s="769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29">
        <f>'18'!F124</f>
        <v>844579.27</v>
      </c>
      <c r="F124" s="129">
        <v>844847</v>
      </c>
      <c r="G124" s="124">
        <f t="shared" ref="G124:G128" si="14">F124-E124</f>
        <v>267.72999999998137</v>
      </c>
      <c r="H124" s="111">
        <f>G124+'18'!H124</f>
        <v>-3119</v>
      </c>
      <c r="I124" s="177"/>
      <c r="J124" s="203">
        <f>H124/DAY(B2)</f>
        <v>-164.15789473684211</v>
      </c>
      <c r="K124" s="71"/>
      <c r="L124" s="68"/>
      <c r="N124" s="73"/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277">
        <f>'18'!F125</f>
        <v>73583.399999999994</v>
      </c>
      <c r="F125" s="277">
        <v>73583.399999999994</v>
      </c>
      <c r="G125" s="124">
        <f t="shared" si="14"/>
        <v>0</v>
      </c>
      <c r="H125" s="111">
        <f>G125+'18'!H125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'18'!F126</f>
        <v>150293.53</v>
      </c>
      <c r="F126" s="129">
        <v>150362</v>
      </c>
      <c r="G126" s="124">
        <f t="shared" si="14"/>
        <v>68.470000000001164</v>
      </c>
      <c r="H126" s="111">
        <f>G126+'18'!H126</f>
        <v>-959</v>
      </c>
      <c r="I126" s="177"/>
      <c r="J126" s="203">
        <f>H126/DAY(B2)</f>
        <v>-50.473684210526315</v>
      </c>
      <c r="K126" s="71"/>
      <c r="L126" s="68"/>
      <c r="N126" s="73"/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277">
        <f>'18'!F127</f>
        <v>32770.300000000003</v>
      </c>
      <c r="F127" s="277">
        <v>32802</v>
      </c>
      <c r="G127" s="124">
        <f t="shared" si="14"/>
        <v>31.69999999999709</v>
      </c>
      <c r="H127" s="111">
        <f>G127+'18'!H127</f>
        <v>-486</v>
      </c>
      <c r="I127" s="177"/>
      <c r="J127" s="203">
        <f>H127/DAY(B2)</f>
        <v>-25.578947368421051</v>
      </c>
      <c r="K127" s="71"/>
      <c r="L127" s="68"/>
      <c r="N127" s="73"/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277">
        <f>'18'!F128</f>
        <v>9085</v>
      </c>
      <c r="F128" s="277">
        <v>9085</v>
      </c>
      <c r="G128" s="124">
        <f t="shared" si="14"/>
        <v>0</v>
      </c>
      <c r="H128" s="111">
        <f>G128+'18'!H128</f>
        <v>-28</v>
      </c>
      <c r="I128" s="131"/>
      <c r="J128" s="203">
        <f>H128/DAY(B2)</f>
        <v>-1.4736842105263157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582.10000000002037</v>
      </c>
      <c r="H129" s="111">
        <f>G129+'18'!H129</f>
        <v>14469</v>
      </c>
      <c r="I129" s="131"/>
      <c r="J129" s="203">
        <f>H129/DAY(B2)</f>
        <v>761.52631578947364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35">
        <f>'18'!F131</f>
        <v>0</v>
      </c>
      <c r="F131" s="135">
        <v>0</v>
      </c>
      <c r="G131" s="124">
        <f t="shared" ref="G131:G141" si="15">F131-E131</f>
        <v>0</v>
      </c>
      <c r="H131" s="111">
        <f>G131+'18'!H131</f>
        <v>0</v>
      </c>
      <c r="I131" s="131"/>
      <c r="J131" s="203">
        <f>H131/DAY(B2)</f>
        <v>0</v>
      </c>
      <c r="N131" s="73"/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35">
        <f>'18'!F132</f>
        <v>0</v>
      </c>
      <c r="F132" s="135">
        <v>0</v>
      </c>
      <c r="G132" s="124">
        <f t="shared" si="15"/>
        <v>0</v>
      </c>
      <c r="H132" s="111">
        <f>G132+'18'!H132</f>
        <v>0</v>
      </c>
      <c r="I132" s="131"/>
      <c r="J132" s="203">
        <f>H132/DAY(B2)</f>
        <v>0</v>
      </c>
      <c r="N132" s="73"/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35">
        <f>'18'!F133</f>
        <v>40612.1</v>
      </c>
      <c r="F133" s="192">
        <v>40612</v>
      </c>
      <c r="G133" s="124">
        <f t="shared" si="15"/>
        <v>-9.9999999998544808E-2</v>
      </c>
      <c r="H133" s="111">
        <f>G133+'18'!H133</f>
        <v>-7</v>
      </c>
      <c r="I133" s="131"/>
      <c r="J133" s="203">
        <f>H133/DAY(B2)</f>
        <v>-0.36842105263157893</v>
      </c>
      <c r="N133" s="73"/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35">
        <f>'18'!F134</f>
        <v>410.18</v>
      </c>
      <c r="F134" s="192">
        <v>414.42</v>
      </c>
      <c r="G134" s="303">
        <f t="shared" si="15"/>
        <v>4.2400000000000091</v>
      </c>
      <c r="H134" s="356">
        <f>G134+'18'!H134</f>
        <v>-159.57999999999998</v>
      </c>
      <c r="I134" s="722">
        <f>G131+G132+G133+G134</f>
        <v>4.1400000000014643</v>
      </c>
      <c r="J134" s="358">
        <f>H134/DAY(B2)</f>
        <v>-8.3989473684210516</v>
      </c>
      <c r="N134" s="364"/>
      <c r="O134" s="364"/>
    </row>
    <row r="135" spans="1:15" ht="27.75">
      <c r="A135" s="771" t="s">
        <v>242</v>
      </c>
      <c r="B135" s="772"/>
      <c r="C135" s="772"/>
      <c r="D135" s="174" t="s">
        <v>238</v>
      </c>
      <c r="E135" s="135">
        <f>'18'!F135</f>
        <v>42257</v>
      </c>
      <c r="F135" s="352">
        <v>42281</v>
      </c>
      <c r="G135" s="124">
        <f t="shared" si="15"/>
        <v>24</v>
      </c>
      <c r="H135" s="111">
        <f>G135+'18'!H135</f>
        <v>-218</v>
      </c>
      <c r="I135" s="131"/>
      <c r="J135" s="203">
        <f>H135/DAY(B2)</f>
        <v>-11.473684210526315</v>
      </c>
      <c r="N135" s="73"/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35">
        <f>'18'!F136</f>
        <v>32874</v>
      </c>
      <c r="F136" s="192">
        <v>32874</v>
      </c>
      <c r="G136" s="124">
        <f t="shared" si="15"/>
        <v>0</v>
      </c>
      <c r="H136" s="111">
        <f>G136+'18'!H136</f>
        <v>0</v>
      </c>
      <c r="I136" s="131"/>
      <c r="J136" s="203">
        <f>H136/DAY(B2)</f>
        <v>0</v>
      </c>
      <c r="N136" s="73"/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35">
        <f>'18'!F137</f>
        <v>23023.439999999999</v>
      </c>
      <c r="F137" s="192">
        <v>23033</v>
      </c>
      <c r="G137" s="124">
        <f t="shared" si="15"/>
        <v>9.5600000000013097</v>
      </c>
      <c r="H137" s="111">
        <f>G137+'18'!H137</f>
        <v>-73.56000000000131</v>
      </c>
      <c r="I137" s="131">
        <f>G135+G136+G137</f>
        <v>33.56000000000131</v>
      </c>
      <c r="J137" s="203">
        <f>H137/DAY(B2)</f>
        <v>-3.8715789473684898</v>
      </c>
      <c r="N137" s="73"/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35">
        <f>'18'!F138</f>
        <v>25099.16</v>
      </c>
      <c r="F138" s="192">
        <v>25099</v>
      </c>
      <c r="G138" s="124">
        <f t="shared" si="15"/>
        <v>-0.15999999999985448</v>
      </c>
      <c r="H138" s="111">
        <f>G138+'18'!H138</f>
        <v>-20.450000000000728</v>
      </c>
      <c r="I138" s="131"/>
      <c r="J138" s="203">
        <f>H138/DAY(B2)</f>
        <v>-1.0763157894737225</v>
      </c>
      <c r="N138" s="73"/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35">
        <f>'18'!F139</f>
        <v>70516.600000000006</v>
      </c>
      <c r="F139" s="192">
        <v>70516.600000000006</v>
      </c>
      <c r="G139" s="124">
        <f t="shared" si="15"/>
        <v>0</v>
      </c>
      <c r="H139" s="111">
        <f>G139+'18'!H139</f>
        <v>0</v>
      </c>
      <c r="I139" s="131">
        <f>G138+G139</f>
        <v>-0.15999999999985448</v>
      </c>
      <c r="J139" s="203">
        <f>H139/DAY(B2)</f>
        <v>0</v>
      </c>
      <c r="N139" s="73"/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35">
        <f>'18'!F140</f>
        <v>2247.77</v>
      </c>
      <c r="F140" s="135">
        <v>2247.77</v>
      </c>
      <c r="G140" s="124">
        <f t="shared" si="15"/>
        <v>0</v>
      </c>
      <c r="H140" s="111">
        <f>G140+'18'!H140</f>
        <v>-63.789999999999964</v>
      </c>
      <c r="I140" s="193"/>
      <c r="J140" s="203">
        <f>H140/DAY(B2)</f>
        <v>-3.3573684210526298</v>
      </c>
      <c r="N140" s="73"/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35">
        <f>'18'!F141</f>
        <v>4696.12</v>
      </c>
      <c r="F141" s="135">
        <v>4705.5200000000004</v>
      </c>
      <c r="G141" s="124">
        <f t="shared" si="15"/>
        <v>9.4000000000005457</v>
      </c>
      <c r="H141" s="111">
        <f>G141+'18'!H141</f>
        <v>-48.479999999999563</v>
      </c>
      <c r="I141" s="193"/>
      <c r="J141" s="203">
        <f>H141/DAY(B2)</f>
        <v>-2.5515789473683981</v>
      </c>
      <c r="N141" s="73"/>
      <c r="O141" s="73"/>
    </row>
    <row r="142" spans="1:15">
      <c r="A142" s="1203" t="s">
        <v>249</v>
      </c>
      <c r="B142" s="1204"/>
      <c r="C142" s="777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5801.8719999998739</v>
      </c>
      <c r="H143" s="111">
        <f>G143+'18'!H143</f>
        <v>-71173.119999999995</v>
      </c>
      <c r="I143" s="131"/>
      <c r="J143" s="203">
        <f>H143/DAY(B2)</f>
        <v>-3745.9536842105263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0.24954288172042469</v>
      </c>
      <c r="H144" s="111">
        <f>G144+'18'!H144</f>
        <v>-2.8920447017743394</v>
      </c>
      <c r="I144" s="195"/>
      <c r="J144" s="203">
        <f>H144/DAY(B2)</f>
        <v>-0.1522128790407547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6446.2000000000407</v>
      </c>
      <c r="H145" s="111">
        <f>G145+'18'!H145</f>
        <v>-83647</v>
      </c>
      <c r="I145" s="131"/>
      <c r="J145" s="203">
        <f>H145/DAY(B2)</f>
        <v>-4402.4736842105267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0.27725591397849636</v>
      </c>
      <c r="H146" s="111">
        <f>G146+'18'!H146</f>
        <v>-3.4164410851180151</v>
      </c>
      <c r="I146" s="195"/>
      <c r="J146" s="203">
        <f>H146/DAY(B2)</f>
        <v>-0.17981268869042186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3770.3300000000163</v>
      </c>
      <c r="H147" s="111">
        <f>G147+'18'!H147</f>
        <v>-45435.409999999974</v>
      </c>
      <c r="I147" s="196"/>
      <c r="J147" s="203">
        <f>H147/DAY(B2)</f>
        <v>-2391.3373684210515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0.1621647311827964</v>
      </c>
      <c r="H148" s="111">
        <f>G148+'18'!H148</f>
        <v>-1.8393332102497384</v>
      </c>
      <c r="I148" s="196"/>
      <c r="J148" s="203">
        <f>H148/DAY(B2)</f>
        <v>-9.6807011065775703E-2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1606.4600000000501</v>
      </c>
      <c r="H149" s="111">
        <f>G149+'18'!H149</f>
        <v>-19101</v>
      </c>
      <c r="I149" s="131"/>
      <c r="J149" s="203">
        <f>H149/DAY(B2)</f>
        <v>-1005.3157894736842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6.9095053763443007E-2</v>
      </c>
      <c r="H150" s="111">
        <f>G150+'18'!H150</f>
        <v>-0.76995063389652785</v>
      </c>
      <c r="I150" s="196"/>
      <c r="J150" s="203">
        <f>H150/DAY(B2)</f>
        <v>-4.0523717573501462E-2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1909.6500000000524</v>
      </c>
      <c r="H151" s="111">
        <f>G151+'18'!H151</f>
        <v>-22003</v>
      </c>
      <c r="I151" s="196"/>
      <c r="J151" s="203">
        <f>H151/DAY(B2)</f>
        <v>-1158.0526315789473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8.213548387097E-2</v>
      </c>
      <c r="H152" s="111">
        <f>G152+'18'!H152</f>
        <v>-0.89407962920719164</v>
      </c>
      <c r="I152" s="131"/>
      <c r="J152" s="203">
        <f>H152/DAY(B2)</f>
        <v>-4.7056822589852193E-2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1591.1600000000035</v>
      </c>
      <c r="H153" s="111">
        <f>G153+'18'!H153</f>
        <v>-19534</v>
      </c>
      <c r="I153" s="131"/>
      <c r="J153" s="203">
        <f>H153/DAY(B2)</f>
        <v>-1028.1052631578948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6.843698924731198E-2</v>
      </c>
      <c r="H154" s="111">
        <f>G154+'18'!H154</f>
        <v>-0.79264052125104845</v>
      </c>
      <c r="I154" s="219"/>
      <c r="J154" s="220">
        <f>H154/DAY(B2)</f>
        <v>-4.1717922171107813E-2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>
      <c r="A161" s="435" t="s">
        <v>262</v>
      </c>
      <c r="B161" s="436"/>
      <c r="C161" s="436"/>
      <c r="D161" s="162" t="s">
        <v>186</v>
      </c>
      <c r="E161" s="309">
        <f>'18'!F161</f>
        <v>42290.03</v>
      </c>
      <c r="F161" s="309">
        <v>42368</v>
      </c>
      <c r="G161" s="124">
        <f t="shared" ref="G161:G164" si="16">F161-E161</f>
        <v>77.970000000001164</v>
      </c>
    </row>
    <row r="162" spans="1:7">
      <c r="A162" s="435" t="s">
        <v>263</v>
      </c>
      <c r="B162" s="436"/>
      <c r="C162" s="436"/>
      <c r="D162" s="162" t="s">
        <v>186</v>
      </c>
      <c r="E162" s="309">
        <f>'18'!F162</f>
        <v>116042.66</v>
      </c>
      <c r="F162" s="309">
        <v>116498</v>
      </c>
      <c r="G162" s="124">
        <f t="shared" si="16"/>
        <v>455.33999999999651</v>
      </c>
    </row>
    <row r="163" spans="1:7">
      <c r="A163" s="435" t="s">
        <v>264</v>
      </c>
      <c r="B163" s="436"/>
      <c r="C163" s="436"/>
      <c r="D163" s="162" t="s">
        <v>186</v>
      </c>
      <c r="E163" s="309">
        <f>'18'!F163</f>
        <v>64923.45</v>
      </c>
      <c r="F163" s="309">
        <v>65119</v>
      </c>
      <c r="G163" s="124">
        <f t="shared" si="16"/>
        <v>195.55000000000291</v>
      </c>
    </row>
    <row r="164" spans="1:7">
      <c r="A164" s="435" t="s">
        <v>265</v>
      </c>
      <c r="B164" s="436"/>
      <c r="C164" s="436"/>
      <c r="D164" s="162" t="s">
        <v>186</v>
      </c>
      <c r="E164" s="309">
        <f>'18'!F164</f>
        <v>7027.41</v>
      </c>
      <c r="F164" s="309">
        <v>7034</v>
      </c>
      <c r="G164" s="124">
        <f t="shared" si="16"/>
        <v>6.5900000000001455</v>
      </c>
    </row>
    <row r="165" spans="1:7">
      <c r="A165" s="437" t="s">
        <v>97</v>
      </c>
      <c r="B165" s="255"/>
      <c r="C165" s="255"/>
      <c r="D165" s="162" t="s">
        <v>186</v>
      </c>
      <c r="E165" s="309">
        <f>'18'!F165</f>
        <v>20419</v>
      </c>
      <c r="F165" s="165">
        <v>20419</v>
      </c>
      <c r="G165" s="124">
        <f t="shared" ref="G165:G166" si="17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309">
        <f>'18'!F166</f>
        <v>0</v>
      </c>
      <c r="F166" s="165">
        <v>2431</v>
      </c>
      <c r="G166" s="124">
        <f t="shared" si="17"/>
        <v>2431</v>
      </c>
    </row>
    <row r="167" spans="1:7" ht="27.75">
      <c r="A167" s="1187" t="s">
        <v>98</v>
      </c>
      <c r="B167" s="1187"/>
      <c r="C167" s="1187"/>
      <c r="D167" s="174" t="s">
        <v>186</v>
      </c>
      <c r="E167" s="309">
        <f>'18'!F167</f>
        <v>177066.15</v>
      </c>
      <c r="F167" s="165">
        <v>106166</v>
      </c>
      <c r="G167" s="124">
        <f>F64-E64</f>
        <v>374.85000000000582</v>
      </c>
    </row>
    <row r="168" spans="1:7" ht="27.75">
      <c r="A168" s="1187" t="s">
        <v>99</v>
      </c>
      <c r="B168" s="1187"/>
      <c r="C168" s="1187"/>
      <c r="D168" s="174" t="s">
        <v>186</v>
      </c>
      <c r="E168" s="309">
        <f>'18'!F168</f>
        <v>177128.03</v>
      </c>
      <c r="F168" s="165">
        <v>116811.03</v>
      </c>
      <c r="G168" s="124">
        <f t="shared" ref="G168:G172" si="18">F65-E65</f>
        <v>395.97000000000116</v>
      </c>
    </row>
    <row r="169" spans="1:7" ht="27.75">
      <c r="A169" s="1187" t="s">
        <v>100</v>
      </c>
      <c r="B169" s="1187"/>
      <c r="C169" s="1187"/>
      <c r="D169" s="174" t="s">
        <v>186</v>
      </c>
      <c r="E169" s="309">
        <f>'18'!F169</f>
        <v>75359.899999999994</v>
      </c>
      <c r="F169" s="165">
        <v>9380.09</v>
      </c>
      <c r="G169" s="124">
        <f t="shared" si="18"/>
        <v>429.10000000000582</v>
      </c>
    </row>
    <row r="170" spans="1:7" ht="27.75">
      <c r="A170" s="1187" t="s">
        <v>101</v>
      </c>
      <c r="B170" s="1187"/>
      <c r="C170" s="1187"/>
      <c r="D170" s="174" t="s">
        <v>186</v>
      </c>
      <c r="E170" s="309">
        <f>'18'!F170</f>
        <v>273443.11</v>
      </c>
      <c r="F170" s="165">
        <v>180787.83</v>
      </c>
      <c r="G170" s="124">
        <f t="shared" si="18"/>
        <v>481.89000000001397</v>
      </c>
    </row>
    <row r="171" spans="1:7" ht="27.75">
      <c r="A171" s="1187" t="s">
        <v>102</v>
      </c>
      <c r="B171" s="1187"/>
      <c r="C171" s="1187"/>
      <c r="D171" s="174" t="s">
        <v>186</v>
      </c>
      <c r="E171" s="309">
        <f>'18'!F171</f>
        <v>85321</v>
      </c>
      <c r="F171" s="165">
        <v>59451.31</v>
      </c>
      <c r="G171" s="124">
        <f t="shared" si="18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309">
        <f>'18'!F172</f>
        <v>92335.38</v>
      </c>
      <c r="F172" s="165">
        <v>52064.98</v>
      </c>
      <c r="G172" s="124">
        <f t="shared" si="18"/>
        <v>305.61999999999534</v>
      </c>
    </row>
    <row r="173" spans="1:7">
      <c r="G173" s="188">
        <f>SUM(G161:G172)</f>
        <v>5153.8800000000228</v>
      </c>
    </row>
    <row r="174" spans="1:7" ht="27.75">
      <c r="A174" s="1187" t="s">
        <v>338</v>
      </c>
      <c r="B174" s="1187"/>
      <c r="C174" s="1187"/>
      <c r="D174" s="174" t="s">
        <v>186</v>
      </c>
      <c r="E174" s="183">
        <v>19087</v>
      </c>
      <c r="F174" s="165">
        <v>19092</v>
      </c>
      <c r="G174" s="124">
        <f t="shared" ref="G174" si="19">F174-E174</f>
        <v>5</v>
      </c>
    </row>
    <row r="175" spans="1:7">
      <c r="A175" s="1228" t="s">
        <v>338</v>
      </c>
      <c r="B175" s="1191"/>
      <c r="C175" s="436"/>
      <c r="D175" s="174" t="s">
        <v>186</v>
      </c>
      <c r="E175" s="183">
        <v>70449.100000000006</v>
      </c>
      <c r="F175" s="1122">
        <v>70456</v>
      </c>
      <c r="G175" s="1122">
        <v>7</v>
      </c>
    </row>
    <row r="176" spans="1:7">
      <c r="A176" s="1228" t="s">
        <v>339</v>
      </c>
      <c r="B176" s="1191"/>
      <c r="C176" s="436"/>
      <c r="D176" s="174" t="s">
        <v>186</v>
      </c>
      <c r="E176" s="183">
        <v>27724</v>
      </c>
      <c r="F176" s="1122">
        <v>27728</v>
      </c>
      <c r="G176" s="1122">
        <v>4</v>
      </c>
    </row>
    <row r="177" ht="18.7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B17" zoomScale="95" zoomScaleSheetLayoutView="95" zoomScalePageLayoutView="78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8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346</v>
      </c>
      <c r="B2" s="682">
        <v>44397</v>
      </c>
      <c r="C2" s="773" t="s">
        <v>68</v>
      </c>
      <c r="D2" s="262">
        <v>0.67</v>
      </c>
      <c r="E2" s="112"/>
      <c r="F2" s="112"/>
      <c r="G2" s="95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95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73" t="s">
        <v>121</v>
      </c>
      <c r="D4" s="262">
        <v>0.84</v>
      </c>
      <c r="E4" s="115"/>
      <c r="F4" s="115"/>
      <c r="G4" s="956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5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958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'19'!F7</f>
        <v>1035138</v>
      </c>
      <c r="F7" s="106">
        <f>E7+23250</f>
        <v>1058388</v>
      </c>
      <c r="G7" s="959">
        <f>F7-E7</f>
        <v>23250</v>
      </c>
      <c r="H7" s="111">
        <f>G7+'19'!H7</f>
        <v>450566</v>
      </c>
      <c r="I7" s="125">
        <f>'1'!I7</f>
        <v>12000</v>
      </c>
      <c r="J7" s="203">
        <f>H7/DAY(B2)</f>
        <v>22528.3</v>
      </c>
      <c r="K7" s="200">
        <v>11998</v>
      </c>
      <c r="L7" s="68">
        <f>G7-K7</f>
        <v>11252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'19'!F8</f>
        <v>348387</v>
      </c>
      <c r="F8" s="126">
        <v>370604.27</v>
      </c>
      <c r="G8" s="960">
        <f>F8-E8</f>
        <v>22217.270000000019</v>
      </c>
      <c r="H8" s="111">
        <f>G8+'19'!H8</f>
        <v>-244992.72999999998</v>
      </c>
      <c r="I8" s="128">
        <f>'1'!I8</f>
        <v>12000</v>
      </c>
      <c r="J8" s="203">
        <f>H8/DAY(B2)</f>
        <v>-12249.636499999999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'19'!F9</f>
        <v>2439016</v>
      </c>
      <c r="F9" s="129">
        <v>2460433.5</v>
      </c>
      <c r="G9" s="959">
        <f t="shared" ref="G9:G12" si="0">F9-E9</f>
        <v>21417.5</v>
      </c>
      <c r="H9" s="111">
        <f>G9+'19'!H9</f>
        <v>-236201.5</v>
      </c>
      <c r="I9" s="130">
        <f>I8-J8</f>
        <v>24249.636500000001</v>
      </c>
      <c r="J9" s="203">
        <f>H9/DAY(B2)</f>
        <v>-11810.075000000001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v>2606.5500000000002</v>
      </c>
      <c r="F10" s="129">
        <v>2606.5500000000002</v>
      </c>
      <c r="G10" s="959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59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59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61">
        <f>G9+G10+G11+G12</f>
        <v>21417.5</v>
      </c>
      <c r="H13" s="111">
        <f>G13+'19'!H13</f>
        <v>-278885.65000000002</v>
      </c>
      <c r="I13" s="133">
        <f>G7-G13</f>
        <v>1832.5</v>
      </c>
      <c r="J13" s="203">
        <f>H13/DAY(B2)</f>
        <v>-13944.282500000001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962"/>
      <c r="H14" s="123"/>
      <c r="I14" s="123"/>
      <c r="J14" s="202"/>
      <c r="K14" s="82"/>
      <c r="L14" s="68"/>
      <c r="N14" s="73"/>
      <c r="O14" s="73"/>
    </row>
    <row r="15" spans="1:15">
      <c r="A15" s="771" t="s">
        <v>139</v>
      </c>
      <c r="B15" s="240"/>
      <c r="C15" s="240"/>
      <c r="D15" s="174" t="s">
        <v>140</v>
      </c>
      <c r="E15" s="135">
        <f>'19'!F15</f>
        <v>1746509</v>
      </c>
      <c r="F15" s="351">
        <f>E15+950</f>
        <v>1747459</v>
      </c>
      <c r="G15" s="963">
        <f>(F15-E15)</f>
        <v>950</v>
      </c>
      <c r="H15" s="111">
        <f>G15+'19'!H15</f>
        <v>17905</v>
      </c>
      <c r="I15" s="125">
        <v>800</v>
      </c>
      <c r="J15" s="203">
        <f>H15/DAY(B2)</f>
        <v>895.25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59"/>
      <c r="H16" s="137"/>
      <c r="I16" s="138">
        <f>I15-J15</f>
        <v>-95.25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962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'19'!F18</f>
        <v>20</v>
      </c>
      <c r="F18" s="135">
        <v>8</v>
      </c>
      <c r="G18" s="961">
        <f>F18*10</f>
        <v>80</v>
      </c>
      <c r="H18" s="111">
        <f>G18+'19'!H18</f>
        <v>3250</v>
      </c>
      <c r="I18" s="125">
        <f>'1'!I18</f>
        <v>65</v>
      </c>
      <c r="J18" s="203">
        <f>H18/DAY(B2)</f>
        <v>162.5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'19'!F19</f>
        <v>144570</v>
      </c>
      <c r="F19" s="135">
        <f>E19+60</f>
        <v>144630</v>
      </c>
      <c r="G19" s="959">
        <f t="shared" ref="G19" si="1">F19-E19</f>
        <v>60</v>
      </c>
      <c r="H19" s="111">
        <f>G19+'19'!H19</f>
        <v>1240</v>
      </c>
      <c r="I19" s="140"/>
      <c r="J19" s="203">
        <f>H19/DAY(B2)</f>
        <v>62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64">
        <f>G18+G19</f>
        <v>140</v>
      </c>
      <c r="H20" s="111">
        <f>G20+'19'!H20</f>
        <v>4490</v>
      </c>
      <c r="I20" s="143">
        <f>I18-J20</f>
        <v>-159.5</v>
      </c>
      <c r="J20" s="203">
        <f>H20/DAY(B2)</f>
        <v>224.5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962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61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61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61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96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66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22217.270000000019</v>
      </c>
      <c r="F27" s="152">
        <v>9</v>
      </c>
      <c r="G27" s="967">
        <f>E27*F27</f>
        <v>199955.43000000017</v>
      </c>
      <c r="H27" s="111">
        <f>G27+'19'!H27</f>
        <v>-2204932.6799999997</v>
      </c>
      <c r="I27" s="154"/>
      <c r="J27" s="203">
        <f>H27/DAY(B2)</f>
        <v>-110246.63399999999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967">
        <f>E28*F28</f>
        <v>49400</v>
      </c>
      <c r="H28" s="111">
        <f>G28+'19'!H28</f>
        <v>963947.5</v>
      </c>
      <c r="I28" s="156"/>
      <c r="J28" s="203">
        <f>H28/DAY(B2)</f>
        <v>48197.375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967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967">
        <f>E30*F30</f>
        <v>8760</v>
      </c>
      <c r="H30" s="111">
        <f>G30+'19'!H30</f>
        <v>181040</v>
      </c>
      <c r="I30" s="156"/>
      <c r="J30" s="203">
        <f>H30/DAY(B2)</f>
        <v>9052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80</v>
      </c>
      <c r="F31" s="152">
        <v>80</v>
      </c>
      <c r="G31" s="967">
        <f>E31*F31</f>
        <v>6400</v>
      </c>
      <c r="H31" s="111">
        <f>G31+'19'!H31</f>
        <v>260000</v>
      </c>
      <c r="I31" s="156"/>
      <c r="J31" s="203">
        <f>H31/DAY(B2)</f>
        <v>13000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68">
        <f>G27+G28+G29+G30+G31</f>
        <v>264515.43000000017</v>
      </c>
      <c r="H32" s="111">
        <f>G32+'19'!H32</f>
        <v>-799945.17999999993</v>
      </c>
      <c r="I32" s="160"/>
      <c r="J32" s="203">
        <f>H32/DAY(B2)</f>
        <v>-39997.258999999998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22"/>
      <c r="G34" s="969"/>
      <c r="H34" s="123"/>
      <c r="I34" s="123"/>
      <c r="J34" s="202" t="s">
        <v>300</v>
      </c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59">
        <f t="shared" ref="G35:G46" si="2">F35-E35</f>
        <v>0</v>
      </c>
      <c r="H35" s="111">
        <f>G35+'19'!H35</f>
        <v>0.69999999995343387</v>
      </c>
      <c r="I35" s="106"/>
      <c r="J35" s="203">
        <f>H35/DAY(B2)</f>
        <v>3.4999999997671692E-2</v>
      </c>
      <c r="K35" s="81">
        <v>1457.2799999999697</v>
      </c>
      <c r="L35" s="68">
        <f>G35-K35</f>
        <v>-1457.2799999999697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35">
        <f>'19'!F36</f>
        <v>37098</v>
      </c>
      <c r="F36" s="161">
        <v>38264.519999999997</v>
      </c>
      <c r="G36" s="959">
        <f t="shared" si="2"/>
        <v>1166.5199999999968</v>
      </c>
      <c r="H36" s="111">
        <f>G36+'19'!H36</f>
        <v>-8533.4800000000032</v>
      </c>
      <c r="I36" s="106"/>
      <c r="J36" s="203">
        <f>H36/DAY(B2)</f>
        <v>-426.67400000000015</v>
      </c>
      <c r="K36" s="81">
        <v>483.92999999999302</v>
      </c>
      <c r="L36" s="68">
        <f t="shared" ref="L36:L60" si="3">G36-K36</f>
        <v>682.59000000000378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35">
        <f>'19'!F37</f>
        <v>206639</v>
      </c>
      <c r="F37" s="161">
        <v>208225.97</v>
      </c>
      <c r="G37" s="959">
        <f>F37-E37</f>
        <v>1586.9700000000012</v>
      </c>
      <c r="H37" s="111">
        <f>G37+'19'!H37</f>
        <v>-17947.03</v>
      </c>
      <c r="I37" s="106"/>
      <c r="J37" s="203">
        <f>H37/DAY(B2)</f>
        <v>-897.35149999999999</v>
      </c>
      <c r="K37" s="81">
        <v>1173.9200000000128</v>
      </c>
      <c r="L37" s="68">
        <f>G37-K37</f>
        <v>413.04999999998836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35">
        <f>'19'!F38</f>
        <v>229458</v>
      </c>
      <c r="F38" s="120">
        <v>230906.93</v>
      </c>
      <c r="G38" s="959">
        <f t="shared" si="2"/>
        <v>1448.929999999993</v>
      </c>
      <c r="H38" s="111">
        <f>G38+'19'!H38</f>
        <v>-17652.070000000007</v>
      </c>
      <c r="I38" s="106"/>
      <c r="J38" s="203">
        <f>H38/DAY(B2)</f>
        <v>-882.60350000000039</v>
      </c>
      <c r="K38" s="81">
        <v>0</v>
      </c>
      <c r="L38" s="68">
        <f t="shared" si="3"/>
        <v>1448.929999999993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35">
        <f>'19'!F39</f>
        <v>475083</v>
      </c>
      <c r="F39" s="161">
        <v>478850.43</v>
      </c>
      <c r="G39" s="959">
        <f t="shared" si="2"/>
        <v>3767.429999999993</v>
      </c>
      <c r="H39" s="111">
        <f>G39+'19'!H39</f>
        <v>-41667.570000000007</v>
      </c>
      <c r="I39" s="106"/>
      <c r="J39" s="203">
        <f>H39/DAY(B2)</f>
        <v>-2083.3785000000003</v>
      </c>
      <c r="K39" s="81">
        <v>1987.0400000000373</v>
      </c>
      <c r="L39" s="68">
        <f t="shared" si="3"/>
        <v>1780.3899999999558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35">
        <f>'19'!F40</f>
        <v>14614</v>
      </c>
      <c r="F40" s="161">
        <v>15145.89</v>
      </c>
      <c r="G40" s="959">
        <f t="shared" si="2"/>
        <v>531.88999999999942</v>
      </c>
      <c r="H40" s="111">
        <f>G40+'19'!H40</f>
        <v>-5027.1100000000006</v>
      </c>
      <c r="I40" s="106"/>
      <c r="J40" s="203">
        <f>H40/DAY(B2)</f>
        <v>-251.35550000000003</v>
      </c>
      <c r="K40" s="82">
        <v>0</v>
      </c>
      <c r="L40" s="68">
        <f t="shared" si="3"/>
        <v>531.88999999999942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35">
        <f>'19'!F41</f>
        <v>365502</v>
      </c>
      <c r="F41" s="161">
        <v>365502.35</v>
      </c>
      <c r="G41" s="959">
        <f t="shared" si="2"/>
        <v>0.34999999997671694</v>
      </c>
      <c r="H41" s="111">
        <f>G41+'19'!H41</f>
        <v>-1337.6500000000233</v>
      </c>
      <c r="I41" s="106"/>
      <c r="J41" s="203">
        <f>H41/DAY(B2)</f>
        <v>-66.882500000001158</v>
      </c>
      <c r="K41" s="81">
        <v>0</v>
      </c>
      <c r="L41" s="68">
        <f t="shared" si="3"/>
        <v>0.34999999997671694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35">
        <f>'19'!F42</f>
        <v>82838</v>
      </c>
      <c r="F42" s="161">
        <v>85160.57</v>
      </c>
      <c r="G42" s="959">
        <f t="shared" si="2"/>
        <v>2322.570000000007</v>
      </c>
      <c r="H42" s="111">
        <f>G42+'19'!H42</f>
        <v>-30351.429999999993</v>
      </c>
      <c r="I42" s="106"/>
      <c r="J42" s="203">
        <f>H42/DAY(B2)</f>
        <v>-1517.5714999999996</v>
      </c>
      <c r="K42" s="81">
        <v>3246.4500000000007</v>
      </c>
      <c r="L42" s="68">
        <f t="shared" si="3"/>
        <v>-923.87999999999374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35">
        <f>'19'!F43</f>
        <v>1171784</v>
      </c>
      <c r="F43" s="161">
        <v>1174494.7</v>
      </c>
      <c r="G43" s="959">
        <f t="shared" si="2"/>
        <v>2710.6999999999534</v>
      </c>
      <c r="H43" s="111">
        <f>G43+'19'!H43</f>
        <v>-29966.300000000047</v>
      </c>
      <c r="I43" s="106"/>
      <c r="J43" s="203">
        <f>H43/DAY(B2)</f>
        <v>-1498.3150000000023</v>
      </c>
      <c r="K43" s="81">
        <v>1559.2000000000116</v>
      </c>
      <c r="L43" s="68">
        <f t="shared" si="3"/>
        <v>1151.4999999999418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59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59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59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61">
        <f>G35+G36+G37+G38+G39+G40+G41+G42+G43+G44+G45+G46</f>
        <v>13535.359999999921</v>
      </c>
      <c r="H47" s="111">
        <f>G47+'19'!H47</f>
        <v>-151680.94000000018</v>
      </c>
      <c r="I47" s="106"/>
      <c r="J47" s="203">
        <f>H47/DAY(B2)</f>
        <v>-7584.0470000000087</v>
      </c>
      <c r="K47" s="81">
        <v>9907.8200000000252</v>
      </c>
      <c r="L47" s="68">
        <f t="shared" si="3"/>
        <v>3627.5399999998954</v>
      </c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122"/>
      <c r="G48" s="969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'19'!F49</f>
        <v>288610</v>
      </c>
      <c r="F49" s="161">
        <v>291183.21000000002</v>
      </c>
      <c r="G49" s="959">
        <f t="shared" ref="G49:G58" si="4">F49-E49</f>
        <v>2573.210000000021</v>
      </c>
      <c r="H49" s="111">
        <f>G49+'19'!H49</f>
        <v>-35854.789999999979</v>
      </c>
      <c r="I49" s="106"/>
      <c r="J49" s="203">
        <f>H49/DAY(B2)</f>
        <v>-1792.739499999999</v>
      </c>
      <c r="K49" s="81">
        <v>0</v>
      </c>
      <c r="L49" s="68">
        <f t="shared" si="3"/>
        <v>2573.210000000021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'19'!F50</f>
        <v>557622</v>
      </c>
      <c r="F50" s="161">
        <v>558685.75</v>
      </c>
      <c r="G50" s="959">
        <f t="shared" si="4"/>
        <v>1063.75</v>
      </c>
      <c r="H50" s="111">
        <f>G50+'19'!H50</f>
        <v>-12131.25</v>
      </c>
      <c r="I50" s="106"/>
      <c r="J50" s="203">
        <f>H50/DAY(B2)</f>
        <v>-606.5625</v>
      </c>
      <c r="K50" s="81">
        <v>631.67000000001281</v>
      </c>
      <c r="L50" s="68">
        <f t="shared" si="3"/>
        <v>432.07999999998719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59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59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59">
        <f t="shared" si="4"/>
        <v>0</v>
      </c>
      <c r="H53" s="111">
        <f>G53+'19'!H53</f>
        <v>-0.73999999999068677</v>
      </c>
      <c r="I53" s="106"/>
      <c r="J53" s="203">
        <f>H53/DAY(B2)</f>
        <v>-3.6999999999534336E-2</v>
      </c>
      <c r="K53" s="81">
        <v>106.48999999999978</v>
      </c>
      <c r="L53" s="68">
        <f t="shared" si="3"/>
        <v>-106.48999999999978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59">
        <f t="shared" si="4"/>
        <v>0</v>
      </c>
      <c r="H54" s="111">
        <f>G54+'19'!H54</f>
        <v>0</v>
      </c>
      <c r="I54" s="106"/>
      <c r="J54" s="203">
        <f>H54/DAY(B2)</f>
        <v>0</v>
      </c>
      <c r="K54" s="81">
        <v>0</v>
      </c>
      <c r="L54" s="68">
        <f t="shared" si="3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'19'!F55</f>
        <v>186190</v>
      </c>
      <c r="F55" s="161">
        <v>191040.47</v>
      </c>
      <c r="G55" s="959">
        <f t="shared" si="4"/>
        <v>4850.4700000000012</v>
      </c>
      <c r="H55" s="111">
        <f>G55+'19'!H55</f>
        <v>-46145.53</v>
      </c>
      <c r="I55" s="106"/>
      <c r="J55" s="203">
        <f>H55/DAY(B2)</f>
        <v>-2307.2764999999999</v>
      </c>
      <c r="K55" s="81">
        <v>0</v>
      </c>
      <c r="L55" s="68">
        <f t="shared" si="3"/>
        <v>4850.4700000000012</v>
      </c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'19'!F56</f>
        <v>649210</v>
      </c>
      <c r="F56" s="161">
        <v>649241.15</v>
      </c>
      <c r="G56" s="959">
        <f t="shared" si="4"/>
        <v>31.150000000023283</v>
      </c>
      <c r="H56" s="111">
        <f>G56+'19'!H56</f>
        <v>-130.84999999997672</v>
      </c>
      <c r="I56" s="106"/>
      <c r="J56" s="203">
        <f>H56/DAY(B2)</f>
        <v>-6.542499999998836</v>
      </c>
      <c r="K56" s="80">
        <v>0</v>
      </c>
      <c r="L56" s="68">
        <f t="shared" si="3"/>
        <v>31.150000000023283</v>
      </c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59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'19'!F58</f>
        <v>57418</v>
      </c>
      <c r="F58" s="161">
        <v>57425.74</v>
      </c>
      <c r="G58" s="959">
        <f t="shared" si="4"/>
        <v>7.7399999999979627</v>
      </c>
      <c r="H58" s="111">
        <f>G58+'19'!H58</f>
        <v>-2465.260000000002</v>
      </c>
      <c r="I58" s="106"/>
      <c r="J58" s="203">
        <f>H58/DAY(B2)</f>
        <v>-123.2630000000001</v>
      </c>
      <c r="K58" s="81">
        <v>0</v>
      </c>
      <c r="L58" s="68">
        <f t="shared" si="3"/>
        <v>7.7399999999979627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61">
        <f>G49+G50+G51+G52+G53+G54+G55+G56+G57+G58</f>
        <v>8526.3200000000434</v>
      </c>
      <c r="H59" s="111">
        <f>G59+'19'!H59</f>
        <v>-96728.419999999955</v>
      </c>
      <c r="I59" s="106">
        <f>G7-G60</f>
        <v>1188.3200000000361</v>
      </c>
      <c r="J59" s="203">
        <f>H59/DAY(B2)</f>
        <v>-4836.4209999999975</v>
      </c>
      <c r="K59" s="81">
        <v>1795.6800000000312</v>
      </c>
      <c r="L59" s="68">
        <f t="shared" si="3"/>
        <v>6730.6400000000122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61">
        <f>G47+G59</f>
        <v>22061.679999999964</v>
      </c>
      <c r="H60" s="111">
        <f>G60+'19'!H60</f>
        <v>-242832.03000000012</v>
      </c>
      <c r="I60" s="106">
        <f>G13-G60</f>
        <v>-644.17999999996391</v>
      </c>
      <c r="J60" s="203">
        <f>H60/DAY(B2)</f>
        <v>-12141.601500000006</v>
      </c>
      <c r="K60" s="81">
        <v>11703.500000000056</v>
      </c>
      <c r="L60" s="68">
        <f t="shared" si="3"/>
        <v>10358.179999999908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70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59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59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'19'!F64</f>
        <v>177441</v>
      </c>
      <c r="F64" s="135">
        <v>177804.47</v>
      </c>
      <c r="G64" s="959">
        <f t="shared" si="5"/>
        <v>363.47000000000116</v>
      </c>
      <c r="H64" s="111">
        <f>G64+'19'!H64</f>
        <v>-4055.5299999999988</v>
      </c>
      <c r="I64" s="131"/>
      <c r="J64" s="203">
        <f>H64/DAY(B2)</f>
        <v>-202.77649999999994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'19'!F65</f>
        <v>177524</v>
      </c>
      <c r="F65" s="135">
        <v>177910.09</v>
      </c>
      <c r="G65" s="959">
        <f t="shared" si="5"/>
        <v>386.08999999999651</v>
      </c>
      <c r="H65" s="111">
        <f>G65+'19'!H65</f>
        <v>-4298.9100000000035</v>
      </c>
      <c r="I65" s="140"/>
      <c r="J65" s="203">
        <f>H65/DAY(B2)</f>
        <v>-214.94550000000018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'19'!F66</f>
        <v>75789</v>
      </c>
      <c r="F66" s="135">
        <v>76217.929999999993</v>
      </c>
      <c r="G66" s="959">
        <f t="shared" si="5"/>
        <v>428.92999999999302</v>
      </c>
      <c r="H66" s="111">
        <f>G66+'19'!H66</f>
        <v>-4454.070000000007</v>
      </c>
      <c r="I66" s="131"/>
      <c r="J66" s="203">
        <f>H66/DAY(B2)</f>
        <v>-222.70350000000036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'19'!F67</f>
        <v>273925</v>
      </c>
      <c r="F67" s="135">
        <v>274426.67</v>
      </c>
      <c r="G67" s="959">
        <f t="shared" si="5"/>
        <v>501.6699999999837</v>
      </c>
      <c r="H67" s="111">
        <f>G67+'19'!H67</f>
        <v>-5631.3300000000163</v>
      </c>
      <c r="I67" s="140"/>
      <c r="J67" s="203">
        <f>H67/DAY(B2)</f>
        <v>-281.56650000000081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'19'!F68</f>
        <v>85321</v>
      </c>
      <c r="F68" s="135">
        <v>85321</v>
      </c>
      <c r="G68" s="959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'19'!F69</f>
        <v>92641</v>
      </c>
      <c r="F69" s="135">
        <v>92936.63</v>
      </c>
      <c r="G69" s="959">
        <f t="shared" si="5"/>
        <v>295.63000000000466</v>
      </c>
      <c r="H69" s="111">
        <f>G69+'19'!H69</f>
        <v>-3620.3699999999953</v>
      </c>
      <c r="I69" s="167"/>
      <c r="J69" s="203">
        <f>H69/DAY(B2)</f>
        <v>-181.01849999999976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971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'19'!F72</f>
        <v>856459</v>
      </c>
      <c r="F72" s="170">
        <v>856472</v>
      </c>
      <c r="G72" s="959">
        <f t="shared" ref="G72:G84" si="6">F72-E72</f>
        <v>13</v>
      </c>
      <c r="H72" s="111">
        <f>G72+'19'!H72</f>
        <v>-151</v>
      </c>
      <c r="I72" s="131"/>
      <c r="J72" s="203">
        <f>H72/DAY(B2)</f>
        <v>-7.55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0">
        <f>'19'!F73</f>
        <v>885998</v>
      </c>
      <c r="F73" s="171">
        <v>886000</v>
      </c>
      <c r="G73" s="959">
        <f t="shared" si="6"/>
        <v>2</v>
      </c>
      <c r="H73" s="111">
        <f>G73+'19'!H73</f>
        <v>144</v>
      </c>
      <c r="I73" s="131"/>
      <c r="J73" s="203">
        <f>H73/DAY(B2)</f>
        <v>7.2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0">
        <f>'19'!F74</f>
        <v>88716</v>
      </c>
      <c r="F74" s="172">
        <v>88719.3</v>
      </c>
      <c r="G74" s="959">
        <f t="shared" si="6"/>
        <v>3.3000000000029104</v>
      </c>
      <c r="H74" s="111">
        <f>G74+'19'!H74</f>
        <v>58.30000000000291</v>
      </c>
      <c r="I74" s="131"/>
      <c r="J74" s="203">
        <f>H74/DAY(B2)</f>
        <v>2.9150000000001457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0">
        <f>'19'!F75</f>
        <v>19025</v>
      </c>
      <c r="F75" s="172">
        <v>19191.63</v>
      </c>
      <c r="G75" s="959">
        <f t="shared" si="6"/>
        <v>166.63000000000102</v>
      </c>
      <c r="H75" s="111">
        <f>G75+'19'!H75</f>
        <v>-1755.369999999999</v>
      </c>
      <c r="I75" s="131"/>
      <c r="J75" s="203">
        <f>H75/DAY(B2)</f>
        <v>-87.768499999999946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0">
        <f>'19'!F76</f>
        <v>10577</v>
      </c>
      <c r="F76" s="305">
        <v>10640.9</v>
      </c>
      <c r="G76" s="959">
        <f>F76-E76</f>
        <v>63.899999999999636</v>
      </c>
      <c r="H76" s="111">
        <f>G76+'19'!H76</f>
        <v>715.5</v>
      </c>
      <c r="I76" s="156"/>
      <c r="J76" s="203">
        <f>H76/DAY(B2)</f>
        <v>35.774999999999999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0">
        <f>'19'!F77</f>
        <v>705569</v>
      </c>
      <c r="F77" s="172">
        <v>705626</v>
      </c>
      <c r="G77" s="959">
        <f t="shared" si="6"/>
        <v>57</v>
      </c>
      <c r="H77" s="111">
        <f>G77+'19'!H77</f>
        <v>-827</v>
      </c>
      <c r="I77" s="156"/>
      <c r="J77" s="203">
        <f>H77/DAY(B2)</f>
        <v>-41.35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2">
        <f>'19'!F78</f>
        <v>677282</v>
      </c>
      <c r="F78" s="172">
        <v>677372</v>
      </c>
      <c r="G78" s="959">
        <f t="shared" si="6"/>
        <v>90</v>
      </c>
      <c r="H78" s="111">
        <f>G78+'19'!H78</f>
        <v>-1481</v>
      </c>
      <c r="I78" s="156"/>
      <c r="J78" s="203">
        <f>H78/DAY(B2)</f>
        <v>-74.05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'19'!F79</f>
        <v>838424</v>
      </c>
      <c r="F79" s="172">
        <v>838574</v>
      </c>
      <c r="G79" s="959">
        <f t="shared" si="6"/>
        <v>150</v>
      </c>
      <c r="H79" s="111">
        <f>G79+'19'!H79</f>
        <v>-2108</v>
      </c>
      <c r="I79" s="156"/>
      <c r="J79" s="203">
        <f>H79/DAY(B2)</f>
        <v>-105.4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'19'!F80</f>
        <v>547168</v>
      </c>
      <c r="F80" s="171">
        <v>547596.28</v>
      </c>
      <c r="G80" s="959">
        <f t="shared" si="6"/>
        <v>428.28000000002794</v>
      </c>
      <c r="H80" s="111">
        <f>G80+'19'!H80</f>
        <v>-7609.7199999999721</v>
      </c>
      <c r="I80" s="156"/>
      <c r="J80" s="203">
        <f>H80/DAY(B2)</f>
        <v>-380.48599999999863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'19'!F81</f>
        <v>646674</v>
      </c>
      <c r="F81" s="171">
        <v>646912.04</v>
      </c>
      <c r="G81" s="959">
        <f t="shared" si="6"/>
        <v>238.04000000003725</v>
      </c>
      <c r="H81" s="111">
        <f>G81+'19'!H81</f>
        <v>-2105.9599999999627</v>
      </c>
      <c r="I81" s="156"/>
      <c r="J81" s="203">
        <f>H81/DAY(B2)</f>
        <v>-105.29799999999814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'19'!F82</f>
        <v>109089</v>
      </c>
      <c r="F82" s="173">
        <v>109102.07</v>
      </c>
      <c r="G82" s="959">
        <f t="shared" si="6"/>
        <v>13.070000000006985</v>
      </c>
      <c r="H82" s="111">
        <f>G82+'19'!H82</f>
        <v>-233.92999999999302</v>
      </c>
      <c r="I82" s="137"/>
      <c r="J82" s="203">
        <f>H82/DAY(B2)</f>
        <v>-11.69649999999965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73">
        <f>'19'!F83</f>
        <v>32090</v>
      </c>
      <c r="F83" s="162">
        <v>32328</v>
      </c>
      <c r="G83" s="959">
        <f t="shared" si="6"/>
        <v>238</v>
      </c>
      <c r="H83" s="111">
        <f>G83+'19'!H83</f>
        <v>-2697</v>
      </c>
      <c r="I83" s="132"/>
      <c r="J83" s="203">
        <f>H83/DAY(B2)</f>
        <v>-134.85</v>
      </c>
      <c r="K83" s="82"/>
      <c r="L83" s="68"/>
      <c r="N83" s="73"/>
      <c r="O83" s="372"/>
    </row>
    <row r="84" spans="1:15">
      <c r="A84" s="775" t="s">
        <v>200</v>
      </c>
      <c r="B84" s="222"/>
      <c r="C84" s="222"/>
      <c r="D84" s="129" t="s">
        <v>131</v>
      </c>
      <c r="E84" s="173">
        <f>'19'!F84</f>
        <v>538136</v>
      </c>
      <c r="F84" s="278">
        <v>538863</v>
      </c>
      <c r="G84" s="959">
        <f t="shared" si="6"/>
        <v>727</v>
      </c>
      <c r="H84" s="111">
        <f>G84+'19'!H84</f>
        <v>-8530</v>
      </c>
      <c r="I84" s="132"/>
      <c r="J84" s="203">
        <f>H84/DAY(B2)</f>
        <v>-426.5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72">
        <f xml:space="preserve"> SUM(G72:G84)</f>
        <v>2190.2200000000757</v>
      </c>
      <c r="H85" s="111">
        <f>G85+'19'!H85</f>
        <v>-24504.779999999919</v>
      </c>
      <c r="I85" s="132"/>
      <c r="J85" s="203">
        <f>H85/DAY(B2)</f>
        <v>-1225.2389999999959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'19'!F86</f>
        <v>462255</v>
      </c>
      <c r="F86" s="298">
        <v>462278.36</v>
      </c>
      <c r="G86" s="973">
        <f>F86-E86</f>
        <v>23.35999999998603</v>
      </c>
      <c r="H86" s="111">
        <f>G86+'19'!H86</f>
        <v>48.519999999960419</v>
      </c>
      <c r="I86" s="303"/>
      <c r="J86" s="358">
        <f>H86/DAY(B2)</f>
        <v>2.4259999999980209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'19'!F87</f>
        <v>82583</v>
      </c>
      <c r="F87" s="298">
        <v>82621</v>
      </c>
      <c r="G87" s="973">
        <f t="shared" ref="G87:G91" si="7">F87-E87</f>
        <v>38</v>
      </c>
      <c r="H87" s="111">
        <f>G87+'19'!H87</f>
        <v>78</v>
      </c>
      <c r="I87" s="303"/>
      <c r="J87" s="358">
        <f>H87/DAY(B2)</f>
        <v>3.9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'19'!F88</f>
        <v>157447</v>
      </c>
      <c r="F88" s="298">
        <v>157615.46</v>
      </c>
      <c r="G88" s="973">
        <f t="shared" si="7"/>
        <v>168.45999999999185</v>
      </c>
      <c r="H88" s="111">
        <f>G88+'19'!H88</f>
        <v>369.73999999999069</v>
      </c>
      <c r="I88" s="303"/>
      <c r="J88" s="358">
        <f>H88/DAY(B2)</f>
        <v>18.486999999999533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'19'!F89</f>
        <v>66620</v>
      </c>
      <c r="F89" s="298">
        <v>66650</v>
      </c>
      <c r="G89" s="973">
        <f t="shared" si="7"/>
        <v>30</v>
      </c>
      <c r="H89" s="111">
        <f>G89+'19'!H89</f>
        <v>89.19999999999709</v>
      </c>
      <c r="I89" s="303"/>
      <c r="J89" s="358">
        <f>H89/DAY(B2)</f>
        <v>4.4599999999998543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'19'!F90</f>
        <v>3411</v>
      </c>
      <c r="F90" s="298">
        <v>3413</v>
      </c>
      <c r="G90" s="973">
        <f t="shared" si="7"/>
        <v>2</v>
      </c>
      <c r="H90" s="111">
        <f>G90+'19'!H90</f>
        <v>5</v>
      </c>
      <c r="I90" s="303"/>
      <c r="J90" s="358">
        <f>H90/DAY(B2)</f>
        <v>0.25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f>'19'!F91</f>
        <v>28403</v>
      </c>
      <c r="F91" s="298">
        <v>28413.5</v>
      </c>
      <c r="G91" s="356">
        <f t="shared" si="7"/>
        <v>10.5</v>
      </c>
      <c r="H91" s="111">
        <f>G91+'19'!H91</f>
        <v>10.5</v>
      </c>
      <c r="I91" s="303"/>
      <c r="J91" s="358">
        <f>H91/DAY(B2)</f>
        <v>0.52500000000000002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962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'19'!F93</f>
        <v>249307</v>
      </c>
      <c r="F93" s="135">
        <v>249342</v>
      </c>
      <c r="G93" s="959">
        <f t="shared" ref="G93:G94" si="8">F93-E93</f>
        <v>35</v>
      </c>
      <c r="H93" s="111">
        <f>G93+'19'!H93</f>
        <v>-972</v>
      </c>
      <c r="I93" s="131"/>
      <c r="J93" s="203">
        <f>H93/DAY(B2)</f>
        <v>-48.6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'19'!F94</f>
        <v>191769</v>
      </c>
      <c r="F94" s="135">
        <v>191920</v>
      </c>
      <c r="G94" s="959">
        <f t="shared" si="8"/>
        <v>151</v>
      </c>
      <c r="H94" s="111">
        <f>G94+'19'!H94</f>
        <v>-978</v>
      </c>
      <c r="I94" s="131"/>
      <c r="J94" s="203">
        <f>H94/DAY(B2)</f>
        <v>-48.9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f>'19'!F95</f>
        <v>0</v>
      </c>
      <c r="F95" s="135"/>
      <c r="G95" s="959">
        <f>G93+G94</f>
        <v>186</v>
      </c>
      <c r="H95" s="111">
        <f>G95+'19'!H95</f>
        <v>-2256</v>
      </c>
      <c r="I95" s="131"/>
      <c r="J95" s="203">
        <f>H95/DAY(B2)</f>
        <v>-112.8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'19'!F96</f>
        <v>417710</v>
      </c>
      <c r="F96" s="135">
        <v>417761</v>
      </c>
      <c r="G96" s="959">
        <f t="shared" ref="G96:G101" si="9">F96-E96</f>
        <v>51</v>
      </c>
      <c r="H96" s="111">
        <f>G96+'19'!H96</f>
        <v>-775</v>
      </c>
      <c r="I96" s="131"/>
      <c r="J96" s="203">
        <f>H96/DAY(B2)</f>
        <v>-38.75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'19'!F97</f>
        <v>103589</v>
      </c>
      <c r="F97" s="135">
        <v>103604</v>
      </c>
      <c r="G97" s="959">
        <f t="shared" si="9"/>
        <v>15</v>
      </c>
      <c r="H97" s="111">
        <f>G97+'19'!H97</f>
        <v>-245</v>
      </c>
      <c r="I97" s="131"/>
      <c r="J97" s="203">
        <f>H97/DAY(B2)</f>
        <v>-12.25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'19'!F98</f>
        <v>99142</v>
      </c>
      <c r="F98" s="135">
        <v>99159</v>
      </c>
      <c r="G98" s="959">
        <f t="shared" si="9"/>
        <v>17</v>
      </c>
      <c r="H98" s="111">
        <f>G98+'19'!H98</f>
        <v>-289</v>
      </c>
      <c r="I98" s="131"/>
      <c r="J98" s="203">
        <f>H98/DAY(B2)</f>
        <v>-14.45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'19'!F99</f>
        <v>150970</v>
      </c>
      <c r="F99" s="135">
        <v>150980</v>
      </c>
      <c r="G99" s="959">
        <f t="shared" si="9"/>
        <v>10</v>
      </c>
      <c r="H99" s="111">
        <f>G99+'19'!H99</f>
        <v>-271</v>
      </c>
      <c r="I99" s="131"/>
      <c r="J99" s="203">
        <f>H99/DAY(B2)</f>
        <v>-13.55</v>
      </c>
      <c r="K99" s="71"/>
      <c r="L99" s="68"/>
      <c r="N99" s="73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'19'!F100</f>
        <v>8006</v>
      </c>
      <c r="F100" s="135">
        <v>8018</v>
      </c>
      <c r="G100" s="959">
        <f t="shared" si="9"/>
        <v>12</v>
      </c>
      <c r="H100" s="111">
        <f>G100+'19'!H100</f>
        <v>-147</v>
      </c>
      <c r="I100" s="131"/>
      <c r="J100" s="203">
        <f>H100/DAY(B2)</f>
        <v>-7.35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'19'!F101</f>
        <v>5865</v>
      </c>
      <c r="F101" s="135">
        <v>5871</v>
      </c>
      <c r="G101" s="959">
        <f t="shared" si="9"/>
        <v>6</v>
      </c>
      <c r="H101" s="111">
        <f>G101+'19'!H101</f>
        <v>-120</v>
      </c>
      <c r="I101" s="131"/>
      <c r="J101" s="203">
        <f>H101/DAY(B2)</f>
        <v>-6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974">
        <f>SUM(G96:G101)</f>
        <v>111</v>
      </c>
      <c r="H102" s="111">
        <f>G102+'19'!H102</f>
        <v>-1847</v>
      </c>
      <c r="I102" s="177"/>
      <c r="J102" s="203">
        <f>H102/DAY(B2)</f>
        <v>-92.35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75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976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v>7637</v>
      </c>
      <c r="F105" s="183">
        <v>7637</v>
      </c>
      <c r="G105" s="976">
        <f>F105-E105</f>
        <v>0</v>
      </c>
      <c r="H105" s="111">
        <f>G105+'19'!H105</f>
        <v>59.6299999999992</v>
      </c>
      <c r="I105" s="183"/>
      <c r="J105" s="209">
        <f>H105/DAY(B2)</f>
        <v>2.9814999999999601</v>
      </c>
      <c r="N105" s="95"/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5">
        <f>'19'!F106</f>
        <v>36352</v>
      </c>
      <c r="F106" s="185">
        <v>36352</v>
      </c>
      <c r="G106" s="976">
        <f t="shared" ref="G106:G107" si="10">F106-E106</f>
        <v>0</v>
      </c>
      <c r="H106" s="111">
        <f>G106+'19'!H106</f>
        <v>79</v>
      </c>
      <c r="I106" s="183"/>
      <c r="J106" s="209">
        <f>H106/DAY(B2)</f>
        <v>3.95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'19'!F107</f>
        <v>19908</v>
      </c>
      <c r="F107" s="183">
        <v>19908</v>
      </c>
      <c r="G107" s="976">
        <f t="shared" si="10"/>
        <v>0</v>
      </c>
      <c r="H107" s="111">
        <f>G107+'19'!H107</f>
        <v>155</v>
      </c>
      <c r="I107" s="183"/>
      <c r="J107" s="209">
        <f>H107/DAY(B2)</f>
        <v>7.75</v>
      </c>
      <c r="N107" s="95"/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>
        <f>'19'!F108</f>
        <v>0</v>
      </c>
      <c r="F108" s="183"/>
      <c r="G108" s="976">
        <f>SUM(G105:G107)</f>
        <v>0</v>
      </c>
      <c r="H108" s="111">
        <f>G108+'19'!H108</f>
        <v>174</v>
      </c>
      <c r="I108" s="183"/>
      <c r="J108" s="209">
        <f>H108/DAY(B2)</f>
        <v>8.6999999999999993</v>
      </c>
      <c r="N108" s="95"/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>
        <f>'19'!F109</f>
        <v>0</v>
      </c>
      <c r="F109" s="183"/>
      <c r="G109" s="976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'19'!F110</f>
        <v>66236</v>
      </c>
      <c r="F110" s="183">
        <v>66302</v>
      </c>
      <c r="G110" s="976">
        <f>F110-E110</f>
        <v>66</v>
      </c>
      <c r="H110" s="111">
        <f>G110+'19'!H110</f>
        <v>362.56000000005588</v>
      </c>
      <c r="I110" s="183"/>
      <c r="J110" s="209">
        <f>H110/DAY(B2)</f>
        <v>18.128000000002793</v>
      </c>
      <c r="N110" s="95"/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'19'!F111</f>
        <v>33681</v>
      </c>
      <c r="F111" s="183">
        <v>33714</v>
      </c>
      <c r="G111" s="976">
        <f t="shared" ref="G111:G112" si="11">F111-E111</f>
        <v>33</v>
      </c>
      <c r="H111" s="111">
        <f>G111+'19'!H111</f>
        <v>98.279999999998836</v>
      </c>
      <c r="I111" s="183"/>
      <c r="J111" s="209">
        <f>H111/DAY(B2)</f>
        <v>4.913999999999942</v>
      </c>
      <c r="N111" s="95"/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f>'19'!F112</f>
        <v>4622</v>
      </c>
      <c r="F112" s="183">
        <v>4622</v>
      </c>
      <c r="G112" s="976">
        <f t="shared" si="11"/>
        <v>0</v>
      </c>
      <c r="H112" s="111">
        <f>G112+'19'!H112</f>
        <v>305</v>
      </c>
      <c r="I112" s="183"/>
      <c r="J112" s="209">
        <f>H112/DAY(B2)</f>
        <v>15.25</v>
      </c>
      <c r="N112" s="95"/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>
        <f>'19'!F113</f>
        <v>0</v>
      </c>
      <c r="F113" s="183"/>
      <c r="G113" s="976">
        <f>SUM(G110:G112)</f>
        <v>99</v>
      </c>
      <c r="H113" s="111">
        <f>G113+'19'!H113</f>
        <v>1091</v>
      </c>
      <c r="I113" s="183"/>
      <c r="J113" s="209">
        <f>H113/DAY(B2)</f>
        <v>54.55</v>
      </c>
      <c r="N113" s="95"/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>
        <f>'19'!F114</f>
        <v>0</v>
      </c>
      <c r="F114" s="183"/>
      <c r="G114" s="976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'19'!F115</f>
        <v>12272</v>
      </c>
      <c r="F115" s="185">
        <v>12287</v>
      </c>
      <c r="G115" s="977">
        <f>F115-E115</f>
        <v>15</v>
      </c>
      <c r="H115" s="111">
        <f>G115+'19'!H115</f>
        <v>45</v>
      </c>
      <c r="I115" s="183"/>
      <c r="J115" s="209">
        <f>H115/DAY(B2)</f>
        <v>2.25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'19'!F116</f>
        <v>8717</v>
      </c>
      <c r="F116" s="185">
        <v>8721</v>
      </c>
      <c r="G116" s="977">
        <f t="shared" ref="G116:G117" si="12">F116-E116</f>
        <v>4</v>
      </c>
      <c r="H116" s="111">
        <f>G116+'19'!H116</f>
        <v>154</v>
      </c>
      <c r="I116" s="183"/>
      <c r="J116" s="209">
        <f>H116/DAY(B2)</f>
        <v>7.7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977">
        <f t="shared" si="12"/>
        <v>0</v>
      </c>
      <c r="H117" s="111">
        <f>G117+'19'!H117</f>
        <v>171</v>
      </c>
      <c r="I117" s="183"/>
      <c r="J117" s="209">
        <f>H117/DAY(B2)</f>
        <v>8.5500000000000007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977">
        <f>SUM(G115:G117)</f>
        <v>19</v>
      </c>
      <c r="H118" s="111">
        <f>G118+'19'!H118</f>
        <v>134</v>
      </c>
      <c r="I118" s="185"/>
      <c r="J118" s="209">
        <f>H118/DAY(B2)</f>
        <v>6.7</v>
      </c>
      <c r="N118" s="98"/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>
        <f>SUM(G19+G93)</f>
        <v>95</v>
      </c>
      <c r="G119" s="977">
        <f>SUM(G19+G93)</f>
        <v>95</v>
      </c>
      <c r="H119" s="111">
        <f>G119+'19'!H119</f>
        <v>512</v>
      </c>
      <c r="I119" s="186"/>
      <c r="J119" s="210">
        <f>H119/DAY(B2)</f>
        <v>25.6</v>
      </c>
      <c r="N119" s="429"/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>
        <f>SUM(G96,G97,G98,G100,G101)</f>
        <v>101</v>
      </c>
      <c r="G120" s="977">
        <f>SUM(G96,G97,G98,G100,G101)</f>
        <v>101</v>
      </c>
      <c r="H120" s="111">
        <f>G120+'19'!H120</f>
        <v>415</v>
      </c>
      <c r="I120" s="186"/>
      <c r="J120" s="210">
        <f>H120/DAY(B2)</f>
        <v>20.75</v>
      </c>
      <c r="N120" s="429"/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>
        <f>SUM(G113)</f>
        <v>99</v>
      </c>
      <c r="G121" s="977">
        <f>SUM(G113)</f>
        <v>99</v>
      </c>
      <c r="H121" s="111">
        <f>G121+'19'!H121</f>
        <v>297</v>
      </c>
      <c r="I121" s="186"/>
      <c r="J121" s="210">
        <f>H121/DAY(B2)</f>
        <v>14.85</v>
      </c>
      <c r="N121" s="429"/>
      <c r="O121" s="73"/>
    </row>
    <row r="122" spans="1:15" s="93" customFormat="1" ht="27.75">
      <c r="A122" s="1190"/>
      <c r="B122" s="1191"/>
      <c r="C122" s="769"/>
      <c r="D122" s="211"/>
      <c r="E122" s="211"/>
      <c r="F122" s="211" t="s">
        <v>214</v>
      </c>
      <c r="G122" s="978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962"/>
      <c r="H123" s="134"/>
      <c r="I123" s="134"/>
      <c r="J123" s="214"/>
      <c r="K123" s="71"/>
      <c r="L123" s="68"/>
      <c r="N123" s="73"/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29">
        <f>'19'!F124</f>
        <v>844847</v>
      </c>
      <c r="F124" s="129">
        <v>845107.45</v>
      </c>
      <c r="G124" s="959">
        <f t="shared" ref="G124:G128" si="13">F124-E124</f>
        <v>260.44999999995343</v>
      </c>
      <c r="H124" s="111">
        <f>G124+'19'!H124</f>
        <v>-2858.5500000000466</v>
      </c>
      <c r="I124" s="177"/>
      <c r="J124" s="203">
        <f>H124/DAY(B2)</f>
        <v>-142.92750000000234</v>
      </c>
      <c r="K124" s="71"/>
      <c r="L124" s="68"/>
      <c r="N124" s="73"/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277">
        <f>'19'!F125</f>
        <v>73583.399999999994</v>
      </c>
      <c r="F125" s="277">
        <v>73583.399999999994</v>
      </c>
      <c r="G125" s="959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'19'!F126</f>
        <v>150362</v>
      </c>
      <c r="F126" s="129">
        <v>150443.23000000001</v>
      </c>
      <c r="G126" s="959">
        <f t="shared" si="13"/>
        <v>81.230000000010477</v>
      </c>
      <c r="H126" s="111">
        <f>G126+'19'!H126</f>
        <v>-877.76999999998952</v>
      </c>
      <c r="I126" s="177"/>
      <c r="J126" s="203">
        <f>H126/DAY(B2)</f>
        <v>-43.888499999999475</v>
      </c>
      <c r="K126" s="71"/>
      <c r="L126" s="68"/>
      <c r="N126" s="73"/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277">
        <f>'19'!F127</f>
        <v>32802</v>
      </c>
      <c r="F127" s="277">
        <v>32839</v>
      </c>
      <c r="G127" s="959">
        <f t="shared" si="13"/>
        <v>37</v>
      </c>
      <c r="H127" s="111">
        <f>G127+'19'!H127</f>
        <v>-449</v>
      </c>
      <c r="I127" s="177"/>
      <c r="J127" s="203">
        <f>H127/DAY(B2)</f>
        <v>-22.45</v>
      </c>
      <c r="K127" s="71"/>
      <c r="L127" s="68"/>
      <c r="N127" s="73"/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277">
        <f>'19'!F128</f>
        <v>9085</v>
      </c>
      <c r="F128" s="277">
        <v>9086.7000000000007</v>
      </c>
      <c r="G128" s="959">
        <f t="shared" si="13"/>
        <v>1.7000000000007276</v>
      </c>
      <c r="H128" s="111">
        <f>G128+'19'!H128</f>
        <v>-26.299999999999272</v>
      </c>
      <c r="I128" s="131"/>
      <c r="J128" s="203">
        <f>H128/DAY(B2)</f>
        <v>-1.3149999999999635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959">
        <f>G15-SUM(G124:G128)</f>
        <v>569.62000000003536</v>
      </c>
      <c r="H129" s="111">
        <f>G129+'19'!H129</f>
        <v>15038.620000000035</v>
      </c>
      <c r="I129" s="131"/>
      <c r="J129" s="203">
        <f>H129/DAY(B2)</f>
        <v>751.93100000000175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79"/>
      <c r="H130" s="191"/>
      <c r="I130" s="191"/>
      <c r="J130" s="215"/>
      <c r="N130" s="73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35">
        <f>'19'!F131</f>
        <v>0</v>
      </c>
      <c r="F131" s="135">
        <v>0</v>
      </c>
      <c r="G131" s="959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35">
        <f>'19'!F132</f>
        <v>0</v>
      </c>
      <c r="F132" s="135">
        <v>0</v>
      </c>
      <c r="G132" s="959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35">
        <f>'19'!F133</f>
        <v>40612</v>
      </c>
      <c r="F133" s="286">
        <v>40612.1</v>
      </c>
      <c r="G133" s="1093">
        <f t="shared" si="14"/>
        <v>9.9999999998544808E-2</v>
      </c>
      <c r="H133" s="111">
        <f>G133+'19'!H133</f>
        <v>-6.9000000000014552</v>
      </c>
      <c r="I133" s="131"/>
      <c r="J133" s="203">
        <f>H133/DAY(B2)</f>
        <v>-0.34500000000007275</v>
      </c>
      <c r="N133" s="73">
        <f>G133-24</f>
        <v>-23.900000000001455</v>
      </c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35">
        <f>'19'!F134</f>
        <v>414.42</v>
      </c>
      <c r="F134" s="286">
        <v>427.01</v>
      </c>
      <c r="G134" s="1094">
        <f t="shared" si="14"/>
        <v>12.589999999999975</v>
      </c>
      <c r="H134" s="356">
        <f>G134+'19'!H134</f>
        <v>-146.99</v>
      </c>
      <c r="I134" s="722">
        <f>G131+G132+G133+G134</f>
        <v>12.68999999999852</v>
      </c>
      <c r="J134" s="358">
        <f>H134/DAY(B2)</f>
        <v>-7.3495000000000008</v>
      </c>
      <c r="N134" s="364"/>
      <c r="O134" s="364"/>
    </row>
    <row r="135" spans="1:15" ht="27.75">
      <c r="A135" s="771" t="s">
        <v>242</v>
      </c>
      <c r="B135" s="772"/>
      <c r="C135" s="772"/>
      <c r="D135" s="174" t="s">
        <v>238</v>
      </c>
      <c r="E135" s="135">
        <f>'19'!F135</f>
        <v>42281</v>
      </c>
      <c r="F135" s="286">
        <v>42304.14</v>
      </c>
      <c r="G135" s="1093">
        <f t="shared" si="14"/>
        <v>23.139999999999418</v>
      </c>
      <c r="H135" s="111">
        <f>G135+'19'!H135</f>
        <v>-194.86000000000058</v>
      </c>
      <c r="I135" s="131"/>
      <c r="J135" s="203">
        <f>H135/DAY(B2)</f>
        <v>-9.7430000000000287</v>
      </c>
      <c r="N135" s="73"/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35">
        <f>'19'!F136</f>
        <v>32874</v>
      </c>
      <c r="F136" s="192">
        <v>32874</v>
      </c>
      <c r="G136" s="959">
        <f t="shared" si="14"/>
        <v>0</v>
      </c>
      <c r="H136" s="111">
        <f>G136+'19'!H136</f>
        <v>0</v>
      </c>
      <c r="I136" s="131"/>
      <c r="J136" s="203">
        <f>H136/DAY(B2)</f>
        <v>0</v>
      </c>
      <c r="N136" s="73"/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35">
        <f>'19'!F137</f>
        <v>23033</v>
      </c>
      <c r="F137" s="192">
        <v>23033.279999999999</v>
      </c>
      <c r="G137" s="959">
        <f t="shared" si="14"/>
        <v>0.27999999999883585</v>
      </c>
      <c r="H137" s="111">
        <f>G137+'19'!H137</f>
        <v>-73.280000000002474</v>
      </c>
      <c r="I137" s="131">
        <f>G135+G136+G137</f>
        <v>23.419999999998254</v>
      </c>
      <c r="J137" s="203">
        <f>H137/DAY(B2)</f>
        <v>-3.6640000000001236</v>
      </c>
      <c r="N137" s="73"/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35">
        <f>'19'!F138</f>
        <v>25099</v>
      </c>
      <c r="F138" s="192">
        <v>25099.16</v>
      </c>
      <c r="G138" s="959">
        <f t="shared" si="14"/>
        <v>0.15999999999985448</v>
      </c>
      <c r="H138" s="111">
        <f>G138+'19'!H138</f>
        <v>-20.290000000000873</v>
      </c>
      <c r="I138" s="131"/>
      <c r="J138" s="203">
        <f>H138/DAY(B2)</f>
        <v>-1.0145000000000437</v>
      </c>
      <c r="N138" s="73"/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35">
        <f>'19'!F139</f>
        <v>70516.600000000006</v>
      </c>
      <c r="F139" s="192">
        <v>70516.600000000006</v>
      </c>
      <c r="G139" s="959">
        <f t="shared" si="14"/>
        <v>0</v>
      </c>
      <c r="H139" s="111">
        <f>G139+'19'!H139</f>
        <v>0</v>
      </c>
      <c r="I139" s="131">
        <f>G138+G139</f>
        <v>0.15999999999985448</v>
      </c>
      <c r="J139" s="203">
        <f>H139/DAY(B2)</f>
        <v>0</v>
      </c>
      <c r="N139" s="73"/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35">
        <f>'19'!F140</f>
        <v>2247.77</v>
      </c>
      <c r="F140" s="135">
        <v>2247.77</v>
      </c>
      <c r="G140" s="959">
        <f t="shared" si="14"/>
        <v>0</v>
      </c>
      <c r="H140" s="111">
        <f>G140+'19'!H140</f>
        <v>-63.789999999999964</v>
      </c>
      <c r="I140" s="193"/>
      <c r="J140" s="203">
        <f>H140/DAY(B2)</f>
        <v>-3.189499999999998</v>
      </c>
      <c r="N140" s="73"/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35">
        <f>'19'!F141</f>
        <v>4705.5200000000004</v>
      </c>
      <c r="F141" s="135">
        <v>4714.67</v>
      </c>
      <c r="G141" s="959">
        <f t="shared" si="14"/>
        <v>9.1499999999996362</v>
      </c>
      <c r="H141" s="111">
        <f>G141+'19'!H141</f>
        <v>-39.329999999999927</v>
      </c>
      <c r="I141" s="193"/>
      <c r="J141" s="203">
        <f>H141/DAY(B2)</f>
        <v>-1.9664999999999964</v>
      </c>
      <c r="N141" s="73"/>
      <c r="O141" s="73"/>
    </row>
    <row r="142" spans="1:15">
      <c r="A142" s="1203" t="s">
        <v>249</v>
      </c>
      <c r="B142" s="1204"/>
      <c r="C142" s="777"/>
      <c r="D142" s="123"/>
      <c r="E142" s="123"/>
      <c r="F142" s="123"/>
      <c r="G142" s="962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972">
        <f>G35+G43+G49+G57</f>
        <v>5283.9099999999744</v>
      </c>
      <c r="H143" s="111">
        <f>G143+'19'!H143</f>
        <v>-65889.210000000021</v>
      </c>
      <c r="I143" s="131"/>
      <c r="J143" s="203">
        <f>H143/DAY(B2)</f>
        <v>-3294.460500000001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981">
        <f>G143/G7</f>
        <v>0.22726494623655805</v>
      </c>
      <c r="H144" s="111">
        <f>G144+'19'!H144</f>
        <v>-2.6647797555377815</v>
      </c>
      <c r="I144" s="195"/>
      <c r="J144" s="203">
        <f>H144/DAY(B2)</f>
        <v>-0.13323898777688908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972">
        <f>G41+G42+G55+G56</f>
        <v>7204.5400000000081</v>
      </c>
      <c r="H145" s="111">
        <f>G145+'19'!H145</f>
        <v>-76442.459999999992</v>
      </c>
      <c r="I145" s="131"/>
      <c r="J145" s="203">
        <f>H145/DAY(B2)</f>
        <v>-3822.1229999999996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981">
        <f>G145/G7</f>
        <v>0.30987268817204339</v>
      </c>
      <c r="H146" s="111">
        <f>G146+'19'!H146</f>
        <v>-3.1065683969459719</v>
      </c>
      <c r="I146" s="195"/>
      <c r="J146" s="203">
        <f>H146/DAY(B2)</f>
        <v>-0.15532841984729859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972">
        <f>G39+G53</f>
        <v>3767.429999999993</v>
      </c>
      <c r="H147" s="111">
        <f>G147+'19'!H147</f>
        <v>-41667.979999999981</v>
      </c>
      <c r="I147" s="196"/>
      <c r="J147" s="203">
        <f>H147/DAY(B2)</f>
        <v>-2083.398999999999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981">
        <f>G147/G7</f>
        <v>0.16203999999999971</v>
      </c>
      <c r="H148" s="111">
        <f>G148+'19'!H148</f>
        <v>-1.6772932102497387</v>
      </c>
      <c r="I148" s="196"/>
      <c r="J148" s="203">
        <f>H148/DAY(B2)</f>
        <v>-8.3864660512486935E-2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972">
        <f>G38+G52</f>
        <v>1448.929999999993</v>
      </c>
      <c r="H149" s="111">
        <f>G149+'19'!H149</f>
        <v>-17652.070000000007</v>
      </c>
      <c r="I149" s="131"/>
      <c r="J149" s="203">
        <f>H149/DAY(B2)</f>
        <v>-882.60350000000039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981">
        <f>G149/G7</f>
        <v>6.2319569892472816E-2</v>
      </c>
      <c r="H150" s="111">
        <f>G150+'19'!H150</f>
        <v>-0.70763106400405507</v>
      </c>
      <c r="I150" s="196"/>
      <c r="J150" s="203">
        <f>H150/DAY(B2)</f>
        <v>-3.5381553200202753E-2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972">
        <f>G36+G50</f>
        <v>2230.2699999999968</v>
      </c>
      <c r="H151" s="111">
        <f>G151+'19'!H151</f>
        <v>-19772.730000000003</v>
      </c>
      <c r="I151" s="196"/>
      <c r="J151" s="203">
        <f>H151/DAY(B2)</f>
        <v>-988.63650000000018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981">
        <f>G151/G7</f>
        <v>9.5925591397849327E-2</v>
      </c>
      <c r="H152" s="111">
        <f>G152+'19'!H152</f>
        <v>-0.79815403780934235</v>
      </c>
      <c r="I152" s="131"/>
      <c r="J152" s="203">
        <f>H152/DAY(B2)</f>
        <v>-3.990770189046712E-2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972">
        <f>G37+G51</f>
        <v>1586.9700000000012</v>
      </c>
      <c r="H153" s="111">
        <f>G153+'19'!H153</f>
        <v>-17947.03</v>
      </c>
      <c r="I153" s="131"/>
      <c r="J153" s="203">
        <f>H153/DAY(B2)</f>
        <v>-897.35149999999999</v>
      </c>
      <c r="L153" s="67" t="s">
        <v>273</v>
      </c>
      <c r="M153" s="67">
        <v>0.5</v>
      </c>
      <c r="N153" s="73">
        <v>50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982">
        <f>G153/G7</f>
        <v>6.8256774193548433E-2</v>
      </c>
      <c r="H154" s="111">
        <f>G154+'19'!H154</f>
        <v>-0.72438374705749997</v>
      </c>
      <c r="I154" s="219"/>
      <c r="J154" s="220">
        <f>H154/DAY(B2)</f>
        <v>-3.6219187352875E-2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83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'19'!F161</f>
        <v>42368</v>
      </c>
      <c r="F161" s="309">
        <v>42448.7</v>
      </c>
      <c r="G161" s="959">
        <f t="shared" ref="G161:G164" si="15">F161-E161</f>
        <v>80.69999999999709</v>
      </c>
      <c r="K161" s="67">
        <v>70.399999999999636</v>
      </c>
      <c r="L161" s="67">
        <f t="shared" ref="L161:L172" si="16">G161-K161</f>
        <v>10.299999999997453</v>
      </c>
    </row>
    <row r="162" spans="1:12">
      <c r="A162" s="435" t="s">
        <v>263</v>
      </c>
      <c r="B162" s="436"/>
      <c r="C162" s="436"/>
      <c r="D162" s="162" t="s">
        <v>186</v>
      </c>
      <c r="E162" s="309">
        <f>'19'!F162</f>
        <v>116498</v>
      </c>
      <c r="F162" s="309">
        <v>116939.93</v>
      </c>
      <c r="G162" s="959">
        <f t="shared" si="15"/>
        <v>441.92999999999302</v>
      </c>
      <c r="K162" s="67">
        <v>124.25999999999999</v>
      </c>
      <c r="L162" s="67">
        <f t="shared" si="16"/>
        <v>317.66999999999302</v>
      </c>
    </row>
    <row r="163" spans="1:12">
      <c r="A163" s="435" t="s">
        <v>264</v>
      </c>
      <c r="B163" s="436"/>
      <c r="C163" s="436"/>
      <c r="D163" s="162" t="s">
        <v>186</v>
      </c>
      <c r="E163" s="309">
        <f>'19'!F163</f>
        <v>65119</v>
      </c>
      <c r="F163" s="309">
        <v>65320.79</v>
      </c>
      <c r="G163" s="959">
        <f t="shared" si="15"/>
        <v>201.79000000000087</v>
      </c>
      <c r="K163" s="67">
        <v>138.98000000000002</v>
      </c>
      <c r="L163" s="67">
        <f t="shared" si="16"/>
        <v>62.810000000000855</v>
      </c>
    </row>
    <row r="164" spans="1:12">
      <c r="A164" s="435" t="s">
        <v>265</v>
      </c>
      <c r="B164" s="436"/>
      <c r="C164" s="436"/>
      <c r="D164" s="162" t="s">
        <v>186</v>
      </c>
      <c r="E164" s="309">
        <f>'19'!F164</f>
        <v>7034</v>
      </c>
      <c r="F164" s="309">
        <v>7041.24</v>
      </c>
      <c r="G164" s="959">
        <f t="shared" si="15"/>
        <v>7.2399999999997817</v>
      </c>
      <c r="K164" s="67">
        <v>45.830000000000041</v>
      </c>
      <c r="L164" s="67">
        <f t="shared" si="16"/>
        <v>-38.590000000000259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59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59">
        <f t="shared" si="17"/>
        <v>0</v>
      </c>
      <c r="K166" s="67">
        <v>0</v>
      </c>
      <c r="L166" s="67">
        <f t="shared" si="16"/>
        <v>0</v>
      </c>
    </row>
    <row r="167" spans="1:12" ht="27.75">
      <c r="A167" s="1187" t="s">
        <v>98</v>
      </c>
      <c r="B167" s="1187"/>
      <c r="C167" s="1187"/>
      <c r="D167" s="174" t="s">
        <v>186</v>
      </c>
      <c r="E167" s="165">
        <f t="shared" si="18"/>
        <v>177441</v>
      </c>
      <c r="F167" s="165">
        <f t="shared" si="19"/>
        <v>177804.47</v>
      </c>
      <c r="G167" s="959">
        <f t="shared" si="17"/>
        <v>363.47000000000116</v>
      </c>
      <c r="K167" s="67">
        <v>193.55000000000291</v>
      </c>
      <c r="L167" s="67">
        <f t="shared" si="16"/>
        <v>169.91999999999825</v>
      </c>
    </row>
    <row r="168" spans="1:12" ht="27.75">
      <c r="A168" s="1187" t="s">
        <v>99</v>
      </c>
      <c r="B168" s="1187"/>
      <c r="C168" s="1187"/>
      <c r="D168" s="174" t="s">
        <v>186</v>
      </c>
      <c r="E168" s="165">
        <f t="shared" si="18"/>
        <v>177524</v>
      </c>
      <c r="F168" s="165">
        <f t="shared" si="19"/>
        <v>177910.09</v>
      </c>
      <c r="G168" s="959">
        <f t="shared" si="17"/>
        <v>386.08999999999651</v>
      </c>
      <c r="K168" s="67">
        <v>168.39999999999418</v>
      </c>
      <c r="L168" s="67">
        <f t="shared" si="16"/>
        <v>217.69000000000233</v>
      </c>
    </row>
    <row r="169" spans="1:12" ht="27.75">
      <c r="A169" s="1187" t="s">
        <v>100</v>
      </c>
      <c r="B169" s="1187"/>
      <c r="C169" s="1187"/>
      <c r="D169" s="174" t="s">
        <v>186</v>
      </c>
      <c r="E169" s="165">
        <f t="shared" si="18"/>
        <v>75789</v>
      </c>
      <c r="F169" s="165">
        <f t="shared" si="19"/>
        <v>76217.929999999993</v>
      </c>
      <c r="G169" s="959">
        <f t="shared" si="17"/>
        <v>428.92999999999302</v>
      </c>
      <c r="K169" s="67">
        <v>221.18999999999505</v>
      </c>
      <c r="L169" s="67">
        <f t="shared" si="16"/>
        <v>207.73999999999796</v>
      </c>
    </row>
    <row r="170" spans="1:12" ht="27.75">
      <c r="A170" s="1187" t="s">
        <v>101</v>
      </c>
      <c r="B170" s="1187"/>
      <c r="C170" s="1187"/>
      <c r="D170" s="174" t="s">
        <v>186</v>
      </c>
      <c r="E170" s="165">
        <f t="shared" si="18"/>
        <v>273925</v>
      </c>
      <c r="F170" s="165">
        <f t="shared" si="19"/>
        <v>274426.67</v>
      </c>
      <c r="G170" s="959">
        <f t="shared" si="17"/>
        <v>501.6699999999837</v>
      </c>
      <c r="K170" s="67">
        <v>337.19000000000233</v>
      </c>
      <c r="L170" s="67">
        <f t="shared" si="16"/>
        <v>164.47999999998137</v>
      </c>
    </row>
    <row r="171" spans="1:12" ht="27.75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959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>
      <c r="A172" s="1187" t="s">
        <v>103</v>
      </c>
      <c r="B172" s="1187"/>
      <c r="C172" s="1187"/>
      <c r="D172" s="174" t="s">
        <v>186</v>
      </c>
      <c r="E172" s="165">
        <f t="shared" si="18"/>
        <v>92641</v>
      </c>
      <c r="F172" s="165">
        <f t="shared" si="19"/>
        <v>92936.63</v>
      </c>
      <c r="G172" s="959">
        <f t="shared" si="17"/>
        <v>295.63000000000466</v>
      </c>
      <c r="K172" s="67">
        <v>11.799999999999272</v>
      </c>
      <c r="L172" s="67">
        <f t="shared" si="16"/>
        <v>283.83000000000538</v>
      </c>
    </row>
    <row r="173" spans="1:12" ht="24.75" customHeight="1">
      <c r="G173" s="1092">
        <f>SUM(G161:G172)</f>
        <v>2707.4499999999698</v>
      </c>
      <c r="L173" s="67">
        <f>SUM(L161:L172)</f>
        <v>1280.9399999999764</v>
      </c>
    </row>
    <row r="174" spans="1:12" ht="24.75" customHeight="1">
      <c r="A174" s="1187" t="s">
        <v>338</v>
      </c>
      <c r="B174" s="1187"/>
      <c r="C174" s="1187"/>
      <c r="D174" s="174" t="s">
        <v>186</v>
      </c>
      <c r="E174" s="309">
        <f>'19'!F174</f>
        <v>19092</v>
      </c>
      <c r="F174" s="165">
        <v>19098</v>
      </c>
      <c r="G174" s="124">
        <f t="shared" ref="G174:G176" si="20">F174-E174</f>
        <v>6</v>
      </c>
    </row>
    <row r="175" spans="1:12" ht="24.75" customHeight="1">
      <c r="A175" s="1228" t="s">
        <v>338</v>
      </c>
      <c r="B175" s="1191"/>
      <c r="C175" s="436"/>
      <c r="D175" s="174" t="s">
        <v>186</v>
      </c>
      <c r="E175" s="309">
        <f>'19'!F175</f>
        <v>70456</v>
      </c>
      <c r="F175" s="1122">
        <v>70463</v>
      </c>
      <c r="G175" s="124">
        <f t="shared" si="20"/>
        <v>7</v>
      </c>
    </row>
    <row r="176" spans="1:12" ht="24.75" customHeight="1">
      <c r="A176" s="1228" t="s">
        <v>339</v>
      </c>
      <c r="B176" s="1191"/>
      <c r="C176" s="436"/>
      <c r="D176" s="174" t="s">
        <v>186</v>
      </c>
      <c r="E176" s="309">
        <f>'19'!F176</f>
        <v>27728</v>
      </c>
      <c r="F176" s="1122">
        <v>27733.7</v>
      </c>
      <c r="G176" s="124">
        <f t="shared" si="20"/>
        <v>5.7000000000007276</v>
      </c>
    </row>
    <row r="177" spans="1:15" ht="24.75" customHeight="1"/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  <row r="305" spans="6:6">
      <c r="F305" s="188" t="s">
        <v>267</v>
      </c>
    </row>
    <row r="306" spans="6:6">
      <c r="F306" s="188">
        <v>0</v>
      </c>
    </row>
    <row r="307" spans="6:6">
      <c r="F307" s="188">
        <v>0</v>
      </c>
    </row>
    <row r="308" spans="6:6">
      <c r="F308" s="188">
        <v>0</v>
      </c>
    </row>
    <row r="309" spans="6:6">
      <c r="F309" s="188">
        <v>0</v>
      </c>
    </row>
    <row r="310" spans="6:6">
      <c r="F310" s="188">
        <v>0</v>
      </c>
    </row>
    <row r="311" spans="6:6">
      <c r="F311" s="188">
        <v>0</v>
      </c>
    </row>
    <row r="312" spans="6:6">
      <c r="F312" s="188">
        <v>0</v>
      </c>
    </row>
    <row r="313" spans="6:6">
      <c r="F313" s="188">
        <v>0</v>
      </c>
    </row>
    <row r="314" spans="6:6">
      <c r="F314" s="188">
        <v>0</v>
      </c>
    </row>
    <row r="315" spans="6:6">
      <c r="F315" s="188">
        <v>0</v>
      </c>
    </row>
    <row r="316" spans="6:6">
      <c r="F316" s="188">
        <v>0</v>
      </c>
    </row>
    <row r="317" spans="6:6">
      <c r="F317" s="188">
        <v>0</v>
      </c>
    </row>
    <row r="318" spans="6:6">
      <c r="F318" s="188">
        <v>0</v>
      </c>
    </row>
    <row r="319" spans="6:6">
      <c r="F319" s="188">
        <v>0</v>
      </c>
    </row>
    <row r="320" spans="6:6">
      <c r="F320" s="188">
        <v>0</v>
      </c>
    </row>
    <row r="321" spans="6:6">
      <c r="F321" s="188">
        <v>0</v>
      </c>
    </row>
    <row r="322" spans="6:6">
      <c r="F322" s="188">
        <v>0</v>
      </c>
    </row>
    <row r="323" spans="6:6">
      <c r="F323" s="188">
        <v>0</v>
      </c>
    </row>
    <row r="324" spans="6:6">
      <c r="F324" s="188">
        <v>0</v>
      </c>
    </row>
    <row r="325" spans="6:6">
      <c r="F325" s="188">
        <v>0</v>
      </c>
    </row>
    <row r="326" spans="6:6">
      <c r="F326" s="188">
        <v>0</v>
      </c>
    </row>
    <row r="327" spans="6:6">
      <c r="F327" s="188">
        <v>0</v>
      </c>
    </row>
    <row r="328" spans="6:6">
      <c r="F328" s="188">
        <v>0</v>
      </c>
    </row>
    <row r="329" spans="6:6">
      <c r="F329" s="188">
        <v>0</v>
      </c>
    </row>
    <row r="330" spans="6:6">
      <c r="F330" s="188">
        <v>0</v>
      </c>
    </row>
    <row r="331" spans="6:6">
      <c r="F331" s="188">
        <v>0</v>
      </c>
    </row>
    <row r="332" spans="6:6">
      <c r="F332" s="188">
        <v>0</v>
      </c>
    </row>
    <row r="333" spans="6:6">
      <c r="F333" s="188">
        <v>0</v>
      </c>
    </row>
    <row r="334" spans="6:6">
      <c r="F334" s="188">
        <v>0</v>
      </c>
    </row>
    <row r="335" spans="6:6">
      <c r="F335" s="188">
        <v>0</v>
      </c>
    </row>
    <row r="336" spans="6:6">
      <c r="F336" s="188">
        <v>0</v>
      </c>
    </row>
    <row r="337" spans="6:6">
      <c r="F337" s="188">
        <v>0</v>
      </c>
    </row>
    <row r="338" spans="6:6">
      <c r="F338" s="188">
        <v>0</v>
      </c>
    </row>
    <row r="339" spans="6:6">
      <c r="F339" s="188">
        <v>0</v>
      </c>
    </row>
    <row r="340" spans="6:6">
      <c r="F340" s="188">
        <v>0</v>
      </c>
    </row>
    <row r="341" spans="6:6">
      <c r="F341" s="188">
        <v>0</v>
      </c>
    </row>
    <row r="342" spans="6:6">
      <c r="F342" s="188">
        <v>0</v>
      </c>
    </row>
    <row r="343" spans="6:6">
      <c r="F343" s="188">
        <v>0</v>
      </c>
    </row>
    <row r="344" spans="6:6">
      <c r="F344" s="188">
        <v>0</v>
      </c>
    </row>
    <row r="345" spans="6:6">
      <c r="F345" s="188">
        <v>0</v>
      </c>
    </row>
    <row r="346" spans="6:6">
      <c r="F346" s="188">
        <v>0</v>
      </c>
    </row>
    <row r="347" spans="6:6">
      <c r="F347" s="188">
        <v>0</v>
      </c>
    </row>
    <row r="348" spans="6:6">
      <c r="F348" s="188">
        <v>0</v>
      </c>
    </row>
    <row r="349" spans="6:6">
      <c r="F349" s="188">
        <v>0</v>
      </c>
    </row>
    <row r="350" spans="6:6">
      <c r="F350" s="188">
        <v>0</v>
      </c>
    </row>
    <row r="351" spans="6:6">
      <c r="F351" s="188">
        <v>0</v>
      </c>
    </row>
    <row r="352" spans="6:6">
      <c r="F352" s="188">
        <v>0</v>
      </c>
    </row>
    <row r="353" spans="6:6">
      <c r="F353" s="188">
        <v>0</v>
      </c>
    </row>
    <row r="354" spans="6:6">
      <c r="F354" s="188">
        <v>0</v>
      </c>
    </row>
    <row r="355" spans="6:6">
      <c r="F355" s="188">
        <v>0</v>
      </c>
    </row>
    <row r="356" spans="6:6">
      <c r="F356" s="188">
        <v>0</v>
      </c>
    </row>
    <row r="357" spans="6:6">
      <c r="F357" s="188">
        <v>0</v>
      </c>
    </row>
    <row r="358" spans="6:6">
      <c r="F358" s="188">
        <v>0</v>
      </c>
    </row>
    <row r="359" spans="6:6">
      <c r="F359" s="188">
        <v>0</v>
      </c>
    </row>
    <row r="360" spans="6:6">
      <c r="F360" s="188">
        <v>0</v>
      </c>
    </row>
    <row r="361" spans="6:6">
      <c r="F361" s="188">
        <v>0</v>
      </c>
    </row>
    <row r="362" spans="6:6">
      <c r="F362" s="188">
        <v>0</v>
      </c>
    </row>
    <row r="363" spans="6:6">
      <c r="F363" s="188">
        <v>0</v>
      </c>
    </row>
    <row r="364" spans="6:6">
      <c r="F364" s="188">
        <v>0</v>
      </c>
    </row>
    <row r="365" spans="6:6">
      <c r="F365" s="188">
        <v>0</v>
      </c>
    </row>
    <row r="366" spans="6:6">
      <c r="F366" s="188">
        <v>0</v>
      </c>
    </row>
    <row r="367" spans="6:6">
      <c r="F367" s="188">
        <v>0</v>
      </c>
    </row>
    <row r="368" spans="6:6">
      <c r="F368" s="188">
        <v>0</v>
      </c>
    </row>
    <row r="369" spans="6:6">
      <c r="F369" s="188">
        <v>0</v>
      </c>
    </row>
    <row r="370" spans="6:6">
      <c r="F370" s="188">
        <v>0</v>
      </c>
    </row>
    <row r="371" spans="6:6">
      <c r="F371" s="188">
        <v>0</v>
      </c>
    </row>
    <row r="372" spans="6:6">
      <c r="F372" s="188">
        <v>0</v>
      </c>
    </row>
    <row r="373" spans="6:6">
      <c r="F373" s="188">
        <v>0</v>
      </c>
    </row>
    <row r="374" spans="6:6">
      <c r="F374" s="188">
        <v>0</v>
      </c>
    </row>
    <row r="375" spans="6:6">
      <c r="F375" s="188">
        <v>0</v>
      </c>
    </row>
    <row r="376" spans="6:6">
      <c r="F376" s="188">
        <v>0</v>
      </c>
    </row>
    <row r="377" spans="6:6">
      <c r="F377" s="188">
        <v>0</v>
      </c>
    </row>
    <row r="378" spans="6:6">
      <c r="F378" s="188">
        <v>0</v>
      </c>
    </row>
    <row r="379" spans="6:6">
      <c r="F379" s="188">
        <v>0</v>
      </c>
    </row>
    <row r="380" spans="6:6">
      <c r="F380" s="188">
        <v>0</v>
      </c>
    </row>
    <row r="381" spans="6:6">
      <c r="F381" s="188">
        <v>0</v>
      </c>
    </row>
    <row r="382" spans="6:6">
      <c r="F382" s="188">
        <v>0</v>
      </c>
    </row>
    <row r="383" spans="6:6">
      <c r="F383" s="188">
        <v>0</v>
      </c>
    </row>
    <row r="384" spans="6:6">
      <c r="F384" s="188">
        <v>0</v>
      </c>
    </row>
    <row r="385" spans="6:6">
      <c r="F385" s="188">
        <v>0</v>
      </c>
    </row>
    <row r="386" spans="6:6">
      <c r="F386" s="188">
        <v>0</v>
      </c>
    </row>
    <row r="387" spans="6:6">
      <c r="F387" s="188">
        <v>0</v>
      </c>
    </row>
    <row r="388" spans="6:6">
      <c r="F388" s="188">
        <v>0</v>
      </c>
    </row>
    <row r="389" spans="6:6">
      <c r="F389" s="188">
        <v>0</v>
      </c>
    </row>
    <row r="390" spans="6:6">
      <c r="F390" s="188">
        <v>0</v>
      </c>
    </row>
    <row r="391" spans="6:6">
      <c r="F391" s="188">
        <v>0</v>
      </c>
    </row>
    <row r="392" spans="6:6">
      <c r="F392" s="188">
        <v>0</v>
      </c>
    </row>
    <row r="393" spans="6:6">
      <c r="F393" s="188">
        <v>0</v>
      </c>
    </row>
    <row r="394" spans="6:6">
      <c r="F394" s="188">
        <v>0</v>
      </c>
    </row>
    <row r="395" spans="6:6">
      <c r="F395" s="188">
        <v>0</v>
      </c>
    </row>
    <row r="396" spans="6:6">
      <c r="F396" s="188">
        <v>0</v>
      </c>
    </row>
    <row r="397" spans="6:6">
      <c r="F397" s="188">
        <v>0</v>
      </c>
    </row>
    <row r="398" spans="6:6">
      <c r="F398" s="188">
        <v>0</v>
      </c>
    </row>
    <row r="399" spans="6:6">
      <c r="F399" s="188">
        <v>0</v>
      </c>
    </row>
    <row r="400" spans="6:6">
      <c r="F400" s="188">
        <v>0</v>
      </c>
    </row>
    <row r="401" spans="6:6">
      <c r="F401" s="188">
        <v>0</v>
      </c>
    </row>
    <row r="402" spans="6:6">
      <c r="F402" s="188">
        <v>0</v>
      </c>
    </row>
    <row r="403" spans="6:6">
      <c r="F403" s="188">
        <v>0</v>
      </c>
    </row>
    <row r="404" spans="6:6">
      <c r="F404" s="188">
        <v>0</v>
      </c>
    </row>
    <row r="405" spans="6:6">
      <c r="F405" s="188">
        <v>0</v>
      </c>
    </row>
    <row r="406" spans="6:6">
      <c r="F406" s="188">
        <v>0</v>
      </c>
    </row>
    <row r="407" spans="6:6">
      <c r="F407" s="188">
        <v>0</v>
      </c>
    </row>
    <row r="408" spans="6:6">
      <c r="F408" s="188">
        <v>0</v>
      </c>
    </row>
    <row r="409" spans="6:6">
      <c r="F409" s="188">
        <v>0</v>
      </c>
    </row>
    <row r="410" spans="6:6">
      <c r="F410" s="188">
        <v>0</v>
      </c>
    </row>
    <row r="411" spans="6:6">
      <c r="F411" s="188">
        <v>0</v>
      </c>
    </row>
    <row r="412" spans="6:6">
      <c r="F412" s="188">
        <v>0</v>
      </c>
    </row>
    <row r="413" spans="6:6">
      <c r="F413" s="188">
        <v>0</v>
      </c>
    </row>
    <row r="414" spans="6:6">
      <c r="F414" s="188">
        <v>0</v>
      </c>
    </row>
    <row r="415" spans="6:6">
      <c r="F415" s="188">
        <v>0</v>
      </c>
    </row>
    <row r="416" spans="6:6">
      <c r="F416" s="188">
        <v>0</v>
      </c>
    </row>
    <row r="417" spans="6:6">
      <c r="F417" s="188">
        <v>0</v>
      </c>
    </row>
    <row r="418" spans="6:6">
      <c r="F418" s="188">
        <v>0</v>
      </c>
    </row>
    <row r="419" spans="6:6">
      <c r="F419" s="188">
        <v>0</v>
      </c>
    </row>
    <row r="420" spans="6:6">
      <c r="F420" s="188">
        <v>0</v>
      </c>
    </row>
    <row r="421" spans="6:6">
      <c r="F421" s="188">
        <v>0</v>
      </c>
    </row>
    <row r="422" spans="6:6">
      <c r="F422" s="188">
        <v>0</v>
      </c>
    </row>
    <row r="423" spans="6:6">
      <c r="F423" s="188">
        <v>0</v>
      </c>
    </row>
    <row r="424" spans="6:6">
      <c r="F424" s="188">
        <v>0</v>
      </c>
    </row>
    <row r="425" spans="6:6">
      <c r="F425" s="188">
        <v>0</v>
      </c>
    </row>
    <row r="426" spans="6:6">
      <c r="F426" s="188">
        <v>0</v>
      </c>
    </row>
    <row r="427" spans="6:6">
      <c r="F427" s="188">
        <v>0</v>
      </c>
    </row>
    <row r="428" spans="6:6">
      <c r="F428" s="188">
        <v>0</v>
      </c>
    </row>
    <row r="429" spans="6:6">
      <c r="F429" s="188">
        <v>0</v>
      </c>
    </row>
    <row r="430" spans="6:6">
      <c r="F430" s="188">
        <v>0</v>
      </c>
    </row>
    <row r="431" spans="6:6">
      <c r="F431" s="188">
        <v>0</v>
      </c>
    </row>
    <row r="432" spans="6:6">
      <c r="F432" s="188">
        <v>0</v>
      </c>
    </row>
    <row r="433" spans="6:6">
      <c r="F433" s="188">
        <v>0</v>
      </c>
    </row>
    <row r="434" spans="6:6">
      <c r="F434" s="188">
        <v>0</v>
      </c>
    </row>
    <row r="435" spans="6:6">
      <c r="F435" s="188">
        <v>0</v>
      </c>
    </row>
    <row r="436" spans="6:6">
      <c r="F436" s="188">
        <v>0</v>
      </c>
    </row>
    <row r="437" spans="6:6">
      <c r="F437" s="188">
        <v>0</v>
      </c>
    </row>
    <row r="438" spans="6:6">
      <c r="F438" s="188">
        <v>0</v>
      </c>
    </row>
    <row r="439" spans="6:6">
      <c r="F439" s="188">
        <v>0</v>
      </c>
    </row>
    <row r="440" spans="6:6">
      <c r="F440" s="188">
        <v>0</v>
      </c>
    </row>
    <row r="441" spans="6:6">
      <c r="F441" s="188">
        <v>0</v>
      </c>
    </row>
    <row r="442" spans="6:6">
      <c r="F442" s="188">
        <v>0</v>
      </c>
    </row>
    <row r="443" spans="6:6">
      <c r="F443" s="188">
        <v>0</v>
      </c>
    </row>
    <row r="444" spans="6:6">
      <c r="F444" s="188">
        <v>0</v>
      </c>
    </row>
    <row r="445" spans="6:6">
      <c r="F445" s="188">
        <v>0</v>
      </c>
    </row>
    <row r="446" spans="6:6">
      <c r="F446" s="188">
        <v>0</v>
      </c>
    </row>
    <row r="447" spans="6:6">
      <c r="F447" s="188">
        <v>0</v>
      </c>
    </row>
    <row r="448" spans="6:6">
      <c r="F448" s="188">
        <v>0</v>
      </c>
    </row>
    <row r="449" spans="6:6">
      <c r="F449" s="188">
        <v>0</v>
      </c>
    </row>
    <row r="450" spans="6:6">
      <c r="F450" s="188">
        <v>0</v>
      </c>
    </row>
    <row r="451" spans="6:6">
      <c r="F451" s="188">
        <v>0</v>
      </c>
    </row>
    <row r="452" spans="6:6">
      <c r="F452" s="188">
        <v>0</v>
      </c>
    </row>
    <row r="453" spans="6:6">
      <c r="F453" s="188">
        <v>0</v>
      </c>
    </row>
    <row r="454" spans="6:6">
      <c r="F454" s="188">
        <v>0</v>
      </c>
    </row>
    <row r="455" spans="6:6">
      <c r="F455" s="188">
        <v>0</v>
      </c>
    </row>
    <row r="456" spans="6:6">
      <c r="F456" s="188">
        <v>0</v>
      </c>
    </row>
    <row r="457" spans="6:6">
      <c r="F457" s="188">
        <v>0</v>
      </c>
    </row>
    <row r="458" spans="6:6">
      <c r="F458" s="188">
        <v>0</v>
      </c>
    </row>
    <row r="459" spans="6:6">
      <c r="F459" s="188">
        <v>0</v>
      </c>
    </row>
    <row r="460" spans="6:6">
      <c r="F460" s="188">
        <v>0</v>
      </c>
    </row>
    <row r="461" spans="6:6">
      <c r="F461" s="188">
        <v>0</v>
      </c>
    </row>
    <row r="462" spans="6:6">
      <c r="F462" s="188">
        <v>0</v>
      </c>
    </row>
    <row r="463" spans="6:6">
      <c r="F463" s="188">
        <v>0</v>
      </c>
    </row>
    <row r="464" spans="6:6">
      <c r="F464" s="188">
        <v>0</v>
      </c>
    </row>
    <row r="465" spans="6:6">
      <c r="F465" s="188">
        <v>0</v>
      </c>
    </row>
    <row r="466" spans="6:6">
      <c r="F466" s="188">
        <v>0</v>
      </c>
    </row>
    <row r="467" spans="6:6">
      <c r="F467" s="188">
        <v>0</v>
      </c>
    </row>
    <row r="468" spans="6:6">
      <c r="F468" s="188">
        <v>0</v>
      </c>
    </row>
    <row r="469" spans="6:6">
      <c r="F469" s="188">
        <v>0</v>
      </c>
    </row>
    <row r="470" spans="6:6">
      <c r="F470" s="188">
        <v>0</v>
      </c>
    </row>
    <row r="471" spans="6:6">
      <c r="F471" s="188">
        <v>0</v>
      </c>
    </row>
    <row r="472" spans="6:6">
      <c r="F472" s="188">
        <v>0</v>
      </c>
    </row>
    <row r="473" spans="6:6">
      <c r="F473" s="188">
        <v>0</v>
      </c>
    </row>
    <row r="474" spans="6:6">
      <c r="F474" s="188">
        <v>0</v>
      </c>
    </row>
    <row r="475" spans="6:6">
      <c r="F475" s="188">
        <v>0</v>
      </c>
    </row>
    <row r="476" spans="6:6">
      <c r="F476" s="188">
        <v>0</v>
      </c>
    </row>
    <row r="477" spans="6:6">
      <c r="F477" s="188">
        <v>0</v>
      </c>
    </row>
    <row r="478" spans="6:6">
      <c r="F478" s="188">
        <v>0</v>
      </c>
    </row>
    <row r="479" spans="6:6">
      <c r="F479" s="188">
        <v>0</v>
      </c>
    </row>
    <row r="480" spans="6:6">
      <c r="F480" s="188">
        <v>0</v>
      </c>
    </row>
    <row r="481" spans="6:6">
      <c r="F481" s="188">
        <v>0</v>
      </c>
    </row>
    <row r="482" spans="6:6">
      <c r="F482" s="188">
        <v>0</v>
      </c>
    </row>
    <row r="483" spans="6:6">
      <c r="F483" s="188">
        <v>0</v>
      </c>
    </row>
    <row r="484" spans="6:6">
      <c r="F484" s="188">
        <v>0</v>
      </c>
    </row>
    <row r="485" spans="6:6">
      <c r="F485" s="188">
        <v>0</v>
      </c>
    </row>
    <row r="486" spans="6:6">
      <c r="F486" s="188">
        <v>0</v>
      </c>
    </row>
    <row r="487" spans="6:6">
      <c r="F487" s="188">
        <v>0</v>
      </c>
    </row>
    <row r="488" spans="6:6">
      <c r="F488" s="188">
        <v>0</v>
      </c>
    </row>
    <row r="489" spans="6:6">
      <c r="F489" s="188">
        <v>0</v>
      </c>
    </row>
    <row r="490" spans="6:6">
      <c r="F490" s="188">
        <v>0</v>
      </c>
    </row>
    <row r="491" spans="6:6">
      <c r="F491" s="188">
        <v>0</v>
      </c>
    </row>
    <row r="492" spans="6:6">
      <c r="F492" s="188">
        <v>0</v>
      </c>
    </row>
    <row r="493" spans="6:6">
      <c r="F493" s="188">
        <v>0</v>
      </c>
    </row>
    <row r="494" spans="6:6">
      <c r="F494" s="188">
        <v>0</v>
      </c>
    </row>
    <row r="495" spans="6:6">
      <c r="F495" s="188">
        <v>0</v>
      </c>
    </row>
    <row r="496" spans="6:6">
      <c r="F496" s="188">
        <v>0</v>
      </c>
    </row>
    <row r="497" spans="6:6">
      <c r="F497" s="188">
        <v>0</v>
      </c>
    </row>
    <row r="498" spans="6:6">
      <c r="F498" s="188">
        <v>0</v>
      </c>
    </row>
    <row r="499" spans="6:6">
      <c r="F499" s="188">
        <v>0</v>
      </c>
    </row>
    <row r="500" spans="6:6">
      <c r="F500" s="188">
        <v>0</v>
      </c>
    </row>
    <row r="501" spans="6:6">
      <c r="F501" s="188">
        <v>0</v>
      </c>
    </row>
    <row r="502" spans="6:6">
      <c r="F502" s="188">
        <v>0</v>
      </c>
    </row>
    <row r="503" spans="6:6">
      <c r="F503" s="188">
        <v>0</v>
      </c>
    </row>
    <row r="504" spans="6:6">
      <c r="F504" s="188">
        <v>0</v>
      </c>
    </row>
    <row r="505" spans="6:6">
      <c r="F505" s="188">
        <v>0</v>
      </c>
    </row>
    <row r="506" spans="6:6">
      <c r="F506" s="188">
        <v>0</v>
      </c>
    </row>
    <row r="507" spans="6:6">
      <c r="F507" s="188">
        <v>0</v>
      </c>
    </row>
    <row r="508" spans="6:6">
      <c r="F508" s="188">
        <v>0</v>
      </c>
    </row>
    <row r="509" spans="6:6">
      <c r="F509" s="188">
        <v>0</v>
      </c>
    </row>
    <row r="510" spans="6:6">
      <c r="F510" s="188">
        <v>0</v>
      </c>
    </row>
    <row r="511" spans="6:6">
      <c r="F511" s="188">
        <v>0</v>
      </c>
    </row>
    <row r="512" spans="6:6">
      <c r="F512" s="188">
        <v>0</v>
      </c>
    </row>
    <row r="513" spans="6:6">
      <c r="F513" s="188">
        <v>0</v>
      </c>
    </row>
    <row r="514" spans="6:6">
      <c r="F514" s="188">
        <v>0</v>
      </c>
    </row>
    <row r="515" spans="6:6">
      <c r="F515" s="188">
        <v>0</v>
      </c>
    </row>
    <row r="516" spans="6:6">
      <c r="F516" s="188">
        <v>0</v>
      </c>
    </row>
    <row r="517" spans="6:6">
      <c r="F517" s="188">
        <v>0</v>
      </c>
    </row>
    <row r="518" spans="6:6">
      <c r="F518" s="188">
        <v>0</v>
      </c>
    </row>
    <row r="519" spans="6:6">
      <c r="F519" s="188">
        <v>0</v>
      </c>
    </row>
    <row r="520" spans="6:6">
      <c r="F520" s="188">
        <v>0</v>
      </c>
    </row>
    <row r="521" spans="6:6">
      <c r="F521" s="188">
        <v>0</v>
      </c>
    </row>
    <row r="522" spans="6:6">
      <c r="F522" s="188">
        <v>0</v>
      </c>
    </row>
    <row r="523" spans="6:6">
      <c r="F523" s="188">
        <v>0</v>
      </c>
    </row>
    <row r="524" spans="6:6">
      <c r="F524" s="188">
        <v>0</v>
      </c>
    </row>
    <row r="525" spans="6:6">
      <c r="F525" s="188">
        <v>0</v>
      </c>
    </row>
    <row r="526" spans="6:6">
      <c r="F526" s="188">
        <v>0</v>
      </c>
    </row>
    <row r="527" spans="6:6">
      <c r="F527" s="188">
        <v>0</v>
      </c>
    </row>
    <row r="528" spans="6:6">
      <c r="F528" s="188">
        <v>0</v>
      </c>
    </row>
    <row r="529" spans="6:6">
      <c r="F529" s="188">
        <v>0</v>
      </c>
    </row>
    <row r="530" spans="6:6">
      <c r="F530" s="188">
        <v>0</v>
      </c>
    </row>
    <row r="531" spans="6:6">
      <c r="F531" s="188">
        <v>0</v>
      </c>
    </row>
    <row r="532" spans="6:6">
      <c r="F532" s="188">
        <v>0</v>
      </c>
    </row>
    <row r="533" spans="6:6">
      <c r="F533" s="188">
        <v>0</v>
      </c>
    </row>
    <row r="534" spans="6:6">
      <c r="F534" s="188">
        <v>0</v>
      </c>
    </row>
    <row r="535" spans="6:6">
      <c r="F535" s="188">
        <v>0</v>
      </c>
    </row>
    <row r="536" spans="6:6">
      <c r="F536" s="188">
        <v>0</v>
      </c>
    </row>
    <row r="537" spans="6:6">
      <c r="F537" s="188">
        <v>0</v>
      </c>
    </row>
    <row r="538" spans="6:6">
      <c r="F538" s="188">
        <v>0</v>
      </c>
    </row>
    <row r="539" spans="6:6">
      <c r="F539" s="188">
        <v>0</v>
      </c>
    </row>
    <row r="540" spans="6:6">
      <c r="F540" s="188">
        <v>0</v>
      </c>
    </row>
    <row r="541" spans="6:6">
      <c r="F541" s="188">
        <v>0</v>
      </c>
    </row>
    <row r="542" spans="6:6">
      <c r="F542" s="188">
        <v>0</v>
      </c>
    </row>
    <row r="543" spans="6:6">
      <c r="F543" s="188">
        <v>0</v>
      </c>
    </row>
    <row r="544" spans="6:6">
      <c r="F544" s="188">
        <v>0</v>
      </c>
    </row>
    <row r="545" spans="6:6">
      <c r="F545" s="188">
        <v>0</v>
      </c>
    </row>
    <row r="546" spans="6:6">
      <c r="F546" s="188">
        <v>0</v>
      </c>
    </row>
    <row r="547" spans="6:6">
      <c r="F547" s="188">
        <v>0</v>
      </c>
    </row>
    <row r="548" spans="6:6">
      <c r="F548" s="188">
        <v>0</v>
      </c>
    </row>
    <row r="549" spans="6:6">
      <c r="F549" s="188">
        <v>0</v>
      </c>
    </row>
    <row r="550" spans="6:6">
      <c r="F550" s="188">
        <v>0</v>
      </c>
    </row>
    <row r="551" spans="6:6">
      <c r="F551" s="188">
        <v>0</v>
      </c>
    </row>
    <row r="552" spans="6:6">
      <c r="F552" s="188">
        <v>0</v>
      </c>
    </row>
    <row r="553" spans="6:6">
      <c r="F553" s="188">
        <v>0</v>
      </c>
    </row>
    <row r="554" spans="6:6">
      <c r="F554" s="188">
        <v>0</v>
      </c>
    </row>
    <row r="555" spans="6:6">
      <c r="F555" s="188">
        <v>0</v>
      </c>
    </row>
    <row r="556" spans="6:6">
      <c r="F556" s="188">
        <v>0</v>
      </c>
    </row>
    <row r="557" spans="6:6">
      <c r="F557" s="188">
        <v>0</v>
      </c>
    </row>
    <row r="558" spans="6:6">
      <c r="F558" s="188">
        <v>0</v>
      </c>
    </row>
    <row r="559" spans="6:6">
      <c r="F559" s="188">
        <v>0</v>
      </c>
    </row>
    <row r="560" spans="6:6">
      <c r="F560" s="188">
        <v>0</v>
      </c>
    </row>
    <row r="561" spans="6:6">
      <c r="F561" s="188">
        <v>0</v>
      </c>
    </row>
    <row r="562" spans="6:6">
      <c r="F562" s="188">
        <v>0</v>
      </c>
    </row>
    <row r="563" spans="6:6">
      <c r="F563" s="188">
        <v>0</v>
      </c>
    </row>
    <row r="564" spans="6:6">
      <c r="F564" s="188">
        <v>0</v>
      </c>
    </row>
    <row r="565" spans="6:6">
      <c r="F565" s="188">
        <v>0</v>
      </c>
    </row>
    <row r="566" spans="6:6">
      <c r="F566" s="188">
        <v>0</v>
      </c>
    </row>
    <row r="567" spans="6:6">
      <c r="F567" s="188">
        <v>0</v>
      </c>
    </row>
    <row r="568" spans="6:6">
      <c r="F568" s="188">
        <v>0</v>
      </c>
    </row>
    <row r="569" spans="6:6">
      <c r="F569" s="188">
        <v>0</v>
      </c>
    </row>
    <row r="570" spans="6:6">
      <c r="F570" s="188">
        <v>0</v>
      </c>
    </row>
    <row r="571" spans="6:6">
      <c r="F571" s="188">
        <v>0</v>
      </c>
    </row>
    <row r="572" spans="6:6">
      <c r="F572" s="188">
        <v>0</v>
      </c>
    </row>
    <row r="573" spans="6:6">
      <c r="F573" s="188">
        <v>0</v>
      </c>
    </row>
    <row r="574" spans="6:6">
      <c r="F574" s="188">
        <v>0</v>
      </c>
    </row>
    <row r="575" spans="6:6">
      <c r="F575" s="188">
        <v>0</v>
      </c>
    </row>
    <row r="576" spans="6:6">
      <c r="F576" s="188">
        <v>0</v>
      </c>
    </row>
    <row r="577" spans="6:6">
      <c r="F577" s="188">
        <v>0</v>
      </c>
    </row>
    <row r="578" spans="6:6">
      <c r="F578" s="188">
        <v>0</v>
      </c>
    </row>
    <row r="579" spans="6:6">
      <c r="F579" s="188">
        <v>0</v>
      </c>
    </row>
    <row r="580" spans="6:6">
      <c r="F580" s="188">
        <v>0</v>
      </c>
    </row>
    <row r="581" spans="6:6">
      <c r="F581" s="188">
        <v>0</v>
      </c>
    </row>
    <row r="582" spans="6:6">
      <c r="F582" s="188">
        <v>0</v>
      </c>
    </row>
    <row r="583" spans="6:6">
      <c r="F583" s="188">
        <v>0</v>
      </c>
    </row>
    <row r="584" spans="6:6">
      <c r="F584" s="188">
        <v>0</v>
      </c>
    </row>
    <row r="585" spans="6:6">
      <c r="F585" s="188">
        <v>0</v>
      </c>
    </row>
    <row r="586" spans="6:6">
      <c r="F586" s="188">
        <v>0</v>
      </c>
    </row>
    <row r="587" spans="6:6">
      <c r="F587" s="188">
        <v>0</v>
      </c>
    </row>
    <row r="588" spans="6:6">
      <c r="F588" s="188">
        <v>0</v>
      </c>
    </row>
    <row r="589" spans="6:6">
      <c r="F589" s="188">
        <v>0</v>
      </c>
    </row>
    <row r="590" spans="6:6">
      <c r="F590" s="188">
        <v>0</v>
      </c>
    </row>
    <row r="591" spans="6:6">
      <c r="F591" s="188">
        <v>0</v>
      </c>
    </row>
    <row r="592" spans="6:6">
      <c r="F592" s="188">
        <v>0</v>
      </c>
    </row>
    <row r="593" spans="6:6">
      <c r="F593" s="188">
        <v>0</v>
      </c>
    </row>
    <row r="594" spans="6:6">
      <c r="F594" s="188">
        <v>0</v>
      </c>
    </row>
    <row r="595" spans="6:6">
      <c r="F595" s="188">
        <v>0</v>
      </c>
    </row>
    <row r="596" spans="6:6">
      <c r="F596" s="188">
        <v>0</v>
      </c>
    </row>
    <row r="597" spans="6:6">
      <c r="F597" s="188">
        <v>0</v>
      </c>
    </row>
    <row r="598" spans="6:6">
      <c r="F598" s="188">
        <v>0</v>
      </c>
    </row>
    <row r="599" spans="6:6">
      <c r="F599" s="188">
        <v>0</v>
      </c>
    </row>
    <row r="600" spans="6:6">
      <c r="F600" s="188">
        <v>0</v>
      </c>
    </row>
    <row r="601" spans="6:6">
      <c r="F601" s="188">
        <v>0</v>
      </c>
    </row>
    <row r="602" spans="6:6">
      <c r="F602" s="188">
        <v>0</v>
      </c>
    </row>
    <row r="603" spans="6:6">
      <c r="F603" s="188">
        <v>0</v>
      </c>
    </row>
    <row r="604" spans="6:6">
      <c r="F604" s="188">
        <v>0</v>
      </c>
    </row>
    <row r="605" spans="6:6">
      <c r="F605" s="188">
        <v>0</v>
      </c>
    </row>
    <row r="606" spans="6:6">
      <c r="F606" s="188">
        <v>0</v>
      </c>
    </row>
    <row r="607" spans="6:6">
      <c r="F607" s="188">
        <v>0</v>
      </c>
    </row>
    <row r="608" spans="6:6">
      <c r="F608" s="188">
        <v>0</v>
      </c>
    </row>
    <row r="609" spans="6:6">
      <c r="F609" s="188">
        <v>0</v>
      </c>
    </row>
    <row r="610" spans="6:6">
      <c r="F610" s="188">
        <v>0</v>
      </c>
    </row>
    <row r="611" spans="6:6">
      <c r="F611" s="188">
        <v>0</v>
      </c>
    </row>
    <row r="612" spans="6:6">
      <c r="F612" s="188">
        <v>0</v>
      </c>
    </row>
    <row r="613" spans="6:6">
      <c r="F613" s="188">
        <v>0</v>
      </c>
    </row>
    <row r="614" spans="6:6">
      <c r="F614" s="188">
        <v>0</v>
      </c>
    </row>
    <row r="615" spans="6:6">
      <c r="F615" s="188">
        <v>0</v>
      </c>
    </row>
    <row r="616" spans="6:6">
      <c r="F616" s="188">
        <v>0</v>
      </c>
    </row>
    <row r="617" spans="6:6">
      <c r="F617" s="188">
        <v>0</v>
      </c>
    </row>
    <row r="618" spans="6:6">
      <c r="F618" s="188">
        <v>0</v>
      </c>
    </row>
    <row r="619" spans="6:6">
      <c r="F619" s="188">
        <v>0</v>
      </c>
    </row>
    <row r="620" spans="6:6">
      <c r="F620" s="188">
        <v>0</v>
      </c>
    </row>
    <row r="621" spans="6:6">
      <c r="F621" s="188">
        <v>0</v>
      </c>
    </row>
    <row r="622" spans="6:6">
      <c r="F622" s="188">
        <v>0</v>
      </c>
    </row>
    <row r="623" spans="6:6">
      <c r="F623" s="188">
        <v>0</v>
      </c>
    </row>
    <row r="624" spans="6:6">
      <c r="F624" s="188">
        <v>0</v>
      </c>
    </row>
    <row r="625" spans="6:6">
      <c r="F625" s="188">
        <v>0</v>
      </c>
    </row>
    <row r="626" spans="6:6">
      <c r="F626" s="188">
        <v>0</v>
      </c>
    </row>
    <row r="627" spans="6:6">
      <c r="F627" s="188">
        <v>0</v>
      </c>
    </row>
    <row r="628" spans="6:6">
      <c r="F628" s="188">
        <v>0</v>
      </c>
    </row>
    <row r="629" spans="6:6">
      <c r="F629" s="188">
        <v>0</v>
      </c>
    </row>
    <row r="630" spans="6:6">
      <c r="F630" s="188">
        <v>0</v>
      </c>
    </row>
    <row r="631" spans="6:6">
      <c r="F631" s="188">
        <v>0</v>
      </c>
    </row>
    <row r="632" spans="6:6">
      <c r="F632" s="188">
        <v>0</v>
      </c>
    </row>
    <row r="633" spans="6:6">
      <c r="F633" s="188">
        <v>0</v>
      </c>
    </row>
    <row r="634" spans="6:6">
      <c r="F634" s="188">
        <v>0</v>
      </c>
    </row>
    <row r="635" spans="6:6">
      <c r="F635" s="188">
        <v>0</v>
      </c>
    </row>
    <row r="636" spans="6:6">
      <c r="F636" s="188">
        <v>0</v>
      </c>
    </row>
    <row r="637" spans="6:6">
      <c r="F637" s="188">
        <v>0</v>
      </c>
    </row>
    <row r="638" spans="6:6">
      <c r="F638" s="188">
        <v>0</v>
      </c>
    </row>
    <row r="639" spans="6:6">
      <c r="F639" s="188">
        <v>0</v>
      </c>
    </row>
    <row r="640" spans="6:6">
      <c r="F640" s="188">
        <v>0</v>
      </c>
    </row>
    <row r="641" spans="6:6">
      <c r="F641" s="188">
        <v>0</v>
      </c>
    </row>
    <row r="642" spans="6:6">
      <c r="F642" s="188">
        <v>0</v>
      </c>
    </row>
    <row r="643" spans="6:6">
      <c r="F643" s="188">
        <v>0</v>
      </c>
    </row>
    <row r="644" spans="6:6">
      <c r="F644" s="188">
        <v>0</v>
      </c>
    </row>
    <row r="645" spans="6:6">
      <c r="F645" s="188">
        <v>0</v>
      </c>
    </row>
    <row r="646" spans="6:6">
      <c r="F646" s="188">
        <v>0</v>
      </c>
    </row>
    <row r="647" spans="6:6">
      <c r="F647" s="188">
        <v>0</v>
      </c>
    </row>
    <row r="648" spans="6:6">
      <c r="F648" s="188">
        <v>0</v>
      </c>
    </row>
    <row r="649" spans="6:6">
      <c r="F649" s="188">
        <v>0</v>
      </c>
    </row>
    <row r="650" spans="6:6">
      <c r="F650" s="188">
        <v>0</v>
      </c>
    </row>
    <row r="651" spans="6:6">
      <c r="F651" s="188">
        <v>0</v>
      </c>
    </row>
    <row r="652" spans="6:6">
      <c r="F652" s="188">
        <v>0</v>
      </c>
    </row>
    <row r="653" spans="6:6">
      <c r="F653" s="188">
        <v>0</v>
      </c>
    </row>
    <row r="654" spans="6:6">
      <c r="F654" s="188">
        <v>0</v>
      </c>
    </row>
    <row r="655" spans="6:6">
      <c r="F655" s="188">
        <v>0</v>
      </c>
    </row>
    <row r="656" spans="6:6">
      <c r="F656" s="188">
        <v>0</v>
      </c>
    </row>
    <row r="657" spans="6:6">
      <c r="F657" s="188">
        <v>0</v>
      </c>
    </row>
    <row r="658" spans="6:6">
      <c r="F658" s="188">
        <v>0</v>
      </c>
    </row>
    <row r="659" spans="6:6">
      <c r="F659" s="188">
        <v>0</v>
      </c>
    </row>
    <row r="660" spans="6:6">
      <c r="F660" s="188">
        <v>0</v>
      </c>
    </row>
    <row r="661" spans="6:6">
      <c r="F661" s="188">
        <v>0</v>
      </c>
    </row>
    <row r="662" spans="6:6">
      <c r="F662" s="188">
        <v>0</v>
      </c>
    </row>
    <row r="663" spans="6:6">
      <c r="F663" s="188">
        <v>0</v>
      </c>
    </row>
    <row r="664" spans="6:6">
      <c r="F664" s="188">
        <v>0</v>
      </c>
    </row>
    <row r="665" spans="6:6">
      <c r="F665" s="188">
        <v>0</v>
      </c>
    </row>
    <row r="666" spans="6:6">
      <c r="F666" s="188">
        <v>0</v>
      </c>
    </row>
    <row r="667" spans="6:6">
      <c r="F667" s="188">
        <v>0</v>
      </c>
    </row>
    <row r="668" spans="6:6">
      <c r="F668" s="188">
        <v>0</v>
      </c>
    </row>
    <row r="669" spans="6:6">
      <c r="F669" s="188">
        <v>0</v>
      </c>
    </row>
    <row r="670" spans="6:6">
      <c r="F670" s="188">
        <v>0</v>
      </c>
    </row>
    <row r="671" spans="6:6">
      <c r="F671" s="188">
        <v>0</v>
      </c>
    </row>
    <row r="672" spans="6:6">
      <c r="F672" s="188">
        <v>0</v>
      </c>
    </row>
    <row r="673" spans="6:6">
      <c r="F673" s="188">
        <v>0</v>
      </c>
    </row>
    <row r="674" spans="6:6">
      <c r="F674" s="188">
        <v>0</v>
      </c>
    </row>
    <row r="675" spans="6:6">
      <c r="F675" s="188">
        <v>0</v>
      </c>
    </row>
    <row r="676" spans="6:6">
      <c r="F676" s="188">
        <v>0</v>
      </c>
    </row>
    <row r="677" spans="6:6">
      <c r="F677" s="188">
        <v>0</v>
      </c>
    </row>
    <row r="678" spans="6:6">
      <c r="F678" s="188">
        <v>0</v>
      </c>
    </row>
    <row r="679" spans="6:6">
      <c r="F679" s="188">
        <v>0</v>
      </c>
    </row>
    <row r="680" spans="6:6">
      <c r="F680" s="188">
        <v>0</v>
      </c>
    </row>
    <row r="681" spans="6:6">
      <c r="F681" s="188">
        <v>0</v>
      </c>
    </row>
    <row r="682" spans="6:6">
      <c r="F682" s="188">
        <v>0</v>
      </c>
    </row>
    <row r="683" spans="6:6">
      <c r="F683" s="188">
        <v>0</v>
      </c>
    </row>
    <row r="684" spans="6:6">
      <c r="F684" s="188">
        <v>0</v>
      </c>
    </row>
    <row r="685" spans="6:6">
      <c r="F685" s="188">
        <v>0</v>
      </c>
    </row>
    <row r="686" spans="6:6">
      <c r="F686" s="188">
        <v>0</v>
      </c>
    </row>
    <row r="687" spans="6:6">
      <c r="F687" s="188">
        <v>0</v>
      </c>
    </row>
    <row r="688" spans="6:6">
      <c r="F688" s="188">
        <v>0</v>
      </c>
    </row>
    <row r="689" spans="6:6">
      <c r="F689" s="188">
        <v>0</v>
      </c>
    </row>
    <row r="690" spans="6:6">
      <c r="F690" s="188">
        <v>0</v>
      </c>
    </row>
    <row r="691" spans="6:6">
      <c r="F691" s="188">
        <v>0</v>
      </c>
    </row>
    <row r="692" spans="6:6">
      <c r="F692" s="188">
        <v>0</v>
      </c>
    </row>
    <row r="693" spans="6:6">
      <c r="F693" s="188">
        <v>0</v>
      </c>
    </row>
    <row r="694" spans="6:6">
      <c r="F694" s="188">
        <v>0</v>
      </c>
    </row>
    <row r="695" spans="6:6">
      <c r="F695" s="188">
        <v>0</v>
      </c>
    </row>
    <row r="696" spans="6:6">
      <c r="F696" s="188">
        <v>0</v>
      </c>
    </row>
    <row r="697" spans="6:6">
      <c r="F697" s="188">
        <v>0</v>
      </c>
    </row>
    <row r="698" spans="6:6">
      <c r="F698" s="188">
        <v>0</v>
      </c>
    </row>
    <row r="699" spans="6:6">
      <c r="F699" s="188">
        <v>0</v>
      </c>
    </row>
    <row r="700" spans="6:6">
      <c r="F700" s="188">
        <v>0</v>
      </c>
    </row>
    <row r="701" spans="6:6">
      <c r="F701" s="188">
        <v>0</v>
      </c>
    </row>
    <row r="702" spans="6:6">
      <c r="F702" s="188">
        <v>0</v>
      </c>
    </row>
    <row r="703" spans="6:6">
      <c r="F703" s="188">
        <v>0</v>
      </c>
    </row>
    <row r="704" spans="6:6">
      <c r="F704" s="188">
        <v>0</v>
      </c>
    </row>
    <row r="705" spans="6:6">
      <c r="F705" s="188">
        <v>0</v>
      </c>
    </row>
    <row r="706" spans="6:6">
      <c r="F706" s="188">
        <v>0</v>
      </c>
    </row>
    <row r="707" spans="6:6">
      <c r="F707" s="188">
        <v>0</v>
      </c>
    </row>
    <row r="708" spans="6:6">
      <c r="F708" s="188">
        <v>0</v>
      </c>
    </row>
    <row r="709" spans="6:6">
      <c r="F709" s="188">
        <v>0</v>
      </c>
    </row>
    <row r="710" spans="6:6">
      <c r="F710" s="188">
        <v>0</v>
      </c>
    </row>
    <row r="711" spans="6:6">
      <c r="F711" s="188">
        <v>0</v>
      </c>
    </row>
    <row r="712" spans="6:6">
      <c r="F712" s="188">
        <v>0</v>
      </c>
    </row>
    <row r="713" spans="6:6">
      <c r="F713" s="188">
        <v>0</v>
      </c>
    </row>
    <row r="714" spans="6:6">
      <c r="F714" s="188">
        <v>0</v>
      </c>
    </row>
    <row r="715" spans="6:6">
      <c r="F715" s="188">
        <v>0</v>
      </c>
    </row>
    <row r="716" spans="6:6">
      <c r="F716" s="188">
        <v>0</v>
      </c>
    </row>
    <row r="717" spans="6:6">
      <c r="F717" s="188">
        <v>0</v>
      </c>
    </row>
    <row r="718" spans="6:6">
      <c r="F718" s="188">
        <v>0</v>
      </c>
    </row>
    <row r="719" spans="6:6">
      <c r="F719" s="188">
        <v>0</v>
      </c>
    </row>
    <row r="720" spans="6:6">
      <c r="F720" s="188">
        <v>0</v>
      </c>
    </row>
    <row r="721" spans="6:6">
      <c r="F721" s="188">
        <v>0</v>
      </c>
    </row>
    <row r="722" spans="6:6">
      <c r="F722" s="188">
        <v>0</v>
      </c>
    </row>
    <row r="723" spans="6:6">
      <c r="F723" s="188">
        <v>0</v>
      </c>
    </row>
    <row r="724" spans="6:6">
      <c r="F724" s="188">
        <v>0</v>
      </c>
    </row>
    <row r="725" spans="6:6">
      <c r="F725" s="188">
        <v>0</v>
      </c>
    </row>
    <row r="726" spans="6:6">
      <c r="F726" s="188">
        <v>0</v>
      </c>
    </row>
    <row r="727" spans="6:6">
      <c r="F727" s="188">
        <v>0</v>
      </c>
    </row>
    <row r="728" spans="6:6">
      <c r="F728" s="188">
        <v>0</v>
      </c>
    </row>
    <row r="729" spans="6:6">
      <c r="F729" s="188">
        <v>0</v>
      </c>
    </row>
    <row r="730" spans="6:6">
      <c r="F730" s="188">
        <v>0</v>
      </c>
    </row>
    <row r="731" spans="6:6">
      <c r="F731" s="188">
        <v>0</v>
      </c>
    </row>
    <row r="732" spans="6:6">
      <c r="F732" s="188">
        <v>0</v>
      </c>
    </row>
    <row r="733" spans="6:6">
      <c r="F733" s="188">
        <v>0</v>
      </c>
    </row>
    <row r="734" spans="6:6">
      <c r="F734" s="188">
        <v>0</v>
      </c>
    </row>
    <row r="735" spans="6:6">
      <c r="F735" s="188">
        <v>0</v>
      </c>
    </row>
    <row r="736" spans="6:6">
      <c r="F736" s="188">
        <v>0</v>
      </c>
    </row>
    <row r="737" spans="6:6">
      <c r="F737" s="188">
        <v>0</v>
      </c>
    </row>
    <row r="738" spans="6:6">
      <c r="F738" s="188">
        <v>0</v>
      </c>
    </row>
    <row r="739" spans="6:6">
      <c r="F739" s="188">
        <v>0</v>
      </c>
    </row>
    <row r="740" spans="6:6">
      <c r="F740" s="188">
        <v>0</v>
      </c>
    </row>
    <row r="741" spans="6:6">
      <c r="F741" s="188">
        <v>0</v>
      </c>
    </row>
    <row r="742" spans="6:6">
      <c r="F742" s="188">
        <v>0</v>
      </c>
    </row>
    <row r="743" spans="6:6">
      <c r="F743" s="188">
        <v>0</v>
      </c>
    </row>
    <row r="744" spans="6:6">
      <c r="F744" s="188">
        <v>0</v>
      </c>
    </row>
    <row r="745" spans="6:6">
      <c r="F745" s="188">
        <v>0</v>
      </c>
    </row>
    <row r="746" spans="6:6">
      <c r="F746" s="188">
        <v>0</v>
      </c>
    </row>
    <row r="747" spans="6:6">
      <c r="F747" s="188">
        <v>0</v>
      </c>
    </row>
    <row r="748" spans="6:6">
      <c r="F748" s="188">
        <v>0</v>
      </c>
    </row>
    <row r="749" spans="6:6">
      <c r="F749" s="188">
        <v>0</v>
      </c>
    </row>
    <row r="750" spans="6:6">
      <c r="F750" s="188">
        <v>0</v>
      </c>
    </row>
    <row r="751" spans="6:6">
      <c r="F751" s="188">
        <v>0</v>
      </c>
    </row>
    <row r="752" spans="6:6">
      <c r="F752" s="188">
        <v>0</v>
      </c>
    </row>
    <row r="753" spans="6:6">
      <c r="F753" s="188">
        <v>0</v>
      </c>
    </row>
    <row r="754" spans="6:6">
      <c r="F754" s="188">
        <v>0</v>
      </c>
    </row>
    <row r="755" spans="6:6">
      <c r="F755" s="188">
        <v>0</v>
      </c>
    </row>
    <row r="756" spans="6:6">
      <c r="F756" s="188">
        <v>0</v>
      </c>
    </row>
    <row r="757" spans="6:6">
      <c r="F757" s="188">
        <v>0</v>
      </c>
    </row>
    <row r="758" spans="6:6">
      <c r="F758" s="188">
        <v>0</v>
      </c>
    </row>
    <row r="759" spans="6:6">
      <c r="F759" s="188">
        <v>0</v>
      </c>
    </row>
    <row r="760" spans="6:6">
      <c r="F760" s="188">
        <v>0</v>
      </c>
    </row>
    <row r="761" spans="6:6">
      <c r="F761" s="188">
        <v>0</v>
      </c>
    </row>
    <row r="762" spans="6:6">
      <c r="F762" s="188">
        <v>0</v>
      </c>
    </row>
    <row r="763" spans="6:6">
      <c r="F763" s="188">
        <v>0</v>
      </c>
    </row>
    <row r="764" spans="6:6">
      <c r="F764" s="188">
        <v>0</v>
      </c>
    </row>
    <row r="765" spans="6:6">
      <c r="F765" s="188">
        <v>0</v>
      </c>
    </row>
    <row r="766" spans="6:6">
      <c r="F766" s="188">
        <v>0</v>
      </c>
    </row>
    <row r="767" spans="6:6">
      <c r="F767" s="188">
        <v>0</v>
      </c>
    </row>
    <row r="768" spans="6:6">
      <c r="F768" s="188">
        <v>0</v>
      </c>
    </row>
    <row r="769" spans="6:6">
      <c r="F769" s="188">
        <v>0</v>
      </c>
    </row>
    <row r="770" spans="6:6">
      <c r="F770" s="188">
        <v>0</v>
      </c>
    </row>
    <row r="771" spans="6:6">
      <c r="F771" s="188">
        <v>0</v>
      </c>
    </row>
    <row r="772" spans="6:6">
      <c r="F772" s="188">
        <v>0</v>
      </c>
    </row>
    <row r="773" spans="6:6">
      <c r="F773" s="188">
        <v>0</v>
      </c>
    </row>
    <row r="774" spans="6:6">
      <c r="F774" s="188">
        <v>0</v>
      </c>
    </row>
    <row r="775" spans="6:6">
      <c r="F775" s="188">
        <v>0</v>
      </c>
    </row>
    <row r="776" spans="6:6">
      <c r="F776" s="188">
        <v>0</v>
      </c>
    </row>
    <row r="777" spans="6:6">
      <c r="F777" s="188">
        <v>0</v>
      </c>
    </row>
    <row r="778" spans="6:6">
      <c r="F778" s="188">
        <v>0</v>
      </c>
    </row>
    <row r="779" spans="6:6">
      <c r="F779" s="188">
        <v>0</v>
      </c>
    </row>
    <row r="780" spans="6:6">
      <c r="F780" s="188">
        <v>0</v>
      </c>
    </row>
    <row r="781" spans="6:6">
      <c r="F781" s="188">
        <v>0</v>
      </c>
    </row>
    <row r="782" spans="6:6">
      <c r="F782" s="188">
        <v>0</v>
      </c>
    </row>
    <row r="783" spans="6:6">
      <c r="F783" s="188">
        <v>0</v>
      </c>
    </row>
    <row r="784" spans="6:6">
      <c r="F784" s="188">
        <v>0</v>
      </c>
    </row>
    <row r="785" spans="6:6">
      <c r="F785" s="188">
        <v>0</v>
      </c>
    </row>
    <row r="786" spans="6:6">
      <c r="F786" s="188">
        <v>0</v>
      </c>
    </row>
    <row r="787" spans="6:6">
      <c r="F787" s="188">
        <v>0</v>
      </c>
    </row>
    <row r="788" spans="6:6">
      <c r="F788" s="188">
        <v>0</v>
      </c>
    </row>
    <row r="789" spans="6:6">
      <c r="F789" s="188">
        <v>0</v>
      </c>
    </row>
    <row r="790" spans="6:6">
      <c r="F790" s="188">
        <v>0</v>
      </c>
    </row>
    <row r="791" spans="6:6">
      <c r="F791" s="188">
        <v>0</v>
      </c>
    </row>
    <row r="792" spans="6:6">
      <c r="F792" s="188">
        <v>0</v>
      </c>
    </row>
    <row r="793" spans="6:6">
      <c r="F793" s="188">
        <v>0</v>
      </c>
    </row>
    <row r="794" spans="6:6">
      <c r="F794" s="188">
        <v>0</v>
      </c>
    </row>
    <row r="795" spans="6:6">
      <c r="F795" s="188">
        <v>0</v>
      </c>
    </row>
    <row r="796" spans="6:6">
      <c r="F796" s="188">
        <v>0</v>
      </c>
    </row>
    <row r="797" spans="6:6">
      <c r="F797" s="188">
        <v>0</v>
      </c>
    </row>
    <row r="798" spans="6:6">
      <c r="F798" s="188">
        <v>0</v>
      </c>
    </row>
    <row r="799" spans="6:6">
      <c r="F799" s="188">
        <v>0</v>
      </c>
    </row>
    <row r="800" spans="6:6">
      <c r="F800" s="188">
        <v>0</v>
      </c>
    </row>
    <row r="801" spans="6:6">
      <c r="F801" s="188">
        <v>0</v>
      </c>
    </row>
    <row r="802" spans="6:6">
      <c r="F802" s="188">
        <v>0</v>
      </c>
    </row>
    <row r="803" spans="6:6">
      <c r="F803" s="188">
        <v>0</v>
      </c>
    </row>
    <row r="804" spans="6:6">
      <c r="F804" s="188">
        <v>0</v>
      </c>
    </row>
    <row r="805" spans="6:6">
      <c r="F805" s="188">
        <v>0</v>
      </c>
    </row>
    <row r="806" spans="6:6">
      <c r="F806" s="188">
        <v>0</v>
      </c>
    </row>
    <row r="807" spans="6:6">
      <c r="F807" s="188">
        <v>0</v>
      </c>
    </row>
    <row r="808" spans="6:6">
      <c r="F808" s="188">
        <v>0</v>
      </c>
    </row>
    <row r="809" spans="6:6">
      <c r="F809" s="188">
        <v>0</v>
      </c>
    </row>
    <row r="810" spans="6:6">
      <c r="F810" s="188">
        <v>0</v>
      </c>
    </row>
    <row r="811" spans="6:6">
      <c r="F811" s="188">
        <v>0</v>
      </c>
    </row>
    <row r="812" spans="6:6">
      <c r="F812" s="188">
        <v>0</v>
      </c>
    </row>
    <row r="813" spans="6:6">
      <c r="F813" s="188">
        <v>0</v>
      </c>
    </row>
    <row r="814" spans="6:6">
      <c r="F814" s="188">
        <v>0</v>
      </c>
    </row>
    <row r="815" spans="6:6">
      <c r="F815" s="188">
        <v>0</v>
      </c>
    </row>
    <row r="816" spans="6:6">
      <c r="F816" s="188">
        <v>0</v>
      </c>
    </row>
    <row r="817" spans="6:6">
      <c r="F817" s="188">
        <v>0</v>
      </c>
    </row>
    <row r="818" spans="6:6">
      <c r="F818" s="188">
        <v>0</v>
      </c>
    </row>
    <row r="819" spans="6:6">
      <c r="F819" s="188">
        <v>0</v>
      </c>
    </row>
    <row r="820" spans="6:6">
      <c r="F820" s="188">
        <v>0</v>
      </c>
    </row>
    <row r="821" spans="6:6">
      <c r="F821" s="188">
        <v>0</v>
      </c>
    </row>
    <row r="822" spans="6:6">
      <c r="F822" s="188">
        <v>0</v>
      </c>
    </row>
    <row r="823" spans="6:6">
      <c r="F823" s="188">
        <v>0</v>
      </c>
    </row>
    <row r="824" spans="6:6">
      <c r="F824" s="188">
        <v>0</v>
      </c>
    </row>
    <row r="825" spans="6:6">
      <c r="F825" s="188">
        <v>0</v>
      </c>
    </row>
    <row r="826" spans="6:6">
      <c r="F826" s="188">
        <v>0</v>
      </c>
    </row>
    <row r="827" spans="6:6">
      <c r="F827" s="188">
        <v>0</v>
      </c>
    </row>
    <row r="828" spans="6:6">
      <c r="F828" s="188">
        <v>0</v>
      </c>
    </row>
    <row r="829" spans="6:6">
      <c r="F829" s="188">
        <v>0</v>
      </c>
    </row>
    <row r="830" spans="6:6">
      <c r="F830" s="188">
        <v>0</v>
      </c>
    </row>
    <row r="831" spans="6:6">
      <c r="F831" s="188">
        <v>0</v>
      </c>
    </row>
    <row r="832" spans="6:6">
      <c r="F832" s="188">
        <v>0</v>
      </c>
    </row>
    <row r="833" spans="6:6">
      <c r="F833" s="188">
        <v>0</v>
      </c>
    </row>
    <row r="834" spans="6:6">
      <c r="F834" s="188">
        <v>0</v>
      </c>
    </row>
    <row r="835" spans="6:6">
      <c r="F835" s="188">
        <v>0</v>
      </c>
    </row>
    <row r="836" spans="6:6">
      <c r="F836" s="188">
        <v>0</v>
      </c>
    </row>
    <row r="837" spans="6:6">
      <c r="F837" s="188">
        <v>0</v>
      </c>
    </row>
    <row r="838" spans="6:6">
      <c r="F838" s="188">
        <v>0</v>
      </c>
    </row>
    <row r="839" spans="6:6">
      <c r="F839" s="188">
        <v>0</v>
      </c>
    </row>
    <row r="840" spans="6:6">
      <c r="F840" s="188">
        <v>0</v>
      </c>
    </row>
    <row r="841" spans="6:6">
      <c r="F841" s="188">
        <v>0</v>
      </c>
    </row>
    <row r="842" spans="6:6">
      <c r="F842" s="188">
        <v>0</v>
      </c>
    </row>
    <row r="843" spans="6:6">
      <c r="F843" s="188">
        <v>0</v>
      </c>
    </row>
    <row r="844" spans="6:6">
      <c r="F844" s="188">
        <v>0</v>
      </c>
    </row>
    <row r="845" spans="6:6">
      <c r="F845" s="188">
        <v>0</v>
      </c>
    </row>
    <row r="846" spans="6:6">
      <c r="F846" s="188">
        <v>0</v>
      </c>
    </row>
    <row r="847" spans="6:6">
      <c r="F847" s="188">
        <v>0</v>
      </c>
    </row>
    <row r="848" spans="6:6">
      <c r="F848" s="188">
        <v>0</v>
      </c>
    </row>
    <row r="849" spans="6:6">
      <c r="F849" s="188">
        <v>0</v>
      </c>
    </row>
    <row r="850" spans="6:6">
      <c r="F850" s="188">
        <v>0</v>
      </c>
    </row>
    <row r="851" spans="6:6">
      <c r="F851" s="188">
        <v>0</v>
      </c>
    </row>
    <row r="852" spans="6:6">
      <c r="F852" s="188">
        <v>0</v>
      </c>
    </row>
    <row r="853" spans="6:6">
      <c r="F853" s="188">
        <v>0</v>
      </c>
    </row>
    <row r="854" spans="6:6">
      <c r="F854" s="188">
        <v>0</v>
      </c>
    </row>
    <row r="855" spans="6:6">
      <c r="F855" s="188">
        <v>0</v>
      </c>
    </row>
    <row r="856" spans="6:6">
      <c r="F856" s="188">
        <v>0</v>
      </c>
    </row>
    <row r="857" spans="6:6">
      <c r="F857" s="188">
        <v>0</v>
      </c>
    </row>
    <row r="858" spans="6:6">
      <c r="F858" s="188">
        <v>0</v>
      </c>
    </row>
    <row r="859" spans="6:6">
      <c r="F859" s="188">
        <v>0</v>
      </c>
    </row>
    <row r="860" spans="6:6">
      <c r="F860" s="188">
        <v>0</v>
      </c>
    </row>
    <row r="861" spans="6:6">
      <c r="F861" s="188">
        <v>0</v>
      </c>
    </row>
    <row r="862" spans="6:6">
      <c r="F862" s="188">
        <v>0</v>
      </c>
    </row>
    <row r="863" spans="6:6">
      <c r="F863" s="188">
        <v>0</v>
      </c>
    </row>
    <row r="864" spans="6:6">
      <c r="F864" s="188">
        <v>0</v>
      </c>
    </row>
    <row r="865" spans="6:6">
      <c r="F865" s="188">
        <v>0</v>
      </c>
    </row>
    <row r="866" spans="6:6">
      <c r="F866" s="188">
        <v>0</v>
      </c>
    </row>
    <row r="867" spans="6:6">
      <c r="F867" s="188">
        <v>0</v>
      </c>
    </row>
    <row r="868" spans="6:6">
      <c r="F868" s="188">
        <v>0</v>
      </c>
    </row>
    <row r="869" spans="6:6">
      <c r="F869" s="188">
        <v>0</v>
      </c>
    </row>
    <row r="870" spans="6:6">
      <c r="F870" s="188">
        <v>0</v>
      </c>
    </row>
    <row r="871" spans="6:6">
      <c r="F871" s="188">
        <v>0</v>
      </c>
    </row>
    <row r="872" spans="6:6">
      <c r="F872" s="188">
        <v>0</v>
      </c>
    </row>
    <row r="873" spans="6:6">
      <c r="F873" s="188">
        <v>0</v>
      </c>
    </row>
    <row r="874" spans="6:6">
      <c r="F874" s="188">
        <v>0</v>
      </c>
    </row>
    <row r="875" spans="6:6">
      <c r="F875" s="188">
        <v>0</v>
      </c>
    </row>
    <row r="876" spans="6:6">
      <c r="F876" s="188">
        <v>0</v>
      </c>
    </row>
    <row r="877" spans="6:6">
      <c r="F877" s="188">
        <v>0</v>
      </c>
    </row>
    <row r="878" spans="6:6">
      <c r="F878" s="188">
        <v>0</v>
      </c>
    </row>
    <row r="879" spans="6:6">
      <c r="F879" s="188">
        <v>0</v>
      </c>
    </row>
    <row r="880" spans="6:6">
      <c r="F880" s="188">
        <v>0</v>
      </c>
    </row>
    <row r="881" spans="6:6">
      <c r="F881" s="188">
        <v>0</v>
      </c>
    </row>
    <row r="882" spans="6:6">
      <c r="F882" s="188">
        <v>0</v>
      </c>
    </row>
    <row r="883" spans="6:6">
      <c r="F883" s="188">
        <v>0</v>
      </c>
    </row>
    <row r="884" spans="6:6">
      <c r="F884" s="188">
        <v>0</v>
      </c>
    </row>
    <row r="885" spans="6:6">
      <c r="F885" s="188">
        <v>0</v>
      </c>
    </row>
    <row r="886" spans="6:6">
      <c r="F886" s="188">
        <v>0</v>
      </c>
    </row>
    <row r="887" spans="6:6">
      <c r="F887" s="188">
        <v>0</v>
      </c>
    </row>
    <row r="888" spans="6:6">
      <c r="F888" s="188">
        <v>0</v>
      </c>
    </row>
    <row r="889" spans="6:6">
      <c r="F889" s="188">
        <v>0</v>
      </c>
    </row>
    <row r="890" spans="6:6">
      <c r="F890" s="188">
        <v>0</v>
      </c>
    </row>
    <row r="891" spans="6:6">
      <c r="F891" s="188">
        <v>0</v>
      </c>
    </row>
    <row r="892" spans="6:6">
      <c r="F892" s="188">
        <v>0</v>
      </c>
    </row>
    <row r="893" spans="6:6">
      <c r="F893" s="188">
        <v>0</v>
      </c>
    </row>
    <row r="894" spans="6:6">
      <c r="F894" s="188">
        <v>0</v>
      </c>
    </row>
    <row r="895" spans="6:6">
      <c r="F895" s="188">
        <v>0</v>
      </c>
    </row>
    <row r="896" spans="6:6">
      <c r="F896" s="188">
        <v>0</v>
      </c>
    </row>
    <row r="897" spans="6:6">
      <c r="F897" s="188">
        <v>0</v>
      </c>
    </row>
    <row r="898" spans="6:6">
      <c r="F898" s="188">
        <v>0</v>
      </c>
    </row>
    <row r="899" spans="6:6">
      <c r="F899" s="188">
        <v>0</v>
      </c>
    </row>
    <row r="900" spans="6:6">
      <c r="F900" s="188">
        <v>0</v>
      </c>
    </row>
    <row r="901" spans="6:6">
      <c r="F901" s="188">
        <v>0</v>
      </c>
    </row>
    <row r="902" spans="6:6">
      <c r="F902" s="188">
        <v>0</v>
      </c>
    </row>
    <row r="903" spans="6:6">
      <c r="F903" s="188">
        <v>0</v>
      </c>
    </row>
    <row r="904" spans="6:6">
      <c r="F904" s="188">
        <v>0</v>
      </c>
    </row>
    <row r="905" spans="6:6">
      <c r="F905" s="188">
        <v>0</v>
      </c>
    </row>
    <row r="906" spans="6:6">
      <c r="F906" s="188">
        <v>0</v>
      </c>
    </row>
    <row r="907" spans="6:6">
      <c r="F907" s="188">
        <v>0</v>
      </c>
    </row>
    <row r="908" spans="6:6">
      <c r="F908" s="188">
        <v>0</v>
      </c>
    </row>
    <row r="909" spans="6:6">
      <c r="F909" s="188">
        <v>0</v>
      </c>
    </row>
    <row r="910" spans="6:6">
      <c r="F910" s="188">
        <v>0</v>
      </c>
    </row>
    <row r="911" spans="6:6">
      <c r="F911" s="188">
        <v>0</v>
      </c>
    </row>
    <row r="912" spans="6:6">
      <c r="F912" s="188">
        <v>0</v>
      </c>
    </row>
    <row r="913" spans="6:6">
      <c r="F913" s="188">
        <v>0</v>
      </c>
    </row>
    <row r="914" spans="6:6">
      <c r="F914" s="188">
        <v>0</v>
      </c>
    </row>
    <row r="915" spans="6:6">
      <c r="F915" s="188">
        <v>0</v>
      </c>
    </row>
    <row r="916" spans="6:6">
      <c r="F916" s="188">
        <v>0</v>
      </c>
    </row>
    <row r="917" spans="6:6">
      <c r="F917" s="188">
        <v>0</v>
      </c>
    </row>
    <row r="918" spans="6:6">
      <c r="F918" s="188">
        <v>0</v>
      </c>
    </row>
    <row r="919" spans="6:6">
      <c r="F919" s="188">
        <v>0</v>
      </c>
    </row>
    <row r="920" spans="6:6">
      <c r="F920" s="188">
        <v>0</v>
      </c>
    </row>
    <row r="921" spans="6:6">
      <c r="F921" s="188">
        <v>0</v>
      </c>
    </row>
    <row r="922" spans="6:6">
      <c r="F922" s="188">
        <v>0</v>
      </c>
    </row>
    <row r="923" spans="6:6">
      <c r="F923" s="188">
        <v>0</v>
      </c>
    </row>
    <row r="924" spans="6:6">
      <c r="F924" s="188">
        <v>0</v>
      </c>
    </row>
    <row r="925" spans="6:6">
      <c r="F925" s="188">
        <v>0</v>
      </c>
    </row>
    <row r="926" spans="6:6">
      <c r="F926" s="188">
        <v>0</v>
      </c>
    </row>
    <row r="927" spans="6:6">
      <c r="F927" s="188">
        <v>0</v>
      </c>
    </row>
    <row r="928" spans="6:6">
      <c r="F928" s="188">
        <v>0</v>
      </c>
    </row>
    <row r="929" spans="6:6">
      <c r="F929" s="188">
        <v>0</v>
      </c>
    </row>
    <row r="930" spans="6:6">
      <c r="F930" s="188">
        <v>0</v>
      </c>
    </row>
    <row r="931" spans="6:6">
      <c r="F931" s="188">
        <v>0</v>
      </c>
    </row>
    <row r="932" spans="6:6">
      <c r="F932" s="188">
        <v>0</v>
      </c>
    </row>
    <row r="933" spans="6:6">
      <c r="F933" s="188">
        <v>0</v>
      </c>
    </row>
    <row r="934" spans="6:6">
      <c r="F934" s="188">
        <v>0</v>
      </c>
    </row>
    <row r="935" spans="6:6">
      <c r="F935" s="188">
        <v>0</v>
      </c>
    </row>
    <row r="936" spans="6:6">
      <c r="F936" s="188">
        <v>0</v>
      </c>
    </row>
    <row r="937" spans="6:6">
      <c r="F937" s="188">
        <v>0</v>
      </c>
    </row>
    <row r="938" spans="6:6">
      <c r="F938" s="188">
        <v>0</v>
      </c>
    </row>
    <row r="939" spans="6:6">
      <c r="F939" s="188">
        <v>0</v>
      </c>
    </row>
    <row r="940" spans="6:6">
      <c r="F940" s="188">
        <v>0</v>
      </c>
    </row>
    <row r="941" spans="6:6">
      <c r="F941" s="188">
        <v>0</v>
      </c>
    </row>
    <row r="942" spans="6:6">
      <c r="F942" s="188">
        <v>0</v>
      </c>
    </row>
    <row r="943" spans="6:6">
      <c r="F943" s="188">
        <v>0</v>
      </c>
    </row>
    <row r="944" spans="6:6">
      <c r="F944" s="188">
        <v>0</v>
      </c>
    </row>
    <row r="945" spans="6:6">
      <c r="F945" s="188">
        <v>0</v>
      </c>
    </row>
    <row r="946" spans="6:6">
      <c r="F946" s="188">
        <v>0</v>
      </c>
    </row>
    <row r="947" spans="6:6">
      <c r="F947" s="188">
        <v>0</v>
      </c>
    </row>
    <row r="948" spans="6:6">
      <c r="F948" s="188">
        <v>0</v>
      </c>
    </row>
    <row r="949" spans="6:6">
      <c r="F949" s="188">
        <v>0</v>
      </c>
    </row>
    <row r="950" spans="6:6">
      <c r="F950" s="188">
        <v>0</v>
      </c>
    </row>
    <row r="951" spans="6:6">
      <c r="F951" s="188">
        <v>0</v>
      </c>
    </row>
    <row r="952" spans="6:6">
      <c r="F952" s="188">
        <v>0</v>
      </c>
    </row>
    <row r="953" spans="6:6">
      <c r="F953" s="188">
        <v>0</v>
      </c>
    </row>
    <row r="954" spans="6:6">
      <c r="F954" s="188">
        <v>0</v>
      </c>
    </row>
    <row r="955" spans="6:6">
      <c r="F955" s="188">
        <v>0</v>
      </c>
    </row>
    <row r="956" spans="6:6">
      <c r="F956" s="188">
        <v>0</v>
      </c>
    </row>
    <row r="957" spans="6:6">
      <c r="F957" s="188">
        <v>0</v>
      </c>
    </row>
    <row r="958" spans="6:6">
      <c r="F958" s="188">
        <v>0</v>
      </c>
    </row>
    <row r="959" spans="6:6">
      <c r="F959" s="188">
        <v>0</v>
      </c>
    </row>
    <row r="960" spans="6:6">
      <c r="F960" s="188">
        <v>0</v>
      </c>
    </row>
    <row r="961" spans="6:6">
      <c r="F961" s="188">
        <v>0</v>
      </c>
    </row>
    <row r="962" spans="6:6">
      <c r="F962" s="188">
        <v>0</v>
      </c>
    </row>
    <row r="963" spans="6:6">
      <c r="F963" s="188">
        <v>0</v>
      </c>
    </row>
    <row r="964" spans="6:6">
      <c r="F964" s="188">
        <v>0</v>
      </c>
    </row>
    <row r="965" spans="6:6">
      <c r="F965" s="188">
        <v>0</v>
      </c>
    </row>
    <row r="966" spans="6:6">
      <c r="F966" s="188">
        <v>0</v>
      </c>
    </row>
    <row r="967" spans="6:6">
      <c r="F967" s="188">
        <v>0</v>
      </c>
    </row>
    <row r="968" spans="6:6">
      <c r="F968" s="188">
        <v>0</v>
      </c>
    </row>
    <row r="969" spans="6:6">
      <c r="F969" s="188">
        <v>0</v>
      </c>
    </row>
    <row r="970" spans="6:6">
      <c r="F970" s="188">
        <v>0</v>
      </c>
    </row>
    <row r="971" spans="6:6">
      <c r="F971" s="188">
        <v>0</v>
      </c>
    </row>
    <row r="972" spans="6:6">
      <c r="F972" s="188">
        <v>0</v>
      </c>
    </row>
    <row r="973" spans="6:6">
      <c r="F973" s="188">
        <v>0</v>
      </c>
    </row>
    <row r="974" spans="6:6">
      <c r="F974" s="188">
        <v>0</v>
      </c>
    </row>
    <row r="975" spans="6:6">
      <c r="F975" s="188">
        <v>0</v>
      </c>
    </row>
    <row r="976" spans="6:6">
      <c r="F976" s="188">
        <v>0</v>
      </c>
    </row>
    <row r="977" spans="6:6">
      <c r="F977" s="188">
        <v>0</v>
      </c>
    </row>
    <row r="978" spans="6:6">
      <c r="F978" s="188">
        <v>0</v>
      </c>
    </row>
    <row r="979" spans="6:6">
      <c r="F979" s="188">
        <v>0</v>
      </c>
    </row>
    <row r="980" spans="6:6">
      <c r="F980" s="188">
        <v>0</v>
      </c>
    </row>
    <row r="981" spans="6:6">
      <c r="F981" s="188">
        <v>0</v>
      </c>
    </row>
    <row r="982" spans="6:6">
      <c r="F982" s="188">
        <v>0</v>
      </c>
    </row>
    <row r="983" spans="6:6">
      <c r="F983" s="188">
        <v>0</v>
      </c>
    </row>
    <row r="984" spans="6:6">
      <c r="F984" s="188">
        <v>0</v>
      </c>
    </row>
    <row r="985" spans="6:6">
      <c r="F985" s="188">
        <v>0</v>
      </c>
    </row>
    <row r="986" spans="6:6">
      <c r="F986" s="188">
        <v>0</v>
      </c>
    </row>
    <row r="987" spans="6:6">
      <c r="F987" s="188">
        <v>0</v>
      </c>
    </row>
    <row r="988" spans="6:6">
      <c r="F988" s="188">
        <v>0</v>
      </c>
    </row>
    <row r="989" spans="6:6">
      <c r="F989" s="188">
        <v>0</v>
      </c>
    </row>
    <row r="990" spans="6:6">
      <c r="F990" s="188">
        <v>0</v>
      </c>
    </row>
    <row r="991" spans="6:6">
      <c r="F991" s="188">
        <v>0</v>
      </c>
    </row>
    <row r="992" spans="6:6">
      <c r="F992" s="188">
        <v>0</v>
      </c>
    </row>
    <row r="993" spans="6:6">
      <c r="F993" s="188">
        <v>0</v>
      </c>
    </row>
    <row r="994" spans="6:6">
      <c r="F994" s="188">
        <v>0</v>
      </c>
    </row>
    <row r="995" spans="6:6">
      <c r="F995" s="188">
        <v>0</v>
      </c>
    </row>
    <row r="996" spans="6:6">
      <c r="F996" s="188">
        <v>0</v>
      </c>
    </row>
    <row r="997" spans="6:6">
      <c r="F997" s="188">
        <v>0</v>
      </c>
    </row>
    <row r="998" spans="6:6">
      <c r="F998" s="188">
        <v>0</v>
      </c>
    </row>
    <row r="999" spans="6:6">
      <c r="F999" s="188">
        <v>0</v>
      </c>
    </row>
    <row r="1000" spans="6:6">
      <c r="F1000" s="188">
        <v>0</v>
      </c>
    </row>
    <row r="1001" spans="6:6">
      <c r="F1001" s="188">
        <v>0</v>
      </c>
    </row>
    <row r="1002" spans="6:6">
      <c r="F1002" s="188">
        <v>0</v>
      </c>
    </row>
    <row r="1003" spans="6:6">
      <c r="F1003" s="188">
        <v>0</v>
      </c>
    </row>
    <row r="1004" spans="6:6">
      <c r="F1004" s="188">
        <v>0</v>
      </c>
    </row>
    <row r="1005" spans="6:6">
      <c r="F1005" s="188">
        <v>0</v>
      </c>
    </row>
    <row r="1006" spans="6:6">
      <c r="F1006" s="188">
        <v>0</v>
      </c>
    </row>
    <row r="1007" spans="6:6">
      <c r="F1007" s="188">
        <v>0</v>
      </c>
    </row>
    <row r="1008" spans="6:6">
      <c r="F1008" s="188">
        <v>0</v>
      </c>
    </row>
    <row r="1009" spans="6:6">
      <c r="F1009" s="188">
        <v>0</v>
      </c>
    </row>
    <row r="1010" spans="6:6">
      <c r="F1010" s="188">
        <v>0</v>
      </c>
    </row>
    <row r="1011" spans="6:6">
      <c r="F1011" s="188">
        <v>0</v>
      </c>
    </row>
    <row r="1012" spans="6:6">
      <c r="F1012" s="188">
        <v>0</v>
      </c>
    </row>
    <row r="1013" spans="6:6">
      <c r="F1013" s="188">
        <v>0</v>
      </c>
    </row>
    <row r="1014" spans="6:6">
      <c r="F1014" s="188">
        <v>0</v>
      </c>
    </row>
    <row r="1015" spans="6:6">
      <c r="F1015" s="188">
        <v>0</v>
      </c>
    </row>
    <row r="1016" spans="6:6">
      <c r="F1016" s="188">
        <v>0</v>
      </c>
    </row>
    <row r="1017" spans="6:6">
      <c r="F1017" s="188">
        <v>0</v>
      </c>
    </row>
    <row r="1018" spans="6:6">
      <c r="F1018" s="188">
        <v>0</v>
      </c>
    </row>
    <row r="1019" spans="6:6">
      <c r="F1019" s="188">
        <v>0</v>
      </c>
    </row>
    <row r="1020" spans="6:6">
      <c r="F1020" s="188">
        <v>0</v>
      </c>
    </row>
    <row r="1021" spans="6:6">
      <c r="F1021" s="188">
        <v>0</v>
      </c>
    </row>
    <row r="1022" spans="6:6">
      <c r="F1022" s="188">
        <v>0</v>
      </c>
    </row>
    <row r="1023" spans="6:6">
      <c r="F1023" s="188">
        <v>0</v>
      </c>
    </row>
    <row r="1024" spans="6:6">
      <c r="F1024" s="188">
        <v>0</v>
      </c>
    </row>
    <row r="1025" spans="6:6">
      <c r="F1025" s="188">
        <v>0</v>
      </c>
    </row>
    <row r="1026" spans="6:6">
      <c r="F1026" s="188">
        <v>0</v>
      </c>
    </row>
    <row r="1027" spans="6:6">
      <c r="F1027" s="188">
        <v>0</v>
      </c>
    </row>
    <row r="1028" spans="6:6">
      <c r="F1028" s="188">
        <v>0</v>
      </c>
    </row>
    <row r="1029" spans="6:6">
      <c r="F1029" s="188">
        <v>0</v>
      </c>
    </row>
    <row r="1030" spans="6:6">
      <c r="F1030" s="188">
        <v>0</v>
      </c>
    </row>
    <row r="1031" spans="6:6">
      <c r="F1031" s="188">
        <v>0</v>
      </c>
    </row>
    <row r="1032" spans="6:6">
      <c r="F1032" s="188">
        <v>0</v>
      </c>
    </row>
    <row r="1033" spans="6:6">
      <c r="F1033" s="188">
        <v>0</v>
      </c>
    </row>
    <row r="1034" spans="6:6">
      <c r="F1034" s="188">
        <v>0</v>
      </c>
    </row>
    <row r="1035" spans="6:6">
      <c r="F1035" s="188">
        <v>0</v>
      </c>
    </row>
    <row r="1036" spans="6:6">
      <c r="F1036" s="188">
        <v>0</v>
      </c>
    </row>
    <row r="1037" spans="6:6">
      <c r="F1037" s="188">
        <v>0</v>
      </c>
    </row>
    <row r="1038" spans="6:6">
      <c r="F1038" s="188">
        <v>0</v>
      </c>
    </row>
    <row r="1039" spans="6:6">
      <c r="F1039" s="188">
        <v>0</v>
      </c>
    </row>
    <row r="1040" spans="6:6">
      <c r="F1040" s="188">
        <v>0</v>
      </c>
    </row>
    <row r="1041" spans="6:6">
      <c r="F1041" s="188">
        <v>0</v>
      </c>
    </row>
    <row r="1042" spans="6:6">
      <c r="F1042" s="188">
        <v>0</v>
      </c>
    </row>
    <row r="1043" spans="6:6">
      <c r="F1043" s="188">
        <v>0</v>
      </c>
    </row>
    <row r="1044" spans="6:6">
      <c r="F1044" s="188">
        <v>0</v>
      </c>
    </row>
    <row r="1045" spans="6:6">
      <c r="F1045" s="188">
        <v>0</v>
      </c>
    </row>
    <row r="1046" spans="6:6">
      <c r="F1046" s="188">
        <v>0</v>
      </c>
    </row>
    <row r="1047" spans="6:6">
      <c r="F1047" s="188">
        <v>0</v>
      </c>
    </row>
    <row r="1048" spans="6:6">
      <c r="F1048" s="188">
        <v>0</v>
      </c>
    </row>
    <row r="1049" spans="6:6">
      <c r="F1049" s="188">
        <v>0</v>
      </c>
    </row>
    <row r="1050" spans="6:6">
      <c r="F1050" s="188">
        <v>0</v>
      </c>
    </row>
    <row r="1051" spans="6:6">
      <c r="F1051" s="188">
        <v>0</v>
      </c>
    </row>
    <row r="1052" spans="6:6">
      <c r="F1052" s="188">
        <v>0</v>
      </c>
    </row>
    <row r="1053" spans="6:6">
      <c r="F1053" s="188">
        <v>0</v>
      </c>
    </row>
    <row r="1054" spans="6:6">
      <c r="F1054" s="188">
        <v>0</v>
      </c>
    </row>
    <row r="1055" spans="6:6">
      <c r="F1055" s="188">
        <v>0</v>
      </c>
    </row>
    <row r="1056" spans="6:6">
      <c r="F1056" s="188">
        <v>0</v>
      </c>
    </row>
    <row r="1057" spans="6:6">
      <c r="F1057" s="188">
        <v>0</v>
      </c>
    </row>
    <row r="1058" spans="6:6">
      <c r="F1058" s="188">
        <v>0</v>
      </c>
    </row>
    <row r="1059" spans="6:6">
      <c r="F1059" s="188">
        <v>0</v>
      </c>
    </row>
    <row r="1060" spans="6:6">
      <c r="F1060" s="188">
        <v>0</v>
      </c>
    </row>
    <row r="1061" spans="6:6">
      <c r="F1061" s="188">
        <v>0</v>
      </c>
    </row>
    <row r="1062" spans="6:6">
      <c r="F1062" s="188">
        <v>0</v>
      </c>
    </row>
    <row r="1063" spans="6:6">
      <c r="F1063" s="188">
        <v>0</v>
      </c>
    </row>
    <row r="1064" spans="6:6">
      <c r="F1064" s="188">
        <v>0</v>
      </c>
    </row>
    <row r="1065" spans="6:6">
      <c r="F1065" s="188">
        <v>0</v>
      </c>
    </row>
    <row r="1066" spans="6:6">
      <c r="F1066" s="188">
        <v>0</v>
      </c>
    </row>
    <row r="1067" spans="6:6">
      <c r="F1067" s="188">
        <v>0</v>
      </c>
    </row>
    <row r="1068" spans="6:6">
      <c r="F1068" s="188">
        <v>0</v>
      </c>
    </row>
    <row r="1069" spans="6:6">
      <c r="F1069" s="188">
        <v>0</v>
      </c>
    </row>
    <row r="1070" spans="6:6">
      <c r="F1070" s="188">
        <v>0</v>
      </c>
    </row>
    <row r="1071" spans="6:6">
      <c r="F1071" s="188">
        <v>0</v>
      </c>
    </row>
    <row r="1072" spans="6:6">
      <c r="F1072" s="188">
        <v>0</v>
      </c>
    </row>
    <row r="1073" spans="6:6">
      <c r="F1073" s="188">
        <v>0</v>
      </c>
    </row>
    <row r="1074" spans="6:6">
      <c r="F1074" s="188">
        <v>0</v>
      </c>
    </row>
    <row r="1075" spans="6:6">
      <c r="F1075" s="188">
        <v>0</v>
      </c>
    </row>
    <row r="1076" spans="6:6">
      <c r="F1076" s="188">
        <v>0</v>
      </c>
    </row>
    <row r="1077" spans="6:6">
      <c r="F1077" s="188">
        <v>0</v>
      </c>
    </row>
    <row r="1078" spans="6:6">
      <c r="F1078" s="188">
        <v>0</v>
      </c>
    </row>
    <row r="1079" spans="6:6">
      <c r="F1079" s="188">
        <v>0</v>
      </c>
    </row>
    <row r="1080" spans="6:6">
      <c r="F1080" s="188">
        <v>0</v>
      </c>
    </row>
    <row r="1081" spans="6:6">
      <c r="F1081" s="188">
        <v>0</v>
      </c>
    </row>
    <row r="1082" spans="6:6">
      <c r="F1082" s="188">
        <v>0</v>
      </c>
    </row>
    <row r="1083" spans="6:6">
      <c r="F1083" s="188">
        <v>0</v>
      </c>
    </row>
    <row r="1084" spans="6:6">
      <c r="F1084" s="188">
        <v>0</v>
      </c>
    </row>
    <row r="1085" spans="6:6">
      <c r="F1085" s="188">
        <v>0</v>
      </c>
    </row>
    <row r="1086" spans="6:6">
      <c r="F1086" s="188">
        <v>0</v>
      </c>
    </row>
    <row r="1087" spans="6:6">
      <c r="F1087" s="188">
        <v>0</v>
      </c>
    </row>
    <row r="1088" spans="6:6">
      <c r="F1088" s="188">
        <v>0</v>
      </c>
    </row>
    <row r="1089" spans="6:6">
      <c r="F1089" s="188">
        <v>0</v>
      </c>
    </row>
    <row r="1090" spans="6:6">
      <c r="F1090" s="188">
        <v>0</v>
      </c>
    </row>
    <row r="1091" spans="6:6">
      <c r="F1091" s="188">
        <v>0</v>
      </c>
    </row>
    <row r="1092" spans="6:6">
      <c r="F1092" s="188">
        <v>0</v>
      </c>
    </row>
    <row r="1093" spans="6:6">
      <c r="F1093" s="188">
        <v>0</v>
      </c>
    </row>
    <row r="1094" spans="6:6">
      <c r="F1094" s="188">
        <v>0</v>
      </c>
    </row>
    <row r="1095" spans="6:6">
      <c r="F1095" s="188">
        <v>0</v>
      </c>
    </row>
    <row r="1096" spans="6:6">
      <c r="F1096" s="188">
        <v>0</v>
      </c>
    </row>
    <row r="1097" spans="6:6">
      <c r="F1097" s="188">
        <v>0</v>
      </c>
    </row>
    <row r="1098" spans="6:6">
      <c r="F1098" s="188">
        <v>0</v>
      </c>
    </row>
    <row r="1099" spans="6:6">
      <c r="F1099" s="188">
        <v>0</v>
      </c>
    </row>
    <row r="1100" spans="6:6">
      <c r="F1100" s="188">
        <v>0</v>
      </c>
    </row>
    <row r="1101" spans="6:6">
      <c r="F1101" s="188">
        <v>0</v>
      </c>
    </row>
    <row r="1102" spans="6:6">
      <c r="F1102" s="188">
        <v>0</v>
      </c>
    </row>
    <row r="1103" spans="6:6">
      <c r="F1103" s="188">
        <v>0</v>
      </c>
    </row>
    <row r="1104" spans="6:6">
      <c r="F1104" s="188">
        <v>0</v>
      </c>
    </row>
    <row r="1105" spans="6:6">
      <c r="F1105" s="188">
        <v>0</v>
      </c>
    </row>
    <row r="1106" spans="6:6">
      <c r="F1106" s="188">
        <v>0</v>
      </c>
    </row>
    <row r="1107" spans="6:6">
      <c r="F1107" s="188">
        <v>0</v>
      </c>
    </row>
    <row r="1108" spans="6:6">
      <c r="F1108" s="188">
        <v>0</v>
      </c>
    </row>
    <row r="1109" spans="6:6">
      <c r="F1109" s="188">
        <v>0</v>
      </c>
    </row>
    <row r="1110" spans="6:6">
      <c r="F1110" s="188">
        <v>0</v>
      </c>
    </row>
    <row r="1111" spans="6:6">
      <c r="F1111" s="188">
        <v>0</v>
      </c>
    </row>
    <row r="1112" spans="6:6">
      <c r="F1112" s="188">
        <v>0</v>
      </c>
    </row>
    <row r="1113" spans="6:6">
      <c r="F1113" s="188">
        <v>0</v>
      </c>
    </row>
    <row r="1114" spans="6:6">
      <c r="F1114" s="188">
        <v>0</v>
      </c>
    </row>
    <row r="1115" spans="6:6">
      <c r="F1115" s="188">
        <v>0</v>
      </c>
    </row>
    <row r="1116" spans="6:6">
      <c r="F1116" s="188">
        <v>0</v>
      </c>
    </row>
    <row r="1117" spans="6:6">
      <c r="F1117" s="188">
        <v>0</v>
      </c>
    </row>
    <row r="1118" spans="6:6">
      <c r="F1118" s="188">
        <v>0</v>
      </c>
    </row>
    <row r="1119" spans="6:6">
      <c r="F1119" s="188">
        <v>0</v>
      </c>
    </row>
    <row r="1120" spans="6:6">
      <c r="F1120" s="188">
        <v>0</v>
      </c>
    </row>
    <row r="1121" spans="6:6">
      <c r="F1121" s="188">
        <v>0</v>
      </c>
    </row>
    <row r="1122" spans="6:6">
      <c r="F1122" s="188">
        <v>0</v>
      </c>
    </row>
    <row r="1123" spans="6:6">
      <c r="F1123" s="188">
        <v>0</v>
      </c>
    </row>
    <row r="1124" spans="6:6">
      <c r="F1124" s="188">
        <v>0</v>
      </c>
    </row>
    <row r="1125" spans="6:6">
      <c r="F1125" s="188">
        <v>0</v>
      </c>
    </row>
    <row r="1126" spans="6:6">
      <c r="F1126" s="188">
        <v>0</v>
      </c>
    </row>
    <row r="1127" spans="6:6">
      <c r="F1127" s="188">
        <v>0</v>
      </c>
    </row>
    <row r="1128" spans="6:6">
      <c r="F1128" s="188">
        <v>0</v>
      </c>
    </row>
    <row r="1129" spans="6:6">
      <c r="F1129" s="188">
        <v>0</v>
      </c>
    </row>
    <row r="1130" spans="6:6">
      <c r="F1130" s="188">
        <v>0</v>
      </c>
    </row>
    <row r="1131" spans="6:6">
      <c r="F1131" s="188">
        <v>0</v>
      </c>
    </row>
    <row r="1132" spans="6:6">
      <c r="F1132" s="188">
        <v>0</v>
      </c>
    </row>
    <row r="1133" spans="6:6">
      <c r="F1133" s="188">
        <v>0</v>
      </c>
    </row>
    <row r="1134" spans="6:6">
      <c r="F1134" s="188">
        <v>0</v>
      </c>
    </row>
    <row r="1135" spans="6:6">
      <c r="F1135" s="188">
        <v>0</v>
      </c>
    </row>
    <row r="1136" spans="6:6">
      <c r="F1136" s="188">
        <v>0</v>
      </c>
    </row>
    <row r="1137" spans="6:6">
      <c r="F1137" s="188">
        <v>0</v>
      </c>
    </row>
    <row r="1138" spans="6:6">
      <c r="F1138" s="188">
        <v>0</v>
      </c>
    </row>
    <row r="1139" spans="6:6">
      <c r="F1139" s="188">
        <v>0</v>
      </c>
    </row>
    <row r="1140" spans="6:6">
      <c r="F1140" s="188">
        <v>0</v>
      </c>
    </row>
    <row r="1141" spans="6:6">
      <c r="F1141" s="188">
        <v>0</v>
      </c>
    </row>
    <row r="1142" spans="6:6">
      <c r="F1142" s="188">
        <v>0</v>
      </c>
    </row>
    <row r="1143" spans="6:6">
      <c r="F1143" s="188">
        <v>0</v>
      </c>
    </row>
    <row r="1144" spans="6:6">
      <c r="F1144" s="188">
        <v>0</v>
      </c>
    </row>
    <row r="1145" spans="6:6">
      <c r="F1145" s="188">
        <v>0</v>
      </c>
    </row>
    <row r="1146" spans="6:6">
      <c r="F1146" s="188">
        <v>0</v>
      </c>
    </row>
    <row r="1147" spans="6:6">
      <c r="F1147" s="188">
        <v>0</v>
      </c>
    </row>
    <row r="1148" spans="6:6">
      <c r="F1148" s="188">
        <v>0</v>
      </c>
    </row>
    <row r="1149" spans="6:6">
      <c r="F1149" s="188">
        <v>0</v>
      </c>
    </row>
    <row r="1150" spans="6:6">
      <c r="F1150" s="188">
        <v>0</v>
      </c>
    </row>
    <row r="1151" spans="6:6">
      <c r="F1151" s="188">
        <v>0</v>
      </c>
    </row>
    <row r="1152" spans="6:6">
      <c r="F1152" s="188">
        <v>0</v>
      </c>
    </row>
    <row r="1153" spans="6:6">
      <c r="F1153" s="188">
        <v>0</v>
      </c>
    </row>
    <row r="1154" spans="6:6">
      <c r="F1154" s="188">
        <v>0</v>
      </c>
    </row>
    <row r="1155" spans="6:6">
      <c r="F1155" s="188">
        <v>0</v>
      </c>
    </row>
    <row r="1156" spans="6:6">
      <c r="F1156" s="188">
        <v>0</v>
      </c>
    </row>
    <row r="1157" spans="6:6">
      <c r="F1157" s="188">
        <v>0</v>
      </c>
    </row>
    <row r="1158" spans="6:6">
      <c r="F1158" s="188">
        <v>0</v>
      </c>
    </row>
    <row r="1159" spans="6:6">
      <c r="F1159" s="188">
        <v>0</v>
      </c>
    </row>
    <row r="1160" spans="6:6">
      <c r="F1160" s="188">
        <v>0</v>
      </c>
    </row>
    <row r="1161" spans="6:6">
      <c r="F1161" s="188">
        <v>0</v>
      </c>
    </row>
    <row r="1162" spans="6:6">
      <c r="F1162" s="188">
        <v>0</v>
      </c>
    </row>
    <row r="1163" spans="6:6">
      <c r="F1163" s="188">
        <v>0</v>
      </c>
    </row>
    <row r="1164" spans="6:6">
      <c r="F1164" s="188">
        <v>0</v>
      </c>
    </row>
    <row r="1165" spans="6:6">
      <c r="F1165" s="188">
        <v>0</v>
      </c>
    </row>
    <row r="1166" spans="6:6">
      <c r="F1166" s="188">
        <v>0</v>
      </c>
    </row>
    <row r="1167" spans="6:6">
      <c r="F1167" s="188">
        <v>0</v>
      </c>
    </row>
    <row r="1168" spans="6:6">
      <c r="F1168" s="188">
        <v>0</v>
      </c>
    </row>
    <row r="1169" spans="6:6">
      <c r="F1169" s="188">
        <v>0</v>
      </c>
    </row>
    <row r="1170" spans="6:6">
      <c r="F1170" s="188">
        <v>0</v>
      </c>
    </row>
    <row r="1171" spans="6:6">
      <c r="F1171" s="188">
        <v>0</v>
      </c>
    </row>
    <row r="1172" spans="6:6">
      <c r="F1172" s="188">
        <v>0</v>
      </c>
    </row>
    <row r="1173" spans="6:6">
      <c r="F1173" s="188">
        <v>0</v>
      </c>
    </row>
    <row r="1174" spans="6:6">
      <c r="F1174" s="188">
        <v>0</v>
      </c>
    </row>
    <row r="1175" spans="6:6">
      <c r="F1175" s="188">
        <v>0</v>
      </c>
    </row>
    <row r="1176" spans="6:6">
      <c r="F1176" s="188">
        <v>0</v>
      </c>
    </row>
    <row r="1177" spans="6:6">
      <c r="F1177" s="188">
        <v>0</v>
      </c>
    </row>
    <row r="1178" spans="6:6">
      <c r="F1178" s="188">
        <v>0</v>
      </c>
    </row>
    <row r="1179" spans="6:6">
      <c r="F1179" s="188">
        <v>0</v>
      </c>
    </row>
    <row r="1180" spans="6:6">
      <c r="F1180" s="188">
        <v>0</v>
      </c>
    </row>
    <row r="1181" spans="6:6">
      <c r="F1181" s="188">
        <v>0</v>
      </c>
    </row>
    <row r="1182" spans="6:6">
      <c r="F1182" s="188">
        <v>0</v>
      </c>
    </row>
    <row r="1183" spans="6:6">
      <c r="F1183" s="188">
        <v>0</v>
      </c>
    </row>
    <row r="1184" spans="6:6">
      <c r="F1184" s="188">
        <v>0</v>
      </c>
    </row>
    <row r="1185" spans="6:6">
      <c r="F1185" s="188">
        <v>0</v>
      </c>
    </row>
    <row r="1186" spans="6:6">
      <c r="F1186" s="188">
        <v>0</v>
      </c>
    </row>
    <row r="1187" spans="6:6">
      <c r="F1187" s="188">
        <v>0</v>
      </c>
    </row>
    <row r="1188" spans="6:6">
      <c r="F1188" s="188">
        <v>0</v>
      </c>
    </row>
    <row r="1189" spans="6:6">
      <c r="F1189" s="188">
        <v>0</v>
      </c>
    </row>
    <row r="1190" spans="6:6">
      <c r="F1190" s="188">
        <v>0</v>
      </c>
    </row>
    <row r="1191" spans="6:6">
      <c r="F1191" s="188">
        <v>0</v>
      </c>
    </row>
    <row r="1192" spans="6:6">
      <c r="F1192" s="188">
        <v>0</v>
      </c>
    </row>
    <row r="1193" spans="6:6">
      <c r="F1193" s="188">
        <v>0</v>
      </c>
    </row>
    <row r="1194" spans="6:6">
      <c r="F1194" s="188">
        <v>0</v>
      </c>
    </row>
    <row r="1195" spans="6:6">
      <c r="F1195" s="188">
        <v>0</v>
      </c>
    </row>
    <row r="1196" spans="6:6">
      <c r="F1196" s="188">
        <v>0</v>
      </c>
    </row>
    <row r="1197" spans="6:6">
      <c r="F1197" s="188">
        <v>0</v>
      </c>
    </row>
    <row r="1198" spans="6:6">
      <c r="F1198" s="188">
        <v>0</v>
      </c>
    </row>
    <row r="1199" spans="6:6">
      <c r="F1199" s="188">
        <v>0</v>
      </c>
    </row>
    <row r="1200" spans="6:6">
      <c r="F1200" s="188">
        <v>0</v>
      </c>
    </row>
    <row r="1201" spans="6:6">
      <c r="F1201" s="188">
        <v>0</v>
      </c>
    </row>
    <row r="1202" spans="6:6">
      <c r="F1202" s="188">
        <v>0</v>
      </c>
    </row>
    <row r="1203" spans="6:6">
      <c r="F1203" s="188">
        <v>0</v>
      </c>
    </row>
    <row r="1204" spans="6:6">
      <c r="F1204" s="188">
        <v>0</v>
      </c>
    </row>
    <row r="1205" spans="6:6">
      <c r="F1205" s="188">
        <v>0</v>
      </c>
    </row>
    <row r="1206" spans="6:6">
      <c r="F1206" s="188">
        <v>0</v>
      </c>
    </row>
    <row r="1207" spans="6:6">
      <c r="F1207" s="188">
        <v>0</v>
      </c>
    </row>
    <row r="1208" spans="6:6">
      <c r="F1208" s="188">
        <v>0</v>
      </c>
    </row>
    <row r="1209" spans="6:6">
      <c r="F1209" s="188">
        <v>0</v>
      </c>
    </row>
    <row r="1210" spans="6:6">
      <c r="F1210" s="188">
        <v>0</v>
      </c>
    </row>
    <row r="1211" spans="6:6">
      <c r="F1211" s="188">
        <v>0</v>
      </c>
    </row>
    <row r="1212" spans="6:6">
      <c r="F1212" s="188">
        <v>0</v>
      </c>
    </row>
    <row r="1213" spans="6:6">
      <c r="F1213" s="188">
        <v>0</v>
      </c>
    </row>
    <row r="1214" spans="6:6">
      <c r="F1214" s="188">
        <v>0</v>
      </c>
    </row>
    <row r="1215" spans="6:6">
      <c r="F1215" s="188">
        <v>0</v>
      </c>
    </row>
    <row r="1216" spans="6:6">
      <c r="F1216" s="188">
        <v>0</v>
      </c>
    </row>
    <row r="1217" spans="6:6">
      <c r="F1217" s="188">
        <v>0</v>
      </c>
    </row>
    <row r="1218" spans="6:6">
      <c r="F1218" s="188">
        <v>0</v>
      </c>
    </row>
    <row r="1219" spans="6:6">
      <c r="F1219" s="188">
        <v>0</v>
      </c>
    </row>
    <row r="1220" spans="6:6">
      <c r="F1220" s="188">
        <v>0</v>
      </c>
    </row>
    <row r="1221" spans="6:6">
      <c r="F1221" s="188">
        <v>0</v>
      </c>
    </row>
    <row r="1222" spans="6:6">
      <c r="F1222" s="188">
        <v>0</v>
      </c>
    </row>
    <row r="1223" spans="6:6">
      <c r="F1223" s="188">
        <v>0</v>
      </c>
    </row>
    <row r="1224" spans="6:6">
      <c r="F1224" s="188">
        <v>0</v>
      </c>
    </row>
    <row r="1225" spans="6:6">
      <c r="F1225" s="188">
        <v>0</v>
      </c>
    </row>
    <row r="1226" spans="6:6">
      <c r="F1226" s="188">
        <v>0</v>
      </c>
    </row>
    <row r="1227" spans="6:6">
      <c r="F1227" s="188">
        <v>0</v>
      </c>
    </row>
    <row r="1228" spans="6:6">
      <c r="F1228" s="188">
        <v>0</v>
      </c>
    </row>
    <row r="1229" spans="6:6">
      <c r="F1229" s="188">
        <v>0</v>
      </c>
    </row>
    <row r="1230" spans="6:6">
      <c r="F1230" s="188">
        <v>0</v>
      </c>
    </row>
    <row r="1231" spans="6:6">
      <c r="F1231" s="188">
        <v>0</v>
      </c>
    </row>
    <row r="1232" spans="6:6">
      <c r="F1232" s="188">
        <v>0</v>
      </c>
    </row>
    <row r="1233" spans="6:6">
      <c r="F1233" s="188">
        <v>0</v>
      </c>
    </row>
    <row r="1234" spans="6:6">
      <c r="F1234" s="188">
        <v>0</v>
      </c>
    </row>
    <row r="1235" spans="6:6">
      <c r="F1235" s="188">
        <v>0</v>
      </c>
    </row>
    <row r="1236" spans="6:6">
      <c r="F1236" s="188">
        <v>0</v>
      </c>
    </row>
    <row r="1237" spans="6:6">
      <c r="F1237" s="188">
        <v>0</v>
      </c>
    </row>
    <row r="1238" spans="6:6">
      <c r="F1238" s="188">
        <v>0</v>
      </c>
    </row>
    <row r="1239" spans="6:6">
      <c r="F1239" s="188">
        <v>0</v>
      </c>
    </row>
    <row r="1240" spans="6:6">
      <c r="F1240" s="188">
        <v>0</v>
      </c>
    </row>
    <row r="1241" spans="6:6">
      <c r="F1241" s="188">
        <v>0</v>
      </c>
    </row>
    <row r="1242" spans="6:6">
      <c r="F1242" s="188">
        <v>0</v>
      </c>
    </row>
    <row r="1243" spans="6:6">
      <c r="F1243" s="188">
        <v>0</v>
      </c>
    </row>
    <row r="1244" spans="6:6">
      <c r="F1244" s="188">
        <v>0</v>
      </c>
    </row>
    <row r="1245" spans="6:6">
      <c r="F1245" s="188">
        <v>0</v>
      </c>
    </row>
    <row r="1246" spans="6:6">
      <c r="F1246" s="188">
        <v>0</v>
      </c>
    </row>
    <row r="1247" spans="6:6">
      <c r="F1247" s="188">
        <v>0</v>
      </c>
    </row>
    <row r="1248" spans="6:6">
      <c r="F1248" s="188">
        <v>0</v>
      </c>
    </row>
    <row r="1249" spans="6:6">
      <c r="F1249" s="188">
        <v>0</v>
      </c>
    </row>
    <row r="1250" spans="6:6">
      <c r="F1250" s="188">
        <v>0</v>
      </c>
    </row>
    <row r="1251" spans="6:6">
      <c r="F1251" s="188">
        <v>0</v>
      </c>
    </row>
    <row r="1252" spans="6:6">
      <c r="F1252" s="188">
        <v>0</v>
      </c>
    </row>
    <row r="1253" spans="6:6">
      <c r="F1253" s="188">
        <v>0</v>
      </c>
    </row>
    <row r="1254" spans="6:6">
      <c r="F1254" s="188">
        <v>0</v>
      </c>
    </row>
    <row r="1255" spans="6:6">
      <c r="F1255" s="188">
        <v>0</v>
      </c>
    </row>
    <row r="1256" spans="6:6">
      <c r="F1256" s="188">
        <v>0</v>
      </c>
    </row>
    <row r="1257" spans="6:6">
      <c r="F1257" s="188">
        <v>0</v>
      </c>
    </row>
    <row r="1258" spans="6:6">
      <c r="F1258" s="188">
        <v>0</v>
      </c>
    </row>
    <row r="1259" spans="6:6">
      <c r="F1259" s="188">
        <v>0</v>
      </c>
    </row>
    <row r="1260" spans="6:6">
      <c r="F1260" s="188">
        <v>0</v>
      </c>
    </row>
    <row r="1261" spans="6:6">
      <c r="F1261" s="188">
        <v>0</v>
      </c>
    </row>
    <row r="1262" spans="6:6">
      <c r="F1262" s="188">
        <v>0</v>
      </c>
    </row>
    <row r="1263" spans="6:6">
      <c r="F1263" s="188">
        <v>0</v>
      </c>
    </row>
    <row r="1264" spans="6:6">
      <c r="F1264" s="188">
        <v>0</v>
      </c>
    </row>
    <row r="1265" spans="6:6">
      <c r="F1265" s="188">
        <v>0</v>
      </c>
    </row>
    <row r="1266" spans="6:6">
      <c r="F1266" s="188">
        <v>0</v>
      </c>
    </row>
    <row r="1267" spans="6:6">
      <c r="F1267" s="188">
        <v>0</v>
      </c>
    </row>
    <row r="1268" spans="6:6">
      <c r="F1268" s="188">
        <v>0</v>
      </c>
    </row>
    <row r="1269" spans="6:6">
      <c r="F1269" s="188">
        <v>0</v>
      </c>
    </row>
    <row r="1270" spans="6:6">
      <c r="F1270" s="188">
        <v>0</v>
      </c>
    </row>
    <row r="1271" spans="6:6">
      <c r="F1271" s="188">
        <v>0</v>
      </c>
    </row>
    <row r="1272" spans="6:6">
      <c r="F1272" s="188">
        <v>0</v>
      </c>
    </row>
    <row r="1273" spans="6:6">
      <c r="F1273" s="188">
        <v>0</v>
      </c>
    </row>
    <row r="1274" spans="6:6">
      <c r="F1274" s="188">
        <v>0</v>
      </c>
    </row>
    <row r="1275" spans="6:6">
      <c r="F1275" s="188">
        <v>0</v>
      </c>
    </row>
    <row r="1276" spans="6:6">
      <c r="F1276" s="188">
        <v>0</v>
      </c>
    </row>
    <row r="1277" spans="6:6">
      <c r="F1277" s="188">
        <v>0</v>
      </c>
    </row>
    <row r="1278" spans="6:6">
      <c r="F1278" s="188">
        <v>0</v>
      </c>
    </row>
    <row r="1279" spans="6:6">
      <c r="F1279" s="188">
        <v>0</v>
      </c>
    </row>
    <row r="1280" spans="6:6">
      <c r="F1280" s="188">
        <v>0</v>
      </c>
    </row>
    <row r="1281" spans="6:6">
      <c r="F1281" s="188">
        <v>0</v>
      </c>
    </row>
    <row r="1282" spans="6:6">
      <c r="F1282" s="188">
        <v>0</v>
      </c>
    </row>
    <row r="1283" spans="6:6">
      <c r="F1283" s="188">
        <v>0</v>
      </c>
    </row>
    <row r="1284" spans="6:6">
      <c r="F1284" s="188">
        <v>0</v>
      </c>
    </row>
    <row r="1285" spans="6:6">
      <c r="F1285" s="188">
        <v>0</v>
      </c>
    </row>
    <row r="1286" spans="6:6">
      <c r="F1286" s="188">
        <v>0</v>
      </c>
    </row>
    <row r="1287" spans="6:6">
      <c r="F1287" s="188">
        <v>0</v>
      </c>
    </row>
    <row r="1288" spans="6:6">
      <c r="F1288" s="188">
        <v>0</v>
      </c>
    </row>
    <row r="1289" spans="6:6">
      <c r="F1289" s="188">
        <v>0</v>
      </c>
    </row>
    <row r="1290" spans="6:6">
      <c r="F1290" s="188">
        <v>0</v>
      </c>
    </row>
    <row r="1291" spans="6:6">
      <c r="F1291" s="188">
        <v>0</v>
      </c>
    </row>
    <row r="1292" spans="6:6">
      <c r="F1292" s="188">
        <v>0</v>
      </c>
    </row>
    <row r="1293" spans="6:6">
      <c r="F1293" s="188">
        <v>0</v>
      </c>
    </row>
    <row r="1294" spans="6:6">
      <c r="F1294" s="188">
        <v>0</v>
      </c>
    </row>
    <row r="1295" spans="6:6">
      <c r="F1295" s="188">
        <v>0</v>
      </c>
    </row>
    <row r="1296" spans="6:6">
      <c r="F1296" s="188">
        <v>0</v>
      </c>
    </row>
    <row r="1297" spans="6:6">
      <c r="F1297" s="188">
        <v>0</v>
      </c>
    </row>
    <row r="1298" spans="6:6">
      <c r="F1298" s="188">
        <v>0</v>
      </c>
    </row>
    <row r="1299" spans="6:6">
      <c r="F1299" s="188">
        <v>0</v>
      </c>
    </row>
    <row r="1300" spans="6:6">
      <c r="F1300" s="188">
        <v>0</v>
      </c>
    </row>
    <row r="1301" spans="6:6">
      <c r="F1301" s="188">
        <v>0</v>
      </c>
    </row>
    <row r="1302" spans="6:6">
      <c r="F1302" s="188">
        <v>0</v>
      </c>
    </row>
    <row r="1303" spans="6:6">
      <c r="F1303" s="188">
        <v>0</v>
      </c>
    </row>
    <row r="1304" spans="6:6">
      <c r="F1304" s="188">
        <v>0</v>
      </c>
    </row>
    <row r="1305" spans="6:6">
      <c r="F1305" s="188">
        <v>0</v>
      </c>
    </row>
    <row r="1306" spans="6:6">
      <c r="F1306" s="188">
        <v>0</v>
      </c>
    </row>
    <row r="1307" spans="6:6">
      <c r="F1307" s="188">
        <v>0</v>
      </c>
    </row>
    <row r="1308" spans="6:6">
      <c r="F1308" s="188">
        <v>0</v>
      </c>
    </row>
    <row r="1309" spans="6:6">
      <c r="F1309" s="188">
        <v>0</v>
      </c>
    </row>
    <row r="1310" spans="6:6">
      <c r="F1310" s="188">
        <v>0</v>
      </c>
    </row>
    <row r="1311" spans="6:6">
      <c r="F1311" s="188">
        <v>0</v>
      </c>
    </row>
    <row r="1312" spans="6:6">
      <c r="F1312" s="188">
        <v>0</v>
      </c>
    </row>
    <row r="1313" spans="6:6">
      <c r="F1313" s="188">
        <v>0</v>
      </c>
    </row>
    <row r="1314" spans="6:6">
      <c r="F1314" s="188">
        <v>0</v>
      </c>
    </row>
    <row r="1315" spans="6:6">
      <c r="F1315" s="188">
        <v>0</v>
      </c>
    </row>
    <row r="1316" spans="6:6">
      <c r="F1316" s="188">
        <v>0</v>
      </c>
    </row>
    <row r="1317" spans="6:6">
      <c r="F1317" s="188">
        <v>0</v>
      </c>
    </row>
    <row r="1318" spans="6:6">
      <c r="F1318" s="188">
        <v>0</v>
      </c>
    </row>
    <row r="1319" spans="6:6">
      <c r="F1319" s="188">
        <v>0</v>
      </c>
    </row>
    <row r="1320" spans="6:6">
      <c r="F1320" s="188">
        <v>0</v>
      </c>
    </row>
    <row r="1321" spans="6:6">
      <c r="F1321" s="188">
        <v>0</v>
      </c>
    </row>
    <row r="1322" spans="6:6">
      <c r="F1322" s="188">
        <v>0</v>
      </c>
    </row>
    <row r="1323" spans="6:6">
      <c r="F1323" s="188">
        <v>0</v>
      </c>
    </row>
    <row r="1324" spans="6:6">
      <c r="F1324" s="188">
        <v>0</v>
      </c>
    </row>
    <row r="1325" spans="6:6">
      <c r="F1325" s="188">
        <v>0</v>
      </c>
    </row>
    <row r="1326" spans="6:6">
      <c r="F1326" s="188">
        <v>0</v>
      </c>
    </row>
    <row r="1327" spans="6:6">
      <c r="F1327" s="188">
        <v>0</v>
      </c>
    </row>
    <row r="1328" spans="6:6">
      <c r="F1328" s="188">
        <v>0</v>
      </c>
    </row>
    <row r="1329" spans="6:6">
      <c r="F1329" s="188">
        <v>0</v>
      </c>
    </row>
    <row r="1330" spans="6:6">
      <c r="F1330" s="188">
        <v>0</v>
      </c>
    </row>
    <row r="1331" spans="6:6">
      <c r="F1331" s="188">
        <v>0</v>
      </c>
    </row>
    <row r="1332" spans="6:6">
      <c r="F1332" s="188">
        <v>0</v>
      </c>
    </row>
    <row r="1333" spans="6:6">
      <c r="F1333" s="188">
        <v>0</v>
      </c>
    </row>
    <row r="1334" spans="6:6">
      <c r="F1334" s="188">
        <v>0</v>
      </c>
    </row>
    <row r="1335" spans="6:6">
      <c r="F1335" s="188">
        <v>0</v>
      </c>
    </row>
    <row r="1336" spans="6:6">
      <c r="F1336" s="188">
        <v>0</v>
      </c>
    </row>
    <row r="1337" spans="6:6">
      <c r="F1337" s="188">
        <v>0</v>
      </c>
    </row>
    <row r="1338" spans="6:6">
      <c r="F1338" s="188">
        <v>0</v>
      </c>
    </row>
    <row r="1339" spans="6:6">
      <c r="F1339" s="188">
        <v>0</v>
      </c>
    </row>
    <row r="1340" spans="6:6">
      <c r="F1340" s="188">
        <v>0</v>
      </c>
    </row>
    <row r="1341" spans="6:6">
      <c r="F1341" s="188">
        <v>0</v>
      </c>
    </row>
    <row r="1342" spans="6:6">
      <c r="F1342" s="188">
        <v>0</v>
      </c>
    </row>
    <row r="1343" spans="6:6">
      <c r="F1343" s="188">
        <v>0</v>
      </c>
    </row>
    <row r="1344" spans="6:6">
      <c r="F1344" s="188">
        <v>0</v>
      </c>
    </row>
    <row r="1345" spans="6:6">
      <c r="F1345" s="188">
        <v>0</v>
      </c>
    </row>
    <row r="1346" spans="6:6">
      <c r="F1346" s="188">
        <v>0</v>
      </c>
    </row>
    <row r="1347" spans="6:6">
      <c r="F1347" s="188">
        <v>0</v>
      </c>
    </row>
    <row r="1348" spans="6:6">
      <c r="F1348" s="188">
        <v>0</v>
      </c>
    </row>
    <row r="1349" spans="6:6">
      <c r="F1349" s="188">
        <v>0</v>
      </c>
    </row>
    <row r="1350" spans="6:6">
      <c r="F1350" s="188">
        <v>0</v>
      </c>
    </row>
    <row r="1351" spans="6:6">
      <c r="F1351" s="188">
        <v>0</v>
      </c>
    </row>
    <row r="1352" spans="6:6">
      <c r="F1352" s="188">
        <v>0</v>
      </c>
    </row>
    <row r="1353" spans="6:6">
      <c r="F1353" s="188">
        <v>0</v>
      </c>
    </row>
    <row r="1354" spans="6:6">
      <c r="F1354" s="188">
        <v>0</v>
      </c>
    </row>
    <row r="1355" spans="6:6">
      <c r="F1355" s="188">
        <v>0</v>
      </c>
    </row>
    <row r="1356" spans="6:6">
      <c r="F1356" s="188">
        <v>0</v>
      </c>
    </row>
    <row r="1357" spans="6:6">
      <c r="F1357" s="188">
        <v>0</v>
      </c>
    </row>
    <row r="1358" spans="6:6">
      <c r="F1358" s="188">
        <v>0</v>
      </c>
    </row>
    <row r="1359" spans="6:6">
      <c r="F1359" s="188">
        <v>0</v>
      </c>
    </row>
    <row r="1360" spans="6:6">
      <c r="F1360" s="188">
        <v>0</v>
      </c>
    </row>
    <row r="1361" spans="6:6">
      <c r="F1361" s="188">
        <v>0</v>
      </c>
    </row>
    <row r="1362" spans="6:6">
      <c r="F1362" s="188">
        <v>0</v>
      </c>
    </row>
    <row r="1363" spans="6:6">
      <c r="F1363" s="188">
        <v>0</v>
      </c>
    </row>
    <row r="1364" spans="6:6">
      <c r="F1364" s="188">
        <v>0</v>
      </c>
    </row>
    <row r="1365" spans="6:6">
      <c r="F1365" s="188">
        <v>0</v>
      </c>
    </row>
    <row r="1366" spans="6:6">
      <c r="F1366" s="188">
        <v>0</v>
      </c>
    </row>
    <row r="1367" spans="6:6">
      <c r="F1367" s="188">
        <v>0</v>
      </c>
    </row>
    <row r="1368" spans="6:6">
      <c r="F1368" s="188">
        <v>0</v>
      </c>
    </row>
    <row r="1369" spans="6:6">
      <c r="F1369" s="188">
        <v>0</v>
      </c>
    </row>
    <row r="1370" spans="6:6">
      <c r="F1370" s="188">
        <v>0</v>
      </c>
    </row>
    <row r="1371" spans="6:6">
      <c r="F1371" s="188">
        <v>0</v>
      </c>
    </row>
    <row r="1372" spans="6:6">
      <c r="F1372" s="188">
        <v>0</v>
      </c>
    </row>
    <row r="1373" spans="6:6">
      <c r="F1373" s="188">
        <v>0</v>
      </c>
    </row>
    <row r="1374" spans="6:6">
      <c r="F1374" s="188">
        <v>0</v>
      </c>
    </row>
    <row r="1375" spans="6:6">
      <c r="F1375" s="188">
        <v>0</v>
      </c>
    </row>
    <row r="1376" spans="6:6">
      <c r="F1376" s="188">
        <v>0</v>
      </c>
    </row>
    <row r="1377" spans="6:6">
      <c r="F1377" s="188">
        <v>0</v>
      </c>
    </row>
    <row r="1378" spans="6:6">
      <c r="F1378" s="188">
        <v>0</v>
      </c>
    </row>
    <row r="1379" spans="6:6">
      <c r="F1379" s="188">
        <v>0</v>
      </c>
    </row>
    <row r="1380" spans="6:6">
      <c r="F1380" s="188">
        <v>0</v>
      </c>
    </row>
    <row r="1381" spans="6:6">
      <c r="F1381" s="188">
        <v>0</v>
      </c>
    </row>
    <row r="1382" spans="6:6">
      <c r="F1382" s="188">
        <v>0</v>
      </c>
    </row>
    <row r="1383" spans="6:6">
      <c r="F1383" s="188">
        <v>0</v>
      </c>
    </row>
    <row r="1384" spans="6:6">
      <c r="F1384" s="188">
        <v>0</v>
      </c>
    </row>
    <row r="1385" spans="6:6">
      <c r="F1385" s="188">
        <v>0</v>
      </c>
    </row>
    <row r="1386" spans="6:6">
      <c r="F1386" s="188">
        <v>0</v>
      </c>
    </row>
    <row r="1387" spans="6:6">
      <c r="F1387" s="188">
        <v>0</v>
      </c>
    </row>
    <row r="1388" spans="6:6">
      <c r="F1388" s="188">
        <v>0</v>
      </c>
    </row>
    <row r="1389" spans="6:6">
      <c r="F1389" s="188">
        <v>0</v>
      </c>
    </row>
    <row r="1390" spans="6:6">
      <c r="F1390" s="188">
        <v>0</v>
      </c>
    </row>
    <row r="1391" spans="6:6">
      <c r="F1391" s="188">
        <v>0</v>
      </c>
    </row>
    <row r="1392" spans="6:6">
      <c r="F1392" s="188">
        <v>0</v>
      </c>
    </row>
    <row r="1393" spans="6:6">
      <c r="F1393" s="188">
        <v>0</v>
      </c>
    </row>
    <row r="1394" spans="6:6">
      <c r="F1394" s="188">
        <v>0</v>
      </c>
    </row>
    <row r="1395" spans="6:6">
      <c r="F1395" s="188">
        <v>0</v>
      </c>
    </row>
    <row r="1396" spans="6:6">
      <c r="F1396" s="188">
        <v>0</v>
      </c>
    </row>
    <row r="1397" spans="6:6">
      <c r="F1397" s="188">
        <v>0</v>
      </c>
    </row>
    <row r="1398" spans="6:6">
      <c r="F1398" s="188">
        <v>0</v>
      </c>
    </row>
    <row r="1399" spans="6:6">
      <c r="F1399" s="188">
        <v>0</v>
      </c>
    </row>
    <row r="1400" spans="6:6">
      <c r="F1400" s="188">
        <v>0</v>
      </c>
    </row>
    <row r="1401" spans="6:6">
      <c r="F1401" s="188">
        <v>0</v>
      </c>
    </row>
    <row r="1402" spans="6:6">
      <c r="F1402" s="188">
        <v>0</v>
      </c>
    </row>
    <row r="1403" spans="6:6">
      <c r="F1403" s="188">
        <v>0</v>
      </c>
    </row>
    <row r="1404" spans="6:6">
      <c r="F1404" s="188">
        <v>0</v>
      </c>
    </row>
    <row r="1405" spans="6:6">
      <c r="F1405" s="188">
        <v>0</v>
      </c>
    </row>
    <row r="1406" spans="6:6">
      <c r="F1406" s="188">
        <v>0</v>
      </c>
    </row>
    <row r="1407" spans="6:6">
      <c r="F1407" s="188">
        <v>0</v>
      </c>
    </row>
    <row r="1408" spans="6:6">
      <c r="F1408" s="188">
        <v>0</v>
      </c>
    </row>
    <row r="1409" spans="6:6">
      <c r="F1409" s="188">
        <v>0</v>
      </c>
    </row>
    <row r="1410" spans="6:6">
      <c r="F1410" s="188">
        <v>0</v>
      </c>
    </row>
    <row r="1411" spans="6:6">
      <c r="F1411" s="188">
        <v>0</v>
      </c>
    </row>
    <row r="1412" spans="6:6">
      <c r="F1412" s="188">
        <v>0</v>
      </c>
    </row>
    <row r="1413" spans="6:6">
      <c r="F1413" s="188">
        <v>0</v>
      </c>
    </row>
    <row r="1414" spans="6:6">
      <c r="F1414" s="188">
        <v>0</v>
      </c>
    </row>
    <row r="1415" spans="6:6">
      <c r="F1415" s="188">
        <v>0</v>
      </c>
    </row>
    <row r="1416" spans="6:6">
      <c r="F1416" s="188">
        <v>0</v>
      </c>
    </row>
    <row r="1417" spans="6:6">
      <c r="F1417" s="188">
        <v>0</v>
      </c>
    </row>
    <row r="1418" spans="6:6">
      <c r="F1418" s="188">
        <v>0</v>
      </c>
    </row>
    <row r="1419" spans="6:6">
      <c r="F1419" s="188">
        <v>0</v>
      </c>
    </row>
    <row r="1420" spans="6:6">
      <c r="F1420" s="188">
        <v>0</v>
      </c>
    </row>
    <row r="1421" spans="6:6">
      <c r="F1421" s="188">
        <v>0</v>
      </c>
    </row>
    <row r="1422" spans="6:6">
      <c r="F1422" s="188">
        <v>0</v>
      </c>
    </row>
    <row r="1423" spans="6:6">
      <c r="F1423" s="188">
        <v>0</v>
      </c>
    </row>
    <row r="1424" spans="6:6">
      <c r="F1424" s="188">
        <v>0</v>
      </c>
    </row>
    <row r="1425" spans="6:6">
      <c r="F1425" s="188">
        <v>0</v>
      </c>
    </row>
    <row r="1426" spans="6:6">
      <c r="F1426" s="188">
        <v>0</v>
      </c>
    </row>
    <row r="1427" spans="6:6">
      <c r="F1427" s="188">
        <v>0</v>
      </c>
    </row>
    <row r="1428" spans="6:6">
      <c r="F1428" s="188">
        <v>0</v>
      </c>
    </row>
    <row r="1429" spans="6:6">
      <c r="F1429" s="188">
        <v>0</v>
      </c>
    </row>
    <row r="1430" spans="6:6">
      <c r="F1430" s="188">
        <v>0</v>
      </c>
    </row>
    <row r="1431" spans="6:6">
      <c r="F1431" s="188">
        <v>0</v>
      </c>
    </row>
    <row r="1432" spans="6:6">
      <c r="F1432" s="188">
        <v>0</v>
      </c>
    </row>
    <row r="1433" spans="6:6">
      <c r="F1433" s="188">
        <v>0</v>
      </c>
    </row>
    <row r="1434" spans="6:6">
      <c r="F1434" s="188">
        <v>0</v>
      </c>
    </row>
    <row r="1435" spans="6:6">
      <c r="F1435" s="188">
        <v>0</v>
      </c>
    </row>
    <row r="1436" spans="6:6">
      <c r="F1436" s="188">
        <v>0</v>
      </c>
    </row>
    <row r="1437" spans="6:6">
      <c r="F1437" s="188">
        <v>0</v>
      </c>
    </row>
    <row r="1438" spans="6:6">
      <c r="F1438" s="188">
        <v>0</v>
      </c>
    </row>
    <row r="1439" spans="6:6">
      <c r="F1439" s="188">
        <v>0</v>
      </c>
    </row>
    <row r="1440" spans="6:6">
      <c r="F1440" s="188">
        <v>0</v>
      </c>
    </row>
    <row r="1441" spans="6:6">
      <c r="F1441" s="188">
        <v>0</v>
      </c>
    </row>
    <row r="1442" spans="6:6">
      <c r="F1442" s="188">
        <v>0</v>
      </c>
    </row>
    <row r="1443" spans="6:6">
      <c r="F1443" s="188">
        <v>0</v>
      </c>
    </row>
    <row r="1444" spans="6:6">
      <c r="F1444" s="188">
        <v>0</v>
      </c>
    </row>
    <row r="1445" spans="6:6">
      <c r="F1445" s="188">
        <v>0</v>
      </c>
    </row>
    <row r="1446" spans="6:6">
      <c r="F1446" s="188">
        <v>0</v>
      </c>
    </row>
    <row r="1447" spans="6:6">
      <c r="F1447" s="188">
        <v>0</v>
      </c>
    </row>
    <row r="1448" spans="6:6">
      <c r="F1448" s="188">
        <v>0</v>
      </c>
    </row>
    <row r="1449" spans="6:6">
      <c r="F1449" s="188">
        <v>0</v>
      </c>
    </row>
    <row r="1450" spans="6:6">
      <c r="F1450" s="188">
        <v>0</v>
      </c>
    </row>
    <row r="1451" spans="6:6">
      <c r="F1451" s="188">
        <v>0</v>
      </c>
    </row>
    <row r="1452" spans="6:6">
      <c r="F1452" s="188">
        <v>0</v>
      </c>
    </row>
    <row r="1453" spans="6:6">
      <c r="F1453" s="188">
        <v>0</v>
      </c>
    </row>
    <row r="1454" spans="6:6">
      <c r="F1454" s="188">
        <v>0</v>
      </c>
    </row>
    <row r="1455" spans="6:6">
      <c r="F1455" s="188">
        <v>0</v>
      </c>
    </row>
    <row r="1456" spans="6:6">
      <c r="F1456" s="188">
        <v>0</v>
      </c>
    </row>
    <row r="1457" spans="6:6">
      <c r="F1457" s="188">
        <v>0</v>
      </c>
    </row>
    <row r="1458" spans="6:6">
      <c r="F1458" s="188">
        <v>0</v>
      </c>
    </row>
    <row r="1459" spans="6:6">
      <c r="F1459" s="188">
        <v>0</v>
      </c>
    </row>
    <row r="1460" spans="6:6">
      <c r="F1460" s="188">
        <v>0</v>
      </c>
    </row>
    <row r="1461" spans="6:6">
      <c r="F1461" s="188">
        <v>0</v>
      </c>
    </row>
    <row r="1462" spans="6:6">
      <c r="F1462" s="188">
        <v>0</v>
      </c>
    </row>
    <row r="1463" spans="6:6">
      <c r="F1463" s="188">
        <v>0</v>
      </c>
    </row>
    <row r="1464" spans="6:6">
      <c r="F1464" s="188">
        <v>0</v>
      </c>
    </row>
    <row r="1465" spans="6:6">
      <c r="F1465" s="188">
        <v>0</v>
      </c>
    </row>
    <row r="1466" spans="6:6">
      <c r="F1466" s="188">
        <v>0</v>
      </c>
    </row>
    <row r="1467" spans="6:6">
      <c r="F1467" s="188">
        <v>0</v>
      </c>
    </row>
    <row r="1468" spans="6:6">
      <c r="F1468" s="188">
        <v>0</v>
      </c>
    </row>
    <row r="1469" spans="6:6">
      <c r="F1469" s="188">
        <v>0</v>
      </c>
    </row>
    <row r="1470" spans="6:6">
      <c r="F1470" s="188">
        <v>0</v>
      </c>
    </row>
    <row r="1471" spans="6:6">
      <c r="F1471" s="188">
        <v>0</v>
      </c>
    </row>
    <row r="1472" spans="6:6">
      <c r="F1472" s="188">
        <v>0</v>
      </c>
    </row>
    <row r="1473" spans="6:6">
      <c r="F1473" s="188">
        <v>0</v>
      </c>
    </row>
    <row r="1474" spans="6:6">
      <c r="F1474" s="188">
        <v>0</v>
      </c>
    </row>
    <row r="1475" spans="6:6">
      <c r="F1475" s="188">
        <v>0</v>
      </c>
    </row>
    <row r="1476" spans="6:6">
      <c r="F1476" s="188">
        <v>0</v>
      </c>
    </row>
    <row r="1477" spans="6:6">
      <c r="F1477" s="188">
        <v>0</v>
      </c>
    </row>
    <row r="1478" spans="6:6">
      <c r="F1478" s="188">
        <v>0</v>
      </c>
    </row>
    <row r="1479" spans="6:6">
      <c r="F1479" s="188">
        <v>0</v>
      </c>
    </row>
    <row r="1480" spans="6:6">
      <c r="F1480" s="188">
        <v>0</v>
      </c>
    </row>
    <row r="1481" spans="6:6">
      <c r="F1481" s="188">
        <v>0</v>
      </c>
    </row>
    <row r="1482" spans="6:6">
      <c r="F1482" s="188">
        <v>0</v>
      </c>
    </row>
    <row r="1483" spans="6:6">
      <c r="F1483" s="188">
        <v>0</v>
      </c>
    </row>
    <row r="1484" spans="6:6">
      <c r="F1484" s="188">
        <v>0</v>
      </c>
    </row>
    <row r="1485" spans="6:6">
      <c r="F1485" s="188">
        <v>0</v>
      </c>
    </row>
    <row r="1486" spans="6:6">
      <c r="F1486" s="188">
        <v>0</v>
      </c>
    </row>
    <row r="1487" spans="6:6">
      <c r="F1487" s="188">
        <v>0</v>
      </c>
    </row>
    <row r="1488" spans="6:6">
      <c r="F1488" s="188">
        <v>0</v>
      </c>
    </row>
    <row r="1489" spans="6:6">
      <c r="F1489" s="188">
        <v>0</v>
      </c>
    </row>
    <row r="1490" spans="6:6">
      <c r="F1490" s="188">
        <v>0</v>
      </c>
    </row>
    <row r="1491" spans="6:6">
      <c r="F1491" s="188">
        <v>0</v>
      </c>
    </row>
    <row r="1492" spans="6:6">
      <c r="F1492" s="188">
        <v>0</v>
      </c>
    </row>
    <row r="1493" spans="6:6">
      <c r="F1493" s="188">
        <v>0</v>
      </c>
    </row>
    <row r="1494" spans="6:6">
      <c r="F1494" s="188">
        <v>0</v>
      </c>
    </row>
    <row r="1495" spans="6:6">
      <c r="F1495" s="188">
        <v>0</v>
      </c>
    </row>
    <row r="1496" spans="6:6">
      <c r="F1496" s="188">
        <v>0</v>
      </c>
    </row>
    <row r="1497" spans="6:6">
      <c r="F1497" s="188">
        <v>0</v>
      </c>
    </row>
    <row r="1498" spans="6:6">
      <c r="F1498" s="188">
        <v>0</v>
      </c>
    </row>
    <row r="1499" spans="6:6">
      <c r="F1499" s="188">
        <v>0</v>
      </c>
    </row>
    <row r="1500" spans="6:6">
      <c r="F1500" s="188">
        <v>0</v>
      </c>
    </row>
    <row r="1501" spans="6:6">
      <c r="F1501" s="188">
        <v>0</v>
      </c>
    </row>
    <row r="1502" spans="6:6">
      <c r="F1502" s="188">
        <v>0</v>
      </c>
    </row>
    <row r="1503" spans="6:6">
      <c r="F1503" s="188">
        <v>0</v>
      </c>
    </row>
    <row r="1504" spans="6:6">
      <c r="F1504" s="188">
        <v>0</v>
      </c>
    </row>
    <row r="1505" spans="6:6">
      <c r="F1505" s="188">
        <v>0</v>
      </c>
    </row>
    <row r="1506" spans="6:6">
      <c r="F1506" s="188">
        <v>0</v>
      </c>
    </row>
    <row r="1507" spans="6:6">
      <c r="F1507" s="188">
        <v>0</v>
      </c>
    </row>
    <row r="1508" spans="6:6">
      <c r="F1508" s="188">
        <v>0</v>
      </c>
    </row>
    <row r="1509" spans="6:6">
      <c r="F1509" s="188">
        <v>0</v>
      </c>
    </row>
    <row r="1510" spans="6:6">
      <c r="F1510" s="188">
        <v>0</v>
      </c>
    </row>
    <row r="1511" spans="6:6">
      <c r="F1511" s="188">
        <v>0</v>
      </c>
    </row>
    <row r="1512" spans="6:6">
      <c r="F1512" s="188">
        <v>0</v>
      </c>
    </row>
    <row r="1513" spans="6:6">
      <c r="F1513" s="188">
        <v>0</v>
      </c>
    </row>
    <row r="1514" spans="6:6">
      <c r="F1514" s="188">
        <v>0</v>
      </c>
    </row>
    <row r="1515" spans="6:6">
      <c r="F1515" s="188">
        <v>0</v>
      </c>
    </row>
    <row r="1516" spans="6:6">
      <c r="F1516" s="188">
        <v>0</v>
      </c>
    </row>
    <row r="1517" spans="6:6">
      <c r="F1517" s="188">
        <v>0</v>
      </c>
    </row>
    <row r="1518" spans="6:6">
      <c r="F1518" s="188">
        <v>0</v>
      </c>
    </row>
    <row r="1519" spans="6:6">
      <c r="F1519" s="188">
        <v>0</v>
      </c>
    </row>
    <row r="1520" spans="6:6">
      <c r="F1520" s="188">
        <v>0</v>
      </c>
    </row>
    <row r="1521" spans="6:6">
      <c r="F1521" s="188">
        <v>0</v>
      </c>
    </row>
    <row r="1522" spans="6:6">
      <c r="F1522" s="188">
        <v>0</v>
      </c>
    </row>
    <row r="1523" spans="6:6">
      <c r="F1523" s="188">
        <v>0</v>
      </c>
    </row>
    <row r="1524" spans="6:6">
      <c r="F1524" s="188">
        <v>0</v>
      </c>
    </row>
    <row r="1525" spans="6:6">
      <c r="F1525" s="188">
        <v>0</v>
      </c>
    </row>
    <row r="1526" spans="6:6">
      <c r="F1526" s="188">
        <v>0</v>
      </c>
    </row>
    <row r="1527" spans="6:6">
      <c r="F1527" s="188">
        <v>0</v>
      </c>
    </row>
    <row r="1528" spans="6:6">
      <c r="F1528" s="188">
        <v>0</v>
      </c>
    </row>
    <row r="1529" spans="6:6">
      <c r="F1529" s="188">
        <v>0</v>
      </c>
    </row>
    <row r="1530" spans="6:6">
      <c r="F1530" s="188">
        <v>0</v>
      </c>
    </row>
    <row r="1531" spans="6:6">
      <c r="F1531" s="188">
        <v>0</v>
      </c>
    </row>
    <row r="1532" spans="6:6">
      <c r="F1532" s="188">
        <v>0</v>
      </c>
    </row>
    <row r="1533" spans="6:6">
      <c r="F1533" s="188">
        <v>0</v>
      </c>
    </row>
    <row r="1534" spans="6:6">
      <c r="F1534" s="188">
        <v>0</v>
      </c>
    </row>
    <row r="1535" spans="6:6">
      <c r="F1535" s="188">
        <v>0</v>
      </c>
    </row>
    <row r="1536" spans="6:6">
      <c r="F1536" s="188">
        <v>0</v>
      </c>
    </row>
    <row r="1537" spans="6:6">
      <c r="F1537" s="188">
        <v>0</v>
      </c>
    </row>
    <row r="1538" spans="6:6">
      <c r="F1538" s="188">
        <v>0</v>
      </c>
    </row>
    <row r="1539" spans="6:6">
      <c r="F1539" s="188">
        <v>0</v>
      </c>
    </row>
    <row r="1540" spans="6:6">
      <c r="F1540" s="188">
        <v>0</v>
      </c>
    </row>
    <row r="1541" spans="6:6">
      <c r="F1541" s="188">
        <v>0</v>
      </c>
    </row>
    <row r="1542" spans="6:6">
      <c r="F1542" s="188">
        <v>0</v>
      </c>
    </row>
    <row r="1543" spans="6:6">
      <c r="F1543" s="188">
        <v>0</v>
      </c>
    </row>
    <row r="1544" spans="6:6">
      <c r="F1544" s="188">
        <v>0</v>
      </c>
    </row>
    <row r="1545" spans="6:6">
      <c r="F1545" s="188">
        <v>0</v>
      </c>
    </row>
    <row r="1546" spans="6:6">
      <c r="F1546" s="188">
        <v>0</v>
      </c>
    </row>
    <row r="1547" spans="6:6">
      <c r="F1547" s="188">
        <v>0</v>
      </c>
    </row>
    <row r="1548" spans="6:6">
      <c r="F1548" s="188">
        <v>0</v>
      </c>
    </row>
    <row r="1549" spans="6:6">
      <c r="F1549" s="188">
        <v>0</v>
      </c>
    </row>
    <row r="1550" spans="6:6">
      <c r="F1550" s="188">
        <v>0</v>
      </c>
    </row>
    <row r="1551" spans="6:6">
      <c r="F1551" s="188">
        <v>0</v>
      </c>
    </row>
    <row r="1552" spans="6:6">
      <c r="F1552" s="188">
        <v>0</v>
      </c>
    </row>
    <row r="1553" spans="6:6">
      <c r="F1553" s="188">
        <v>0</v>
      </c>
    </row>
    <row r="1554" spans="6:6">
      <c r="F1554" s="188">
        <v>0</v>
      </c>
    </row>
    <row r="1555" spans="6:6">
      <c r="F1555" s="188">
        <v>0</v>
      </c>
    </row>
    <row r="1556" spans="6:6">
      <c r="F1556" s="188">
        <v>0</v>
      </c>
    </row>
    <row r="1557" spans="6:6">
      <c r="F1557" s="188">
        <v>0</v>
      </c>
    </row>
    <row r="1558" spans="6:6">
      <c r="F1558" s="188">
        <v>0</v>
      </c>
    </row>
    <row r="1559" spans="6:6">
      <c r="F1559" s="188">
        <v>0</v>
      </c>
    </row>
    <row r="1560" spans="6:6">
      <c r="F1560" s="188">
        <v>0</v>
      </c>
    </row>
    <row r="1561" spans="6:6">
      <c r="F1561" s="188">
        <v>0</v>
      </c>
    </row>
    <row r="1562" spans="6:6">
      <c r="F1562" s="188">
        <v>0</v>
      </c>
    </row>
    <row r="1563" spans="6:6">
      <c r="F1563" s="188">
        <v>0</v>
      </c>
    </row>
    <row r="1564" spans="6:6">
      <c r="F1564" s="188">
        <v>0</v>
      </c>
    </row>
    <row r="1565" spans="6:6">
      <c r="F1565" s="188">
        <v>0</v>
      </c>
    </row>
    <row r="1566" spans="6:6">
      <c r="F1566" s="188">
        <v>0</v>
      </c>
    </row>
    <row r="1567" spans="6:6">
      <c r="F1567" s="188">
        <v>0</v>
      </c>
    </row>
    <row r="1568" spans="6:6">
      <c r="F1568" s="188">
        <v>0</v>
      </c>
    </row>
    <row r="1569" spans="6:6">
      <c r="F1569" s="188">
        <v>0</v>
      </c>
    </row>
    <row r="1570" spans="6:6">
      <c r="F1570" s="188">
        <v>0</v>
      </c>
    </row>
    <row r="1571" spans="6:6">
      <c r="F1571" s="188">
        <v>0</v>
      </c>
    </row>
    <row r="1572" spans="6:6">
      <c r="F1572" s="188">
        <v>0</v>
      </c>
    </row>
    <row r="1573" spans="6:6">
      <c r="F1573" s="188">
        <v>0</v>
      </c>
    </row>
    <row r="1574" spans="6:6">
      <c r="F1574" s="188">
        <v>0</v>
      </c>
    </row>
    <row r="1575" spans="6:6">
      <c r="F1575" s="188">
        <v>0</v>
      </c>
    </row>
    <row r="1576" spans="6:6">
      <c r="F1576" s="188">
        <v>0</v>
      </c>
    </row>
    <row r="1577" spans="6:6">
      <c r="F1577" s="188">
        <v>0</v>
      </c>
    </row>
    <row r="1578" spans="6:6">
      <c r="F1578" s="188">
        <v>0</v>
      </c>
    </row>
    <row r="1579" spans="6:6">
      <c r="F1579" s="188">
        <v>0</v>
      </c>
    </row>
    <row r="1580" spans="6:6">
      <c r="F1580" s="188">
        <v>0</v>
      </c>
    </row>
    <row r="1581" spans="6:6">
      <c r="F1581" s="188">
        <v>0</v>
      </c>
    </row>
    <row r="1582" spans="6:6">
      <c r="F1582" s="188">
        <v>0</v>
      </c>
    </row>
    <row r="1583" spans="6:6">
      <c r="F1583" s="188">
        <v>0</v>
      </c>
    </row>
    <row r="1584" spans="6:6">
      <c r="F1584" s="188">
        <v>0</v>
      </c>
    </row>
    <row r="1585" spans="6:6">
      <c r="F1585" s="188">
        <v>0</v>
      </c>
    </row>
    <row r="1586" spans="6:6">
      <c r="F1586" s="188">
        <v>0</v>
      </c>
    </row>
    <row r="1587" spans="6:6">
      <c r="F1587" s="188">
        <v>0</v>
      </c>
    </row>
    <row r="1588" spans="6:6">
      <c r="F1588" s="188">
        <v>0</v>
      </c>
    </row>
    <row r="1589" spans="6:6">
      <c r="F1589" s="188">
        <v>0</v>
      </c>
    </row>
    <row r="1590" spans="6:6">
      <c r="F1590" s="188">
        <v>0</v>
      </c>
    </row>
    <row r="1591" spans="6:6">
      <c r="F1591" s="188">
        <v>0</v>
      </c>
    </row>
    <row r="1592" spans="6:6">
      <c r="F1592" s="188">
        <v>0</v>
      </c>
    </row>
    <row r="1593" spans="6:6">
      <c r="F1593" s="188">
        <v>0</v>
      </c>
    </row>
    <row r="1594" spans="6:6">
      <c r="F1594" s="188">
        <v>0</v>
      </c>
    </row>
    <row r="1595" spans="6:6">
      <c r="F1595" s="188">
        <v>0</v>
      </c>
    </row>
    <row r="1596" spans="6:6">
      <c r="F1596" s="188">
        <v>0</v>
      </c>
    </row>
    <row r="1597" spans="6:6">
      <c r="F1597" s="188">
        <v>0</v>
      </c>
    </row>
    <row r="1598" spans="6:6">
      <c r="F1598" s="188">
        <v>0</v>
      </c>
    </row>
    <row r="1599" spans="6:6">
      <c r="F1599" s="188">
        <v>0</v>
      </c>
    </row>
    <row r="1600" spans="6:6">
      <c r="F1600" s="188">
        <v>0</v>
      </c>
    </row>
    <row r="1601" spans="6:6">
      <c r="F1601" s="188">
        <v>0</v>
      </c>
    </row>
    <row r="1602" spans="6:6">
      <c r="F1602" s="188">
        <v>0</v>
      </c>
    </row>
    <row r="1603" spans="6:6">
      <c r="F1603" s="188">
        <v>0</v>
      </c>
    </row>
    <row r="1604" spans="6:6">
      <c r="F1604" s="188">
        <v>0</v>
      </c>
    </row>
    <row r="1605" spans="6:6">
      <c r="F1605" s="188">
        <v>0</v>
      </c>
    </row>
    <row r="1606" spans="6:6">
      <c r="F1606" s="188">
        <v>0</v>
      </c>
    </row>
    <row r="1607" spans="6:6">
      <c r="F1607" s="188">
        <v>0</v>
      </c>
    </row>
    <row r="1608" spans="6:6">
      <c r="F1608" s="188">
        <v>0</v>
      </c>
    </row>
    <row r="1609" spans="6:6">
      <c r="F1609" s="188">
        <v>0</v>
      </c>
    </row>
    <row r="1610" spans="6:6">
      <c r="F1610" s="188">
        <v>0</v>
      </c>
    </row>
    <row r="1611" spans="6:6">
      <c r="F1611" s="188">
        <v>0</v>
      </c>
    </row>
    <row r="1612" spans="6:6">
      <c r="F1612" s="188">
        <v>0</v>
      </c>
    </row>
    <row r="1613" spans="6:6">
      <c r="F1613" s="188">
        <v>0</v>
      </c>
    </row>
    <row r="1614" spans="6:6">
      <c r="F1614" s="188">
        <v>0</v>
      </c>
    </row>
    <row r="1615" spans="6:6">
      <c r="F1615" s="188">
        <v>0</v>
      </c>
    </row>
    <row r="1616" spans="6:6">
      <c r="F1616" s="188">
        <v>0</v>
      </c>
    </row>
    <row r="1617" spans="6:6">
      <c r="F1617" s="188">
        <v>0</v>
      </c>
    </row>
    <row r="1618" spans="6:6">
      <c r="F1618" s="188">
        <v>0</v>
      </c>
    </row>
    <row r="1619" spans="6:6">
      <c r="F1619" s="188">
        <v>0</v>
      </c>
    </row>
    <row r="1620" spans="6:6">
      <c r="F1620" s="188">
        <v>0</v>
      </c>
    </row>
    <row r="1621" spans="6:6">
      <c r="F1621" s="188">
        <v>0</v>
      </c>
    </row>
    <row r="1622" spans="6:6">
      <c r="F1622" s="188">
        <v>0</v>
      </c>
    </row>
    <row r="1623" spans="6:6">
      <c r="F1623" s="188">
        <v>0</v>
      </c>
    </row>
    <row r="1624" spans="6:6">
      <c r="F1624" s="188">
        <v>0</v>
      </c>
    </row>
    <row r="1625" spans="6:6">
      <c r="F1625" s="188">
        <v>0</v>
      </c>
    </row>
    <row r="1626" spans="6:6">
      <c r="F1626" s="188">
        <v>0</v>
      </c>
    </row>
    <row r="1627" spans="6:6">
      <c r="F1627" s="188">
        <v>0</v>
      </c>
    </row>
    <row r="1628" spans="6:6">
      <c r="F1628" s="188">
        <v>0</v>
      </c>
    </row>
    <row r="1629" spans="6:6">
      <c r="F1629" s="188">
        <v>0</v>
      </c>
    </row>
    <row r="1630" spans="6:6">
      <c r="F1630" s="188">
        <v>0</v>
      </c>
    </row>
    <row r="1631" spans="6:6">
      <c r="F1631" s="188">
        <v>0</v>
      </c>
    </row>
    <row r="1632" spans="6:6">
      <c r="F1632" s="188">
        <v>0</v>
      </c>
    </row>
    <row r="1633" spans="6:6">
      <c r="F1633" s="188">
        <v>0</v>
      </c>
    </row>
    <row r="1634" spans="6:6">
      <c r="F1634" s="188">
        <v>0</v>
      </c>
    </row>
    <row r="1635" spans="6:6">
      <c r="F1635" s="188">
        <v>0</v>
      </c>
    </row>
    <row r="1636" spans="6:6">
      <c r="F1636" s="188">
        <v>0</v>
      </c>
    </row>
    <row r="1637" spans="6:6">
      <c r="F1637" s="188">
        <v>0</v>
      </c>
    </row>
    <row r="1638" spans="6:6">
      <c r="F1638" s="188">
        <v>0</v>
      </c>
    </row>
    <row r="1639" spans="6:6">
      <c r="F1639" s="188">
        <v>0</v>
      </c>
    </row>
    <row r="1640" spans="6:6">
      <c r="F1640" s="188">
        <v>0</v>
      </c>
    </row>
    <row r="1641" spans="6:6">
      <c r="F1641" s="188">
        <v>0</v>
      </c>
    </row>
    <row r="1642" spans="6:6">
      <c r="F1642" s="188">
        <v>0</v>
      </c>
    </row>
    <row r="1643" spans="6:6">
      <c r="F1643" s="188">
        <v>0</v>
      </c>
    </row>
    <row r="1644" spans="6:6">
      <c r="F1644" s="188">
        <v>0</v>
      </c>
    </row>
    <row r="1645" spans="6:6">
      <c r="F1645" s="188">
        <v>0</v>
      </c>
    </row>
    <row r="1646" spans="6:6">
      <c r="F1646" s="188">
        <v>0</v>
      </c>
    </row>
    <row r="1647" spans="6:6">
      <c r="F1647" s="188">
        <v>0</v>
      </c>
    </row>
    <row r="1648" spans="6:6">
      <c r="F1648" s="188">
        <v>0</v>
      </c>
    </row>
    <row r="1649" spans="6:6">
      <c r="F1649" s="188">
        <v>0</v>
      </c>
    </row>
    <row r="1650" spans="6:6">
      <c r="F1650" s="188">
        <v>0</v>
      </c>
    </row>
    <row r="1651" spans="6:6">
      <c r="F1651" s="188">
        <v>0</v>
      </c>
    </row>
    <row r="1652" spans="6:6">
      <c r="F1652" s="188">
        <v>0</v>
      </c>
    </row>
    <row r="1653" spans="6:6">
      <c r="F1653" s="188">
        <v>0</v>
      </c>
    </row>
    <row r="1654" spans="6:6">
      <c r="F1654" s="188">
        <v>0</v>
      </c>
    </row>
    <row r="1655" spans="6:6">
      <c r="F1655" s="188">
        <v>0</v>
      </c>
    </row>
    <row r="1656" spans="6:6">
      <c r="F1656" s="188">
        <v>0</v>
      </c>
    </row>
    <row r="1657" spans="6:6">
      <c r="F1657" s="188">
        <v>0</v>
      </c>
    </row>
    <row r="1658" spans="6:6">
      <c r="F1658" s="188">
        <v>0</v>
      </c>
    </row>
    <row r="1659" spans="6:6">
      <c r="F1659" s="188">
        <v>0</v>
      </c>
    </row>
    <row r="1660" spans="6:6">
      <c r="F1660" s="188">
        <v>0</v>
      </c>
    </row>
    <row r="1661" spans="6:6">
      <c r="F1661" s="188">
        <v>0</v>
      </c>
    </row>
    <row r="1662" spans="6:6">
      <c r="F1662" s="188">
        <v>0</v>
      </c>
    </row>
    <row r="1663" spans="6:6">
      <c r="F1663" s="188">
        <v>0</v>
      </c>
    </row>
    <row r="1664" spans="6:6">
      <c r="F1664" s="188">
        <v>0</v>
      </c>
    </row>
    <row r="1665" spans="6:6">
      <c r="F1665" s="188">
        <v>0</v>
      </c>
    </row>
    <row r="1666" spans="6:6">
      <c r="F1666" s="188">
        <v>0</v>
      </c>
    </row>
    <row r="1667" spans="6:6">
      <c r="F1667" s="188">
        <v>0</v>
      </c>
    </row>
    <row r="1668" spans="6:6">
      <c r="F1668" s="188">
        <v>0</v>
      </c>
    </row>
    <row r="1669" spans="6:6">
      <c r="F1669" s="188">
        <v>0</v>
      </c>
    </row>
    <row r="1670" spans="6:6">
      <c r="F1670" s="188">
        <v>0</v>
      </c>
    </row>
    <row r="1671" spans="6:6">
      <c r="F1671" s="188">
        <v>0</v>
      </c>
    </row>
    <row r="1672" spans="6:6">
      <c r="F1672" s="188">
        <v>0</v>
      </c>
    </row>
    <row r="1673" spans="6:6">
      <c r="F1673" s="188">
        <v>0</v>
      </c>
    </row>
    <row r="1674" spans="6:6">
      <c r="F1674" s="188">
        <v>0</v>
      </c>
    </row>
    <row r="1675" spans="6:6">
      <c r="F1675" s="188">
        <v>0</v>
      </c>
    </row>
    <row r="1676" spans="6:6">
      <c r="F1676" s="188">
        <v>0</v>
      </c>
    </row>
    <row r="1677" spans="6:6">
      <c r="F1677" s="188">
        <v>0</v>
      </c>
    </row>
    <row r="1678" spans="6:6">
      <c r="F1678" s="188">
        <v>0</v>
      </c>
    </row>
    <row r="1679" spans="6:6">
      <c r="F1679" s="188">
        <v>0</v>
      </c>
    </row>
    <row r="1680" spans="6:6">
      <c r="F1680" s="188">
        <v>0</v>
      </c>
    </row>
    <row r="1681" spans="6:6">
      <c r="F1681" s="188">
        <v>0</v>
      </c>
    </row>
    <row r="1682" spans="6:6">
      <c r="F1682" s="188">
        <v>0</v>
      </c>
    </row>
    <row r="1683" spans="6:6">
      <c r="F1683" s="188">
        <v>0</v>
      </c>
    </row>
    <row r="1684" spans="6:6">
      <c r="F1684" s="188">
        <v>0</v>
      </c>
    </row>
    <row r="1685" spans="6:6">
      <c r="F1685" s="188">
        <v>0</v>
      </c>
    </row>
    <row r="1686" spans="6:6">
      <c r="F1686" s="188">
        <v>0</v>
      </c>
    </row>
    <row r="1687" spans="6:6">
      <c r="F1687" s="188">
        <v>0</v>
      </c>
    </row>
    <row r="1688" spans="6:6">
      <c r="F1688" s="188">
        <v>0</v>
      </c>
    </row>
    <row r="1689" spans="6:6">
      <c r="F1689" s="188">
        <v>0</v>
      </c>
    </row>
    <row r="1690" spans="6:6">
      <c r="F1690" s="188">
        <v>0</v>
      </c>
    </row>
    <row r="1691" spans="6:6">
      <c r="F1691" s="188">
        <v>0</v>
      </c>
    </row>
    <row r="1692" spans="6:6">
      <c r="F1692" s="188">
        <v>0</v>
      </c>
    </row>
    <row r="1693" spans="6:6">
      <c r="F1693" s="188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B151" zoomScale="95" zoomScaleNormal="60" zoomScaleSheetLayoutView="95" zoomScalePageLayoutView="20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8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214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347</v>
      </c>
      <c r="B2" s="682">
        <v>44398</v>
      </c>
      <c r="C2" s="773" t="s">
        <v>68</v>
      </c>
      <c r="D2" s="262">
        <v>0.66</v>
      </c>
      <c r="E2" s="112"/>
      <c r="F2" s="112"/>
      <c r="G2" s="95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28</v>
      </c>
      <c r="E3" s="1214" t="s">
        <v>120</v>
      </c>
      <c r="F3" s="1215"/>
      <c r="G3" s="95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73" t="s">
        <v>121</v>
      </c>
      <c r="D4" s="262">
        <v>0.84</v>
      </c>
      <c r="E4" s="115"/>
      <c r="F4" s="115"/>
      <c r="G4" s="956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5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958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'20'!F7</f>
        <v>1058388</v>
      </c>
      <c r="F7" s="106">
        <f>E7+23250</f>
        <v>1081638</v>
      </c>
      <c r="G7" s="959">
        <f>F7-E7</f>
        <v>23250</v>
      </c>
      <c r="H7" s="111">
        <f>G7+'20'!H7</f>
        <v>473816</v>
      </c>
      <c r="I7" s="125">
        <f>'1'!I7</f>
        <v>12000</v>
      </c>
      <c r="J7" s="203">
        <f>H7/DAY(B2)</f>
        <v>22562.666666666668</v>
      </c>
      <c r="K7" s="200">
        <v>12199</v>
      </c>
      <c r="L7" s="68">
        <f>G7-K7</f>
        <v>11051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'20'!F8</f>
        <v>370604.27</v>
      </c>
      <c r="F8" s="126">
        <v>391826.83</v>
      </c>
      <c r="G8" s="960">
        <f>F8-E8</f>
        <v>21222.559999999998</v>
      </c>
      <c r="H8" s="111">
        <f>G8+'20'!H8</f>
        <v>-223770.16999999998</v>
      </c>
      <c r="I8" s="128">
        <f>'1'!I8</f>
        <v>12000</v>
      </c>
      <c r="J8" s="203">
        <f>H8/DAY(B2)</f>
        <v>-10655.72238095238</v>
      </c>
      <c r="K8" s="200">
        <v>12262</v>
      </c>
      <c r="L8" s="78">
        <f>G8-K8</f>
        <v>8960.5599999999977</v>
      </c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'20'!F9</f>
        <v>2460433.5</v>
      </c>
      <c r="F9" s="129">
        <v>2480880.9</v>
      </c>
      <c r="G9" s="959">
        <f t="shared" ref="G9:G12" si="0">F9-E9</f>
        <v>20447.399999999907</v>
      </c>
      <c r="H9" s="111">
        <f>G9+'20'!H9</f>
        <v>-215754.10000000009</v>
      </c>
      <c r="I9" s="130">
        <f>I8-J8</f>
        <v>22655.722380952378</v>
      </c>
      <c r="J9" s="203">
        <f>H9/DAY(B2)</f>
        <v>-10274.004761904765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'20'!F10</f>
        <v>2606.5500000000002</v>
      </c>
      <c r="F10" s="129">
        <v>2606.5500000000002</v>
      </c>
      <c r="G10" s="959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59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59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61">
        <f>G9+G10+G11+G12</f>
        <v>20447.399999999907</v>
      </c>
      <c r="H13" s="111">
        <f>G13+'20'!H13</f>
        <v>-258438.25000000012</v>
      </c>
      <c r="I13" s="133">
        <f>G7-G13</f>
        <v>2802.6000000000931</v>
      </c>
      <c r="J13" s="203">
        <f>H13/DAY(B2)</f>
        <v>-12306.583333333339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962"/>
      <c r="H14" s="123"/>
      <c r="I14" s="123"/>
      <c r="J14" s="202"/>
      <c r="K14" s="82"/>
      <c r="L14" s="68"/>
      <c r="N14" s="73"/>
      <c r="O14" s="73"/>
    </row>
    <row r="15" spans="1:15">
      <c r="A15" s="771" t="s">
        <v>139</v>
      </c>
      <c r="B15" s="240"/>
      <c r="C15" s="240"/>
      <c r="D15" s="174" t="s">
        <v>140</v>
      </c>
      <c r="E15" s="135">
        <f>'20'!F15</f>
        <v>1747459</v>
      </c>
      <c r="F15" s="351">
        <f>E15+950</f>
        <v>1748409</v>
      </c>
      <c r="G15" s="963">
        <f>(F15-E15)</f>
        <v>950</v>
      </c>
      <c r="H15" s="111">
        <f>G15+'20'!H15</f>
        <v>18855</v>
      </c>
      <c r="I15" s="125">
        <v>800</v>
      </c>
      <c r="J15" s="203">
        <f>H15/DAY(B2)</f>
        <v>897.85714285714289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59"/>
      <c r="H16" s="137"/>
      <c r="I16" s="138">
        <f>I15-J15</f>
        <v>-97.85714285714289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962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'20'!F18</f>
        <v>8</v>
      </c>
      <c r="F18" s="135">
        <v>10</v>
      </c>
      <c r="G18" s="961">
        <f>F18*10</f>
        <v>100</v>
      </c>
      <c r="H18" s="111">
        <f>G18+'20'!H18</f>
        <v>3350</v>
      </c>
      <c r="I18" s="125">
        <f>'1'!I18</f>
        <v>65</v>
      </c>
      <c r="J18" s="203">
        <f>H18/DAY(B2)</f>
        <v>159.52380952380952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'20'!F19</f>
        <v>144630</v>
      </c>
      <c r="F19" s="135">
        <f>E19+60</f>
        <v>144690</v>
      </c>
      <c r="G19" s="959">
        <f t="shared" ref="G19" si="1">F19-E19</f>
        <v>60</v>
      </c>
      <c r="H19" s="111">
        <f>G19+'20'!H19</f>
        <v>1300</v>
      </c>
      <c r="I19" s="140"/>
      <c r="J19" s="203">
        <f>H19/DAY(B2)</f>
        <v>61.904761904761905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64">
        <f>G18+G19</f>
        <v>160</v>
      </c>
      <c r="H20" s="111">
        <f>G20+'20'!H20</f>
        <v>4650</v>
      </c>
      <c r="I20" s="143">
        <f>I18-J20</f>
        <v>-156.42857142857142</v>
      </c>
      <c r="J20" s="203">
        <f>H20/DAY(B2)</f>
        <v>221.42857142857142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962"/>
      <c r="H21" s="123"/>
      <c r="I21" s="123"/>
      <c r="J21" s="202"/>
      <c r="K21" s="81"/>
      <c r="L21" s="68"/>
      <c r="N21" s="73"/>
      <c r="O21" s="73"/>
    </row>
    <row r="22" spans="1:15">
      <c r="A22" s="771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61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71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61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61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96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66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21222.559999999998</v>
      </c>
      <c r="F27" s="152">
        <v>9</v>
      </c>
      <c r="G27" s="967">
        <f>E27*F27</f>
        <v>191003.03999999998</v>
      </c>
      <c r="H27" s="111">
        <f>G27+'20'!H27</f>
        <v>-2013929.6399999997</v>
      </c>
      <c r="I27" s="154"/>
      <c r="J27" s="203">
        <f>H27/DAY(B2)</f>
        <v>-95901.411428571417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967">
        <f t="shared" ref="G28:G30" si="3">E28*F28</f>
        <v>49400</v>
      </c>
      <c r="H28" s="111">
        <f>G28+'20'!H28</f>
        <v>1013347.5</v>
      </c>
      <c r="I28" s="156"/>
      <c r="J28" s="203">
        <f>H28/DAY(B2)</f>
        <v>48254.642857142855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967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967">
        <f t="shared" si="3"/>
        <v>8760</v>
      </c>
      <c r="H30" s="111">
        <f>G30+'20'!H30</f>
        <v>189800</v>
      </c>
      <c r="I30" s="156"/>
      <c r="J30" s="203">
        <f>H30/DAY(B2)</f>
        <v>9038.0952380952385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100</v>
      </c>
      <c r="F31" s="152">
        <v>80</v>
      </c>
      <c r="G31" s="967">
        <f>E31*F31</f>
        <v>8000</v>
      </c>
      <c r="H31" s="111">
        <f>G31+'20'!H31</f>
        <v>268000</v>
      </c>
      <c r="I31" s="156"/>
      <c r="J31" s="203">
        <f>H31/DAY(B2)</f>
        <v>12761.904761904761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68">
        <f>G27+G28+G29+G30+G31</f>
        <v>257163.03999999998</v>
      </c>
      <c r="H32" s="111">
        <f>G32+'20'!H32</f>
        <v>-542782.1399999999</v>
      </c>
      <c r="I32" s="160"/>
      <c r="J32" s="203">
        <f>H32/DAY(B2)</f>
        <v>-25846.768571428565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776"/>
      <c r="C34" s="776"/>
      <c r="D34" s="123"/>
      <c r="E34" s="122"/>
      <c r="F34" s="122"/>
      <c r="G34" s="969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59">
        <f t="shared" ref="G35:G46" si="4">F35-E35</f>
        <v>0</v>
      </c>
      <c r="H35" s="111">
        <f>G35+'20'!H35</f>
        <v>0.69999999995343387</v>
      </c>
      <c r="I35" s="106"/>
      <c r="J35" s="203">
        <f>H35/DAY(B2)</f>
        <v>3.3333333331115898E-2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'20'!F36</f>
        <v>38264.519999999997</v>
      </c>
      <c r="F36" s="161">
        <v>39023.919999999998</v>
      </c>
      <c r="G36" s="959">
        <f t="shared" si="4"/>
        <v>759.40000000000146</v>
      </c>
      <c r="H36" s="111">
        <f>G36+'20'!H36</f>
        <v>-7774.0800000000017</v>
      </c>
      <c r="I36" s="106"/>
      <c r="J36" s="203">
        <f>H36/DAY(B2)</f>
        <v>-370.1942857142858</v>
      </c>
      <c r="K36" s="81">
        <v>485.22000000000116</v>
      </c>
      <c r="L36" s="68">
        <f t="shared" si="5"/>
        <v>274.18000000000029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'20'!F37</f>
        <v>208225.97</v>
      </c>
      <c r="F37" s="161">
        <v>209828.89</v>
      </c>
      <c r="G37" s="959">
        <f t="shared" si="4"/>
        <v>1602.9200000000128</v>
      </c>
      <c r="H37" s="111">
        <f>G37+'20'!H37</f>
        <v>-16344.109999999986</v>
      </c>
      <c r="I37" s="106"/>
      <c r="J37" s="203">
        <f>H37/DAY(B2)</f>
        <v>-778.29095238095169</v>
      </c>
      <c r="K37" s="81">
        <v>1194.8999999999942</v>
      </c>
      <c r="L37" s="68">
        <f t="shared" si="5"/>
        <v>408.02000000001863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'20'!F38</f>
        <v>230906.93</v>
      </c>
      <c r="F38" s="120">
        <v>232484.91</v>
      </c>
      <c r="G38" s="959">
        <f t="shared" si="4"/>
        <v>1577.9800000000105</v>
      </c>
      <c r="H38" s="111">
        <f>G38+'20'!H38</f>
        <v>-16074.089999999997</v>
      </c>
      <c r="I38" s="106"/>
      <c r="J38" s="203">
        <f>H38/DAY(B2)</f>
        <v>-765.43285714285696</v>
      </c>
      <c r="K38" s="81">
        <v>0</v>
      </c>
      <c r="L38" s="68">
        <f t="shared" si="5"/>
        <v>1577.9800000000105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'20'!F39</f>
        <v>478850.43</v>
      </c>
      <c r="F39" s="161">
        <v>482591.95</v>
      </c>
      <c r="G39" s="959">
        <f t="shared" si="4"/>
        <v>3741.5200000000186</v>
      </c>
      <c r="H39" s="111">
        <f>G39+'20'!H39</f>
        <v>-37926.049999999988</v>
      </c>
      <c r="I39" s="106"/>
      <c r="J39" s="203">
        <f>H39/DAY(B2)</f>
        <v>-1806.0023809523805</v>
      </c>
      <c r="K39" s="81">
        <v>2147.359999999986</v>
      </c>
      <c r="L39" s="68">
        <f t="shared" si="5"/>
        <v>1594.1600000000326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'20'!F40</f>
        <v>15145.89</v>
      </c>
      <c r="F40" s="161">
        <v>15413.4</v>
      </c>
      <c r="G40" s="959">
        <f t="shared" si="4"/>
        <v>267.51000000000022</v>
      </c>
      <c r="H40" s="111">
        <f>G40+'20'!H40</f>
        <v>-4759.6000000000004</v>
      </c>
      <c r="I40" s="106"/>
      <c r="J40" s="203">
        <f>H40/DAY(B2)</f>
        <v>-226.64761904761906</v>
      </c>
      <c r="K40" s="82">
        <v>0</v>
      </c>
      <c r="L40" s="68">
        <f t="shared" si="5"/>
        <v>267.51000000000022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'20'!F41</f>
        <v>365502.35</v>
      </c>
      <c r="F41" s="161">
        <v>365502.35</v>
      </c>
      <c r="G41" s="959">
        <f t="shared" si="4"/>
        <v>0</v>
      </c>
      <c r="H41" s="111">
        <f>G41+'20'!H41</f>
        <v>-1337.6500000000233</v>
      </c>
      <c r="I41" s="106"/>
      <c r="J41" s="203">
        <f>H41/DAY(B2)</f>
        <v>-63.697619047620158</v>
      </c>
      <c r="K41" s="81">
        <v>0</v>
      </c>
      <c r="L41" s="68">
        <f t="shared" si="5"/>
        <v>0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'20'!F42</f>
        <v>85160.57</v>
      </c>
      <c r="F42" s="161">
        <v>89172.1</v>
      </c>
      <c r="G42" s="959">
        <f t="shared" si="4"/>
        <v>4011.5299999999988</v>
      </c>
      <c r="H42" s="111">
        <f>G42+'20'!H42</f>
        <v>-26339.899999999994</v>
      </c>
      <c r="I42" s="106"/>
      <c r="J42" s="203">
        <f>H42/DAY(B2)</f>
        <v>-1254.2809523809522</v>
      </c>
      <c r="K42" s="81">
        <v>3228.5699999999997</v>
      </c>
      <c r="L42" s="68">
        <f t="shared" si="5"/>
        <v>782.95999999999913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'20'!F43</f>
        <v>1174494.7</v>
      </c>
      <c r="F43" s="161">
        <v>1177047.3</v>
      </c>
      <c r="G43" s="959">
        <f t="shared" si="4"/>
        <v>2552.6000000000931</v>
      </c>
      <c r="H43" s="111">
        <f>G43+'20'!H43</f>
        <v>-27413.699999999953</v>
      </c>
      <c r="I43" s="106"/>
      <c r="J43" s="203">
        <f>H43/DAY(B2)</f>
        <v>-1305.4142857142836</v>
      </c>
      <c r="K43" s="81">
        <v>1595.679999999993</v>
      </c>
      <c r="L43" s="68">
        <f t="shared" si="5"/>
        <v>956.92000000010012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59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59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59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61">
        <f>G35+G36+G37+G38+G39+G40+G41+G42+G43+G44+G45+G46</f>
        <v>14513.460000000136</v>
      </c>
      <c r="H47" s="111">
        <f>G47+'20'!H47</f>
        <v>-137167.48000000004</v>
      </c>
      <c r="I47" s="106"/>
      <c r="J47" s="203">
        <f>H47/DAY(B2)</f>
        <v>-6531.7847619047634</v>
      </c>
      <c r="K47" s="81">
        <v>10172.060000000001</v>
      </c>
      <c r="L47" s="68">
        <f t="shared" si="5"/>
        <v>4341.4000000001342</v>
      </c>
      <c r="N47" s="73"/>
      <c r="O47" s="73"/>
    </row>
    <row r="48" spans="1:15">
      <c r="A48" s="249" t="s">
        <v>176</v>
      </c>
      <c r="B48" s="776"/>
      <c r="C48" s="776"/>
      <c r="D48" s="123"/>
      <c r="E48" s="122"/>
      <c r="F48" s="122"/>
      <c r="G48" s="969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'20'!F49</f>
        <v>291183.21000000002</v>
      </c>
      <c r="F49" s="161">
        <v>294020.75</v>
      </c>
      <c r="G49" s="959">
        <f t="shared" ref="G49:G58" si="6">F49-E49</f>
        <v>2837.539999999979</v>
      </c>
      <c r="H49" s="111">
        <f>G49+'20'!H49</f>
        <v>-33017.25</v>
      </c>
      <c r="I49" s="106"/>
      <c r="J49" s="203">
        <f>H49/DAY(B2)</f>
        <v>-1572.25</v>
      </c>
      <c r="K49" s="81">
        <v>0</v>
      </c>
      <c r="L49" s="68">
        <f t="shared" si="5"/>
        <v>2837.539999999979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'20'!F50</f>
        <v>558685.75</v>
      </c>
      <c r="F50" s="161">
        <v>559700.67000000004</v>
      </c>
      <c r="G50" s="959">
        <f>F50-E50</f>
        <v>1014.9200000000419</v>
      </c>
      <c r="H50" s="111">
        <f>G50+'20'!H50</f>
        <v>-11116.329999999958</v>
      </c>
      <c r="I50" s="106"/>
      <c r="J50" s="203">
        <f>H50/DAY(B2)</f>
        <v>-529.34904761904568</v>
      </c>
      <c r="K50" s="81">
        <v>700.86999999999534</v>
      </c>
      <c r="L50" s="68">
        <f t="shared" si="5"/>
        <v>314.05000000004657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59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59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59">
        <f t="shared" si="6"/>
        <v>0</v>
      </c>
      <c r="H53" s="111">
        <f>G53+'20'!H53</f>
        <v>-0.73999999999068677</v>
      </c>
      <c r="I53" s="106"/>
      <c r="J53" s="203">
        <f>H53/DAY(B2)</f>
        <v>-3.523809523765175E-2</v>
      </c>
      <c r="K53" s="81">
        <v>107.60000000000036</v>
      </c>
      <c r="L53" s="68">
        <f t="shared" si="5"/>
        <v>-107.60000000000036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59">
        <f t="shared" si="6"/>
        <v>0</v>
      </c>
      <c r="H54" s="111">
        <f>G54+'20'!H54</f>
        <v>0</v>
      </c>
      <c r="I54" s="106"/>
      <c r="J54" s="203">
        <f>H54/DAY(B2)</f>
        <v>0</v>
      </c>
      <c r="K54" s="81">
        <v>0</v>
      </c>
      <c r="L54" s="68">
        <f t="shared" si="5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'20'!F55</f>
        <v>191040.47</v>
      </c>
      <c r="F55" s="161">
        <v>193307.01</v>
      </c>
      <c r="G55" s="959">
        <f t="shared" si="6"/>
        <v>2266.5400000000081</v>
      </c>
      <c r="H55" s="111">
        <f>G55+'20'!H55</f>
        <v>-43878.989999999991</v>
      </c>
      <c r="I55" s="106"/>
      <c r="J55" s="203">
        <f>H55/DAY(B2)</f>
        <v>-2089.4757142857138</v>
      </c>
      <c r="K55" s="81">
        <v>0</v>
      </c>
      <c r="L55" s="68">
        <f t="shared" si="5"/>
        <v>2266.5400000000081</v>
      </c>
      <c r="N55" s="73"/>
      <c r="O55" s="73"/>
    </row>
    <row r="56" spans="1:15" s="92" customFormat="1">
      <c r="A56" s="753" t="s">
        <v>181</v>
      </c>
      <c r="B56" s="754"/>
      <c r="C56" s="754"/>
      <c r="D56" s="278" t="s">
        <v>182</v>
      </c>
      <c r="E56" s="304">
        <f>'20'!F56</f>
        <v>649241.15</v>
      </c>
      <c r="F56" s="304">
        <v>649252.18999999994</v>
      </c>
      <c r="G56" s="980">
        <f t="shared" si="6"/>
        <v>11.039999999920838</v>
      </c>
      <c r="H56" s="356">
        <f>G56+'20'!H56</f>
        <v>-119.81000000005588</v>
      </c>
      <c r="I56" s="357"/>
      <c r="J56" s="358">
        <f>H56/DAY(B2)</f>
        <v>-5.7052380952407562</v>
      </c>
      <c r="K56" s="985">
        <v>0</v>
      </c>
      <c r="L56" s="756">
        <f t="shared" si="5"/>
        <v>11.039999999920838</v>
      </c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59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'20'!F58</f>
        <v>57425.74</v>
      </c>
      <c r="F58" s="161">
        <v>57648.63</v>
      </c>
      <c r="G58" s="959">
        <f t="shared" si="6"/>
        <v>222.88999999999942</v>
      </c>
      <c r="H58" s="111">
        <f>G58+'20'!H58</f>
        <v>-2242.3700000000026</v>
      </c>
      <c r="I58" s="106"/>
      <c r="J58" s="203">
        <f>H58/DAY(B2)</f>
        <v>-106.77952380952394</v>
      </c>
      <c r="K58" s="81">
        <v>0</v>
      </c>
      <c r="L58" s="68">
        <f t="shared" si="5"/>
        <v>222.88999999999942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61">
        <f>G49+G50+G51+G52+G53+G54+G55+G56+G57+G58</f>
        <v>6352.9999999998981</v>
      </c>
      <c r="H59" s="111">
        <f>G59+'20'!H59</f>
        <v>-90375.420000000056</v>
      </c>
      <c r="I59" s="106">
        <f>G7-G60</f>
        <v>2383.5399999999645</v>
      </c>
      <c r="J59" s="203">
        <f>H59/DAY(B2)</f>
        <v>-4303.5914285714316</v>
      </c>
      <c r="K59" s="81">
        <v>1794.4499999999771</v>
      </c>
      <c r="L59" s="68">
        <f t="shared" si="5"/>
        <v>4558.5499999999211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61">
        <f>G47+G59</f>
        <v>20866.460000000036</v>
      </c>
      <c r="H60" s="111">
        <f>G60+'20'!H60</f>
        <v>-221965.57000000007</v>
      </c>
      <c r="I60" s="106">
        <f>G13-G60</f>
        <v>-419.06000000012864</v>
      </c>
      <c r="J60" s="203">
        <f>H60/DAY(B2)</f>
        <v>-10569.789047619051</v>
      </c>
      <c r="K60" s="81">
        <v>11966.509999999978</v>
      </c>
      <c r="L60" s="68">
        <f t="shared" si="5"/>
        <v>8899.9500000000571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70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59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59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'20'!F64</f>
        <v>177804.47</v>
      </c>
      <c r="F64" s="135">
        <v>178152.49</v>
      </c>
      <c r="G64" s="959">
        <f t="shared" si="7"/>
        <v>348.01999999998952</v>
      </c>
      <c r="H64" s="111">
        <f>G64+'20'!H64</f>
        <v>-3707.5100000000093</v>
      </c>
      <c r="I64" s="131"/>
      <c r="J64" s="203">
        <f>H64/DAY(B2)</f>
        <v>-176.54809523809567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'20'!F65</f>
        <v>177910.09</v>
      </c>
      <c r="F65" s="135">
        <v>178292.59</v>
      </c>
      <c r="G65" s="959">
        <f t="shared" si="7"/>
        <v>382.5</v>
      </c>
      <c r="H65" s="111">
        <f>G65+'20'!H65</f>
        <v>-3916.4100000000035</v>
      </c>
      <c r="I65" s="140"/>
      <c r="J65" s="203">
        <f>H65/DAY(B2)</f>
        <v>-186.49571428571446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'20'!F66</f>
        <v>76217.929999999993</v>
      </c>
      <c r="F66" s="135">
        <v>76625.75</v>
      </c>
      <c r="G66" s="959">
        <f t="shared" si="7"/>
        <v>407.82000000000698</v>
      </c>
      <c r="H66" s="111">
        <f>G66+'20'!H66</f>
        <v>-4046.25</v>
      </c>
      <c r="I66" s="131"/>
      <c r="J66" s="203">
        <f>H66/DAY(B2)</f>
        <v>-192.67857142857142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'20'!F67</f>
        <v>274426.67</v>
      </c>
      <c r="F67" s="135">
        <v>274928.11</v>
      </c>
      <c r="G67" s="959">
        <f t="shared" si="7"/>
        <v>501.44000000000233</v>
      </c>
      <c r="H67" s="111">
        <f>G67+'20'!H67</f>
        <v>-5129.890000000014</v>
      </c>
      <c r="I67" s="140"/>
      <c r="J67" s="203">
        <f>H67/DAY(B2)</f>
        <v>-244.28047619047686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'20'!F68</f>
        <v>85321</v>
      </c>
      <c r="F68" s="135">
        <v>85321</v>
      </c>
      <c r="G68" s="959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'20'!F69</f>
        <v>92936.63</v>
      </c>
      <c r="F69" s="135">
        <v>93221.18</v>
      </c>
      <c r="G69" s="959">
        <f t="shared" si="7"/>
        <v>284.54999999998836</v>
      </c>
      <c r="H69" s="111">
        <f>G69+'20'!H69</f>
        <v>-3335.820000000007</v>
      </c>
      <c r="I69" s="167"/>
      <c r="J69" s="203">
        <f>H69/DAY(B2)</f>
        <v>-158.84857142857177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971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'20'!F72</f>
        <v>856472</v>
      </c>
      <c r="F72" s="170">
        <v>856485</v>
      </c>
      <c r="G72" s="959">
        <f t="shared" ref="G72:G84" si="8">F72-E72</f>
        <v>13</v>
      </c>
      <c r="H72" s="111">
        <f>G72+'20'!H72</f>
        <v>-138</v>
      </c>
      <c r="I72" s="131"/>
      <c r="J72" s="203">
        <f>H72/DAY(B2)</f>
        <v>-6.5714285714285712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f>'20'!F73</f>
        <v>886000</v>
      </c>
      <c r="F73" s="171">
        <v>886001</v>
      </c>
      <c r="G73" s="959">
        <f t="shared" si="8"/>
        <v>1</v>
      </c>
      <c r="H73" s="111">
        <f>G73+'20'!H73</f>
        <v>145</v>
      </c>
      <c r="I73" s="131"/>
      <c r="J73" s="203">
        <f>H73/DAY(B2)</f>
        <v>6.9047619047619051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2">
        <f>'20'!F74</f>
        <v>88719.3</v>
      </c>
      <c r="F74" s="172">
        <v>88720.6</v>
      </c>
      <c r="G74" s="959">
        <f t="shared" si="8"/>
        <v>1.3000000000029104</v>
      </c>
      <c r="H74" s="111">
        <f>G74+'20'!H74</f>
        <v>59.600000000005821</v>
      </c>
      <c r="I74" s="131"/>
      <c r="J74" s="203">
        <f>H74/DAY(B2)</f>
        <v>2.8380952380955153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f>'20'!F75</f>
        <v>19191.63</v>
      </c>
      <c r="F75" s="172">
        <v>19344.88</v>
      </c>
      <c r="G75" s="959">
        <f t="shared" si="8"/>
        <v>153.25</v>
      </c>
      <c r="H75" s="111">
        <f>G75+'20'!H75</f>
        <v>-1602.119999999999</v>
      </c>
      <c r="I75" s="131"/>
      <c r="J75" s="203">
        <f>H75/DAY(B2)</f>
        <v>-76.291428571428526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f>'20'!F76</f>
        <v>10640.9</v>
      </c>
      <c r="F76" s="297">
        <v>10710.35</v>
      </c>
      <c r="G76" s="959">
        <f t="shared" si="8"/>
        <v>69.450000000000728</v>
      </c>
      <c r="H76" s="111">
        <f>G76+'20'!H76</f>
        <v>784.95000000000073</v>
      </c>
      <c r="I76" s="156"/>
      <c r="J76" s="203">
        <f>H76/DAY(B2)</f>
        <v>37.378571428571462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2">
        <f>'20'!F77</f>
        <v>705626</v>
      </c>
      <c r="F77" s="172">
        <v>705719</v>
      </c>
      <c r="G77" s="959">
        <f t="shared" si="8"/>
        <v>93</v>
      </c>
      <c r="H77" s="111">
        <f>G77+'20'!H77</f>
        <v>-734</v>
      </c>
      <c r="I77" s="156"/>
      <c r="J77" s="203">
        <f>H77/DAY(B2)</f>
        <v>-34.952380952380949</v>
      </c>
      <c r="K77" s="83"/>
      <c r="L77" s="68"/>
      <c r="N77" s="73"/>
      <c r="O77" s="73"/>
    </row>
    <row r="78" spans="1:15" ht="27.75">
      <c r="A78" s="774" t="s">
        <v>196</v>
      </c>
      <c r="B78" s="766"/>
      <c r="C78" s="766"/>
      <c r="D78" s="174" t="s">
        <v>186</v>
      </c>
      <c r="E78" s="172">
        <f>'20'!F78</f>
        <v>677372</v>
      </c>
      <c r="F78" s="172">
        <v>677498</v>
      </c>
      <c r="G78" s="959">
        <f t="shared" si="8"/>
        <v>126</v>
      </c>
      <c r="H78" s="111">
        <f>G78+'20'!H78</f>
        <v>-1355</v>
      </c>
      <c r="I78" s="156"/>
      <c r="J78" s="203">
        <f>H78/DAY(B2)</f>
        <v>-64.523809523809518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'20'!F79</f>
        <v>838574</v>
      </c>
      <c r="F79" s="172">
        <v>838729</v>
      </c>
      <c r="G79" s="959">
        <f t="shared" si="8"/>
        <v>155</v>
      </c>
      <c r="H79" s="111">
        <f>G79+'20'!H79</f>
        <v>-1953</v>
      </c>
      <c r="I79" s="156"/>
      <c r="J79" s="203">
        <f>H79/DAY(B2)</f>
        <v>-93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'20'!F80</f>
        <v>547596.28</v>
      </c>
      <c r="F80" s="171">
        <v>548018</v>
      </c>
      <c r="G80" s="959">
        <f t="shared" si="8"/>
        <v>421.71999999997206</v>
      </c>
      <c r="H80" s="111">
        <f>G80+'20'!H80</f>
        <v>-7188</v>
      </c>
      <c r="I80" s="156"/>
      <c r="J80" s="203">
        <f>H80/DAY(B2)</f>
        <v>-342.28571428571428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'20'!F81</f>
        <v>646912.04</v>
      </c>
      <c r="F81" s="171">
        <v>647097</v>
      </c>
      <c r="G81" s="959">
        <f t="shared" si="8"/>
        <v>184.95999999996275</v>
      </c>
      <c r="H81" s="111">
        <f>G81+'20'!H81</f>
        <v>-1921</v>
      </c>
      <c r="I81" s="156"/>
      <c r="J81" s="203">
        <f>H81/DAY(B2)</f>
        <v>-91.476190476190482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'20'!F82</f>
        <v>109102.07</v>
      </c>
      <c r="F82" s="173">
        <v>109128.52</v>
      </c>
      <c r="G82" s="959">
        <f t="shared" si="8"/>
        <v>26.44999999999709</v>
      </c>
      <c r="H82" s="111">
        <f>G82+'20'!H82</f>
        <v>-207.47999999999593</v>
      </c>
      <c r="I82" s="137"/>
      <c r="J82" s="203">
        <f>H82/DAY(B2)</f>
        <v>-9.8799999999998054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'20'!F83</f>
        <v>32328</v>
      </c>
      <c r="F83" s="162">
        <v>32534</v>
      </c>
      <c r="G83" s="959">
        <f t="shared" si="8"/>
        <v>206</v>
      </c>
      <c r="H83" s="111">
        <f>G83+'20'!H83</f>
        <v>-2491</v>
      </c>
      <c r="I83" s="132"/>
      <c r="J83" s="203">
        <f>H83/DAY(B2)</f>
        <v>-118.61904761904762</v>
      </c>
      <c r="K83" s="82"/>
      <c r="L83" s="68"/>
      <c r="N83" s="73"/>
      <c r="O83" s="372"/>
    </row>
    <row r="84" spans="1:15">
      <c r="A84" s="775" t="s">
        <v>200</v>
      </c>
      <c r="B84" s="222"/>
      <c r="C84" s="222"/>
      <c r="D84" s="129" t="s">
        <v>131</v>
      </c>
      <c r="E84" s="278">
        <f>'20'!F84</f>
        <v>538863</v>
      </c>
      <c r="F84" s="278">
        <v>539560</v>
      </c>
      <c r="G84" s="959">
        <f t="shared" si="8"/>
        <v>697</v>
      </c>
      <c r="H84" s="111">
        <f>G84+'20'!H84</f>
        <v>-7833</v>
      </c>
      <c r="I84" s="132"/>
      <c r="J84" s="203">
        <f>H84/DAY(B2)</f>
        <v>-373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72">
        <f xml:space="preserve"> SUM(G72:G84)</f>
        <v>2148.1299999999355</v>
      </c>
      <c r="H85" s="111">
        <f>G85+'20'!H85</f>
        <v>-22356.649999999983</v>
      </c>
      <c r="I85" s="132"/>
      <c r="J85" s="203">
        <f>H85/DAY(B2)</f>
        <v>-1064.6023809523801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'20'!F86</f>
        <v>462278.36</v>
      </c>
      <c r="F86" s="298">
        <v>462300.52</v>
      </c>
      <c r="G86" s="973">
        <f t="shared" ref="G86:G91" si="9">F86-E86</f>
        <v>22.160000000032596</v>
      </c>
      <c r="H86" s="111">
        <f>G86+'20'!H86</f>
        <v>70.679999999993015</v>
      </c>
      <c r="I86" s="303"/>
      <c r="J86" s="358">
        <f>H86/DAY(B2)</f>
        <v>3.365714285713953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'20'!F87</f>
        <v>82621</v>
      </c>
      <c r="F87" s="298">
        <v>82655.8</v>
      </c>
      <c r="G87" s="973">
        <f t="shared" si="9"/>
        <v>34.80000000000291</v>
      </c>
      <c r="H87" s="111">
        <f>G87+'20'!H87</f>
        <v>112.80000000000291</v>
      </c>
      <c r="I87" s="303"/>
      <c r="J87" s="358">
        <f>H87/DAY(B2)</f>
        <v>5.3714285714287104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'20'!F88</f>
        <v>157615.46</v>
      </c>
      <c r="F88" s="298">
        <v>157718.82999999999</v>
      </c>
      <c r="G88" s="973">
        <f t="shared" si="9"/>
        <v>103.36999999999534</v>
      </c>
      <c r="H88" s="111">
        <f>G88+'20'!H88</f>
        <v>473.10999999998603</v>
      </c>
      <c r="I88" s="303"/>
      <c r="J88" s="358">
        <f>H88/DAY(B2)</f>
        <v>22.529047619046953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'20'!F89</f>
        <v>66650</v>
      </c>
      <c r="F89" s="298">
        <v>66668.5</v>
      </c>
      <c r="G89" s="973">
        <f t="shared" si="9"/>
        <v>18.5</v>
      </c>
      <c r="H89" s="111">
        <f>G89+'20'!H89</f>
        <v>107.69999999999709</v>
      </c>
      <c r="I89" s="303"/>
      <c r="J89" s="358">
        <f>H89/DAY(B2)</f>
        <v>5.1285714285712896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'20'!F90</f>
        <v>3413</v>
      </c>
      <c r="F90" s="298">
        <v>3416</v>
      </c>
      <c r="G90" s="973">
        <f t="shared" si="9"/>
        <v>3</v>
      </c>
      <c r="H90" s="111">
        <f>G90+'20'!H90</f>
        <v>8</v>
      </c>
      <c r="I90" s="303"/>
      <c r="J90" s="358">
        <f>H90/DAY(B2)</f>
        <v>0.38095238095238093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f>'20'!F91</f>
        <v>28413.5</v>
      </c>
      <c r="F91" s="298">
        <v>28422.5</v>
      </c>
      <c r="G91" s="356">
        <f t="shared" si="9"/>
        <v>9</v>
      </c>
      <c r="H91" s="111">
        <f>G91+'20'!H91</f>
        <v>19.5</v>
      </c>
      <c r="I91" s="303"/>
      <c r="J91" s="358">
        <f>H91/DAY(B2)</f>
        <v>0.9285714285714286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962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'20'!F93</f>
        <v>249342</v>
      </c>
      <c r="F93" s="135">
        <v>249421</v>
      </c>
      <c r="G93" s="959">
        <f t="shared" ref="G93:G94" si="10">F93-E93</f>
        <v>79</v>
      </c>
      <c r="H93" s="111">
        <f>G93+'20'!H93</f>
        <v>-893</v>
      </c>
      <c r="I93" s="131"/>
      <c r="J93" s="203">
        <f>H93/DAY(B2)</f>
        <v>-42.523809523809526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'20'!F94</f>
        <v>191920</v>
      </c>
      <c r="F94" s="135">
        <v>192038</v>
      </c>
      <c r="G94" s="959">
        <f t="shared" si="10"/>
        <v>118</v>
      </c>
      <c r="H94" s="111">
        <f>G94+'20'!H94</f>
        <v>-860</v>
      </c>
      <c r="I94" s="131"/>
      <c r="J94" s="203">
        <f>H94/DAY(B2)</f>
        <v>-40.952380952380949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v>0</v>
      </c>
      <c r="F95" s="135">
        <v>0</v>
      </c>
      <c r="G95" s="959">
        <f>G93+G94</f>
        <v>197</v>
      </c>
      <c r="H95" s="111">
        <f>G95+'20'!H95</f>
        <v>-2059</v>
      </c>
      <c r="I95" s="131"/>
      <c r="J95" s="203">
        <f>H95/DAY(B2)</f>
        <v>-98.047619047619051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'20'!F96</f>
        <v>417761</v>
      </c>
      <c r="F96" s="135">
        <v>417840</v>
      </c>
      <c r="G96" s="959">
        <f t="shared" ref="G96:G101" si="11">F96-E96</f>
        <v>79</v>
      </c>
      <c r="H96" s="111">
        <f>G96+'20'!H96</f>
        <v>-696</v>
      </c>
      <c r="I96" s="131"/>
      <c r="J96" s="203">
        <f>H96/DAY(B2)</f>
        <v>-33.142857142857146</v>
      </c>
      <c r="K96" s="71"/>
      <c r="L96" s="68"/>
      <c r="N96" s="73"/>
      <c r="O96" s="73"/>
    </row>
    <row r="97" spans="1:15" ht="27.75">
      <c r="A97" s="771" t="s">
        <v>209</v>
      </c>
      <c r="B97" s="772"/>
      <c r="C97" s="772"/>
      <c r="D97" s="174" t="s">
        <v>143</v>
      </c>
      <c r="E97" s="135">
        <f>'20'!F97</f>
        <v>103604</v>
      </c>
      <c r="F97" s="135">
        <v>103622</v>
      </c>
      <c r="G97" s="959">
        <f t="shared" si="11"/>
        <v>18</v>
      </c>
      <c r="H97" s="111">
        <f>G97+'20'!H97</f>
        <v>-227</v>
      </c>
      <c r="I97" s="131"/>
      <c r="J97" s="203">
        <f>H97/DAY(B2)</f>
        <v>-10.80952380952381</v>
      </c>
      <c r="K97" s="80"/>
      <c r="L97" s="68"/>
      <c r="N97" s="73"/>
      <c r="O97" s="73"/>
    </row>
    <row r="98" spans="1:15" ht="27.75">
      <c r="A98" s="771" t="s">
        <v>210</v>
      </c>
      <c r="B98" s="772"/>
      <c r="C98" s="772"/>
      <c r="D98" s="174" t="s">
        <v>143</v>
      </c>
      <c r="E98" s="135">
        <f>'20'!F98</f>
        <v>99159</v>
      </c>
      <c r="F98" s="135">
        <v>99182</v>
      </c>
      <c r="G98" s="959">
        <f t="shared" si="11"/>
        <v>23</v>
      </c>
      <c r="H98" s="111">
        <f>G98+'20'!H98</f>
        <v>-266</v>
      </c>
      <c r="I98" s="131"/>
      <c r="J98" s="203">
        <f>H98/DAY(B2)</f>
        <v>-12.666666666666666</v>
      </c>
      <c r="K98" s="85"/>
      <c r="L98" s="68"/>
      <c r="N98" s="73"/>
      <c r="O98" s="73"/>
    </row>
    <row r="99" spans="1:15" ht="27.75">
      <c r="A99" s="771" t="s">
        <v>211</v>
      </c>
      <c r="B99" s="772"/>
      <c r="C99" s="772"/>
      <c r="D99" s="174" t="s">
        <v>143</v>
      </c>
      <c r="E99" s="135">
        <f>'20'!F99</f>
        <v>150980</v>
      </c>
      <c r="F99" s="135">
        <v>150998</v>
      </c>
      <c r="G99" s="959">
        <f t="shared" si="11"/>
        <v>18</v>
      </c>
      <c r="H99" s="111">
        <f>G99+'20'!H99</f>
        <v>-253</v>
      </c>
      <c r="I99" s="131"/>
      <c r="J99" s="203">
        <f>H99/DAY(B2)</f>
        <v>-12.047619047619047</v>
      </c>
      <c r="K99" s="71"/>
      <c r="L99" s="68"/>
      <c r="N99" s="73"/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35">
        <f>'20'!F100</f>
        <v>8018</v>
      </c>
      <c r="F100" s="135">
        <v>8033</v>
      </c>
      <c r="G100" s="959">
        <f t="shared" si="11"/>
        <v>15</v>
      </c>
      <c r="H100" s="111">
        <f>G100+'20'!H100</f>
        <v>-132</v>
      </c>
      <c r="I100" s="131"/>
      <c r="J100" s="203">
        <f>H100/DAY(B2)</f>
        <v>-6.2857142857142856</v>
      </c>
      <c r="K100" s="71"/>
      <c r="L100" s="68"/>
      <c r="N100" s="73"/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35">
        <f>'20'!F101</f>
        <v>5871</v>
      </c>
      <c r="F101" s="135">
        <v>5885</v>
      </c>
      <c r="G101" s="959">
        <f t="shared" si="11"/>
        <v>14</v>
      </c>
      <c r="H101" s="111">
        <f>G101+'20'!H101</f>
        <v>-106</v>
      </c>
      <c r="I101" s="131"/>
      <c r="J101" s="203">
        <f>H101/DAY(B2)</f>
        <v>-5.0476190476190474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974">
        <f>SUM(G96:G101)</f>
        <v>167</v>
      </c>
      <c r="H102" s="111">
        <f>G102+'20'!H102</f>
        <v>-1680</v>
      </c>
      <c r="I102" s="177"/>
      <c r="J102" s="203">
        <f>H102/DAY(B2)</f>
        <v>-80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75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976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f>'20'!F105</f>
        <v>7637</v>
      </c>
      <c r="F105" s="183">
        <v>7637</v>
      </c>
      <c r="G105" s="976">
        <f>F105-E105</f>
        <v>0</v>
      </c>
      <c r="H105" s="111">
        <f>G105+'20'!H105</f>
        <v>59.6299999999992</v>
      </c>
      <c r="I105" s="183"/>
      <c r="J105" s="209">
        <f>H105/DAY(B2)</f>
        <v>2.8395238095237714</v>
      </c>
      <c r="N105" s="95"/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5">
        <f>'20'!F106</f>
        <v>36352</v>
      </c>
      <c r="F106" s="185">
        <v>36364</v>
      </c>
      <c r="G106" s="976">
        <f t="shared" ref="G106:G107" si="12">F106-E106</f>
        <v>12</v>
      </c>
      <c r="H106" s="111">
        <f>G106+'20'!H106</f>
        <v>91</v>
      </c>
      <c r="I106" s="183"/>
      <c r="J106" s="209">
        <f>H106/DAY(B2)</f>
        <v>4.333333333333333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'20'!F107</f>
        <v>19908</v>
      </c>
      <c r="F107" s="183">
        <v>19914</v>
      </c>
      <c r="G107" s="976">
        <f t="shared" si="12"/>
        <v>6</v>
      </c>
      <c r="H107" s="111">
        <f>G107+'20'!H107</f>
        <v>161</v>
      </c>
      <c r="I107" s="183"/>
      <c r="J107" s="209">
        <f>H107/DAY(B2)</f>
        <v>7.666666666666667</v>
      </c>
      <c r="N107" s="95"/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>
        <f>'20'!F108</f>
        <v>0</v>
      </c>
      <c r="F108" s="183"/>
      <c r="G108" s="976">
        <f>SUM(G105:G107)</f>
        <v>18</v>
      </c>
      <c r="H108" s="111">
        <f>G108+'20'!H108</f>
        <v>192</v>
      </c>
      <c r="I108" s="183"/>
      <c r="J108" s="209">
        <f>H108/DAY(B2)</f>
        <v>9.1428571428571423</v>
      </c>
      <c r="N108" s="95"/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>
        <f>'20'!F109</f>
        <v>0</v>
      </c>
      <c r="F109" s="183"/>
      <c r="G109" s="976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'20'!F110</f>
        <v>66302</v>
      </c>
      <c r="F110" s="183">
        <v>66368</v>
      </c>
      <c r="G110" s="976">
        <f>F110-E110</f>
        <v>66</v>
      </c>
      <c r="H110" s="111">
        <f>G110+'20'!H110</f>
        <v>428.56000000005588</v>
      </c>
      <c r="I110" s="183"/>
      <c r="J110" s="209">
        <f>H110/DAY(B2)</f>
        <v>20.407619047621708</v>
      </c>
      <c r="N110" s="95"/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'20'!F111</f>
        <v>33714</v>
      </c>
      <c r="F111" s="183">
        <v>33718</v>
      </c>
      <c r="G111" s="976">
        <f t="shared" ref="G111:G112" si="13">F111-E111</f>
        <v>4</v>
      </c>
      <c r="H111" s="111">
        <f>G111+'20'!H111</f>
        <v>102.27999999999884</v>
      </c>
      <c r="I111" s="183"/>
      <c r="J111" s="209">
        <f>H111/DAY(B2)</f>
        <v>4.8704761904761353</v>
      </c>
      <c r="N111" s="95"/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f>'20'!F112</f>
        <v>4622</v>
      </c>
      <c r="F112" s="183">
        <v>4622</v>
      </c>
      <c r="G112" s="976">
        <f t="shared" si="13"/>
        <v>0</v>
      </c>
      <c r="H112" s="111">
        <f>G112+'20'!H112</f>
        <v>305</v>
      </c>
      <c r="I112" s="183"/>
      <c r="J112" s="209">
        <f>H112/DAY(B2)</f>
        <v>14.523809523809524</v>
      </c>
      <c r="N112" s="95"/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>
        <f>'20'!F113</f>
        <v>0</v>
      </c>
      <c r="F113" s="183"/>
      <c r="G113" s="976">
        <f>SUM(G110:G112)</f>
        <v>70</v>
      </c>
      <c r="H113" s="111">
        <f>G113+'20'!H113</f>
        <v>1161</v>
      </c>
      <c r="I113" s="183"/>
      <c r="J113" s="209">
        <f>H113/DAY(B2)</f>
        <v>55.285714285714285</v>
      </c>
      <c r="N113" s="95"/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>
        <f>'20'!F114</f>
        <v>0</v>
      </c>
      <c r="F114" s="183"/>
      <c r="G114" s="976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'20'!F115</f>
        <v>12287</v>
      </c>
      <c r="F115" s="185">
        <v>12306</v>
      </c>
      <c r="G115" s="977">
        <f>F115-E115</f>
        <v>19</v>
      </c>
      <c r="H115" s="111">
        <f>G115+'20'!H115</f>
        <v>64</v>
      </c>
      <c r="I115" s="183"/>
      <c r="J115" s="209">
        <f>H115/DAY(B2)</f>
        <v>3.0476190476190474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'20'!F116</f>
        <v>8721</v>
      </c>
      <c r="F116" s="185">
        <v>8732</v>
      </c>
      <c r="G116" s="977">
        <f t="shared" ref="G116:G117" si="14">F116-E116</f>
        <v>11</v>
      </c>
      <c r="H116" s="111">
        <f>G116+'20'!H116</f>
        <v>165</v>
      </c>
      <c r="I116" s="183"/>
      <c r="J116" s="209">
        <f>H116/DAY(B2)</f>
        <v>7.8571428571428568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977">
        <f t="shared" si="14"/>
        <v>0</v>
      </c>
      <c r="H117" s="111">
        <f>G117+'20'!H117</f>
        <v>171</v>
      </c>
      <c r="I117" s="183"/>
      <c r="J117" s="209">
        <f>H117/DAY(B2)</f>
        <v>8.1428571428571423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977">
        <f>SUM(G115:G117)</f>
        <v>30</v>
      </c>
      <c r="H118" s="111">
        <f>G118+'20'!H118</f>
        <v>164</v>
      </c>
      <c r="I118" s="185"/>
      <c r="J118" s="209">
        <f>H118/DAY(B2)</f>
        <v>7.8095238095238093</v>
      </c>
      <c r="N118" s="98"/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>
        <f>SUM(G19+G93)</f>
        <v>139</v>
      </c>
      <c r="G119" s="977">
        <f>SUM(G19+G93)</f>
        <v>139</v>
      </c>
      <c r="H119" s="111">
        <f>G119+'20'!H119</f>
        <v>651</v>
      </c>
      <c r="I119" s="186"/>
      <c r="J119" s="210">
        <f>H119/DAY(B2)</f>
        <v>31</v>
      </c>
      <c r="N119" s="429"/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>
        <f>SUM(G96,G97,G98,G100,G101)</f>
        <v>149</v>
      </c>
      <c r="G120" s="977">
        <f>SUM(G96,G97,G98,G100,G101)</f>
        <v>149</v>
      </c>
      <c r="H120" s="111">
        <f>G120+'20'!H120</f>
        <v>564</v>
      </c>
      <c r="I120" s="186"/>
      <c r="J120" s="210">
        <f>H120/DAY(B2)</f>
        <v>26.857142857142858</v>
      </c>
      <c r="N120" s="429"/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>
        <f>SUM(G113)</f>
        <v>70</v>
      </c>
      <c r="G121" s="977">
        <f>SUM(G113)</f>
        <v>70</v>
      </c>
      <c r="H121" s="111">
        <f>G121+'20'!H121</f>
        <v>367</v>
      </c>
      <c r="I121" s="186"/>
      <c r="J121" s="210">
        <f>H121/DAY(B2)</f>
        <v>17.476190476190474</v>
      </c>
      <c r="N121" s="429"/>
      <c r="O121" s="73"/>
    </row>
    <row r="122" spans="1:15" s="93" customFormat="1" ht="27.75">
      <c r="A122" s="1190"/>
      <c r="B122" s="1191"/>
      <c r="C122" s="769"/>
      <c r="D122" s="211"/>
      <c r="E122" s="211"/>
      <c r="F122" s="211" t="s">
        <v>214</v>
      </c>
      <c r="G122" s="978"/>
      <c r="H122" s="212">
        <v>0</v>
      </c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962"/>
      <c r="H123" s="134">
        <v>0</v>
      </c>
      <c r="I123" s="134"/>
      <c r="J123" s="214"/>
      <c r="K123" s="71"/>
      <c r="L123" s="68"/>
      <c r="N123" s="73"/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29">
        <f>'20'!F124</f>
        <v>845107.45</v>
      </c>
      <c r="F124" s="129">
        <v>845376.68</v>
      </c>
      <c r="G124" s="959">
        <f t="shared" ref="G124:G128" si="15">F124-E124</f>
        <v>269.23000000009779</v>
      </c>
      <c r="H124" s="111">
        <f>G124+'20'!H124</f>
        <v>-2589.3199999999488</v>
      </c>
      <c r="I124" s="177"/>
      <c r="J124" s="203">
        <f>H124/DAY(B2)</f>
        <v>-123.30095238094994</v>
      </c>
      <c r="K124" s="71"/>
      <c r="L124" s="68"/>
      <c r="N124" s="73"/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277">
        <f>'20'!F125</f>
        <v>73583.399999999994</v>
      </c>
      <c r="F125" s="277">
        <v>73583.399999999994</v>
      </c>
      <c r="G125" s="959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'20'!F126</f>
        <v>150443.23000000001</v>
      </c>
      <c r="F126" s="129">
        <v>150528.29999999999</v>
      </c>
      <c r="G126" s="959">
        <f t="shared" si="15"/>
        <v>85.069999999977881</v>
      </c>
      <c r="H126" s="111">
        <f>G126+'20'!H126</f>
        <v>-792.70000000001164</v>
      </c>
      <c r="I126" s="177"/>
      <c r="J126" s="203">
        <f>H126/DAY(B2)</f>
        <v>-37.747619047619601</v>
      </c>
      <c r="K126" s="71"/>
      <c r="L126" s="68"/>
      <c r="N126" s="73"/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277">
        <f>'20'!F127</f>
        <v>32839</v>
      </c>
      <c r="F127" s="277">
        <v>32878.6</v>
      </c>
      <c r="G127" s="959">
        <f t="shared" si="15"/>
        <v>39.599999999998545</v>
      </c>
      <c r="H127" s="111">
        <f>G127+'20'!H127</f>
        <v>-409.40000000000146</v>
      </c>
      <c r="I127" s="177"/>
      <c r="J127" s="203">
        <f>H127/DAY(B2)</f>
        <v>-19.495238095238165</v>
      </c>
      <c r="K127" s="71"/>
      <c r="L127" s="68"/>
      <c r="N127" s="73"/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277">
        <f>'20'!F128</f>
        <v>9086.7000000000007</v>
      </c>
      <c r="F128" s="277">
        <v>9088</v>
      </c>
      <c r="G128" s="959">
        <f t="shared" si="15"/>
        <v>1.2999999999992724</v>
      </c>
      <c r="H128" s="111">
        <f>G128+'20'!H128</f>
        <v>-25</v>
      </c>
      <c r="I128" s="131"/>
      <c r="J128" s="203">
        <f>H128/DAY(B2)</f>
        <v>-1.1904761904761905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959">
        <f>G15-SUM(G124:G128)</f>
        <v>554.79999999992651</v>
      </c>
      <c r="H129" s="111">
        <f>G129+'20'!H129</f>
        <v>15593.419999999962</v>
      </c>
      <c r="I129" s="131"/>
      <c r="J129" s="203">
        <f>H129/DAY(B2)</f>
        <v>742.54380952380768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79"/>
      <c r="H130" s="191"/>
      <c r="I130" s="191"/>
      <c r="J130" s="215"/>
      <c r="N130" s="73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35">
        <f>'20'!F131</f>
        <v>0</v>
      </c>
      <c r="F131" s="135">
        <v>0</v>
      </c>
      <c r="G131" s="959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35">
        <f>'20'!F132</f>
        <v>0</v>
      </c>
      <c r="F132" s="135">
        <v>0</v>
      </c>
      <c r="G132" s="959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92">
        <f>'20'!F133</f>
        <v>40612.1</v>
      </c>
      <c r="F133" s="192">
        <v>40612.1</v>
      </c>
      <c r="G133" s="959">
        <f t="shared" si="16"/>
        <v>0</v>
      </c>
      <c r="H133" s="111">
        <f>G133+'20'!H133</f>
        <v>-6.9000000000014552</v>
      </c>
      <c r="I133" s="131"/>
      <c r="J133" s="203">
        <f>H133/DAY(B2)</f>
        <v>-0.32857142857149785</v>
      </c>
      <c r="N133" s="73"/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92">
        <f>'20'!F134</f>
        <v>427.01</v>
      </c>
      <c r="F134" s="192">
        <v>445.19</v>
      </c>
      <c r="G134" s="980">
        <f t="shared" si="16"/>
        <v>18.180000000000007</v>
      </c>
      <c r="H134" s="356">
        <f>G134+'20'!H134</f>
        <v>-128.81</v>
      </c>
      <c r="I134" s="722">
        <f>G131+G132+G133+G134</f>
        <v>18.180000000000007</v>
      </c>
      <c r="J134" s="358">
        <f>H134/DAY(B2)</f>
        <v>-6.133809523809524</v>
      </c>
      <c r="N134" s="364"/>
      <c r="O134" s="364"/>
    </row>
    <row r="135" spans="1:15" ht="27.75">
      <c r="A135" s="771" t="s">
        <v>242</v>
      </c>
      <c r="B135" s="772"/>
      <c r="C135" s="772"/>
      <c r="D135" s="174" t="s">
        <v>238</v>
      </c>
      <c r="E135" s="192">
        <f>'20'!F135</f>
        <v>42304.14</v>
      </c>
      <c r="F135" s="192">
        <v>42313.53</v>
      </c>
      <c r="G135" s="959">
        <f t="shared" si="16"/>
        <v>9.3899999999994179</v>
      </c>
      <c r="H135" s="111">
        <f>G135+'20'!H135</f>
        <v>-185.47000000000116</v>
      </c>
      <c r="I135" s="131"/>
      <c r="J135" s="203">
        <f>H135/DAY(B2)</f>
        <v>-8.8319047619048181</v>
      </c>
      <c r="N135" s="73"/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92">
        <f>'20'!F136</f>
        <v>32874</v>
      </c>
      <c r="F136" s="192">
        <v>32874</v>
      </c>
      <c r="G136" s="959">
        <f t="shared" si="16"/>
        <v>0</v>
      </c>
      <c r="H136" s="111">
        <f>G136+'20'!H136</f>
        <v>0</v>
      </c>
      <c r="I136" s="131"/>
      <c r="J136" s="203">
        <f>H136/DAY(B2)</f>
        <v>0</v>
      </c>
      <c r="N136" s="73"/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92">
        <f>'20'!F137</f>
        <v>23033.279999999999</v>
      </c>
      <c r="F137" s="192">
        <v>23043.35</v>
      </c>
      <c r="G137" s="959">
        <f t="shared" si="16"/>
        <v>10.069999999999709</v>
      </c>
      <c r="H137" s="111">
        <f>G137+'20'!H137</f>
        <v>-63.210000000002765</v>
      </c>
      <c r="I137" s="131">
        <f>G135+G136+G137</f>
        <v>19.459999999999127</v>
      </c>
      <c r="J137" s="203">
        <f>H137/DAY(B2)</f>
        <v>-3.0100000000001317</v>
      </c>
      <c r="N137" s="73"/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92">
        <f>'20'!F138</f>
        <v>25099.16</v>
      </c>
      <c r="F138" s="192">
        <v>25099.16</v>
      </c>
      <c r="G138" s="959">
        <f t="shared" si="16"/>
        <v>0</v>
      </c>
      <c r="H138" s="111">
        <f>G138+'20'!H138</f>
        <v>-20.290000000000873</v>
      </c>
      <c r="I138" s="131"/>
      <c r="J138" s="203">
        <f>H138/DAY(B2)</f>
        <v>-0.96619047619051779</v>
      </c>
      <c r="N138" s="73"/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92">
        <f>'20'!F139</f>
        <v>70516.600000000006</v>
      </c>
      <c r="F139" s="192">
        <v>70516.600000000006</v>
      </c>
      <c r="G139" s="959">
        <f t="shared" si="16"/>
        <v>0</v>
      </c>
      <c r="H139" s="111">
        <f>G139+'20'!H139</f>
        <v>0</v>
      </c>
      <c r="I139" s="131">
        <f>G138+G139</f>
        <v>0</v>
      </c>
      <c r="J139" s="203">
        <f>H139/DAY(B2)</f>
        <v>0</v>
      </c>
      <c r="N139" s="73"/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35">
        <f>'20'!F140</f>
        <v>2247.77</v>
      </c>
      <c r="F140" s="135">
        <v>2247.77</v>
      </c>
      <c r="G140" s="959">
        <f t="shared" si="16"/>
        <v>0</v>
      </c>
      <c r="H140" s="111">
        <f>G140+'20'!H140</f>
        <v>-63.789999999999964</v>
      </c>
      <c r="I140" s="193"/>
      <c r="J140" s="203">
        <f>H140/DAY(B2)</f>
        <v>-3.0376190476190459</v>
      </c>
      <c r="N140" s="73"/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35">
        <f>'20'!F141</f>
        <v>4714.67</v>
      </c>
      <c r="F141" s="135">
        <v>4724.13</v>
      </c>
      <c r="G141" s="959">
        <f t="shared" si="16"/>
        <v>9.4600000000000364</v>
      </c>
      <c r="H141" s="111">
        <f>G141+'20'!H141</f>
        <v>-29.869999999999891</v>
      </c>
      <c r="I141" s="193"/>
      <c r="J141" s="203">
        <f>H141/DAY(B2)</f>
        <v>-1.4223809523809472</v>
      </c>
      <c r="N141" s="73"/>
      <c r="O141" s="73"/>
    </row>
    <row r="142" spans="1:15">
      <c r="A142" s="1203" t="s">
        <v>249</v>
      </c>
      <c r="B142" s="1204"/>
      <c r="C142" s="777"/>
      <c r="D142" s="123"/>
      <c r="E142" s="123"/>
      <c r="F142" s="123"/>
      <c r="G142" s="962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972">
        <f>G35+G43+G49+G57</f>
        <v>5390.1400000000722</v>
      </c>
      <c r="H143" s="111">
        <f>G143+'20'!H143</f>
        <v>-60499.069999999949</v>
      </c>
      <c r="I143" s="131"/>
      <c r="J143" s="203">
        <f>H143/DAY(B2)</f>
        <v>-2880.9080952380928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981">
        <f>G143/G7</f>
        <v>0.23183397849462675</v>
      </c>
      <c r="H144" s="111">
        <f>G144+'20'!H144</f>
        <v>-2.4329457770431548</v>
      </c>
      <c r="I144" s="195"/>
      <c r="J144" s="203">
        <f>H144/DAY(B2)</f>
        <v>-0.1158545608115788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972">
        <f>G41+G42+G55+G56</f>
        <v>6289.1099999999278</v>
      </c>
      <c r="H145" s="111">
        <f>G145+'20'!H145</f>
        <v>-70153.350000000064</v>
      </c>
      <c r="I145" s="131"/>
      <c r="J145" s="203">
        <f>H145/DAY(B2)</f>
        <v>-3340.6357142857173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981">
        <f>G145/G7</f>
        <v>0.27049935483870657</v>
      </c>
      <c r="H146" s="111">
        <f>G146+'20'!H146</f>
        <v>-2.8360690421072654</v>
      </c>
      <c r="I146" s="195"/>
      <c r="J146" s="203">
        <f>H146/DAY(B2)</f>
        <v>-0.13505090676701265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972">
        <f>G39+G53</f>
        <v>3741.5200000000186</v>
      </c>
      <c r="H147" s="111">
        <f>G147+'20'!H147</f>
        <v>-37926.459999999963</v>
      </c>
      <c r="I147" s="196"/>
      <c r="J147" s="203">
        <f>H147/DAY(B2)</f>
        <v>-1806.021904761903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981">
        <f>G147/G7</f>
        <v>0.16092559139785026</v>
      </c>
      <c r="H148" s="111">
        <f>G148+'20'!H148</f>
        <v>-1.5163676188518884</v>
      </c>
      <c r="I148" s="196"/>
      <c r="J148" s="203">
        <f>H148/DAY(B2)</f>
        <v>-7.220798185008992E-2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972">
        <f>G38+G52</f>
        <v>1578.0499999999593</v>
      </c>
      <c r="H149" s="111">
        <f>G149+'20'!H149</f>
        <v>-16074.020000000048</v>
      </c>
      <c r="I149" s="131"/>
      <c r="J149" s="203">
        <f>H149/DAY(B2)</f>
        <v>-765.42952380952613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981">
        <f>G149/G7</f>
        <v>6.7873118279568143E-2</v>
      </c>
      <c r="H150" s="111">
        <f>G150+'20'!H150</f>
        <v>-0.63975794572448696</v>
      </c>
      <c r="I150" s="196"/>
      <c r="J150" s="203">
        <f>H150/DAY(B2)</f>
        <v>-3.0464664082118426E-2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972">
        <f>G36+G50</f>
        <v>1774.3200000000434</v>
      </c>
      <c r="H151" s="111">
        <f>G151+'20'!H151</f>
        <v>-17998.40999999996</v>
      </c>
      <c r="I151" s="196"/>
      <c r="J151" s="203">
        <f>H151/DAY(B2)</f>
        <v>-857.06714285714099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981">
        <f>G151/G7</f>
        <v>7.6314838709679284E-2</v>
      </c>
      <c r="H152" s="111">
        <f>G152+'20'!H152</f>
        <v>-0.7218391990996631</v>
      </c>
      <c r="I152" s="131"/>
      <c r="J152" s="203">
        <f>H152/DAY(B2)</f>
        <v>-3.4373295195222052E-2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972">
        <f>G37+G51</f>
        <v>1602.9200000000128</v>
      </c>
      <c r="H153" s="111">
        <f>G153+'20'!H153</f>
        <v>-16344.109999999986</v>
      </c>
      <c r="I153" s="131"/>
      <c r="J153" s="203">
        <f>H153/DAY(B2)</f>
        <v>-778.29095238095169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982">
        <f>G153/G7</f>
        <v>6.894279569892528E-2</v>
      </c>
      <c r="H154" s="111">
        <f>G154+'20'!H154</f>
        <v>-0.65544095135857472</v>
      </c>
      <c r="I154" s="219"/>
      <c r="J154" s="220">
        <f>H154/DAY(B2)</f>
        <v>-3.1211473874217844E-2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83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'20'!F161</f>
        <v>42448.7</v>
      </c>
      <c r="F161" s="309">
        <v>42528.83</v>
      </c>
      <c r="G161" s="959">
        <f t="shared" ref="G161:G164" si="17">F161-E161</f>
        <v>80.130000000004657</v>
      </c>
      <c r="K161" s="67">
        <v>68.829999999999927</v>
      </c>
      <c r="L161" s="67">
        <f t="shared" ref="L161:L172" si="18">G161-K161</f>
        <v>11.300000000004729</v>
      </c>
    </row>
    <row r="162" spans="1:12">
      <c r="A162" s="435" t="s">
        <v>263</v>
      </c>
      <c r="B162" s="436"/>
      <c r="C162" s="436"/>
      <c r="D162" s="162" t="s">
        <v>186</v>
      </c>
      <c r="E162" s="309">
        <f>'20'!F162</f>
        <v>116939.93</v>
      </c>
      <c r="F162" s="309">
        <v>117387.67</v>
      </c>
      <c r="G162" s="959">
        <f t="shared" si="17"/>
        <v>447.74000000000524</v>
      </c>
      <c r="K162" s="67">
        <v>122.46000000000004</v>
      </c>
      <c r="L162" s="67">
        <f t="shared" si="18"/>
        <v>325.2800000000052</v>
      </c>
    </row>
    <row r="163" spans="1:12">
      <c r="A163" s="435" t="s">
        <v>264</v>
      </c>
      <c r="B163" s="436"/>
      <c r="C163" s="436"/>
      <c r="D163" s="162" t="s">
        <v>186</v>
      </c>
      <c r="E163" s="309">
        <f>'20'!F163</f>
        <v>65320.79</v>
      </c>
      <c r="F163" s="309">
        <v>65520.22</v>
      </c>
      <c r="G163" s="959">
        <f t="shared" si="17"/>
        <v>199.43000000000029</v>
      </c>
      <c r="K163" s="67">
        <v>139.42000000000007</v>
      </c>
      <c r="L163" s="67">
        <f t="shared" si="18"/>
        <v>60.010000000000218</v>
      </c>
    </row>
    <row r="164" spans="1:12">
      <c r="A164" s="435" t="s">
        <v>265</v>
      </c>
      <c r="B164" s="436"/>
      <c r="C164" s="436"/>
      <c r="D164" s="162" t="s">
        <v>186</v>
      </c>
      <c r="E164" s="309">
        <f>'20'!F164</f>
        <v>7041.24</v>
      </c>
      <c r="F164" s="309">
        <v>7048.78</v>
      </c>
      <c r="G164" s="959">
        <f t="shared" si="17"/>
        <v>7.5399999999999636</v>
      </c>
      <c r="K164" s="67">
        <v>49.659999999999968</v>
      </c>
      <c r="L164" s="67">
        <f t="shared" si="18"/>
        <v>-42.120000000000005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59">
        <f t="shared" ref="G165:G172" si="19">F165-E165</f>
        <v>0</v>
      </c>
      <c r="K165" s="67">
        <v>0</v>
      </c>
      <c r="L165" s="67">
        <f t="shared" si="18"/>
        <v>0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59">
        <f t="shared" si="19"/>
        <v>0</v>
      </c>
      <c r="K166" s="67">
        <v>0</v>
      </c>
      <c r="L166" s="67">
        <f t="shared" si="18"/>
        <v>0</v>
      </c>
    </row>
    <row r="167" spans="1:12" ht="27.75">
      <c r="A167" s="1187" t="s">
        <v>98</v>
      </c>
      <c r="B167" s="1187"/>
      <c r="C167" s="1187"/>
      <c r="D167" s="174" t="s">
        <v>186</v>
      </c>
      <c r="E167" s="165">
        <f t="shared" si="20"/>
        <v>177804.47</v>
      </c>
      <c r="F167" s="165">
        <f t="shared" si="21"/>
        <v>178152.49</v>
      </c>
      <c r="G167" s="959">
        <f t="shared" si="19"/>
        <v>348.01999999998952</v>
      </c>
      <c r="K167" s="67">
        <v>201.76000000000204</v>
      </c>
      <c r="L167" s="67">
        <f t="shared" si="18"/>
        <v>146.25999999998749</v>
      </c>
    </row>
    <row r="168" spans="1:12" ht="27.75">
      <c r="A168" s="1187" t="s">
        <v>99</v>
      </c>
      <c r="B168" s="1187"/>
      <c r="C168" s="1187"/>
      <c r="D168" s="174" t="s">
        <v>186</v>
      </c>
      <c r="E168" s="165">
        <f t="shared" si="20"/>
        <v>177910.09</v>
      </c>
      <c r="F168" s="165">
        <f t="shared" si="21"/>
        <v>178292.59</v>
      </c>
      <c r="G168" s="959">
        <f t="shared" si="19"/>
        <v>382.5</v>
      </c>
      <c r="K168" s="67">
        <v>191.63000000000466</v>
      </c>
      <c r="L168" s="67">
        <f t="shared" si="18"/>
        <v>190.86999999999534</v>
      </c>
    </row>
    <row r="169" spans="1:12" ht="27.75">
      <c r="A169" s="1187" t="s">
        <v>100</v>
      </c>
      <c r="B169" s="1187"/>
      <c r="C169" s="1187"/>
      <c r="D169" s="174" t="s">
        <v>186</v>
      </c>
      <c r="E169" s="165">
        <f t="shared" si="20"/>
        <v>76217.929999999993</v>
      </c>
      <c r="F169" s="165">
        <f t="shared" si="21"/>
        <v>76625.75</v>
      </c>
      <c r="G169" s="959">
        <f t="shared" si="19"/>
        <v>407.82000000000698</v>
      </c>
      <c r="K169" s="67">
        <v>231.68000000000029</v>
      </c>
      <c r="L169" s="67">
        <f t="shared" si="18"/>
        <v>176.14000000000669</v>
      </c>
    </row>
    <row r="170" spans="1:12" ht="27.75">
      <c r="A170" s="1187" t="s">
        <v>101</v>
      </c>
      <c r="B170" s="1187"/>
      <c r="C170" s="1187"/>
      <c r="D170" s="174" t="s">
        <v>186</v>
      </c>
      <c r="E170" s="165">
        <f t="shared" si="20"/>
        <v>274426.67</v>
      </c>
      <c r="F170" s="165">
        <f t="shared" si="21"/>
        <v>274928.11</v>
      </c>
      <c r="G170" s="959">
        <f t="shared" si="19"/>
        <v>501.44000000000233</v>
      </c>
      <c r="K170" s="67">
        <v>344.30000000000291</v>
      </c>
      <c r="L170" s="67">
        <f t="shared" si="18"/>
        <v>157.13999999999942</v>
      </c>
    </row>
    <row r="171" spans="1:12" ht="27.75">
      <c r="A171" s="1187" t="s">
        <v>102</v>
      </c>
      <c r="B171" s="1187"/>
      <c r="C171" s="1187"/>
      <c r="D171" s="174" t="s">
        <v>186</v>
      </c>
      <c r="E171" s="165">
        <f t="shared" si="20"/>
        <v>85321</v>
      </c>
      <c r="F171" s="165">
        <f t="shared" si="21"/>
        <v>85321</v>
      </c>
      <c r="G171" s="959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>
      <c r="A172" s="1187" t="s">
        <v>103</v>
      </c>
      <c r="B172" s="1187"/>
      <c r="C172" s="1187"/>
      <c r="D172" s="174" t="s">
        <v>186</v>
      </c>
      <c r="E172" s="165">
        <f t="shared" si="20"/>
        <v>92936.63</v>
      </c>
      <c r="F172" s="165">
        <f t="shared" si="21"/>
        <v>93221.18</v>
      </c>
      <c r="G172" s="959">
        <f t="shared" si="19"/>
        <v>284.54999999998836</v>
      </c>
      <c r="K172" s="67">
        <v>57.709999999999127</v>
      </c>
      <c r="L172" s="67">
        <f t="shared" si="18"/>
        <v>226.83999999998923</v>
      </c>
    </row>
    <row r="173" spans="1:12">
      <c r="G173" s="984">
        <f>SUM(G161:G172)</f>
        <v>2659.1699999999973</v>
      </c>
    </row>
    <row r="174" spans="1:12" ht="27.75">
      <c r="A174" s="1187" t="s">
        <v>338</v>
      </c>
      <c r="B174" s="1187"/>
      <c r="C174" s="1187"/>
      <c r="D174" s="174" t="s">
        <v>186</v>
      </c>
      <c r="E174" s="309">
        <f>'20'!F174</f>
        <v>19098</v>
      </c>
      <c r="F174" s="165">
        <v>19101.8</v>
      </c>
      <c r="G174" s="959">
        <f t="shared" ref="G174:G176" si="22">F174-E174</f>
        <v>3.7999999999992724</v>
      </c>
    </row>
    <row r="175" spans="1:12">
      <c r="A175" s="1228" t="s">
        <v>338</v>
      </c>
      <c r="B175" s="1191"/>
      <c r="C175" s="436"/>
      <c r="D175" s="174" t="s">
        <v>186</v>
      </c>
      <c r="E175" s="309">
        <f>'20'!F175</f>
        <v>70463</v>
      </c>
      <c r="F175" s="1122">
        <v>70468.899999999994</v>
      </c>
      <c r="G175" s="959">
        <f t="shared" si="22"/>
        <v>5.8999999999941792</v>
      </c>
    </row>
    <row r="176" spans="1:12">
      <c r="A176" s="1228" t="s">
        <v>339</v>
      </c>
      <c r="B176" s="1191"/>
      <c r="C176" s="436"/>
      <c r="D176" s="174" t="s">
        <v>186</v>
      </c>
      <c r="E176" s="309">
        <f>'20'!F176</f>
        <v>27733.7</v>
      </c>
      <c r="F176" s="1122">
        <v>27739.200000000001</v>
      </c>
      <c r="G176" s="959">
        <f t="shared" si="22"/>
        <v>5.5</v>
      </c>
    </row>
    <row r="177" spans="1:15" ht="18.75" customHeight="1"/>
    <row r="178" spans="1:15">
      <c r="A178" s="1228" t="s">
        <v>338</v>
      </c>
      <c r="B178" s="1191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3">F178-E178</f>
        <v>19067.400000000001</v>
      </c>
      <c r="N178" s="369"/>
      <c r="O178" s="374"/>
    </row>
    <row r="179" spans="1:15">
      <c r="A179" s="1228" t="s">
        <v>338</v>
      </c>
      <c r="B179" s="1191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3"/>
        <v>70423.7</v>
      </c>
      <c r="N179" s="369"/>
      <c r="O179" s="374"/>
    </row>
    <row r="180" spans="1:15">
      <c r="A180" s="1228" t="s">
        <v>339</v>
      </c>
      <c r="B180" s="1191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3"/>
        <v>27698</v>
      </c>
      <c r="N180" s="369"/>
      <c r="O180" s="374"/>
    </row>
    <row r="181" spans="1:15" ht="21" customHeight="1">
      <c r="F181" s="188" t="s">
        <v>274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B6" zoomScale="95" zoomScaleNormal="71" zoomScaleSheetLayoutView="95" workbookViewId="0">
      <selection activeCell="F19" sqref="F19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84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348</v>
      </c>
      <c r="B2" s="682">
        <v>44399</v>
      </c>
      <c r="C2" s="991" t="s">
        <v>68</v>
      </c>
      <c r="D2" s="262">
        <v>0.8</v>
      </c>
      <c r="E2" s="112"/>
      <c r="F2" s="112"/>
      <c r="G2" s="955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91" t="s">
        <v>119</v>
      </c>
      <c r="D3" s="263">
        <v>27</v>
      </c>
      <c r="E3" s="1214" t="s">
        <v>120</v>
      </c>
      <c r="F3" s="1215"/>
      <c r="G3" s="956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991" t="s">
        <v>121</v>
      </c>
      <c r="D4" s="262">
        <v>0.84</v>
      </c>
      <c r="E4" s="115"/>
      <c r="F4" s="115"/>
      <c r="G4" s="956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57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08" t="s">
        <v>129</v>
      </c>
      <c r="B6" s="1209"/>
      <c r="C6" s="1210"/>
      <c r="D6" s="122"/>
      <c r="E6" s="122"/>
      <c r="F6" s="122"/>
      <c r="G6" s="958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'21'!F7</f>
        <v>1081638</v>
      </c>
      <c r="F7" s="106">
        <f>E7+23250</f>
        <v>1104888</v>
      </c>
      <c r="G7" s="959">
        <f>F7-E7</f>
        <v>23250</v>
      </c>
      <c r="H7" s="111">
        <f>G7+'21'!H7</f>
        <v>497066</v>
      </c>
      <c r="I7" s="125">
        <f>'1'!I7</f>
        <v>12000</v>
      </c>
      <c r="J7" s="203">
        <f>H7/DAY(B2)</f>
        <v>22593.909090909092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'21'!F8</f>
        <v>391826.83</v>
      </c>
      <c r="F8" s="126">
        <v>413507.95</v>
      </c>
      <c r="G8" s="960">
        <f>F8-E8</f>
        <v>21681.119999999995</v>
      </c>
      <c r="H8" s="111">
        <f>G8+'21'!H8</f>
        <v>-202089.05</v>
      </c>
      <c r="I8" s="128">
        <f>'1'!I8</f>
        <v>12000</v>
      </c>
      <c r="J8" s="203">
        <f>H8/DAY(B2)</f>
        <v>-9185.8659090909077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'21'!F9</f>
        <v>2480880.9</v>
      </c>
      <c r="F9" s="129">
        <v>2501803.5</v>
      </c>
      <c r="G9" s="959">
        <f t="shared" ref="G9:G12" si="0">F9-E9</f>
        <v>20922.600000000093</v>
      </c>
      <c r="H9" s="111">
        <f>G9+'21'!H9</f>
        <v>-194831.5</v>
      </c>
      <c r="I9" s="130">
        <f>I8-J8</f>
        <v>21185.865909090906</v>
      </c>
      <c r="J9" s="203">
        <f>H9/DAY(B2)</f>
        <v>-8855.9772727272721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'21'!F10</f>
        <v>2606.5500000000002</v>
      </c>
      <c r="F10" s="129">
        <v>2606.5500000000002</v>
      </c>
      <c r="G10" s="959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59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59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61">
        <f>G9+G10+G11+G12</f>
        <v>20922.600000000093</v>
      </c>
      <c r="H13" s="111">
        <f>G13+'21'!H13</f>
        <v>-237515.65000000002</v>
      </c>
      <c r="I13" s="133">
        <f>G7-G13</f>
        <v>2327.3999999999069</v>
      </c>
      <c r="J13" s="203">
        <f>H13/DAY(B2)</f>
        <v>-10796.165909090911</v>
      </c>
      <c r="K13" s="81"/>
      <c r="L13" s="68"/>
      <c r="N13" s="73"/>
      <c r="O13" s="73"/>
    </row>
    <row r="14" spans="1:15">
      <c r="A14" s="1211" t="s">
        <v>138</v>
      </c>
      <c r="B14" s="1212"/>
      <c r="C14" s="1213"/>
      <c r="D14" s="123"/>
      <c r="E14" s="123"/>
      <c r="F14" s="123"/>
      <c r="G14" s="962"/>
      <c r="H14" s="123"/>
      <c r="I14" s="123"/>
      <c r="J14" s="202"/>
      <c r="K14" s="82"/>
      <c r="L14" s="68"/>
      <c r="N14" s="73"/>
      <c r="O14" s="73"/>
    </row>
    <row r="15" spans="1:15">
      <c r="A15" s="989" t="s">
        <v>139</v>
      </c>
      <c r="B15" s="240"/>
      <c r="C15" s="240"/>
      <c r="D15" s="174" t="s">
        <v>140</v>
      </c>
      <c r="E15" s="135">
        <f>'21'!F15</f>
        <v>1748409</v>
      </c>
      <c r="F15" s="351">
        <f>E15+950</f>
        <v>1749359</v>
      </c>
      <c r="G15" s="963">
        <f>(F15-E15)</f>
        <v>950</v>
      </c>
      <c r="H15" s="111">
        <f>G15+'21'!H15</f>
        <v>19805</v>
      </c>
      <c r="I15" s="125">
        <v>800</v>
      </c>
      <c r="J15" s="203">
        <f>H15/DAY(B2)</f>
        <v>900.22727272727275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59"/>
      <c r="H16" s="137"/>
      <c r="I16" s="138">
        <f>I15-J15</f>
        <v>-100.22727272727275</v>
      </c>
      <c r="J16" s="204"/>
      <c r="K16" s="81"/>
      <c r="L16" s="68"/>
      <c r="N16" s="73"/>
      <c r="O16" s="73"/>
    </row>
    <row r="17" spans="1:15">
      <c r="A17" s="1211" t="s">
        <v>141</v>
      </c>
      <c r="B17" s="1212"/>
      <c r="C17" s="1213"/>
      <c r="D17" s="123"/>
      <c r="E17" s="123"/>
      <c r="F17" s="123"/>
      <c r="G17" s="962"/>
      <c r="H17" s="123"/>
      <c r="I17" s="123"/>
      <c r="J17" s="202"/>
      <c r="K17" s="81"/>
      <c r="L17" s="68"/>
      <c r="N17" s="73"/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35">
        <f>'21'!F18</f>
        <v>10</v>
      </c>
      <c r="F18" s="135">
        <v>12</v>
      </c>
      <c r="G18" s="961">
        <f>F18*10</f>
        <v>120</v>
      </c>
      <c r="H18" s="111">
        <f>G18+'21'!H18</f>
        <v>3470</v>
      </c>
      <c r="I18" s="125">
        <f>'1'!I18</f>
        <v>65</v>
      </c>
      <c r="J18" s="203">
        <f>H18/DAY(B2)</f>
        <v>157.72727272727272</v>
      </c>
      <c r="K18" s="81"/>
      <c r="L18" s="68"/>
      <c r="N18" s="73"/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35">
        <f>'21'!F19</f>
        <v>144690</v>
      </c>
      <c r="F19" s="135">
        <f>E19+60</f>
        <v>144750</v>
      </c>
      <c r="G19" s="959">
        <f t="shared" ref="G19" si="1">F19-E19</f>
        <v>60</v>
      </c>
      <c r="H19" s="111">
        <f>G19+'21'!H19</f>
        <v>1360</v>
      </c>
      <c r="I19" s="140"/>
      <c r="J19" s="203">
        <f>H19/DAY(B2)</f>
        <v>61.81818181818182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64">
        <f>G18+G19</f>
        <v>180</v>
      </c>
      <c r="H20" s="111">
        <f>G20+'21'!H20</f>
        <v>4830</v>
      </c>
      <c r="I20" s="143">
        <f>I18-J20</f>
        <v>-154.54545454545453</v>
      </c>
      <c r="J20" s="203">
        <f>H20/DAY(B2)</f>
        <v>219.54545454545453</v>
      </c>
      <c r="K20" s="81"/>
      <c r="L20" s="68"/>
      <c r="N20" s="73"/>
      <c r="O20" s="73"/>
    </row>
    <row r="21" spans="1:15">
      <c r="A21" s="1211" t="s">
        <v>145</v>
      </c>
      <c r="B21" s="1212"/>
      <c r="C21" s="1213"/>
      <c r="D21" s="123"/>
      <c r="E21" s="123"/>
      <c r="F21" s="123"/>
      <c r="G21" s="962"/>
      <c r="H21" s="123"/>
      <c r="I21" s="123"/>
      <c r="J21" s="202"/>
      <c r="K21" s="81"/>
      <c r="L21" s="68"/>
      <c r="N21" s="73"/>
      <c r="O21" s="73"/>
    </row>
    <row r="22" spans="1:15">
      <c r="A22" s="989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61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89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61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61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96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66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21681.119999999995</v>
      </c>
      <c r="F27" s="152">
        <v>9</v>
      </c>
      <c r="G27" s="967">
        <f>E27*F27</f>
        <v>195130.07999999996</v>
      </c>
      <c r="H27" s="111">
        <f>G27+'21'!H27</f>
        <v>-1818799.5599999996</v>
      </c>
      <c r="I27" s="154"/>
      <c r="J27" s="203">
        <f>H27/DAY(B2)</f>
        <v>-82672.707272727261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950</v>
      </c>
      <c r="F28" s="152">
        <v>52</v>
      </c>
      <c r="G28" s="967">
        <f>E28*F28</f>
        <v>49400</v>
      </c>
      <c r="H28" s="111">
        <f>G28+'21'!H28</f>
        <v>1062747.5</v>
      </c>
      <c r="I28" s="156"/>
      <c r="J28" s="203">
        <f>H28/DAY(B2)</f>
        <v>48306.704545454544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967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967">
        <f>E30*F30</f>
        <v>8760</v>
      </c>
      <c r="H30" s="111">
        <f>G30+'21'!H30</f>
        <v>198560</v>
      </c>
      <c r="I30" s="156"/>
      <c r="J30" s="203">
        <f>H30/DAY(B2)</f>
        <v>9025.454545454546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120</v>
      </c>
      <c r="F31" s="152">
        <v>80</v>
      </c>
      <c r="G31" s="967">
        <f>E31*F31</f>
        <v>9600</v>
      </c>
      <c r="H31" s="111">
        <f>G31+'21'!H31</f>
        <v>277600</v>
      </c>
      <c r="I31" s="156"/>
      <c r="J31" s="203">
        <f>H31/DAY(B2)</f>
        <v>12618.181818181818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68">
        <f>G27+G28+G29+G30+G31</f>
        <v>262890.07999999996</v>
      </c>
      <c r="H32" s="111">
        <f>G32+'21'!H32</f>
        <v>-279892.05999999994</v>
      </c>
      <c r="I32" s="160"/>
      <c r="J32" s="203">
        <f>H32/DAY(B2)</f>
        <v>-12722.366363636362</v>
      </c>
      <c r="K32" s="65"/>
      <c r="L32" s="94"/>
      <c r="N32" s="95"/>
      <c r="O32" s="73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  <c r="O33" s="73"/>
    </row>
    <row r="34" spans="1:15">
      <c r="A34" s="249" t="s">
        <v>162</v>
      </c>
      <c r="B34" s="994"/>
      <c r="C34" s="994"/>
      <c r="D34" s="123"/>
      <c r="E34" s="122"/>
      <c r="F34" s="122"/>
      <c r="G34" s="969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59">
        <f t="shared" ref="G35:G46" si="2">F35-E35</f>
        <v>0</v>
      </c>
      <c r="H35" s="111">
        <f>G35+'21'!H35</f>
        <v>0.69999999995343387</v>
      </c>
      <c r="I35" s="106"/>
      <c r="J35" s="203">
        <f>H35/DAY(B2)</f>
        <v>3.1818181816065175E-2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'21'!F36</f>
        <v>39023.919999999998</v>
      </c>
      <c r="F36" s="161">
        <v>39677.78</v>
      </c>
      <c r="G36" s="959">
        <f t="shared" si="2"/>
        <v>653.86000000000058</v>
      </c>
      <c r="H36" s="111">
        <f>G36+'21'!H36</f>
        <v>-7120.2200000000012</v>
      </c>
      <c r="I36" s="106"/>
      <c r="J36" s="203">
        <f>H36/DAY(B2)</f>
        <v>-323.64636363636367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'21'!F37</f>
        <v>209828.89</v>
      </c>
      <c r="F37" s="161">
        <v>211447.87</v>
      </c>
      <c r="G37" s="959">
        <f t="shared" si="2"/>
        <v>1618.9799999999814</v>
      </c>
      <c r="H37" s="111">
        <f>G37+'21'!H37</f>
        <v>-14725.130000000005</v>
      </c>
      <c r="I37" s="106"/>
      <c r="J37" s="203">
        <f>H37/DAY(B2)</f>
        <v>-669.32409090909107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'21'!F38</f>
        <v>232484.91</v>
      </c>
      <c r="F38" s="120">
        <v>233975.71</v>
      </c>
      <c r="G38" s="959">
        <f t="shared" si="2"/>
        <v>1490.7999999999884</v>
      </c>
      <c r="H38" s="111">
        <f>G38+'21'!H38</f>
        <v>-14583.290000000008</v>
      </c>
      <c r="I38" s="106"/>
      <c r="J38" s="203">
        <f>H38/DAY(B2)</f>
        <v>-662.87681818181852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'21'!F39</f>
        <v>482591.95</v>
      </c>
      <c r="F39" s="161">
        <v>486351.03</v>
      </c>
      <c r="G39" s="959">
        <f t="shared" si="2"/>
        <v>3759.0800000000163</v>
      </c>
      <c r="H39" s="111">
        <f>G39+'21'!H39</f>
        <v>-34166.969999999972</v>
      </c>
      <c r="I39" s="106"/>
      <c r="J39" s="203">
        <f>H39/DAY(B2)</f>
        <v>-1553.0440909090896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'21'!F40</f>
        <v>15413.4</v>
      </c>
      <c r="F40" s="161">
        <v>15858.73</v>
      </c>
      <c r="G40" s="959">
        <f t="shared" si="2"/>
        <v>445.32999999999993</v>
      </c>
      <c r="H40" s="111">
        <f>G40+'21'!H40</f>
        <v>-4314.2700000000004</v>
      </c>
      <c r="I40" s="106"/>
      <c r="J40" s="203">
        <f>H40/DAY(B2)</f>
        <v>-196.10318181818184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'21'!F41</f>
        <v>365502.35</v>
      </c>
      <c r="F41" s="161">
        <v>366839.55</v>
      </c>
      <c r="G41" s="959">
        <f t="shared" si="2"/>
        <v>1337.2000000000116</v>
      </c>
      <c r="H41" s="111">
        <f>G41+'21'!H41</f>
        <v>-0.45000000001164153</v>
      </c>
      <c r="I41" s="106"/>
      <c r="J41" s="203">
        <f>H41/DAY(B2)</f>
        <v>-2.0454545455074614E-2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'21'!F42</f>
        <v>89172.1</v>
      </c>
      <c r="F42" s="161">
        <v>89172.1</v>
      </c>
      <c r="G42" s="959">
        <f t="shared" si="2"/>
        <v>0</v>
      </c>
      <c r="H42" s="111">
        <f>G42+'21'!H42</f>
        <v>-26339.899999999994</v>
      </c>
      <c r="I42" s="106"/>
      <c r="J42" s="203">
        <f>H42/DAY(B2)</f>
        <v>-1197.2681818181816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'21'!F43</f>
        <v>1177047.3</v>
      </c>
      <c r="F43" s="161">
        <v>1179688.8999999999</v>
      </c>
      <c r="G43" s="959">
        <f>F43-E43</f>
        <v>2641.5999999998603</v>
      </c>
      <c r="H43" s="111">
        <f>G43+'21'!H43</f>
        <v>-24772.100000000093</v>
      </c>
      <c r="I43" s="106"/>
      <c r="J43" s="203">
        <f>H43/DAY(B2)</f>
        <v>-1126.0045454545498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59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59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59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61">
        <f>G35+G36+G37+G38+G39+G40+G41+G42+G43+G44+G45+G46</f>
        <v>11946.849999999858</v>
      </c>
      <c r="H47" s="111">
        <f>G47+'21'!H47</f>
        <v>-125220.63000000018</v>
      </c>
      <c r="I47" s="106"/>
      <c r="J47" s="203">
        <f>H47/DAY(B2)</f>
        <v>-5691.8468181818262</v>
      </c>
      <c r="K47" s="81"/>
      <c r="L47" s="68"/>
      <c r="N47" s="73"/>
      <c r="O47" s="73"/>
    </row>
    <row r="48" spans="1:15">
      <c r="A48" s="249" t="s">
        <v>176</v>
      </c>
      <c r="B48" s="994"/>
      <c r="C48" s="994"/>
      <c r="D48" s="123"/>
      <c r="E48" s="122"/>
      <c r="F48" s="122"/>
      <c r="G48" s="969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'21'!F49</f>
        <v>294020.75</v>
      </c>
      <c r="F49" s="161">
        <v>296946.51</v>
      </c>
      <c r="G49" s="959">
        <f t="shared" ref="G49:G58" si="3">F49-E49</f>
        <v>2925.7600000000093</v>
      </c>
      <c r="H49" s="111">
        <f>G49+'21'!H49</f>
        <v>-30091.489999999991</v>
      </c>
      <c r="I49" s="106"/>
      <c r="J49" s="203">
        <f>H49/DAY(B2)</f>
        <v>-1367.7949999999996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'21'!F50</f>
        <v>559700.67000000004</v>
      </c>
      <c r="F50" s="161">
        <v>560780.18999999994</v>
      </c>
      <c r="G50" s="959">
        <f t="shared" si="3"/>
        <v>1079.5199999999022</v>
      </c>
      <c r="H50" s="111">
        <f>G50+'21'!H50</f>
        <v>-10036.810000000056</v>
      </c>
      <c r="I50" s="106"/>
      <c r="J50" s="203">
        <f>H50/DAY(B2)</f>
        <v>-456.21863636363889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59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59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59">
        <f t="shared" si="3"/>
        <v>0</v>
      </c>
      <c r="H53" s="111">
        <f>G53+'21'!H53</f>
        <v>-0.73999999999068677</v>
      </c>
      <c r="I53" s="106"/>
      <c r="J53" s="203">
        <f>H53/DAY(B2)</f>
        <v>-3.363636363594031E-2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59">
        <f t="shared" si="3"/>
        <v>0.38999999999941792</v>
      </c>
      <c r="H54" s="111">
        <f>G54+'21'!H54</f>
        <v>0.38999999999941792</v>
      </c>
      <c r="I54" s="106"/>
      <c r="J54" s="203">
        <f>H54/DAY(B2)</f>
        <v>1.7727272727246269E-2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'21'!F55</f>
        <v>193307.01</v>
      </c>
      <c r="F55" s="161">
        <v>198850.87</v>
      </c>
      <c r="G55" s="959">
        <f t="shared" si="3"/>
        <v>5543.859999999986</v>
      </c>
      <c r="H55" s="111">
        <f>G55+'21'!H55</f>
        <v>-38335.130000000005</v>
      </c>
      <c r="I55" s="106"/>
      <c r="J55" s="203">
        <f>H55/DAY(B2)</f>
        <v>-1742.5059090909092</v>
      </c>
      <c r="K55" s="81"/>
      <c r="L55" s="68"/>
      <c r="N55" s="73"/>
      <c r="O55" s="73"/>
    </row>
    <row r="56" spans="1:15" s="92" customFormat="1">
      <c r="A56" s="753" t="s">
        <v>181</v>
      </c>
      <c r="B56" s="754"/>
      <c r="C56" s="754"/>
      <c r="D56" s="278" t="s">
        <v>182</v>
      </c>
      <c r="E56" s="304">
        <f>'21'!F56</f>
        <v>649252.18999999994</v>
      </c>
      <c r="F56" s="304">
        <v>649262.82999999996</v>
      </c>
      <c r="G56" s="980">
        <f t="shared" si="3"/>
        <v>10.64000000001397</v>
      </c>
      <c r="H56" s="356">
        <f>G56+'21'!H56</f>
        <v>-109.17000000004191</v>
      </c>
      <c r="I56" s="357"/>
      <c r="J56" s="358">
        <f>H56/DAY(B2)</f>
        <v>-4.9622727272746321</v>
      </c>
      <c r="K56" s="985"/>
      <c r="L56" s="756"/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59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'21'!F58</f>
        <v>57648.63</v>
      </c>
      <c r="F58" s="161">
        <v>57838.13</v>
      </c>
      <c r="G58" s="959">
        <f t="shared" si="3"/>
        <v>189.5</v>
      </c>
      <c r="H58" s="111">
        <f>G58+'21'!H58</f>
        <v>-2052.8700000000026</v>
      </c>
      <c r="I58" s="106"/>
      <c r="J58" s="203">
        <f>H58/DAY(B2)</f>
        <v>-93.312272727272841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61">
        <f>G49+G50+G51+G52+G53+G54+G55+G56+G57+G58</f>
        <v>9749.6699999999109</v>
      </c>
      <c r="H59" s="111">
        <f>G59+'21'!H59</f>
        <v>-80625.750000000146</v>
      </c>
      <c r="I59" s="106">
        <f>G7-G60</f>
        <v>1553.4800000002288</v>
      </c>
      <c r="J59" s="203">
        <f>H59/DAY(B2)</f>
        <v>-3664.8068181818248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61">
        <f>G47+G59</f>
        <v>21696.519999999771</v>
      </c>
      <c r="H60" s="111">
        <f>G60+'21'!H60</f>
        <v>-200269.05000000028</v>
      </c>
      <c r="I60" s="106">
        <f>G13-G60</f>
        <v>-773.91999999967811</v>
      </c>
      <c r="J60" s="203">
        <f>H47/DAY(B2)</f>
        <v>-5691.8468181818262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70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59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59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35">
        <f>'21'!F64</f>
        <v>178152.49</v>
      </c>
      <c r="F64" s="135">
        <v>178527.35</v>
      </c>
      <c r="G64" s="959">
        <f t="shared" si="4"/>
        <v>374.86000000001513</v>
      </c>
      <c r="H64" s="111">
        <f>G64+'21'!H64</f>
        <v>-3332.6499999999942</v>
      </c>
      <c r="I64" s="131"/>
      <c r="J64" s="203">
        <f>H64/DAY(B2)</f>
        <v>-151.48409090909064</v>
      </c>
      <c r="K64" s="81"/>
      <c r="L64" s="68"/>
      <c r="N64" s="73"/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35">
        <f>'21'!F65</f>
        <v>178292.59</v>
      </c>
      <c r="F65" s="135">
        <v>178694.59</v>
      </c>
      <c r="G65" s="959">
        <f t="shared" si="4"/>
        <v>402</v>
      </c>
      <c r="H65" s="111">
        <f>G65+'21'!H65</f>
        <v>-3514.4100000000035</v>
      </c>
      <c r="I65" s="140"/>
      <c r="J65" s="203">
        <f>H65/DAY(B2)</f>
        <v>-159.74590909090924</v>
      </c>
      <c r="K65" s="81"/>
      <c r="L65" s="68"/>
      <c r="N65" s="73"/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35">
        <f>'21'!F66</f>
        <v>76625.75</v>
      </c>
      <c r="F66" s="135">
        <v>77018.289999999994</v>
      </c>
      <c r="G66" s="959">
        <f t="shared" si="4"/>
        <v>392.5399999999936</v>
      </c>
      <c r="H66" s="111">
        <f>G66+'21'!H66</f>
        <v>-3653.7100000000064</v>
      </c>
      <c r="I66" s="131"/>
      <c r="J66" s="203">
        <f>H66/DAY(B2)</f>
        <v>-166.07772727272757</v>
      </c>
      <c r="K66" s="81"/>
      <c r="L66" s="68"/>
      <c r="N66" s="73"/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35">
        <f>'21'!F67</f>
        <v>274928.11</v>
      </c>
      <c r="F67" s="135">
        <v>275417.73</v>
      </c>
      <c r="G67" s="959">
        <f t="shared" si="4"/>
        <v>489.61999999999534</v>
      </c>
      <c r="H67" s="111">
        <f>G67+'21'!H67</f>
        <v>-4640.2700000000186</v>
      </c>
      <c r="I67" s="140"/>
      <c r="J67" s="203">
        <f>H67/DAY(B2)</f>
        <v>-210.92136363636448</v>
      </c>
      <c r="K67" s="82"/>
      <c r="L67" s="68"/>
      <c r="N67" s="73"/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35">
        <f>'21'!F68</f>
        <v>85321</v>
      </c>
      <c r="F68" s="135">
        <v>85321</v>
      </c>
      <c r="G68" s="959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35">
        <f>'21'!F69</f>
        <v>93221.18</v>
      </c>
      <c r="F69" s="135">
        <v>93521.99</v>
      </c>
      <c r="G69" s="959">
        <f t="shared" si="4"/>
        <v>300.81000000001222</v>
      </c>
      <c r="H69" s="111">
        <f>G69+'21'!H69</f>
        <v>-3035.0099999999948</v>
      </c>
      <c r="I69" s="167"/>
      <c r="J69" s="203">
        <f>H69/DAY(B2)</f>
        <v>-137.95499999999976</v>
      </c>
      <c r="K69" s="84"/>
      <c r="L69" s="68"/>
      <c r="N69" s="73"/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971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70">
        <f>'21'!F72</f>
        <v>856485</v>
      </c>
      <c r="F72" s="170">
        <v>856496</v>
      </c>
      <c r="G72" s="959">
        <f t="shared" ref="G72:G84" si="5">F72-E72</f>
        <v>11</v>
      </c>
      <c r="H72" s="111">
        <f>G72+'21'!H72</f>
        <v>-127</v>
      </c>
      <c r="I72" s="131"/>
      <c r="J72" s="203">
        <f>H72/DAY(B2)</f>
        <v>-5.7727272727272725</v>
      </c>
      <c r="K72" s="84"/>
      <c r="L72" s="68"/>
      <c r="N72" s="73"/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71">
        <f>'21'!F73</f>
        <v>886001</v>
      </c>
      <c r="F73" s="171">
        <v>886002</v>
      </c>
      <c r="G73" s="959">
        <f t="shared" si="5"/>
        <v>1</v>
      </c>
      <c r="H73" s="111">
        <f>G73+'21'!H73</f>
        <v>146</v>
      </c>
      <c r="I73" s="131"/>
      <c r="J73" s="203">
        <f>H73/DAY(B2)</f>
        <v>6.6363636363636367</v>
      </c>
      <c r="K73" s="83"/>
      <c r="L73" s="68"/>
      <c r="N73" s="73"/>
      <c r="O73" s="73"/>
    </row>
    <row r="74" spans="1:15" ht="27.75">
      <c r="A74" s="1263" t="s">
        <v>192</v>
      </c>
      <c r="B74" s="1264"/>
      <c r="C74" s="1265"/>
      <c r="D74" s="174" t="s">
        <v>186</v>
      </c>
      <c r="E74" s="172">
        <f>'21'!F74</f>
        <v>88720.6</v>
      </c>
      <c r="F74" s="172">
        <v>88722</v>
      </c>
      <c r="G74" s="959">
        <f t="shared" si="5"/>
        <v>1.3999999999941792</v>
      </c>
      <c r="H74" s="111">
        <f>G74+'21'!H74</f>
        <v>61</v>
      </c>
      <c r="I74" s="131"/>
      <c r="J74" s="203">
        <f>H74/DAY(B2)</f>
        <v>2.7727272727272729</v>
      </c>
      <c r="K74" s="84"/>
      <c r="L74" s="68"/>
      <c r="N74" s="73"/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72">
        <f>'21'!F75</f>
        <v>19344.88</v>
      </c>
      <c r="F75" s="172">
        <v>19494.830000000002</v>
      </c>
      <c r="G75" s="959">
        <f t="shared" si="5"/>
        <v>149.95000000000073</v>
      </c>
      <c r="H75" s="111">
        <f>G75+'21'!H75</f>
        <v>-1452.1699999999983</v>
      </c>
      <c r="I75" s="131"/>
      <c r="J75" s="203">
        <f>H75/DAY(B2)</f>
        <v>-66.007727272727195</v>
      </c>
      <c r="K75" s="83"/>
      <c r="L75" s="68"/>
      <c r="N75" s="73"/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71">
        <f>'21'!F76</f>
        <v>10710.35</v>
      </c>
      <c r="F76" s="297">
        <v>10775.95</v>
      </c>
      <c r="G76" s="959">
        <f t="shared" si="5"/>
        <v>65.600000000000364</v>
      </c>
      <c r="H76" s="111">
        <f>G76+'21'!H76</f>
        <v>850.55000000000109</v>
      </c>
      <c r="I76" s="156"/>
      <c r="J76" s="203">
        <f>H76/DAY(B2)</f>
        <v>38.661363636363689</v>
      </c>
      <c r="K76" s="83"/>
      <c r="L76" s="68"/>
      <c r="N76" s="73"/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72">
        <f>'21'!F77</f>
        <v>705719</v>
      </c>
      <c r="F77" s="172">
        <v>705784</v>
      </c>
      <c r="G77" s="959">
        <f t="shared" si="5"/>
        <v>65</v>
      </c>
      <c r="H77" s="111">
        <f>G77+'21'!H77</f>
        <v>-669</v>
      </c>
      <c r="I77" s="156"/>
      <c r="J77" s="203">
        <f>H77/DAY(B2)</f>
        <v>-30.40909090909091</v>
      </c>
      <c r="K77" s="83"/>
      <c r="L77" s="68"/>
      <c r="N77" s="73"/>
      <c r="O77" s="73"/>
    </row>
    <row r="78" spans="1:15" ht="27.75">
      <c r="A78" s="992" t="s">
        <v>196</v>
      </c>
      <c r="B78" s="986"/>
      <c r="C78" s="986"/>
      <c r="D78" s="174" t="s">
        <v>186</v>
      </c>
      <c r="E78" s="172">
        <f>'21'!F78</f>
        <v>677498</v>
      </c>
      <c r="F78" s="172">
        <v>677598</v>
      </c>
      <c r="G78" s="959">
        <f t="shared" si="5"/>
        <v>100</v>
      </c>
      <c r="H78" s="111">
        <f>G78+'21'!H78</f>
        <v>-1255</v>
      </c>
      <c r="I78" s="156"/>
      <c r="J78" s="203">
        <f>H78/DAY(B2)</f>
        <v>-57.045454545454547</v>
      </c>
      <c r="K78" s="83"/>
      <c r="L78" s="68"/>
      <c r="N78" s="73"/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72">
        <f>'21'!F79</f>
        <v>838729</v>
      </c>
      <c r="F79" s="172">
        <v>838874</v>
      </c>
      <c r="G79" s="959">
        <f t="shared" si="5"/>
        <v>145</v>
      </c>
      <c r="H79" s="111">
        <f>G79+'21'!H79</f>
        <v>-1808</v>
      </c>
      <c r="I79" s="156"/>
      <c r="J79" s="203">
        <f>H79/DAY(B2)</f>
        <v>-82.181818181818187</v>
      </c>
      <c r="K79" s="83"/>
      <c r="L79" s="68"/>
      <c r="N79" s="73"/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71">
        <f>'21'!F80</f>
        <v>548018</v>
      </c>
      <c r="F80" s="171">
        <v>548404</v>
      </c>
      <c r="G80" s="959">
        <f t="shared" si="5"/>
        <v>386</v>
      </c>
      <c r="H80" s="111">
        <f>G80+'21'!H80</f>
        <v>-6802</v>
      </c>
      <c r="I80" s="156"/>
      <c r="J80" s="203">
        <f>H80/DAY(B2)</f>
        <v>-309.18181818181819</v>
      </c>
      <c r="K80" s="83"/>
      <c r="L80" s="68"/>
      <c r="N80" s="73"/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71">
        <f>'21'!F81</f>
        <v>647097</v>
      </c>
      <c r="F81" s="171">
        <v>647283</v>
      </c>
      <c r="G81" s="959">
        <f t="shared" si="5"/>
        <v>186</v>
      </c>
      <c r="H81" s="111">
        <f>G81+'21'!H81</f>
        <v>-1735</v>
      </c>
      <c r="I81" s="156"/>
      <c r="J81" s="203">
        <f>H81/DAY(B2)</f>
        <v>-78.86363636363636</v>
      </c>
      <c r="K81" s="83"/>
      <c r="L81" s="68"/>
      <c r="N81" s="73"/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73">
        <f>'21'!F82</f>
        <v>109128.52</v>
      </c>
      <c r="F82" s="173">
        <v>109141.22</v>
      </c>
      <c r="G82" s="959">
        <f t="shared" si="5"/>
        <v>12.69999999999709</v>
      </c>
      <c r="H82" s="111">
        <f>G82+'21'!H82</f>
        <v>-194.77999999999884</v>
      </c>
      <c r="I82" s="137"/>
      <c r="J82" s="203">
        <f>H82/DAY(B2)</f>
        <v>-8.8536363636363102</v>
      </c>
      <c r="K82" s="83"/>
      <c r="L82" s="68"/>
      <c r="N82" s="73"/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62">
        <f>'21'!F83</f>
        <v>32534</v>
      </c>
      <c r="F83" s="162">
        <v>32722</v>
      </c>
      <c r="G83" s="959">
        <f t="shared" si="5"/>
        <v>188</v>
      </c>
      <c r="H83" s="111">
        <f>G83+'21'!H83</f>
        <v>-2303</v>
      </c>
      <c r="I83" s="132"/>
      <c r="J83" s="203">
        <f>H83/DAY(B2)</f>
        <v>-104.68181818181819</v>
      </c>
      <c r="K83" s="82"/>
      <c r="L83" s="68"/>
      <c r="N83" s="73"/>
      <c r="O83" s="372"/>
    </row>
    <row r="84" spans="1:15">
      <c r="A84" s="993" t="s">
        <v>200</v>
      </c>
      <c r="B84" s="222"/>
      <c r="C84" s="222"/>
      <c r="D84" s="129" t="s">
        <v>131</v>
      </c>
      <c r="E84" s="278">
        <f>'21'!F84</f>
        <v>539560</v>
      </c>
      <c r="F84" s="278">
        <v>540260</v>
      </c>
      <c r="G84" s="959">
        <f t="shared" si="5"/>
        <v>700</v>
      </c>
      <c r="H84" s="111">
        <f>G84+'21'!H84</f>
        <v>-7133</v>
      </c>
      <c r="I84" s="132"/>
      <c r="J84" s="203">
        <f>H84/DAY(B2)</f>
        <v>-324.22727272727275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72">
        <f xml:space="preserve"> SUM(G72:G84)</f>
        <v>2011.6499999999924</v>
      </c>
      <c r="H85" s="111">
        <f>G85+'21'!H85</f>
        <v>-20344.999999999993</v>
      </c>
      <c r="I85" s="132"/>
      <c r="J85" s="203">
        <f>H85/DAY(B2)</f>
        <v>-924.77272727272691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'21'!F86</f>
        <v>462300.52</v>
      </c>
      <c r="F86" s="298">
        <v>462323</v>
      </c>
      <c r="G86" s="973">
        <f t="shared" ref="G86:G88" si="6">F86-E86</f>
        <v>22.479999999981374</v>
      </c>
      <c r="H86" s="111">
        <f>G86+'21'!H86</f>
        <v>93.159999999974389</v>
      </c>
      <c r="I86" s="303"/>
      <c r="J86" s="358">
        <f>H86/DAY(B2)</f>
        <v>4.23454545454429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'21'!F87</f>
        <v>82655.8</v>
      </c>
      <c r="F87" s="298">
        <v>82685.899999999994</v>
      </c>
      <c r="G87" s="973">
        <f t="shared" si="6"/>
        <v>30.099999999991269</v>
      </c>
      <c r="H87" s="111">
        <f>G87+'21'!H87</f>
        <v>142.89999999999418</v>
      </c>
      <c r="I87" s="303"/>
      <c r="J87" s="358">
        <f>H87/DAY(B2)</f>
        <v>6.4954545454542805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'21'!F88</f>
        <v>157718.82999999999</v>
      </c>
      <c r="F88" s="298">
        <v>157848.71</v>
      </c>
      <c r="G88" s="973">
        <f t="shared" si="6"/>
        <v>129.88000000000466</v>
      </c>
      <c r="H88" s="111">
        <f>G88+'21'!H88</f>
        <v>602.98999999999069</v>
      </c>
      <c r="I88" s="303"/>
      <c r="J88" s="358">
        <f>H88/DAY(B2)</f>
        <v>27.408636363635939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'21'!F89</f>
        <v>66668.5</v>
      </c>
      <c r="F89" s="298">
        <v>66712.7</v>
      </c>
      <c r="G89" s="973">
        <f t="shared" ref="G89:G91" si="7">F89-E89</f>
        <v>44.19999999999709</v>
      </c>
      <c r="H89" s="111">
        <f>G89+'21'!H89</f>
        <v>151.89999999999418</v>
      </c>
      <c r="I89" s="303"/>
      <c r="J89" s="358">
        <f>H89/DAY(B2)</f>
        <v>6.9045454545451896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'21'!F90</f>
        <v>3416</v>
      </c>
      <c r="F90" s="298">
        <v>3420.3</v>
      </c>
      <c r="G90" s="973">
        <f t="shared" si="7"/>
        <v>4.3000000000001819</v>
      </c>
      <c r="H90" s="111">
        <f>G90+'21'!H90</f>
        <v>12.300000000000182</v>
      </c>
      <c r="I90" s="303"/>
      <c r="J90" s="358">
        <f>H90/DAY(B2)</f>
        <v>0.55909090909091741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/>
      <c r="E91" s="298">
        <f>'21'!F91</f>
        <v>28422.5</v>
      </c>
      <c r="F91" s="298">
        <v>28434.34</v>
      </c>
      <c r="G91" s="356">
        <f t="shared" si="7"/>
        <v>11.840000000000146</v>
      </c>
      <c r="H91" s="111">
        <f>G91+'21'!H91</f>
        <v>31.340000000000146</v>
      </c>
      <c r="I91" s="303"/>
      <c r="J91" s="358">
        <f>H91/DAY(B2)</f>
        <v>1.4245454545454612</v>
      </c>
      <c r="K91" s="384"/>
      <c r="L91" s="385"/>
      <c r="N91" s="428"/>
      <c r="O91" s="73"/>
    </row>
    <row r="92" spans="1:15" s="70" customFormat="1">
      <c r="A92" s="257" t="s">
        <v>204</v>
      </c>
      <c r="B92" s="995"/>
      <c r="C92" s="995"/>
      <c r="D92" s="123"/>
      <c r="E92" s="123"/>
      <c r="F92" s="123"/>
      <c r="G92" s="962"/>
      <c r="H92" s="123"/>
      <c r="I92" s="123"/>
      <c r="J92" s="202"/>
      <c r="K92" s="71"/>
      <c r="L92" s="69"/>
      <c r="N92" s="427"/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'21'!F93</f>
        <v>249421</v>
      </c>
      <c r="F93" s="135">
        <v>249502</v>
      </c>
      <c r="G93" s="959">
        <f t="shared" ref="G93:G94" si="8">F93-E93</f>
        <v>81</v>
      </c>
      <c r="H93" s="111">
        <f>G93+'21'!H93</f>
        <v>-812</v>
      </c>
      <c r="I93" s="131"/>
      <c r="J93" s="203">
        <f>H93/DAY(B2)</f>
        <v>-36.909090909090907</v>
      </c>
      <c r="K93" s="82"/>
      <c r="L93" s="68"/>
      <c r="N93" s="73"/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'21'!F94</f>
        <v>192038</v>
      </c>
      <c r="F94" s="135">
        <v>192068</v>
      </c>
      <c r="G94" s="959">
        <f t="shared" si="8"/>
        <v>30</v>
      </c>
      <c r="H94" s="111">
        <f>G94+'21'!H94</f>
        <v>-830</v>
      </c>
      <c r="I94" s="131"/>
      <c r="J94" s="203">
        <f>H94/DAY(B2)</f>
        <v>-37.727272727272727</v>
      </c>
      <c r="K94" s="71"/>
      <c r="L94" s="68"/>
      <c r="N94" s="73"/>
      <c r="O94" s="73"/>
    </row>
    <row r="95" spans="1:15">
      <c r="A95" s="1232" t="s">
        <v>207</v>
      </c>
      <c r="B95" s="1233"/>
      <c r="C95" s="1234"/>
      <c r="D95" s="174"/>
      <c r="E95" s="135">
        <f>'21'!F95</f>
        <v>0</v>
      </c>
      <c r="F95" s="135"/>
      <c r="G95" s="959">
        <f>G93+G94</f>
        <v>111</v>
      </c>
      <c r="H95" s="111">
        <f>G95+'21'!H95</f>
        <v>-1948</v>
      </c>
      <c r="I95" s="131"/>
      <c r="J95" s="203">
        <f>H95/DAY(B2)</f>
        <v>-88.545454545454547</v>
      </c>
      <c r="K95" s="71"/>
      <c r="L95" s="68"/>
      <c r="N95" s="73"/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'21'!F96</f>
        <v>417840</v>
      </c>
      <c r="F96" s="135">
        <v>417913</v>
      </c>
      <c r="G96" s="959">
        <f t="shared" ref="G96:G101" si="9">F96-E96</f>
        <v>73</v>
      </c>
      <c r="H96" s="111">
        <f>G96+'21'!H96</f>
        <v>-623</v>
      </c>
      <c r="I96" s="131"/>
      <c r="J96" s="203">
        <f>H96/DAY(B2)</f>
        <v>-28.318181818181817</v>
      </c>
      <c r="K96" s="71"/>
      <c r="L96" s="68"/>
      <c r="N96" s="73"/>
      <c r="O96" s="73"/>
    </row>
    <row r="97" spans="1:15" ht="27.75">
      <c r="A97" s="989" t="s">
        <v>209</v>
      </c>
      <c r="B97" s="990"/>
      <c r="C97" s="990"/>
      <c r="D97" s="174" t="s">
        <v>143</v>
      </c>
      <c r="E97" s="135">
        <f>'21'!F97</f>
        <v>103622</v>
      </c>
      <c r="F97" s="135">
        <v>103644</v>
      </c>
      <c r="G97" s="959">
        <f t="shared" si="9"/>
        <v>22</v>
      </c>
      <c r="H97" s="111">
        <f>G97+'21'!H97</f>
        <v>-205</v>
      </c>
      <c r="I97" s="131"/>
      <c r="J97" s="203">
        <f>H97/DAY(B2)</f>
        <v>-9.3181818181818183</v>
      </c>
      <c r="K97" s="80"/>
      <c r="L97" s="68"/>
      <c r="N97" s="73"/>
      <c r="O97" s="73"/>
    </row>
    <row r="98" spans="1:15" ht="27.75">
      <c r="A98" s="989" t="s">
        <v>210</v>
      </c>
      <c r="B98" s="990"/>
      <c r="C98" s="990"/>
      <c r="D98" s="174" t="s">
        <v>143</v>
      </c>
      <c r="E98" s="135">
        <f>'21'!F98</f>
        <v>99182</v>
      </c>
      <c r="F98" s="135">
        <v>99202</v>
      </c>
      <c r="G98" s="959">
        <f t="shared" si="9"/>
        <v>20</v>
      </c>
      <c r="H98" s="111">
        <f>G98+'21'!H98</f>
        <v>-246</v>
      </c>
      <c r="I98" s="131"/>
      <c r="J98" s="203">
        <f>H98/DAY(B2)</f>
        <v>-11.181818181818182</v>
      </c>
      <c r="K98" s="85"/>
      <c r="L98" s="68"/>
      <c r="N98" s="73"/>
      <c r="O98" s="73"/>
    </row>
    <row r="99" spans="1:15" ht="27.75">
      <c r="A99" s="989" t="s">
        <v>211</v>
      </c>
      <c r="B99" s="990"/>
      <c r="C99" s="990"/>
      <c r="D99" s="174" t="s">
        <v>143</v>
      </c>
      <c r="E99" s="135">
        <f>'21'!F99</f>
        <v>150998</v>
      </c>
      <c r="F99" s="135">
        <v>151012</v>
      </c>
      <c r="G99" s="959">
        <f t="shared" si="9"/>
        <v>14</v>
      </c>
      <c r="H99" s="111">
        <f>G99+'21'!H99</f>
        <v>-239</v>
      </c>
      <c r="I99" s="131"/>
      <c r="J99" s="203">
        <f>H99/DAY(B2)</f>
        <v>-10.863636363636363</v>
      </c>
      <c r="K99" s="71"/>
      <c r="L99" s="68"/>
      <c r="N99" s="73"/>
      <c r="O99" s="73"/>
    </row>
    <row r="100" spans="1:15" ht="27.75">
      <c r="A100" s="989" t="s">
        <v>212</v>
      </c>
      <c r="B100" s="990"/>
      <c r="C100" s="990"/>
      <c r="D100" s="174" t="s">
        <v>143</v>
      </c>
      <c r="E100" s="135">
        <f>'21'!F100</f>
        <v>8033</v>
      </c>
      <c r="F100" s="135">
        <v>8053</v>
      </c>
      <c r="G100" s="959">
        <f t="shared" si="9"/>
        <v>20</v>
      </c>
      <c r="H100" s="111">
        <f>G100+'21'!H100</f>
        <v>-112</v>
      </c>
      <c r="I100" s="131"/>
      <c r="J100" s="203">
        <f>H100/DAY(B2)</f>
        <v>-5.0909090909090908</v>
      </c>
      <c r="K100" s="71"/>
      <c r="L100" s="68"/>
      <c r="N100" s="73"/>
      <c r="O100" s="73"/>
    </row>
    <row r="101" spans="1:15" ht="27.75">
      <c r="A101" s="989" t="s">
        <v>213</v>
      </c>
      <c r="B101" s="990"/>
      <c r="C101" s="990"/>
      <c r="D101" s="174" t="s">
        <v>143</v>
      </c>
      <c r="E101" s="135">
        <f>'21'!F101</f>
        <v>5885</v>
      </c>
      <c r="F101" s="135">
        <v>5898</v>
      </c>
      <c r="G101" s="959">
        <f t="shared" si="9"/>
        <v>13</v>
      </c>
      <c r="H101" s="111">
        <f>G101+'21'!H101</f>
        <v>-93</v>
      </c>
      <c r="I101" s="131"/>
      <c r="J101" s="203">
        <f>H101/DAY(B2)</f>
        <v>-4.2272727272727275</v>
      </c>
      <c r="K101" s="71"/>
      <c r="L101" s="68"/>
      <c r="N101" s="73"/>
      <c r="O101" s="73"/>
    </row>
    <row r="102" spans="1:15">
      <c r="A102" s="1232" t="s">
        <v>215</v>
      </c>
      <c r="B102" s="1233"/>
      <c r="C102" s="1234"/>
      <c r="D102" s="175"/>
      <c r="E102" s="175"/>
      <c r="F102" s="175"/>
      <c r="G102" s="974">
        <f>SUM(G96:G101)</f>
        <v>162</v>
      </c>
      <c r="H102" s="111">
        <f>G102+'21'!H102</f>
        <v>-1518</v>
      </c>
      <c r="I102" s="177"/>
      <c r="J102" s="203">
        <f>H102/DAY(B2)</f>
        <v>-69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75"/>
      <c r="H103" s="181"/>
      <c r="I103" s="182"/>
      <c r="J103" s="208"/>
      <c r="N103" s="95"/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976"/>
      <c r="H104" s="184"/>
      <c r="I104" s="183"/>
      <c r="J104" s="209"/>
      <c r="N104" s="95"/>
      <c r="O104" s="73"/>
    </row>
    <row r="105" spans="1:15" s="93" customFormat="1" ht="27.75">
      <c r="A105" s="1192" t="s">
        <v>218</v>
      </c>
      <c r="B105" s="1193"/>
      <c r="C105" s="988"/>
      <c r="D105" s="273" t="s">
        <v>143</v>
      </c>
      <c r="E105" s="183">
        <f>'21'!F105</f>
        <v>7637</v>
      </c>
      <c r="F105" s="183">
        <v>7637</v>
      </c>
      <c r="G105" s="976">
        <f>F105-E105</f>
        <v>0</v>
      </c>
      <c r="H105" s="111">
        <f>SUM(G105+'1'!G76)</f>
        <v>59.6299999999992</v>
      </c>
      <c r="I105" s="183"/>
      <c r="J105" s="209">
        <f>H105/DAY(B2)</f>
        <v>2.710454545454509</v>
      </c>
      <c r="N105" s="95"/>
      <c r="O105" s="73"/>
    </row>
    <row r="106" spans="1:15" s="93" customFormat="1" ht="27.75">
      <c r="A106" s="1192" t="s">
        <v>76</v>
      </c>
      <c r="B106" s="1193"/>
      <c r="C106" s="988"/>
      <c r="D106" s="273" t="s">
        <v>143</v>
      </c>
      <c r="E106" s="185">
        <f>'21'!F106</f>
        <v>36364</v>
      </c>
      <c r="F106" s="185">
        <v>36374</v>
      </c>
      <c r="G106" s="976">
        <f t="shared" ref="G106:G107" si="10">F106-E106</f>
        <v>10</v>
      </c>
      <c r="H106" s="111">
        <f>SUM(G106+'1'!G77)</f>
        <v>69</v>
      </c>
      <c r="I106" s="183"/>
      <c r="J106" s="209">
        <f>H106/DAY(B2)</f>
        <v>3.1363636363636362</v>
      </c>
      <c r="N106" s="95"/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'21'!F107</f>
        <v>19914</v>
      </c>
      <c r="F107" s="183">
        <v>19919</v>
      </c>
      <c r="G107" s="976">
        <f t="shared" si="10"/>
        <v>5</v>
      </c>
      <c r="H107" s="111">
        <f>SUM(G107+'1'!G78)</f>
        <v>149</v>
      </c>
      <c r="I107" s="183"/>
      <c r="J107" s="209">
        <f>H107/DAY(B2)</f>
        <v>6.7727272727272725</v>
      </c>
      <c r="N107" s="95"/>
      <c r="O107" s="73"/>
    </row>
    <row r="108" spans="1:15" s="93" customFormat="1" ht="27.75">
      <c r="A108" s="1194" t="s">
        <v>201</v>
      </c>
      <c r="B108" s="1195"/>
      <c r="C108" s="988"/>
      <c r="D108" s="273"/>
      <c r="E108" s="183">
        <f>'21'!F108</f>
        <v>0</v>
      </c>
      <c r="F108" s="183"/>
      <c r="G108" s="976">
        <f>SUM(G105:G107)</f>
        <v>15</v>
      </c>
      <c r="H108" s="111">
        <f>SUM(G108+'1'!G79)</f>
        <v>158</v>
      </c>
      <c r="I108" s="183"/>
      <c r="J108" s="209">
        <f>H108/DAY(B2)</f>
        <v>7.1818181818181817</v>
      </c>
      <c r="N108" s="95"/>
      <c r="O108" s="73"/>
    </row>
    <row r="109" spans="1:15" s="93" customFormat="1" ht="27.75">
      <c r="A109" s="1198" t="s">
        <v>78</v>
      </c>
      <c r="B109" s="1199"/>
      <c r="C109" s="988"/>
      <c r="D109" s="273" t="s">
        <v>143</v>
      </c>
      <c r="E109" s="183">
        <f>'21'!F109</f>
        <v>0</v>
      </c>
      <c r="F109" s="183"/>
      <c r="G109" s="976"/>
      <c r="H109" s="111"/>
      <c r="I109" s="183"/>
      <c r="J109" s="209"/>
      <c r="N109" s="95"/>
      <c r="O109" s="73"/>
    </row>
    <row r="110" spans="1:15" s="93" customFormat="1" ht="27.75">
      <c r="A110" s="1192" t="s">
        <v>219</v>
      </c>
      <c r="B110" s="1193"/>
      <c r="C110" s="988"/>
      <c r="D110" s="273" t="s">
        <v>143</v>
      </c>
      <c r="E110" s="183">
        <f>'21'!F110</f>
        <v>66368</v>
      </c>
      <c r="F110" s="183">
        <v>66436</v>
      </c>
      <c r="G110" s="976">
        <f>F110-E110</f>
        <v>68</v>
      </c>
      <c r="H110" s="111">
        <f>SUM(G110+'1'!G81)</f>
        <v>233.56000000005588</v>
      </c>
      <c r="I110" s="183"/>
      <c r="J110" s="209">
        <f>H110/DAY(B2)</f>
        <v>10.616363636366176</v>
      </c>
      <c r="N110" s="95"/>
      <c r="O110" s="73"/>
    </row>
    <row r="111" spans="1:15" s="93" customFormat="1" ht="27.75">
      <c r="A111" s="1192" t="s">
        <v>220</v>
      </c>
      <c r="B111" s="1193"/>
      <c r="C111" s="988"/>
      <c r="D111" s="273" t="s">
        <v>143</v>
      </c>
      <c r="E111" s="183">
        <f>'21'!F111</f>
        <v>33718</v>
      </c>
      <c r="F111" s="183">
        <v>33733</v>
      </c>
      <c r="G111" s="976">
        <f t="shared" ref="G111:G112" si="11">F111-E111</f>
        <v>15</v>
      </c>
      <c r="H111" s="111">
        <f>SUM(G111+'1'!G82)</f>
        <v>28.279999999998836</v>
      </c>
      <c r="I111" s="183"/>
      <c r="J111" s="209">
        <f>H111/DAY(B2)</f>
        <v>1.2854545454544926</v>
      </c>
      <c r="N111" s="95"/>
      <c r="O111" s="73"/>
    </row>
    <row r="112" spans="1:15" s="93" customFormat="1" ht="27.75">
      <c r="A112" s="1192" t="s">
        <v>221</v>
      </c>
      <c r="B112" s="1193"/>
      <c r="C112" s="988"/>
      <c r="D112" s="273" t="s">
        <v>143</v>
      </c>
      <c r="E112" s="183">
        <f>'21'!F112</f>
        <v>4622</v>
      </c>
      <c r="F112" s="183">
        <v>4622</v>
      </c>
      <c r="G112" s="976">
        <f t="shared" si="11"/>
        <v>0</v>
      </c>
      <c r="H112" s="111">
        <f>SUM(G112+'1'!G83)</f>
        <v>305</v>
      </c>
      <c r="I112" s="183"/>
      <c r="J112" s="209">
        <f>H112/DAY(B2)</f>
        <v>13.863636363636363</v>
      </c>
      <c r="N112" s="95"/>
      <c r="O112" s="73"/>
    </row>
    <row r="113" spans="1:15" s="93" customFormat="1" ht="27.75">
      <c r="A113" s="1196" t="s">
        <v>109</v>
      </c>
      <c r="B113" s="1197"/>
      <c r="C113" s="988"/>
      <c r="D113" s="273"/>
      <c r="E113" s="183">
        <f>'21'!F113</f>
        <v>0</v>
      </c>
      <c r="F113" s="183"/>
      <c r="G113" s="976">
        <f>SUM(G110:G112)</f>
        <v>83</v>
      </c>
      <c r="H113" s="111">
        <f>SUM(G113+'1'!G84)</f>
        <v>892</v>
      </c>
      <c r="I113" s="183"/>
      <c r="J113" s="209">
        <f>H113/DAY(B2)</f>
        <v>40.545454545454547</v>
      </c>
      <c r="N113" s="95"/>
      <c r="O113" s="73"/>
    </row>
    <row r="114" spans="1:15" s="93" customFormat="1" ht="27.75">
      <c r="A114" s="1198" t="s">
        <v>222</v>
      </c>
      <c r="B114" s="1199"/>
      <c r="C114" s="988"/>
      <c r="D114" s="273"/>
      <c r="E114" s="183">
        <f>'21'!F114</f>
        <v>0</v>
      </c>
      <c r="F114" s="183"/>
      <c r="G114" s="976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5">
        <f>'21'!F115</f>
        <v>12306</v>
      </c>
      <c r="F115" s="185">
        <v>12329</v>
      </c>
      <c r="G115" s="977">
        <f>F115-E115</f>
        <v>23</v>
      </c>
      <c r="H115" s="111">
        <f>SUM(G115+'1'!G92)</f>
        <v>23</v>
      </c>
      <c r="I115" s="183"/>
      <c r="J115" s="209">
        <f>H115/DAY(B2)</f>
        <v>1.0454545454545454</v>
      </c>
      <c r="N115" s="95"/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5">
        <f>'21'!F116</f>
        <v>8732</v>
      </c>
      <c r="F116" s="185">
        <v>8743</v>
      </c>
      <c r="G116" s="977">
        <f t="shared" ref="G116:G117" si="12">F116-E116</f>
        <v>11</v>
      </c>
      <c r="H116" s="111">
        <f>SUM(G116+'1'!G93)</f>
        <v>146</v>
      </c>
      <c r="I116" s="183"/>
      <c r="J116" s="209">
        <f>H116/DAY(B2)</f>
        <v>6.6363636363636367</v>
      </c>
      <c r="N116" s="95"/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977">
        <f t="shared" si="12"/>
        <v>0</v>
      </c>
      <c r="H117" s="111">
        <f>SUM(G117+'1'!G94)</f>
        <v>171</v>
      </c>
      <c r="I117" s="183"/>
      <c r="J117" s="209">
        <f>H117/DAY(B2)</f>
        <v>7.7727272727272725</v>
      </c>
      <c r="N117" s="95"/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977">
        <f>SUM(G115:G117)</f>
        <v>34</v>
      </c>
      <c r="H118" s="111">
        <f>SUM(G118+'1'!G96)</f>
        <v>104</v>
      </c>
      <c r="I118" s="185"/>
      <c r="J118" s="209">
        <f>H118/DAY(B2)</f>
        <v>4.7272727272727275</v>
      </c>
      <c r="N118" s="98"/>
      <c r="O118" s="73"/>
    </row>
    <row r="119" spans="1:15" s="97" customFormat="1" ht="27.75">
      <c r="A119" s="1188" t="s">
        <v>226</v>
      </c>
      <c r="B119" s="1189"/>
      <c r="C119" s="987"/>
      <c r="D119" s="275" t="s">
        <v>143</v>
      </c>
      <c r="E119" s="187"/>
      <c r="F119" s="187">
        <f>SUM(G19+G93)</f>
        <v>141</v>
      </c>
      <c r="G119" s="977">
        <f>SUM(G19+G93)</f>
        <v>141</v>
      </c>
      <c r="H119" s="111">
        <f>SUM(G119+'1'!G97)</f>
        <v>175</v>
      </c>
      <c r="I119" s="186"/>
      <c r="J119" s="210">
        <f>H119/DAY(B2)</f>
        <v>7.9545454545454541</v>
      </c>
      <c r="N119" s="429"/>
      <c r="O119" s="73"/>
    </row>
    <row r="120" spans="1:15" s="97" customFormat="1" ht="27.75">
      <c r="A120" s="1188" t="s">
        <v>227</v>
      </c>
      <c r="B120" s="1189"/>
      <c r="C120" s="987"/>
      <c r="D120" s="275" t="s">
        <v>143</v>
      </c>
      <c r="E120" s="187"/>
      <c r="F120" s="187">
        <f>SUM(G96,G97,G98,G100,G101)</f>
        <v>148</v>
      </c>
      <c r="G120" s="977">
        <f>SUM(G96,G97,G98,G100,G101)</f>
        <v>148</v>
      </c>
      <c r="H120" s="111">
        <f>SUM(G120+'1'!G99)</f>
        <v>154</v>
      </c>
      <c r="I120" s="186"/>
      <c r="J120" s="210">
        <f>H120/DAY(B2)</f>
        <v>7</v>
      </c>
      <c r="N120" s="429"/>
      <c r="O120" s="73"/>
    </row>
    <row r="121" spans="1:15" s="97" customFormat="1" ht="27.75">
      <c r="A121" s="1188" t="s">
        <v>228</v>
      </c>
      <c r="B121" s="1189"/>
      <c r="C121" s="987"/>
      <c r="D121" s="275" t="s">
        <v>143</v>
      </c>
      <c r="E121" s="185"/>
      <c r="F121" s="185">
        <f>SUM(G113)</f>
        <v>83</v>
      </c>
      <c r="G121" s="977">
        <f>SUM(G113)</f>
        <v>83</v>
      </c>
      <c r="H121" s="111">
        <f>SUM(G121+'1'!G101)</f>
        <v>98</v>
      </c>
      <c r="I121" s="186"/>
      <c r="J121" s="210">
        <f>H121/DAY(B2)</f>
        <v>4.4545454545454541</v>
      </c>
      <c r="N121" s="429"/>
      <c r="O121" s="73"/>
    </row>
    <row r="122" spans="1:15" s="93" customFormat="1" ht="27.75">
      <c r="A122" s="1190"/>
      <c r="B122" s="1191"/>
      <c r="C122" s="988"/>
      <c r="D122" s="211"/>
      <c r="E122" s="211"/>
      <c r="F122" s="211" t="s">
        <v>214</v>
      </c>
      <c r="G122" s="978"/>
      <c r="H122" s="212"/>
      <c r="I122" s="211"/>
      <c r="J122" s="213"/>
      <c r="N122" s="95"/>
      <c r="O122" s="73"/>
    </row>
    <row r="123" spans="1:15">
      <c r="A123" s="1229" t="s">
        <v>229</v>
      </c>
      <c r="B123" s="1230"/>
      <c r="C123" s="1231"/>
      <c r="D123" s="123"/>
      <c r="E123" s="123"/>
      <c r="F123" s="123"/>
      <c r="G123" s="962"/>
      <c r="H123" s="134"/>
      <c r="I123" s="134"/>
      <c r="J123" s="214"/>
      <c r="K123" s="71"/>
      <c r="L123" s="68"/>
      <c r="N123" s="73"/>
      <c r="O123" s="73"/>
    </row>
    <row r="124" spans="1:15" ht="27.75">
      <c r="A124" s="989" t="s">
        <v>230</v>
      </c>
      <c r="B124" s="990"/>
      <c r="C124" s="990"/>
      <c r="D124" s="174" t="s">
        <v>140</v>
      </c>
      <c r="E124" s="129">
        <f>'21'!F124</f>
        <v>845376.68</v>
      </c>
      <c r="F124" s="129">
        <v>845641.68</v>
      </c>
      <c r="G124" s="959">
        <f t="shared" ref="G124:G128" si="13">F124-E124</f>
        <v>265</v>
      </c>
      <c r="H124" s="111">
        <f>G124+'21'!H124</f>
        <v>-2324.3199999999488</v>
      </c>
      <c r="I124" s="177"/>
      <c r="J124" s="203">
        <f>H124/DAY(B2)</f>
        <v>-105.65090909090677</v>
      </c>
      <c r="K124" s="71"/>
      <c r="L124" s="68"/>
      <c r="N124" s="73"/>
      <c r="O124" s="73"/>
    </row>
    <row r="125" spans="1:15" ht="27.75">
      <c r="A125" s="989" t="s">
        <v>231</v>
      </c>
      <c r="B125" s="990"/>
      <c r="C125" s="990"/>
      <c r="D125" s="174" t="s">
        <v>140</v>
      </c>
      <c r="E125" s="277">
        <f>'21'!F125</f>
        <v>73583.399999999994</v>
      </c>
      <c r="F125" s="277">
        <v>73583.399999999994</v>
      </c>
      <c r="G125" s="959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29">
        <f>'21'!F126</f>
        <v>150528.29999999999</v>
      </c>
      <c r="F126" s="129">
        <v>150610.39000000001</v>
      </c>
      <c r="G126" s="959">
        <f t="shared" si="13"/>
        <v>82.090000000025611</v>
      </c>
      <c r="H126" s="111">
        <f>G126+'21'!H126</f>
        <v>-710.60999999998603</v>
      </c>
      <c r="I126" s="177"/>
      <c r="J126" s="203">
        <f>H126/DAY(B2)</f>
        <v>-32.30045454545391</v>
      </c>
      <c r="K126" s="71"/>
      <c r="L126" s="68"/>
      <c r="N126" s="73"/>
      <c r="O126" s="73"/>
    </row>
    <row r="127" spans="1:15" ht="27.75">
      <c r="A127" s="260" t="s">
        <v>233</v>
      </c>
      <c r="B127" s="990"/>
      <c r="C127" s="990"/>
      <c r="D127" s="174" t="s">
        <v>140</v>
      </c>
      <c r="E127" s="277">
        <f>'21'!F127</f>
        <v>32878.6</v>
      </c>
      <c r="F127" s="277">
        <v>32923.300000000003</v>
      </c>
      <c r="G127" s="959">
        <f t="shared" si="13"/>
        <v>44.700000000004366</v>
      </c>
      <c r="H127" s="111">
        <f>G127+'21'!H127</f>
        <v>-364.69999999999709</v>
      </c>
      <c r="I127" s="177"/>
      <c r="J127" s="203">
        <f>H127/DAY(B2)</f>
        <v>-16.577272727272597</v>
      </c>
      <c r="K127" s="71"/>
      <c r="L127" s="68"/>
      <c r="N127" s="73"/>
      <c r="O127" s="73"/>
    </row>
    <row r="128" spans="1:15" ht="27.75">
      <c r="A128" s="260" t="s">
        <v>234</v>
      </c>
      <c r="B128" s="990"/>
      <c r="C128" s="990"/>
      <c r="D128" s="174" t="s">
        <v>140</v>
      </c>
      <c r="E128" s="277">
        <f>'21'!F128</f>
        <v>9088</v>
      </c>
      <c r="F128" s="277">
        <v>9089</v>
      </c>
      <c r="G128" s="959">
        <f t="shared" si="13"/>
        <v>1</v>
      </c>
      <c r="H128" s="111">
        <f>G128+'21'!H128</f>
        <v>-24</v>
      </c>
      <c r="I128" s="131"/>
      <c r="J128" s="203">
        <f>H128/DAY(B2)</f>
        <v>-1.0909090909090908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90"/>
      <c r="C129" s="990"/>
      <c r="D129" s="174"/>
      <c r="E129" s="129"/>
      <c r="F129" s="129"/>
      <c r="G129" s="959">
        <f>G15-SUM(G124:G128)</f>
        <v>557.20999999997002</v>
      </c>
      <c r="H129" s="111">
        <f>G129+'21'!H129</f>
        <v>16150.629999999932</v>
      </c>
      <c r="I129" s="131"/>
      <c r="J129" s="203">
        <f>H129/DAY(B2)</f>
        <v>734.11954545454239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79"/>
      <c r="H130" s="191"/>
      <c r="I130" s="191"/>
      <c r="J130" s="215"/>
      <c r="N130" s="73"/>
      <c r="O130" s="73"/>
    </row>
    <row r="131" spans="1:15" ht="27.75">
      <c r="A131" s="989" t="s">
        <v>237</v>
      </c>
      <c r="B131" s="990"/>
      <c r="C131" s="990"/>
      <c r="D131" s="174" t="s">
        <v>238</v>
      </c>
      <c r="E131" s="135">
        <f>'21'!F131</f>
        <v>0</v>
      </c>
      <c r="F131" s="135">
        <v>0</v>
      </c>
      <c r="G131" s="959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>
      <c r="A132" s="989" t="s">
        <v>239</v>
      </c>
      <c r="B132" s="990"/>
      <c r="C132" s="990"/>
      <c r="D132" s="174" t="s">
        <v>238</v>
      </c>
      <c r="E132" s="135">
        <f>'21'!F132</f>
        <v>0</v>
      </c>
      <c r="F132" s="135">
        <v>0</v>
      </c>
      <c r="G132" s="959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>
      <c r="A133" s="989" t="s">
        <v>240</v>
      </c>
      <c r="B133" s="990"/>
      <c r="C133" s="990"/>
      <c r="D133" s="174" t="s">
        <v>238</v>
      </c>
      <c r="E133" s="192">
        <f>'21'!F133</f>
        <v>40612.1</v>
      </c>
      <c r="F133" s="192">
        <v>40619.050000000003</v>
      </c>
      <c r="G133" s="959">
        <f t="shared" si="14"/>
        <v>6.9500000000043656</v>
      </c>
      <c r="H133" s="111">
        <f>G133+'21'!H133</f>
        <v>5.0000000002910383E-2</v>
      </c>
      <c r="I133" s="131"/>
      <c r="J133" s="203">
        <f>H133/DAY(B2)</f>
        <v>2.2727272728595631E-3</v>
      </c>
      <c r="N133" s="73"/>
      <c r="O133" s="73"/>
    </row>
    <row r="134" spans="1:15" s="92" customFormat="1" ht="27.75">
      <c r="A134" s="720" t="s">
        <v>241</v>
      </c>
      <c r="B134" s="721"/>
      <c r="C134" s="721"/>
      <c r="D134" s="278" t="s">
        <v>238</v>
      </c>
      <c r="E134" s="192">
        <f>'21'!F134</f>
        <v>445.19</v>
      </c>
      <c r="F134" s="192">
        <v>445.19</v>
      </c>
      <c r="G134" s="980">
        <f t="shared" si="14"/>
        <v>0</v>
      </c>
      <c r="H134" s="356">
        <f>G134+'21'!H134</f>
        <v>-128.81</v>
      </c>
      <c r="I134" s="722">
        <f>G131+G132+G133+G134</f>
        <v>6.9500000000043656</v>
      </c>
      <c r="J134" s="358">
        <f>H134/DAY(B2)</f>
        <v>-5.8550000000000004</v>
      </c>
      <c r="N134" s="364"/>
      <c r="O134" s="364"/>
    </row>
    <row r="135" spans="1:15" ht="27.75">
      <c r="A135" s="989" t="s">
        <v>242</v>
      </c>
      <c r="B135" s="990"/>
      <c r="C135" s="990"/>
      <c r="D135" s="174" t="s">
        <v>238</v>
      </c>
      <c r="E135" s="192">
        <f>'21'!F135</f>
        <v>42313.53</v>
      </c>
      <c r="F135" s="192">
        <v>42338.01</v>
      </c>
      <c r="G135" s="959">
        <f t="shared" si="14"/>
        <v>24.480000000003201</v>
      </c>
      <c r="H135" s="111">
        <f>G135+'21'!H135</f>
        <v>-160.98999999999796</v>
      </c>
      <c r="I135" s="131"/>
      <c r="J135" s="203">
        <f>H135/DAY(B2)</f>
        <v>-7.31772727272718</v>
      </c>
      <c r="N135" s="73"/>
      <c r="O135" s="73"/>
    </row>
    <row r="136" spans="1:15" ht="27.75">
      <c r="A136" s="989" t="s">
        <v>243</v>
      </c>
      <c r="B136" s="990"/>
      <c r="C136" s="990"/>
      <c r="D136" s="174" t="s">
        <v>238</v>
      </c>
      <c r="E136" s="192">
        <f>'21'!F136</f>
        <v>32874</v>
      </c>
      <c r="F136" s="192">
        <v>32874.050000000003</v>
      </c>
      <c r="G136" s="959">
        <f t="shared" si="14"/>
        <v>5.0000000002910383E-2</v>
      </c>
      <c r="H136" s="111">
        <f>G136+'21'!H136</f>
        <v>5.0000000002910383E-2</v>
      </c>
      <c r="I136" s="131"/>
      <c r="J136" s="203">
        <f>H136/DAY(B2)</f>
        <v>2.2727272728595631E-3</v>
      </c>
      <c r="N136" s="73"/>
      <c r="O136" s="73"/>
    </row>
    <row r="137" spans="1:15" ht="27.75">
      <c r="A137" s="989" t="s">
        <v>244</v>
      </c>
      <c r="B137" s="990"/>
      <c r="C137" s="990"/>
      <c r="D137" s="174" t="s">
        <v>238</v>
      </c>
      <c r="E137" s="192">
        <f>'21'!F137</f>
        <v>23043.35</v>
      </c>
      <c r="F137" s="192">
        <v>23049.05</v>
      </c>
      <c r="G137" s="959">
        <f t="shared" si="14"/>
        <v>5.7000000000007276</v>
      </c>
      <c r="H137" s="111">
        <f>G137+'21'!H137</f>
        <v>-57.510000000002037</v>
      </c>
      <c r="I137" s="131">
        <f>G135+G136+G137</f>
        <v>30.230000000006839</v>
      </c>
      <c r="J137" s="203">
        <f>H137/DAY(B2)</f>
        <v>-2.6140909090910016</v>
      </c>
      <c r="N137" s="73"/>
      <c r="O137" s="73"/>
    </row>
    <row r="138" spans="1:15" ht="27.75">
      <c r="A138" s="989" t="s">
        <v>245</v>
      </c>
      <c r="B138" s="990"/>
      <c r="C138" s="990"/>
      <c r="D138" s="174" t="s">
        <v>238</v>
      </c>
      <c r="E138" s="192">
        <f>'21'!F138</f>
        <v>25099.16</v>
      </c>
      <c r="F138" s="192">
        <v>25099.16</v>
      </c>
      <c r="G138" s="959">
        <f t="shared" si="14"/>
        <v>0</v>
      </c>
      <c r="H138" s="111">
        <f>G138+'21'!H138</f>
        <v>-20.290000000000873</v>
      </c>
      <c r="I138" s="131"/>
      <c r="J138" s="203">
        <f>H138/DAY(B2)</f>
        <v>-0.92227272727276699</v>
      </c>
      <c r="N138" s="73"/>
      <c r="O138" s="73"/>
    </row>
    <row r="139" spans="1:15" ht="27.75">
      <c r="A139" s="989" t="s">
        <v>246</v>
      </c>
      <c r="B139" s="990"/>
      <c r="C139" s="990"/>
      <c r="D139" s="174" t="s">
        <v>238</v>
      </c>
      <c r="E139" s="192">
        <f>'21'!F139</f>
        <v>70516.600000000006</v>
      </c>
      <c r="F139" s="192">
        <v>70516.600000000006</v>
      </c>
      <c r="G139" s="959">
        <f t="shared" si="14"/>
        <v>0</v>
      </c>
      <c r="H139" s="111">
        <f>G139+'21'!H139</f>
        <v>0</v>
      </c>
      <c r="I139" s="131">
        <f>G138+G139</f>
        <v>0</v>
      </c>
      <c r="J139" s="203">
        <f>H139/DAY(B2)</f>
        <v>0</v>
      </c>
      <c r="N139" s="73"/>
      <c r="O139" s="73"/>
    </row>
    <row r="140" spans="1:15" ht="27.75">
      <c r="A140" s="989" t="s">
        <v>247</v>
      </c>
      <c r="B140" s="990"/>
      <c r="C140" s="990"/>
      <c r="D140" s="174" t="s">
        <v>238</v>
      </c>
      <c r="E140" s="135">
        <f>'21'!F140</f>
        <v>2247.77</v>
      </c>
      <c r="F140" s="135">
        <v>2247.77</v>
      </c>
      <c r="G140" s="959">
        <f t="shared" si="14"/>
        <v>0</v>
      </c>
      <c r="H140" s="111">
        <f>G140+'21'!H140</f>
        <v>-63.789999999999964</v>
      </c>
      <c r="I140" s="193"/>
      <c r="J140" s="203">
        <f>H140/DAY(B2)</f>
        <v>-2.8995454545454531</v>
      </c>
      <c r="N140" s="73"/>
      <c r="O140" s="73"/>
    </row>
    <row r="141" spans="1:15" ht="27.75">
      <c r="A141" s="989" t="s">
        <v>248</v>
      </c>
      <c r="B141" s="990"/>
      <c r="C141" s="990"/>
      <c r="D141" s="174" t="s">
        <v>238</v>
      </c>
      <c r="E141" s="135">
        <f>'21'!F141</f>
        <v>4724.13</v>
      </c>
      <c r="F141" s="135">
        <v>4733.3100000000004</v>
      </c>
      <c r="G141" s="959">
        <f t="shared" si="14"/>
        <v>9.180000000000291</v>
      </c>
      <c r="H141" s="111">
        <f>G141+'21'!H141</f>
        <v>-20.6899999999996</v>
      </c>
      <c r="I141" s="193"/>
      <c r="J141" s="203">
        <f>H141/DAY(B2)</f>
        <v>-0.94045454545452722</v>
      </c>
      <c r="N141" s="73"/>
      <c r="O141" s="73"/>
    </row>
    <row r="142" spans="1:15">
      <c r="A142" s="1203" t="s">
        <v>249</v>
      </c>
      <c r="B142" s="1204"/>
      <c r="C142" s="995"/>
      <c r="D142" s="123"/>
      <c r="E142" s="123"/>
      <c r="F142" s="123"/>
      <c r="G142" s="962"/>
      <c r="H142" s="134"/>
      <c r="I142" s="134"/>
      <c r="J142" s="214"/>
      <c r="K142" s="71"/>
      <c r="L142" s="68"/>
      <c r="N142" s="73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972">
        <f>G35+G43+G49+G57</f>
        <v>5567.3599999998696</v>
      </c>
      <c r="H143" s="111">
        <f>G143+'21'!H143</f>
        <v>-54931.710000000079</v>
      </c>
      <c r="I143" s="131"/>
      <c r="J143" s="203">
        <f>H143/DAY(B2)</f>
        <v>-2496.8959090909125</v>
      </c>
      <c r="K143" s="71"/>
      <c r="L143" s="68"/>
      <c r="N143" s="73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981">
        <f>G143/G7</f>
        <v>0.2394563440860159</v>
      </c>
      <c r="H144" s="111">
        <f>G144+'21'!H144</f>
        <v>-2.1934894329571391</v>
      </c>
      <c r="I144" s="195"/>
      <c r="J144" s="203">
        <f>H144/DAY(B2)</f>
        <v>-9.9704065134415418E-2</v>
      </c>
      <c r="K144" s="71"/>
      <c r="L144" s="68"/>
      <c r="N144" s="73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972">
        <f>G41+G42+G55+G56</f>
        <v>6891.7000000000116</v>
      </c>
      <c r="H145" s="111">
        <f>G145+'21'!H145</f>
        <v>-63261.650000000052</v>
      </c>
      <c r="I145" s="131"/>
      <c r="J145" s="203">
        <f>H145/DAY(B2)</f>
        <v>-2875.529545454548</v>
      </c>
      <c r="K145" s="71"/>
      <c r="L145" s="68"/>
      <c r="N145" s="73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981">
        <f>G145/G7</f>
        <v>0.29641720430107577</v>
      </c>
      <c r="H146" s="111">
        <f>G146+'21'!H146</f>
        <v>-2.5396518378061899</v>
      </c>
      <c r="I146" s="195"/>
      <c r="J146" s="203">
        <f>H146/DAY(B2)</f>
        <v>-0.11543871990028136</v>
      </c>
      <c r="K146" s="71"/>
      <c r="L146" s="68"/>
      <c r="N146" s="73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972">
        <f>G39+G53</f>
        <v>3759.0800000000163</v>
      </c>
      <c r="H147" s="111">
        <f>G147+'21'!H147</f>
        <v>-34167.379999999946</v>
      </c>
      <c r="I147" s="196"/>
      <c r="J147" s="203">
        <f>H147/DAY(B2)</f>
        <v>-1553.0627272727249</v>
      </c>
      <c r="K147" s="71"/>
      <c r="L147" s="68"/>
      <c r="N147" s="73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981">
        <f>G147/G7</f>
        <v>0.16168086021505446</v>
      </c>
      <c r="H148" s="111">
        <f>G148+'21'!H148</f>
        <v>-1.3546867586368339</v>
      </c>
      <c r="I148" s="196"/>
      <c r="J148" s="203">
        <f>H148/DAY(B2)</f>
        <v>-6.1576670847128812E-2</v>
      </c>
      <c r="N148" s="73"/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972">
        <f>G38+G52</f>
        <v>1490.7999999999884</v>
      </c>
      <c r="H149" s="111">
        <f>G149+'21'!H149</f>
        <v>-14583.220000000059</v>
      </c>
      <c r="I149" s="131"/>
      <c r="J149" s="203">
        <f>H149/DAY(B2)</f>
        <v>-662.87363636363909</v>
      </c>
      <c r="K149" s="72"/>
      <c r="N149" s="73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981">
        <f>G149/G7</f>
        <v>6.4120430107526383E-2</v>
      </c>
      <c r="H150" s="111">
        <f>G150+'21'!H150</f>
        <v>-0.57563751561696064</v>
      </c>
      <c r="I150" s="196"/>
      <c r="J150" s="203">
        <f>H150/DAY(B2)</f>
        <v>-2.6165341618952755E-2</v>
      </c>
      <c r="N150" s="73"/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972">
        <f>G36+G50</f>
        <v>1733.3799999999028</v>
      </c>
      <c r="H151" s="111">
        <f>G151+'21'!H151</f>
        <v>-16265.030000000057</v>
      </c>
      <c r="I151" s="196"/>
      <c r="J151" s="203">
        <f>H151/DAY(B2)</f>
        <v>-739.31954545454801</v>
      </c>
      <c r="N151" s="73"/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981">
        <f>G151/G7</f>
        <v>7.4553978494619477E-2</v>
      </c>
      <c r="H152" s="111">
        <f>G152+'21'!H152</f>
        <v>-0.64728522060504368</v>
      </c>
      <c r="I152" s="131"/>
      <c r="J152" s="203">
        <f>H152/DAY(B2)</f>
        <v>-2.9422055482047439E-2</v>
      </c>
      <c r="N152" s="73"/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972">
        <f>G37+G51</f>
        <v>1618.9799999999814</v>
      </c>
      <c r="H153" s="111">
        <f>G153+'21'!H153</f>
        <v>-14725.130000000005</v>
      </c>
      <c r="I153" s="131"/>
      <c r="J153" s="203">
        <f>H153/DAY(B2)</f>
        <v>-669.32409090909107</v>
      </c>
      <c r="N153" s="73"/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982">
        <f>G153/G7</f>
        <v>6.963354838709597E-2</v>
      </c>
      <c r="H154" s="111">
        <f>G154+'21'!H154</f>
        <v>-0.58580740297147871</v>
      </c>
      <c r="I154" s="219"/>
      <c r="J154" s="220">
        <f>H154/DAY(B2)</f>
        <v>-2.6627609225976304E-2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83"/>
      <c r="H155" s="198"/>
      <c r="I155" s="197"/>
      <c r="J155" s="199"/>
      <c r="O155" s="73"/>
    </row>
    <row r="161" spans="1:8">
      <c r="A161" s="435" t="s">
        <v>262</v>
      </c>
      <c r="B161" s="436"/>
      <c r="C161" s="436"/>
      <c r="D161" s="162" t="s">
        <v>186</v>
      </c>
      <c r="E161" s="309">
        <f>'21'!F161</f>
        <v>42528.83</v>
      </c>
      <c r="F161" s="309">
        <v>42611.06</v>
      </c>
      <c r="G161" s="959">
        <f t="shared" ref="G161:G164" si="15">F161-E161</f>
        <v>82.229999999995925</v>
      </c>
      <c r="H161" s="189">
        <v>68.809999999999491</v>
      </c>
    </row>
    <row r="162" spans="1:8">
      <c r="A162" s="435" t="s">
        <v>263</v>
      </c>
      <c r="B162" s="436"/>
      <c r="C162" s="436"/>
      <c r="D162" s="162" t="s">
        <v>186</v>
      </c>
      <c r="E162" s="309">
        <f>'21'!F162</f>
        <v>117387.67</v>
      </c>
      <c r="F162" s="309">
        <v>117877.67</v>
      </c>
      <c r="G162" s="959">
        <f t="shared" si="15"/>
        <v>490</v>
      </c>
      <c r="H162" s="189">
        <v>128.56999999999994</v>
      </c>
    </row>
    <row r="163" spans="1:8">
      <c r="A163" s="435" t="s">
        <v>264</v>
      </c>
      <c r="B163" s="436"/>
      <c r="C163" s="436"/>
      <c r="D163" s="162" t="s">
        <v>186</v>
      </c>
      <c r="E163" s="309">
        <f>'21'!F163</f>
        <v>65520.22</v>
      </c>
      <c r="F163" s="309">
        <v>65721.05</v>
      </c>
      <c r="G163" s="959">
        <f t="shared" si="15"/>
        <v>200.83000000000175</v>
      </c>
      <c r="H163" s="189">
        <v>141.49</v>
      </c>
    </row>
    <row r="164" spans="1:8">
      <c r="A164" s="435" t="s">
        <v>265</v>
      </c>
      <c r="B164" s="436"/>
      <c r="C164" s="436"/>
      <c r="D164" s="162" t="s">
        <v>186</v>
      </c>
      <c r="E164" s="309">
        <f>'21'!F164</f>
        <v>7048.78</v>
      </c>
      <c r="F164" s="309">
        <v>7060.95</v>
      </c>
      <c r="G164" s="959">
        <f t="shared" si="15"/>
        <v>12.170000000000073</v>
      </c>
      <c r="H164" s="189">
        <v>45.430000000000007</v>
      </c>
    </row>
    <row r="165" spans="1:8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59">
        <v>0</v>
      </c>
      <c r="H165" s="189">
        <v>0</v>
      </c>
    </row>
    <row r="166" spans="1:8">
      <c r="A166" s="437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59">
        <f t="shared" ref="G166:G172" si="18">F166-E166</f>
        <v>0</v>
      </c>
      <c r="H166" s="189">
        <v>0</v>
      </c>
    </row>
    <row r="167" spans="1:8" ht="27.75">
      <c r="A167" s="1187" t="s">
        <v>98</v>
      </c>
      <c r="B167" s="1187"/>
      <c r="C167" s="1187"/>
      <c r="D167" s="174" t="s">
        <v>186</v>
      </c>
      <c r="E167" s="165">
        <f t="shared" si="16"/>
        <v>178152.49</v>
      </c>
      <c r="F167" s="165">
        <f t="shared" si="17"/>
        <v>178527.35</v>
      </c>
      <c r="G167" s="959">
        <f t="shared" si="18"/>
        <v>374.86000000001513</v>
      </c>
      <c r="H167" s="189">
        <v>178.5199999999968</v>
      </c>
    </row>
    <row r="168" spans="1:8" ht="27.75">
      <c r="A168" s="1187" t="s">
        <v>99</v>
      </c>
      <c r="B168" s="1187"/>
      <c r="C168" s="1187"/>
      <c r="D168" s="174" t="s">
        <v>186</v>
      </c>
      <c r="E168" s="165">
        <f t="shared" si="16"/>
        <v>178292.59</v>
      </c>
      <c r="F168" s="165">
        <f t="shared" si="17"/>
        <v>178694.59</v>
      </c>
      <c r="G168" s="959">
        <f t="shared" si="18"/>
        <v>402</v>
      </c>
      <c r="H168" s="189">
        <v>198.38999999999942</v>
      </c>
    </row>
    <row r="169" spans="1:8" ht="27.75">
      <c r="A169" s="1187" t="s">
        <v>100</v>
      </c>
      <c r="B169" s="1187"/>
      <c r="C169" s="1187"/>
      <c r="D169" s="174" t="s">
        <v>186</v>
      </c>
      <c r="E169" s="165">
        <f t="shared" si="16"/>
        <v>76625.75</v>
      </c>
      <c r="F169" s="165">
        <f t="shared" si="17"/>
        <v>77018.289999999994</v>
      </c>
      <c r="G169" s="959">
        <f t="shared" si="18"/>
        <v>392.5399999999936</v>
      </c>
      <c r="H169" s="189">
        <v>226.35000000000582</v>
      </c>
    </row>
    <row r="170" spans="1:8" ht="27.75">
      <c r="A170" s="1187" t="s">
        <v>101</v>
      </c>
      <c r="B170" s="1187"/>
      <c r="C170" s="1187"/>
      <c r="D170" s="174" t="s">
        <v>186</v>
      </c>
      <c r="E170" s="165">
        <f t="shared" si="16"/>
        <v>274928.11</v>
      </c>
      <c r="F170" s="165">
        <f t="shared" si="17"/>
        <v>275417.73</v>
      </c>
      <c r="G170" s="959">
        <f t="shared" si="18"/>
        <v>489.61999999999534</v>
      </c>
      <c r="H170" s="189">
        <v>312.47000000000116</v>
      </c>
    </row>
    <row r="171" spans="1:8" ht="27.75">
      <c r="A171" s="1187" t="s">
        <v>102</v>
      </c>
      <c r="B171" s="1187"/>
      <c r="C171" s="1187"/>
      <c r="D171" s="174" t="s">
        <v>186</v>
      </c>
      <c r="E171" s="165">
        <f t="shared" si="16"/>
        <v>85321</v>
      </c>
      <c r="F171" s="165">
        <f t="shared" si="17"/>
        <v>85321</v>
      </c>
      <c r="G171" s="959">
        <f t="shared" si="18"/>
        <v>0</v>
      </c>
      <c r="H171" s="189">
        <v>142.1200000000008</v>
      </c>
    </row>
    <row r="172" spans="1:8" ht="27.75">
      <c r="A172" s="1187" t="s">
        <v>103</v>
      </c>
      <c r="B172" s="1187"/>
      <c r="C172" s="1187"/>
      <c r="D172" s="174" t="s">
        <v>186</v>
      </c>
      <c r="E172" s="165">
        <f t="shared" si="16"/>
        <v>93221.18</v>
      </c>
      <c r="F172" s="165">
        <f t="shared" si="17"/>
        <v>93521.99</v>
      </c>
      <c r="G172" s="959">
        <f t="shared" si="18"/>
        <v>300.81000000001222</v>
      </c>
      <c r="H172" s="189">
        <v>12.869999999998981</v>
      </c>
    </row>
    <row r="173" spans="1:8" ht="27.75" customHeight="1">
      <c r="G173" s="984">
        <f>SUM(G161:G172)</f>
        <v>2745.060000000014</v>
      </c>
    </row>
    <row r="174" spans="1:8" ht="27.75">
      <c r="A174" s="1187" t="s">
        <v>338</v>
      </c>
      <c r="B174" s="1187"/>
      <c r="C174" s="1187"/>
      <c r="D174" s="174" t="s">
        <v>186</v>
      </c>
      <c r="E174" s="309">
        <f>'21'!F174</f>
        <v>19101.8</v>
      </c>
      <c r="F174" s="165">
        <v>19105.900000000001</v>
      </c>
      <c r="G174" s="959">
        <f t="shared" ref="G174:G176" si="19">F174-E174</f>
        <v>4.1000000000021828</v>
      </c>
    </row>
    <row r="175" spans="1:8">
      <c r="A175" s="1228" t="s">
        <v>338</v>
      </c>
      <c r="B175" s="1191"/>
      <c r="C175" s="436"/>
      <c r="D175" s="174" t="s">
        <v>186</v>
      </c>
      <c r="E175" s="309">
        <f>'21'!F175</f>
        <v>70468.899999999994</v>
      </c>
      <c r="F175" s="165">
        <v>70475.399999999994</v>
      </c>
      <c r="G175" s="959">
        <f t="shared" si="19"/>
        <v>6.5</v>
      </c>
    </row>
    <row r="176" spans="1:8">
      <c r="A176" s="1228" t="s">
        <v>339</v>
      </c>
      <c r="B176" s="1191"/>
      <c r="C176" s="436"/>
      <c r="D176" s="174" t="s">
        <v>186</v>
      </c>
      <c r="E176" s="309">
        <f>'21'!F176</f>
        <v>27739.200000000001</v>
      </c>
      <c r="F176" s="165">
        <v>27745</v>
      </c>
      <c r="G176" s="959">
        <f t="shared" si="19"/>
        <v>5.7999999999992724</v>
      </c>
    </row>
    <row r="177" spans="1:15">
      <c r="A177" s="1228"/>
      <c r="B177" s="1191"/>
      <c r="D177" s="174"/>
      <c r="E177" s="309"/>
      <c r="F177" s="1122"/>
      <c r="G177" s="959"/>
    </row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B158" zoomScale="95" zoomScaleNormal="80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5.88671875" style="654" customWidth="1"/>
    <col min="4" max="4" width="13.6640625" style="654" customWidth="1"/>
    <col min="5" max="5" width="32.109375" style="654" customWidth="1"/>
    <col min="6" max="6" width="30" style="654" customWidth="1"/>
    <col min="7" max="7" width="20.33203125" style="654" customWidth="1"/>
    <col min="8" max="8" width="39.21875" style="655" customWidth="1"/>
    <col min="9" max="9" width="11.21875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09" t="s">
        <v>116</v>
      </c>
      <c r="B1" s="1310"/>
      <c r="C1" s="1310"/>
      <c r="D1" s="1310"/>
      <c r="E1" s="1310"/>
      <c r="F1" s="1310"/>
      <c r="G1" s="1310"/>
      <c r="H1" s="1310"/>
      <c r="I1" s="1310"/>
      <c r="J1" s="1311"/>
      <c r="K1" s="456">
        <v>10002.799999999999</v>
      </c>
    </row>
    <row r="2" spans="1:15">
      <c r="A2" s="457" t="s">
        <v>349</v>
      </c>
      <c r="B2" s="727">
        <v>44400</v>
      </c>
      <c r="C2" s="458" t="s">
        <v>68</v>
      </c>
      <c r="D2" s="459">
        <v>0.85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30</v>
      </c>
      <c r="E3" s="1318" t="s">
        <v>120</v>
      </c>
      <c r="F3" s="1319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12" t="s">
        <v>129</v>
      </c>
      <c r="B6" s="1313"/>
      <c r="C6" s="1314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1" thickBot="1">
      <c r="A7" s="487" t="s">
        <v>130</v>
      </c>
      <c r="B7" s="488"/>
      <c r="C7" s="488"/>
      <c r="D7" s="489" t="s">
        <v>131</v>
      </c>
      <c r="E7" s="490">
        <f>'22'!F7</f>
        <v>1104888</v>
      </c>
      <c r="F7" s="490">
        <f>E7+23250</f>
        <v>1128138</v>
      </c>
      <c r="G7" s="491">
        <f>F7-E7</f>
        <v>23250</v>
      </c>
      <c r="H7" s="492">
        <f>G7+'22'!H7</f>
        <v>520316</v>
      </c>
      <c r="I7" s="493">
        <f>'1'!I7</f>
        <v>12000</v>
      </c>
      <c r="J7" s="494">
        <f>H7/DAY(B2)</f>
        <v>22622.434782608696</v>
      </c>
      <c r="K7" s="495"/>
      <c r="L7" s="469"/>
      <c r="O7" s="496"/>
    </row>
    <row r="8" spans="1:15" ht="21" thickBot="1">
      <c r="A8" s="497" t="s">
        <v>132</v>
      </c>
      <c r="B8" s="498"/>
      <c r="C8" s="499"/>
      <c r="D8" s="500" t="s">
        <v>25</v>
      </c>
      <c r="E8" s="490">
        <f>'22'!F8</f>
        <v>413507.95</v>
      </c>
      <c r="F8" s="1148">
        <v>436167.91</v>
      </c>
      <c r="G8" s="501">
        <f>F8-E8</f>
        <v>22659.959999999963</v>
      </c>
      <c r="H8" s="492">
        <f>G8+'22'!H8</f>
        <v>-179429.09000000003</v>
      </c>
      <c r="I8" s="502">
        <f>'1'!I8</f>
        <v>12000</v>
      </c>
      <c r="J8" s="494">
        <f>H8/DAY(B2)</f>
        <v>-7801.2647826086968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'22'!F9</f>
        <v>2501803.5</v>
      </c>
      <c r="F9" s="507">
        <v>2523663.5</v>
      </c>
      <c r="G9" s="491">
        <f t="shared" ref="G9:G12" si="0">F9-E9</f>
        <v>21860</v>
      </c>
      <c r="H9" s="492">
        <f>G9+'22'!H9</f>
        <v>-172971.5</v>
      </c>
      <c r="I9" s="508">
        <f>I8-J8</f>
        <v>19801.264782608698</v>
      </c>
      <c r="J9" s="494">
        <f>H9/DAY(B2)</f>
        <v>-7520.5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'22'!F10</f>
        <v>2606.5500000000002</v>
      </c>
      <c r="F10" s="507">
        <v>2606.5500000000002</v>
      </c>
      <c r="G10" s="491">
        <f t="shared" si="0"/>
        <v>0</v>
      </c>
      <c r="H10" s="492">
        <f>G10+'22'!H10</f>
        <v>-0.15000000000009095</v>
      </c>
      <c r="I10" s="510"/>
      <c r="J10" s="494">
        <f>H10/DAY(B2)</f>
        <v>-6.5217391304387366E-3</v>
      </c>
      <c r="K10" s="509"/>
      <c r="L10" s="469"/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'22'!F11</f>
        <v>37000</v>
      </c>
      <c r="F11" s="490">
        <v>37000</v>
      </c>
      <c r="G11" s="491">
        <f t="shared" si="0"/>
        <v>0</v>
      </c>
      <c r="H11" s="492">
        <f>G11+'22'!H11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'22'!F12</f>
        <v>40010</v>
      </c>
      <c r="F12" s="507">
        <v>40010</v>
      </c>
      <c r="G12" s="491">
        <f t="shared" si="0"/>
        <v>0</v>
      </c>
      <c r="H12" s="492">
        <f>G12+'22'!H12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21860</v>
      </c>
      <c r="H13" s="492">
        <f>G13+'22'!H13</f>
        <v>-215655.65000000002</v>
      </c>
      <c r="I13" s="514">
        <f>G7-G13</f>
        <v>1390</v>
      </c>
      <c r="J13" s="494">
        <f>H13/DAY(B2)</f>
        <v>-9376.3326086956531</v>
      </c>
      <c r="K13" s="509"/>
      <c r="L13" s="469"/>
      <c r="O13" s="496"/>
    </row>
    <row r="14" spans="1:15">
      <c r="A14" s="1315" t="s">
        <v>138</v>
      </c>
      <c r="B14" s="1316"/>
      <c r="C14" s="1317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>
      <c r="A15" s="517" t="s">
        <v>139</v>
      </c>
      <c r="B15" s="518"/>
      <c r="C15" s="518"/>
      <c r="D15" s="489" t="s">
        <v>140</v>
      </c>
      <c r="E15" s="490">
        <f>'22'!F15</f>
        <v>1749359</v>
      </c>
      <c r="F15" s="1149">
        <f>E15+950</f>
        <v>1750309</v>
      </c>
      <c r="G15" s="666">
        <f>(F15-E15)</f>
        <v>950</v>
      </c>
      <c r="H15" s="492">
        <f>G15+'22'!H15</f>
        <v>20755</v>
      </c>
      <c r="I15" s="493">
        <f>'1'!I15</f>
        <v>800</v>
      </c>
      <c r="J15" s="494">
        <f>H15/DAY(B2)</f>
        <v>902.39130434782612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-102.39130434782612</v>
      </c>
      <c r="J16" s="526"/>
      <c r="K16" s="509"/>
      <c r="L16" s="469"/>
      <c r="O16" s="496"/>
    </row>
    <row r="17" spans="1:15">
      <c r="A17" s="1315" t="s">
        <v>141</v>
      </c>
      <c r="B17" s="1316"/>
      <c r="C17" s="1317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>
      <c r="A18" s="1291" t="s">
        <v>142</v>
      </c>
      <c r="B18" s="1292"/>
      <c r="C18" s="1293"/>
      <c r="D18" s="489" t="s">
        <v>143</v>
      </c>
      <c r="E18" s="490">
        <f>'22'!F18</f>
        <v>12</v>
      </c>
      <c r="F18" s="519">
        <v>10</v>
      </c>
      <c r="G18" s="513">
        <f>F18*10</f>
        <v>100</v>
      </c>
      <c r="H18" s="492">
        <f>G18+'22'!H18</f>
        <v>3570</v>
      </c>
      <c r="I18" s="493">
        <f>'1'!I18</f>
        <v>65</v>
      </c>
      <c r="J18" s="494">
        <f>H18/DAY(B2)</f>
        <v>155.21739130434781</v>
      </c>
      <c r="K18" s="509"/>
      <c r="L18" s="469"/>
      <c r="O18" s="496"/>
    </row>
    <row r="19" spans="1:15">
      <c r="A19" s="1291" t="s">
        <v>70</v>
      </c>
      <c r="B19" s="1292"/>
      <c r="C19" s="1293"/>
      <c r="D19" s="489" t="s">
        <v>143</v>
      </c>
      <c r="E19" s="490">
        <f>'22'!F19</f>
        <v>144750</v>
      </c>
      <c r="F19" s="519">
        <f>E19+60</f>
        <v>144810</v>
      </c>
      <c r="G19" s="491">
        <f t="shared" ref="G19" si="1">F19-E19</f>
        <v>60</v>
      </c>
      <c r="H19" s="492">
        <f>G19+'22'!H19</f>
        <v>1420</v>
      </c>
      <c r="I19" s="493">
        <f>'1'!I19</f>
        <v>0</v>
      </c>
      <c r="J19" s="494">
        <f>H19/DAY(B2)</f>
        <v>61.739130434782609</v>
      </c>
      <c r="K19" s="509"/>
      <c r="L19" s="469"/>
      <c r="N19" s="657">
        <v>126171</v>
      </c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530">
        <f>G18+G19</f>
        <v>160</v>
      </c>
      <c r="H20" s="492">
        <f>G20+'22'!H20</f>
        <v>4990</v>
      </c>
      <c r="I20" s="531">
        <f>I18-J20</f>
        <v>-151.95652173913044</v>
      </c>
      <c r="J20" s="494">
        <f>H20/DAY(B2)</f>
        <v>216.95652173913044</v>
      </c>
      <c r="K20" s="509"/>
      <c r="L20" s="469"/>
      <c r="N20" s="657">
        <f>N19-F19</f>
        <v>-18639</v>
      </c>
      <c r="O20" s="496"/>
    </row>
    <row r="21" spans="1:15">
      <c r="A21" s="1315" t="s">
        <v>145</v>
      </c>
      <c r="B21" s="1316"/>
      <c r="C21" s="1317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v>2970</v>
      </c>
      <c r="F22" s="519">
        <v>2970</v>
      </c>
      <c r="G22" s="513">
        <f t="shared" ref="G22" si="2">(F22-E22)</f>
        <v>0</v>
      </c>
      <c r="H22" s="492">
        <f>G22+'22'!H22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v>2000</v>
      </c>
      <c r="F23" s="519">
        <v>2000</v>
      </c>
      <c r="G23" s="513">
        <v>0</v>
      </c>
      <c r="H23" s="492">
        <f>G23+'22'!H23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v>4970</v>
      </c>
      <c r="F24" s="534">
        <v>4970</v>
      </c>
      <c r="G24" s="513">
        <v>0</v>
      </c>
      <c r="H24" s="492">
        <f>G24+'22'!H24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12" t="s">
        <v>150</v>
      </c>
      <c r="B25" s="1313"/>
      <c r="C25" s="1314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>
      <c r="A27" s="541" t="s">
        <v>6</v>
      </c>
      <c r="B27" s="542"/>
      <c r="C27" s="543"/>
      <c r="D27" s="548" t="s">
        <v>25</v>
      </c>
      <c r="E27" s="549">
        <f>G8</f>
        <v>22659.959999999963</v>
      </c>
      <c r="F27" s="550">
        <v>9</v>
      </c>
      <c r="G27" s="551">
        <f>E27*F27</f>
        <v>203939.63999999966</v>
      </c>
      <c r="H27" s="492">
        <f>G27+'22'!H27</f>
        <v>-1614859.92</v>
      </c>
      <c r="I27" s="552"/>
      <c r="J27" s="494">
        <f>H27/DAY(B2)</f>
        <v>-70211.30086956521</v>
      </c>
      <c r="K27" s="509"/>
      <c r="L27" s="539"/>
      <c r="N27" s="658"/>
      <c r="O27" s="496"/>
    </row>
    <row r="28" spans="1:15" s="540" customFormat="1">
      <c r="A28" s="541" t="s">
        <v>153</v>
      </c>
      <c r="B28" s="542"/>
      <c r="C28" s="543"/>
      <c r="D28" s="548" t="s">
        <v>154</v>
      </c>
      <c r="E28" s="549">
        <f>G15</f>
        <v>950</v>
      </c>
      <c r="F28" s="550">
        <v>52</v>
      </c>
      <c r="G28" s="551">
        <f>E28*F28</f>
        <v>49400</v>
      </c>
      <c r="H28" s="492">
        <f>G28+'22'!H28</f>
        <v>1112147.5</v>
      </c>
      <c r="I28" s="553"/>
      <c r="J28" s="494">
        <f>H28/DAY(B2)</f>
        <v>48354.239130434784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>E29*F29</f>
        <v>0</v>
      </c>
      <c r="H29" s="492">
        <f>G29+'22'!H29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>E30*F30</f>
        <v>8760</v>
      </c>
      <c r="H30" s="492">
        <f>G30+'22'!H30</f>
        <v>207320</v>
      </c>
      <c r="I30" s="553"/>
      <c r="J30" s="494">
        <f>H30/DAY(B2)</f>
        <v>9013.9130434782601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100</v>
      </c>
      <c r="F31" s="550">
        <v>80</v>
      </c>
      <c r="G31" s="551">
        <f>E31*F31</f>
        <v>8000</v>
      </c>
      <c r="H31" s="492">
        <f>G31+'22'!H31</f>
        <v>285600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270099.63999999966</v>
      </c>
      <c r="H32" s="492">
        <f>G32+'22'!H32</f>
        <v>-9792.4200000002747</v>
      </c>
      <c r="I32" s="559"/>
      <c r="J32" s="494">
        <f>H32/DAY(B2)</f>
        <v>-425.75739130435977</v>
      </c>
      <c r="K32" s="509"/>
      <c r="L32" s="539"/>
      <c r="N32" s="658"/>
      <c r="O32" s="496"/>
    </row>
    <row r="33" spans="1:15" ht="18.75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'22'!F35</f>
        <v>1058597</v>
      </c>
      <c r="F35" s="562">
        <v>1058597</v>
      </c>
      <c r="G35" s="491">
        <f t="shared" ref="G35:G46" si="3">F35-E35</f>
        <v>0</v>
      </c>
      <c r="H35" s="492">
        <f>G35+'22'!H35</f>
        <v>0.69999999995343387</v>
      </c>
      <c r="I35" s="490"/>
      <c r="J35" s="494">
        <f>H35/DAY(B2)</f>
        <v>3.0434782606671037E-2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'22'!F36</f>
        <v>39677.78</v>
      </c>
      <c r="F36" s="562">
        <v>40361.839999999997</v>
      </c>
      <c r="G36" s="491">
        <f t="shared" si="3"/>
        <v>684.05999999999767</v>
      </c>
      <c r="H36" s="492">
        <f>G36+'22'!H36</f>
        <v>-6436.1600000000035</v>
      </c>
      <c r="I36" s="490"/>
      <c r="J36" s="494">
        <f>H36/DAY(B2)</f>
        <v>-279.833043478261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'22'!F37</f>
        <v>211447.87</v>
      </c>
      <c r="F37" s="562">
        <v>213050.03</v>
      </c>
      <c r="G37" s="491">
        <f t="shared" si="3"/>
        <v>1602.1600000000035</v>
      </c>
      <c r="H37" s="492">
        <f>G37+'22'!H37</f>
        <v>-13122.970000000001</v>
      </c>
      <c r="I37" s="490"/>
      <c r="J37" s="494">
        <f>H37/DAY(B2)</f>
        <v>-570.56391304347835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'22'!F38</f>
        <v>233975.71</v>
      </c>
      <c r="F38" s="479">
        <v>235554.57</v>
      </c>
      <c r="G38" s="491">
        <f t="shared" si="3"/>
        <v>1578.8600000000151</v>
      </c>
      <c r="H38" s="492">
        <f>G38+'22'!H38</f>
        <v>-13004.429999999993</v>
      </c>
      <c r="I38" s="490"/>
      <c r="J38" s="494">
        <f>H38/DAY(B2)</f>
        <v>-565.40999999999974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'22'!F39</f>
        <v>486351.03</v>
      </c>
      <c r="F39" s="562">
        <v>490138.99</v>
      </c>
      <c r="G39" s="491">
        <f t="shared" si="3"/>
        <v>3787.9599999999627</v>
      </c>
      <c r="H39" s="492">
        <f>G39+'22'!H39</f>
        <v>-30379.010000000009</v>
      </c>
      <c r="I39" s="490"/>
      <c r="J39" s="494">
        <f>H39/DAY(B2)</f>
        <v>-1320.8265217391308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'22'!F40</f>
        <v>15858.73</v>
      </c>
      <c r="F40" s="562">
        <v>16445.48</v>
      </c>
      <c r="G40" s="491">
        <f t="shared" si="3"/>
        <v>586.75</v>
      </c>
      <c r="H40" s="492">
        <f>G40+'22'!H40</f>
        <v>-3727.5200000000004</v>
      </c>
      <c r="I40" s="490"/>
      <c r="J40" s="494">
        <f>H40/DAY(B2)</f>
        <v>-162.06608695652176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'22'!F41</f>
        <v>366839.55</v>
      </c>
      <c r="F41" s="562">
        <v>366839.55</v>
      </c>
      <c r="G41" s="491">
        <f t="shared" si="3"/>
        <v>0</v>
      </c>
      <c r="H41" s="492">
        <f>G41+'22'!H41</f>
        <v>-0.45000000001164153</v>
      </c>
      <c r="I41" s="490"/>
      <c r="J41" s="494">
        <f>H41/DAY(B2)</f>
        <v>-1.95652173918105E-2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'22'!F42</f>
        <v>89172.1</v>
      </c>
      <c r="F42" s="562">
        <v>91097.09</v>
      </c>
      <c r="G42" s="491">
        <f t="shared" si="3"/>
        <v>1924.9899999999907</v>
      </c>
      <c r="H42" s="492">
        <f>G42+'22'!H42</f>
        <v>-24414.910000000003</v>
      </c>
      <c r="I42" s="490"/>
      <c r="J42" s="494">
        <f>H42/DAY(B2)</f>
        <v>-1061.5178260869566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'22'!F43</f>
        <v>1179688.8999999999</v>
      </c>
      <c r="F43" s="562">
        <v>1182388.1000000001</v>
      </c>
      <c r="G43" s="491">
        <f t="shared" si="3"/>
        <v>2699.2000000001863</v>
      </c>
      <c r="H43" s="492">
        <f>G43+'22'!H43</f>
        <v>-22072.899999999907</v>
      </c>
      <c r="I43" s="490"/>
      <c r="J43" s="494">
        <f>H43/DAY(B2)</f>
        <v>-959.69130434782198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'22'!F44</f>
        <v>0</v>
      </c>
      <c r="F44" s="562">
        <v>0</v>
      </c>
      <c r="G44" s="491">
        <f t="shared" si="3"/>
        <v>0</v>
      </c>
      <c r="H44" s="492">
        <f>G44+'22'!H44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'22'!F45</f>
        <v>614</v>
      </c>
      <c r="F45" s="562">
        <v>614</v>
      </c>
      <c r="G45" s="491">
        <f t="shared" si="3"/>
        <v>0</v>
      </c>
      <c r="H45" s="492">
        <f>G45+'22'!H45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'22'!F46</f>
        <v>187</v>
      </c>
      <c r="F46" s="562">
        <v>187</v>
      </c>
      <c r="G46" s="491">
        <f t="shared" si="3"/>
        <v>0</v>
      </c>
      <c r="H46" s="492">
        <f>G46+'22'!H46</f>
        <v>-0.49000000000000909</v>
      </c>
      <c r="I46" s="490"/>
      <c r="J46" s="494">
        <f>H46/DAY(B2)</f>
        <v>-2.1304347826087353E-2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12863.980000000156</v>
      </c>
      <c r="H47" s="492">
        <f>G47+'22'!H47</f>
        <v>-112356.65000000002</v>
      </c>
      <c r="I47" s="490"/>
      <c r="J47" s="494">
        <f>H47/DAY(B2)</f>
        <v>-4885.0717391304361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'22'!F49</f>
        <v>296946.51</v>
      </c>
      <c r="F49" s="562">
        <v>299994.09000000003</v>
      </c>
      <c r="G49" s="491">
        <f t="shared" ref="G49:G58" si="4">F49-E49</f>
        <v>3047.5800000000163</v>
      </c>
      <c r="H49" s="492">
        <f>G49+'22'!H49</f>
        <v>-27043.909999999974</v>
      </c>
      <c r="I49" s="490"/>
      <c r="J49" s="494">
        <f>H49/DAY(B2)</f>
        <v>-1175.8221739130424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'22'!F50</f>
        <v>560780.18999999994</v>
      </c>
      <c r="F50" s="1081">
        <v>561776.94999999995</v>
      </c>
      <c r="G50" s="491">
        <f t="shared" si="4"/>
        <v>996.76000000000931</v>
      </c>
      <c r="H50" s="492">
        <f>G50+'22'!H50</f>
        <v>-9040.0500000000466</v>
      </c>
      <c r="I50" s="490"/>
      <c r="J50" s="494">
        <f>H50/DAY(B2)</f>
        <v>-393.04565217391507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'22'!F51</f>
        <v>144640</v>
      </c>
      <c r="F51" s="562">
        <v>144640</v>
      </c>
      <c r="G51" s="491">
        <f t="shared" si="4"/>
        <v>0</v>
      </c>
      <c r="H51" s="492">
        <f>G51+'22'!H51</f>
        <v>0</v>
      </c>
      <c r="I51" s="490"/>
      <c r="J51" s="494">
        <f>H51/DAY(B2)</f>
        <v>0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'22'!F52</f>
        <v>539606.06999999995</v>
      </c>
      <c r="F52" s="562">
        <v>539606.06999999995</v>
      </c>
      <c r="G52" s="491">
        <f t="shared" si="4"/>
        <v>0</v>
      </c>
      <c r="H52" s="492">
        <f>G52+'22'!H52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'22'!F53</f>
        <v>434231.59</v>
      </c>
      <c r="F53" s="562">
        <v>434231.59</v>
      </c>
      <c r="G53" s="491">
        <f t="shared" si="4"/>
        <v>0</v>
      </c>
      <c r="H53" s="492">
        <f>G53+'22'!H53</f>
        <v>-0.73999999999068677</v>
      </c>
      <c r="I53" s="490"/>
      <c r="J53" s="494">
        <f>H53/DAY(B2)</f>
        <v>-3.2173913043073335E-2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'22'!F54</f>
        <v>14967.39</v>
      </c>
      <c r="F54" s="562">
        <v>14967.39</v>
      </c>
      <c r="G54" s="491">
        <f t="shared" si="4"/>
        <v>0</v>
      </c>
      <c r="H54" s="492">
        <f>G54+'22'!H54</f>
        <v>0.38999999999941792</v>
      </c>
      <c r="I54" s="490"/>
      <c r="J54" s="494">
        <f>H54/DAY(B2)</f>
        <v>1.6956521739105127E-2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'22'!F55</f>
        <v>198850.87</v>
      </c>
      <c r="F55" s="562">
        <v>204436.49</v>
      </c>
      <c r="G55" s="491">
        <f t="shared" si="4"/>
        <v>5585.6199999999953</v>
      </c>
      <c r="H55" s="492">
        <f>G55+'22'!H55</f>
        <v>-32749.510000000009</v>
      </c>
      <c r="I55" s="490"/>
      <c r="J55" s="494">
        <f>H55/DAY(B2)</f>
        <v>-1423.8917391304351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'22'!F56</f>
        <v>649262.82999999996</v>
      </c>
      <c r="F56" s="562">
        <v>649273.27</v>
      </c>
      <c r="G56" s="491">
        <f t="shared" si="4"/>
        <v>10.440000000060536</v>
      </c>
      <c r="H56" s="492">
        <f>G56+'22'!H56</f>
        <v>-98.729999999981374</v>
      </c>
      <c r="I56" s="490"/>
      <c r="J56" s="494">
        <f>H56/DAY(B2)</f>
        <v>-4.2926086956513645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'22'!F57</f>
        <v>7711</v>
      </c>
      <c r="F57" s="562">
        <v>7711</v>
      </c>
      <c r="G57" s="491">
        <f t="shared" si="4"/>
        <v>0</v>
      </c>
      <c r="H57" s="492">
        <f>G57+'22'!H57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'22'!F58</f>
        <v>57838.13</v>
      </c>
      <c r="F58" s="562">
        <v>58048.11</v>
      </c>
      <c r="G58" s="491">
        <f t="shared" si="4"/>
        <v>209.9800000000032</v>
      </c>
      <c r="H58" s="492">
        <f>G58+'22'!H58</f>
        <v>-1842.8899999999994</v>
      </c>
      <c r="I58" s="490"/>
      <c r="J58" s="494">
        <f>H58/DAY(B2)</f>
        <v>-80.125652173913025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9850.3800000000847</v>
      </c>
      <c r="H59" s="492">
        <f>G59+'22'!H59</f>
        <v>-70775.370000000054</v>
      </c>
      <c r="I59" s="490">
        <f>G7-G60</f>
        <v>535.63999999975931</v>
      </c>
      <c r="J59" s="494">
        <f>H59/DAY(B2)</f>
        <v>-3077.1900000000023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22714.360000000241</v>
      </c>
      <c r="H60" s="492">
        <f>G60+'22'!H60</f>
        <v>-177554.69000000003</v>
      </c>
      <c r="I60" s="490">
        <f>G13-G60</f>
        <v>-854.36000000024069</v>
      </c>
      <c r="J60" s="494">
        <f>H60/DAY(B2)</f>
        <v>-7719.7691304347836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'22'!F62</f>
        <v>20419.2</v>
      </c>
      <c r="F62" s="572">
        <v>20419</v>
      </c>
      <c r="G62" s="491">
        <f t="shared" ref="G62:G69" si="5">F62-E62</f>
        <v>-0.2000000000007276</v>
      </c>
      <c r="H62" s="492">
        <f>G62+'22'!H62</f>
        <v>1.9999999967694748E-3</v>
      </c>
      <c r="I62" s="573"/>
      <c r="J62" s="494">
        <f>H62/DAY(B2)</f>
        <v>8.6956521598672822E-5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'22'!F63</f>
        <v>0</v>
      </c>
      <c r="F63" s="572">
        <v>0</v>
      </c>
      <c r="G63" s="491">
        <f t="shared" si="5"/>
        <v>0</v>
      </c>
      <c r="H63" s="492">
        <f>G63+'22'!H63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297" t="s">
        <v>98</v>
      </c>
      <c r="B64" s="1298"/>
      <c r="C64" s="1299"/>
      <c r="D64" s="489" t="s">
        <v>186</v>
      </c>
      <c r="E64" s="490">
        <f>'22'!F64</f>
        <v>178527.35</v>
      </c>
      <c r="F64" s="519">
        <v>178897.63</v>
      </c>
      <c r="G64" s="491">
        <f t="shared" si="5"/>
        <v>370.27999999999884</v>
      </c>
      <c r="H64" s="492">
        <f>G64+'22'!H64</f>
        <v>-2962.3699999999953</v>
      </c>
      <c r="I64" s="510"/>
      <c r="J64" s="494">
        <f>H64/DAY(B2)</f>
        <v>-128.79869565217371</v>
      </c>
      <c r="K64" s="509"/>
      <c r="L64" s="469"/>
      <c r="O64" s="496"/>
    </row>
    <row r="65" spans="1:15">
      <c r="A65" s="1297" t="s">
        <v>99</v>
      </c>
      <c r="B65" s="1298"/>
      <c r="C65" s="1299"/>
      <c r="D65" s="489" t="s">
        <v>186</v>
      </c>
      <c r="E65" s="490">
        <f>'22'!F65</f>
        <v>178694.59</v>
      </c>
      <c r="F65" s="519">
        <v>179109.65</v>
      </c>
      <c r="G65" s="491">
        <f t="shared" si="5"/>
        <v>415.05999999999767</v>
      </c>
      <c r="H65" s="492">
        <f>G65+'22'!H65</f>
        <v>-3099.3500000000058</v>
      </c>
      <c r="I65" s="528"/>
      <c r="J65" s="494">
        <f>H65/DAY(B2)</f>
        <v>-134.75434782608721</v>
      </c>
      <c r="K65" s="509"/>
      <c r="L65" s="469"/>
      <c r="O65" s="496"/>
    </row>
    <row r="66" spans="1:15">
      <c r="A66" s="1297" t="s">
        <v>100</v>
      </c>
      <c r="B66" s="1298"/>
      <c r="C66" s="1299"/>
      <c r="D66" s="489" t="s">
        <v>186</v>
      </c>
      <c r="E66" s="490">
        <f>'22'!F66</f>
        <v>77018.289999999994</v>
      </c>
      <c r="F66" s="519">
        <v>77414.350000000006</v>
      </c>
      <c r="G66" s="491">
        <f t="shared" si="5"/>
        <v>396.06000000001222</v>
      </c>
      <c r="H66" s="492">
        <f>G66+'22'!H66</f>
        <v>-3257.6499999999942</v>
      </c>
      <c r="I66" s="510"/>
      <c r="J66" s="494">
        <f>H66/DAY(B2)</f>
        <v>-141.63695652173888</v>
      </c>
      <c r="K66" s="509"/>
      <c r="L66" s="469"/>
      <c r="O66" s="496"/>
    </row>
    <row r="67" spans="1:15">
      <c r="A67" s="1297" t="s">
        <v>101</v>
      </c>
      <c r="B67" s="1298"/>
      <c r="C67" s="1299"/>
      <c r="D67" s="489" t="s">
        <v>186</v>
      </c>
      <c r="E67" s="490">
        <f>'22'!F67</f>
        <v>275417.73</v>
      </c>
      <c r="F67" s="519">
        <v>275930.27</v>
      </c>
      <c r="G67" s="491">
        <f t="shared" si="5"/>
        <v>512.54000000003725</v>
      </c>
      <c r="H67" s="492">
        <f>G67+'22'!H67</f>
        <v>-4127.7299999999814</v>
      </c>
      <c r="I67" s="528"/>
      <c r="J67" s="494">
        <f>H67/DAY(B2)</f>
        <v>-179.46652173912963</v>
      </c>
      <c r="K67" s="516"/>
      <c r="L67" s="469"/>
      <c r="O67" s="496"/>
    </row>
    <row r="68" spans="1:15">
      <c r="A68" s="1297" t="s">
        <v>102</v>
      </c>
      <c r="B68" s="1298"/>
      <c r="C68" s="1299"/>
      <c r="D68" s="489" t="s">
        <v>186</v>
      </c>
      <c r="E68" s="490">
        <f>'22'!F68</f>
        <v>85321</v>
      </c>
      <c r="F68" s="519">
        <v>85321</v>
      </c>
      <c r="G68" s="491">
        <f t="shared" si="5"/>
        <v>0</v>
      </c>
      <c r="H68" s="492">
        <f>G68+'22'!H68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297" t="s">
        <v>103</v>
      </c>
      <c r="B69" s="1298"/>
      <c r="C69" s="1299"/>
      <c r="D69" s="489" t="s">
        <v>186</v>
      </c>
      <c r="E69" s="490">
        <f>'22'!F69</f>
        <v>93521.99</v>
      </c>
      <c r="F69" s="519">
        <v>93836.67</v>
      </c>
      <c r="G69" s="491">
        <f t="shared" si="5"/>
        <v>314.67999999999302</v>
      </c>
      <c r="H69" s="492">
        <f>G69+'22'!H69</f>
        <v>-2720.3300000000017</v>
      </c>
      <c r="I69" s="574"/>
      <c r="J69" s="494">
        <f>H69/DAY(B2)</f>
        <v>-118.27521739130442</v>
      </c>
      <c r="K69" s="576"/>
      <c r="L69" s="469"/>
      <c r="O69" s="496"/>
    </row>
    <row r="70" spans="1:15">
      <c r="A70" s="1306" t="s">
        <v>188</v>
      </c>
      <c r="B70" s="1307"/>
      <c r="C70" s="1308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>
      <c r="A72" s="1297" t="s">
        <v>190</v>
      </c>
      <c r="B72" s="1298"/>
      <c r="C72" s="1299"/>
      <c r="D72" s="489" t="s">
        <v>186</v>
      </c>
      <c r="E72" s="490">
        <f>'22'!F72</f>
        <v>856496</v>
      </c>
      <c r="F72" s="580">
        <v>856508</v>
      </c>
      <c r="G72" s="491">
        <f t="shared" ref="G72:G84" si="6">F72-E72</f>
        <v>12</v>
      </c>
      <c r="H72" s="492">
        <f>G72+'22'!H72</f>
        <v>-115</v>
      </c>
      <c r="I72" s="510"/>
      <c r="J72" s="494">
        <f>H72/DAY(B2)</f>
        <v>-5</v>
      </c>
      <c r="K72" s="576"/>
      <c r="L72" s="469"/>
      <c r="O72" s="496"/>
    </row>
    <row r="73" spans="1:15">
      <c r="A73" s="1297" t="s">
        <v>191</v>
      </c>
      <c r="B73" s="1298"/>
      <c r="C73" s="1299"/>
      <c r="D73" s="489" t="s">
        <v>186</v>
      </c>
      <c r="E73" s="490">
        <f>'22'!F73</f>
        <v>886002</v>
      </c>
      <c r="F73" s="581">
        <v>886004</v>
      </c>
      <c r="G73" s="491">
        <f t="shared" si="6"/>
        <v>2</v>
      </c>
      <c r="H73" s="492">
        <f>G73+'22'!H73</f>
        <v>148</v>
      </c>
      <c r="I73" s="510"/>
      <c r="J73" s="494">
        <f>H73/DAY(B2)</f>
        <v>6.4347826086956523</v>
      </c>
      <c r="K73" s="575"/>
      <c r="L73" s="469"/>
      <c r="O73" s="496"/>
    </row>
    <row r="74" spans="1:15">
      <c r="A74" s="1297" t="s">
        <v>192</v>
      </c>
      <c r="B74" s="1298"/>
      <c r="C74" s="1299"/>
      <c r="D74" s="489" t="s">
        <v>186</v>
      </c>
      <c r="E74" s="490">
        <f>'22'!F74</f>
        <v>88722</v>
      </c>
      <c r="F74" s="582">
        <v>88723</v>
      </c>
      <c r="G74" s="491">
        <f t="shared" si="6"/>
        <v>1</v>
      </c>
      <c r="H74" s="492">
        <f>G74+'22'!H74</f>
        <v>62</v>
      </c>
      <c r="I74" s="510"/>
      <c r="J74" s="494">
        <f>H74/DAY(B2)</f>
        <v>2.6956521739130435</v>
      </c>
      <c r="K74" s="576"/>
      <c r="L74" s="469"/>
      <c r="O74" s="496"/>
    </row>
    <row r="75" spans="1:15">
      <c r="A75" s="1300" t="s">
        <v>193</v>
      </c>
      <c r="B75" s="1301"/>
      <c r="C75" s="1302"/>
      <c r="D75" s="489" t="s">
        <v>186</v>
      </c>
      <c r="E75" s="490">
        <f>'22'!F75</f>
        <v>19494.830000000002</v>
      </c>
      <c r="F75" s="582">
        <v>19643.29</v>
      </c>
      <c r="G75" s="491">
        <f t="shared" si="6"/>
        <v>148.45999999999913</v>
      </c>
      <c r="H75" s="492">
        <f>G75+'22'!H75</f>
        <v>-1303.7099999999991</v>
      </c>
      <c r="I75" s="510"/>
      <c r="J75" s="494">
        <f>H75/DAY(B2)</f>
        <v>-56.683043478260835</v>
      </c>
      <c r="K75" s="575"/>
      <c r="L75" s="469"/>
      <c r="O75" s="496"/>
    </row>
    <row r="76" spans="1:15">
      <c r="A76" s="1300" t="s">
        <v>194</v>
      </c>
      <c r="B76" s="1301"/>
      <c r="C76" s="1302"/>
      <c r="D76" s="489" t="s">
        <v>186</v>
      </c>
      <c r="E76" s="490">
        <f>'22'!F76</f>
        <v>10775.95</v>
      </c>
      <c r="F76" s="581">
        <v>10844.8</v>
      </c>
      <c r="G76" s="491">
        <f t="shared" si="6"/>
        <v>68.849999999998545</v>
      </c>
      <c r="H76" s="492">
        <f>G76+'22'!H76</f>
        <v>919.39999999999964</v>
      </c>
      <c r="I76" s="553"/>
      <c r="J76" s="494">
        <f>H76/DAY(B2)</f>
        <v>39.973913043478248</v>
      </c>
      <c r="K76" s="575"/>
      <c r="L76" s="469"/>
      <c r="O76" s="496"/>
    </row>
    <row r="77" spans="1:15">
      <c r="A77" s="1297" t="s">
        <v>195</v>
      </c>
      <c r="B77" s="1298"/>
      <c r="C77" s="1299"/>
      <c r="D77" s="489" t="s">
        <v>186</v>
      </c>
      <c r="E77" s="490">
        <f>'22'!F77</f>
        <v>705784</v>
      </c>
      <c r="F77" s="581">
        <v>705836</v>
      </c>
      <c r="G77" s="491">
        <f t="shared" si="6"/>
        <v>52</v>
      </c>
      <c r="H77" s="492">
        <f>G77+'22'!H77</f>
        <v>-617</v>
      </c>
      <c r="I77" s="553"/>
      <c r="J77" s="494">
        <f>H77/DAY(B2)</f>
        <v>-26.826086956521738</v>
      </c>
      <c r="K77" s="575"/>
      <c r="L77" s="469"/>
      <c r="O77" s="496"/>
    </row>
    <row r="78" spans="1:15">
      <c r="A78" s="583" t="s">
        <v>196</v>
      </c>
      <c r="B78" s="767"/>
      <c r="C78" s="767"/>
      <c r="D78" s="489" t="s">
        <v>186</v>
      </c>
      <c r="E78" s="490">
        <f>'22'!F78</f>
        <v>677598</v>
      </c>
      <c r="F78" s="582">
        <v>677704</v>
      </c>
      <c r="G78" s="491">
        <f t="shared" si="6"/>
        <v>106</v>
      </c>
      <c r="H78" s="492">
        <f>G78+'22'!H78</f>
        <v>-1149</v>
      </c>
      <c r="I78" s="553"/>
      <c r="J78" s="494">
        <f>H78/DAY(B2)</f>
        <v>-49.956521739130437</v>
      </c>
      <c r="K78" s="575"/>
      <c r="L78" s="469"/>
      <c r="O78" s="496"/>
    </row>
    <row r="79" spans="1:15">
      <c r="A79" s="1300" t="s">
        <v>91</v>
      </c>
      <c r="B79" s="1301"/>
      <c r="C79" s="1302"/>
      <c r="D79" s="522" t="s">
        <v>186</v>
      </c>
      <c r="E79" s="490">
        <f>'22'!F79</f>
        <v>838874</v>
      </c>
      <c r="F79" s="859">
        <v>839023</v>
      </c>
      <c r="G79" s="491">
        <f t="shared" si="6"/>
        <v>149</v>
      </c>
      <c r="H79" s="492">
        <f>G79+'22'!H79</f>
        <v>-1659</v>
      </c>
      <c r="I79" s="553"/>
      <c r="J79" s="494">
        <f>H79/DAY(B2)</f>
        <v>-72.130434782608702</v>
      </c>
      <c r="K79" s="575"/>
      <c r="L79" s="469"/>
      <c r="O79" s="496"/>
    </row>
    <row r="80" spans="1:15">
      <c r="A80" s="1300" t="s">
        <v>197</v>
      </c>
      <c r="B80" s="1301"/>
      <c r="C80" s="1302"/>
      <c r="D80" s="522" t="s">
        <v>186</v>
      </c>
      <c r="E80" s="490">
        <f>'22'!F80</f>
        <v>548404</v>
      </c>
      <c r="F80" s="581">
        <v>548762.52</v>
      </c>
      <c r="G80" s="491">
        <f t="shared" si="6"/>
        <v>358.52000000001863</v>
      </c>
      <c r="H80" s="492">
        <f>G80+'22'!H80</f>
        <v>-6443.4799999999814</v>
      </c>
      <c r="I80" s="553"/>
      <c r="J80" s="494">
        <f>H80/DAY(B2)</f>
        <v>-280.15130434782526</v>
      </c>
      <c r="K80" s="575"/>
      <c r="L80" s="469"/>
      <c r="O80" s="496"/>
    </row>
    <row r="81" spans="1:15">
      <c r="A81" s="1300" t="s">
        <v>198</v>
      </c>
      <c r="B81" s="1301"/>
      <c r="C81" s="1302"/>
      <c r="D81" s="522" t="s">
        <v>186</v>
      </c>
      <c r="E81" s="490">
        <f>'22'!F81</f>
        <v>647283</v>
      </c>
      <c r="F81" s="581">
        <v>647469.16</v>
      </c>
      <c r="G81" s="491">
        <f t="shared" si="6"/>
        <v>186.1600000000326</v>
      </c>
      <c r="H81" s="492">
        <f>G81+'22'!H81</f>
        <v>-1548.8399999999674</v>
      </c>
      <c r="I81" s="553"/>
      <c r="J81" s="494">
        <f>H81/DAY(B2)</f>
        <v>-67.340869565215968</v>
      </c>
      <c r="K81" s="575"/>
      <c r="L81" s="469"/>
      <c r="O81" s="496"/>
    </row>
    <row r="82" spans="1:15">
      <c r="A82" s="1300" t="s">
        <v>92</v>
      </c>
      <c r="B82" s="1301"/>
      <c r="C82" s="1302"/>
      <c r="D82" s="523" t="s">
        <v>131</v>
      </c>
      <c r="E82" s="490">
        <f>'22'!F82</f>
        <v>109141.22</v>
      </c>
      <c r="F82" s="584">
        <v>109168.38</v>
      </c>
      <c r="G82" s="491">
        <f t="shared" si="6"/>
        <v>27.160000000003492</v>
      </c>
      <c r="H82" s="492">
        <f>G82+'22'!H82</f>
        <v>-167.61999999999534</v>
      </c>
      <c r="I82" s="524"/>
      <c r="J82" s="494">
        <f>H82/DAY(B2)</f>
        <v>-7.2878260869563194</v>
      </c>
      <c r="K82" s="575"/>
      <c r="L82" s="469"/>
      <c r="O82" s="496"/>
    </row>
    <row r="83" spans="1:15">
      <c r="A83" s="1300" t="s">
        <v>199</v>
      </c>
      <c r="B83" s="1301"/>
      <c r="C83" s="1302"/>
      <c r="D83" s="585" t="s">
        <v>131</v>
      </c>
      <c r="E83" s="490">
        <f>'22'!F83</f>
        <v>32722</v>
      </c>
      <c r="F83" s="900">
        <v>32963</v>
      </c>
      <c r="G83" s="491">
        <f t="shared" si="6"/>
        <v>241</v>
      </c>
      <c r="H83" s="492">
        <f>G83+'22'!H83</f>
        <v>-2062</v>
      </c>
      <c r="I83" s="513"/>
      <c r="J83" s="494">
        <f>H83/DAY(B2)</f>
        <v>-89.652173913043484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'22'!F84</f>
        <v>540260</v>
      </c>
      <c r="F84" s="588">
        <v>540969</v>
      </c>
      <c r="G84" s="491">
        <f t="shared" si="6"/>
        <v>709</v>
      </c>
      <c r="H84" s="492">
        <f>G84+'22'!H84</f>
        <v>-6424</v>
      </c>
      <c r="I84" s="513"/>
      <c r="J84" s="494">
        <f>H84/DAY(B2)</f>
        <v>-279.30434782608694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489"/>
      <c r="G85" s="492">
        <f xml:space="preserve"> SUM(G72:G84)</f>
        <v>2061.1500000000524</v>
      </c>
      <c r="H85" s="492">
        <f>G85+'22'!H85</f>
        <v>-18283.84999999994</v>
      </c>
      <c r="I85" s="513"/>
      <c r="J85" s="494">
        <f>H85/DAY(B2)</f>
        <v>-794.94999999999743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'22'!F86</f>
        <v>462323</v>
      </c>
      <c r="F86" s="597">
        <v>462335</v>
      </c>
      <c r="G86" s="598">
        <f t="shared" ref="G86:G88" si="7">F86-E86</f>
        <v>12</v>
      </c>
      <c r="H86" s="492">
        <f>G86+'22'!H86</f>
        <v>105.15999999997439</v>
      </c>
      <c r="I86" s="599"/>
      <c r="J86" s="600">
        <f>H86/DAY(B2)</f>
        <v>4.5721739130423646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'22'!F87</f>
        <v>82685.899999999994</v>
      </c>
      <c r="F87" s="597">
        <v>82718.7</v>
      </c>
      <c r="G87" s="598">
        <f t="shared" si="7"/>
        <v>32.80000000000291</v>
      </c>
      <c r="H87" s="492">
        <f>G87+'22'!H87</f>
        <v>175.69999999999709</v>
      </c>
      <c r="I87" s="599"/>
      <c r="J87" s="600">
        <f>H87/DAY(B2)</f>
        <v>7.6391304347824818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'22'!F88</f>
        <v>157848.71</v>
      </c>
      <c r="F88" s="597">
        <v>157979.79999999999</v>
      </c>
      <c r="G88" s="598">
        <f t="shared" si="7"/>
        <v>131.08999999999651</v>
      </c>
      <c r="H88" s="492">
        <f>G88+'22'!H88</f>
        <v>734.07999999998719</v>
      </c>
      <c r="I88" s="599"/>
      <c r="J88" s="600">
        <f>H88/DAY(B2)</f>
        <v>31.916521739129877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'22'!F89</f>
        <v>66712.7</v>
      </c>
      <c r="F89" s="597">
        <v>66744.800000000003</v>
      </c>
      <c r="G89" s="598">
        <f t="shared" ref="G89:G91" si="8">F89-E89</f>
        <v>32.100000000005821</v>
      </c>
      <c r="H89" s="492">
        <f>G89+'22'!H89</f>
        <v>184</v>
      </c>
      <c r="I89" s="599"/>
      <c r="J89" s="600">
        <f>H89/DAY(B2)</f>
        <v>8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'22'!F90</f>
        <v>3420.3</v>
      </c>
      <c r="F90" s="597">
        <v>3425.7</v>
      </c>
      <c r="G90" s="598">
        <f t="shared" si="8"/>
        <v>5.3999999999996362</v>
      </c>
      <c r="H90" s="492">
        <f>G90+'22'!H90</f>
        <v>17.699999999999818</v>
      </c>
      <c r="I90" s="599"/>
      <c r="J90" s="600">
        <f>H90/DAY(B2)</f>
        <v>0.76956521739129646</v>
      </c>
      <c r="K90" s="601"/>
      <c r="L90" s="602"/>
      <c r="N90" s="662"/>
      <c r="O90" s="496"/>
    </row>
    <row r="91" spans="1:15" s="386" customFormat="1" ht="24.75" customHeight="1">
      <c r="A91" s="594" t="s">
        <v>336</v>
      </c>
      <c r="B91" s="382"/>
      <c r="C91" s="382"/>
      <c r="D91" s="596" t="s">
        <v>182</v>
      </c>
      <c r="E91" s="490">
        <f>'22'!F91</f>
        <v>28434.34</v>
      </c>
      <c r="F91" s="597">
        <v>28443.35</v>
      </c>
      <c r="G91" s="598">
        <f t="shared" si="8"/>
        <v>9.0099999999983993</v>
      </c>
      <c r="H91" s="492">
        <f>G91+'22'!H91</f>
        <v>40.349999999998545</v>
      </c>
      <c r="I91" s="303"/>
      <c r="J91" s="600">
        <f>H91/DAY(B2)</f>
        <v>1.7543478260868932</v>
      </c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1" t="s">
        <v>205</v>
      </c>
      <c r="B93" s="1292"/>
      <c r="C93" s="1293"/>
      <c r="D93" s="489" t="s">
        <v>143</v>
      </c>
      <c r="E93" s="490">
        <f>'22'!F93</f>
        <v>249502</v>
      </c>
      <c r="F93" s="519">
        <v>249604</v>
      </c>
      <c r="G93" s="491">
        <f t="shared" ref="G93:G94" si="9">F93-E93</f>
        <v>102</v>
      </c>
      <c r="H93" s="492">
        <f>G93+'22'!H93</f>
        <v>-710</v>
      </c>
      <c r="I93" s="510"/>
      <c r="J93" s="494">
        <f>H93/DAY(B2)</f>
        <v>-30.869565217391305</v>
      </c>
      <c r="K93" s="516"/>
      <c r="L93" s="469"/>
      <c r="O93" s="496"/>
    </row>
    <row r="94" spans="1:15">
      <c r="A94" s="1291" t="s">
        <v>206</v>
      </c>
      <c r="B94" s="1292"/>
      <c r="C94" s="1293"/>
      <c r="D94" s="489" t="s">
        <v>143</v>
      </c>
      <c r="E94" s="490">
        <f>'22'!F94</f>
        <v>192068</v>
      </c>
      <c r="F94" s="899">
        <v>192192</v>
      </c>
      <c r="G94" s="491">
        <f t="shared" si="9"/>
        <v>124</v>
      </c>
      <c r="H94" s="492">
        <f>G94+'22'!H94</f>
        <v>-706</v>
      </c>
      <c r="I94" s="510"/>
      <c r="J94" s="494">
        <f>H94/DAY(B2)</f>
        <v>-30.695652173913043</v>
      </c>
      <c r="K94" s="589"/>
      <c r="L94" s="469"/>
      <c r="O94" s="496"/>
    </row>
    <row r="95" spans="1:15">
      <c r="A95" s="1283" t="s">
        <v>207</v>
      </c>
      <c r="B95" s="1284"/>
      <c r="C95" s="1285"/>
      <c r="D95" s="489"/>
      <c r="E95" s="490">
        <f>'22'!F95</f>
        <v>0</v>
      </c>
      <c r="F95" s="519"/>
      <c r="G95" s="491">
        <f>G93+G94</f>
        <v>226</v>
      </c>
      <c r="H95" s="492">
        <f>G95+'22'!H95</f>
        <v>-1722</v>
      </c>
      <c r="I95" s="510"/>
      <c r="J95" s="494">
        <f>H95/DAY(B2)</f>
        <v>-74.869565217391298</v>
      </c>
      <c r="K95" s="589"/>
      <c r="L95" s="469"/>
      <c r="O95" s="496"/>
    </row>
    <row r="96" spans="1:15">
      <c r="A96" s="1291" t="s">
        <v>208</v>
      </c>
      <c r="B96" s="1292"/>
      <c r="C96" s="1293"/>
      <c r="D96" s="489" t="s">
        <v>143</v>
      </c>
      <c r="E96" s="490">
        <f>'22'!F96</f>
        <v>417913</v>
      </c>
      <c r="F96" s="519">
        <v>417980</v>
      </c>
      <c r="G96" s="491">
        <f t="shared" ref="G96:G101" si="10">F96-E96</f>
        <v>67</v>
      </c>
      <c r="H96" s="492">
        <f>G96+'22'!H96</f>
        <v>-556</v>
      </c>
      <c r="I96" s="510"/>
      <c r="J96" s="494">
        <f>H96/DAY(B2)</f>
        <v>-24.173913043478262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'22'!F97</f>
        <v>103644</v>
      </c>
      <c r="F97" s="519">
        <v>103664</v>
      </c>
      <c r="G97" s="491">
        <f t="shared" si="10"/>
        <v>20</v>
      </c>
      <c r="H97" s="492">
        <f>G97+'22'!H97</f>
        <v>-185</v>
      </c>
      <c r="I97" s="510"/>
      <c r="J97" s="494">
        <f>H97/DAY(B2)</f>
        <v>-8.0434782608695645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'22'!F98</f>
        <v>99202</v>
      </c>
      <c r="F98" s="519">
        <v>99223</v>
      </c>
      <c r="G98" s="491">
        <f t="shared" si="10"/>
        <v>21</v>
      </c>
      <c r="H98" s="492">
        <f>G98+'22'!H98</f>
        <v>-225</v>
      </c>
      <c r="I98" s="510"/>
      <c r="J98" s="494">
        <f>H98/DAY(B2)</f>
        <v>-9.7826086956521738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'22'!F99</f>
        <v>151012</v>
      </c>
      <c r="F99" s="519">
        <v>151061</v>
      </c>
      <c r="G99" s="491">
        <f t="shared" si="10"/>
        <v>49</v>
      </c>
      <c r="H99" s="492">
        <f>G99+'22'!H99</f>
        <v>-190</v>
      </c>
      <c r="I99" s="510"/>
      <c r="J99" s="494">
        <f>H99/DAY(B2)</f>
        <v>-8.2608695652173907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'22'!F100</f>
        <v>8053</v>
      </c>
      <c r="F100" s="519">
        <v>8062</v>
      </c>
      <c r="G100" s="491">
        <f t="shared" si="10"/>
        <v>9</v>
      </c>
      <c r="H100" s="492">
        <f>G100+'22'!H100</f>
        <v>-103</v>
      </c>
      <c r="I100" s="510"/>
      <c r="J100" s="494">
        <f>H100/DAY(B2)</f>
        <v>-4.4782608695652177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'22'!F101</f>
        <v>5898</v>
      </c>
      <c r="F101" s="519">
        <v>5905</v>
      </c>
      <c r="G101" s="491">
        <f t="shared" si="10"/>
        <v>7</v>
      </c>
      <c r="H101" s="492">
        <f>G101+'22'!H101</f>
        <v>-86</v>
      </c>
      <c r="I101" s="510"/>
      <c r="J101" s="494">
        <f>H101/DAY(B2)</f>
        <v>-3.7391304347826089</v>
      </c>
      <c r="K101" s="589"/>
      <c r="L101" s="469"/>
      <c r="O101" s="496"/>
    </row>
    <row r="102" spans="1:15">
      <c r="A102" s="1283" t="s">
        <v>215</v>
      </c>
      <c r="B102" s="1284"/>
      <c r="C102" s="1285"/>
      <c r="D102" s="522"/>
      <c r="E102" s="522"/>
      <c r="F102" s="522"/>
      <c r="G102" s="606">
        <f>SUM(G96:G101)</f>
        <v>173</v>
      </c>
      <c r="H102" s="492">
        <f>G102+'22'!H102</f>
        <v>-1345</v>
      </c>
      <c r="I102" s="607"/>
      <c r="J102" s="494">
        <f>H102/DAY(B2)</f>
        <v>-58.478260869565219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280" t="s">
        <v>217</v>
      </c>
      <c r="B104" s="1281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274" t="s">
        <v>218</v>
      </c>
      <c r="B105" s="1275"/>
      <c r="C105" s="622"/>
      <c r="D105" s="618" t="s">
        <v>143</v>
      </c>
      <c r="E105" s="619">
        <f>'22'!F105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2.5926086956521393</v>
      </c>
      <c r="N105" s="658"/>
      <c r="O105" s="496"/>
    </row>
    <row r="106" spans="1:15" s="540" customFormat="1">
      <c r="A106" s="1274" t="s">
        <v>76</v>
      </c>
      <c r="B106" s="1275"/>
      <c r="C106" s="622"/>
      <c r="D106" s="618" t="s">
        <v>143</v>
      </c>
      <c r="E106" s="619">
        <f>'22'!F106</f>
        <v>36374</v>
      </c>
      <c r="F106" s="901">
        <v>36383</v>
      </c>
      <c r="G106" s="619">
        <f t="shared" ref="G106:G107" si="11">F106-E106</f>
        <v>9</v>
      </c>
      <c r="H106" s="620">
        <f>SUM(G106+'1'!G77)</f>
        <v>68</v>
      </c>
      <c r="I106" s="619"/>
      <c r="J106" s="621">
        <f>H106/DAY(B2)</f>
        <v>2.9565217391304346</v>
      </c>
      <c r="N106" s="658"/>
      <c r="O106" s="496"/>
    </row>
    <row r="107" spans="1:15" s="540" customFormat="1">
      <c r="A107" s="1274" t="s">
        <v>77</v>
      </c>
      <c r="B107" s="1282"/>
      <c r="C107" s="1275"/>
      <c r="D107" s="618" t="s">
        <v>143</v>
      </c>
      <c r="E107" s="619">
        <f>'22'!F107</f>
        <v>19919</v>
      </c>
      <c r="F107" s="619">
        <v>19924</v>
      </c>
      <c r="G107" s="619">
        <f t="shared" si="11"/>
        <v>5</v>
      </c>
      <c r="H107" s="620">
        <f>SUM(G107+'1'!G78)</f>
        <v>149</v>
      </c>
      <c r="I107" s="619"/>
      <c r="J107" s="621">
        <f>H107/DAY(B2)</f>
        <v>6.4782608695652177</v>
      </c>
      <c r="N107" s="658"/>
      <c r="O107" s="496"/>
    </row>
    <row r="108" spans="1:15" s="540" customFormat="1">
      <c r="A108" s="1276" t="s">
        <v>201</v>
      </c>
      <c r="B108" s="1277"/>
      <c r="C108" s="622"/>
      <c r="D108" s="618"/>
      <c r="E108" s="619">
        <f>'22'!F108</f>
        <v>0</v>
      </c>
      <c r="F108" s="619"/>
      <c r="G108" s="619">
        <f>SUM(G105:G107)</f>
        <v>14</v>
      </c>
      <c r="H108" s="620">
        <f>SUM(G108+'1'!G79)</f>
        <v>157</v>
      </c>
      <c r="I108" s="619"/>
      <c r="J108" s="621">
        <f>H108/DAY(B2)</f>
        <v>6.8260869565217392</v>
      </c>
      <c r="N108" s="658"/>
      <c r="O108" s="496"/>
    </row>
    <row r="109" spans="1:15" s="540" customFormat="1">
      <c r="A109" s="1272" t="s">
        <v>78</v>
      </c>
      <c r="B109" s="1273"/>
      <c r="C109" s="622"/>
      <c r="D109" s="618" t="s">
        <v>143</v>
      </c>
      <c r="E109" s="619">
        <f>'22'!F109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274" t="s">
        <v>219</v>
      </c>
      <c r="B110" s="1275"/>
      <c r="C110" s="622"/>
      <c r="D110" s="618" t="s">
        <v>143</v>
      </c>
      <c r="E110" s="619">
        <f>'22'!F110</f>
        <v>66436</v>
      </c>
      <c r="F110" s="619">
        <v>66507</v>
      </c>
      <c r="G110" s="619">
        <f>F110-E110</f>
        <v>71</v>
      </c>
      <c r="H110" s="620">
        <f>SUM(G110+'1'!G81)</f>
        <v>236.56000000005588</v>
      </c>
      <c r="I110" s="619"/>
      <c r="J110" s="621">
        <f>H110/DAY(B2)</f>
        <v>10.285217391306777</v>
      </c>
      <c r="N110" s="658"/>
      <c r="O110" s="496"/>
    </row>
    <row r="111" spans="1:15" s="540" customFormat="1">
      <c r="A111" s="1274" t="s">
        <v>220</v>
      </c>
      <c r="B111" s="1275"/>
      <c r="C111" s="622"/>
      <c r="D111" s="618" t="s">
        <v>143</v>
      </c>
      <c r="E111" s="619">
        <f>'22'!F111</f>
        <v>33733</v>
      </c>
      <c r="F111" s="901">
        <v>33759</v>
      </c>
      <c r="G111" s="619">
        <f t="shared" ref="G111:G112" si="12">F111-E111</f>
        <v>26</v>
      </c>
      <c r="H111" s="620">
        <f>SUM(G111+'1'!G82)</f>
        <v>39.279999999998836</v>
      </c>
      <c r="I111" s="619"/>
      <c r="J111" s="621">
        <f>H111/DAY(B2)</f>
        <v>1.7078260869564712</v>
      </c>
      <c r="N111" s="658"/>
      <c r="O111" s="496"/>
    </row>
    <row r="112" spans="1:15" s="540" customFormat="1">
      <c r="A112" s="1274" t="s">
        <v>221</v>
      </c>
      <c r="B112" s="1275"/>
      <c r="C112" s="622"/>
      <c r="D112" s="618" t="s">
        <v>143</v>
      </c>
      <c r="E112" s="619">
        <f>'22'!F112</f>
        <v>4622</v>
      </c>
      <c r="F112" s="901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13.260869565217391</v>
      </c>
      <c r="N112" s="658"/>
      <c r="O112" s="496"/>
    </row>
    <row r="113" spans="1:15" s="540" customFormat="1">
      <c r="A113" s="1278" t="s">
        <v>109</v>
      </c>
      <c r="B113" s="1279"/>
      <c r="C113" s="622"/>
      <c r="D113" s="618"/>
      <c r="E113" s="619">
        <f>'22'!F113</f>
        <v>0</v>
      </c>
      <c r="F113" s="619"/>
      <c r="G113" s="619">
        <f>SUM(G110:G112)</f>
        <v>97</v>
      </c>
      <c r="H113" s="620">
        <f>SUM(G113+'1'!G84)</f>
        <v>906</v>
      </c>
      <c r="I113" s="619"/>
      <c r="J113" s="621">
        <f>H113/DAY(B2)</f>
        <v>39.391304347826086</v>
      </c>
      <c r="N113" s="658"/>
      <c r="O113" s="496"/>
    </row>
    <row r="114" spans="1:15" s="540" customFormat="1">
      <c r="A114" s="1272" t="s">
        <v>222</v>
      </c>
      <c r="B114" s="1273"/>
      <c r="C114" s="622"/>
      <c r="D114" s="618"/>
      <c r="E114" s="619">
        <f>'22'!F114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74" t="s">
        <v>223</v>
      </c>
      <c r="B115" s="1275"/>
      <c r="C115" s="624"/>
      <c r="D115" s="618" t="s">
        <v>143</v>
      </c>
      <c r="E115" s="619">
        <f>'22'!F115</f>
        <v>12329</v>
      </c>
      <c r="F115" s="623">
        <v>12341</v>
      </c>
      <c r="G115" s="623">
        <f>F115-E115</f>
        <v>12</v>
      </c>
      <c r="H115" s="620">
        <f>SUM(G115+'1'!G92)</f>
        <v>12</v>
      </c>
      <c r="I115" s="619"/>
      <c r="J115" s="621">
        <f>H115/DAY(B2)</f>
        <v>0.52173913043478259</v>
      </c>
      <c r="N115" s="658"/>
      <c r="O115" s="496"/>
    </row>
    <row r="116" spans="1:15" s="540" customFormat="1">
      <c r="A116" s="1274" t="s">
        <v>224</v>
      </c>
      <c r="B116" s="1275"/>
      <c r="C116" s="624"/>
      <c r="D116" s="618" t="s">
        <v>143</v>
      </c>
      <c r="E116" s="619">
        <f>'22'!F116</f>
        <v>8743</v>
      </c>
      <c r="F116" s="623">
        <v>8751</v>
      </c>
      <c r="G116" s="623">
        <f t="shared" ref="G116:G117" si="13">F116-E116</f>
        <v>8</v>
      </c>
      <c r="H116" s="620">
        <f>SUM(G116+'1'!G93)</f>
        <v>143</v>
      </c>
      <c r="I116" s="619"/>
      <c r="J116" s="621">
        <f>H116/DAY(B2)</f>
        <v>6.2173913043478262</v>
      </c>
      <c r="N116" s="658"/>
      <c r="O116" s="496"/>
    </row>
    <row r="117" spans="1:15" s="540" customForma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7.4347826086956523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20</v>
      </c>
      <c r="H118" s="620">
        <f>SUM(G118+'1'!G96)</f>
        <v>90</v>
      </c>
      <c r="I118" s="623"/>
      <c r="J118" s="621">
        <f>H118/DAY(B2)</f>
        <v>3.9130434782608696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162</v>
      </c>
      <c r="H119" s="620">
        <f>SUM(G119+'1'!G97)</f>
        <v>196</v>
      </c>
      <c r="I119" s="629"/>
      <c r="J119" s="631">
        <f>H119/DAY(B2)</f>
        <v>8.5217391304347831</v>
      </c>
      <c r="N119" s="664" t="s">
        <v>214</v>
      </c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124</v>
      </c>
      <c r="H120" s="620">
        <f>SUM(G120+'1'!G99)</f>
        <v>130</v>
      </c>
      <c r="I120" s="629"/>
      <c r="J120" s="631">
        <f>H120/DAY(B2)</f>
        <v>5.6521739130434785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97</v>
      </c>
      <c r="H121" s="620">
        <f>SUM(G121+'1'!G101)</f>
        <v>112</v>
      </c>
      <c r="I121" s="629"/>
      <c r="J121" s="631">
        <f>H121/DAY(B2)</f>
        <v>4.8695652173913047</v>
      </c>
      <c r="N121" s="664"/>
      <c r="O121" s="496"/>
    </row>
    <row r="122" spans="1:15" s="540" customFormat="1">
      <c r="A122" s="1271"/>
      <c r="B122" s="1268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286" t="s">
        <v>229</v>
      </c>
      <c r="B123" s="1287"/>
      <c r="C123" s="1288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'22'!F124</f>
        <v>845641.68</v>
      </c>
      <c r="F124" s="523">
        <v>845900.72</v>
      </c>
      <c r="G124" s="491">
        <f>F124-E124</f>
        <v>259.03999999992084</v>
      </c>
      <c r="H124" s="492">
        <f>G124+'22'!H124</f>
        <v>-2065.2800000000279</v>
      </c>
      <c r="I124" s="607"/>
      <c r="J124" s="494">
        <f>H124/DAY(B2)</f>
        <v>-89.794782608696863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'22'!F125</f>
        <v>73583.399999999994</v>
      </c>
      <c r="F125" s="523">
        <v>73583.399999999994</v>
      </c>
      <c r="G125" s="491">
        <f t="shared" ref="G125:G128" si="14">F125-E125</f>
        <v>0</v>
      </c>
      <c r="H125" s="492">
        <f>G125+'22'!H125</f>
        <v>0</v>
      </c>
      <c r="I125" s="607"/>
      <c r="J125" s="494">
        <f>H125/DAY(B2)</f>
        <v>0</v>
      </c>
      <c r="K125" s="589"/>
      <c r="L125" s="469"/>
      <c r="O125" s="496"/>
    </row>
    <row r="126" spans="1:15">
      <c r="A126" s="1297" t="s">
        <v>232</v>
      </c>
      <c r="B126" s="1298"/>
      <c r="C126" s="1299"/>
      <c r="D126" s="489" t="s">
        <v>140</v>
      </c>
      <c r="E126" s="490">
        <f>'22'!F126</f>
        <v>150610.39000000001</v>
      </c>
      <c r="F126" s="523">
        <v>150689.21</v>
      </c>
      <c r="G126" s="491">
        <f t="shared" si="14"/>
        <v>78.819999999977881</v>
      </c>
      <c r="H126" s="492">
        <f>G126+'22'!H126</f>
        <v>-631.79000000000815</v>
      </c>
      <c r="I126" s="607"/>
      <c r="J126" s="494">
        <f>H126/DAY(B2)</f>
        <v>-27.469130434782961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'22'!F127</f>
        <v>32923.300000000003</v>
      </c>
      <c r="F127" s="523">
        <v>32964.699999999997</v>
      </c>
      <c r="G127" s="491">
        <f t="shared" si="14"/>
        <v>41.399999999994179</v>
      </c>
      <c r="H127" s="492">
        <f>G127+'22'!H127</f>
        <v>-323.30000000000291</v>
      </c>
      <c r="I127" s="607"/>
      <c r="J127" s="494">
        <f>H127/DAY(B2)</f>
        <v>-14.056521739130561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'22'!F128</f>
        <v>9089</v>
      </c>
      <c r="F128" s="523">
        <v>9090.9</v>
      </c>
      <c r="G128" s="491">
        <f t="shared" si="14"/>
        <v>1.8999999999996362</v>
      </c>
      <c r="H128" s="492">
        <f>G128+'22'!H128</f>
        <v>-22.100000000000364</v>
      </c>
      <c r="I128" s="510"/>
      <c r="J128" s="494">
        <f>H128/DAY(B2)</f>
        <v>-0.96086956521740707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568.84000000010747</v>
      </c>
      <c r="H129" s="492">
        <f>G129+'22'!H129</f>
        <v>16719.470000000038</v>
      </c>
      <c r="I129" s="510"/>
      <c r="J129" s="494">
        <f>H129/DAY(B2)</f>
        <v>726.9334782608712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'22'!F131</f>
        <v>0</v>
      </c>
      <c r="F131" s="519">
        <v>0</v>
      </c>
      <c r="G131" s="491">
        <f t="shared" ref="G131:G141" si="15">F131-E131</f>
        <v>0</v>
      </c>
      <c r="H131" s="492">
        <f>G131+'22'!H131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'22'!F132</f>
        <v>0</v>
      </c>
      <c r="F132" s="519">
        <v>0</v>
      </c>
      <c r="G132" s="491">
        <f t="shared" si="15"/>
        <v>0</v>
      </c>
      <c r="H132" s="492">
        <f>G132+'22'!H132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'22'!F133</f>
        <v>40619.050000000003</v>
      </c>
      <c r="F133" s="640">
        <v>40619.050000000003</v>
      </c>
      <c r="G133" s="491">
        <f t="shared" si="15"/>
        <v>0</v>
      </c>
      <c r="H133" s="492">
        <f>G133+'22'!H133</f>
        <v>5.0000000002910383E-2</v>
      </c>
      <c r="I133" s="510"/>
      <c r="J133" s="494">
        <f>H133/DAY(B2)</f>
        <v>2.1739130436047994E-3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'22'!F134</f>
        <v>445.19</v>
      </c>
      <c r="F134" s="640">
        <v>454.53</v>
      </c>
      <c r="G134" s="491">
        <f t="shared" si="15"/>
        <v>9.339999999999975</v>
      </c>
      <c r="H134" s="492">
        <f>G134+'22'!H134</f>
        <v>-119.47000000000003</v>
      </c>
      <c r="I134" s="510">
        <f>G131+G132+G133+G134</f>
        <v>9.339999999999975</v>
      </c>
      <c r="J134" s="494">
        <f>H134/DAY(B2)</f>
        <v>-5.1943478260869576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'22'!F135</f>
        <v>42338.01</v>
      </c>
      <c r="F135" s="640">
        <v>42362.11</v>
      </c>
      <c r="G135" s="491">
        <f t="shared" si="15"/>
        <v>24.099999999998545</v>
      </c>
      <c r="H135" s="492">
        <v>24</v>
      </c>
      <c r="I135" s="510"/>
      <c r="J135" s="494">
        <f>H135/DAY(B2)</f>
        <v>1.0434782608695652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'22'!F136</f>
        <v>32874.050000000003</v>
      </c>
      <c r="F136" s="640">
        <v>32874.050000000003</v>
      </c>
      <c r="G136" s="491">
        <f t="shared" si="15"/>
        <v>0</v>
      </c>
      <c r="H136" s="492">
        <v>13</v>
      </c>
      <c r="I136" s="510"/>
      <c r="J136" s="494">
        <f>H136/DAY(B2)</f>
        <v>0.56521739130434778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'22'!F137</f>
        <v>23049.05</v>
      </c>
      <c r="F137" s="640">
        <v>23058.720000000001</v>
      </c>
      <c r="G137" s="491">
        <f t="shared" si="15"/>
        <v>9.6700000000018917</v>
      </c>
      <c r="H137" s="492">
        <f>G137+'22'!H137</f>
        <v>-47.840000000000146</v>
      </c>
      <c r="I137" s="510">
        <f>G135+G136+G137</f>
        <v>33.770000000000437</v>
      </c>
      <c r="J137" s="494">
        <f>H137/DAY(B2)</f>
        <v>-2.0800000000000063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'22'!F138</f>
        <v>25099.16</v>
      </c>
      <c r="F138" s="640">
        <v>25099.16</v>
      </c>
      <c r="G138" s="491">
        <f t="shared" si="15"/>
        <v>0</v>
      </c>
      <c r="H138" s="492">
        <v>8</v>
      </c>
      <c r="I138" s="510"/>
      <c r="J138" s="494">
        <f>H138/DAY(B2)</f>
        <v>0.34782608695652173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'22'!F139</f>
        <v>70516.600000000006</v>
      </c>
      <c r="F139" s="640">
        <v>70516.600000000006</v>
      </c>
      <c r="G139" s="491">
        <f t="shared" si="15"/>
        <v>0</v>
      </c>
      <c r="H139" s="492">
        <v>15</v>
      </c>
      <c r="I139" s="510">
        <f>G138+G139</f>
        <v>0</v>
      </c>
      <c r="J139" s="494">
        <f>H139/DAY(B2)</f>
        <v>0.65217391304347827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'22'!F140</f>
        <v>2247.77</v>
      </c>
      <c r="F140" s="519">
        <v>2247.77</v>
      </c>
      <c r="G140" s="491">
        <f t="shared" si="15"/>
        <v>0</v>
      </c>
      <c r="H140" s="492">
        <f>G140+'22'!H140</f>
        <v>-63.789999999999964</v>
      </c>
      <c r="I140" s="641"/>
      <c r="J140" s="494">
        <f>H140/DAY(B2)</f>
        <v>-2.7734782608695636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'22'!F141</f>
        <v>4733.3100000000004</v>
      </c>
      <c r="F141" s="519">
        <v>4742.3500000000004</v>
      </c>
      <c r="G141" s="491">
        <f t="shared" si="15"/>
        <v>9.0399999999999636</v>
      </c>
      <c r="H141" s="492">
        <f>G141+'22'!H141</f>
        <v>-11.649999999999636</v>
      </c>
      <c r="I141" s="641"/>
      <c r="J141" s="494">
        <f>H141/DAY(B2)</f>
        <v>-0.50652173913041898</v>
      </c>
      <c r="O141" s="496"/>
    </row>
    <row r="142" spans="1:15">
      <c r="A142" s="1289" t="s">
        <v>249</v>
      </c>
      <c r="B142" s="1290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1" t="s">
        <v>250</v>
      </c>
      <c r="B143" s="1292"/>
      <c r="C143" s="1293"/>
      <c r="D143" s="489" t="s">
        <v>131</v>
      </c>
      <c r="E143" s="489"/>
      <c r="F143" s="489"/>
      <c r="G143" s="492">
        <f>G35+G43+G49+G57</f>
        <v>5746.7800000002026</v>
      </c>
      <c r="H143" s="492">
        <f>G143+'22'!H143</f>
        <v>-49184.929999999877</v>
      </c>
      <c r="I143" s="510"/>
      <c r="J143" s="494">
        <f>H143/DAY(B2)</f>
        <v>-2138.4752173912989</v>
      </c>
      <c r="K143" s="589"/>
      <c r="L143" s="469"/>
      <c r="O143" s="496"/>
    </row>
    <row r="144" spans="1:15">
      <c r="A144" s="1291" t="s">
        <v>251</v>
      </c>
      <c r="B144" s="1292"/>
      <c r="C144" s="1293"/>
      <c r="D144" s="489" t="s">
        <v>24</v>
      </c>
      <c r="E144" s="476"/>
      <c r="F144" s="476"/>
      <c r="G144" s="642">
        <f>G143/G7</f>
        <v>0.24717333333334204</v>
      </c>
      <c r="H144" s="492">
        <f>G144+'22'!H144</f>
        <v>-1.9463160996237969</v>
      </c>
      <c r="I144" s="643"/>
      <c r="J144" s="494">
        <f>H144/DAY(B2)</f>
        <v>-8.462243911407813E-2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490"/>
      <c r="G145" s="492">
        <f>G41+G42+G55+G56</f>
        <v>7521.0500000000466</v>
      </c>
      <c r="H145" s="492">
        <f>G145+'22'!H145</f>
        <v>-55740.600000000006</v>
      </c>
      <c r="I145" s="510"/>
      <c r="J145" s="494">
        <f>H145/DAY(B2)</f>
        <v>-2423.5043478260873</v>
      </c>
      <c r="K145" s="589"/>
      <c r="L145" s="469"/>
      <c r="O145" s="496"/>
    </row>
    <row r="146" spans="1:15">
      <c r="A146" s="1291" t="s">
        <v>253</v>
      </c>
      <c r="B146" s="1292"/>
      <c r="C146" s="1293"/>
      <c r="D146" s="489" t="s">
        <v>24</v>
      </c>
      <c r="E146" s="490"/>
      <c r="F146" s="490"/>
      <c r="G146" s="642">
        <f>G145/G7</f>
        <v>0.32348602150537836</v>
      </c>
      <c r="H146" s="492">
        <f>G146+'22'!H146</f>
        <v>-2.2161658163008116</v>
      </c>
      <c r="I146" s="643"/>
      <c r="J146" s="494">
        <f>H146/DAY(B2)</f>
        <v>-9.6355035491339627E-2</v>
      </c>
      <c r="K146" s="589"/>
      <c r="L146" s="469"/>
      <c r="O146" s="496"/>
    </row>
    <row r="147" spans="1:15">
      <c r="A147" s="1291" t="s">
        <v>254</v>
      </c>
      <c r="B147" s="1292"/>
      <c r="C147" s="1293"/>
      <c r="D147" s="489" t="s">
        <v>131</v>
      </c>
      <c r="E147" s="490"/>
      <c r="F147" s="490"/>
      <c r="G147" s="492">
        <f>G39+G53</f>
        <v>3787.9599999999627</v>
      </c>
      <c r="H147" s="492">
        <f>G147+'22'!H147</f>
        <v>-30379.419999999984</v>
      </c>
      <c r="I147" s="644"/>
      <c r="J147" s="494">
        <f>H147/DAY(B2)</f>
        <v>-1320.8443478260863</v>
      </c>
      <c r="K147" s="589"/>
      <c r="L147" s="469"/>
      <c r="O147" s="496"/>
    </row>
    <row r="148" spans="1:15">
      <c r="A148" s="1291" t="s">
        <v>255</v>
      </c>
      <c r="B148" s="1292"/>
      <c r="C148" s="1293"/>
      <c r="D148" s="489" t="s">
        <v>24</v>
      </c>
      <c r="E148" s="490"/>
      <c r="F148" s="490"/>
      <c r="G148" s="642">
        <f>G147/G7</f>
        <v>0.16292301075268656</v>
      </c>
      <c r="H148" s="492">
        <f>G148+'22'!H148</f>
        <v>-1.1917637478841474</v>
      </c>
      <c r="I148" s="644"/>
      <c r="J148" s="494">
        <f>H148/DAY(B2)</f>
        <v>-5.1815815125397714E-2</v>
      </c>
      <c r="O148" s="496"/>
    </row>
    <row r="149" spans="1:15">
      <c r="A149" s="1291" t="s">
        <v>256</v>
      </c>
      <c r="B149" s="1292"/>
      <c r="C149" s="1293"/>
      <c r="D149" s="489" t="s">
        <v>182</v>
      </c>
      <c r="E149" s="490"/>
      <c r="F149" s="490"/>
      <c r="G149" s="492">
        <f>G38+G52</f>
        <v>1578.8600000000151</v>
      </c>
      <c r="H149" s="492">
        <f>G149+'22'!H149</f>
        <v>-13004.360000000044</v>
      </c>
      <c r="I149" s="510"/>
      <c r="J149" s="494">
        <f>H149/DAY(B2)</f>
        <v>-565.40695652174111</v>
      </c>
      <c r="K149" s="645"/>
      <c r="O149" s="496"/>
    </row>
    <row r="150" spans="1:15">
      <c r="A150" s="1291" t="s">
        <v>257</v>
      </c>
      <c r="B150" s="1292"/>
      <c r="C150" s="1293"/>
      <c r="D150" s="489" t="s">
        <v>24</v>
      </c>
      <c r="E150" s="490"/>
      <c r="F150" s="490"/>
      <c r="G150" s="642">
        <f>G149/G7</f>
        <v>6.7907956989247967E-2</v>
      </c>
      <c r="H150" s="492">
        <f>G150+'22'!H150</f>
        <v>-0.50772955862771263</v>
      </c>
      <c r="I150" s="644"/>
      <c r="J150" s="494">
        <f>H150/DAY(B2)</f>
        <v>-2.2075198201204897E-2</v>
      </c>
      <c r="O150" s="496"/>
    </row>
    <row r="151" spans="1:15">
      <c r="A151" s="1291" t="s">
        <v>258</v>
      </c>
      <c r="B151" s="1292"/>
      <c r="C151" s="1293"/>
      <c r="D151" s="489" t="s">
        <v>182</v>
      </c>
      <c r="E151" s="490"/>
      <c r="F151" s="490"/>
      <c r="G151" s="492">
        <f>G36+G50</f>
        <v>1680.820000000007</v>
      </c>
      <c r="H151" s="492">
        <f>G151+'22'!H151</f>
        <v>-14584.21000000005</v>
      </c>
      <c r="I151" s="644"/>
      <c r="J151" s="494">
        <f>H151/DAY(B2)</f>
        <v>-634.09608695652389</v>
      </c>
      <c r="O151" s="496"/>
    </row>
    <row r="152" spans="1:15">
      <c r="A152" s="1291" t="s">
        <v>259</v>
      </c>
      <c r="B152" s="1292"/>
      <c r="C152" s="1293"/>
      <c r="D152" s="489" t="s">
        <v>24</v>
      </c>
      <c r="E152" s="490"/>
      <c r="F152" s="490"/>
      <c r="G152" s="642">
        <f>G151/G7</f>
        <v>7.229333333333364E-2</v>
      </c>
      <c r="H152" s="492">
        <f>G152+'22'!H152</f>
        <v>-0.57499188727171002</v>
      </c>
      <c r="I152" s="510"/>
      <c r="J152" s="494">
        <f>H152/DAY(B2)</f>
        <v>-2.4999647272683046E-2</v>
      </c>
      <c r="O152" s="496"/>
    </row>
    <row r="153" spans="1:15">
      <c r="A153" s="1291" t="s">
        <v>260</v>
      </c>
      <c r="B153" s="1292"/>
      <c r="C153" s="1293"/>
      <c r="D153" s="489" t="s">
        <v>182</v>
      </c>
      <c r="E153" s="490"/>
      <c r="F153" s="490"/>
      <c r="G153" s="492">
        <f>G37+G51</f>
        <v>1602.1600000000035</v>
      </c>
      <c r="H153" s="492">
        <f>G153+'22'!H153</f>
        <v>-13122.970000000001</v>
      </c>
      <c r="I153" s="510"/>
      <c r="J153" s="494">
        <f>H153/DAY(B2)</f>
        <v>-570.56391304347835</v>
      </c>
      <c r="O153" s="496"/>
    </row>
    <row r="154" spans="1:15" ht="21" thickBot="1">
      <c r="A154" s="1294" t="s">
        <v>261</v>
      </c>
      <c r="B154" s="1295"/>
      <c r="C154" s="1296"/>
      <c r="D154" s="646" t="s">
        <v>24</v>
      </c>
      <c r="E154" s="647"/>
      <c r="F154" s="647"/>
      <c r="G154" s="648">
        <f>G153/G7</f>
        <v>6.891010752688187E-2</v>
      </c>
      <c r="H154" s="492">
        <f>G154+'22'!H154</f>
        <v>-0.51689729544459684</v>
      </c>
      <c r="I154" s="649"/>
      <c r="J154" s="650">
        <f>H154/DAY(B2)</f>
        <v>-2.2473795454112905E-2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10">
      <c r="A161" s="641" t="s">
        <v>262</v>
      </c>
      <c r="B161" s="641"/>
      <c r="C161" s="641"/>
      <c r="D161" s="476" t="s">
        <v>186</v>
      </c>
      <c r="E161" s="490">
        <f>'22'!F161</f>
        <v>42611.06</v>
      </c>
      <c r="F161" s="665">
        <v>42691.89</v>
      </c>
      <c r="G161" s="491">
        <f t="shared" ref="G161:G164" si="16">F161-E161</f>
        <v>80.830000000001746</v>
      </c>
    </row>
    <row r="162" spans="1:10" ht="21.75" customHeight="1">
      <c r="A162" s="641" t="s">
        <v>263</v>
      </c>
      <c r="B162" s="641"/>
      <c r="C162" s="641"/>
      <c r="D162" s="476" t="s">
        <v>186</v>
      </c>
      <c r="E162" s="490">
        <f>'22'!F162</f>
        <v>117877.67</v>
      </c>
      <c r="F162" s="665">
        <v>118372.16</v>
      </c>
      <c r="G162" s="491">
        <f t="shared" si="16"/>
        <v>494.49000000000524</v>
      </c>
    </row>
    <row r="163" spans="1:10" ht="21.75" customHeight="1">
      <c r="A163" s="641" t="s">
        <v>264</v>
      </c>
      <c r="B163" s="641"/>
      <c r="C163" s="641"/>
      <c r="D163" s="476" t="s">
        <v>186</v>
      </c>
      <c r="E163" s="490">
        <f>'22'!F163</f>
        <v>65721.05</v>
      </c>
      <c r="F163" s="665">
        <v>65919.34</v>
      </c>
      <c r="G163" s="491">
        <f t="shared" si="16"/>
        <v>198.2899999999936</v>
      </c>
    </row>
    <row r="164" spans="1:10" ht="21.75" customHeight="1">
      <c r="A164" s="641" t="s">
        <v>265</v>
      </c>
      <c r="B164" s="641"/>
      <c r="C164" s="641"/>
      <c r="D164" s="476" t="s">
        <v>186</v>
      </c>
      <c r="E164" s="490">
        <f>'22'!F164</f>
        <v>7060.95</v>
      </c>
      <c r="F164" s="665">
        <v>7068.86</v>
      </c>
      <c r="G164" s="491">
        <f t="shared" si="16"/>
        <v>7.9099999999998545</v>
      </c>
    </row>
    <row r="165" spans="1:10" ht="21.75" customHeight="1">
      <c r="A165" s="571" t="s">
        <v>97</v>
      </c>
      <c r="B165" s="571"/>
      <c r="C165" s="571"/>
      <c r="D165" s="476" t="s">
        <v>186</v>
      </c>
      <c r="E165" s="572">
        <f>E62</f>
        <v>20419.2</v>
      </c>
      <c r="F165" s="572">
        <f>F62</f>
        <v>20419</v>
      </c>
      <c r="G165" s="491">
        <f t="shared" ref="G165:G172" si="17">F165-E165</f>
        <v>-0.2000000000007276</v>
      </c>
      <c r="J165" s="723"/>
    </row>
    <row r="166" spans="1:10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10" ht="21.75" customHeight="1">
      <c r="A167" s="1266" t="s">
        <v>98</v>
      </c>
      <c r="B167" s="1266"/>
      <c r="C167" s="1266"/>
      <c r="D167" s="489" t="s">
        <v>186</v>
      </c>
      <c r="E167" s="572">
        <f t="shared" si="18"/>
        <v>178527.35</v>
      </c>
      <c r="F167" s="572">
        <f t="shared" si="19"/>
        <v>178897.63</v>
      </c>
      <c r="G167" s="491">
        <f t="shared" si="17"/>
        <v>370.27999999999884</v>
      </c>
    </row>
    <row r="168" spans="1:10" ht="21.75" customHeight="1">
      <c r="A168" s="1266" t="s">
        <v>99</v>
      </c>
      <c r="B168" s="1266"/>
      <c r="C168" s="1266"/>
      <c r="D168" s="489" t="s">
        <v>186</v>
      </c>
      <c r="E168" s="572">
        <f t="shared" si="18"/>
        <v>178694.59</v>
      </c>
      <c r="F168" s="572">
        <f t="shared" si="19"/>
        <v>179109.65</v>
      </c>
      <c r="G168" s="491">
        <f t="shared" si="17"/>
        <v>415.05999999999767</v>
      </c>
    </row>
    <row r="169" spans="1:10" ht="21.75" customHeight="1">
      <c r="A169" s="1266" t="s">
        <v>100</v>
      </c>
      <c r="B169" s="1266"/>
      <c r="C169" s="1266"/>
      <c r="D169" s="489" t="s">
        <v>186</v>
      </c>
      <c r="E169" s="572">
        <f t="shared" si="18"/>
        <v>77018.289999999994</v>
      </c>
      <c r="F169" s="572">
        <f t="shared" si="19"/>
        <v>77414.350000000006</v>
      </c>
      <c r="G169" s="491">
        <f t="shared" si="17"/>
        <v>396.06000000001222</v>
      </c>
    </row>
    <row r="170" spans="1:10">
      <c r="A170" s="1266" t="s">
        <v>101</v>
      </c>
      <c r="B170" s="1266"/>
      <c r="C170" s="1266"/>
      <c r="D170" s="489" t="s">
        <v>186</v>
      </c>
      <c r="E170" s="572">
        <f t="shared" si="18"/>
        <v>275417.73</v>
      </c>
      <c r="F170" s="572">
        <f t="shared" si="19"/>
        <v>275930.27</v>
      </c>
      <c r="G170" s="491">
        <f t="shared" si="17"/>
        <v>512.54000000003725</v>
      </c>
    </row>
    <row r="171" spans="1:10" ht="24" customHeight="1">
      <c r="A171" s="1266" t="s">
        <v>102</v>
      </c>
      <c r="B171" s="1266"/>
      <c r="C171" s="1266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  <c r="J171" s="724"/>
    </row>
    <row r="172" spans="1:10">
      <c r="A172" s="1266" t="s">
        <v>103</v>
      </c>
      <c r="B172" s="1266"/>
      <c r="C172" s="1266"/>
      <c r="D172" s="489" t="s">
        <v>186</v>
      </c>
      <c r="E172" s="572">
        <f t="shared" si="18"/>
        <v>93521.99</v>
      </c>
      <c r="F172" s="572">
        <f t="shared" si="19"/>
        <v>93836.67</v>
      </c>
      <c r="G172" s="491">
        <f t="shared" si="17"/>
        <v>314.67999999999302</v>
      </c>
    </row>
    <row r="173" spans="1:10">
      <c r="G173" s="656">
        <f>SUM(G161:G172)</f>
        <v>2789.9400000000387</v>
      </c>
    </row>
    <row r="174" spans="1:10">
      <c r="A174" s="1266" t="s">
        <v>338</v>
      </c>
      <c r="B174" s="1266"/>
      <c r="C174" s="1266"/>
      <c r="D174" s="489" t="s">
        <v>186</v>
      </c>
      <c r="E174" s="490">
        <f>'22'!F174</f>
        <v>19105.900000000001</v>
      </c>
      <c r="F174" s="619">
        <v>19110.3</v>
      </c>
      <c r="G174" s="491">
        <f t="shared" ref="G174:G176" si="20">F174-E174</f>
        <v>4.3999999999978172</v>
      </c>
      <c r="J174" s="725"/>
    </row>
    <row r="175" spans="1:10">
      <c r="A175" s="1267" t="s">
        <v>338</v>
      </c>
      <c r="B175" s="1268"/>
      <c r="C175" s="641"/>
      <c r="D175" s="489" t="s">
        <v>186</v>
      </c>
      <c r="E175" s="490">
        <f>'22'!F175</f>
        <v>70475.399999999994</v>
      </c>
      <c r="F175" s="619">
        <v>70482.3</v>
      </c>
      <c r="G175" s="491">
        <f t="shared" si="20"/>
        <v>6.9000000000087311</v>
      </c>
    </row>
    <row r="176" spans="1:10">
      <c r="A176" s="1267" t="s">
        <v>339</v>
      </c>
      <c r="B176" s="1268"/>
      <c r="D176" s="489" t="s">
        <v>186</v>
      </c>
      <c r="E176" s="490">
        <f>'22'!F176</f>
        <v>27745</v>
      </c>
      <c r="F176" s="619">
        <v>27750</v>
      </c>
      <c r="G176" s="491">
        <f t="shared" si="20"/>
        <v>5</v>
      </c>
    </row>
    <row r="177" spans="1:15" ht="18.75" customHeight="1">
      <c r="A177" s="1267"/>
      <c r="B177" s="1268"/>
      <c r="D177" s="489"/>
      <c r="E177" s="490"/>
      <c r="F177" s="619"/>
      <c r="G177" s="491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B36" zoomScale="95" zoomScaleNormal="44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7.88671875" style="654" customWidth="1"/>
    <col min="8" max="8" width="39.21875" style="655" customWidth="1"/>
    <col min="9" max="9" width="15.77734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09" t="s">
        <v>116</v>
      </c>
      <c r="B1" s="1310"/>
      <c r="C1" s="1310"/>
      <c r="D1" s="1310"/>
      <c r="E1" s="1310"/>
      <c r="F1" s="1310"/>
      <c r="G1" s="1310"/>
      <c r="H1" s="1310"/>
      <c r="I1" s="1310"/>
      <c r="J1" s="1311"/>
    </row>
    <row r="2" spans="1:15">
      <c r="A2" s="457" t="s">
        <v>350</v>
      </c>
      <c r="B2" s="727">
        <v>44036</v>
      </c>
      <c r="C2" s="458" t="s">
        <v>68</v>
      </c>
      <c r="D2" s="459">
        <v>1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28</v>
      </c>
      <c r="E3" s="1318" t="s">
        <v>120</v>
      </c>
      <c r="F3" s="1319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12" t="s">
        <v>129</v>
      </c>
      <c r="B6" s="1313"/>
      <c r="C6" s="1314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'23'!F7</f>
        <v>1128138</v>
      </c>
      <c r="F7" s="106">
        <f>E7+23250</f>
        <v>1151388</v>
      </c>
      <c r="G7" s="491">
        <f>F7-E7</f>
        <v>23250</v>
      </c>
      <c r="H7" s="492">
        <f>G7+'23'!H7</f>
        <v>543566</v>
      </c>
      <c r="I7" s="493">
        <f>'1'!I7</f>
        <v>12000</v>
      </c>
      <c r="J7" s="494">
        <f>H7/DAY(B2)</f>
        <v>22648.583333333332</v>
      </c>
      <c r="K7" s="495"/>
      <c r="L7" s="469"/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'23'!F8</f>
        <v>436167.91</v>
      </c>
      <c r="F8" s="126">
        <v>458812</v>
      </c>
      <c r="G8" s="501">
        <f>F8-E8</f>
        <v>22644.090000000026</v>
      </c>
      <c r="H8" s="492">
        <f>G8+'23'!H8</f>
        <v>-156785</v>
      </c>
      <c r="I8" s="502">
        <f>'1'!I8</f>
        <v>12000</v>
      </c>
      <c r="J8" s="494">
        <f>H8/DAY(B2)</f>
        <v>-6532.708333333333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'23'!F9</f>
        <v>2523663.5</v>
      </c>
      <c r="F9" s="507">
        <v>2545522</v>
      </c>
      <c r="G9" s="491">
        <f t="shared" ref="G9:G12" si="0">F9-E9</f>
        <v>21858.5</v>
      </c>
      <c r="H9" s="492">
        <f>G9+'23'!H9</f>
        <v>-151113</v>
      </c>
      <c r="I9" s="508">
        <f>I8-J8</f>
        <v>18532.708333333332</v>
      </c>
      <c r="J9" s="494">
        <f>H9/DAY(B2)</f>
        <v>-6296.375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'23'!F10</f>
        <v>2606.5500000000002</v>
      </c>
      <c r="F10" s="507">
        <v>2606.5500000000002</v>
      </c>
      <c r="G10" s="491">
        <f t="shared" si="0"/>
        <v>0</v>
      </c>
      <c r="H10" s="492">
        <f>G10+'23'!H10</f>
        <v>-0.15000000000009095</v>
      </c>
      <c r="I10" s="510"/>
      <c r="J10" s="494">
        <f>H10/DAY(B2)</f>
        <v>-6.2500000000037899E-3</v>
      </c>
      <c r="K10" s="509"/>
      <c r="L10" s="469"/>
      <c r="M10" s="456" t="s">
        <v>275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G11+'23'!H11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G12+'23'!H12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21858.5</v>
      </c>
      <c r="H13" s="492">
        <f>G13+'23'!H13</f>
        <v>-193797.15000000002</v>
      </c>
      <c r="I13" s="514">
        <f>G7-G13</f>
        <v>1391.5</v>
      </c>
      <c r="J13" s="494">
        <f>H13/DAY(B2)</f>
        <v>-8074.8812500000013</v>
      </c>
      <c r="K13" s="509"/>
      <c r="L13" s="469"/>
      <c r="O13" s="496"/>
    </row>
    <row r="14" spans="1:15">
      <c r="A14" s="1315" t="s">
        <v>138</v>
      </c>
      <c r="B14" s="1316"/>
      <c r="C14" s="1317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'23'!F15</f>
        <v>1750309</v>
      </c>
      <c r="F15" s="351">
        <f>E15+950</f>
        <v>1751259</v>
      </c>
      <c r="G15" s="666">
        <f>(F15-E15)</f>
        <v>950</v>
      </c>
      <c r="H15" s="492">
        <f>G15+'23'!H15</f>
        <v>21705</v>
      </c>
      <c r="I15" s="493">
        <f>'1'!I15</f>
        <v>800</v>
      </c>
      <c r="J15" s="494">
        <f>H15/DAY(B2)</f>
        <v>904.375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-104.375</v>
      </c>
      <c r="J16" s="526"/>
      <c r="K16" s="509"/>
      <c r="L16" s="469"/>
      <c r="N16" s="659"/>
      <c r="O16" s="496"/>
    </row>
    <row r="17" spans="1:15">
      <c r="A17" s="1315" t="s">
        <v>141</v>
      </c>
      <c r="B17" s="1316"/>
      <c r="C17" s="1317"/>
      <c r="D17" s="484"/>
      <c r="E17" s="484"/>
      <c r="F17" s="484"/>
      <c r="G17" s="527"/>
      <c r="H17" s="484">
        <f>G17+'22'!H17</f>
        <v>0</v>
      </c>
      <c r="I17" s="484"/>
      <c r="J17" s="485"/>
      <c r="K17" s="509"/>
      <c r="L17" s="469"/>
      <c r="O17" s="496"/>
    </row>
    <row r="18" spans="1:15">
      <c r="A18" s="1291" t="s">
        <v>142</v>
      </c>
      <c r="B18" s="1292"/>
      <c r="C18" s="1293"/>
      <c r="D18" s="489" t="s">
        <v>143</v>
      </c>
      <c r="E18" s="490">
        <f>'23'!F18</f>
        <v>10</v>
      </c>
      <c r="F18" s="519">
        <v>11</v>
      </c>
      <c r="G18" s="513">
        <f>F18*10</f>
        <v>110</v>
      </c>
      <c r="H18" s="492">
        <f>G18+'23'!H18</f>
        <v>3680</v>
      </c>
      <c r="I18" s="493">
        <f>'1'!I18</f>
        <v>65</v>
      </c>
      <c r="J18" s="494">
        <f>H18/DAY(B2)</f>
        <v>153.33333333333334</v>
      </c>
      <c r="K18" s="509"/>
      <c r="L18" s="469"/>
      <c r="O18" s="496"/>
    </row>
    <row r="19" spans="1:15">
      <c r="A19" s="1291" t="s">
        <v>70</v>
      </c>
      <c r="B19" s="1292"/>
      <c r="C19" s="1293"/>
      <c r="D19" s="489" t="s">
        <v>143</v>
      </c>
      <c r="E19" s="490">
        <f>'23'!F19</f>
        <v>144810</v>
      </c>
      <c r="F19" s="519">
        <f>E19+60</f>
        <v>144870</v>
      </c>
      <c r="G19" s="491">
        <f t="shared" ref="G19" si="1">F19-E19</f>
        <v>60</v>
      </c>
      <c r="H19" s="492">
        <f>G19+'23'!H19</f>
        <v>1480</v>
      </c>
      <c r="I19" s="528"/>
      <c r="J19" s="494">
        <f>H19/DAY(B2)</f>
        <v>61.666666666666664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491">
        <f>SUM(G18:G19)</f>
        <v>170</v>
      </c>
      <c r="H20" s="492">
        <f>G20+'23'!H20</f>
        <v>5160</v>
      </c>
      <c r="I20" s="531">
        <f>I18-J20</f>
        <v>-150</v>
      </c>
      <c r="J20" s="494">
        <f>H20/DAY(B2)</f>
        <v>215</v>
      </c>
      <c r="K20" s="509"/>
      <c r="L20" s="469"/>
      <c r="O20" s="496"/>
    </row>
    <row r="21" spans="1:15">
      <c r="A21" s="1315" t="s">
        <v>145</v>
      </c>
      <c r="B21" s="1316"/>
      <c r="C21" s="1317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f>'23'!F22</f>
        <v>2970</v>
      </c>
      <c r="F22" s="519">
        <v>2970</v>
      </c>
      <c r="G22" s="513">
        <f t="shared" ref="G22:G23" si="2">(F22-E22)</f>
        <v>0</v>
      </c>
      <c r="H22" s="492">
        <f>G22+'23'!H22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'23'!F23</f>
        <v>2000</v>
      </c>
      <c r="F23" s="519">
        <v>2000</v>
      </c>
      <c r="G23" s="513">
        <f t="shared" si="2"/>
        <v>0</v>
      </c>
      <c r="H23" s="492">
        <f>G23+'23'!H23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'23'!F24</f>
        <v>4970</v>
      </c>
      <c r="F24" s="534">
        <v>4970</v>
      </c>
      <c r="G24" s="513">
        <f>SUM(G22:G23)</f>
        <v>0</v>
      </c>
      <c r="H24" s="492">
        <f>G24+'23'!H24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12" t="s">
        <v>150</v>
      </c>
      <c r="B25" s="1313"/>
      <c r="C25" s="1314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22644.090000000026</v>
      </c>
      <c r="F27" s="152">
        <v>9</v>
      </c>
      <c r="G27" s="551">
        <f>E27*F27</f>
        <v>203796.81000000023</v>
      </c>
      <c r="H27" s="492">
        <f>G27+'23'!H27</f>
        <v>-1411063.1099999996</v>
      </c>
      <c r="I27" s="552"/>
      <c r="J27" s="494">
        <f>H27/DAY(B2)</f>
        <v>-58794.296249999985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 t="shared" ref="G28:G31" si="3">E28*F28</f>
        <v>49400</v>
      </c>
      <c r="H28" s="492">
        <f>G28+'23'!H28</f>
        <v>1161547.5</v>
      </c>
      <c r="I28" s="553"/>
      <c r="J28" s="494">
        <f>H28/DAY(B2)</f>
        <v>48397.8125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 t="shared" si="3"/>
        <v>0</v>
      </c>
      <c r="H29" s="492">
        <f>G29+'23'!H29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 t="shared" si="3"/>
        <v>8760</v>
      </c>
      <c r="H30" s="492">
        <f>G30+'23'!H30</f>
        <v>216080</v>
      </c>
      <c r="I30" s="553"/>
      <c r="J30" s="494">
        <f>H30/DAY(B2)</f>
        <v>9003.3333333333339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110</v>
      </c>
      <c r="F31" s="550">
        <v>80</v>
      </c>
      <c r="G31" s="551">
        <f t="shared" si="3"/>
        <v>8800</v>
      </c>
      <c r="H31" s="492">
        <f>G31+'23'!H31</f>
        <v>294400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270756.81000000023</v>
      </c>
      <c r="H32" s="492">
        <f>G32+'23'!H32</f>
        <v>260964.38999999996</v>
      </c>
      <c r="I32" s="559"/>
      <c r="J32" s="494">
        <f>H32/DAY(B2)</f>
        <v>10873.516249999999</v>
      </c>
      <c r="K32" s="509"/>
      <c r="L32" s="539"/>
      <c r="N32" s="658"/>
      <c r="O32" s="496"/>
    </row>
    <row r="33" spans="1:15" ht="18.75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'23'!F35</f>
        <v>1058597</v>
      </c>
      <c r="F35" s="562">
        <v>1058597</v>
      </c>
      <c r="G35" s="491">
        <f t="shared" ref="G35:G46" si="4">F35-E35</f>
        <v>0</v>
      </c>
      <c r="H35" s="492">
        <f>G35+'23'!H35</f>
        <v>0.69999999995343387</v>
      </c>
      <c r="I35" s="490"/>
      <c r="J35" s="494">
        <f>H35/DAY(B2)</f>
        <v>2.916666666472641E-2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'23'!F36</f>
        <v>40361.839999999997</v>
      </c>
      <c r="F36" s="562">
        <v>41051</v>
      </c>
      <c r="G36" s="491">
        <f t="shared" si="4"/>
        <v>689.16000000000349</v>
      </c>
      <c r="H36" s="492">
        <f>G36+'23'!H36</f>
        <v>-5747</v>
      </c>
      <c r="I36" s="490"/>
      <c r="J36" s="494">
        <f>H36/DAY(B2)</f>
        <v>-239.45833333333334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'23'!F37</f>
        <v>213050.03</v>
      </c>
      <c r="F37" s="562">
        <v>214682</v>
      </c>
      <c r="G37" s="491">
        <f t="shared" si="4"/>
        <v>1631.9700000000012</v>
      </c>
      <c r="H37" s="492">
        <f>G37+'23'!H37</f>
        <v>-11491</v>
      </c>
      <c r="I37" s="490"/>
      <c r="J37" s="494">
        <f>H37/DAY(B2)</f>
        <v>-478.79166666666669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'23'!F38</f>
        <v>235554.57</v>
      </c>
      <c r="F38" s="479">
        <v>237159</v>
      </c>
      <c r="G38" s="491">
        <f t="shared" si="4"/>
        <v>1604.429999999993</v>
      </c>
      <c r="H38" s="492">
        <f>G38+'23'!H38</f>
        <v>-11400</v>
      </c>
      <c r="I38" s="490"/>
      <c r="J38" s="494">
        <f>H38/DAY(B2)</f>
        <v>-475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'23'!F39</f>
        <v>490138.99</v>
      </c>
      <c r="F39" s="562">
        <v>493956</v>
      </c>
      <c r="G39" s="491">
        <f t="shared" si="4"/>
        <v>3817.0100000000093</v>
      </c>
      <c r="H39" s="492">
        <f>G39+'23'!H39</f>
        <v>-26562</v>
      </c>
      <c r="I39" s="490"/>
      <c r="J39" s="494">
        <f>H39/DAY(B2)</f>
        <v>-1106.75</v>
      </c>
      <c r="K39" s="509"/>
      <c r="L39" s="469"/>
      <c r="N39" s="657">
        <f>20*38.64</f>
        <v>772.8</v>
      </c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'23'!F40</f>
        <v>16445.48</v>
      </c>
      <c r="F40" s="562">
        <v>16874</v>
      </c>
      <c r="G40" s="491">
        <f t="shared" si="4"/>
        <v>428.52000000000044</v>
      </c>
      <c r="H40" s="492">
        <f>G40+'23'!H40</f>
        <v>-3299</v>
      </c>
      <c r="I40" s="490"/>
      <c r="J40" s="494">
        <f>H40/DAY(B2)</f>
        <v>-137.45833333333334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'23'!F41</f>
        <v>366839.55</v>
      </c>
      <c r="F41" s="562">
        <v>366839.55</v>
      </c>
      <c r="G41" s="491">
        <f t="shared" si="4"/>
        <v>0</v>
      </c>
      <c r="H41" s="492">
        <f>G41+'23'!H41</f>
        <v>-0.45000000001164153</v>
      </c>
      <c r="I41" s="490"/>
      <c r="J41" s="494">
        <f>H41/DAY(B2)</f>
        <v>-1.8750000000485063E-2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'23'!F42</f>
        <v>91097.09</v>
      </c>
      <c r="F42" s="562">
        <v>92947</v>
      </c>
      <c r="G42" s="491">
        <f t="shared" si="4"/>
        <v>1849.9100000000035</v>
      </c>
      <c r="H42" s="492">
        <f>G42+'23'!H42</f>
        <v>-22565</v>
      </c>
      <c r="I42" s="490"/>
      <c r="J42" s="494">
        <f>H42/DAY(B2)</f>
        <v>-940.20833333333337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'23'!F43</f>
        <v>1182388.1000000001</v>
      </c>
      <c r="F43" s="562">
        <v>1185173</v>
      </c>
      <c r="G43" s="491">
        <f t="shared" si="4"/>
        <v>2784.8999999999069</v>
      </c>
      <c r="H43" s="492">
        <f>G43+'23'!H43</f>
        <v>-19288</v>
      </c>
      <c r="I43" s="490"/>
      <c r="J43" s="494">
        <f>H43/DAY(B2)</f>
        <v>-803.66666666666663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'23'!F44</f>
        <v>0</v>
      </c>
      <c r="F44" s="562">
        <v>0</v>
      </c>
      <c r="G44" s="491">
        <f t="shared" si="4"/>
        <v>0</v>
      </c>
      <c r="H44" s="492">
        <f>G44+'23'!H44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'23'!F45</f>
        <v>614</v>
      </c>
      <c r="F45" s="562">
        <v>614</v>
      </c>
      <c r="G45" s="491">
        <f t="shared" si="4"/>
        <v>0</v>
      </c>
      <c r="H45" s="492">
        <f>G45+'23'!H45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'23'!F46</f>
        <v>187</v>
      </c>
      <c r="F46" s="562">
        <v>187</v>
      </c>
      <c r="G46" s="491">
        <f t="shared" si="4"/>
        <v>0</v>
      </c>
      <c r="H46" s="492">
        <f>G46+'23'!H46</f>
        <v>-0.49000000000000909</v>
      </c>
      <c r="I46" s="490"/>
      <c r="J46" s="494">
        <f>H46/DAY(B2)</f>
        <v>-2.0416666666667044E-2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12805.899999999918</v>
      </c>
      <c r="H47" s="492">
        <f>G47+'23'!H47</f>
        <v>-99550.750000000102</v>
      </c>
      <c r="I47" s="490"/>
      <c r="J47" s="494">
        <f>H47/DAY(B2)</f>
        <v>-4147.9479166666706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'23'!F49</f>
        <v>299994.09000000003</v>
      </c>
      <c r="F49" s="562">
        <v>303071</v>
      </c>
      <c r="G49" s="491">
        <f t="shared" ref="G49:G58" si="5">F49-E49</f>
        <v>3076.9099999999744</v>
      </c>
      <c r="H49" s="492">
        <f>G49+'23'!H49</f>
        <v>-23967</v>
      </c>
      <c r="I49" s="490"/>
      <c r="J49" s="494">
        <f>H49/DAY(B2)</f>
        <v>-998.625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'23'!F50</f>
        <v>561776.94999999995</v>
      </c>
      <c r="F50" s="562">
        <v>562765</v>
      </c>
      <c r="G50" s="491">
        <f t="shared" si="5"/>
        <v>988.05000000004657</v>
      </c>
      <c r="H50" s="492">
        <f>G50+'23'!H50</f>
        <v>-8052</v>
      </c>
      <c r="I50" s="490"/>
      <c r="J50" s="494">
        <f>H50/DAY(B2)</f>
        <v>-335.5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'23'!F51</f>
        <v>144640</v>
      </c>
      <c r="F51" s="562">
        <v>144640</v>
      </c>
      <c r="G51" s="491">
        <f t="shared" si="5"/>
        <v>0</v>
      </c>
      <c r="H51" s="492">
        <f>G51+'23'!H51</f>
        <v>0</v>
      </c>
      <c r="I51" s="490"/>
      <c r="J51" s="494">
        <f>H51/DAY(B2)</f>
        <v>0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'23'!F52</f>
        <v>539606.06999999995</v>
      </c>
      <c r="F52" s="562">
        <v>539606</v>
      </c>
      <c r="G52" s="491">
        <f t="shared" si="5"/>
        <v>-6.9999999948777258E-2</v>
      </c>
      <c r="H52" s="492">
        <f>G52+'23'!H52</f>
        <v>-6.9999999948777258E-2</v>
      </c>
      <c r="I52" s="490"/>
      <c r="J52" s="494">
        <f>H52/DAY(B2)</f>
        <v>-2.9166666645323858E-3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'23'!F53</f>
        <v>434231.59</v>
      </c>
      <c r="F53" s="562">
        <v>434232</v>
      </c>
      <c r="G53" s="491">
        <f t="shared" si="5"/>
        <v>0.40999999997438863</v>
      </c>
      <c r="H53" s="492">
        <f>G53+'23'!H53</f>
        <v>-0.33000000001629815</v>
      </c>
      <c r="I53" s="490"/>
      <c r="J53" s="494">
        <f>H53/DAY(B2)</f>
        <v>-1.3750000000679089E-2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'23'!F54</f>
        <v>14967.39</v>
      </c>
      <c r="F54" s="562">
        <v>14967</v>
      </c>
      <c r="G54" s="491">
        <f t="shared" si="5"/>
        <v>-0.38999999999941792</v>
      </c>
      <c r="H54" s="492">
        <f>G54+'23'!H54</f>
        <v>0</v>
      </c>
      <c r="I54" s="490"/>
      <c r="J54" s="494">
        <f>H54/DAY(B2)</f>
        <v>0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'23'!F55</f>
        <v>204436.49</v>
      </c>
      <c r="F55" s="562">
        <v>209892</v>
      </c>
      <c r="G55" s="491">
        <f t="shared" si="5"/>
        <v>5455.5100000000093</v>
      </c>
      <c r="H55" s="492">
        <f>G55+'23'!H55</f>
        <v>-27294</v>
      </c>
      <c r="I55" s="490"/>
      <c r="J55" s="494">
        <f>H55/DAY(B2)</f>
        <v>-1137.25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'23'!F56</f>
        <v>649273.27</v>
      </c>
      <c r="F56" s="562">
        <v>649273</v>
      </c>
      <c r="G56" s="491">
        <f t="shared" si="5"/>
        <v>-0.27000000001862645</v>
      </c>
      <c r="H56" s="492">
        <f>G56+'23'!H56</f>
        <v>-99</v>
      </c>
      <c r="I56" s="490"/>
      <c r="J56" s="494">
        <f>H56/DAY(B2)</f>
        <v>-4.125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'23'!F57</f>
        <v>7711</v>
      </c>
      <c r="F57" s="562">
        <v>7711</v>
      </c>
      <c r="G57" s="491">
        <f t="shared" si="5"/>
        <v>0</v>
      </c>
      <c r="H57" s="492">
        <f>G57+'23'!H57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'23'!F58</f>
        <v>58048.11</v>
      </c>
      <c r="F58" s="562">
        <v>58256</v>
      </c>
      <c r="G58" s="491">
        <f t="shared" si="5"/>
        <v>207.88999999999942</v>
      </c>
      <c r="H58" s="492">
        <f>G58+'23'!H58</f>
        <v>-1635</v>
      </c>
      <c r="I58" s="490"/>
      <c r="J58" s="494">
        <f>H58/DAY(B2)</f>
        <v>-68.125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9728.0400000000373</v>
      </c>
      <c r="H59" s="492">
        <f>G59+'23'!H59</f>
        <v>-61047.330000000016</v>
      </c>
      <c r="I59" s="490">
        <f>G7-G60</f>
        <v>716.06000000004497</v>
      </c>
      <c r="J59" s="494">
        <f>H59/DAY(B2)</f>
        <v>-2543.6387500000005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22533.939999999955</v>
      </c>
      <c r="H60" s="492">
        <f>G60+'23'!H60</f>
        <v>-155020.75000000009</v>
      </c>
      <c r="I60" s="490">
        <f>G13-G60</f>
        <v>-675.43999999995503</v>
      </c>
      <c r="J60" s="494">
        <f>H60/DAY(B2)</f>
        <v>-6459.1979166666706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'23'!F62</f>
        <v>20419</v>
      </c>
      <c r="F62" s="572">
        <v>20419</v>
      </c>
      <c r="G62" s="491">
        <f t="shared" ref="G62:G69" si="6">F62-E62</f>
        <v>0</v>
      </c>
      <c r="H62" s="492">
        <f>G62+'23'!H62</f>
        <v>1.9999999967694748E-3</v>
      </c>
      <c r="I62" s="573"/>
      <c r="J62" s="494">
        <f>H62/DAY(B2)</f>
        <v>8.3333333198728113E-5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'23'!F63</f>
        <v>0</v>
      </c>
      <c r="F63" s="572">
        <v>0</v>
      </c>
      <c r="G63" s="491">
        <f t="shared" si="6"/>
        <v>0</v>
      </c>
      <c r="H63" s="492">
        <f>G63+'23'!H63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297" t="s">
        <v>98</v>
      </c>
      <c r="B64" s="1298"/>
      <c r="C64" s="1299"/>
      <c r="D64" s="489" t="s">
        <v>186</v>
      </c>
      <c r="E64" s="490">
        <f>'23'!F64</f>
        <v>178897.63</v>
      </c>
      <c r="F64" s="519">
        <v>179237</v>
      </c>
      <c r="G64" s="491">
        <f t="shared" si="6"/>
        <v>339.36999999999534</v>
      </c>
      <c r="H64" s="492">
        <f>G64+'23'!H64</f>
        <v>-2623</v>
      </c>
      <c r="I64" s="510"/>
      <c r="J64" s="494">
        <f>H64/DAY(B2)</f>
        <v>-109.29166666666667</v>
      </c>
      <c r="K64" s="509"/>
      <c r="L64" s="469"/>
      <c r="O64" s="496"/>
    </row>
    <row r="65" spans="1:15">
      <c r="A65" s="1297" t="s">
        <v>99</v>
      </c>
      <c r="B65" s="1298"/>
      <c r="C65" s="1299"/>
      <c r="D65" s="489" t="s">
        <v>186</v>
      </c>
      <c r="E65" s="490">
        <f>'23'!F65</f>
        <v>179109.65</v>
      </c>
      <c r="F65" s="519">
        <v>179514</v>
      </c>
      <c r="G65" s="491">
        <f t="shared" si="6"/>
        <v>404.35000000000582</v>
      </c>
      <c r="H65" s="492">
        <f>G65+'23'!H65</f>
        <v>-2695</v>
      </c>
      <c r="I65" s="528"/>
      <c r="J65" s="494">
        <f>H65/DAY(B2)</f>
        <v>-112.29166666666667</v>
      </c>
      <c r="K65" s="509"/>
      <c r="L65" s="469"/>
      <c r="O65" s="496"/>
    </row>
    <row r="66" spans="1:15">
      <c r="A66" s="1297" t="s">
        <v>100</v>
      </c>
      <c r="B66" s="1298"/>
      <c r="C66" s="1299"/>
      <c r="D66" s="489" t="s">
        <v>186</v>
      </c>
      <c r="E66" s="490">
        <f>'23'!F66</f>
        <v>77414.350000000006</v>
      </c>
      <c r="F66" s="519">
        <v>77824</v>
      </c>
      <c r="G66" s="491">
        <f t="shared" si="6"/>
        <v>409.64999999999418</v>
      </c>
      <c r="H66" s="492">
        <f>G66+'23'!H66</f>
        <v>-2848</v>
      </c>
      <c r="I66" s="510"/>
      <c r="J66" s="494">
        <f>H66/DAY(B2)</f>
        <v>-118.66666666666667</v>
      </c>
      <c r="K66" s="509"/>
      <c r="L66" s="469"/>
      <c r="O66" s="496"/>
    </row>
    <row r="67" spans="1:15">
      <c r="A67" s="1297" t="s">
        <v>101</v>
      </c>
      <c r="B67" s="1298"/>
      <c r="C67" s="1299"/>
      <c r="D67" s="489" t="s">
        <v>186</v>
      </c>
      <c r="E67" s="490">
        <f>'23'!F67</f>
        <v>275930.27</v>
      </c>
      <c r="F67" s="519">
        <v>276482</v>
      </c>
      <c r="G67" s="491">
        <f t="shared" si="6"/>
        <v>551.72999999998137</v>
      </c>
      <c r="H67" s="492">
        <f>G67+'23'!H67</f>
        <v>-3576</v>
      </c>
      <c r="I67" s="528"/>
      <c r="J67" s="494">
        <f>H67/DAY(B2)</f>
        <v>-149</v>
      </c>
      <c r="K67" s="516"/>
      <c r="L67" s="469"/>
      <c r="O67" s="496"/>
    </row>
    <row r="68" spans="1:15">
      <c r="A68" s="1297" t="s">
        <v>102</v>
      </c>
      <c r="B68" s="1298"/>
      <c r="C68" s="1299"/>
      <c r="D68" s="489" t="s">
        <v>186</v>
      </c>
      <c r="E68" s="490">
        <f>'23'!F68</f>
        <v>85321</v>
      </c>
      <c r="F68" s="519">
        <v>85321</v>
      </c>
      <c r="G68" s="491">
        <f t="shared" si="6"/>
        <v>0</v>
      </c>
      <c r="H68" s="492">
        <f>G68+'23'!H68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297" t="s">
        <v>103</v>
      </c>
      <c r="B69" s="1298"/>
      <c r="C69" s="1299"/>
      <c r="D69" s="489" t="s">
        <v>186</v>
      </c>
      <c r="E69" s="490">
        <f>'23'!F69</f>
        <v>93836.67</v>
      </c>
      <c r="F69" s="519">
        <v>94148</v>
      </c>
      <c r="G69" s="491">
        <f t="shared" si="6"/>
        <v>311.33000000000175</v>
      </c>
      <c r="H69" s="492">
        <f>G69+'23'!H69</f>
        <v>-2409</v>
      </c>
      <c r="I69" s="574"/>
      <c r="J69" s="494">
        <f>H69/DAY(B2)</f>
        <v>-100.375</v>
      </c>
      <c r="K69" s="576"/>
      <c r="L69" s="469"/>
      <c r="O69" s="496"/>
    </row>
    <row r="70" spans="1:15">
      <c r="A70" s="1306" t="s">
        <v>188</v>
      </c>
      <c r="B70" s="1307"/>
      <c r="C70" s="1308"/>
      <c r="D70" s="489" t="s">
        <v>186</v>
      </c>
      <c r="E70" s="577"/>
      <c r="F70" s="578"/>
      <c r="G70" s="578"/>
      <c r="H70" s="492">
        <f>G70+'23'!H70</f>
        <v>0</v>
      </c>
      <c r="I70" s="578"/>
      <c r="J70" s="579"/>
      <c r="K70" s="576"/>
      <c r="L70" s="469"/>
      <c r="O70" s="496"/>
    </row>
    <row r="71" spans="1:15" ht="22.5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>
      <c r="A72" s="1297" t="s">
        <v>190</v>
      </c>
      <c r="B72" s="1298"/>
      <c r="C72" s="1299"/>
      <c r="D72" s="489" t="s">
        <v>186</v>
      </c>
      <c r="E72" s="490">
        <f>'23'!F72</f>
        <v>856508</v>
      </c>
      <c r="F72" s="580">
        <v>856522</v>
      </c>
      <c r="G72" s="491">
        <f t="shared" ref="G72:G91" si="7">F72-E72</f>
        <v>14</v>
      </c>
      <c r="H72" s="492">
        <f>G72+'23'!H72</f>
        <v>-101</v>
      </c>
      <c r="I72" s="510"/>
      <c r="J72" s="494">
        <f>H72/DAY(B2)</f>
        <v>-4.208333333333333</v>
      </c>
      <c r="K72" s="576"/>
      <c r="L72" s="469"/>
      <c r="O72" s="496"/>
    </row>
    <row r="73" spans="1:15">
      <c r="A73" s="1297" t="s">
        <v>191</v>
      </c>
      <c r="B73" s="1298"/>
      <c r="C73" s="1299"/>
      <c r="D73" s="489" t="s">
        <v>186</v>
      </c>
      <c r="E73" s="490">
        <f>'23'!F73</f>
        <v>886004</v>
      </c>
      <c r="F73" s="581">
        <v>886005</v>
      </c>
      <c r="G73" s="491">
        <f t="shared" si="7"/>
        <v>1</v>
      </c>
      <c r="H73" s="492">
        <f>G73+'23'!H73</f>
        <v>149</v>
      </c>
      <c r="I73" s="510"/>
      <c r="J73" s="494">
        <f>H73/DAY(B2)</f>
        <v>6.208333333333333</v>
      </c>
      <c r="K73" s="575"/>
      <c r="L73" s="469"/>
      <c r="O73" s="496"/>
    </row>
    <row r="74" spans="1:15">
      <c r="A74" s="1297" t="s">
        <v>192</v>
      </c>
      <c r="B74" s="1298"/>
      <c r="C74" s="1299"/>
      <c r="D74" s="489" t="s">
        <v>186</v>
      </c>
      <c r="E74" s="490">
        <f>'23'!F74</f>
        <v>88723</v>
      </c>
      <c r="F74" s="582">
        <v>88723</v>
      </c>
      <c r="G74" s="491">
        <f t="shared" si="7"/>
        <v>0</v>
      </c>
      <c r="H74" s="492">
        <f>G74+'23'!H74</f>
        <v>62</v>
      </c>
      <c r="I74" s="510"/>
      <c r="J74" s="494">
        <f>H74/DAY(B2)</f>
        <v>2.5833333333333335</v>
      </c>
      <c r="K74" s="576"/>
      <c r="L74" s="469"/>
      <c r="O74" s="496"/>
    </row>
    <row r="75" spans="1:15">
      <c r="A75" s="1300" t="s">
        <v>193</v>
      </c>
      <c r="B75" s="1301"/>
      <c r="C75" s="1302"/>
      <c r="D75" s="489" t="s">
        <v>186</v>
      </c>
      <c r="E75" s="490">
        <f>'23'!F75</f>
        <v>19643.29</v>
      </c>
      <c r="F75" s="582">
        <v>19819</v>
      </c>
      <c r="G75" s="491">
        <f t="shared" si="7"/>
        <v>175.70999999999913</v>
      </c>
      <c r="H75" s="492">
        <f>G75+'23'!H75</f>
        <v>-1128</v>
      </c>
      <c r="I75" s="510"/>
      <c r="J75" s="494">
        <f>H75/DAY(B2)</f>
        <v>-47</v>
      </c>
      <c r="K75" s="575"/>
      <c r="L75" s="469"/>
      <c r="O75" s="496"/>
    </row>
    <row r="76" spans="1:15">
      <c r="A76" s="1300" t="s">
        <v>194</v>
      </c>
      <c r="B76" s="1301"/>
      <c r="C76" s="1302"/>
      <c r="D76" s="489" t="s">
        <v>186</v>
      </c>
      <c r="E76" s="490">
        <f>'23'!F76</f>
        <v>10844.8</v>
      </c>
      <c r="F76" s="581">
        <v>10910</v>
      </c>
      <c r="G76" s="491">
        <f t="shared" si="7"/>
        <v>65.200000000000728</v>
      </c>
      <c r="H76" s="492">
        <f>G76+'23'!H76</f>
        <v>984.60000000000036</v>
      </c>
      <c r="I76" s="553"/>
      <c r="J76" s="494">
        <f>H76/DAY(B2)</f>
        <v>41.025000000000013</v>
      </c>
      <c r="K76" s="575"/>
      <c r="L76" s="469"/>
      <c r="O76" s="496"/>
    </row>
    <row r="77" spans="1:15">
      <c r="A77" s="1297" t="s">
        <v>195</v>
      </c>
      <c r="B77" s="1298"/>
      <c r="C77" s="1299"/>
      <c r="D77" s="489" t="s">
        <v>186</v>
      </c>
      <c r="E77" s="490">
        <f>'23'!F77</f>
        <v>705836</v>
      </c>
      <c r="F77" s="581">
        <v>705890</v>
      </c>
      <c r="G77" s="491">
        <f t="shared" si="7"/>
        <v>54</v>
      </c>
      <c r="H77" s="492">
        <f>G77+'23'!H77</f>
        <v>-563</v>
      </c>
      <c r="I77" s="553"/>
      <c r="J77" s="494">
        <f>H77/DAY(B2)</f>
        <v>-23.458333333333332</v>
      </c>
      <c r="K77" s="575"/>
      <c r="L77" s="469"/>
      <c r="O77" s="496"/>
    </row>
    <row r="78" spans="1:15">
      <c r="A78" s="583" t="s">
        <v>196</v>
      </c>
      <c r="B78" s="767"/>
      <c r="C78" s="767"/>
      <c r="D78" s="489" t="s">
        <v>186</v>
      </c>
      <c r="E78" s="490">
        <f>'23'!F78</f>
        <v>677704</v>
      </c>
      <c r="F78" s="582">
        <v>677877</v>
      </c>
      <c r="G78" s="491">
        <f t="shared" si="7"/>
        <v>173</v>
      </c>
      <c r="H78" s="492">
        <f>G78+'23'!H78</f>
        <v>-976</v>
      </c>
      <c r="I78" s="553"/>
      <c r="J78" s="494">
        <f>H78/DAY(B2)</f>
        <v>-40.666666666666664</v>
      </c>
      <c r="K78" s="575"/>
      <c r="L78" s="469"/>
      <c r="O78" s="496"/>
    </row>
    <row r="79" spans="1:15">
      <c r="A79" s="1300" t="s">
        <v>91</v>
      </c>
      <c r="B79" s="1301"/>
      <c r="C79" s="1302"/>
      <c r="D79" s="522" t="s">
        <v>186</v>
      </c>
      <c r="E79" s="490">
        <f>'23'!F79</f>
        <v>839023</v>
      </c>
      <c r="F79" s="582">
        <v>839182</v>
      </c>
      <c r="G79" s="491">
        <f t="shared" si="7"/>
        <v>159</v>
      </c>
      <c r="H79" s="492">
        <f>G79+'23'!H79</f>
        <v>-1500</v>
      </c>
      <c r="I79" s="553"/>
      <c r="J79" s="494">
        <f>H79/DAY(B2)</f>
        <v>-62.5</v>
      </c>
      <c r="K79" s="575"/>
      <c r="L79" s="469"/>
      <c r="O79" s="496"/>
    </row>
    <row r="80" spans="1:15">
      <c r="A80" s="1300" t="s">
        <v>197</v>
      </c>
      <c r="B80" s="1301"/>
      <c r="C80" s="1302"/>
      <c r="D80" s="522" t="s">
        <v>186</v>
      </c>
      <c r="E80" s="490">
        <f>'23'!F80</f>
        <v>548762.52</v>
      </c>
      <c r="F80" s="580">
        <v>549161</v>
      </c>
      <c r="G80" s="491">
        <f t="shared" si="7"/>
        <v>398.47999999998137</v>
      </c>
      <c r="H80" s="492">
        <f>G80+'23'!H80</f>
        <v>-6045</v>
      </c>
      <c r="I80" s="553"/>
      <c r="J80" s="494">
        <f>H80/DAY(B2)</f>
        <v>-251.875</v>
      </c>
      <c r="K80" s="575"/>
      <c r="L80" s="469"/>
      <c r="O80" s="496"/>
    </row>
    <row r="81" spans="1:15">
      <c r="A81" s="1300" t="s">
        <v>198</v>
      </c>
      <c r="B81" s="1301"/>
      <c r="C81" s="1302"/>
      <c r="D81" s="522" t="s">
        <v>186</v>
      </c>
      <c r="E81" s="490">
        <f>'23'!F81</f>
        <v>647469.16</v>
      </c>
      <c r="F81" s="581">
        <v>647656</v>
      </c>
      <c r="G81" s="491">
        <f t="shared" si="7"/>
        <v>186.8399999999674</v>
      </c>
      <c r="H81" s="492">
        <f>G81+'23'!H81</f>
        <v>-1362</v>
      </c>
      <c r="I81" s="553"/>
      <c r="J81" s="494">
        <f>H81/DAY(B2)</f>
        <v>-56.75</v>
      </c>
      <c r="K81" s="575"/>
      <c r="L81" s="469"/>
      <c r="O81" s="496"/>
    </row>
    <row r="82" spans="1:15">
      <c r="A82" s="1300" t="s">
        <v>92</v>
      </c>
      <c r="B82" s="1301"/>
      <c r="C82" s="1302"/>
      <c r="D82" s="523" t="s">
        <v>131</v>
      </c>
      <c r="E82" s="490">
        <f>'23'!F82</f>
        <v>109168.38</v>
      </c>
      <c r="F82" s="584">
        <v>109189</v>
      </c>
      <c r="G82" s="491">
        <f t="shared" si="7"/>
        <v>20.619999999995343</v>
      </c>
      <c r="H82" s="492">
        <f>G82+'23'!H82</f>
        <v>-147</v>
      </c>
      <c r="I82" s="524"/>
      <c r="J82" s="494">
        <f>H82/DAY(B2)</f>
        <v>-6.125</v>
      </c>
      <c r="K82" s="575"/>
      <c r="L82" s="469"/>
      <c r="O82" s="496"/>
    </row>
    <row r="83" spans="1:15">
      <c r="A83" s="1300" t="s">
        <v>199</v>
      </c>
      <c r="B83" s="1301"/>
      <c r="C83" s="1302"/>
      <c r="D83" s="585" t="s">
        <v>131</v>
      </c>
      <c r="E83" s="490">
        <f>'23'!F83</f>
        <v>32963</v>
      </c>
      <c r="F83" s="476">
        <v>33153</v>
      </c>
      <c r="G83" s="491">
        <f>F83-E83</f>
        <v>190</v>
      </c>
      <c r="H83" s="492">
        <f>G83+'23'!H83</f>
        <v>-1872</v>
      </c>
      <c r="I83" s="513"/>
      <c r="J83" s="494">
        <f>H83/DAY(B2)</f>
        <v>-78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'23'!F84</f>
        <v>540969</v>
      </c>
      <c r="F84" s="588">
        <v>541751</v>
      </c>
      <c r="G84" s="491">
        <f t="shared" si="7"/>
        <v>782</v>
      </c>
      <c r="H84" s="492">
        <f>G84+'23'!H84</f>
        <v>-5642</v>
      </c>
      <c r="I84" s="513"/>
      <c r="J84" s="494">
        <f>H84/DAY(B2)</f>
        <v>-235.08333333333334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>
        <f>'23'!F85</f>
        <v>0</v>
      </c>
      <c r="F85" s="489"/>
      <c r="G85" s="492">
        <f xml:space="preserve"> SUM(G72:G84)</f>
        <v>2219.849999999944</v>
      </c>
      <c r="H85" s="492">
        <f>G85+'23'!H85</f>
        <v>-16063.999999999996</v>
      </c>
      <c r="I85" s="513"/>
      <c r="J85" s="494">
        <f>H85/DAY(B2)</f>
        <v>-669.33333333333314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'23'!F86</f>
        <v>462335</v>
      </c>
      <c r="F86" s="597">
        <v>462344</v>
      </c>
      <c r="G86" s="598">
        <f t="shared" si="7"/>
        <v>9</v>
      </c>
      <c r="H86" s="598">
        <f t="shared" ref="H86:H88" si="8">G86</f>
        <v>9</v>
      </c>
      <c r="I86" s="599"/>
      <c r="J86" s="600">
        <f>H86/DAY(B2)</f>
        <v>0.375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'23'!F87</f>
        <v>82718.7</v>
      </c>
      <c r="F87" s="597">
        <v>82741</v>
      </c>
      <c r="G87" s="598">
        <f t="shared" si="7"/>
        <v>22.30000000000291</v>
      </c>
      <c r="H87" s="598">
        <f t="shared" si="8"/>
        <v>22.30000000000291</v>
      </c>
      <c r="I87" s="599"/>
      <c r="J87" s="600">
        <f>H87/DAY(B2)</f>
        <v>0.92916666666678793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'23'!F88</f>
        <v>157979.79999999999</v>
      </c>
      <c r="F88" s="597">
        <v>158055</v>
      </c>
      <c r="G88" s="598">
        <f t="shared" si="7"/>
        <v>75.200000000011642</v>
      </c>
      <c r="H88" s="598">
        <f t="shared" si="8"/>
        <v>75.200000000011642</v>
      </c>
      <c r="I88" s="599"/>
      <c r="J88" s="600">
        <f>H88/DAY(B2)</f>
        <v>3.1333333333338182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'23'!F89</f>
        <v>66744.800000000003</v>
      </c>
      <c r="F89" s="909">
        <v>66767</v>
      </c>
      <c r="G89" s="598">
        <f t="shared" si="7"/>
        <v>22.19999999999709</v>
      </c>
      <c r="H89" s="598">
        <f>G89</f>
        <v>22.19999999999709</v>
      </c>
      <c r="I89" s="599"/>
      <c r="J89" s="600">
        <f>H89/DAY(B2)</f>
        <v>0.9249999999998787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'23'!F90</f>
        <v>3425.7</v>
      </c>
      <c r="F90" s="909">
        <v>3430</v>
      </c>
      <c r="G90" s="598">
        <f t="shared" si="7"/>
        <v>4.3000000000001819</v>
      </c>
      <c r="H90" s="598">
        <f>G90</f>
        <v>4.3000000000001819</v>
      </c>
      <c r="I90" s="599"/>
      <c r="J90" s="600">
        <f>H90/DAY(B2)</f>
        <v>0.17916666666667425</v>
      </c>
      <c r="K90" s="601"/>
      <c r="L90" s="602"/>
      <c r="N90" s="662"/>
      <c r="O90" s="496"/>
    </row>
    <row r="91" spans="1:15" s="386" customFormat="1" ht="29.25">
      <c r="A91" s="381" t="s">
        <v>336</v>
      </c>
      <c r="B91" s="382"/>
      <c r="C91" s="382"/>
      <c r="D91" s="383" t="s">
        <v>131</v>
      </c>
      <c r="E91" s="490">
        <f>'23'!F91</f>
        <v>28443.35</v>
      </c>
      <c r="F91" s="597">
        <v>28447</v>
      </c>
      <c r="G91" s="356">
        <f t="shared" si="7"/>
        <v>3.6500000000014552</v>
      </c>
      <c r="H91" s="356">
        <f>G91</f>
        <v>3.6500000000014552</v>
      </c>
      <c r="I91" s="303"/>
      <c r="J91" s="358"/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1" t="s">
        <v>205</v>
      </c>
      <c r="B93" s="1292"/>
      <c r="C93" s="1293"/>
      <c r="D93" s="489" t="s">
        <v>143</v>
      </c>
      <c r="E93" s="490">
        <f>'23'!F93</f>
        <v>249604</v>
      </c>
      <c r="F93" s="519">
        <v>249728</v>
      </c>
      <c r="G93" s="491">
        <f t="shared" ref="G93:G94" si="9">F93-E93</f>
        <v>124</v>
      </c>
      <c r="H93" s="492">
        <f>G93+'23'!H93</f>
        <v>-586</v>
      </c>
      <c r="I93" s="510"/>
      <c r="J93" s="494">
        <f>H93/DAY(B2)</f>
        <v>-24.416666666666668</v>
      </c>
      <c r="K93" s="516"/>
      <c r="L93" s="469"/>
      <c r="O93" s="496"/>
    </row>
    <row r="94" spans="1:15">
      <c r="A94" s="1291" t="s">
        <v>206</v>
      </c>
      <c r="B94" s="1292"/>
      <c r="C94" s="1293"/>
      <c r="D94" s="489" t="s">
        <v>143</v>
      </c>
      <c r="E94" s="490">
        <f>'23'!F94</f>
        <v>192192</v>
      </c>
      <c r="F94" s="519">
        <v>192302</v>
      </c>
      <c r="G94" s="491">
        <f t="shared" si="9"/>
        <v>110</v>
      </c>
      <c r="H94" s="492">
        <f>G94+'23'!H94</f>
        <v>-596</v>
      </c>
      <c r="I94" s="510"/>
      <c r="J94" s="494">
        <f>H94/DAY(B2)</f>
        <v>-24.833333333333332</v>
      </c>
      <c r="K94" s="589"/>
      <c r="L94" s="469"/>
      <c r="O94" s="496"/>
    </row>
    <row r="95" spans="1:15">
      <c r="A95" s="1283" t="s">
        <v>207</v>
      </c>
      <c r="B95" s="1284"/>
      <c r="C95" s="1285"/>
      <c r="D95" s="489"/>
      <c r="E95" s="490">
        <f>'23'!F95</f>
        <v>0</v>
      </c>
      <c r="F95" s="519"/>
      <c r="G95" s="491">
        <f>G93+G94</f>
        <v>234</v>
      </c>
      <c r="H95" s="492">
        <f>G95+'23'!H95</f>
        <v>-1488</v>
      </c>
      <c r="I95" s="510"/>
      <c r="J95" s="494">
        <f>H95/DAY(B2)</f>
        <v>-62</v>
      </c>
      <c r="K95" s="589"/>
      <c r="L95" s="469"/>
      <c r="O95" s="496"/>
    </row>
    <row r="96" spans="1:15">
      <c r="A96" s="1291" t="s">
        <v>208</v>
      </c>
      <c r="B96" s="1292"/>
      <c r="C96" s="1293"/>
      <c r="D96" s="489" t="s">
        <v>143</v>
      </c>
      <c r="E96" s="490">
        <f>'23'!F96</f>
        <v>417980</v>
      </c>
      <c r="F96" s="519">
        <v>418044</v>
      </c>
      <c r="G96" s="491">
        <f t="shared" ref="G96:G101" si="10">F96-E96</f>
        <v>64</v>
      </c>
      <c r="H96" s="492">
        <f>G96+'23'!H96</f>
        <v>-492</v>
      </c>
      <c r="I96" s="510"/>
      <c r="J96" s="494">
        <f>H96/DAY(B2)</f>
        <v>-20.5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'23'!F97</f>
        <v>103664</v>
      </c>
      <c r="F97" s="519">
        <v>103687</v>
      </c>
      <c r="G97" s="491">
        <f t="shared" si="10"/>
        <v>23</v>
      </c>
      <c r="H97" s="492">
        <f>G97+'23'!H97</f>
        <v>-162</v>
      </c>
      <c r="I97" s="510"/>
      <c r="J97" s="494">
        <f>H97/DAY(B2)</f>
        <v>-6.75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'23'!F98</f>
        <v>99223</v>
      </c>
      <c r="F98" s="519">
        <v>99257</v>
      </c>
      <c r="G98" s="491">
        <f t="shared" si="10"/>
        <v>34</v>
      </c>
      <c r="H98" s="492">
        <f>G98+'23'!H98</f>
        <v>-191</v>
      </c>
      <c r="I98" s="510"/>
      <c r="J98" s="494">
        <f>H98/DAY(B2)</f>
        <v>-7.958333333333333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'23'!F99</f>
        <v>151061</v>
      </c>
      <c r="F99" s="519">
        <v>151067</v>
      </c>
      <c r="G99" s="491">
        <f t="shared" si="10"/>
        <v>6</v>
      </c>
      <c r="H99" s="492">
        <f>G99+'23'!H99</f>
        <v>-184</v>
      </c>
      <c r="I99" s="510"/>
      <c r="J99" s="494">
        <f>H99/DAY(B2)</f>
        <v>-7.666666666666667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'23'!F100</f>
        <v>8062</v>
      </c>
      <c r="F100" s="519">
        <v>8072</v>
      </c>
      <c r="G100" s="491">
        <f t="shared" si="10"/>
        <v>10</v>
      </c>
      <c r="H100" s="492">
        <f>G100+'23'!H100</f>
        <v>-93</v>
      </c>
      <c r="I100" s="510"/>
      <c r="J100" s="494">
        <f>H100/DAY(B2)</f>
        <v>-3.875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'23'!F101</f>
        <v>5905</v>
      </c>
      <c r="F101" s="519">
        <v>5919</v>
      </c>
      <c r="G101" s="491">
        <f t="shared" si="10"/>
        <v>14</v>
      </c>
      <c r="H101" s="492">
        <f>G101+'23'!H101</f>
        <v>-72</v>
      </c>
      <c r="I101" s="510"/>
      <c r="J101" s="494">
        <f>H101/DAY(B2)</f>
        <v>-3</v>
      </c>
      <c r="K101" s="589"/>
      <c r="L101" s="469"/>
      <c r="O101" s="496"/>
    </row>
    <row r="102" spans="1:15">
      <c r="A102" s="1283" t="s">
        <v>215</v>
      </c>
      <c r="B102" s="1284"/>
      <c r="C102" s="1285"/>
      <c r="D102" s="522"/>
      <c r="E102" s="522"/>
      <c r="F102" s="522"/>
      <c r="G102" s="606">
        <f>SUM(G96:G101)</f>
        <v>151</v>
      </c>
      <c r="H102" s="492">
        <f>G102+'23'!H102</f>
        <v>-1194</v>
      </c>
      <c r="I102" s="607"/>
      <c r="J102" s="494">
        <f>H102/DAY(B2)</f>
        <v>-49.75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280" t="s">
        <v>217</v>
      </c>
      <c r="B104" s="1281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274" t="s">
        <v>218</v>
      </c>
      <c r="B105" s="1275"/>
      <c r="C105" s="622"/>
      <c r="D105" s="618" t="s">
        <v>143</v>
      </c>
      <c r="E105" s="619">
        <f>'23'!F105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2.4845833333332998</v>
      </c>
      <c r="N105" s="658"/>
      <c r="O105" s="496"/>
    </row>
    <row r="106" spans="1:15" s="540" customFormat="1">
      <c r="A106" s="1274" t="s">
        <v>76</v>
      </c>
      <c r="B106" s="1275"/>
      <c r="C106" s="622"/>
      <c r="D106" s="618" t="s">
        <v>143</v>
      </c>
      <c r="E106" s="619">
        <f>'23'!F106</f>
        <v>36383</v>
      </c>
      <c r="F106" s="623">
        <v>36393</v>
      </c>
      <c r="G106" s="619">
        <f t="shared" ref="G106:G107" si="11">F106-E106</f>
        <v>10</v>
      </c>
      <c r="H106" s="620">
        <f>SUM(G106+'1'!G77)</f>
        <v>69</v>
      </c>
      <c r="I106" s="619"/>
      <c r="J106" s="621">
        <f>H106/DAY(B2)</f>
        <v>2.875</v>
      </c>
      <c r="N106" s="658"/>
      <c r="O106" s="496"/>
    </row>
    <row r="107" spans="1:15" s="540" customFormat="1">
      <c r="A107" s="1274" t="s">
        <v>77</v>
      </c>
      <c r="B107" s="1282"/>
      <c r="C107" s="1275"/>
      <c r="D107" s="618" t="s">
        <v>143</v>
      </c>
      <c r="E107" s="619">
        <f>'23'!F107</f>
        <v>19924</v>
      </c>
      <c r="F107" s="619">
        <v>19929</v>
      </c>
      <c r="G107" s="619">
        <f t="shared" si="11"/>
        <v>5</v>
      </c>
      <c r="H107" s="620">
        <f>SUM(G107+'1'!G78)</f>
        <v>149</v>
      </c>
      <c r="I107" s="619"/>
      <c r="J107" s="621">
        <f>H107/DAY(B2)</f>
        <v>6.208333333333333</v>
      </c>
      <c r="N107" s="658"/>
      <c r="O107" s="496"/>
    </row>
    <row r="108" spans="1:15" s="540" customFormat="1">
      <c r="A108" s="1276" t="s">
        <v>201</v>
      </c>
      <c r="B108" s="1277"/>
      <c r="C108" s="622"/>
      <c r="D108" s="618"/>
      <c r="E108" s="619"/>
      <c r="F108" s="619"/>
      <c r="G108" s="619">
        <f>SUM(G105:G107)</f>
        <v>15</v>
      </c>
      <c r="H108" s="620">
        <f>SUM(G108+'1'!G79)</f>
        <v>158</v>
      </c>
      <c r="I108" s="619"/>
      <c r="J108" s="621">
        <f>H108/DAY(B2)</f>
        <v>6.583333333333333</v>
      </c>
      <c r="N108" s="658"/>
      <c r="O108" s="496"/>
    </row>
    <row r="109" spans="1:15" s="540" customFormat="1">
      <c r="A109" s="1272" t="s">
        <v>78</v>
      </c>
      <c r="B109" s="1273"/>
      <c r="C109" s="622"/>
      <c r="D109" s="618" t="s">
        <v>143</v>
      </c>
      <c r="E109" s="619">
        <f>'23'!F109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274" t="s">
        <v>219</v>
      </c>
      <c r="B110" s="1275"/>
      <c r="C110" s="622"/>
      <c r="D110" s="618" t="s">
        <v>143</v>
      </c>
      <c r="E110" s="619">
        <f>'23'!F110</f>
        <v>66507</v>
      </c>
      <c r="F110" s="619">
        <v>66579</v>
      </c>
      <c r="G110" s="619">
        <f>F110-E110</f>
        <v>72</v>
      </c>
      <c r="H110" s="620">
        <f>SUM(G110+'1'!G81)</f>
        <v>237.56000000005588</v>
      </c>
      <c r="I110" s="619"/>
      <c r="J110" s="621">
        <f>H110/DAY(B2)</f>
        <v>9.8983333333356622</v>
      </c>
      <c r="N110" s="658"/>
      <c r="O110" s="496"/>
    </row>
    <row r="111" spans="1:15" s="540" customFormat="1">
      <c r="A111" s="1274" t="s">
        <v>220</v>
      </c>
      <c r="B111" s="1275"/>
      <c r="C111" s="622"/>
      <c r="D111" s="618" t="s">
        <v>143</v>
      </c>
      <c r="E111" s="619">
        <f>'23'!F111</f>
        <v>33759</v>
      </c>
      <c r="F111" s="619">
        <v>33790</v>
      </c>
      <c r="G111" s="619">
        <f t="shared" ref="G111:G112" si="12">F111-E111</f>
        <v>31</v>
      </c>
      <c r="H111" s="620">
        <f>SUM(G111+'1'!G82)</f>
        <v>44.279999999998836</v>
      </c>
      <c r="I111" s="619"/>
      <c r="J111" s="621">
        <f>H111/DAY(B2)</f>
        <v>1.8449999999999516</v>
      </c>
      <c r="N111" s="658"/>
      <c r="O111" s="496"/>
    </row>
    <row r="112" spans="1:15" s="540" customFormat="1">
      <c r="A112" s="1274" t="s">
        <v>221</v>
      </c>
      <c r="B112" s="1275"/>
      <c r="C112" s="622"/>
      <c r="D112" s="618" t="s">
        <v>143</v>
      </c>
      <c r="E112" s="619">
        <f>'23'!F112</f>
        <v>4622</v>
      </c>
      <c r="F112" s="619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12.708333333333334</v>
      </c>
      <c r="N112" s="658"/>
      <c r="O112" s="496"/>
    </row>
    <row r="113" spans="1:15" s="540" customFormat="1">
      <c r="A113" s="1278" t="s">
        <v>109</v>
      </c>
      <c r="B113" s="1279"/>
      <c r="C113" s="622"/>
      <c r="D113" s="618"/>
      <c r="E113" s="619">
        <f>'23'!F113</f>
        <v>0</v>
      </c>
      <c r="F113" s="619"/>
      <c r="G113" s="619">
        <f>SUM(G110:G112)</f>
        <v>103</v>
      </c>
      <c r="H113" s="620">
        <f>SUM(G113+'1'!G84)</f>
        <v>912</v>
      </c>
      <c r="I113" s="619"/>
      <c r="J113" s="621">
        <f>H113/DAY(B2)</f>
        <v>38</v>
      </c>
      <c r="N113" s="658"/>
      <c r="O113" s="496"/>
    </row>
    <row r="114" spans="1:15" s="540" customFormat="1">
      <c r="A114" s="1272" t="s">
        <v>222</v>
      </c>
      <c r="B114" s="1273"/>
      <c r="C114" s="622"/>
      <c r="D114" s="618"/>
      <c r="E114" s="619"/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74" t="s">
        <v>223</v>
      </c>
      <c r="B115" s="1275"/>
      <c r="C115" s="624"/>
      <c r="D115" s="618" t="s">
        <v>143</v>
      </c>
      <c r="E115" s="619">
        <f>'23'!F115</f>
        <v>12341</v>
      </c>
      <c r="F115" s="623">
        <v>12353</v>
      </c>
      <c r="G115" s="623">
        <f>F115-E115</f>
        <v>12</v>
      </c>
      <c r="H115" s="620">
        <f>SUM(G115+'1'!G92)</f>
        <v>12</v>
      </c>
      <c r="I115" s="619"/>
      <c r="J115" s="621">
        <f>H115/DAY(B2)</f>
        <v>0.5</v>
      </c>
      <c r="N115" s="658"/>
      <c r="O115" s="496"/>
    </row>
    <row r="116" spans="1:15" s="540" customFormat="1">
      <c r="A116" s="1274" t="s">
        <v>224</v>
      </c>
      <c r="B116" s="1275"/>
      <c r="C116" s="624"/>
      <c r="D116" s="618" t="s">
        <v>143</v>
      </c>
      <c r="E116" s="619">
        <f>'23'!F116</f>
        <v>8751</v>
      </c>
      <c r="F116" s="623">
        <v>8757</v>
      </c>
      <c r="G116" s="623">
        <f t="shared" ref="G116:G117" si="13">F116-E116</f>
        <v>6</v>
      </c>
      <c r="H116" s="620">
        <f>SUM(G116+'1'!G93)</f>
        <v>141</v>
      </c>
      <c r="I116" s="619"/>
      <c r="J116" s="621">
        <f>H116/DAY(B2)</f>
        <v>5.875</v>
      </c>
      <c r="N116" s="658"/>
      <c r="O116" s="496"/>
    </row>
    <row r="117" spans="1:15" s="540" customForma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7.125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18</v>
      </c>
      <c r="H118" s="620">
        <f>SUM(G118+'1'!G96)</f>
        <v>88</v>
      </c>
      <c r="I118" s="623"/>
      <c r="J118" s="621">
        <f>H118/DAY(B2)</f>
        <v>3.6666666666666665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184</v>
      </c>
      <c r="H119" s="620">
        <f>SUM(G119+'1'!G97)</f>
        <v>218</v>
      </c>
      <c r="I119" s="629"/>
      <c r="J119" s="631">
        <f>H119/DAY(B2)</f>
        <v>9.0833333333333339</v>
      </c>
      <c r="N119" s="664"/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145</v>
      </c>
      <c r="H120" s="620">
        <f>SUM(G120+'1'!G99)</f>
        <v>151</v>
      </c>
      <c r="I120" s="629"/>
      <c r="J120" s="631">
        <f>H120/DAY(B2)</f>
        <v>6.291666666666667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103</v>
      </c>
      <c r="H121" s="620">
        <f>SUM(G121+'1'!G101)</f>
        <v>118</v>
      </c>
      <c r="I121" s="629"/>
      <c r="J121" s="631">
        <f>H121/DAY(B2)</f>
        <v>4.916666666666667</v>
      </c>
      <c r="N121" s="664"/>
      <c r="O121" s="496"/>
    </row>
    <row r="122" spans="1:15" s="540" customFormat="1">
      <c r="A122" s="1271"/>
      <c r="B122" s="1268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286" t="s">
        <v>229</v>
      </c>
      <c r="B123" s="1287"/>
      <c r="C123" s="1288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'23'!F124</f>
        <v>845900.72</v>
      </c>
      <c r="F124" s="507">
        <v>846155</v>
      </c>
      <c r="G124" s="491">
        <f t="shared" ref="G124:G128" si="14">F124-E124</f>
        <v>254.28000000002794</v>
      </c>
      <c r="H124" s="492">
        <f>G124+'23'!H124</f>
        <v>-1811</v>
      </c>
      <c r="I124" s="607"/>
      <c r="J124" s="494">
        <f>H124/DAY(B2)</f>
        <v>-75.458333333333329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'23'!F125</f>
        <v>73583.399999999994</v>
      </c>
      <c r="F125" s="635">
        <v>73583</v>
      </c>
      <c r="G125" s="491">
        <f t="shared" si="14"/>
        <v>-0.39999999999417923</v>
      </c>
      <c r="H125" s="492">
        <f>G125+'23'!H125</f>
        <v>-0.39999999999417923</v>
      </c>
      <c r="I125" s="607"/>
      <c r="J125" s="494">
        <f>H125/DAY(B2)</f>
        <v>-1.6666666666424135E-2</v>
      </c>
      <c r="K125" s="589"/>
      <c r="L125" s="469"/>
      <c r="O125" s="496"/>
    </row>
    <row r="126" spans="1:15">
      <c r="A126" s="1297" t="s">
        <v>232</v>
      </c>
      <c r="B126" s="1298"/>
      <c r="C126" s="1299"/>
      <c r="D126" s="489" t="s">
        <v>140</v>
      </c>
      <c r="E126" s="490">
        <f>'23'!F126</f>
        <v>150689.21</v>
      </c>
      <c r="F126" s="507">
        <v>150777</v>
      </c>
      <c r="G126" s="491">
        <f t="shared" si="14"/>
        <v>87.790000000008149</v>
      </c>
      <c r="H126" s="492">
        <f>G126+'23'!H126</f>
        <v>-544</v>
      </c>
      <c r="I126" s="607"/>
      <c r="J126" s="494">
        <f>H126/DAY(B2)</f>
        <v>-22.666666666666668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'23'!F127</f>
        <v>32964.699999999997</v>
      </c>
      <c r="F127" s="635">
        <v>33015</v>
      </c>
      <c r="G127" s="491">
        <f t="shared" si="14"/>
        <v>50.30000000000291</v>
      </c>
      <c r="H127" s="492">
        <f>G127+'23'!H127</f>
        <v>-273</v>
      </c>
      <c r="I127" s="607"/>
      <c r="J127" s="494">
        <f>H127/DAY(B2)</f>
        <v>-11.375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'23'!F128</f>
        <v>9090.9</v>
      </c>
      <c r="F128" s="635">
        <v>9095</v>
      </c>
      <c r="G128" s="491">
        <f t="shared" si="14"/>
        <v>4.1000000000003638</v>
      </c>
      <c r="H128" s="492">
        <f>G128+'23'!H128</f>
        <v>-18</v>
      </c>
      <c r="I128" s="510"/>
      <c r="J128" s="494">
        <f>H128/DAY(B2)</f>
        <v>-0.75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553.92999999995482</v>
      </c>
      <c r="H129" s="492">
        <f>G129+'23'!H129</f>
        <v>17273.399999999994</v>
      </c>
      <c r="I129" s="510"/>
      <c r="J129" s="494">
        <f>H129/DAY(B2)</f>
        <v>719.7249999999998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'23'!F131</f>
        <v>0</v>
      </c>
      <c r="F131" s="519">
        <v>0</v>
      </c>
      <c r="G131" s="491">
        <f t="shared" ref="G131:G141" si="15">F131-E131</f>
        <v>0</v>
      </c>
      <c r="H131" s="492">
        <f>G131+'23'!H131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'23'!F132</f>
        <v>0</v>
      </c>
      <c r="F132" s="519">
        <v>0</v>
      </c>
      <c r="G132" s="491">
        <f t="shared" si="15"/>
        <v>0</v>
      </c>
      <c r="H132" s="492">
        <f>G132+'23'!H132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1082">
        <f>'23'!F133</f>
        <v>40619.050000000003</v>
      </c>
      <c r="F133" s="640">
        <v>40619</v>
      </c>
      <c r="G133" s="599">
        <f t="shared" si="15"/>
        <v>-5.0000000002910383E-2</v>
      </c>
      <c r="H133" s="492">
        <f>G133+'23'!H133</f>
        <v>0</v>
      </c>
      <c r="I133" s="510"/>
      <c r="J133" s="494">
        <f>H133/DAY(B2)</f>
        <v>0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1082">
        <f>'23'!F134</f>
        <v>454.53</v>
      </c>
      <c r="F134" s="640">
        <v>464.38</v>
      </c>
      <c r="G134" s="599">
        <f t="shared" si="15"/>
        <v>9.8500000000000227</v>
      </c>
      <c r="H134" s="492">
        <f>G134+'23'!H134</f>
        <v>-109.62</v>
      </c>
      <c r="I134" s="510">
        <f>G131+G132+G133+G134</f>
        <v>9.7999999999971124</v>
      </c>
      <c r="J134" s="494">
        <f>H134/DAY(B2)</f>
        <v>-4.5674999999999999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1082">
        <f>'23'!F135</f>
        <v>42362.11</v>
      </c>
      <c r="F135" s="640">
        <v>42386</v>
      </c>
      <c r="G135" s="599">
        <f t="shared" si="15"/>
        <v>23.889999999999418</v>
      </c>
      <c r="H135" s="492">
        <f>G135+'23'!H135</f>
        <v>47.889999999999418</v>
      </c>
      <c r="I135" s="510"/>
      <c r="J135" s="494">
        <f>H135/DAY(B2)</f>
        <v>1.9954166666666424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1082">
        <f>'23'!F136</f>
        <v>32874.050000000003</v>
      </c>
      <c r="F136" s="640">
        <v>32874</v>
      </c>
      <c r="G136" s="599">
        <f t="shared" si="15"/>
        <v>-5.0000000002910383E-2</v>
      </c>
      <c r="H136" s="492">
        <f>G136+'23'!H136</f>
        <v>12.94999999999709</v>
      </c>
      <c r="I136" s="510"/>
      <c r="J136" s="494">
        <f>H136/DAY(B2)</f>
        <v>0.53958333333321207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1082">
        <f>'23'!F137</f>
        <v>23058.720000000001</v>
      </c>
      <c r="F137" s="640">
        <v>23066.67</v>
      </c>
      <c r="G137" s="599">
        <f t="shared" si="15"/>
        <v>7.9499999999970896</v>
      </c>
      <c r="H137" s="492">
        <f>G137+'23'!H137</f>
        <v>-39.890000000003056</v>
      </c>
      <c r="I137" s="510">
        <f>G135+G136+G137</f>
        <v>31.789999999993597</v>
      </c>
      <c r="J137" s="494">
        <f>H137/DAY(B2)</f>
        <v>-1.6620833333334606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'23'!F138</f>
        <v>25099.16</v>
      </c>
      <c r="F138" s="640">
        <v>25099</v>
      </c>
      <c r="G138" s="491">
        <f t="shared" si="15"/>
        <v>-0.15999999999985448</v>
      </c>
      <c r="H138" s="492">
        <f>G138+'23'!H138</f>
        <v>7.8400000000001455</v>
      </c>
      <c r="I138" s="510"/>
      <c r="J138" s="494">
        <f>H138/DAY(B2)</f>
        <v>0.32666666666667271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'23'!F139</f>
        <v>70516.600000000006</v>
      </c>
      <c r="F139" s="640">
        <v>70517</v>
      </c>
      <c r="G139" s="491">
        <f t="shared" si="15"/>
        <v>0.39999999999417923</v>
      </c>
      <c r="H139" s="492">
        <f>G139+'23'!H139</f>
        <v>15.399999999994179</v>
      </c>
      <c r="I139" s="510">
        <f>G138+G139</f>
        <v>0.23999999999432475</v>
      </c>
      <c r="J139" s="494">
        <f>H139/DAY(B2)</f>
        <v>0.64166666666642413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'23'!F140</f>
        <v>2247.77</v>
      </c>
      <c r="F140" s="519">
        <v>2247.77</v>
      </c>
      <c r="G140" s="491">
        <f t="shared" si="15"/>
        <v>0</v>
      </c>
      <c r="H140" s="492">
        <f>G140+'23'!H140</f>
        <v>-63.789999999999964</v>
      </c>
      <c r="I140" s="641"/>
      <c r="J140" s="494">
        <f>H140/DAY(B2)</f>
        <v>-2.6579166666666652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'23'!F141</f>
        <v>4742.3500000000004</v>
      </c>
      <c r="F141" s="519">
        <v>4751.18</v>
      </c>
      <c r="G141" s="491">
        <f t="shared" si="15"/>
        <v>8.8299999999999272</v>
      </c>
      <c r="H141" s="492">
        <f>G141+'23'!H141</f>
        <v>-2.819999999999709</v>
      </c>
      <c r="I141" s="641"/>
      <c r="J141" s="494">
        <f>H141/DAY(B2)</f>
        <v>-0.11749999999998788</v>
      </c>
      <c r="O141" s="496"/>
    </row>
    <row r="142" spans="1:15">
      <c r="A142" s="1289" t="s">
        <v>249</v>
      </c>
      <c r="B142" s="1290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1" t="s">
        <v>250</v>
      </c>
      <c r="B143" s="1292"/>
      <c r="C143" s="1293"/>
      <c r="D143" s="489" t="s">
        <v>131</v>
      </c>
      <c r="E143" s="489"/>
      <c r="F143" s="489"/>
      <c r="G143" s="492">
        <f>G35+G43+G49+G57</f>
        <v>5861.8099999998813</v>
      </c>
      <c r="H143" s="492">
        <f>G143+'23'!H143</f>
        <v>-43323.119999999995</v>
      </c>
      <c r="I143" s="510"/>
      <c r="J143" s="494">
        <f>H143/DAY(B2)</f>
        <v>-1805.1299999999999</v>
      </c>
      <c r="K143" s="589"/>
      <c r="L143" s="469"/>
      <c r="O143" s="496"/>
    </row>
    <row r="144" spans="1:15">
      <c r="A144" s="1291" t="s">
        <v>251</v>
      </c>
      <c r="B144" s="1292"/>
      <c r="C144" s="1293"/>
      <c r="D144" s="489" t="s">
        <v>24</v>
      </c>
      <c r="E144" s="476"/>
      <c r="F144" s="476"/>
      <c r="G144" s="642">
        <f>G143/G7</f>
        <v>0.25212086021504865</v>
      </c>
      <c r="H144" s="492">
        <f>G144+'23'!H144</f>
        <v>-1.6941952394087483</v>
      </c>
      <c r="I144" s="643"/>
      <c r="J144" s="494">
        <f>H144/DAY(B2)</f>
        <v>-7.0591468308697849E-2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490"/>
      <c r="G145" s="492">
        <f>G41+G42+G55+G56</f>
        <v>7305.1499999999942</v>
      </c>
      <c r="H145" s="492">
        <f>G145+'23'!H145</f>
        <v>-48435.450000000012</v>
      </c>
      <c r="I145" s="510"/>
      <c r="J145" s="494">
        <f>H145/DAY(B2)</f>
        <v>-2018.1437500000004</v>
      </c>
      <c r="K145" s="589"/>
      <c r="L145" s="469"/>
      <c r="O145" s="496"/>
    </row>
    <row r="146" spans="1:15">
      <c r="A146" s="1291" t="s">
        <v>253</v>
      </c>
      <c r="B146" s="1292"/>
      <c r="C146" s="1293"/>
      <c r="D146" s="489" t="s">
        <v>24</v>
      </c>
      <c r="E146" s="490"/>
      <c r="F146" s="490"/>
      <c r="G146" s="642">
        <f>G145/G7</f>
        <v>0.31419999999999976</v>
      </c>
      <c r="H146" s="492">
        <f>G146+'23'!H146</f>
        <v>-1.9019658163008117</v>
      </c>
      <c r="I146" s="643"/>
      <c r="J146" s="494">
        <f>H146/DAY(B2)</f>
        <v>-7.9248575679200489E-2</v>
      </c>
      <c r="K146" s="589"/>
      <c r="L146" s="469"/>
      <c r="O146" s="496"/>
    </row>
    <row r="147" spans="1:15">
      <c r="A147" s="1291" t="s">
        <v>254</v>
      </c>
      <c r="B147" s="1292"/>
      <c r="C147" s="1293"/>
      <c r="D147" s="489" t="s">
        <v>131</v>
      </c>
      <c r="E147" s="490"/>
      <c r="F147" s="490"/>
      <c r="G147" s="492">
        <f>G39+G53</f>
        <v>3817.4199999999837</v>
      </c>
      <c r="H147" s="492">
        <f>G147+'23'!H147</f>
        <v>-26562</v>
      </c>
      <c r="I147" s="644"/>
      <c r="J147" s="494">
        <f>H147/DAY(B2)</f>
        <v>-1106.75</v>
      </c>
      <c r="K147" s="589"/>
      <c r="L147" s="469"/>
      <c r="O147" s="496"/>
    </row>
    <row r="148" spans="1:15">
      <c r="A148" s="1291" t="s">
        <v>255</v>
      </c>
      <c r="B148" s="1292"/>
      <c r="C148" s="1293"/>
      <c r="D148" s="489" t="s">
        <v>24</v>
      </c>
      <c r="E148" s="490"/>
      <c r="F148" s="490"/>
      <c r="G148" s="642">
        <f>G147/G7</f>
        <v>0.16419010752688101</v>
      </c>
      <c r="H148" s="492">
        <f>G148+'23'!H148</f>
        <v>-1.0275736403572664</v>
      </c>
      <c r="I148" s="644"/>
      <c r="J148" s="494">
        <f>H148/DAY(B2)</f>
        <v>-4.2815568348219431E-2</v>
      </c>
      <c r="O148" s="496"/>
    </row>
    <row r="149" spans="1:15">
      <c r="A149" s="1291" t="s">
        <v>256</v>
      </c>
      <c r="B149" s="1292"/>
      <c r="C149" s="1293"/>
      <c r="D149" s="489" t="s">
        <v>182</v>
      </c>
      <c r="E149" s="490"/>
      <c r="F149" s="490"/>
      <c r="G149" s="492">
        <f>G38+G52</f>
        <v>1604.3600000000442</v>
      </c>
      <c r="H149" s="492">
        <f>G149+'23'!H149</f>
        <v>-11400</v>
      </c>
      <c r="I149" s="510"/>
      <c r="J149" s="494">
        <f>H149/DAY(B2)</f>
        <v>-475</v>
      </c>
      <c r="K149" s="645"/>
      <c r="O149" s="496"/>
    </row>
    <row r="150" spans="1:15">
      <c r="A150" s="1291" t="s">
        <v>257</v>
      </c>
      <c r="B150" s="1292"/>
      <c r="C150" s="1293"/>
      <c r="D150" s="489" t="s">
        <v>24</v>
      </c>
      <c r="E150" s="490"/>
      <c r="F150" s="490"/>
      <c r="G150" s="642">
        <f>G149/G7</f>
        <v>6.9004731182797596E-2</v>
      </c>
      <c r="H150" s="492">
        <f>G150+'23'!H150</f>
        <v>-0.43872482744491503</v>
      </c>
      <c r="I150" s="644"/>
      <c r="J150" s="494">
        <f>H150/DAY(B2)</f>
        <v>-1.8280201143538125E-2</v>
      </c>
      <c r="O150" s="496"/>
    </row>
    <row r="151" spans="1:15">
      <c r="A151" s="1291" t="s">
        <v>258</v>
      </c>
      <c r="B151" s="1292"/>
      <c r="C151" s="1293"/>
      <c r="D151" s="489" t="s">
        <v>182</v>
      </c>
      <c r="E151" s="490"/>
      <c r="F151" s="490"/>
      <c r="G151" s="492">
        <f>G36+G50</f>
        <v>1677.2100000000501</v>
      </c>
      <c r="H151" s="492">
        <f>G151+'23'!H151</f>
        <v>-12907</v>
      </c>
      <c r="I151" s="644"/>
      <c r="J151" s="494">
        <f>H151/DAY(B2)</f>
        <v>-537.79166666666663</v>
      </c>
      <c r="O151" s="496"/>
    </row>
    <row r="152" spans="1:15">
      <c r="A152" s="1291" t="s">
        <v>259</v>
      </c>
      <c r="B152" s="1292"/>
      <c r="C152" s="1293"/>
      <c r="D152" s="489" t="s">
        <v>24</v>
      </c>
      <c r="E152" s="490"/>
      <c r="F152" s="490"/>
      <c r="G152" s="642">
        <f>G151/G7</f>
        <v>7.2138064516131181E-2</v>
      </c>
      <c r="H152" s="492">
        <f>G152+'23'!H152</f>
        <v>-0.50285382275557888</v>
      </c>
      <c r="I152" s="510"/>
      <c r="J152" s="494">
        <f>H152/DAY(B2)</f>
        <v>-2.0952242614815788E-2</v>
      </c>
      <c r="O152" s="496"/>
    </row>
    <row r="153" spans="1:15">
      <c r="A153" s="1291" t="s">
        <v>260</v>
      </c>
      <c r="B153" s="1292"/>
      <c r="C153" s="1293"/>
      <c r="D153" s="489" t="s">
        <v>182</v>
      </c>
      <c r="E153" s="490"/>
      <c r="F153" s="490"/>
      <c r="G153" s="492">
        <f>G37+G51</f>
        <v>1631.9700000000012</v>
      </c>
      <c r="H153" s="492">
        <f>G153+'23'!H153</f>
        <v>-11491</v>
      </c>
      <c r="I153" s="510"/>
      <c r="J153" s="494">
        <f>H153/DAY(B2)</f>
        <v>-478.79166666666669</v>
      </c>
      <c r="O153" s="496"/>
    </row>
    <row r="154" spans="1:15" ht="21" thickBot="1">
      <c r="A154" s="1294" t="s">
        <v>261</v>
      </c>
      <c r="B154" s="1295"/>
      <c r="C154" s="1296"/>
      <c r="D154" s="646" t="s">
        <v>24</v>
      </c>
      <c r="E154" s="647"/>
      <c r="F154" s="647"/>
      <c r="G154" s="648">
        <f>G153/G7</f>
        <v>7.0192258064516178E-2</v>
      </c>
      <c r="H154" s="492">
        <f>G154+'23'!H154</f>
        <v>-0.44670503738008066</v>
      </c>
      <c r="I154" s="649"/>
      <c r="J154" s="650">
        <f>H154/DAY(B2)</f>
        <v>-1.8612709890836694E-2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'23'!F161</f>
        <v>42691.89</v>
      </c>
      <c r="F161" s="665">
        <v>42768</v>
      </c>
      <c r="G161" s="491">
        <f t="shared" ref="G161:G164" si="16">F161-E161</f>
        <v>76.110000000000582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'23'!F162</f>
        <v>118372.16</v>
      </c>
      <c r="F162" s="665">
        <v>118856</v>
      </c>
      <c r="G162" s="491">
        <f t="shared" si="16"/>
        <v>483.83999999999651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'23'!F163</f>
        <v>65919.34</v>
      </c>
      <c r="F163" s="665">
        <v>66116</v>
      </c>
      <c r="G163" s="491">
        <f t="shared" si="16"/>
        <v>196.66000000000349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'23'!F164</f>
        <v>7068.86</v>
      </c>
      <c r="F164" s="665">
        <v>7075</v>
      </c>
      <c r="G164" s="491">
        <f t="shared" si="16"/>
        <v>6.1400000000003274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'23'!F165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'23'!F166</f>
        <v>0</v>
      </c>
      <c r="F166" s="572">
        <f t="shared" ref="F166:F172" si="18">F63</f>
        <v>0</v>
      </c>
      <c r="G166" s="491">
        <f t="shared" si="17"/>
        <v>0</v>
      </c>
    </row>
    <row r="167" spans="1:7" ht="21.75" customHeight="1">
      <c r="A167" s="1266" t="s">
        <v>98</v>
      </c>
      <c r="B167" s="1266"/>
      <c r="C167" s="1266"/>
      <c r="D167" s="489" t="s">
        <v>186</v>
      </c>
      <c r="E167" s="490">
        <f>'23'!F167</f>
        <v>178897.63</v>
      </c>
      <c r="F167" s="572">
        <f t="shared" si="18"/>
        <v>179237</v>
      </c>
      <c r="G167" s="491">
        <f t="shared" si="17"/>
        <v>339.36999999999534</v>
      </c>
    </row>
    <row r="168" spans="1:7" ht="21.75" customHeight="1">
      <c r="A168" s="1266" t="s">
        <v>99</v>
      </c>
      <c r="B168" s="1266"/>
      <c r="C168" s="1266"/>
      <c r="D168" s="489" t="s">
        <v>186</v>
      </c>
      <c r="E168" s="490">
        <f>'23'!F168</f>
        <v>179109.65</v>
      </c>
      <c r="F168" s="572">
        <f t="shared" si="18"/>
        <v>179514</v>
      </c>
      <c r="G168" s="491">
        <f t="shared" si="17"/>
        <v>404.35000000000582</v>
      </c>
    </row>
    <row r="169" spans="1:7" ht="21.75" customHeight="1">
      <c r="A169" s="1266" t="s">
        <v>100</v>
      </c>
      <c r="B169" s="1266"/>
      <c r="C169" s="1266"/>
      <c r="D169" s="489" t="s">
        <v>186</v>
      </c>
      <c r="E169" s="490">
        <f>'23'!F169</f>
        <v>77414.350000000006</v>
      </c>
      <c r="F169" s="572">
        <f t="shared" si="18"/>
        <v>77824</v>
      </c>
      <c r="G169" s="491">
        <f t="shared" si="17"/>
        <v>409.64999999999418</v>
      </c>
    </row>
    <row r="170" spans="1:7">
      <c r="A170" s="1266" t="s">
        <v>101</v>
      </c>
      <c r="B170" s="1266"/>
      <c r="C170" s="1266"/>
      <c r="D170" s="489" t="s">
        <v>186</v>
      </c>
      <c r="E170" s="490">
        <f>'23'!F170</f>
        <v>275930.27</v>
      </c>
      <c r="F170" s="572">
        <f t="shared" si="18"/>
        <v>276482</v>
      </c>
      <c r="G170" s="491">
        <f t="shared" si="17"/>
        <v>551.72999999998137</v>
      </c>
    </row>
    <row r="171" spans="1:7" ht="24" customHeight="1">
      <c r="A171" s="1266" t="s">
        <v>102</v>
      </c>
      <c r="B171" s="1266"/>
      <c r="C171" s="1266"/>
      <c r="D171" s="489" t="s">
        <v>186</v>
      </c>
      <c r="E171" s="490">
        <f>'23'!F171</f>
        <v>85321</v>
      </c>
      <c r="F171" s="572">
        <f t="shared" si="18"/>
        <v>85321</v>
      </c>
      <c r="G171" s="491">
        <f t="shared" si="17"/>
        <v>0</v>
      </c>
    </row>
    <row r="172" spans="1:7">
      <c r="A172" s="1266" t="s">
        <v>103</v>
      </c>
      <c r="B172" s="1266"/>
      <c r="C172" s="1266"/>
      <c r="D172" s="489" t="s">
        <v>186</v>
      </c>
      <c r="E172" s="490">
        <f>'23'!F172</f>
        <v>93836.67</v>
      </c>
      <c r="F172" s="572">
        <f t="shared" si="18"/>
        <v>94148</v>
      </c>
      <c r="G172" s="491">
        <f t="shared" si="17"/>
        <v>311.33000000000175</v>
      </c>
    </row>
    <row r="173" spans="1:7" ht="29.25">
      <c r="A173" s="1228"/>
      <c r="B173" s="1191"/>
      <c r="C173" s="436"/>
      <c r="D173" s="174"/>
      <c r="E173" s="490"/>
      <c r="G173" s="656">
        <f>SUM(G161:G172)</f>
        <v>2779.1799999999794</v>
      </c>
    </row>
    <row r="174" spans="1:7">
      <c r="A174" s="1266" t="s">
        <v>338</v>
      </c>
      <c r="B174" s="1266"/>
      <c r="C174" s="1266"/>
      <c r="D174" s="489" t="s">
        <v>186</v>
      </c>
      <c r="E174" s="619">
        <v>19110.3</v>
      </c>
      <c r="F174" s="619">
        <v>19114</v>
      </c>
      <c r="G174" s="491">
        <f t="shared" ref="G174:G176" si="19">F174-E174</f>
        <v>3.7000000000007276</v>
      </c>
    </row>
    <row r="175" spans="1:7">
      <c r="A175" s="1267" t="s">
        <v>338</v>
      </c>
      <c r="B175" s="1268"/>
      <c r="C175" s="641"/>
      <c r="D175" s="489" t="s">
        <v>186</v>
      </c>
      <c r="E175" s="619">
        <v>70482.3</v>
      </c>
      <c r="F175" s="619">
        <v>70488</v>
      </c>
      <c r="G175" s="491">
        <f t="shared" si="19"/>
        <v>5.6999999999970896</v>
      </c>
    </row>
    <row r="176" spans="1:7">
      <c r="A176" s="1267" t="s">
        <v>339</v>
      </c>
      <c r="B176" s="1268"/>
      <c r="D176" s="489" t="s">
        <v>186</v>
      </c>
      <c r="E176" s="619">
        <v>27750</v>
      </c>
      <c r="F176" s="619">
        <v>27755</v>
      </c>
      <c r="G176" s="491">
        <f t="shared" si="19"/>
        <v>5</v>
      </c>
    </row>
    <row r="177" spans="1:15" ht="18.75" customHeight="1">
      <c r="A177" s="1267"/>
      <c r="B177" s="1268"/>
      <c r="D177" s="489"/>
      <c r="E177" s="490"/>
      <c r="F177" s="619"/>
      <c r="G177" s="491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0"/>
  <sheetViews>
    <sheetView view="pageBreakPreview" topLeftCell="B114" zoomScale="95" zoomScaleNormal="49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1119" customWidth="1"/>
    <col min="7" max="7" width="18.4414062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8" style="456" bestFit="1" customWidth="1"/>
    <col min="16" max="16384" width="22.33203125" style="456"/>
  </cols>
  <sheetData>
    <row r="1" spans="1:15" ht="22.5">
      <c r="A1" s="1309" t="s">
        <v>214</v>
      </c>
      <c r="B1" s="1310"/>
      <c r="C1" s="1310"/>
      <c r="D1" s="1310"/>
      <c r="E1" s="1310"/>
      <c r="F1" s="1310"/>
      <c r="G1" s="1310"/>
      <c r="H1" s="1310"/>
      <c r="I1" s="1310"/>
      <c r="J1" s="1311"/>
    </row>
    <row r="2" spans="1:15">
      <c r="A2" s="457" t="s">
        <v>333</v>
      </c>
      <c r="B2" s="727">
        <v>44037</v>
      </c>
      <c r="C2" s="458" t="s">
        <v>68</v>
      </c>
      <c r="D2" s="670">
        <v>0.74</v>
      </c>
      <c r="E2" s="460"/>
      <c r="F2" s="1104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58">
        <v>28</v>
      </c>
      <c r="E3" s="1318" t="s">
        <v>120</v>
      </c>
      <c r="F3" s="1319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670">
        <v>0.8</v>
      </c>
      <c r="E4" s="472"/>
      <c r="F4" s="108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1105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12" t="s">
        <v>129</v>
      </c>
      <c r="B6" s="1313"/>
      <c r="C6" s="1314"/>
      <c r="D6" s="483"/>
      <c r="E6" s="483"/>
      <c r="F6" s="1104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'24'!F7</f>
        <v>1151388</v>
      </c>
      <c r="F7" s="106">
        <f>E7+23250</f>
        <v>1174638</v>
      </c>
      <c r="G7" s="491">
        <f>F7-E7</f>
        <v>23250</v>
      </c>
      <c r="H7" s="492">
        <f>G7+'24'!H7</f>
        <v>566816</v>
      </c>
      <c r="I7" s="493">
        <f>'1'!I7</f>
        <v>12000</v>
      </c>
      <c r="J7" s="494">
        <f>H7/DAY(B2)</f>
        <v>22672.639999999999</v>
      </c>
      <c r="K7" s="495"/>
      <c r="L7" s="469"/>
      <c r="N7" s="668">
        <f>G7/G8</f>
        <v>1.0055358532998875</v>
      </c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'24'!F8</f>
        <v>458812</v>
      </c>
      <c r="F8" s="126">
        <v>481934</v>
      </c>
      <c r="G8" s="501">
        <f>F8-E8</f>
        <v>23122</v>
      </c>
      <c r="H8" s="492">
        <f>G8+'24'!H8</f>
        <v>-133663</v>
      </c>
      <c r="I8" s="502">
        <f>'1'!I8</f>
        <v>12000</v>
      </c>
      <c r="J8" s="494">
        <f>H8/DAY(B2)</f>
        <v>-5346.52</v>
      </c>
      <c r="K8" s="495">
        <v>1375467</v>
      </c>
      <c r="L8" s="503">
        <v>1667461</v>
      </c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'24'!F9</f>
        <v>2545522</v>
      </c>
      <c r="F9" s="1106">
        <v>2567814</v>
      </c>
      <c r="G9" s="491">
        <f t="shared" ref="G9:G12" si="0">F9-E9</f>
        <v>22292</v>
      </c>
      <c r="H9" s="492">
        <f>G9+'24'!H9</f>
        <v>-128821</v>
      </c>
      <c r="I9" s="508">
        <f>I8-J8</f>
        <v>17346.52</v>
      </c>
      <c r="J9" s="494">
        <f>H9/DAY(B2)</f>
        <v>-5152.84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'24'!F10</f>
        <v>2606.5500000000002</v>
      </c>
      <c r="F10" s="1106">
        <v>2606.5500000000002</v>
      </c>
      <c r="G10" s="491">
        <f t="shared" si="0"/>
        <v>0</v>
      </c>
      <c r="H10" s="492">
        <f>G10+'24'!H10</f>
        <v>-0.15000000000009095</v>
      </c>
      <c r="I10" s="510"/>
      <c r="J10" s="494">
        <f>H10/DAY(B2)</f>
        <v>-6.0000000000036378E-3</v>
      </c>
      <c r="K10" s="509"/>
      <c r="L10" s="469">
        <f>L8-K8</f>
        <v>291994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1082">
        <v>37000</v>
      </c>
      <c r="G11" s="491">
        <f t="shared" si="0"/>
        <v>0</v>
      </c>
      <c r="H11" s="492">
        <f>G11+'24'!H11</f>
        <v>0</v>
      </c>
      <c r="I11" s="510"/>
      <c r="J11" s="494">
        <f>H11/DAY(B2)</f>
        <v>0</v>
      </c>
      <c r="K11" s="509"/>
      <c r="L11" s="469"/>
      <c r="N11" s="669">
        <f>G7*N7</f>
        <v>23378.708589222384</v>
      </c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1106">
        <v>40010</v>
      </c>
      <c r="G12" s="491">
        <f t="shared" si="0"/>
        <v>0</v>
      </c>
      <c r="H12" s="492">
        <f>G12+'24'!H12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1082"/>
      <c r="G13" s="513">
        <f>G9+G10+G11+G12</f>
        <v>22292</v>
      </c>
      <c r="H13" s="492">
        <f>G13+'24'!H13</f>
        <v>-171505.15000000002</v>
      </c>
      <c r="I13" s="514">
        <f>G7-G13</f>
        <v>958</v>
      </c>
      <c r="J13" s="494">
        <f>H13/DAY(B2)</f>
        <v>-6860.206000000001</v>
      </c>
      <c r="K13" s="509"/>
      <c r="L13" s="469">
        <f>L10-H7</f>
        <v>-274822</v>
      </c>
      <c r="O13" s="496"/>
    </row>
    <row r="14" spans="1:15">
      <c r="A14" s="1315" t="s">
        <v>138</v>
      </c>
      <c r="B14" s="1316"/>
      <c r="C14" s="1317"/>
      <c r="D14" s="484"/>
      <c r="E14" s="484"/>
      <c r="F14" s="588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'24'!F15</f>
        <v>1751259</v>
      </c>
      <c r="F15" s="351">
        <f>E15+950</f>
        <v>1752209</v>
      </c>
      <c r="G15" s="666">
        <f>(F15-E15)</f>
        <v>950</v>
      </c>
      <c r="H15" s="492">
        <f>G15+'24'!H15</f>
        <v>22655</v>
      </c>
      <c r="I15" s="493">
        <f>'1'!I15</f>
        <v>800</v>
      </c>
      <c r="J15" s="494">
        <f>H15/DAY(B2)</f>
        <v>906.2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1106"/>
      <c r="G16" s="491"/>
      <c r="H16" s="524"/>
      <c r="I16" s="525">
        <f>I15-J15</f>
        <v>-106.20000000000005</v>
      </c>
      <c r="J16" s="526"/>
      <c r="K16" s="509"/>
      <c r="L16" s="469"/>
      <c r="O16" s="496">
        <f>580-990</f>
        <v>-410</v>
      </c>
    </row>
    <row r="17" spans="1:15">
      <c r="A17" s="1315" t="s">
        <v>141</v>
      </c>
      <c r="B17" s="1316"/>
      <c r="C17" s="1317"/>
      <c r="D17" s="484"/>
      <c r="E17" s="484"/>
      <c r="F17" s="588"/>
      <c r="G17" s="527"/>
      <c r="H17" s="484"/>
      <c r="I17" s="484"/>
      <c r="J17" s="485"/>
      <c r="K17" s="509"/>
      <c r="L17" s="469"/>
      <c r="O17" s="1001">
        <f>O16*3</f>
        <v>-1230</v>
      </c>
    </row>
    <row r="18" spans="1:15">
      <c r="A18" s="1291" t="s">
        <v>142</v>
      </c>
      <c r="B18" s="1292"/>
      <c r="C18" s="1293"/>
      <c r="D18" s="489" t="s">
        <v>143</v>
      </c>
      <c r="E18" s="490">
        <f>'24'!F18</f>
        <v>11</v>
      </c>
      <c r="F18" s="640">
        <v>16</v>
      </c>
      <c r="G18" s="513">
        <f>F18*10</f>
        <v>160</v>
      </c>
      <c r="H18" s="492">
        <f>G18+'24'!H18</f>
        <v>3840</v>
      </c>
      <c r="I18" s="493">
        <f>'1'!I18</f>
        <v>65</v>
      </c>
      <c r="J18" s="494">
        <f>H18/DAY(B2)</f>
        <v>153.6</v>
      </c>
      <c r="K18" s="509"/>
      <c r="L18" s="469"/>
      <c r="O18" s="496"/>
    </row>
    <row r="19" spans="1:15">
      <c r="A19" s="1291" t="s">
        <v>70</v>
      </c>
      <c r="B19" s="1292"/>
      <c r="C19" s="1293"/>
      <c r="D19" s="489" t="s">
        <v>143</v>
      </c>
      <c r="E19" s="490">
        <f>'24'!F19</f>
        <v>144870</v>
      </c>
      <c r="F19" s="640">
        <f>E19+60</f>
        <v>144930</v>
      </c>
      <c r="G19" s="491">
        <f t="shared" ref="G19" si="1">F19-E19</f>
        <v>60</v>
      </c>
      <c r="H19" s="492">
        <f>G19+'24'!H19</f>
        <v>1540</v>
      </c>
      <c r="I19" s="528"/>
      <c r="J19" s="494">
        <f>H19/DAY(B2)</f>
        <v>61.6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1107"/>
      <c r="G20" s="530">
        <f>G18+G19</f>
        <v>220</v>
      </c>
      <c r="H20" s="492">
        <f>G20+'24'!H20</f>
        <v>5380</v>
      </c>
      <c r="I20" s="531">
        <f>I18-J20</f>
        <v>-150.19999999999999</v>
      </c>
      <c r="J20" s="494">
        <f>H20/DAY(B2)</f>
        <v>215.2</v>
      </c>
      <c r="K20" s="509"/>
      <c r="L20" s="469"/>
      <c r="O20" s="496"/>
    </row>
    <row r="21" spans="1:15">
      <c r="A21" s="1315" t="s">
        <v>145</v>
      </c>
      <c r="B21" s="1316"/>
      <c r="C21" s="1317"/>
      <c r="D21" s="484"/>
      <c r="E21" s="484"/>
      <c r="F21" s="588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999">
        <v>2970</v>
      </c>
      <c r="F22" s="640">
        <v>2970</v>
      </c>
      <c r="G22" s="1000">
        <f t="shared" ref="G22" si="2">(F22-E22)</f>
        <v>0</v>
      </c>
      <c r="H22" s="492">
        <f>G22+'24'!H22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'24'!F23</f>
        <v>2000</v>
      </c>
      <c r="F23" s="640">
        <v>2000</v>
      </c>
      <c r="G23" s="513">
        <v>0</v>
      </c>
      <c r="H23" s="492">
        <f>G23+'24'!H23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'24'!F24</f>
        <v>4970</v>
      </c>
      <c r="F24" s="1108">
        <v>4970</v>
      </c>
      <c r="G24" s="513">
        <v>0</v>
      </c>
      <c r="H24" s="492">
        <f>G24+'24'!H24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12" t="s">
        <v>150</v>
      </c>
      <c r="B25" s="1313"/>
      <c r="C25" s="1314"/>
      <c r="D25" s="483"/>
      <c r="E25" s="483"/>
      <c r="F25" s="1104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1109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23122</v>
      </c>
      <c r="F27" s="1038">
        <v>9</v>
      </c>
      <c r="G27" s="551">
        <f>E27*F27</f>
        <v>208098</v>
      </c>
      <c r="H27" s="492">
        <f>G27+'24'!H27</f>
        <v>-1202965.1099999996</v>
      </c>
      <c r="I27" s="552"/>
      <c r="J27" s="494">
        <f>H27/DAY(B2)</f>
        <v>-48118.604399999982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G28+'24'!H28</f>
        <v>1210947.5</v>
      </c>
      <c r="I28" s="553"/>
      <c r="J28" s="494">
        <f>H28/DAY(B2)</f>
        <v>48437.9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1110">
        <v>69</v>
      </c>
      <c r="G29" s="551">
        <f>E29*F29</f>
        <v>0</v>
      </c>
      <c r="H29" s="492">
        <f>G29+'24'!H29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60</v>
      </c>
      <c r="F30" s="1110">
        <v>146</v>
      </c>
      <c r="G30" s="551">
        <f>E30*F30</f>
        <v>8760</v>
      </c>
      <c r="H30" s="492">
        <f>G30+'24'!H30</f>
        <v>224840</v>
      </c>
      <c r="I30" s="553"/>
      <c r="J30" s="494">
        <f>H30/DAY(B2)</f>
        <v>8993.6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1110">
        <v>80</v>
      </c>
      <c r="G31" s="551">
        <f>E31*F31</f>
        <v>12800</v>
      </c>
      <c r="H31" s="492">
        <f>G31+'24'!H31</f>
        <v>307200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1107"/>
      <c r="G32" s="558">
        <f>G27+G28+G29+G30+G31</f>
        <v>279058</v>
      </c>
      <c r="H32" s="492">
        <f>G32+'24'!H32</f>
        <v>540022.3899999999</v>
      </c>
      <c r="I32" s="559"/>
      <c r="J32" s="494">
        <f>H32/DAY(B2)</f>
        <v>21600.895599999996</v>
      </c>
      <c r="K32" s="509"/>
      <c r="L32" s="539"/>
      <c r="N32" s="658"/>
      <c r="O32" s="496">
        <f>340*3</f>
        <v>1020</v>
      </c>
    </row>
    <row r="33" spans="1:15" ht="18.75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>
        <f>O32/3</f>
        <v>340</v>
      </c>
    </row>
    <row r="34" spans="1:15">
      <c r="A34" s="560" t="s">
        <v>162</v>
      </c>
      <c r="B34" s="561"/>
      <c r="C34" s="561"/>
      <c r="D34" s="484"/>
      <c r="E34" s="483"/>
      <c r="F34" s="1104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'24'!F35</f>
        <v>1058597</v>
      </c>
      <c r="F35" s="1083">
        <v>1058597</v>
      </c>
      <c r="G35" s="491">
        <f t="shared" ref="G35:G46" si="3">F35-E35</f>
        <v>0</v>
      </c>
      <c r="H35" s="492">
        <f>G35+'24'!H35</f>
        <v>0.69999999995343387</v>
      </c>
      <c r="I35" s="490"/>
      <c r="J35" s="494">
        <f>H35/DAY(B2)</f>
        <v>2.7999999998137355E-2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'24'!F36</f>
        <v>41051</v>
      </c>
      <c r="F36" s="1083">
        <v>41769</v>
      </c>
      <c r="G36" s="491">
        <f t="shared" si="3"/>
        <v>718</v>
      </c>
      <c r="H36" s="492">
        <f>G36+'24'!H36</f>
        <v>-5029</v>
      </c>
      <c r="I36" s="490"/>
      <c r="J36" s="494">
        <f>H36/DAY(B2)</f>
        <v>-201.16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'24'!F37</f>
        <v>214682</v>
      </c>
      <c r="F37" s="1083">
        <v>216360</v>
      </c>
      <c r="G37" s="491">
        <f t="shared" si="3"/>
        <v>1678</v>
      </c>
      <c r="H37" s="492">
        <f>G37+'24'!H37</f>
        <v>-9813</v>
      </c>
      <c r="I37" s="490"/>
      <c r="J37" s="494">
        <f>H37/DAY(B2)</f>
        <v>-392.52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'24'!F38</f>
        <v>237159</v>
      </c>
      <c r="F38" s="1105">
        <v>238841</v>
      </c>
      <c r="G38" s="491">
        <f t="shared" si="3"/>
        <v>1682</v>
      </c>
      <c r="H38" s="492">
        <f>G38+'24'!H38</f>
        <v>-9718</v>
      </c>
      <c r="I38" s="490"/>
      <c r="J38" s="494">
        <f>H38/DAY(B2)</f>
        <v>-388.72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'24'!F39</f>
        <v>493956</v>
      </c>
      <c r="F39" s="1083">
        <v>497728</v>
      </c>
      <c r="G39" s="491">
        <f t="shared" si="3"/>
        <v>3772</v>
      </c>
      <c r="H39" s="492">
        <f>G39+'24'!H39</f>
        <v>-22790</v>
      </c>
      <c r="I39" s="490"/>
      <c r="J39" s="494">
        <f>H39/DAY(B2)</f>
        <v>-911.6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'24'!F40</f>
        <v>16874</v>
      </c>
      <c r="F40" s="1083">
        <v>17514</v>
      </c>
      <c r="G40" s="491">
        <f t="shared" si="3"/>
        <v>640</v>
      </c>
      <c r="H40" s="492">
        <f>G40+'24'!H40</f>
        <v>-2659</v>
      </c>
      <c r="I40" s="490"/>
      <c r="J40" s="494">
        <f>H40/DAY(B2)</f>
        <v>-106.36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'24'!F41</f>
        <v>366839.55</v>
      </c>
      <c r="F41" s="1083">
        <v>366840</v>
      </c>
      <c r="G41" s="491">
        <f t="shared" si="3"/>
        <v>0.45000000001164153</v>
      </c>
      <c r="H41" s="492">
        <f>G41+'24'!H41</f>
        <v>0</v>
      </c>
      <c r="I41" s="490"/>
      <c r="J41" s="494">
        <f>H41/DAY(B2)</f>
        <v>0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'24'!F42</f>
        <v>92947</v>
      </c>
      <c r="F42" s="1083">
        <v>94767</v>
      </c>
      <c r="G42" s="491">
        <f t="shared" si="3"/>
        <v>1820</v>
      </c>
      <c r="H42" s="492">
        <f>G42+'24'!H42</f>
        <v>-20745</v>
      </c>
      <c r="I42" s="490"/>
      <c r="J42" s="494">
        <f>H42/DAY(B2)</f>
        <v>-829.8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'24'!F43</f>
        <v>1185173</v>
      </c>
      <c r="F43" s="1083">
        <v>1188043</v>
      </c>
      <c r="G43" s="491">
        <f t="shared" si="3"/>
        <v>2870</v>
      </c>
      <c r="H43" s="492">
        <f>G43+'24'!H43</f>
        <v>-16418</v>
      </c>
      <c r="I43" s="490"/>
      <c r="J43" s="494">
        <f>H43/DAY(B2)</f>
        <v>-656.72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'24'!F44</f>
        <v>0</v>
      </c>
      <c r="F44" s="1083">
        <v>0</v>
      </c>
      <c r="G44" s="491">
        <f t="shared" si="3"/>
        <v>0</v>
      </c>
      <c r="H44" s="492">
        <f>G44+'24'!H44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'24'!F45</f>
        <v>614</v>
      </c>
      <c r="F45" s="1083">
        <v>614</v>
      </c>
      <c r="G45" s="491">
        <f t="shared" si="3"/>
        <v>0</v>
      </c>
      <c r="H45" s="492">
        <f>G45+'24'!H45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'24'!F46</f>
        <v>187</v>
      </c>
      <c r="F46" s="1083">
        <v>187</v>
      </c>
      <c r="G46" s="491">
        <f t="shared" si="3"/>
        <v>0</v>
      </c>
      <c r="H46" s="492">
        <f>G46+'24'!H46</f>
        <v>-0.49000000000000909</v>
      </c>
      <c r="I46" s="490"/>
      <c r="J46" s="494">
        <f>H46/DAY(B2)</f>
        <v>-1.9600000000000364E-2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1104"/>
      <c r="G47" s="513">
        <f>G35+G36+G37+G38+G39+G40+G41+G42+G43+G44+G45+G46</f>
        <v>13180.450000000012</v>
      </c>
      <c r="H47" s="492">
        <f>G47+'24'!H47</f>
        <v>-86370.30000000009</v>
      </c>
      <c r="I47" s="490"/>
      <c r="J47" s="494">
        <f>H47/DAY(B2)</f>
        <v>-3454.8120000000035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1104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1082">
        <f>'24'!F49</f>
        <v>303071</v>
      </c>
      <c r="F49" s="1083">
        <v>306064</v>
      </c>
      <c r="G49" s="666">
        <f t="shared" ref="G49:G58" si="4">F49-E49</f>
        <v>2993</v>
      </c>
      <c r="H49" s="492">
        <f>G49+'24'!H49</f>
        <v>-20974</v>
      </c>
      <c r="I49" s="490"/>
      <c r="J49" s="494">
        <f>H49/DAY(B2)</f>
        <v>-838.96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'24'!F50</f>
        <v>562765</v>
      </c>
      <c r="F50" s="1083">
        <v>563903</v>
      </c>
      <c r="G50" s="491">
        <f t="shared" si="4"/>
        <v>1138</v>
      </c>
      <c r="H50" s="492">
        <f>G50+'24'!H50</f>
        <v>-6914</v>
      </c>
      <c r="I50" s="490"/>
      <c r="J50" s="494">
        <f>H50/DAY(B2)</f>
        <v>-276.56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'24'!F51</f>
        <v>144640</v>
      </c>
      <c r="F51" s="1083">
        <v>144639.87</v>
      </c>
      <c r="G51" s="491">
        <f t="shared" si="4"/>
        <v>-0.13000000000465661</v>
      </c>
      <c r="H51" s="492">
        <f>G51+'24'!H51</f>
        <v>-0.13000000000465661</v>
      </c>
      <c r="I51" s="490"/>
      <c r="J51" s="494">
        <f>H51/DAY(B2)</f>
        <v>-5.2000000001862648E-3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'24'!F52</f>
        <v>539606</v>
      </c>
      <c r="F52" s="1083">
        <v>539606.06999999995</v>
      </c>
      <c r="G52" s="491">
        <f t="shared" si="4"/>
        <v>6.9999999948777258E-2</v>
      </c>
      <c r="H52" s="492">
        <f>G52+'24'!H52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'24'!F53</f>
        <v>434232</v>
      </c>
      <c r="F53" s="1083">
        <v>434232</v>
      </c>
      <c r="G53" s="491">
        <f t="shared" si="4"/>
        <v>0</v>
      </c>
      <c r="H53" s="492">
        <f>G53+'24'!H53</f>
        <v>-0.33000000001629815</v>
      </c>
      <c r="I53" s="490"/>
      <c r="J53" s="494">
        <f>H53/DAY(B2)</f>
        <v>-1.3200000000651926E-2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'24'!F54</f>
        <v>14967</v>
      </c>
      <c r="F54" s="1083">
        <v>14967</v>
      </c>
      <c r="G54" s="491">
        <f t="shared" si="4"/>
        <v>0</v>
      </c>
      <c r="H54" s="492">
        <f>G54+'24'!H54</f>
        <v>0</v>
      </c>
      <c r="I54" s="490"/>
      <c r="J54" s="494">
        <f>H54/DAY(B2)</f>
        <v>0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'24'!F55</f>
        <v>209892</v>
      </c>
      <c r="F55" s="1083">
        <v>215539</v>
      </c>
      <c r="G55" s="491">
        <f t="shared" si="4"/>
        <v>5647</v>
      </c>
      <c r="H55" s="492">
        <f>G55+'24'!H55</f>
        <v>-21647</v>
      </c>
      <c r="I55" s="490"/>
      <c r="J55" s="494">
        <f>H55/DAY(B2)</f>
        <v>-865.88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'24'!F56</f>
        <v>649273</v>
      </c>
      <c r="F56" s="1083">
        <v>649273</v>
      </c>
      <c r="G56" s="491">
        <f t="shared" si="4"/>
        <v>0</v>
      </c>
      <c r="H56" s="492">
        <f>G56+'24'!H56</f>
        <v>-99</v>
      </c>
      <c r="I56" s="490"/>
      <c r="J56" s="494">
        <f>H56/DAY(B2)</f>
        <v>-3.96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'24'!F57</f>
        <v>7711</v>
      </c>
      <c r="F57" s="1083">
        <v>7711</v>
      </c>
      <c r="G57" s="491">
        <f t="shared" si="4"/>
        <v>0</v>
      </c>
      <c r="H57" s="492">
        <f>G57+'24'!H57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'24'!F58</f>
        <v>58256</v>
      </c>
      <c r="F58" s="1083">
        <v>58492</v>
      </c>
      <c r="G58" s="491">
        <f t="shared" si="4"/>
        <v>236</v>
      </c>
      <c r="H58" s="492">
        <f>G58+'24'!H58</f>
        <v>-1399</v>
      </c>
      <c r="I58" s="490"/>
      <c r="J58" s="494">
        <f>H58/DAY(B2)</f>
        <v>-55.96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1104"/>
      <c r="G59" s="513">
        <f>G49+G50+G51+G52+G53+G54+G55+G56+G57+G58</f>
        <v>10013.939999999944</v>
      </c>
      <c r="H59" s="492">
        <f>G59+'24'!H59</f>
        <v>-51033.390000000072</v>
      </c>
      <c r="I59" s="490">
        <f>G7-G60</f>
        <v>55.610000000044238</v>
      </c>
      <c r="J59" s="494">
        <f>H59/DAY(B2)</f>
        <v>-2041.3356000000028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1104"/>
      <c r="G60" s="513">
        <f>G47+G59</f>
        <v>23194.389999999956</v>
      </c>
      <c r="H60" s="492">
        <f>G60+'24'!H60</f>
        <v>-131826.36000000013</v>
      </c>
      <c r="I60" s="490">
        <f>G13-G60</f>
        <v>-902.38999999995576</v>
      </c>
      <c r="J60" s="494">
        <f>H60/DAY(B2)</f>
        <v>-5273.0544000000054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1111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'24'!F62</f>
        <v>20419</v>
      </c>
      <c r="F62" s="1112">
        <v>20419</v>
      </c>
      <c r="G62" s="491">
        <f t="shared" ref="G62:G69" si="5">F62-E62</f>
        <v>0</v>
      </c>
      <c r="H62" s="492">
        <f>G62+'24'!H62</f>
        <v>1.9999999967694748E-3</v>
      </c>
      <c r="I62" s="573"/>
      <c r="J62" s="494">
        <f>H62/DAY(B2)</f>
        <v>7.9999999870778991E-5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'24'!F63</f>
        <v>0</v>
      </c>
      <c r="F63" s="1112">
        <v>0</v>
      </c>
      <c r="G63" s="491">
        <f t="shared" si="5"/>
        <v>0</v>
      </c>
      <c r="H63" s="492">
        <f>G63+'24'!H63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297" t="s">
        <v>98</v>
      </c>
      <c r="B64" s="1298"/>
      <c r="C64" s="1299"/>
      <c r="D64" s="489" t="s">
        <v>186</v>
      </c>
      <c r="E64" s="490">
        <f>'24'!F64</f>
        <v>179237</v>
      </c>
      <c r="F64" s="640">
        <v>179586</v>
      </c>
      <c r="G64" s="491">
        <f t="shared" si="5"/>
        <v>349</v>
      </c>
      <c r="H64" s="492">
        <f>G64+'24'!H64</f>
        <v>-2274</v>
      </c>
      <c r="I64" s="510"/>
      <c r="J64" s="494">
        <f>H64/DAY(B2)</f>
        <v>-90.96</v>
      </c>
      <c r="K64" s="509"/>
      <c r="L64" s="469"/>
      <c r="O64" s="496"/>
    </row>
    <row r="65" spans="1:15">
      <c r="A65" s="1297" t="s">
        <v>99</v>
      </c>
      <c r="B65" s="1298"/>
      <c r="C65" s="1299"/>
      <c r="D65" s="489" t="s">
        <v>186</v>
      </c>
      <c r="E65" s="490">
        <f>'24'!F65</f>
        <v>179514</v>
      </c>
      <c r="F65" s="640">
        <v>179904</v>
      </c>
      <c r="G65" s="491">
        <f t="shared" si="5"/>
        <v>390</v>
      </c>
      <c r="H65" s="492">
        <f>G65+'24'!H65</f>
        <v>-2305</v>
      </c>
      <c r="I65" s="528"/>
      <c r="J65" s="494">
        <f>H65/DAY(B2)</f>
        <v>-92.2</v>
      </c>
      <c r="K65" s="509"/>
      <c r="L65" s="469"/>
      <c r="O65" s="496"/>
    </row>
    <row r="66" spans="1:15">
      <c r="A66" s="1297" t="s">
        <v>100</v>
      </c>
      <c r="B66" s="1298"/>
      <c r="C66" s="1299"/>
      <c r="D66" s="489" t="s">
        <v>186</v>
      </c>
      <c r="E66" s="490">
        <f>'24'!F66</f>
        <v>77824</v>
      </c>
      <c r="F66" s="640">
        <v>78223</v>
      </c>
      <c r="G66" s="491">
        <f t="shared" si="5"/>
        <v>399</v>
      </c>
      <c r="H66" s="492">
        <f>G66+'24'!H66</f>
        <v>-2449</v>
      </c>
      <c r="I66" s="510"/>
      <c r="J66" s="494">
        <f>H66/DAY(B2)</f>
        <v>-97.96</v>
      </c>
      <c r="K66" s="509"/>
      <c r="L66" s="469"/>
      <c r="O66" s="496"/>
    </row>
    <row r="67" spans="1:15">
      <c r="A67" s="1297" t="s">
        <v>101</v>
      </c>
      <c r="B67" s="1298"/>
      <c r="C67" s="1299"/>
      <c r="D67" s="489" t="s">
        <v>186</v>
      </c>
      <c r="E67" s="490">
        <f>'24'!F67</f>
        <v>276482</v>
      </c>
      <c r="F67" s="640">
        <v>276979</v>
      </c>
      <c r="G67" s="491">
        <f t="shared" si="5"/>
        <v>497</v>
      </c>
      <c r="H67" s="492">
        <f>G67+'24'!H67</f>
        <v>-3079</v>
      </c>
      <c r="I67" s="528"/>
      <c r="J67" s="494">
        <f>H67/DAY(B2)</f>
        <v>-123.16</v>
      </c>
      <c r="K67" s="516"/>
      <c r="L67" s="469"/>
      <c r="O67" s="496"/>
    </row>
    <row r="68" spans="1:15">
      <c r="A68" s="1297" t="s">
        <v>102</v>
      </c>
      <c r="B68" s="1298"/>
      <c r="C68" s="1299"/>
      <c r="D68" s="489" t="s">
        <v>186</v>
      </c>
      <c r="E68" s="490">
        <f>'24'!F68</f>
        <v>85321</v>
      </c>
      <c r="F68" s="640">
        <v>85321</v>
      </c>
      <c r="G68" s="491">
        <f t="shared" si="5"/>
        <v>0</v>
      </c>
      <c r="H68" s="492">
        <f>G68+'24'!H68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297" t="s">
        <v>103</v>
      </c>
      <c r="B69" s="1298"/>
      <c r="C69" s="1299"/>
      <c r="D69" s="489" t="s">
        <v>186</v>
      </c>
      <c r="E69" s="490">
        <f>'24'!F69</f>
        <v>94148</v>
      </c>
      <c r="F69" s="640">
        <v>94476</v>
      </c>
      <c r="G69" s="491">
        <f t="shared" si="5"/>
        <v>328</v>
      </c>
      <c r="H69" s="492">
        <f>G69+'24'!H69</f>
        <v>-2081</v>
      </c>
      <c r="I69" s="574"/>
      <c r="J69" s="494">
        <f>H69/DAY(B2)</f>
        <v>-83.24</v>
      </c>
      <c r="K69" s="576"/>
      <c r="L69" s="469"/>
      <c r="O69" s="496"/>
    </row>
    <row r="70" spans="1:15">
      <c r="A70" s="1306" t="s">
        <v>188</v>
      </c>
      <c r="B70" s="1307"/>
      <c r="C70" s="1308"/>
      <c r="D70" s="489" t="s">
        <v>186</v>
      </c>
      <c r="E70" s="577"/>
      <c r="F70" s="1113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>
      <c r="A72" s="1297" t="s">
        <v>190</v>
      </c>
      <c r="B72" s="1298"/>
      <c r="C72" s="1299"/>
      <c r="D72" s="489" t="s">
        <v>186</v>
      </c>
      <c r="E72" s="490">
        <f>'24'!F72</f>
        <v>856522</v>
      </c>
      <c r="F72" s="581">
        <v>856532</v>
      </c>
      <c r="G72" s="491">
        <f t="shared" ref="G72:G84" si="6">F72-E72</f>
        <v>10</v>
      </c>
      <c r="H72" s="492">
        <f>G72+'24'!H72</f>
        <v>-91</v>
      </c>
      <c r="I72" s="510"/>
      <c r="J72" s="494">
        <f>H72/DAY(B2)</f>
        <v>-3.64</v>
      </c>
      <c r="K72" s="576"/>
      <c r="L72" s="469"/>
      <c r="O72" s="496"/>
    </row>
    <row r="73" spans="1:15">
      <c r="A73" s="1297" t="s">
        <v>191</v>
      </c>
      <c r="B73" s="1298"/>
      <c r="C73" s="1299"/>
      <c r="D73" s="489" t="s">
        <v>186</v>
      </c>
      <c r="E73" s="490">
        <f>'24'!F73</f>
        <v>886005</v>
      </c>
      <c r="F73" s="581">
        <v>886006</v>
      </c>
      <c r="G73" s="491">
        <f t="shared" si="6"/>
        <v>1</v>
      </c>
      <c r="H73" s="492">
        <f>G73+'24'!H73</f>
        <v>150</v>
      </c>
      <c r="I73" s="510"/>
      <c r="J73" s="494">
        <f>H73/DAY(B2)</f>
        <v>6</v>
      </c>
      <c r="K73" s="575"/>
      <c r="L73" s="469"/>
      <c r="O73" s="496"/>
    </row>
    <row r="74" spans="1:15">
      <c r="A74" s="1297" t="s">
        <v>192</v>
      </c>
      <c r="B74" s="1298"/>
      <c r="C74" s="1299"/>
      <c r="D74" s="489" t="s">
        <v>186</v>
      </c>
      <c r="E74" s="490">
        <f>'24'!F74</f>
        <v>88723</v>
      </c>
      <c r="F74" s="581">
        <v>88723</v>
      </c>
      <c r="G74" s="491">
        <f t="shared" si="6"/>
        <v>0</v>
      </c>
      <c r="H74" s="492">
        <f>G74+'24'!H74</f>
        <v>62</v>
      </c>
      <c r="I74" s="510"/>
      <c r="J74" s="494">
        <f>H74/DAY(B2)</f>
        <v>2.48</v>
      </c>
      <c r="K74" s="576"/>
      <c r="L74" s="469"/>
      <c r="O74" s="496"/>
    </row>
    <row r="75" spans="1:15">
      <c r="A75" s="1300" t="s">
        <v>193</v>
      </c>
      <c r="B75" s="1301"/>
      <c r="C75" s="1302"/>
      <c r="D75" s="489" t="s">
        <v>186</v>
      </c>
      <c r="E75" s="490">
        <f>'24'!F75</f>
        <v>19819</v>
      </c>
      <c r="F75" s="581">
        <v>19984</v>
      </c>
      <c r="G75" s="491">
        <f t="shared" si="6"/>
        <v>165</v>
      </c>
      <c r="H75" s="492">
        <f>G75+'24'!H75</f>
        <v>-963</v>
      </c>
      <c r="I75" s="510"/>
      <c r="J75" s="494">
        <f>H75/DAY(B2)</f>
        <v>-38.520000000000003</v>
      </c>
      <c r="K75" s="575"/>
      <c r="L75" s="469"/>
      <c r="O75" s="496"/>
    </row>
    <row r="76" spans="1:15">
      <c r="A76" s="1300" t="s">
        <v>194</v>
      </c>
      <c r="B76" s="1301"/>
      <c r="C76" s="1302"/>
      <c r="D76" s="489" t="s">
        <v>186</v>
      </c>
      <c r="E76" s="490">
        <f>'24'!F76</f>
        <v>10910</v>
      </c>
      <c r="F76" s="581">
        <v>10981</v>
      </c>
      <c r="G76" s="491">
        <f t="shared" si="6"/>
        <v>71</v>
      </c>
      <c r="H76" s="492">
        <f>G76+'24'!H76</f>
        <v>1055.6000000000004</v>
      </c>
      <c r="I76" s="553"/>
      <c r="J76" s="494">
        <f>H76/DAY(B2)</f>
        <v>42.224000000000018</v>
      </c>
      <c r="K76" s="575"/>
      <c r="L76" s="469"/>
      <c r="O76" s="496"/>
    </row>
    <row r="77" spans="1:15">
      <c r="A77" s="1297" t="s">
        <v>195</v>
      </c>
      <c r="B77" s="1298"/>
      <c r="C77" s="1299"/>
      <c r="D77" s="489" t="s">
        <v>186</v>
      </c>
      <c r="E77" s="490">
        <f>'24'!F77</f>
        <v>705890</v>
      </c>
      <c r="F77" s="581">
        <v>705945</v>
      </c>
      <c r="G77" s="491">
        <f t="shared" si="6"/>
        <v>55</v>
      </c>
      <c r="H77" s="492">
        <f>G77+'24'!H77</f>
        <v>-508</v>
      </c>
      <c r="I77" s="553"/>
      <c r="J77" s="494">
        <f>H77/DAY(B2)</f>
        <v>-20.32</v>
      </c>
      <c r="K77" s="575"/>
      <c r="L77" s="469"/>
      <c r="O77" s="496"/>
    </row>
    <row r="78" spans="1:15">
      <c r="A78" s="583" t="s">
        <v>196</v>
      </c>
      <c r="B78" s="767"/>
      <c r="C78" s="767"/>
      <c r="D78" s="489" t="s">
        <v>186</v>
      </c>
      <c r="E78" s="490">
        <f>'24'!F78</f>
        <v>677877</v>
      </c>
      <c r="F78" s="581">
        <v>678011</v>
      </c>
      <c r="G78" s="491">
        <f t="shared" si="6"/>
        <v>134</v>
      </c>
      <c r="H78" s="492">
        <f>G78+'24'!H78</f>
        <v>-842</v>
      </c>
      <c r="I78" s="553"/>
      <c r="J78" s="494">
        <f>H78/DAY(B2)</f>
        <v>-33.68</v>
      </c>
      <c r="K78" s="575"/>
      <c r="L78" s="469"/>
      <c r="O78" s="496"/>
    </row>
    <row r="79" spans="1:15">
      <c r="A79" s="1300" t="s">
        <v>91</v>
      </c>
      <c r="B79" s="1301"/>
      <c r="C79" s="1302"/>
      <c r="D79" s="522" t="s">
        <v>186</v>
      </c>
      <c r="E79" s="490">
        <f>'24'!F79</f>
        <v>839182</v>
      </c>
      <c r="F79" s="581">
        <v>839324</v>
      </c>
      <c r="G79" s="491">
        <f t="shared" si="6"/>
        <v>142</v>
      </c>
      <c r="H79" s="492">
        <f>G79+'24'!H79</f>
        <v>-1358</v>
      </c>
      <c r="I79" s="553"/>
      <c r="J79" s="494">
        <f>H79/DAY(B2)</f>
        <v>-54.32</v>
      </c>
      <c r="K79" s="575"/>
      <c r="L79" s="469"/>
      <c r="O79" s="496"/>
    </row>
    <row r="80" spans="1:15">
      <c r="A80" s="1300" t="s">
        <v>197</v>
      </c>
      <c r="B80" s="1301"/>
      <c r="C80" s="1302"/>
      <c r="D80" s="522" t="s">
        <v>186</v>
      </c>
      <c r="E80" s="490">
        <f>'24'!F80</f>
        <v>549161</v>
      </c>
      <c r="F80" s="581">
        <v>549604</v>
      </c>
      <c r="G80" s="491">
        <f t="shared" si="6"/>
        <v>443</v>
      </c>
      <c r="H80" s="492">
        <f>G80+'24'!H80</f>
        <v>-5602</v>
      </c>
      <c r="I80" s="553"/>
      <c r="J80" s="494">
        <f>H80/DAY(B2)</f>
        <v>-224.08</v>
      </c>
      <c r="K80" s="575"/>
      <c r="L80" s="469"/>
      <c r="O80" s="496"/>
    </row>
    <row r="81" spans="1:15">
      <c r="A81" s="1300" t="s">
        <v>198</v>
      </c>
      <c r="B81" s="1301"/>
      <c r="C81" s="1302"/>
      <c r="D81" s="522" t="s">
        <v>186</v>
      </c>
      <c r="E81" s="490">
        <f>'24'!F81</f>
        <v>647656</v>
      </c>
      <c r="F81" s="581">
        <v>647880</v>
      </c>
      <c r="G81" s="491">
        <f t="shared" si="6"/>
        <v>224</v>
      </c>
      <c r="H81" s="492">
        <f>G81+'24'!H81</f>
        <v>-1138</v>
      </c>
      <c r="I81" s="553"/>
      <c r="J81" s="494">
        <f>H81/DAY(B2)</f>
        <v>-45.52</v>
      </c>
      <c r="K81" s="575"/>
      <c r="L81" s="469"/>
      <c r="O81" s="496"/>
    </row>
    <row r="82" spans="1:15">
      <c r="A82" s="1300" t="s">
        <v>92</v>
      </c>
      <c r="B82" s="1301"/>
      <c r="C82" s="1302"/>
      <c r="D82" s="523" t="s">
        <v>131</v>
      </c>
      <c r="E82" s="490">
        <f>'24'!F82</f>
        <v>109189</v>
      </c>
      <c r="F82" s="640">
        <v>109216</v>
      </c>
      <c r="G82" s="491">
        <f t="shared" si="6"/>
        <v>27</v>
      </c>
      <c r="H82" s="492">
        <f>G82+'24'!H82</f>
        <v>-120</v>
      </c>
      <c r="I82" s="524"/>
      <c r="J82" s="494">
        <f>H82/DAY(B2)</f>
        <v>-4.8</v>
      </c>
      <c r="K82" s="575"/>
      <c r="L82" s="469"/>
      <c r="N82" s="657">
        <f>371*0.99</f>
        <v>367.29</v>
      </c>
      <c r="O82" s="496"/>
    </row>
    <row r="83" spans="1:15">
      <c r="A83" s="1300" t="s">
        <v>199</v>
      </c>
      <c r="B83" s="1301"/>
      <c r="C83" s="1302"/>
      <c r="D83" s="585" t="s">
        <v>131</v>
      </c>
      <c r="E83" s="490">
        <f>'24'!F83</f>
        <v>33153</v>
      </c>
      <c r="F83" s="1104">
        <v>33827</v>
      </c>
      <c r="G83" s="491">
        <f t="shared" si="6"/>
        <v>674</v>
      </c>
      <c r="H83" s="492">
        <f>G83+'24'!H83</f>
        <v>-1198</v>
      </c>
      <c r="I83" s="513"/>
      <c r="J83" s="494">
        <f>H83/DAY(B2)</f>
        <v>-47.92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'24'!F84</f>
        <v>541751</v>
      </c>
      <c r="F84" s="588">
        <v>542535</v>
      </c>
      <c r="G84" s="491">
        <f t="shared" si="6"/>
        <v>784</v>
      </c>
      <c r="H84" s="492">
        <f>G84+'24'!H84</f>
        <v>-4858</v>
      </c>
      <c r="I84" s="513"/>
      <c r="J84" s="494">
        <f>H84/DAY(B2)</f>
        <v>-194.32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588"/>
      <c r="G85" s="492">
        <f xml:space="preserve"> SUM(G72:G84)</f>
        <v>2730</v>
      </c>
      <c r="H85" s="492">
        <f>G85+'24'!H85</f>
        <v>-13333.999999999996</v>
      </c>
      <c r="I85" s="513"/>
      <c r="J85" s="494">
        <f>H85/DAY(B2)</f>
        <v>-533.3599999999999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'24'!F86</f>
        <v>462344</v>
      </c>
      <c r="F86" s="597">
        <v>462353</v>
      </c>
      <c r="G86" s="598">
        <f t="shared" ref="G86:G91" si="7">F86-E86</f>
        <v>9</v>
      </c>
      <c r="H86" s="598">
        <f t="shared" ref="H86:H88" si="8">G86</f>
        <v>9</v>
      </c>
      <c r="I86" s="599"/>
      <c r="J86" s="600">
        <f>H86/DAY(B2)</f>
        <v>0.36</v>
      </c>
      <c r="K86" s="601"/>
      <c r="L86" s="602"/>
      <c r="N86" s="661">
        <f>G86/0.995</f>
        <v>9.0452261306532655</v>
      </c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'24'!F87</f>
        <v>82741</v>
      </c>
      <c r="F87" s="597">
        <v>82758</v>
      </c>
      <c r="G87" s="598">
        <f t="shared" si="7"/>
        <v>17</v>
      </c>
      <c r="H87" s="598">
        <f t="shared" si="8"/>
        <v>17</v>
      </c>
      <c r="I87" s="599"/>
      <c r="J87" s="600">
        <f>H87/DAY(B2)</f>
        <v>0.68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'24'!F88</f>
        <v>158055</v>
      </c>
      <c r="F88" s="597">
        <v>158073</v>
      </c>
      <c r="G88" s="598">
        <f t="shared" si="7"/>
        <v>18</v>
      </c>
      <c r="H88" s="598">
        <f t="shared" si="8"/>
        <v>18</v>
      </c>
      <c r="I88" s="599"/>
      <c r="J88" s="600">
        <f>H88/DAY(B2)</f>
        <v>0.72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'24'!F89</f>
        <v>66767</v>
      </c>
      <c r="F89" s="597">
        <v>66779</v>
      </c>
      <c r="G89" s="598">
        <f t="shared" si="7"/>
        <v>12</v>
      </c>
      <c r="H89" s="598">
        <f>G89</f>
        <v>12</v>
      </c>
      <c r="I89" s="599"/>
      <c r="J89" s="600">
        <f>H89/DAY(B2)</f>
        <v>0.48</v>
      </c>
      <c r="K89" s="601"/>
      <c r="L89" s="602"/>
      <c r="N89" s="667">
        <f>204/205</f>
        <v>0.99512195121951219</v>
      </c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'24'!F90</f>
        <v>3430</v>
      </c>
      <c r="F90" s="597">
        <v>3432</v>
      </c>
      <c r="G90" s="598">
        <f t="shared" si="7"/>
        <v>2</v>
      </c>
      <c r="H90" s="598">
        <f>G90</f>
        <v>2</v>
      </c>
      <c r="I90" s="599"/>
      <c r="J90" s="600">
        <f>H90/DAY(B2)</f>
        <v>0.08</v>
      </c>
      <c r="K90" s="601"/>
      <c r="L90" s="602"/>
      <c r="N90" s="662"/>
      <c r="O90" s="496"/>
    </row>
    <row r="91" spans="1:15" s="1101" customFormat="1">
      <c r="A91" s="1095" t="s">
        <v>336</v>
      </c>
      <c r="B91" s="1096"/>
      <c r="C91" s="1096"/>
      <c r="D91" s="1097"/>
      <c r="E91" s="525">
        <f>'24'!F91</f>
        <v>28447</v>
      </c>
      <c r="F91" s="597">
        <v>28448</v>
      </c>
      <c r="G91" s="508">
        <f t="shared" si="7"/>
        <v>1</v>
      </c>
      <c r="H91" s="508">
        <f>G91</f>
        <v>1</v>
      </c>
      <c r="I91" s="666"/>
      <c r="J91" s="1098"/>
      <c r="K91" s="1099"/>
      <c r="L91" s="1100"/>
      <c r="N91" s="1102"/>
      <c r="O91" s="1103"/>
    </row>
    <row r="92" spans="1:15" s="593" customFormat="1">
      <c r="A92" s="604" t="s">
        <v>204</v>
      </c>
      <c r="B92" s="484"/>
      <c r="C92" s="484"/>
      <c r="D92" s="484"/>
      <c r="E92" s="484"/>
      <c r="F92" s="588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291" t="s">
        <v>205</v>
      </c>
      <c r="B93" s="1292"/>
      <c r="C93" s="1293"/>
      <c r="D93" s="489" t="s">
        <v>143</v>
      </c>
      <c r="E93" s="490">
        <f>'24'!F93</f>
        <v>249728</v>
      </c>
      <c r="F93" s="640">
        <v>249862</v>
      </c>
      <c r="G93" s="491">
        <f t="shared" ref="G93:G94" si="9">F93-E93</f>
        <v>134</v>
      </c>
      <c r="H93" s="492">
        <f>G93+'24'!H93</f>
        <v>-452</v>
      </c>
      <c r="I93" s="510"/>
      <c r="J93" s="494">
        <f>H93/DAY(B2)</f>
        <v>-18.079999999999998</v>
      </c>
      <c r="K93" s="516"/>
      <c r="L93" s="469"/>
      <c r="O93" s="496"/>
    </row>
    <row r="94" spans="1:15">
      <c r="A94" s="1291" t="s">
        <v>206</v>
      </c>
      <c r="B94" s="1292"/>
      <c r="C94" s="1293"/>
      <c r="D94" s="489" t="s">
        <v>143</v>
      </c>
      <c r="E94" s="490">
        <f>'24'!F94</f>
        <v>192302</v>
      </c>
      <c r="F94" s="640">
        <v>192369</v>
      </c>
      <c r="G94" s="491">
        <f t="shared" si="9"/>
        <v>67</v>
      </c>
      <c r="H94" s="492">
        <f>G94+'24'!H94</f>
        <v>-529</v>
      </c>
      <c r="I94" s="510"/>
      <c r="J94" s="494">
        <f>H94/DAY(B2)</f>
        <v>-21.16</v>
      </c>
      <c r="K94" s="589"/>
      <c r="L94" s="469"/>
      <c r="O94" s="496"/>
    </row>
    <row r="95" spans="1:15">
      <c r="A95" s="1283" t="s">
        <v>207</v>
      </c>
      <c r="B95" s="1284"/>
      <c r="C95" s="1285"/>
      <c r="D95" s="489"/>
      <c r="E95" s="490">
        <f>'24'!F95</f>
        <v>0</v>
      </c>
      <c r="F95" s="640"/>
      <c r="G95" s="491">
        <f>G93+G94</f>
        <v>201</v>
      </c>
      <c r="H95" s="492">
        <f>G95+'24'!H95</f>
        <v>-1287</v>
      </c>
      <c r="I95" s="510"/>
      <c r="J95" s="494">
        <f>H95/DAY(B2)</f>
        <v>-51.48</v>
      </c>
      <c r="K95" s="589"/>
      <c r="L95" s="469"/>
      <c r="O95" s="496"/>
    </row>
    <row r="96" spans="1:15">
      <c r="A96" s="1291" t="s">
        <v>208</v>
      </c>
      <c r="B96" s="1292"/>
      <c r="C96" s="1293"/>
      <c r="D96" s="489" t="s">
        <v>143</v>
      </c>
      <c r="E96" s="490">
        <f>'24'!F96</f>
        <v>418044</v>
      </c>
      <c r="F96" s="640">
        <v>418122</v>
      </c>
      <c r="G96" s="491">
        <f t="shared" ref="G96:G101" si="10">F96-E96</f>
        <v>78</v>
      </c>
      <c r="H96" s="492">
        <f>G96+'24'!H96</f>
        <v>-414</v>
      </c>
      <c r="I96" s="510"/>
      <c r="J96" s="494">
        <f>H96/DAY(B2)</f>
        <v>-16.559999999999999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'24'!F97</f>
        <v>103687</v>
      </c>
      <c r="F97" s="640">
        <v>103718</v>
      </c>
      <c r="G97" s="491">
        <f t="shared" si="10"/>
        <v>31</v>
      </c>
      <c r="H97" s="492">
        <f>G97+'24'!H97</f>
        <v>-131</v>
      </c>
      <c r="I97" s="510"/>
      <c r="J97" s="494">
        <f>H97/DAY(B2)</f>
        <v>-5.24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'24'!F98</f>
        <v>99257</v>
      </c>
      <c r="F98" s="640">
        <v>99296</v>
      </c>
      <c r="G98" s="491">
        <f t="shared" si="10"/>
        <v>39</v>
      </c>
      <c r="H98" s="492">
        <f>G98+'24'!H98</f>
        <v>-152</v>
      </c>
      <c r="I98" s="510"/>
      <c r="J98" s="494">
        <f>H98/DAY(B2)</f>
        <v>-6.08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'24'!F99</f>
        <v>151067</v>
      </c>
      <c r="F99" s="640">
        <v>151102</v>
      </c>
      <c r="G99" s="491">
        <f t="shared" si="10"/>
        <v>35</v>
      </c>
      <c r="H99" s="492">
        <f>G99+'24'!H99</f>
        <v>-149</v>
      </c>
      <c r="I99" s="510"/>
      <c r="J99" s="494">
        <f>H99/DAY(B2)</f>
        <v>-5.96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'24'!F100</f>
        <v>8072</v>
      </c>
      <c r="F100" s="640">
        <v>8089</v>
      </c>
      <c r="G100" s="491">
        <f t="shared" si="10"/>
        <v>17</v>
      </c>
      <c r="H100" s="492">
        <f>G100+'24'!H100</f>
        <v>-76</v>
      </c>
      <c r="I100" s="510"/>
      <c r="J100" s="494">
        <f>H100/DAY(B2)</f>
        <v>-3.04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'24'!F101</f>
        <v>5919</v>
      </c>
      <c r="F101" s="640">
        <v>5933</v>
      </c>
      <c r="G101" s="491">
        <f t="shared" si="10"/>
        <v>14</v>
      </c>
      <c r="H101" s="492">
        <f>G101+'24'!H101</f>
        <v>-58</v>
      </c>
      <c r="I101" s="510"/>
      <c r="J101" s="494">
        <f>H101/DAY(B2)</f>
        <v>-2.3199999999999998</v>
      </c>
      <c r="K101" s="589"/>
      <c r="L101" s="469"/>
      <c r="O101" s="496"/>
    </row>
    <row r="102" spans="1:15">
      <c r="A102" s="1283" t="s">
        <v>215</v>
      </c>
      <c r="B102" s="1284"/>
      <c r="C102" s="1285"/>
      <c r="D102" s="522"/>
      <c r="E102" s="522"/>
      <c r="F102" s="588"/>
      <c r="G102" s="606">
        <f>SUM(G96:G101)</f>
        <v>214</v>
      </c>
      <c r="H102" s="492">
        <f>G102+'24'!H102</f>
        <v>-980</v>
      </c>
      <c r="I102" s="607"/>
      <c r="J102" s="494">
        <f>H102/DAY(B2)</f>
        <v>-39.200000000000003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1114"/>
      <c r="G103" s="613"/>
      <c r="H103" s="614"/>
      <c r="I103" s="615"/>
      <c r="J103" s="616"/>
      <c r="N103" s="658"/>
      <c r="O103" s="496"/>
    </row>
    <row r="104" spans="1:15" s="540" customFormat="1">
      <c r="A104" s="1280" t="s">
        <v>217</v>
      </c>
      <c r="B104" s="1281"/>
      <c r="C104" s="617"/>
      <c r="D104" s="618"/>
      <c r="E104" s="619"/>
      <c r="F104" s="623"/>
      <c r="G104" s="619"/>
      <c r="H104" s="620"/>
      <c r="I104" s="619"/>
      <c r="J104" s="621"/>
      <c r="N104" s="658"/>
      <c r="O104" s="496"/>
    </row>
    <row r="105" spans="1:15" s="540" customFormat="1">
      <c r="A105" s="1274" t="s">
        <v>218</v>
      </c>
      <c r="B105" s="1275"/>
      <c r="C105" s="622"/>
      <c r="D105" s="618" t="s">
        <v>143</v>
      </c>
      <c r="E105" s="619">
        <f>'24'!F105</f>
        <v>7637</v>
      </c>
      <c r="F105" s="623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2.3851999999999678</v>
      </c>
      <c r="N105" s="658"/>
      <c r="O105" s="496"/>
    </row>
    <row r="106" spans="1:15" s="540" customFormat="1">
      <c r="A106" s="1274" t="s">
        <v>76</v>
      </c>
      <c r="B106" s="1275"/>
      <c r="C106" s="622"/>
      <c r="D106" s="618" t="s">
        <v>143</v>
      </c>
      <c r="E106" s="619">
        <f>'24'!F106</f>
        <v>36393</v>
      </c>
      <c r="F106" s="623">
        <v>36403</v>
      </c>
      <c r="G106" s="619">
        <f t="shared" ref="G106:G107" si="11">F106-E106</f>
        <v>10</v>
      </c>
      <c r="H106" s="620">
        <f>SUM(G106+'1'!G77)</f>
        <v>69</v>
      </c>
      <c r="I106" s="619"/>
      <c r="J106" s="621">
        <f>H106/DAY(B2)</f>
        <v>2.76</v>
      </c>
      <c r="N106" s="658"/>
      <c r="O106" s="496"/>
    </row>
    <row r="107" spans="1:15" s="540" customFormat="1">
      <c r="A107" s="1274" t="s">
        <v>77</v>
      </c>
      <c r="B107" s="1282"/>
      <c r="C107" s="1275"/>
      <c r="D107" s="618" t="s">
        <v>143</v>
      </c>
      <c r="E107" s="619">
        <f>'24'!F107</f>
        <v>19929</v>
      </c>
      <c r="F107" s="623">
        <v>19934</v>
      </c>
      <c r="G107" s="619">
        <f t="shared" si="11"/>
        <v>5</v>
      </c>
      <c r="H107" s="620">
        <f>SUM(G107+'1'!G78)</f>
        <v>149</v>
      </c>
      <c r="I107" s="619"/>
      <c r="J107" s="621">
        <f>H107/DAY(B2)</f>
        <v>5.96</v>
      </c>
      <c r="N107" s="658"/>
      <c r="O107" s="496"/>
    </row>
    <row r="108" spans="1:15" s="540" customFormat="1">
      <c r="A108" s="1276" t="s">
        <v>201</v>
      </c>
      <c r="B108" s="1277"/>
      <c r="C108" s="622"/>
      <c r="D108" s="618"/>
      <c r="E108" s="619">
        <f>'24'!F108</f>
        <v>0</v>
      </c>
      <c r="F108" s="623"/>
      <c r="G108" s="619">
        <f>SUM(G105:G107)</f>
        <v>15</v>
      </c>
      <c r="H108" s="620">
        <f>SUM(G108+'1'!G79)</f>
        <v>158</v>
      </c>
      <c r="I108" s="619"/>
      <c r="J108" s="621">
        <f>H108/DAY(B2)</f>
        <v>6.32</v>
      </c>
      <c r="N108" s="658"/>
      <c r="O108" s="496"/>
    </row>
    <row r="109" spans="1:15" s="540" customFormat="1">
      <c r="A109" s="1272" t="s">
        <v>78</v>
      </c>
      <c r="B109" s="1273"/>
      <c r="C109" s="622"/>
      <c r="D109" s="618" t="s">
        <v>143</v>
      </c>
      <c r="E109" s="619">
        <f>'24'!F109</f>
        <v>0</v>
      </c>
      <c r="F109" s="623"/>
      <c r="G109" s="619"/>
      <c r="H109" s="620"/>
      <c r="I109" s="619"/>
      <c r="J109" s="621"/>
      <c r="N109" s="658"/>
      <c r="O109" s="496"/>
    </row>
    <row r="110" spans="1:15" s="540" customFormat="1">
      <c r="A110" s="1274" t="s">
        <v>219</v>
      </c>
      <c r="B110" s="1275"/>
      <c r="C110" s="622"/>
      <c r="D110" s="618" t="s">
        <v>143</v>
      </c>
      <c r="E110" s="619">
        <f>'24'!F110</f>
        <v>66579</v>
      </c>
      <c r="F110" s="623">
        <v>66651</v>
      </c>
      <c r="G110" s="619">
        <f>F110-E110</f>
        <v>72</v>
      </c>
      <c r="H110" s="620">
        <f>SUM(G110+'1'!G81)</f>
        <v>237.56000000005588</v>
      </c>
      <c r="I110" s="619"/>
      <c r="J110" s="621">
        <f>H110/DAY(B2)</f>
        <v>9.5024000000022344</v>
      </c>
      <c r="N110" s="658"/>
      <c r="O110" s="496"/>
    </row>
    <row r="111" spans="1:15" s="540" customFormat="1">
      <c r="A111" s="1274" t="s">
        <v>220</v>
      </c>
      <c r="B111" s="1275"/>
      <c r="C111" s="622"/>
      <c r="D111" s="618" t="s">
        <v>143</v>
      </c>
      <c r="E111" s="619">
        <f>'24'!F111</f>
        <v>33790</v>
      </c>
      <c r="F111" s="623">
        <v>33827</v>
      </c>
      <c r="G111" s="619">
        <f t="shared" ref="G111:G112" si="12">F111-E111</f>
        <v>37</v>
      </c>
      <c r="H111" s="620">
        <f>SUM(G111+'1'!G82)</f>
        <v>50.279999999998836</v>
      </c>
      <c r="I111" s="619"/>
      <c r="J111" s="621">
        <f>H111/DAY(B2)</f>
        <v>2.0111999999999535</v>
      </c>
      <c r="N111" s="658"/>
      <c r="O111" s="496"/>
    </row>
    <row r="112" spans="1:15" s="540" customFormat="1">
      <c r="A112" s="1274" t="s">
        <v>221</v>
      </c>
      <c r="B112" s="1275"/>
      <c r="C112" s="622"/>
      <c r="D112" s="618" t="s">
        <v>143</v>
      </c>
      <c r="E112" s="619">
        <f>'24'!F112</f>
        <v>4622</v>
      </c>
      <c r="F112" s="623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12.2</v>
      </c>
      <c r="N112" s="658"/>
      <c r="O112" s="496"/>
    </row>
    <row r="113" spans="1:15" s="540" customFormat="1">
      <c r="A113" s="1278" t="s">
        <v>109</v>
      </c>
      <c r="B113" s="1279"/>
      <c r="C113" s="622"/>
      <c r="D113" s="618"/>
      <c r="E113" s="619">
        <f>'24'!F113</f>
        <v>0</v>
      </c>
      <c r="F113" s="623"/>
      <c r="G113" s="619">
        <f>SUM(G110:G112)</f>
        <v>109</v>
      </c>
      <c r="H113" s="620">
        <f>SUM(G113+'1'!G84)</f>
        <v>918</v>
      </c>
      <c r="I113" s="619"/>
      <c r="J113" s="621">
        <f>H113/DAY(B2)</f>
        <v>36.72</v>
      </c>
      <c r="N113" s="658"/>
      <c r="O113" s="496"/>
    </row>
    <row r="114" spans="1:15" s="540" customFormat="1">
      <c r="A114" s="1272" t="s">
        <v>222</v>
      </c>
      <c r="B114" s="1273"/>
      <c r="C114" s="622"/>
      <c r="D114" s="618"/>
      <c r="E114" s="619">
        <f>'24'!F114</f>
        <v>0</v>
      </c>
      <c r="F114" s="623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274" t="s">
        <v>223</v>
      </c>
      <c r="B115" s="1275"/>
      <c r="C115" s="624"/>
      <c r="D115" s="618" t="s">
        <v>143</v>
      </c>
      <c r="E115" s="619">
        <f>'24'!F115</f>
        <v>12353</v>
      </c>
      <c r="F115" s="623">
        <v>12372</v>
      </c>
      <c r="G115" s="623">
        <f>F115-E115</f>
        <v>19</v>
      </c>
      <c r="H115" s="620">
        <f>SUM(G115+'1'!G92)</f>
        <v>19</v>
      </c>
      <c r="I115" s="619"/>
      <c r="J115" s="621">
        <f>H115/DAY(B2)</f>
        <v>0.76</v>
      </c>
      <c r="N115" s="658"/>
      <c r="O115" s="496"/>
    </row>
    <row r="116" spans="1:15" s="540" customFormat="1">
      <c r="A116" s="1274" t="s">
        <v>224</v>
      </c>
      <c r="B116" s="1275"/>
      <c r="C116" s="624"/>
      <c r="D116" s="618" t="s">
        <v>143</v>
      </c>
      <c r="E116" s="619">
        <f>'24'!F116</f>
        <v>8757</v>
      </c>
      <c r="F116" s="623">
        <v>8772</v>
      </c>
      <c r="G116" s="623">
        <f t="shared" ref="G116:G117" si="13">F116-E116</f>
        <v>15</v>
      </c>
      <c r="H116" s="620">
        <f>SUM(G116+'1'!G93)</f>
        <v>150</v>
      </c>
      <c r="I116" s="619"/>
      <c r="J116" s="621">
        <f>H116/DAY(B2)</f>
        <v>6</v>
      </c>
      <c r="N116" s="658"/>
      <c r="O116" s="496"/>
    </row>
    <row r="117" spans="1:15" s="540" customForma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6.84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34</v>
      </c>
      <c r="H118" s="620">
        <f>SUM(G118+'1'!G96)</f>
        <v>104</v>
      </c>
      <c r="I118" s="623"/>
      <c r="J118" s="621">
        <f>H118/DAY(B2)</f>
        <v>4.16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194</v>
      </c>
      <c r="H119" s="620">
        <f>SUM(G119+'1'!G97)</f>
        <v>228</v>
      </c>
      <c r="I119" s="629"/>
      <c r="J119" s="631">
        <f>H119/DAY(B2)</f>
        <v>9.1199999999999992</v>
      </c>
      <c r="N119" s="664"/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179</v>
      </c>
      <c r="H120" s="620">
        <f>SUM(G120+'1'!G99)</f>
        <v>185</v>
      </c>
      <c r="I120" s="629"/>
      <c r="J120" s="631">
        <f>H120/DAY(B2)</f>
        <v>7.4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109</v>
      </c>
      <c r="H121" s="620">
        <f>SUM(G121+'1'!G101)</f>
        <v>124</v>
      </c>
      <c r="I121" s="629"/>
      <c r="J121" s="631">
        <f>H121/DAY(B2)</f>
        <v>4.96</v>
      </c>
      <c r="N121" s="664"/>
      <c r="O121" s="496"/>
    </row>
    <row r="122" spans="1:15" s="540" customFormat="1">
      <c r="A122" s="1271"/>
      <c r="B122" s="1268"/>
      <c r="C122" s="622"/>
      <c r="D122" s="617"/>
      <c r="E122" s="617"/>
      <c r="F122" s="1115"/>
      <c r="G122" s="617"/>
      <c r="H122" s="632"/>
      <c r="I122" s="617"/>
      <c r="J122" s="633"/>
      <c r="N122" s="658"/>
      <c r="O122" s="496"/>
    </row>
    <row r="123" spans="1:15">
      <c r="A123" s="1286" t="s">
        <v>229</v>
      </c>
      <c r="B123" s="1287"/>
      <c r="C123" s="1288"/>
      <c r="D123" s="484"/>
      <c r="E123" s="484"/>
      <c r="F123" s="588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'24'!F124</f>
        <v>846155</v>
      </c>
      <c r="F124" s="1106">
        <v>846435</v>
      </c>
      <c r="G124" s="491">
        <f t="shared" ref="G124:G128" si="14">F124-E124</f>
        <v>280</v>
      </c>
      <c r="H124" s="492">
        <f>G124+'24'!H124</f>
        <v>-1531</v>
      </c>
      <c r="I124" s="607"/>
      <c r="J124" s="494">
        <f>H124/DAY(B2)</f>
        <v>-61.24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'24'!F125</f>
        <v>73583</v>
      </c>
      <c r="F125" s="1106">
        <v>73583</v>
      </c>
      <c r="G125" s="491">
        <f t="shared" si="14"/>
        <v>0</v>
      </c>
      <c r="H125" s="492">
        <f>G125+'24'!H125</f>
        <v>-0.39999999999417923</v>
      </c>
      <c r="I125" s="607"/>
      <c r="J125" s="494">
        <f>H125/DAY(B2)</f>
        <v>-1.5999999999767169E-2</v>
      </c>
      <c r="K125" s="589"/>
      <c r="L125" s="469"/>
      <c r="O125" s="496"/>
    </row>
    <row r="126" spans="1:15">
      <c r="A126" s="1297" t="s">
        <v>232</v>
      </c>
      <c r="B126" s="1298"/>
      <c r="C126" s="1299"/>
      <c r="D126" s="489" t="s">
        <v>140</v>
      </c>
      <c r="E126" s="490">
        <f>'24'!F126</f>
        <v>150777</v>
      </c>
      <c r="F126" s="1106">
        <v>150850</v>
      </c>
      <c r="G126" s="491">
        <f t="shared" si="14"/>
        <v>73</v>
      </c>
      <c r="H126" s="492">
        <f>G126+'24'!H126</f>
        <v>-471</v>
      </c>
      <c r="I126" s="607"/>
      <c r="J126" s="494">
        <f>H126/DAY(B2)</f>
        <v>-18.84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'24'!F127</f>
        <v>33015</v>
      </c>
      <c r="F127" s="1106">
        <v>33055</v>
      </c>
      <c r="G127" s="491">
        <f t="shared" si="14"/>
        <v>40</v>
      </c>
      <c r="H127" s="492">
        <f>G127+'24'!H127</f>
        <v>-233</v>
      </c>
      <c r="I127" s="607"/>
      <c r="J127" s="494">
        <f>H127/DAY(B2)</f>
        <v>-9.32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'24'!F128</f>
        <v>9095</v>
      </c>
      <c r="F128" s="1106">
        <v>9099</v>
      </c>
      <c r="G128" s="491">
        <f t="shared" si="14"/>
        <v>4</v>
      </c>
      <c r="H128" s="492">
        <f>G128+'24'!H128</f>
        <v>-14</v>
      </c>
      <c r="I128" s="510"/>
      <c r="J128" s="494">
        <f>H128/DAY(B2)</f>
        <v>-0.56000000000000005</v>
      </c>
      <c r="K128" s="589"/>
      <c r="L128" s="469"/>
      <c r="O128" s="496"/>
    </row>
    <row r="129" spans="1:16">
      <c r="A129" s="636" t="s">
        <v>235</v>
      </c>
      <c r="B129" s="518"/>
      <c r="C129" s="518"/>
      <c r="D129" s="489"/>
      <c r="E129" s="490"/>
      <c r="F129" s="1106"/>
      <c r="G129" s="491">
        <f>G15-SUM(G124:G128)</f>
        <v>553</v>
      </c>
      <c r="H129" s="492">
        <f>G129+'24'!H129</f>
        <v>17826.399999999994</v>
      </c>
      <c r="I129" s="510"/>
      <c r="J129" s="494">
        <f>H129/DAY(B2)</f>
        <v>713.05599999999981</v>
      </c>
      <c r="K129" s="589"/>
      <c r="L129" s="469"/>
      <c r="O129" s="496"/>
    </row>
    <row r="130" spans="1:16">
      <c r="A130" s="637" t="s">
        <v>236</v>
      </c>
      <c r="B130" s="483"/>
      <c r="C130" s="483"/>
      <c r="D130" s="483"/>
      <c r="E130" s="483"/>
      <c r="F130" s="1104"/>
      <c r="G130" s="638"/>
      <c r="H130" s="638"/>
      <c r="I130" s="638"/>
      <c r="J130" s="639"/>
      <c r="O130" s="496"/>
    </row>
    <row r="131" spans="1:16">
      <c r="A131" s="517" t="s">
        <v>237</v>
      </c>
      <c r="B131" s="518"/>
      <c r="C131" s="518"/>
      <c r="D131" s="489" t="s">
        <v>238</v>
      </c>
      <c r="E131" s="490">
        <f>'24'!F131</f>
        <v>0</v>
      </c>
      <c r="F131" s="640">
        <v>0</v>
      </c>
      <c r="G131" s="491">
        <f t="shared" ref="G131:G141" si="15">F131-E131</f>
        <v>0</v>
      </c>
      <c r="H131" s="492">
        <f>G131+'24'!H131</f>
        <v>0</v>
      </c>
      <c r="I131" s="510"/>
      <c r="J131" s="494">
        <f>H131/DAY(B2)</f>
        <v>0</v>
      </c>
      <c r="O131" s="496"/>
    </row>
    <row r="132" spans="1:16">
      <c r="A132" s="517" t="s">
        <v>239</v>
      </c>
      <c r="B132" s="518"/>
      <c r="C132" s="518"/>
      <c r="D132" s="489" t="s">
        <v>238</v>
      </c>
      <c r="E132" s="490">
        <f>'24'!F132</f>
        <v>0</v>
      </c>
      <c r="F132" s="640">
        <v>0</v>
      </c>
      <c r="G132" s="491">
        <f t="shared" si="15"/>
        <v>0</v>
      </c>
      <c r="H132" s="492">
        <f>G132+'24'!H132</f>
        <v>0</v>
      </c>
      <c r="I132" s="510"/>
      <c r="J132" s="494">
        <f>H132/DAY(B2)</f>
        <v>0</v>
      </c>
      <c r="O132" s="496"/>
    </row>
    <row r="133" spans="1:16">
      <c r="A133" s="517" t="s">
        <v>240</v>
      </c>
      <c r="B133" s="518"/>
      <c r="C133" s="518"/>
      <c r="D133" s="489" t="s">
        <v>238</v>
      </c>
      <c r="E133" s="490">
        <f>'24'!F133</f>
        <v>40619</v>
      </c>
      <c r="F133" s="640">
        <v>40619</v>
      </c>
      <c r="G133" s="491">
        <f t="shared" si="15"/>
        <v>0</v>
      </c>
      <c r="H133" s="492">
        <f>G133+'24'!H133</f>
        <v>0</v>
      </c>
      <c r="I133" s="510"/>
      <c r="J133" s="494">
        <f>H133/DAY(B2)</f>
        <v>0</v>
      </c>
      <c r="O133" s="496"/>
      <c r="P133" s="456">
        <f>49-24</f>
        <v>25</v>
      </c>
    </row>
    <row r="134" spans="1:16">
      <c r="A134" s="517" t="s">
        <v>241</v>
      </c>
      <c r="B134" s="518"/>
      <c r="C134" s="518"/>
      <c r="D134" s="489" t="s">
        <v>238</v>
      </c>
      <c r="E134" s="490">
        <f>'24'!F134</f>
        <v>464.38</v>
      </c>
      <c r="F134" s="640">
        <v>474</v>
      </c>
      <c r="G134" s="491">
        <f t="shared" si="15"/>
        <v>9.6200000000000045</v>
      </c>
      <c r="H134" s="492">
        <f>G134+'24'!H134</f>
        <v>-100</v>
      </c>
      <c r="I134" s="510">
        <f>G131+G132+G133+G134</f>
        <v>9.6200000000000045</v>
      </c>
      <c r="J134" s="494">
        <f>H134/DAY(B2)</f>
        <v>-4</v>
      </c>
      <c r="O134" s="496"/>
    </row>
    <row r="135" spans="1:16">
      <c r="A135" s="517" t="s">
        <v>242</v>
      </c>
      <c r="B135" s="518"/>
      <c r="C135" s="518"/>
      <c r="D135" s="489" t="s">
        <v>238</v>
      </c>
      <c r="E135" s="490">
        <f>'24'!F135</f>
        <v>42386</v>
      </c>
      <c r="F135" s="640">
        <v>42410</v>
      </c>
      <c r="G135" s="491">
        <f t="shared" si="15"/>
        <v>24</v>
      </c>
      <c r="H135" s="492">
        <f>G135+'24'!H135</f>
        <v>71.889999999999418</v>
      </c>
      <c r="I135" s="510"/>
      <c r="J135" s="494">
        <f>H135/DAY(B2)</f>
        <v>2.8755999999999768</v>
      </c>
      <c r="O135" s="496"/>
    </row>
    <row r="136" spans="1:16">
      <c r="A136" s="517" t="s">
        <v>243</v>
      </c>
      <c r="B136" s="518"/>
      <c r="C136" s="518"/>
      <c r="D136" s="489" t="s">
        <v>238</v>
      </c>
      <c r="E136" s="490">
        <f>'24'!F136</f>
        <v>32874</v>
      </c>
      <c r="F136" s="640">
        <v>32874</v>
      </c>
      <c r="G136" s="491">
        <f t="shared" si="15"/>
        <v>0</v>
      </c>
      <c r="H136" s="492">
        <f>G136+'24'!H136</f>
        <v>12.94999999999709</v>
      </c>
      <c r="I136" s="510"/>
      <c r="J136" s="494">
        <f>H136/DAY(B2)</f>
        <v>0.51799999999988355</v>
      </c>
      <c r="O136" s="496"/>
    </row>
    <row r="137" spans="1:16">
      <c r="A137" s="517" t="s">
        <v>244</v>
      </c>
      <c r="B137" s="518"/>
      <c r="C137" s="518"/>
      <c r="D137" s="489" t="s">
        <v>238</v>
      </c>
      <c r="E137" s="490">
        <f>'24'!F137</f>
        <v>23066.67</v>
      </c>
      <c r="F137" s="640">
        <v>23076</v>
      </c>
      <c r="G137" s="491">
        <f t="shared" si="15"/>
        <v>9.3300000000017462</v>
      </c>
      <c r="H137" s="492">
        <f>G137+'24'!H137</f>
        <v>-30.56000000000131</v>
      </c>
      <c r="I137" s="510">
        <f>G135+G136+G137</f>
        <v>33.330000000001746</v>
      </c>
      <c r="J137" s="494">
        <f>H137/DAY(B2)</f>
        <v>-1.2224000000000523</v>
      </c>
      <c r="O137" s="496"/>
    </row>
    <row r="138" spans="1:16">
      <c r="A138" s="517" t="s">
        <v>245</v>
      </c>
      <c r="B138" s="518"/>
      <c r="C138" s="518"/>
      <c r="D138" s="489" t="s">
        <v>238</v>
      </c>
      <c r="E138" s="490">
        <f>'24'!F138</f>
        <v>25099</v>
      </c>
      <c r="F138" s="640">
        <v>25099</v>
      </c>
      <c r="G138" s="491">
        <f t="shared" si="15"/>
        <v>0</v>
      </c>
      <c r="H138" s="492">
        <f>G138+'24'!H138</f>
        <v>7.8400000000001455</v>
      </c>
      <c r="I138" s="510"/>
      <c r="J138" s="494">
        <f>H138/DAY(B2)</f>
        <v>0.31360000000000582</v>
      </c>
      <c r="O138" s="496"/>
    </row>
    <row r="139" spans="1:16">
      <c r="A139" s="517" t="s">
        <v>246</v>
      </c>
      <c r="B139" s="518"/>
      <c r="C139" s="518"/>
      <c r="D139" s="489" t="s">
        <v>238</v>
      </c>
      <c r="E139" s="490">
        <f>'24'!F139</f>
        <v>70517</v>
      </c>
      <c r="F139" s="640">
        <v>70517</v>
      </c>
      <c r="G139" s="491">
        <f t="shared" si="15"/>
        <v>0</v>
      </c>
      <c r="H139" s="492">
        <f>G139+'24'!H139</f>
        <v>15.399999999994179</v>
      </c>
      <c r="I139" s="510">
        <f>G138+G139</f>
        <v>0</v>
      </c>
      <c r="J139" s="494">
        <f>H139/DAY(B2)</f>
        <v>0.61599999999976718</v>
      </c>
      <c r="O139" s="496"/>
    </row>
    <row r="140" spans="1:16">
      <c r="A140" s="517" t="s">
        <v>247</v>
      </c>
      <c r="B140" s="518"/>
      <c r="C140" s="518"/>
      <c r="D140" s="489" t="s">
        <v>238</v>
      </c>
      <c r="E140" s="490">
        <f>'24'!F140</f>
        <v>2247.77</v>
      </c>
      <c r="F140" s="640">
        <v>2255.36</v>
      </c>
      <c r="G140" s="491">
        <f t="shared" si="15"/>
        <v>7.5900000000001455</v>
      </c>
      <c r="H140" s="492">
        <f>G140+'24'!H140</f>
        <v>-56.199999999999818</v>
      </c>
      <c r="I140" s="641"/>
      <c r="J140" s="494">
        <f>H140/DAY(B2)</f>
        <v>-2.2479999999999927</v>
      </c>
      <c r="O140" s="496"/>
    </row>
    <row r="141" spans="1:16">
      <c r="A141" s="517" t="s">
        <v>248</v>
      </c>
      <c r="B141" s="518"/>
      <c r="C141" s="518"/>
      <c r="D141" s="489" t="s">
        <v>238</v>
      </c>
      <c r="E141" s="490">
        <f>'24'!F141</f>
        <v>4751.18</v>
      </c>
      <c r="F141" s="640">
        <v>4753.67</v>
      </c>
      <c r="G141" s="491">
        <f t="shared" si="15"/>
        <v>2.4899999999997817</v>
      </c>
      <c r="H141" s="492">
        <f>G141+'24'!H141</f>
        <v>-0.32999999999992724</v>
      </c>
      <c r="I141" s="641"/>
      <c r="J141" s="494">
        <f>H141/DAY(B2)</f>
        <v>-1.3199999999997089E-2</v>
      </c>
      <c r="O141" s="496"/>
    </row>
    <row r="142" spans="1:16">
      <c r="A142" s="1289" t="s">
        <v>249</v>
      </c>
      <c r="B142" s="1290"/>
      <c r="C142" s="484"/>
      <c r="D142" s="484"/>
      <c r="E142" s="484"/>
      <c r="F142" s="588"/>
      <c r="G142" s="515"/>
      <c r="H142" s="515"/>
      <c r="I142" s="515"/>
      <c r="J142" s="634"/>
      <c r="K142" s="589"/>
      <c r="L142" s="469"/>
      <c r="O142" s="496"/>
    </row>
    <row r="143" spans="1:16">
      <c r="A143" s="1291" t="s">
        <v>250</v>
      </c>
      <c r="B143" s="1292"/>
      <c r="C143" s="1293"/>
      <c r="D143" s="489" t="s">
        <v>131</v>
      </c>
      <c r="E143" s="489"/>
      <c r="F143" s="588"/>
      <c r="G143" s="492">
        <f>G35+G43+G49+G57</f>
        <v>5863</v>
      </c>
      <c r="H143" s="492">
        <f>G143+'24'!H143</f>
        <v>-37460.119999999995</v>
      </c>
      <c r="I143" s="510"/>
      <c r="J143" s="494">
        <f>H143/DAY(B2)</f>
        <v>-1498.4047999999998</v>
      </c>
      <c r="K143" s="589"/>
      <c r="L143" s="469"/>
      <c r="O143" s="496"/>
    </row>
    <row r="144" spans="1:16">
      <c r="A144" s="1291" t="s">
        <v>251</v>
      </c>
      <c r="B144" s="1292"/>
      <c r="C144" s="1293"/>
      <c r="D144" s="489" t="s">
        <v>24</v>
      </c>
      <c r="E144" s="476"/>
      <c r="F144" s="1104"/>
      <c r="G144" s="642">
        <f>G143/G7</f>
        <v>0.25217204301075269</v>
      </c>
      <c r="H144" s="492">
        <f>G144+'24'!H144</f>
        <v>-1.4420231963979955</v>
      </c>
      <c r="I144" s="643"/>
      <c r="J144" s="494">
        <f>H144/DAY(B2)</f>
        <v>-5.7680927855919821E-2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1082"/>
      <c r="G145" s="492">
        <f>G41+G42+G55+G56</f>
        <v>7467.4500000000116</v>
      </c>
      <c r="H145" s="492">
        <f>G145+'24'!H145</f>
        <v>-40968</v>
      </c>
      <c r="I145" s="510"/>
      <c r="J145" s="494">
        <f>H145/DAY(B2)</f>
        <v>-1638.72</v>
      </c>
      <c r="K145" s="589"/>
      <c r="L145" s="469"/>
      <c r="O145" s="496"/>
    </row>
    <row r="146" spans="1:15">
      <c r="A146" s="1291" t="s">
        <v>253</v>
      </c>
      <c r="B146" s="1292"/>
      <c r="C146" s="1293"/>
      <c r="D146" s="489" t="s">
        <v>24</v>
      </c>
      <c r="E146" s="490"/>
      <c r="F146" s="1082"/>
      <c r="G146" s="642">
        <f>G145/G7</f>
        <v>0.3211806451612908</v>
      </c>
      <c r="H146" s="492">
        <f>G146+'24'!H146</f>
        <v>-1.5807851711395209</v>
      </c>
      <c r="I146" s="643"/>
      <c r="J146" s="494">
        <f>H146/DAY(B2)</f>
        <v>-6.3231406845580831E-2</v>
      </c>
      <c r="K146" s="589"/>
      <c r="L146" s="469"/>
      <c r="O146" s="496"/>
    </row>
    <row r="147" spans="1:15">
      <c r="A147" s="1291" t="s">
        <v>254</v>
      </c>
      <c r="B147" s="1292"/>
      <c r="C147" s="1293"/>
      <c r="D147" s="489" t="s">
        <v>131</v>
      </c>
      <c r="E147" s="490"/>
      <c r="F147" s="1082"/>
      <c r="G147" s="492">
        <f>G39+G53</f>
        <v>3772</v>
      </c>
      <c r="H147" s="492">
        <f>G147+'24'!H147</f>
        <v>-22790</v>
      </c>
      <c r="I147" s="644"/>
      <c r="J147" s="494">
        <f>H147/DAY(B2)</f>
        <v>-911.6</v>
      </c>
      <c r="K147" s="589"/>
      <c r="L147" s="469"/>
      <c r="O147" s="496"/>
    </row>
    <row r="148" spans="1:15">
      <c r="A148" s="1291" t="s">
        <v>255</v>
      </c>
      <c r="B148" s="1292"/>
      <c r="C148" s="1293"/>
      <c r="D148" s="489" t="s">
        <v>24</v>
      </c>
      <c r="E148" s="490"/>
      <c r="F148" s="1082"/>
      <c r="G148" s="642">
        <f>G147/G7</f>
        <v>0.16223655913978494</v>
      </c>
      <c r="H148" s="492">
        <f>G148+'24'!H148</f>
        <v>-0.86533708121748143</v>
      </c>
      <c r="I148" s="644"/>
      <c r="J148" s="494">
        <f>H148/DAY(B2)</f>
        <v>-3.4613483248699256E-2</v>
      </c>
      <c r="O148" s="496"/>
    </row>
    <row r="149" spans="1:15">
      <c r="A149" s="1291" t="s">
        <v>256</v>
      </c>
      <c r="B149" s="1292"/>
      <c r="C149" s="1293"/>
      <c r="D149" s="489" t="s">
        <v>182</v>
      </c>
      <c r="E149" s="490"/>
      <c r="F149" s="1082"/>
      <c r="G149" s="492">
        <f>G38+G52</f>
        <v>1682.0699999999488</v>
      </c>
      <c r="H149" s="492">
        <f>G149+'24'!H149</f>
        <v>-9717.9300000000512</v>
      </c>
      <c r="I149" s="510"/>
      <c r="J149" s="494">
        <f>H149/DAY(B2)</f>
        <v>-388.71720000000204</v>
      </c>
      <c r="K149" s="645"/>
      <c r="O149" s="496"/>
    </row>
    <row r="150" spans="1:15">
      <c r="A150" s="1291" t="s">
        <v>257</v>
      </c>
      <c r="B150" s="1292"/>
      <c r="C150" s="1293"/>
      <c r="D150" s="489" t="s">
        <v>24</v>
      </c>
      <c r="E150" s="490"/>
      <c r="F150" s="1082"/>
      <c r="G150" s="642">
        <f>G149/G7</f>
        <v>7.234709677419135E-2</v>
      </c>
      <c r="H150" s="492">
        <f>G150+'24'!H150</f>
        <v>-0.36637773067072366</v>
      </c>
      <c r="I150" s="644"/>
      <c r="J150" s="494">
        <f>H150/DAY(B2)</f>
        <v>-1.4655109226828946E-2</v>
      </c>
      <c r="O150" s="496"/>
    </row>
    <row r="151" spans="1:15">
      <c r="A151" s="1291" t="s">
        <v>258</v>
      </c>
      <c r="B151" s="1292"/>
      <c r="C151" s="1293"/>
      <c r="D151" s="489" t="s">
        <v>182</v>
      </c>
      <c r="E151" s="490"/>
      <c r="F151" s="1082"/>
      <c r="G151" s="492">
        <f>G36+G50</f>
        <v>1856</v>
      </c>
      <c r="H151" s="492">
        <f>G151+'24'!H151</f>
        <v>-11051</v>
      </c>
      <c r="I151" s="644"/>
      <c r="J151" s="494">
        <f>H151/DAY(B2)</f>
        <v>-442.04</v>
      </c>
      <c r="O151" s="496"/>
    </row>
    <row r="152" spans="1:15">
      <c r="A152" s="1291" t="s">
        <v>259</v>
      </c>
      <c r="B152" s="1292"/>
      <c r="C152" s="1293"/>
      <c r="D152" s="489" t="s">
        <v>24</v>
      </c>
      <c r="E152" s="490"/>
      <c r="F152" s="1082"/>
      <c r="G152" s="642">
        <f>G151/G7</f>
        <v>7.9827956989247315E-2</v>
      </c>
      <c r="H152" s="492">
        <f>G152+'24'!H152</f>
        <v>-0.42302586576633155</v>
      </c>
      <c r="I152" s="510"/>
      <c r="J152" s="494">
        <f>H152/DAY(B2)</f>
        <v>-1.6921034630653264E-2</v>
      </c>
      <c r="O152" s="496"/>
    </row>
    <row r="153" spans="1:15">
      <c r="A153" s="1291" t="s">
        <v>260</v>
      </c>
      <c r="B153" s="1292"/>
      <c r="C153" s="1293"/>
      <c r="D153" s="489" t="s">
        <v>182</v>
      </c>
      <c r="E153" s="490"/>
      <c r="F153" s="1082"/>
      <c r="G153" s="492">
        <f>G37+G51</f>
        <v>1677.8699999999953</v>
      </c>
      <c r="H153" s="492">
        <f>G153+'24'!H153</f>
        <v>-9813.1300000000047</v>
      </c>
      <c r="I153" s="510"/>
      <c r="J153" s="494">
        <f>H153/DAY(B2)</f>
        <v>-392.52520000000021</v>
      </c>
      <c r="O153" s="496"/>
    </row>
    <row r="154" spans="1:15" ht="21" thickBot="1">
      <c r="A154" s="1294" t="s">
        <v>261</v>
      </c>
      <c r="B154" s="1295"/>
      <c r="C154" s="1296"/>
      <c r="D154" s="646" t="s">
        <v>24</v>
      </c>
      <c r="E154" s="647"/>
      <c r="F154" s="1116"/>
      <c r="G154" s="648">
        <f>G153/G7</f>
        <v>7.2166451612903026E-2</v>
      </c>
      <c r="H154" s="492">
        <f>G154+'24'!H154</f>
        <v>-0.37453858576717763</v>
      </c>
      <c r="I154" s="649"/>
      <c r="J154" s="650">
        <f>H154/DAY(B2)</f>
        <v>-1.4981543430687106E-2</v>
      </c>
      <c r="O154" s="496"/>
    </row>
    <row r="155" spans="1:15">
      <c r="A155" s="651"/>
      <c r="B155" s="651"/>
      <c r="C155" s="651"/>
      <c r="D155" s="651"/>
      <c r="E155" s="651"/>
      <c r="F155" s="1117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'24'!F161</f>
        <v>42768</v>
      </c>
      <c r="F161" s="1118">
        <v>42848</v>
      </c>
      <c r="G161" s="491">
        <f t="shared" ref="G161:G164" si="16">F161-E161</f>
        <v>80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'24'!F162</f>
        <v>118856</v>
      </c>
      <c r="F162" s="1118">
        <v>119316</v>
      </c>
      <c r="G162" s="491">
        <f t="shared" si="16"/>
        <v>460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'24'!F163</f>
        <v>66116</v>
      </c>
      <c r="F163" s="1118">
        <v>66311</v>
      </c>
      <c r="G163" s="491">
        <f t="shared" si="16"/>
        <v>195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'24'!F164</f>
        <v>7075</v>
      </c>
      <c r="F164" s="1118">
        <v>7082</v>
      </c>
      <c r="G164" s="491">
        <f t="shared" si="16"/>
        <v>7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'24'!F165</f>
        <v>20419</v>
      </c>
      <c r="F165" s="111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'24'!F166</f>
        <v>0</v>
      </c>
      <c r="F166" s="1112">
        <f t="shared" ref="F166:F172" si="18">F63</f>
        <v>0</v>
      </c>
      <c r="G166" s="491">
        <f t="shared" si="17"/>
        <v>0</v>
      </c>
    </row>
    <row r="167" spans="1:7" ht="21.75" customHeight="1">
      <c r="A167" s="1266" t="s">
        <v>98</v>
      </c>
      <c r="B167" s="1266"/>
      <c r="C167" s="1266"/>
      <c r="D167" s="489" t="s">
        <v>186</v>
      </c>
      <c r="E167" s="490">
        <f>'24'!F167</f>
        <v>179237</v>
      </c>
      <c r="F167" s="1112">
        <f t="shared" si="18"/>
        <v>179586</v>
      </c>
      <c r="G167" s="491">
        <f t="shared" si="17"/>
        <v>349</v>
      </c>
    </row>
    <row r="168" spans="1:7" ht="21.75" customHeight="1">
      <c r="A168" s="1266" t="s">
        <v>99</v>
      </c>
      <c r="B168" s="1266"/>
      <c r="C168" s="1266"/>
      <c r="D168" s="489" t="s">
        <v>186</v>
      </c>
      <c r="E168" s="490">
        <f>'24'!F168</f>
        <v>179514</v>
      </c>
      <c r="F168" s="1112">
        <f t="shared" si="18"/>
        <v>179904</v>
      </c>
      <c r="G168" s="491">
        <f t="shared" si="17"/>
        <v>390</v>
      </c>
    </row>
    <row r="169" spans="1:7" ht="21.75" customHeight="1">
      <c r="A169" s="1266" t="s">
        <v>100</v>
      </c>
      <c r="B169" s="1266"/>
      <c r="C169" s="1266"/>
      <c r="D169" s="489" t="s">
        <v>186</v>
      </c>
      <c r="E169" s="490">
        <f>'24'!F169</f>
        <v>77824</v>
      </c>
      <c r="F169" s="1112">
        <f t="shared" si="18"/>
        <v>78223</v>
      </c>
      <c r="G169" s="491">
        <f t="shared" si="17"/>
        <v>399</v>
      </c>
    </row>
    <row r="170" spans="1:7">
      <c r="A170" s="1266" t="s">
        <v>101</v>
      </c>
      <c r="B170" s="1266"/>
      <c r="C170" s="1266"/>
      <c r="D170" s="489" t="s">
        <v>186</v>
      </c>
      <c r="E170" s="490">
        <f>'24'!F170</f>
        <v>276482</v>
      </c>
      <c r="F170" s="1112">
        <f t="shared" si="18"/>
        <v>276979</v>
      </c>
      <c r="G170" s="491">
        <f t="shared" si="17"/>
        <v>497</v>
      </c>
    </row>
    <row r="171" spans="1:7" ht="24" customHeight="1">
      <c r="A171" s="1266" t="s">
        <v>102</v>
      </c>
      <c r="B171" s="1266"/>
      <c r="C171" s="1266"/>
      <c r="D171" s="489" t="s">
        <v>186</v>
      </c>
      <c r="E171" s="490">
        <f>'24'!F171</f>
        <v>85321</v>
      </c>
      <c r="F171" s="1112">
        <f t="shared" si="18"/>
        <v>85321</v>
      </c>
      <c r="G171" s="491">
        <f t="shared" si="17"/>
        <v>0</v>
      </c>
    </row>
    <row r="172" spans="1:7">
      <c r="A172" s="1266" t="s">
        <v>103</v>
      </c>
      <c r="B172" s="1266"/>
      <c r="C172" s="1266"/>
      <c r="D172" s="489" t="s">
        <v>186</v>
      </c>
      <c r="E172" s="490">
        <f>'24'!F172</f>
        <v>94148</v>
      </c>
      <c r="F172" s="1112">
        <f t="shared" si="18"/>
        <v>94476</v>
      </c>
      <c r="G172" s="491">
        <f t="shared" si="17"/>
        <v>328</v>
      </c>
    </row>
    <row r="173" spans="1:7" ht="29.25">
      <c r="A173" s="1228"/>
      <c r="B173" s="1191"/>
      <c r="C173" s="436"/>
      <c r="D173" s="174"/>
      <c r="E173" s="490">
        <f>'24'!F173</f>
        <v>0</v>
      </c>
      <c r="G173" s="656">
        <f>SUM(G161:G172)</f>
        <v>2705</v>
      </c>
    </row>
    <row r="174" spans="1:7">
      <c r="A174" s="1266" t="s">
        <v>338</v>
      </c>
      <c r="B174" s="1266"/>
      <c r="C174" s="1266"/>
      <c r="D174" s="489" t="s">
        <v>186</v>
      </c>
      <c r="E174" s="490">
        <f>'24'!F174</f>
        <v>19114</v>
      </c>
      <c r="F174" s="619">
        <v>19116</v>
      </c>
      <c r="G174" s="491">
        <f t="shared" ref="G174:G176" si="19">F174-E174</f>
        <v>2</v>
      </c>
    </row>
    <row r="175" spans="1:7">
      <c r="A175" s="1267" t="s">
        <v>338</v>
      </c>
      <c r="B175" s="1268"/>
      <c r="C175" s="641"/>
      <c r="D175" s="489" t="s">
        <v>186</v>
      </c>
      <c r="E175" s="490">
        <f>'24'!F175</f>
        <v>70488</v>
      </c>
      <c r="F175" s="619">
        <v>70494</v>
      </c>
      <c r="G175" s="491">
        <f t="shared" si="19"/>
        <v>6</v>
      </c>
    </row>
    <row r="176" spans="1:7">
      <c r="A176" s="1267" t="s">
        <v>339</v>
      </c>
      <c r="B176" s="1268"/>
      <c r="D176" s="489" t="s">
        <v>186</v>
      </c>
      <c r="E176" s="490">
        <f>'24'!F176</f>
        <v>27755</v>
      </c>
      <c r="F176" s="619">
        <v>27760</v>
      </c>
      <c r="G176" s="491">
        <f t="shared" si="19"/>
        <v>5</v>
      </c>
    </row>
    <row r="177" spans="1:15" ht="18.75" customHeight="1">
      <c r="A177" s="1267"/>
      <c r="B177" s="1268"/>
      <c r="D177" s="489"/>
      <c r="E177" s="619"/>
      <c r="F177" s="619"/>
      <c r="G177" s="491"/>
      <c r="J177" s="657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view="pageBreakPreview" topLeftCell="B156" zoomScale="95" zoomScaleSheetLayoutView="95" workbookViewId="0">
      <selection activeCell="F19" sqref="F19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9.8867187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0.100000000000001" customHeight="1">
      <c r="A1" s="1309" t="s">
        <v>116</v>
      </c>
      <c r="B1" s="1310"/>
      <c r="C1" s="1310"/>
      <c r="D1" s="1310"/>
      <c r="E1" s="1310"/>
      <c r="F1" s="1310"/>
      <c r="G1" s="1310"/>
      <c r="H1" s="1310"/>
      <c r="I1" s="1310"/>
      <c r="J1" s="1311"/>
    </row>
    <row r="2" spans="1:15" ht="30.75" customHeight="1">
      <c r="A2" s="457" t="s">
        <v>351</v>
      </c>
      <c r="B2" s="727">
        <v>44038</v>
      </c>
      <c r="C2" s="458" t="s">
        <v>68</v>
      </c>
      <c r="D2" s="670">
        <v>0.75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ht="20.100000000000001" customHeight="1">
      <c r="A3" s="462"/>
      <c r="B3" s="463"/>
      <c r="C3" s="458" t="s">
        <v>119</v>
      </c>
      <c r="D3" s="458">
        <v>27</v>
      </c>
      <c r="E3" s="1318" t="s">
        <v>120</v>
      </c>
      <c r="F3" s="1319"/>
      <c r="G3" s="465"/>
      <c r="H3" s="466"/>
      <c r="I3" s="466"/>
      <c r="J3" s="467"/>
      <c r="K3" s="468"/>
      <c r="L3" s="469"/>
    </row>
    <row r="4" spans="1:15" ht="20.100000000000001" customHeight="1">
      <c r="A4" s="470"/>
      <c r="B4" s="471"/>
      <c r="C4" s="458" t="s">
        <v>121</v>
      </c>
      <c r="D4" s="670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 ht="22.5" customHeight="1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ht="20.100000000000001" customHeight="1">
      <c r="A6" s="1312" t="s">
        <v>129</v>
      </c>
      <c r="B6" s="1313"/>
      <c r="C6" s="1314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5.5" customHeight="1" thickBot="1">
      <c r="A7" s="487" t="s">
        <v>130</v>
      </c>
      <c r="B7" s="488"/>
      <c r="C7" s="488"/>
      <c r="D7" s="489" t="s">
        <v>131</v>
      </c>
      <c r="E7" s="490">
        <f>'25'!F7</f>
        <v>1174638</v>
      </c>
      <c r="F7" s="106">
        <f>E7+23250</f>
        <v>1197888</v>
      </c>
      <c r="G7" s="491">
        <f>F7-E7</f>
        <v>23250</v>
      </c>
      <c r="H7" s="492">
        <f>G7+'25'!H7</f>
        <v>590066</v>
      </c>
      <c r="I7" s="493">
        <f>'1'!I7</f>
        <v>12000</v>
      </c>
      <c r="J7" s="494">
        <f>H7/DAY(B2)</f>
        <v>22694.846153846152</v>
      </c>
      <c r="K7" s="495"/>
      <c r="L7" s="469"/>
      <c r="N7" s="668"/>
      <c r="O7" s="496"/>
    </row>
    <row r="8" spans="1:15" ht="20.100000000000001" customHeight="1" thickBot="1">
      <c r="A8" s="497" t="s">
        <v>132</v>
      </c>
      <c r="B8" s="498"/>
      <c r="C8" s="499"/>
      <c r="D8" s="500" t="s">
        <v>25</v>
      </c>
      <c r="E8" s="490">
        <f>'25'!F8</f>
        <v>481934</v>
      </c>
      <c r="F8" s="126">
        <v>504655</v>
      </c>
      <c r="G8" s="501">
        <f>F8-E8</f>
        <v>22721</v>
      </c>
      <c r="H8" s="492">
        <f>G8+'25'!H8</f>
        <v>-110942</v>
      </c>
      <c r="I8" s="502">
        <f>'1'!I8</f>
        <v>12000</v>
      </c>
      <c r="J8" s="494">
        <f>H8/DAY(B2)</f>
        <v>-4267</v>
      </c>
      <c r="K8" s="495"/>
      <c r="L8" s="503"/>
      <c r="M8" s="504"/>
      <c r="O8" s="496"/>
    </row>
    <row r="9" spans="1:15" ht="20.100000000000001" customHeight="1">
      <c r="A9" s="505" t="s">
        <v>133</v>
      </c>
      <c r="B9" s="506"/>
      <c r="C9" s="506"/>
      <c r="D9" s="489" t="s">
        <v>131</v>
      </c>
      <c r="E9" s="490">
        <f>'25'!F9</f>
        <v>2567814</v>
      </c>
      <c r="F9" s="507">
        <v>2589721</v>
      </c>
      <c r="G9" s="491">
        <f>F9-E9</f>
        <v>21907</v>
      </c>
      <c r="H9" s="492">
        <f>G9+'25'!H9</f>
        <v>-106914</v>
      </c>
      <c r="I9" s="508">
        <f>I8-J8</f>
        <v>16267</v>
      </c>
      <c r="J9" s="494">
        <f>H9/DAY(B2)</f>
        <v>-4112.0769230769229</v>
      </c>
      <c r="K9" s="509"/>
      <c r="L9" s="469"/>
      <c r="O9" s="496"/>
    </row>
    <row r="10" spans="1:15" ht="20.100000000000001" customHeight="1">
      <c r="A10" s="487" t="s">
        <v>134</v>
      </c>
      <c r="B10" s="488"/>
      <c r="C10" s="488"/>
      <c r="D10" s="489" t="s">
        <v>131</v>
      </c>
      <c r="E10" s="490">
        <f>'25'!F10</f>
        <v>2606.5500000000002</v>
      </c>
      <c r="F10" s="507">
        <v>2606.5500000000002</v>
      </c>
      <c r="G10" s="491">
        <f t="shared" ref="G10:G12" si="0">F10-E10</f>
        <v>0</v>
      </c>
      <c r="H10" s="492">
        <f>G10+'25'!H10</f>
        <v>-0.15000000000009095</v>
      </c>
      <c r="I10" s="510"/>
      <c r="J10" s="494">
        <f>H10/DAY(B2)</f>
        <v>-5.7692307692342676E-3</v>
      </c>
      <c r="K10" s="509"/>
      <c r="L10" s="469"/>
      <c r="O10" s="496"/>
    </row>
    <row r="11" spans="1:15" ht="20.100000000000001" customHeight="1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G11+'25'!H11</f>
        <v>0</v>
      </c>
      <c r="I11" s="510"/>
      <c r="J11" s="494">
        <f>H11/DAY(B2)</f>
        <v>0</v>
      </c>
      <c r="K11" s="509"/>
      <c r="L11" s="469">
        <v>1375467</v>
      </c>
      <c r="N11" s="669"/>
      <c r="O11" s="496"/>
    </row>
    <row r="12" spans="1:15" ht="20.100000000000001" customHeight="1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G12+'25'!H12</f>
        <v>0</v>
      </c>
      <c r="I12" s="510"/>
      <c r="J12" s="494">
        <f>H12/DAY(B2)</f>
        <v>0</v>
      </c>
      <c r="K12" s="509"/>
      <c r="L12" s="469"/>
      <c r="O12" s="496"/>
    </row>
    <row r="13" spans="1:15" ht="20.100000000000001" customHeight="1">
      <c r="A13" s="511" t="s">
        <v>137</v>
      </c>
      <c r="B13" s="512"/>
      <c r="C13" s="512"/>
      <c r="D13" s="489"/>
      <c r="E13" s="490"/>
      <c r="F13" s="490"/>
      <c r="G13" s="513">
        <f>G9+G10+G11+G12</f>
        <v>21907</v>
      </c>
      <c r="H13" s="492">
        <f>G13+'25'!H13</f>
        <v>-149598.15000000002</v>
      </c>
      <c r="I13" s="514">
        <f>G7-G13</f>
        <v>1343</v>
      </c>
      <c r="J13" s="494">
        <f>H13/DAY(B2)</f>
        <v>-5753.7750000000005</v>
      </c>
      <c r="K13" s="509"/>
      <c r="L13" s="469"/>
      <c r="O13" s="496"/>
    </row>
    <row r="14" spans="1:15" ht="28.5" customHeight="1">
      <c r="A14" s="1315" t="s">
        <v>138</v>
      </c>
      <c r="B14" s="1316"/>
      <c r="C14" s="1317"/>
      <c r="D14" s="484"/>
      <c r="E14" s="484"/>
      <c r="F14" s="484"/>
      <c r="G14" s="515"/>
      <c r="H14" s="484"/>
      <c r="I14" s="484"/>
      <c r="J14" s="485"/>
      <c r="K14" s="516"/>
      <c r="L14" s="469">
        <v>1679344</v>
      </c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'25'!F15</f>
        <v>1752209</v>
      </c>
      <c r="F15" s="351">
        <f>E15+950</f>
        <v>1753159</v>
      </c>
      <c r="G15" s="666">
        <f>(F15-E15)</f>
        <v>950</v>
      </c>
      <c r="H15" s="492">
        <f>G15+'25'!H15</f>
        <v>23605</v>
      </c>
      <c r="I15" s="493">
        <f>'1'!I15</f>
        <v>800</v>
      </c>
      <c r="J15" s="494">
        <f>H15/DAY(B2)</f>
        <v>907.88461538461536</v>
      </c>
      <c r="K15" s="509"/>
      <c r="L15" s="469"/>
      <c r="O15" s="496"/>
    </row>
    <row r="16" spans="1:15" ht="20.100000000000001" customHeight="1">
      <c r="A16" s="520"/>
      <c r="B16" s="521"/>
      <c r="C16" s="521"/>
      <c r="D16" s="522"/>
      <c r="E16" s="523"/>
      <c r="F16" s="523"/>
      <c r="G16" s="491"/>
      <c r="H16" s="524"/>
      <c r="I16" s="525">
        <f>I15-J15</f>
        <v>-107.88461538461536</v>
      </c>
      <c r="J16" s="526"/>
      <c r="K16" s="509"/>
      <c r="L16" s="469">
        <f>L14-L11</f>
        <v>303877</v>
      </c>
      <c r="O16" s="496"/>
    </row>
    <row r="17" spans="1:15" ht="20.100000000000001" customHeight="1">
      <c r="A17" s="1315" t="s">
        <v>141</v>
      </c>
      <c r="B17" s="1316"/>
      <c r="C17" s="1317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 ht="20.100000000000001" customHeight="1">
      <c r="A18" s="1291" t="s">
        <v>142</v>
      </c>
      <c r="B18" s="1292"/>
      <c r="C18" s="1293"/>
      <c r="D18" s="489" t="s">
        <v>143</v>
      </c>
      <c r="E18" s="490">
        <f>'25'!F18</f>
        <v>16</v>
      </c>
      <c r="F18" s="519">
        <v>12</v>
      </c>
      <c r="G18" s="513">
        <f>F18*10</f>
        <v>120</v>
      </c>
      <c r="H18" s="492">
        <f>G18+'25'!H18</f>
        <v>3960</v>
      </c>
      <c r="I18" s="493">
        <f>'1'!I18</f>
        <v>65</v>
      </c>
      <c r="J18" s="494">
        <f>H18/DAY(B2)</f>
        <v>152.30769230769232</v>
      </c>
      <c r="K18" s="509"/>
      <c r="L18" s="469"/>
      <c r="O18" s="496"/>
    </row>
    <row r="19" spans="1:15" ht="20.100000000000001" customHeight="1">
      <c r="A19" s="1291" t="s">
        <v>70</v>
      </c>
      <c r="B19" s="1292"/>
      <c r="C19" s="1293"/>
      <c r="D19" s="489" t="s">
        <v>143</v>
      </c>
      <c r="E19" s="490">
        <f>'25'!F19</f>
        <v>144930</v>
      </c>
      <c r="F19" s="519">
        <f>E19+60</f>
        <v>144990</v>
      </c>
      <c r="G19" s="491">
        <f t="shared" ref="G19" si="1">F19-E19</f>
        <v>60</v>
      </c>
      <c r="H19" s="492">
        <f>G19+'25'!H19</f>
        <v>1600</v>
      </c>
      <c r="I19" s="528"/>
      <c r="J19" s="494">
        <f>H19/DAY(B2)</f>
        <v>61.53846153846154</v>
      </c>
      <c r="K19" s="509"/>
      <c r="L19" s="469">
        <f>L16/26</f>
        <v>11687.576923076924</v>
      </c>
      <c r="O19" s="496"/>
    </row>
    <row r="20" spans="1:15" ht="20.100000000000001" customHeight="1">
      <c r="A20" s="511" t="s">
        <v>144</v>
      </c>
      <c r="B20" s="512"/>
      <c r="C20" s="512"/>
      <c r="D20" s="529"/>
      <c r="E20" s="529"/>
      <c r="F20" s="529"/>
      <c r="G20" s="530">
        <f>G18+G19</f>
        <v>180</v>
      </c>
      <c r="H20" s="492">
        <f>G20+'25'!H20</f>
        <v>5560</v>
      </c>
      <c r="I20" s="531">
        <f>I18-J20</f>
        <v>-148.84615384615384</v>
      </c>
      <c r="J20" s="494">
        <f>H20/DAY(B2)</f>
        <v>213.84615384615384</v>
      </c>
      <c r="K20" s="509"/>
      <c r="L20" s="469"/>
      <c r="O20" s="496"/>
    </row>
    <row r="21" spans="1:15" ht="20.100000000000001" customHeight="1">
      <c r="A21" s="1315" t="s">
        <v>145</v>
      </c>
      <c r="B21" s="1316"/>
      <c r="C21" s="1317"/>
      <c r="D21" s="484"/>
      <c r="E21" s="484"/>
      <c r="F21" s="484"/>
      <c r="G21" s="515"/>
      <c r="H21" s="484"/>
      <c r="I21" s="484"/>
      <c r="J21" s="485"/>
      <c r="K21" s="509"/>
      <c r="L21" s="469" t="e">
        <f>#REF!/G11</f>
        <v>#REF!</v>
      </c>
      <c r="O21" s="496"/>
    </row>
    <row r="22" spans="1:15" ht="20.100000000000001" customHeight="1">
      <c r="A22" s="517" t="s">
        <v>146</v>
      </c>
      <c r="B22" s="518"/>
      <c r="C22" s="518"/>
      <c r="D22" s="489" t="s">
        <v>147</v>
      </c>
      <c r="E22" s="519">
        <f>'25'!F22</f>
        <v>2970</v>
      </c>
      <c r="F22" s="519">
        <v>2970</v>
      </c>
      <c r="G22" s="513">
        <f t="shared" ref="G22:G23" si="2">E22-F22</f>
        <v>0</v>
      </c>
      <c r="H22" s="492">
        <f>G22+'25'!H22</f>
        <v>0</v>
      </c>
      <c r="I22" s="510"/>
      <c r="J22" s="494">
        <f>H22/DAY(B2)</f>
        <v>0</v>
      </c>
      <c r="K22" s="509"/>
      <c r="L22" s="469"/>
      <c r="O22" s="496"/>
    </row>
    <row r="23" spans="1:15" ht="20.100000000000001" customHeight="1">
      <c r="A23" s="517" t="s">
        <v>148</v>
      </c>
      <c r="B23" s="518"/>
      <c r="C23" s="518"/>
      <c r="D23" s="489" t="s">
        <v>147</v>
      </c>
      <c r="E23" s="519">
        <f>'25'!F23</f>
        <v>2000</v>
      </c>
      <c r="F23" s="519">
        <v>2000</v>
      </c>
      <c r="G23" s="513">
        <f t="shared" si="2"/>
        <v>0</v>
      </c>
      <c r="H23" s="492">
        <f>G23+'25'!H23</f>
        <v>0</v>
      </c>
      <c r="I23" s="510"/>
      <c r="J23" s="494">
        <f>H23/DAY(B2)</f>
        <v>0</v>
      </c>
      <c r="K23" s="509"/>
      <c r="L23" s="469"/>
      <c r="O23" s="496"/>
    </row>
    <row r="24" spans="1:15" ht="20.100000000000001" customHeight="1">
      <c r="A24" s="532" t="s">
        <v>149</v>
      </c>
      <c r="B24" s="533"/>
      <c r="C24" s="533"/>
      <c r="D24" s="476" t="s">
        <v>147</v>
      </c>
      <c r="E24" s="519">
        <f>'25'!F24</f>
        <v>4970</v>
      </c>
      <c r="F24" s="534">
        <v>4970</v>
      </c>
      <c r="G24" s="513">
        <f>E24-F24</f>
        <v>0</v>
      </c>
      <c r="H24" s="492">
        <f>G24+'25'!H24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ht="18.75" customHeight="1">
      <c r="A25" s="1312" t="s">
        <v>150</v>
      </c>
      <c r="B25" s="1313"/>
      <c r="C25" s="1314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ht="18.75" customHeigh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18.75" customHeight="1">
      <c r="A27" s="541" t="s">
        <v>6</v>
      </c>
      <c r="B27" s="542"/>
      <c r="C27" s="543"/>
      <c r="D27" s="548" t="s">
        <v>25</v>
      </c>
      <c r="E27" s="549">
        <f>G8</f>
        <v>22721</v>
      </c>
      <c r="F27" s="152">
        <v>9</v>
      </c>
      <c r="G27" s="551">
        <f>E27*F27</f>
        <v>204489</v>
      </c>
      <c r="H27" s="492">
        <f>G27+'25'!H27</f>
        <v>-998476.10999999964</v>
      </c>
      <c r="I27" s="552"/>
      <c r="J27" s="494">
        <f>H27/DAY(B2)</f>
        <v>-38402.927307692291</v>
      </c>
      <c r="K27" s="509"/>
      <c r="L27" s="539"/>
      <c r="N27" s="658"/>
      <c r="O27" s="496"/>
    </row>
    <row r="28" spans="1:15" s="540" customFormat="1" ht="18.75" customHeight="1">
      <c r="A28" s="541" t="s">
        <v>153</v>
      </c>
      <c r="B28" s="542"/>
      <c r="C28" s="543"/>
      <c r="D28" s="548" t="s">
        <v>154</v>
      </c>
      <c r="E28" s="549">
        <f>G15</f>
        <v>950</v>
      </c>
      <c r="F28" s="152">
        <v>52</v>
      </c>
      <c r="G28" s="551">
        <f>E28*F28</f>
        <v>49400</v>
      </c>
      <c r="H28" s="492">
        <f>G28+'25'!H28</f>
        <v>1260347.5</v>
      </c>
      <c r="I28" s="553"/>
      <c r="J28" s="494">
        <f>H28/DAY(B2)</f>
        <v>48474.903846153844</v>
      </c>
      <c r="K28" s="509"/>
      <c r="L28" s="539"/>
      <c r="N28" s="658"/>
      <c r="O28" s="496"/>
    </row>
    <row r="29" spans="1:15" s="540" customFormat="1" ht="18.75" customHeight="1">
      <c r="A29" s="541" t="s">
        <v>155</v>
      </c>
      <c r="B29" s="542"/>
      <c r="C29" s="543"/>
      <c r="D29" s="548" t="s">
        <v>156</v>
      </c>
      <c r="E29" s="549">
        <f>G16</f>
        <v>0</v>
      </c>
      <c r="F29" s="550">
        <v>69</v>
      </c>
      <c r="G29" s="551">
        <f>E29*F29</f>
        <v>0</v>
      </c>
      <c r="H29" s="492">
        <f>G29+'25'!H29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ht="18.75" customHeight="1">
      <c r="A30" s="541" t="s">
        <v>157</v>
      </c>
      <c r="B30" s="542"/>
      <c r="C30" s="543"/>
      <c r="D30" s="548" t="s">
        <v>158</v>
      </c>
      <c r="E30" s="549">
        <f>G19</f>
        <v>60</v>
      </c>
      <c r="F30" s="550">
        <v>146</v>
      </c>
      <c r="G30" s="551">
        <f>E30*F30</f>
        <v>8760</v>
      </c>
      <c r="H30" s="492">
        <f>G30+'25'!H30</f>
        <v>233600</v>
      </c>
      <c r="I30" s="553"/>
      <c r="J30" s="494">
        <f>H30/DAY(B2)</f>
        <v>8984.6153846153848</v>
      </c>
      <c r="K30" s="509"/>
      <c r="L30" s="539"/>
      <c r="N30" s="658"/>
      <c r="O30" s="496"/>
    </row>
    <row r="31" spans="1:15" s="540" customFormat="1" ht="18.75" customHeight="1">
      <c r="A31" s="541" t="s">
        <v>159</v>
      </c>
      <c r="B31" s="542"/>
      <c r="C31" s="543"/>
      <c r="D31" s="548" t="s">
        <v>143</v>
      </c>
      <c r="E31" s="549">
        <f>G18</f>
        <v>120</v>
      </c>
      <c r="F31" s="550">
        <v>80</v>
      </c>
      <c r="G31" s="551">
        <f>E31*F31</f>
        <v>9600</v>
      </c>
      <c r="H31" s="492">
        <f>G31+'25'!H31</f>
        <v>316800</v>
      </c>
      <c r="I31" s="553"/>
      <c r="J31" s="494"/>
      <c r="K31" s="509"/>
      <c r="L31" s="539"/>
      <c r="N31" s="658"/>
      <c r="O31" s="496"/>
    </row>
    <row r="32" spans="1:15" s="540" customFormat="1" ht="18.75" customHeight="1">
      <c r="A32" s="554" t="s">
        <v>160</v>
      </c>
      <c r="B32" s="555"/>
      <c r="C32" s="556"/>
      <c r="D32" s="557"/>
      <c r="E32" s="557"/>
      <c r="F32" s="557"/>
      <c r="G32" s="558">
        <f>G27+G28+G29+G30+G31</f>
        <v>272249</v>
      </c>
      <c r="H32" s="492">
        <f>G32+'25'!H32</f>
        <v>812271.3899999999</v>
      </c>
      <c r="I32" s="559"/>
      <c r="J32" s="494">
        <f>H32/DAY(B2)</f>
        <v>31241.207307692304</v>
      </c>
      <c r="K32" s="509"/>
      <c r="L32" s="539"/>
      <c r="N32" s="658"/>
      <c r="O32" s="496"/>
    </row>
    <row r="33" spans="1:15" ht="20.100000000000001" customHeight="1">
      <c r="A33" s="1320" t="s">
        <v>161</v>
      </c>
      <c r="B33" s="1321"/>
      <c r="C33" s="1321"/>
      <c r="D33" s="1321"/>
      <c r="E33" s="1321"/>
      <c r="F33" s="1321"/>
      <c r="G33" s="1321"/>
      <c r="H33" s="1321"/>
      <c r="I33" s="1321"/>
      <c r="J33" s="1322"/>
      <c r="K33" s="509"/>
      <c r="L33" s="469"/>
      <c r="O33" s="496"/>
    </row>
    <row r="34" spans="1:15" ht="20.100000000000001" customHeight="1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 ht="20.100000000000001" customHeight="1">
      <c r="A35" s="487" t="s">
        <v>163</v>
      </c>
      <c r="B35" s="488"/>
      <c r="C35" s="488"/>
      <c r="D35" s="489" t="s">
        <v>131</v>
      </c>
      <c r="E35" s="490">
        <f>'25'!F35</f>
        <v>1058597</v>
      </c>
      <c r="F35" s="562">
        <v>1058597</v>
      </c>
      <c r="G35" s="491">
        <f t="shared" ref="G35:G46" si="3">F35-E35</f>
        <v>0</v>
      </c>
      <c r="H35" s="492">
        <f>G35+'25'!H35</f>
        <v>0.69999999995343387</v>
      </c>
      <c r="I35" s="490"/>
      <c r="J35" s="494">
        <f>H35/DAY(B2)</f>
        <v>2.692307692128592E-2</v>
      </c>
      <c r="K35" s="509"/>
      <c r="L35" s="469"/>
      <c r="O35" s="496"/>
    </row>
    <row r="36" spans="1:15" ht="20.100000000000001" customHeight="1">
      <c r="A36" s="487" t="s">
        <v>164</v>
      </c>
      <c r="B36" s="488"/>
      <c r="C36" s="488"/>
      <c r="D36" s="489" t="s">
        <v>131</v>
      </c>
      <c r="E36" s="490">
        <f>'25'!F36</f>
        <v>41769</v>
      </c>
      <c r="F36" s="562">
        <v>42524</v>
      </c>
      <c r="G36" s="491">
        <f t="shared" si="3"/>
        <v>755</v>
      </c>
      <c r="H36" s="492">
        <f>G36+'25'!H36</f>
        <v>-4274</v>
      </c>
      <c r="I36" s="490"/>
      <c r="J36" s="494">
        <f>H36/DAY(B2)</f>
        <v>-164.38461538461539</v>
      </c>
      <c r="K36" s="509"/>
      <c r="L36" s="469"/>
      <c r="O36" s="496"/>
    </row>
    <row r="37" spans="1:15" ht="20.100000000000001" customHeight="1">
      <c r="A37" s="487" t="s">
        <v>165</v>
      </c>
      <c r="B37" s="488"/>
      <c r="C37" s="488"/>
      <c r="D37" s="489" t="s">
        <v>131</v>
      </c>
      <c r="E37" s="490">
        <f>'25'!F37</f>
        <v>216360</v>
      </c>
      <c r="F37" s="562">
        <v>218023</v>
      </c>
      <c r="G37" s="491">
        <f t="shared" si="3"/>
        <v>1663</v>
      </c>
      <c r="H37" s="492">
        <f>G37+'25'!H37</f>
        <v>-8150</v>
      </c>
      <c r="I37" s="490"/>
      <c r="J37" s="494">
        <f>H37/DAY(B2)</f>
        <v>-313.46153846153845</v>
      </c>
      <c r="K37" s="509"/>
      <c r="L37" s="469"/>
      <c r="O37" s="496"/>
    </row>
    <row r="38" spans="1:15" ht="20.100000000000001" customHeight="1">
      <c r="A38" s="487" t="s">
        <v>166</v>
      </c>
      <c r="B38" s="488"/>
      <c r="C38" s="488"/>
      <c r="D38" s="489" t="s">
        <v>131</v>
      </c>
      <c r="E38" s="490">
        <f>'25'!F38</f>
        <v>238841</v>
      </c>
      <c r="F38" s="479">
        <v>240414</v>
      </c>
      <c r="G38" s="491">
        <f t="shared" si="3"/>
        <v>1573</v>
      </c>
      <c r="H38" s="492">
        <f>G38+'25'!H38</f>
        <v>-8145</v>
      </c>
      <c r="I38" s="490"/>
      <c r="J38" s="494">
        <f>H38/DAY(B2)</f>
        <v>-313.26923076923077</v>
      </c>
      <c r="K38" s="509"/>
      <c r="L38" s="469"/>
      <c r="O38" s="496"/>
    </row>
    <row r="39" spans="1:15" ht="20.100000000000001" customHeight="1">
      <c r="A39" s="487" t="s">
        <v>167</v>
      </c>
      <c r="B39" s="488"/>
      <c r="C39" s="488"/>
      <c r="D39" s="489" t="s">
        <v>131</v>
      </c>
      <c r="E39" s="490">
        <f>'25'!F39</f>
        <v>497728</v>
      </c>
      <c r="F39" s="562">
        <v>501478</v>
      </c>
      <c r="G39" s="491">
        <f t="shared" si="3"/>
        <v>3750</v>
      </c>
      <c r="H39" s="492">
        <f>G39+'25'!H39</f>
        <v>-19040</v>
      </c>
      <c r="I39" s="490"/>
      <c r="J39" s="494">
        <f>H39/DAY(B2)</f>
        <v>-732.30769230769226</v>
      </c>
      <c r="K39" s="509"/>
      <c r="L39" s="469"/>
      <c r="O39" s="496"/>
    </row>
    <row r="40" spans="1:15" ht="20.100000000000001" customHeight="1">
      <c r="A40" s="563" t="s">
        <v>168</v>
      </c>
      <c r="B40" s="564"/>
      <c r="C40" s="564"/>
      <c r="D40" s="489" t="s">
        <v>131</v>
      </c>
      <c r="E40" s="490">
        <f>'25'!F40</f>
        <v>17514</v>
      </c>
      <c r="F40" s="562">
        <v>17874</v>
      </c>
      <c r="G40" s="491">
        <f t="shared" si="3"/>
        <v>360</v>
      </c>
      <c r="H40" s="492">
        <f>G40+'25'!H40</f>
        <v>-2299</v>
      </c>
      <c r="I40" s="490"/>
      <c r="J40" s="494">
        <f>H40/DAY(B2)</f>
        <v>-88.42307692307692</v>
      </c>
      <c r="K40" s="516"/>
      <c r="L40" s="469"/>
      <c r="O40" s="496"/>
    </row>
    <row r="41" spans="1:15" ht="20.100000000000001" customHeight="1">
      <c r="A41" s="487" t="s">
        <v>169</v>
      </c>
      <c r="B41" s="488"/>
      <c r="C41" s="488"/>
      <c r="D41" s="489" t="s">
        <v>131</v>
      </c>
      <c r="E41" s="490">
        <f>'25'!F41</f>
        <v>366840</v>
      </c>
      <c r="F41" s="562">
        <v>366840</v>
      </c>
      <c r="G41" s="491">
        <f t="shared" si="3"/>
        <v>0</v>
      </c>
      <c r="H41" s="492">
        <f>G41+'25'!H41</f>
        <v>0</v>
      </c>
      <c r="I41" s="490"/>
      <c r="J41" s="494">
        <f>H41/DAY(B2)</f>
        <v>0</v>
      </c>
      <c r="K41" s="509"/>
      <c r="L41" s="469"/>
      <c r="O41" s="496"/>
    </row>
    <row r="42" spans="1:15" ht="20.100000000000001" customHeight="1">
      <c r="A42" s="487" t="s">
        <v>170</v>
      </c>
      <c r="B42" s="488"/>
      <c r="C42" s="488"/>
      <c r="D42" s="489" t="s">
        <v>131</v>
      </c>
      <c r="E42" s="490">
        <f>'25'!F42</f>
        <v>94767</v>
      </c>
      <c r="F42" s="562">
        <v>97548</v>
      </c>
      <c r="G42" s="491">
        <f t="shared" si="3"/>
        <v>2781</v>
      </c>
      <c r="H42" s="492">
        <f>G42+'25'!H42</f>
        <v>-17964</v>
      </c>
      <c r="I42" s="490"/>
      <c r="J42" s="494">
        <f>H42/DAY(B2)</f>
        <v>-690.92307692307691</v>
      </c>
      <c r="K42" s="509"/>
      <c r="L42" s="469"/>
      <c r="N42" s="659">
        <f>3450-G42</f>
        <v>669</v>
      </c>
      <c r="O42" s="496"/>
    </row>
    <row r="43" spans="1:15" ht="20.100000000000001" customHeight="1">
      <c r="A43" s="487" t="s">
        <v>171</v>
      </c>
      <c r="B43" s="488"/>
      <c r="C43" s="488"/>
      <c r="D43" s="489" t="s">
        <v>131</v>
      </c>
      <c r="E43" s="490">
        <f>'25'!F43</f>
        <v>1188043</v>
      </c>
      <c r="F43" s="562">
        <v>1190837</v>
      </c>
      <c r="G43" s="491">
        <f t="shared" si="3"/>
        <v>2794</v>
      </c>
      <c r="H43" s="492">
        <f>G43+'25'!H43</f>
        <v>-13624</v>
      </c>
      <c r="I43" s="490"/>
      <c r="J43" s="494">
        <f>H43/DAY(B2)</f>
        <v>-524</v>
      </c>
      <c r="K43" s="509"/>
      <c r="L43" s="469"/>
      <c r="O43" s="496"/>
    </row>
    <row r="44" spans="1:15" ht="20.100000000000001" customHeight="1">
      <c r="A44" s="487" t="s">
        <v>172</v>
      </c>
      <c r="B44" s="488"/>
      <c r="C44" s="488"/>
      <c r="D44" s="489" t="s">
        <v>131</v>
      </c>
      <c r="E44" s="490">
        <f>'25'!F44</f>
        <v>0</v>
      </c>
      <c r="F44" s="562">
        <v>0</v>
      </c>
      <c r="G44" s="491">
        <f t="shared" si="3"/>
        <v>0</v>
      </c>
      <c r="H44" s="492">
        <f>G44+'25'!H44</f>
        <v>0</v>
      </c>
      <c r="I44" s="490"/>
      <c r="J44" s="494">
        <f>H44/DAY(B2)</f>
        <v>0</v>
      </c>
      <c r="K44" s="509"/>
      <c r="L44" s="469"/>
      <c r="O44" s="496"/>
    </row>
    <row r="45" spans="1:15" ht="20.100000000000001" customHeight="1">
      <c r="A45" s="487" t="s">
        <v>173</v>
      </c>
      <c r="B45" s="488"/>
      <c r="C45" s="488"/>
      <c r="D45" s="489" t="s">
        <v>131</v>
      </c>
      <c r="E45" s="490">
        <f>'25'!F45</f>
        <v>614</v>
      </c>
      <c r="F45" s="562">
        <v>614</v>
      </c>
      <c r="G45" s="491">
        <f t="shared" si="3"/>
        <v>0</v>
      </c>
      <c r="H45" s="492">
        <f>G45+'25'!H45</f>
        <v>0</v>
      </c>
      <c r="I45" s="490"/>
      <c r="J45" s="494">
        <f>H45/DAY(B2)</f>
        <v>0</v>
      </c>
      <c r="K45" s="509"/>
      <c r="L45" s="469"/>
      <c r="O45" s="496"/>
    </row>
    <row r="46" spans="1:15" ht="20.100000000000001" customHeight="1">
      <c r="A46" s="487" t="s">
        <v>174</v>
      </c>
      <c r="B46" s="488"/>
      <c r="C46" s="488"/>
      <c r="D46" s="489" t="s">
        <v>131</v>
      </c>
      <c r="E46" s="490">
        <f>'25'!F46</f>
        <v>187</v>
      </c>
      <c r="F46" s="562">
        <v>187</v>
      </c>
      <c r="G46" s="491">
        <f t="shared" si="3"/>
        <v>0</v>
      </c>
      <c r="H46" s="492">
        <f>G46+'25'!H46</f>
        <v>-0.49000000000000909</v>
      </c>
      <c r="I46" s="490"/>
      <c r="J46" s="494">
        <f>H46/DAY(B2)</f>
        <v>-1.8846153846154196E-2</v>
      </c>
      <c r="K46" s="509"/>
      <c r="L46" s="469"/>
      <c r="O46" s="496"/>
    </row>
    <row r="47" spans="1:15" ht="20.100000000000001" customHeight="1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13676</v>
      </c>
      <c r="H47" s="492">
        <f>G47+'25'!H47</f>
        <v>-72694.30000000009</v>
      </c>
      <c r="I47" s="490"/>
      <c r="J47" s="494">
        <f>H47/DAY(B2)</f>
        <v>-2795.9346153846191</v>
      </c>
      <c r="K47" s="509"/>
      <c r="L47" s="469"/>
      <c r="N47" s="659"/>
      <c r="O47" s="496"/>
    </row>
    <row r="48" spans="1:15" ht="20.100000000000001" customHeight="1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 ht="20.100000000000001" customHeight="1">
      <c r="A49" s="487" t="s">
        <v>163</v>
      </c>
      <c r="B49" s="565"/>
      <c r="C49" s="565"/>
      <c r="D49" s="489" t="s">
        <v>131</v>
      </c>
      <c r="E49" s="490">
        <f>'25'!F49</f>
        <v>306064</v>
      </c>
      <c r="F49" s="562">
        <v>309209</v>
      </c>
      <c r="G49" s="491">
        <f t="shared" ref="G49:G58" si="4">F49-E49</f>
        <v>3145</v>
      </c>
      <c r="H49" s="492">
        <f>G49+'25'!H49</f>
        <v>-17829</v>
      </c>
      <c r="I49" s="490"/>
      <c r="J49" s="494">
        <f>H49/DAY(B2)</f>
        <v>-685.73076923076928</v>
      </c>
      <c r="K49" s="509"/>
      <c r="L49" s="469"/>
      <c r="O49" s="496"/>
    </row>
    <row r="50" spans="1:15" ht="20.100000000000001" customHeight="1">
      <c r="A50" s="487" t="s">
        <v>177</v>
      </c>
      <c r="B50" s="565"/>
      <c r="C50" s="565"/>
      <c r="D50" s="489" t="s">
        <v>131</v>
      </c>
      <c r="E50" s="490">
        <f>'25'!F50</f>
        <v>563903</v>
      </c>
      <c r="F50" s="562">
        <v>564831</v>
      </c>
      <c r="G50" s="491">
        <f t="shared" si="4"/>
        <v>928</v>
      </c>
      <c r="H50" s="492">
        <f>G50+'25'!H50</f>
        <v>-5986</v>
      </c>
      <c r="I50" s="490"/>
      <c r="J50" s="494">
        <f>H50/DAY(B2)</f>
        <v>-230.23076923076923</v>
      </c>
      <c r="K50" s="509"/>
      <c r="L50" s="469"/>
      <c r="O50" s="496"/>
    </row>
    <row r="51" spans="1:15" ht="20.100000000000001" customHeight="1">
      <c r="A51" s="487" t="s">
        <v>165</v>
      </c>
      <c r="B51" s="565"/>
      <c r="C51" s="565"/>
      <c r="D51" s="489" t="s">
        <v>131</v>
      </c>
      <c r="E51" s="490">
        <f>'25'!F51</f>
        <v>144639.87</v>
      </c>
      <c r="F51" s="562">
        <v>144639.87</v>
      </c>
      <c r="G51" s="491">
        <f t="shared" si="4"/>
        <v>0</v>
      </c>
      <c r="H51" s="492">
        <f>G51+'25'!H51</f>
        <v>-0.13000000000465661</v>
      </c>
      <c r="I51" s="490"/>
      <c r="J51" s="494">
        <f>H51/DAY(B2)</f>
        <v>-5.0000000001791008E-3</v>
      </c>
      <c r="K51" s="509"/>
      <c r="L51" s="469"/>
      <c r="O51" s="496"/>
    </row>
    <row r="52" spans="1:15" ht="20.100000000000001" customHeight="1">
      <c r="A52" s="487" t="s">
        <v>178</v>
      </c>
      <c r="B52" s="565"/>
      <c r="C52" s="565"/>
      <c r="D52" s="489" t="s">
        <v>131</v>
      </c>
      <c r="E52" s="490">
        <f>'25'!F52</f>
        <v>539606.06999999995</v>
      </c>
      <c r="F52" s="562">
        <v>539606.06999999995</v>
      </c>
      <c r="G52" s="491">
        <f t="shared" si="4"/>
        <v>0</v>
      </c>
      <c r="H52" s="492">
        <f>G52+'25'!H52</f>
        <v>0</v>
      </c>
      <c r="I52" s="490"/>
      <c r="J52" s="494">
        <f>H52/DAY(B2)</f>
        <v>0</v>
      </c>
      <c r="K52" s="509"/>
      <c r="L52" s="469"/>
      <c r="O52" s="496"/>
    </row>
    <row r="53" spans="1:15" ht="20.100000000000001" customHeight="1">
      <c r="A53" s="487" t="s">
        <v>167</v>
      </c>
      <c r="B53" s="565"/>
      <c r="C53" s="565"/>
      <c r="D53" s="489" t="s">
        <v>131</v>
      </c>
      <c r="E53" s="490">
        <f>'25'!F53</f>
        <v>434232</v>
      </c>
      <c r="F53" s="562">
        <v>434232</v>
      </c>
      <c r="G53" s="491">
        <f t="shared" si="4"/>
        <v>0</v>
      </c>
      <c r="H53" s="492">
        <f>G53+'25'!H53</f>
        <v>-0.33000000001629815</v>
      </c>
      <c r="I53" s="490"/>
      <c r="J53" s="494">
        <f>H53/DAY(B2)</f>
        <v>-1.2692307692934545E-2</v>
      </c>
      <c r="K53" s="509"/>
      <c r="L53" s="469"/>
      <c r="O53" s="496"/>
    </row>
    <row r="54" spans="1:15" ht="20.100000000000001" customHeight="1">
      <c r="A54" s="487" t="s">
        <v>179</v>
      </c>
      <c r="B54" s="565"/>
      <c r="C54" s="565"/>
      <c r="D54" s="489" t="s">
        <v>131</v>
      </c>
      <c r="E54" s="490">
        <f>'25'!F54</f>
        <v>14967</v>
      </c>
      <c r="F54" s="562">
        <v>14967</v>
      </c>
      <c r="G54" s="491">
        <f t="shared" si="4"/>
        <v>0</v>
      </c>
      <c r="H54" s="492">
        <f>G54+'25'!H54</f>
        <v>0</v>
      </c>
      <c r="I54" s="490"/>
      <c r="J54" s="494">
        <f>H54/DAY(B2)</f>
        <v>0</v>
      </c>
      <c r="K54" s="509"/>
      <c r="L54" s="469"/>
      <c r="O54" s="496"/>
    </row>
    <row r="55" spans="1:15" ht="20.100000000000001" customHeight="1">
      <c r="A55" s="487" t="s">
        <v>180</v>
      </c>
      <c r="B55" s="565"/>
      <c r="C55" s="565"/>
      <c r="D55" s="489" t="s">
        <v>131</v>
      </c>
      <c r="E55" s="490">
        <f>'25'!F55</f>
        <v>215539</v>
      </c>
      <c r="F55" s="562">
        <v>220067</v>
      </c>
      <c r="G55" s="491">
        <f t="shared" si="4"/>
        <v>4528</v>
      </c>
      <c r="H55" s="492">
        <f>G55+'25'!H55</f>
        <v>-17119</v>
      </c>
      <c r="I55" s="490"/>
      <c r="J55" s="494">
        <f>H55/DAY(B2)</f>
        <v>-658.42307692307691</v>
      </c>
      <c r="K55" s="509"/>
      <c r="L55" s="469"/>
      <c r="O55" s="496"/>
    </row>
    <row r="56" spans="1:15" ht="20.100000000000001" customHeight="1">
      <c r="A56" s="487" t="s">
        <v>181</v>
      </c>
      <c r="B56" s="565"/>
      <c r="C56" s="565"/>
      <c r="D56" s="489" t="s">
        <v>182</v>
      </c>
      <c r="E56" s="490">
        <f>'25'!F56</f>
        <v>649273</v>
      </c>
      <c r="F56" s="562">
        <v>649273</v>
      </c>
      <c r="G56" s="491">
        <f t="shared" si="4"/>
        <v>0</v>
      </c>
      <c r="H56" s="492">
        <f>G56+'25'!H56</f>
        <v>-99</v>
      </c>
      <c r="I56" s="490"/>
      <c r="J56" s="494">
        <f>H56/DAY(B2)</f>
        <v>-3.8076923076923075</v>
      </c>
      <c r="K56" s="486"/>
      <c r="L56" s="469"/>
      <c r="O56" s="496"/>
    </row>
    <row r="57" spans="1:15" ht="20.100000000000001" customHeight="1">
      <c r="A57" s="487" t="s">
        <v>171</v>
      </c>
      <c r="B57" s="565"/>
      <c r="C57" s="565"/>
      <c r="D57" s="489" t="s">
        <v>131</v>
      </c>
      <c r="E57" s="490">
        <f>'25'!F57</f>
        <v>7711</v>
      </c>
      <c r="F57" s="562">
        <v>7711</v>
      </c>
      <c r="G57" s="491">
        <f t="shared" si="4"/>
        <v>0</v>
      </c>
      <c r="H57" s="492">
        <f>G57+'25'!H57</f>
        <v>0</v>
      </c>
      <c r="I57" s="490"/>
      <c r="J57" s="494">
        <f>H57/DAY(B2)</f>
        <v>0</v>
      </c>
      <c r="K57" s="509"/>
      <c r="L57" s="469"/>
      <c r="O57" s="496"/>
    </row>
    <row r="58" spans="1:15" ht="20.100000000000001" customHeight="1">
      <c r="A58" s="487" t="s">
        <v>183</v>
      </c>
      <c r="B58" s="565"/>
      <c r="C58" s="565"/>
      <c r="D58" s="489" t="s">
        <v>131</v>
      </c>
      <c r="E58" s="490">
        <f>'25'!F58</f>
        <v>58492</v>
      </c>
      <c r="F58" s="562">
        <v>58700</v>
      </c>
      <c r="G58" s="491">
        <f t="shared" si="4"/>
        <v>208</v>
      </c>
      <c r="H58" s="492">
        <f>G58+'25'!H58</f>
        <v>-1191</v>
      </c>
      <c r="I58" s="490"/>
      <c r="J58" s="494">
        <f>H58/DAY(B2)</f>
        <v>-45.807692307692307</v>
      </c>
      <c r="K58" s="509"/>
      <c r="L58" s="469"/>
      <c r="O58" s="496"/>
    </row>
    <row r="59" spans="1:15" ht="20.100000000000001" customHeight="1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8809</v>
      </c>
      <c r="H59" s="492">
        <f>G59+'25'!H59</f>
        <v>-42224.390000000072</v>
      </c>
      <c r="I59" s="490">
        <f>G7-G60</f>
        <v>765</v>
      </c>
      <c r="J59" s="494">
        <f>H59/DAY(B2)</f>
        <v>-1624.0150000000028</v>
      </c>
      <c r="K59" s="509"/>
      <c r="L59" s="469"/>
      <c r="O59" s="496"/>
    </row>
    <row r="60" spans="1:15" ht="20.100000000000001" customHeight="1">
      <c r="A60" s="487"/>
      <c r="B60" s="488"/>
      <c r="C60" s="488"/>
      <c r="D60" s="476" t="s">
        <v>184</v>
      </c>
      <c r="E60" s="476"/>
      <c r="F60" s="476"/>
      <c r="G60" s="513">
        <f>G47+G59</f>
        <v>22485</v>
      </c>
      <c r="H60" s="492">
        <f>G60+'25'!H60</f>
        <v>-109341.36000000013</v>
      </c>
      <c r="I60" s="490">
        <f>G13-G60</f>
        <v>-578</v>
      </c>
      <c r="J60" s="494">
        <f>H60/DAY(B2)</f>
        <v>-4205.436923076928</v>
      </c>
      <c r="K60" s="509"/>
      <c r="L60" s="469"/>
      <c r="O60" s="496"/>
    </row>
    <row r="61" spans="1:15" ht="20.100000000000001" customHeight="1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 ht="20.100000000000001" customHeight="1">
      <c r="A62" s="570" t="s">
        <v>97</v>
      </c>
      <c r="B62" s="571"/>
      <c r="C62" s="571"/>
      <c r="D62" s="476" t="s">
        <v>186</v>
      </c>
      <c r="E62" s="490">
        <f>'25'!F62</f>
        <v>20419</v>
      </c>
      <c r="F62" s="572">
        <v>20419</v>
      </c>
      <c r="G62" s="491">
        <f t="shared" ref="G62:G69" si="5">F62-E62</f>
        <v>0</v>
      </c>
      <c r="H62" s="492">
        <f>G62+'25'!H62</f>
        <v>1.9999999967694748E-3</v>
      </c>
      <c r="I62" s="573"/>
      <c r="J62" s="494">
        <f>H62/DAY(B2)</f>
        <v>7.6923076798825961E-5</v>
      </c>
      <c r="K62" s="509"/>
      <c r="L62" s="469"/>
      <c r="O62" s="496"/>
    </row>
    <row r="63" spans="1:15" ht="20.100000000000001" customHeight="1">
      <c r="A63" s="570" t="s">
        <v>187</v>
      </c>
      <c r="B63" s="571"/>
      <c r="C63" s="571"/>
      <c r="D63" s="476" t="s">
        <v>186</v>
      </c>
      <c r="E63" s="490">
        <f>'25'!F63</f>
        <v>0</v>
      </c>
      <c r="F63" s="572">
        <v>0</v>
      </c>
      <c r="G63" s="491">
        <f t="shared" si="5"/>
        <v>0</v>
      </c>
      <c r="H63" s="492">
        <f>G63+'25'!H63</f>
        <v>0</v>
      </c>
      <c r="I63" s="573"/>
      <c r="J63" s="494">
        <f>H63/DAY(B2)</f>
        <v>0</v>
      </c>
      <c r="K63" s="509"/>
      <c r="L63" s="469"/>
      <c r="O63" s="496"/>
    </row>
    <row r="64" spans="1:15" ht="20.100000000000001" customHeight="1">
      <c r="A64" s="1297" t="s">
        <v>98</v>
      </c>
      <c r="B64" s="1298"/>
      <c r="C64" s="1299"/>
      <c r="D64" s="489" t="s">
        <v>186</v>
      </c>
      <c r="E64" s="490">
        <f>'25'!F64</f>
        <v>179586</v>
      </c>
      <c r="F64" s="519">
        <v>179989</v>
      </c>
      <c r="G64" s="491">
        <f t="shared" si="5"/>
        <v>403</v>
      </c>
      <c r="H64" s="492">
        <f>G64+'25'!H64</f>
        <v>-1871</v>
      </c>
      <c r="I64" s="510"/>
      <c r="J64" s="494">
        <f>H64/DAY(B2)</f>
        <v>-71.961538461538467</v>
      </c>
      <c r="K64" s="509"/>
      <c r="L64" s="469"/>
      <c r="O64" s="496"/>
    </row>
    <row r="65" spans="1:15" ht="20.100000000000001" customHeight="1">
      <c r="A65" s="1297" t="s">
        <v>99</v>
      </c>
      <c r="B65" s="1298"/>
      <c r="C65" s="1299"/>
      <c r="D65" s="489" t="s">
        <v>186</v>
      </c>
      <c r="E65" s="490">
        <f>'25'!F65</f>
        <v>179904</v>
      </c>
      <c r="F65" s="519">
        <v>180273</v>
      </c>
      <c r="G65" s="491">
        <f t="shared" si="5"/>
        <v>369</v>
      </c>
      <c r="H65" s="492">
        <f>G65+'25'!H65</f>
        <v>-1936</v>
      </c>
      <c r="I65" s="528"/>
      <c r="J65" s="494">
        <f>H65/DAY(B2)</f>
        <v>-74.461538461538467</v>
      </c>
      <c r="K65" s="509"/>
      <c r="L65" s="469"/>
      <c r="O65" s="496"/>
    </row>
    <row r="66" spans="1:15" ht="20.100000000000001" customHeight="1">
      <c r="A66" s="1297" t="s">
        <v>100</v>
      </c>
      <c r="B66" s="1298"/>
      <c r="C66" s="1299"/>
      <c r="D66" s="489" t="s">
        <v>186</v>
      </c>
      <c r="E66" s="490">
        <f>'25'!F66</f>
        <v>78223</v>
      </c>
      <c r="F66" s="519">
        <v>78637</v>
      </c>
      <c r="G66" s="491">
        <f t="shared" si="5"/>
        <v>414</v>
      </c>
      <c r="H66" s="492">
        <f>G66+'25'!H66</f>
        <v>-2035</v>
      </c>
      <c r="I66" s="510"/>
      <c r="J66" s="494">
        <f>H66/DAY(B2)</f>
        <v>-78.269230769230774</v>
      </c>
      <c r="K66" s="509"/>
      <c r="L66" s="469"/>
      <c r="O66" s="496"/>
    </row>
    <row r="67" spans="1:15" ht="20.100000000000001" customHeight="1">
      <c r="A67" s="1297" t="s">
        <v>101</v>
      </c>
      <c r="B67" s="1298"/>
      <c r="C67" s="1299"/>
      <c r="D67" s="489" t="s">
        <v>186</v>
      </c>
      <c r="E67" s="490">
        <f>'25'!F67</f>
        <v>276979</v>
      </c>
      <c r="F67" s="519">
        <v>277460</v>
      </c>
      <c r="G67" s="491">
        <f t="shared" si="5"/>
        <v>481</v>
      </c>
      <c r="H67" s="492">
        <f>G67+'25'!H67</f>
        <v>-2598</v>
      </c>
      <c r="I67" s="528"/>
      <c r="J67" s="494">
        <f>H67/DAY(B2)</f>
        <v>-99.92307692307692</v>
      </c>
      <c r="K67" s="516"/>
      <c r="L67" s="469"/>
      <c r="O67" s="496"/>
    </row>
    <row r="68" spans="1:15" ht="20.100000000000001" customHeight="1">
      <c r="A68" s="1297" t="s">
        <v>102</v>
      </c>
      <c r="B68" s="1298"/>
      <c r="C68" s="1299"/>
      <c r="D68" s="489" t="s">
        <v>186</v>
      </c>
      <c r="E68" s="490">
        <f>'25'!F68</f>
        <v>85321</v>
      </c>
      <c r="F68" s="519">
        <v>85321</v>
      </c>
      <c r="G68" s="491">
        <f t="shared" si="5"/>
        <v>0</v>
      </c>
      <c r="H68" s="492">
        <f>G68+'25'!H68</f>
        <v>0</v>
      </c>
      <c r="I68" s="574"/>
      <c r="J68" s="494">
        <f>H68/DAY(B2)</f>
        <v>0</v>
      </c>
      <c r="K68" s="575"/>
      <c r="L68" s="469"/>
      <c r="O68" s="496"/>
    </row>
    <row r="69" spans="1:15" ht="20.100000000000001" customHeight="1">
      <c r="A69" s="1297" t="s">
        <v>103</v>
      </c>
      <c r="B69" s="1298"/>
      <c r="C69" s="1299"/>
      <c r="D69" s="489" t="s">
        <v>186</v>
      </c>
      <c r="E69" s="490">
        <f>'25'!F69</f>
        <v>94476</v>
      </c>
      <c r="F69" s="519">
        <v>94828</v>
      </c>
      <c r="G69" s="491">
        <f t="shared" si="5"/>
        <v>352</v>
      </c>
      <c r="H69" s="492">
        <f>G69+'25'!H69</f>
        <v>-1729</v>
      </c>
      <c r="I69" s="574"/>
      <c r="J69" s="494">
        <f>H69/DAY(B2)</f>
        <v>-66.5</v>
      </c>
      <c r="K69" s="576"/>
      <c r="L69" s="469"/>
      <c r="O69" s="496"/>
    </row>
    <row r="70" spans="1:15" ht="20.100000000000001" customHeight="1">
      <c r="A70" s="1306" t="s">
        <v>188</v>
      </c>
      <c r="B70" s="1307"/>
      <c r="C70" s="1308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0.100000000000001" customHeight="1">
      <c r="A71" s="1303" t="s">
        <v>189</v>
      </c>
      <c r="B71" s="1304"/>
      <c r="C71" s="1304"/>
      <c r="D71" s="1304"/>
      <c r="E71" s="1304"/>
      <c r="F71" s="1304"/>
      <c r="G71" s="1304"/>
      <c r="H71" s="1304"/>
      <c r="I71" s="1304"/>
      <c r="J71" s="1305"/>
      <c r="K71" s="575"/>
      <c r="L71" s="469"/>
      <c r="O71" s="496"/>
    </row>
    <row r="72" spans="1:15" ht="20.100000000000001" customHeight="1">
      <c r="A72" s="1297" t="s">
        <v>190</v>
      </c>
      <c r="B72" s="1298"/>
      <c r="C72" s="1299"/>
      <c r="D72" s="489" t="s">
        <v>186</v>
      </c>
      <c r="E72" s="490">
        <f>'25'!F72</f>
        <v>856532</v>
      </c>
      <c r="F72" s="580">
        <v>856543</v>
      </c>
      <c r="G72" s="491">
        <f t="shared" ref="G72:G84" si="6">F72-E72</f>
        <v>11</v>
      </c>
      <c r="H72" s="492">
        <f>G72+'25'!H72</f>
        <v>-80</v>
      </c>
      <c r="I72" s="510"/>
      <c r="J72" s="494">
        <f>H72/DAY(B2)</f>
        <v>-3.0769230769230771</v>
      </c>
      <c r="K72" s="576"/>
      <c r="L72" s="469"/>
      <c r="O72" s="496"/>
    </row>
    <row r="73" spans="1:15" ht="20.100000000000001" customHeight="1">
      <c r="A73" s="1297" t="s">
        <v>191</v>
      </c>
      <c r="B73" s="1298"/>
      <c r="C73" s="1299"/>
      <c r="D73" s="489" t="s">
        <v>186</v>
      </c>
      <c r="E73" s="490">
        <f>'25'!F73</f>
        <v>886006</v>
      </c>
      <c r="F73" s="580">
        <v>886007</v>
      </c>
      <c r="G73" s="491">
        <f t="shared" si="6"/>
        <v>1</v>
      </c>
      <c r="H73" s="492">
        <f>G73+'25'!H73</f>
        <v>151</v>
      </c>
      <c r="I73" s="510"/>
      <c r="J73" s="494">
        <f>H73/DAY(B2)</f>
        <v>5.8076923076923075</v>
      </c>
      <c r="K73" s="575"/>
      <c r="L73" s="469"/>
      <c r="O73" s="496"/>
    </row>
    <row r="74" spans="1:15" ht="20.100000000000001" customHeight="1">
      <c r="A74" s="1297" t="s">
        <v>192</v>
      </c>
      <c r="B74" s="1298"/>
      <c r="C74" s="1299"/>
      <c r="D74" s="489" t="s">
        <v>186</v>
      </c>
      <c r="E74" s="490">
        <f>'25'!F74</f>
        <v>88723</v>
      </c>
      <c r="F74" s="582">
        <v>88723</v>
      </c>
      <c r="G74" s="491">
        <f t="shared" si="6"/>
        <v>0</v>
      </c>
      <c r="H74" s="492">
        <f>G74+'25'!H74</f>
        <v>62</v>
      </c>
      <c r="I74" s="510"/>
      <c r="J74" s="494">
        <f>H74/DAY(B2)</f>
        <v>2.3846153846153846</v>
      </c>
      <c r="K74" s="576"/>
      <c r="L74" s="469"/>
      <c r="O74" s="496"/>
    </row>
    <row r="75" spans="1:15" ht="20.100000000000001" customHeight="1">
      <c r="A75" s="1300" t="s">
        <v>193</v>
      </c>
      <c r="B75" s="1301"/>
      <c r="C75" s="1302"/>
      <c r="D75" s="489" t="s">
        <v>186</v>
      </c>
      <c r="E75" s="490">
        <f>'25'!F75</f>
        <v>19984</v>
      </c>
      <c r="F75" s="582">
        <v>20129</v>
      </c>
      <c r="G75" s="491">
        <f t="shared" si="6"/>
        <v>145</v>
      </c>
      <c r="H75" s="492">
        <f>G75+'25'!H75</f>
        <v>-818</v>
      </c>
      <c r="I75" s="510"/>
      <c r="J75" s="494">
        <f>H75/DAY(B2)</f>
        <v>-31.46153846153846</v>
      </c>
      <c r="K75" s="575"/>
      <c r="L75" s="469"/>
      <c r="O75" s="496"/>
    </row>
    <row r="76" spans="1:15" ht="20.100000000000001" customHeight="1">
      <c r="A76" s="1300" t="s">
        <v>194</v>
      </c>
      <c r="B76" s="1301"/>
      <c r="C76" s="1302"/>
      <c r="D76" s="489" t="s">
        <v>186</v>
      </c>
      <c r="E76" s="490">
        <f>'25'!F76</f>
        <v>10981</v>
      </c>
      <c r="F76" s="581">
        <v>11062</v>
      </c>
      <c r="G76" s="491">
        <f t="shared" si="6"/>
        <v>81</v>
      </c>
      <c r="H76" s="492">
        <f>G76+'25'!H76</f>
        <v>1136.6000000000004</v>
      </c>
      <c r="I76" s="553"/>
      <c r="J76" s="494">
        <f>H76/DAY(B2)</f>
        <v>43.715384615384629</v>
      </c>
      <c r="K76" s="575"/>
      <c r="L76" s="469"/>
      <c r="O76" s="496"/>
    </row>
    <row r="77" spans="1:15" ht="20.100000000000001" customHeight="1">
      <c r="A77" s="1297" t="s">
        <v>195</v>
      </c>
      <c r="B77" s="1298"/>
      <c r="C77" s="1299"/>
      <c r="D77" s="489" t="s">
        <v>186</v>
      </c>
      <c r="E77" s="490">
        <f>'25'!F77</f>
        <v>705945</v>
      </c>
      <c r="F77" s="580">
        <v>706078</v>
      </c>
      <c r="G77" s="491">
        <f t="shared" si="6"/>
        <v>133</v>
      </c>
      <c r="H77" s="492">
        <f>G77+'25'!H77</f>
        <v>-375</v>
      </c>
      <c r="I77" s="553"/>
      <c r="J77" s="494">
        <f>H77/DAY(B2)</f>
        <v>-14.423076923076923</v>
      </c>
      <c r="K77" s="575"/>
      <c r="L77" s="469"/>
      <c r="O77" s="496"/>
    </row>
    <row r="78" spans="1:15" ht="18.75" customHeight="1">
      <c r="A78" s="583" t="s">
        <v>196</v>
      </c>
      <c r="B78" s="767"/>
      <c r="C78" s="767"/>
      <c r="D78" s="489" t="s">
        <v>186</v>
      </c>
      <c r="E78" s="490">
        <f>'25'!F78</f>
        <v>678011</v>
      </c>
      <c r="F78" s="580">
        <v>678100</v>
      </c>
      <c r="G78" s="491">
        <f t="shared" si="6"/>
        <v>89</v>
      </c>
      <c r="H78" s="492">
        <f>G78+'25'!H78</f>
        <v>-753</v>
      </c>
      <c r="I78" s="553"/>
      <c r="J78" s="494">
        <f>H78/DAY(B2)</f>
        <v>-28.96153846153846</v>
      </c>
      <c r="K78" s="575"/>
      <c r="L78" s="469"/>
      <c r="O78" s="496"/>
    </row>
    <row r="79" spans="1:15" ht="20.100000000000001" customHeight="1">
      <c r="A79" s="1300" t="s">
        <v>91</v>
      </c>
      <c r="B79" s="1301"/>
      <c r="C79" s="1302"/>
      <c r="D79" s="522" t="s">
        <v>186</v>
      </c>
      <c r="E79" s="490">
        <f>'25'!F79</f>
        <v>839324</v>
      </c>
      <c r="F79" s="582">
        <v>839478</v>
      </c>
      <c r="G79" s="491">
        <f t="shared" si="6"/>
        <v>154</v>
      </c>
      <c r="H79" s="492">
        <f>G79+'25'!H79</f>
        <v>-1204</v>
      </c>
      <c r="I79" s="553"/>
      <c r="J79" s="494">
        <f>H79/DAY(B2)</f>
        <v>-46.307692307692307</v>
      </c>
      <c r="K79" s="575"/>
      <c r="L79" s="469"/>
      <c r="O79" s="496"/>
    </row>
    <row r="80" spans="1:15" ht="20.100000000000001" customHeight="1">
      <c r="A80" s="1300" t="s">
        <v>197</v>
      </c>
      <c r="B80" s="1301"/>
      <c r="C80" s="1302"/>
      <c r="D80" s="522" t="s">
        <v>186</v>
      </c>
      <c r="E80" s="490">
        <f>'25'!F80</f>
        <v>549604</v>
      </c>
      <c r="F80" s="580">
        <v>550012</v>
      </c>
      <c r="G80" s="491">
        <f t="shared" si="6"/>
        <v>408</v>
      </c>
      <c r="H80" s="492">
        <f>G80+'25'!H80</f>
        <v>-5194</v>
      </c>
      <c r="I80" s="553"/>
      <c r="J80" s="494">
        <f>H80/DAY(B2)</f>
        <v>-199.76923076923077</v>
      </c>
      <c r="K80" s="575"/>
      <c r="L80" s="469"/>
      <c r="O80" s="496"/>
    </row>
    <row r="81" spans="1:15" ht="20.100000000000001" customHeight="1">
      <c r="A81" s="1300" t="s">
        <v>198</v>
      </c>
      <c r="B81" s="1301"/>
      <c r="C81" s="1302"/>
      <c r="D81" s="522" t="s">
        <v>186</v>
      </c>
      <c r="E81" s="490">
        <f>'25'!F81</f>
        <v>647880</v>
      </c>
      <c r="F81" s="581">
        <v>648073</v>
      </c>
      <c r="G81" s="491">
        <f t="shared" si="6"/>
        <v>193</v>
      </c>
      <c r="H81" s="492">
        <f>G81+'25'!H81</f>
        <v>-945</v>
      </c>
      <c r="I81" s="553"/>
      <c r="J81" s="494">
        <f>H81/DAY(B2)</f>
        <v>-36.346153846153847</v>
      </c>
      <c r="K81" s="575"/>
      <c r="L81" s="469"/>
      <c r="O81" s="496"/>
    </row>
    <row r="82" spans="1:15" ht="20.100000000000001" customHeight="1">
      <c r="A82" s="1300" t="s">
        <v>92</v>
      </c>
      <c r="B82" s="1301"/>
      <c r="C82" s="1302"/>
      <c r="D82" s="523" t="s">
        <v>131</v>
      </c>
      <c r="E82" s="490">
        <f>'25'!F82</f>
        <v>109216</v>
      </c>
      <c r="F82" s="584">
        <v>109230</v>
      </c>
      <c r="G82" s="491">
        <f t="shared" si="6"/>
        <v>14</v>
      </c>
      <c r="H82" s="492">
        <f>G82+'25'!H82</f>
        <v>-106</v>
      </c>
      <c r="I82" s="524"/>
      <c r="J82" s="494">
        <f>H82/DAY(B2)</f>
        <v>-4.0769230769230766</v>
      </c>
      <c r="K82" s="575"/>
      <c r="L82" s="469"/>
      <c r="O82" s="496"/>
    </row>
    <row r="83" spans="1:15" ht="20.100000000000001" customHeight="1">
      <c r="A83" s="1300" t="s">
        <v>199</v>
      </c>
      <c r="B83" s="1301"/>
      <c r="C83" s="1302"/>
      <c r="D83" s="585" t="s">
        <v>131</v>
      </c>
      <c r="E83" s="490">
        <f>'25'!F83</f>
        <v>33827</v>
      </c>
      <c r="F83" s="476">
        <v>33838</v>
      </c>
      <c r="G83" s="491">
        <f t="shared" si="6"/>
        <v>11</v>
      </c>
      <c r="H83" s="492">
        <f>G83+'25'!H83</f>
        <v>-1187</v>
      </c>
      <c r="I83" s="513"/>
      <c r="J83" s="494">
        <f>H83/DAY(B2)</f>
        <v>-45.653846153846153</v>
      </c>
      <c r="K83" s="516"/>
      <c r="L83" s="469"/>
      <c r="O83" s="496"/>
    </row>
    <row r="84" spans="1:15" ht="20.100000000000001" customHeight="1">
      <c r="A84" s="586" t="s">
        <v>200</v>
      </c>
      <c r="B84" s="587"/>
      <c r="C84" s="587"/>
      <c r="D84" s="507" t="s">
        <v>131</v>
      </c>
      <c r="E84" s="490">
        <f>'25'!F84</f>
        <v>542535</v>
      </c>
      <c r="F84" s="588">
        <v>543364</v>
      </c>
      <c r="G84" s="491">
        <f t="shared" si="6"/>
        <v>829</v>
      </c>
      <c r="H84" s="492">
        <f>G84+'25'!H84</f>
        <v>-4029</v>
      </c>
      <c r="I84" s="513"/>
      <c r="J84" s="494">
        <f>H84/DAY(B2)</f>
        <v>-154.96153846153845</v>
      </c>
      <c r="K84" s="589"/>
      <c r="L84" s="469"/>
      <c r="O84" s="496"/>
    </row>
    <row r="85" spans="1:15" s="593" customFormat="1" ht="20.100000000000001" customHeight="1">
      <c r="A85" s="590" t="s">
        <v>201</v>
      </c>
      <c r="B85" s="591"/>
      <c r="C85" s="591"/>
      <c r="D85" s="528"/>
      <c r="E85" s="490">
        <f>'25'!F85</f>
        <v>0</v>
      </c>
      <c r="F85" s="489"/>
      <c r="G85" s="492">
        <f xml:space="preserve"> SUM(G72:G84)</f>
        <v>2069</v>
      </c>
      <c r="H85" s="492">
        <f>G85+'25'!H85</f>
        <v>-11264.999999999996</v>
      </c>
      <c r="I85" s="513"/>
      <c r="J85" s="494">
        <f>H85/DAY(B2)</f>
        <v>-433.2692307692306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'25'!F86</f>
        <v>462353</v>
      </c>
      <c r="F86" s="597">
        <v>462367</v>
      </c>
      <c r="G86" s="598">
        <f t="shared" ref="G86:G91" si="7">F86-E86</f>
        <v>14</v>
      </c>
      <c r="H86" s="598">
        <f t="shared" ref="H86:H88" si="8">G86</f>
        <v>14</v>
      </c>
      <c r="I86" s="599"/>
      <c r="J86" s="600">
        <f>H86/DAY(B2)</f>
        <v>0.53846153846153844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'25'!F87</f>
        <v>82758</v>
      </c>
      <c r="F87" s="909">
        <v>82793</v>
      </c>
      <c r="G87" s="598">
        <f t="shared" si="7"/>
        <v>35</v>
      </c>
      <c r="H87" s="598">
        <f t="shared" si="8"/>
        <v>35</v>
      </c>
      <c r="I87" s="599"/>
      <c r="J87" s="600">
        <f>H87/DAY(B2)</f>
        <v>1.3461538461538463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'25'!F88</f>
        <v>158073</v>
      </c>
      <c r="F88" s="597">
        <v>158099</v>
      </c>
      <c r="G88" s="598">
        <f t="shared" si="7"/>
        <v>26</v>
      </c>
      <c r="H88" s="598">
        <f t="shared" si="8"/>
        <v>26</v>
      </c>
      <c r="I88" s="599"/>
      <c r="J88" s="600">
        <f>H88/DAY(B2)</f>
        <v>1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'25'!F89</f>
        <v>66779</v>
      </c>
      <c r="F89" s="597">
        <v>66839</v>
      </c>
      <c r="G89" s="598">
        <f t="shared" si="7"/>
        <v>60</v>
      </c>
      <c r="H89" s="598">
        <f>G89</f>
        <v>60</v>
      </c>
      <c r="I89" s="599"/>
      <c r="J89" s="600">
        <f>H89/DAY(B2)</f>
        <v>2.3076923076923075</v>
      </c>
      <c r="K89" s="601"/>
      <c r="L89" s="602"/>
      <c r="N89" s="667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'25'!F90</f>
        <v>3432</v>
      </c>
      <c r="F90" s="597">
        <v>3439</v>
      </c>
      <c r="G90" s="598">
        <f t="shared" si="7"/>
        <v>7</v>
      </c>
      <c r="H90" s="598">
        <f>G90</f>
        <v>7</v>
      </c>
      <c r="I90" s="599"/>
      <c r="J90" s="600">
        <f>H90/DAY(B2)</f>
        <v>0.26923076923076922</v>
      </c>
      <c r="K90" s="601"/>
      <c r="L90" s="602"/>
      <c r="N90" s="662"/>
      <c r="O90" s="496"/>
    </row>
    <row r="91" spans="1:15" s="386" customFormat="1" ht="29.25">
      <c r="A91" s="381" t="s">
        <v>336</v>
      </c>
      <c r="B91" s="382"/>
      <c r="C91" s="382"/>
      <c r="D91" s="383"/>
      <c r="E91" s="490">
        <f>'25'!F91</f>
        <v>28448</v>
      </c>
      <c r="F91" s="597">
        <v>28455</v>
      </c>
      <c r="G91" s="356">
        <f t="shared" si="7"/>
        <v>7</v>
      </c>
      <c r="H91" s="356">
        <f>G91</f>
        <v>7</v>
      </c>
      <c r="I91" s="303"/>
      <c r="J91" s="358"/>
      <c r="K91" s="384"/>
      <c r="L91" s="385"/>
      <c r="N91" s="428"/>
      <c r="O91" s="73"/>
    </row>
    <row r="92" spans="1:15" s="593" customFormat="1" ht="20.100000000000001" customHeigh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 ht="20.100000000000001" customHeight="1">
      <c r="A93" s="1291" t="s">
        <v>205</v>
      </c>
      <c r="B93" s="1292"/>
      <c r="C93" s="1293"/>
      <c r="D93" s="489" t="s">
        <v>143</v>
      </c>
      <c r="E93" s="490">
        <f>'25'!F93</f>
        <v>249862</v>
      </c>
      <c r="F93" s="519">
        <v>249944</v>
      </c>
      <c r="G93" s="491">
        <f t="shared" ref="G93:G94" si="9">F93-E93</f>
        <v>82</v>
      </c>
      <c r="H93" s="492">
        <f>G93+'25'!H93</f>
        <v>-370</v>
      </c>
      <c r="I93" s="510"/>
      <c r="J93" s="494">
        <f>H93/DAY(B2)</f>
        <v>-14.23076923076923</v>
      </c>
      <c r="K93" s="516"/>
      <c r="L93" s="469"/>
      <c r="O93" s="496"/>
    </row>
    <row r="94" spans="1:15" ht="20.100000000000001" customHeight="1">
      <c r="A94" s="1291" t="s">
        <v>206</v>
      </c>
      <c r="B94" s="1292"/>
      <c r="C94" s="1293"/>
      <c r="D94" s="489" t="s">
        <v>143</v>
      </c>
      <c r="E94" s="490">
        <f>'25'!F94</f>
        <v>192369</v>
      </c>
      <c r="F94" s="519">
        <v>192477</v>
      </c>
      <c r="G94" s="491">
        <f t="shared" si="9"/>
        <v>108</v>
      </c>
      <c r="H94" s="492">
        <f>G94+'25'!H94</f>
        <v>-421</v>
      </c>
      <c r="I94" s="510"/>
      <c r="J94" s="494">
        <f>H94/DAY(B2)</f>
        <v>-16.192307692307693</v>
      </c>
      <c r="K94" s="589"/>
      <c r="L94" s="469"/>
      <c r="O94" s="496"/>
    </row>
    <row r="95" spans="1:15" ht="20.100000000000001" customHeight="1">
      <c r="A95" s="1283" t="s">
        <v>207</v>
      </c>
      <c r="B95" s="1284"/>
      <c r="C95" s="1285"/>
      <c r="D95" s="489"/>
      <c r="E95" s="490">
        <f>'25'!F95</f>
        <v>0</v>
      </c>
      <c r="F95" s="519"/>
      <c r="G95" s="491">
        <f>G93+G94</f>
        <v>190</v>
      </c>
      <c r="H95" s="492">
        <f>G95+'25'!H95</f>
        <v>-1097</v>
      </c>
      <c r="I95" s="510"/>
      <c r="J95" s="494">
        <f>H95/DAY(B2)</f>
        <v>-42.192307692307693</v>
      </c>
      <c r="K95" s="589"/>
      <c r="L95" s="469"/>
      <c r="O95" s="496"/>
    </row>
    <row r="96" spans="1:15" ht="20.100000000000001" customHeight="1">
      <c r="A96" s="1291" t="s">
        <v>208</v>
      </c>
      <c r="B96" s="1292"/>
      <c r="C96" s="1293"/>
      <c r="D96" s="489" t="s">
        <v>143</v>
      </c>
      <c r="E96" s="490">
        <f>'25'!F96</f>
        <v>418122</v>
      </c>
      <c r="F96" s="519">
        <v>418191</v>
      </c>
      <c r="G96" s="491">
        <f t="shared" ref="G96:G101" si="10">F96-E96</f>
        <v>69</v>
      </c>
      <c r="H96" s="492">
        <f>G96+'25'!H96</f>
        <v>-345</v>
      </c>
      <c r="I96" s="510"/>
      <c r="J96" s="494">
        <f>H96/DAY(B2)</f>
        <v>-13.26923076923077</v>
      </c>
      <c r="K96" s="589"/>
      <c r="L96" s="469"/>
      <c r="O96" s="496"/>
    </row>
    <row r="97" spans="1:15" ht="20.100000000000001" customHeight="1">
      <c r="A97" s="517" t="s">
        <v>209</v>
      </c>
      <c r="B97" s="518"/>
      <c r="C97" s="518"/>
      <c r="D97" s="489" t="s">
        <v>143</v>
      </c>
      <c r="E97" s="490">
        <f>'25'!F97</f>
        <v>103718</v>
      </c>
      <c r="F97" s="519">
        <v>103742</v>
      </c>
      <c r="G97" s="491">
        <f t="shared" si="10"/>
        <v>24</v>
      </c>
      <c r="H97" s="492">
        <f>G97+'25'!H97</f>
        <v>-107</v>
      </c>
      <c r="I97" s="510"/>
      <c r="J97" s="494">
        <f>H97/DAY(B2)</f>
        <v>-4.115384615384615</v>
      </c>
      <c r="K97" s="486"/>
      <c r="L97" s="469"/>
      <c r="O97" s="496"/>
    </row>
    <row r="98" spans="1:15" ht="20.100000000000001" customHeight="1">
      <c r="A98" s="517" t="s">
        <v>210</v>
      </c>
      <c r="B98" s="518"/>
      <c r="C98" s="518"/>
      <c r="D98" s="489" t="s">
        <v>143</v>
      </c>
      <c r="E98" s="490">
        <f>'25'!F98</f>
        <v>99296</v>
      </c>
      <c r="F98" s="519">
        <v>99318</v>
      </c>
      <c r="G98" s="491">
        <f t="shared" si="10"/>
        <v>22</v>
      </c>
      <c r="H98" s="492">
        <f>G98+'25'!H98</f>
        <v>-130</v>
      </c>
      <c r="I98" s="510"/>
      <c r="J98" s="494">
        <f>H98/DAY(B2)</f>
        <v>-5</v>
      </c>
      <c r="K98" s="605"/>
      <c r="L98" s="469"/>
      <c r="O98" s="496"/>
    </row>
    <row r="99" spans="1:15" ht="20.100000000000001" customHeight="1">
      <c r="A99" s="517" t="s">
        <v>211</v>
      </c>
      <c r="B99" s="518"/>
      <c r="C99" s="518"/>
      <c r="D99" s="489" t="s">
        <v>143</v>
      </c>
      <c r="E99" s="490">
        <f>'25'!F99</f>
        <v>151102</v>
      </c>
      <c r="F99" s="519">
        <v>151129</v>
      </c>
      <c r="G99" s="491">
        <f t="shared" si="10"/>
        <v>27</v>
      </c>
      <c r="H99" s="492">
        <f>G99+'25'!H99</f>
        <v>-122</v>
      </c>
      <c r="I99" s="510"/>
      <c r="J99" s="494">
        <f>H99/DAY(B2)</f>
        <v>-4.6923076923076925</v>
      </c>
      <c r="K99" s="589"/>
      <c r="L99" s="469"/>
      <c r="O99" s="496"/>
    </row>
    <row r="100" spans="1:15" ht="20.100000000000001" customHeight="1">
      <c r="A100" s="517" t="s">
        <v>212</v>
      </c>
      <c r="B100" s="518"/>
      <c r="C100" s="518"/>
      <c r="D100" s="489" t="s">
        <v>143</v>
      </c>
      <c r="E100" s="490">
        <f>'25'!F100</f>
        <v>8089</v>
      </c>
      <c r="F100" s="519">
        <v>8106</v>
      </c>
      <c r="G100" s="491">
        <f t="shared" si="10"/>
        <v>17</v>
      </c>
      <c r="H100" s="492">
        <f>G100+'25'!H100</f>
        <v>-59</v>
      </c>
      <c r="I100" s="510"/>
      <c r="J100" s="494">
        <f>H100/DAY(B2)</f>
        <v>-2.2692307692307692</v>
      </c>
      <c r="K100" s="589"/>
      <c r="L100" s="469"/>
      <c r="O100" s="496"/>
    </row>
    <row r="101" spans="1:15" ht="20.100000000000001" customHeight="1">
      <c r="A101" s="517" t="s">
        <v>213</v>
      </c>
      <c r="B101" s="518"/>
      <c r="C101" s="518"/>
      <c r="D101" s="489" t="s">
        <v>143</v>
      </c>
      <c r="E101" s="490">
        <f>'25'!F101</f>
        <v>5933</v>
      </c>
      <c r="F101" s="519">
        <v>5938</v>
      </c>
      <c r="G101" s="491">
        <f t="shared" si="10"/>
        <v>5</v>
      </c>
      <c r="H101" s="492">
        <f>G101+'25'!H101</f>
        <v>-53</v>
      </c>
      <c r="I101" s="510"/>
      <c r="J101" s="494">
        <f>H101/DAY(B2)</f>
        <v>-2.0384615384615383</v>
      </c>
      <c r="K101" s="589"/>
      <c r="L101" s="469"/>
      <c r="O101" s="496"/>
    </row>
    <row r="102" spans="1:15" ht="20.100000000000001" customHeight="1">
      <c r="A102" s="1283" t="s">
        <v>215</v>
      </c>
      <c r="B102" s="1284"/>
      <c r="C102" s="1285"/>
      <c r="D102" s="522"/>
      <c r="E102" s="522"/>
      <c r="F102" s="522"/>
      <c r="G102" s="606">
        <f>SUM(G96:G101)</f>
        <v>164</v>
      </c>
      <c r="H102" s="492">
        <f>G102+'25'!H102</f>
        <v>-816</v>
      </c>
      <c r="I102" s="607"/>
      <c r="J102" s="494">
        <f>H102/DAY(B2)</f>
        <v>-31.384615384615383</v>
      </c>
      <c r="K102" s="589"/>
      <c r="L102" s="469"/>
      <c r="O102" s="496"/>
    </row>
    <row r="103" spans="1:15" s="540" customFormat="1" ht="25.5" customHeigh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 ht="21.75" customHeight="1">
      <c r="A104" s="1280" t="s">
        <v>217</v>
      </c>
      <c r="B104" s="1281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 ht="21.75" customHeight="1">
      <c r="A105" s="1274" t="s">
        <v>218</v>
      </c>
      <c r="B105" s="1275"/>
      <c r="C105" s="622"/>
      <c r="D105" s="618" t="s">
        <v>143</v>
      </c>
      <c r="E105" s="619">
        <f>'25'!F105</f>
        <v>7637</v>
      </c>
      <c r="F105" s="619">
        <v>7637</v>
      </c>
      <c r="G105" s="619">
        <f>F105-E105</f>
        <v>0</v>
      </c>
      <c r="H105" s="620">
        <f>SUM(G105+'1'!G76)</f>
        <v>59.6299999999992</v>
      </c>
      <c r="I105" s="619"/>
      <c r="J105" s="621">
        <f>H105/DAY(B2)</f>
        <v>2.2934615384615076</v>
      </c>
      <c r="N105" s="658"/>
      <c r="O105" s="496"/>
    </row>
    <row r="106" spans="1:15" s="540" customFormat="1" ht="21.75" customHeight="1">
      <c r="A106" s="1274" t="s">
        <v>76</v>
      </c>
      <c r="B106" s="1275"/>
      <c r="C106" s="622"/>
      <c r="D106" s="618" t="s">
        <v>143</v>
      </c>
      <c r="E106" s="619">
        <f>'25'!F106</f>
        <v>36403</v>
      </c>
      <c r="F106" s="623">
        <v>36415</v>
      </c>
      <c r="G106" s="619">
        <f t="shared" ref="G106:G107" si="11">F106-E106</f>
        <v>12</v>
      </c>
      <c r="H106" s="620">
        <f>SUM(G106+'1'!G77)</f>
        <v>71</v>
      </c>
      <c r="I106" s="619"/>
      <c r="J106" s="621">
        <f>H106/DAY(B2)</f>
        <v>2.7307692307692308</v>
      </c>
      <c r="N106" s="658"/>
      <c r="O106" s="496"/>
    </row>
    <row r="107" spans="1:15" s="540" customFormat="1" ht="21.75" customHeight="1">
      <c r="A107" s="1274" t="s">
        <v>77</v>
      </c>
      <c r="B107" s="1282"/>
      <c r="C107" s="1275"/>
      <c r="D107" s="618" t="s">
        <v>143</v>
      </c>
      <c r="E107" s="619">
        <f>'25'!F107</f>
        <v>19934</v>
      </c>
      <c r="F107" s="619">
        <v>19938</v>
      </c>
      <c r="G107" s="619">
        <f t="shared" si="11"/>
        <v>4</v>
      </c>
      <c r="H107" s="620">
        <f>SUM(G107+'1'!G78)</f>
        <v>148</v>
      </c>
      <c r="I107" s="619"/>
      <c r="J107" s="621">
        <f>H107/DAY(B2)</f>
        <v>5.6923076923076925</v>
      </c>
      <c r="N107" s="658"/>
      <c r="O107" s="496"/>
    </row>
    <row r="108" spans="1:15" s="540" customFormat="1" ht="21.75" customHeight="1">
      <c r="A108" s="1276" t="s">
        <v>201</v>
      </c>
      <c r="B108" s="1277"/>
      <c r="C108" s="622"/>
      <c r="D108" s="618"/>
      <c r="E108" s="619">
        <f>'25'!F108</f>
        <v>0</v>
      </c>
      <c r="F108" s="619"/>
      <c r="G108" s="619">
        <f>SUM(G105:G107)</f>
        <v>16</v>
      </c>
      <c r="H108" s="620">
        <f>SUM(G108+'1'!G79)</f>
        <v>159</v>
      </c>
      <c r="I108" s="619"/>
      <c r="J108" s="621">
        <f>H108/DAY(B2)</f>
        <v>6.115384615384615</v>
      </c>
      <c r="N108" s="658"/>
      <c r="O108" s="496"/>
    </row>
    <row r="109" spans="1:15" s="540" customFormat="1" ht="21.75" customHeight="1">
      <c r="A109" s="1272" t="s">
        <v>78</v>
      </c>
      <c r="B109" s="1273"/>
      <c r="C109" s="622"/>
      <c r="D109" s="618" t="s">
        <v>143</v>
      </c>
      <c r="E109" s="619">
        <f>'25'!F109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 ht="21.75" customHeight="1">
      <c r="A110" s="1274" t="s">
        <v>219</v>
      </c>
      <c r="B110" s="1275"/>
      <c r="C110" s="622"/>
      <c r="D110" s="618" t="s">
        <v>143</v>
      </c>
      <c r="E110" s="619">
        <f>'25'!F110</f>
        <v>66651</v>
      </c>
      <c r="F110" s="619">
        <v>66724</v>
      </c>
      <c r="G110" s="619">
        <f>F110-E110</f>
        <v>73</v>
      </c>
      <c r="H110" s="620">
        <f>SUM(G110+'1'!G81)</f>
        <v>238.56000000005588</v>
      </c>
      <c r="I110" s="619"/>
      <c r="J110" s="621">
        <f>H110/DAY(B2)</f>
        <v>9.1753846153867649</v>
      </c>
      <c r="N110" s="658"/>
      <c r="O110" s="496"/>
    </row>
    <row r="111" spans="1:15" s="540" customFormat="1" ht="21.75" customHeight="1">
      <c r="A111" s="1274" t="s">
        <v>220</v>
      </c>
      <c r="B111" s="1275"/>
      <c r="C111" s="622"/>
      <c r="D111" s="618" t="s">
        <v>143</v>
      </c>
      <c r="E111" s="619">
        <f>'25'!F111</f>
        <v>33827</v>
      </c>
      <c r="F111" s="619">
        <v>33838</v>
      </c>
      <c r="G111" s="619">
        <f t="shared" ref="G111:G112" si="12">F111-E111</f>
        <v>11</v>
      </c>
      <c r="H111" s="620">
        <f>SUM(G111+'1'!G82)</f>
        <v>24.279999999998836</v>
      </c>
      <c r="I111" s="619"/>
      <c r="J111" s="621">
        <f>H111/DAY(B2)</f>
        <v>0.93384615384610903</v>
      </c>
      <c r="N111" s="658"/>
      <c r="O111" s="496"/>
    </row>
    <row r="112" spans="1:15" s="540" customFormat="1" ht="21.75" customHeight="1">
      <c r="A112" s="1274" t="s">
        <v>221</v>
      </c>
      <c r="B112" s="1275"/>
      <c r="C112" s="622"/>
      <c r="D112" s="618" t="s">
        <v>143</v>
      </c>
      <c r="E112" s="619">
        <f>'25'!F112</f>
        <v>4622</v>
      </c>
      <c r="F112" s="619">
        <v>4622</v>
      </c>
      <c r="G112" s="619">
        <f t="shared" si="12"/>
        <v>0</v>
      </c>
      <c r="H112" s="620">
        <f>SUM(G112+'1'!G83)</f>
        <v>305</v>
      </c>
      <c r="I112" s="619"/>
      <c r="J112" s="621">
        <f>H112/DAY(B2)</f>
        <v>11.73076923076923</v>
      </c>
      <c r="N112" s="658"/>
      <c r="O112" s="496"/>
    </row>
    <row r="113" spans="1:15" s="540" customFormat="1" ht="21.75" customHeight="1">
      <c r="A113" s="1278" t="s">
        <v>109</v>
      </c>
      <c r="B113" s="1279"/>
      <c r="C113" s="622"/>
      <c r="D113" s="618"/>
      <c r="E113" s="619">
        <f>'25'!F113</f>
        <v>0</v>
      </c>
      <c r="F113" s="619"/>
      <c r="G113" s="619">
        <f>SUM(G110:G112)</f>
        <v>84</v>
      </c>
      <c r="H113" s="620">
        <f>SUM(G113+'1'!G84)</f>
        <v>893</v>
      </c>
      <c r="I113" s="619"/>
      <c r="J113" s="621">
        <f>H113/DAY(B2)</f>
        <v>34.346153846153847</v>
      </c>
      <c r="N113" s="658"/>
      <c r="O113" s="496"/>
    </row>
    <row r="114" spans="1:15" s="540" customFormat="1" ht="21.75" customHeight="1">
      <c r="A114" s="1272" t="s">
        <v>222</v>
      </c>
      <c r="B114" s="1273"/>
      <c r="C114" s="622"/>
      <c r="D114" s="618"/>
      <c r="E114" s="619">
        <f>'25'!F114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ht="21.75" customHeight="1">
      <c r="A115" s="1274" t="s">
        <v>223</v>
      </c>
      <c r="B115" s="1275"/>
      <c r="C115" s="624"/>
      <c r="D115" s="618" t="s">
        <v>143</v>
      </c>
      <c r="E115" s="619">
        <f>'25'!F115</f>
        <v>12372</v>
      </c>
      <c r="F115" s="623">
        <v>12393</v>
      </c>
      <c r="G115" s="623">
        <f>F115-E115</f>
        <v>21</v>
      </c>
      <c r="H115" s="620">
        <f>SUM(G115+'1'!G92)</f>
        <v>21</v>
      </c>
      <c r="I115" s="619"/>
      <c r="J115" s="621">
        <f>H115/DAY(B2)</f>
        <v>0.80769230769230771</v>
      </c>
      <c r="N115" s="658"/>
      <c r="O115" s="496"/>
    </row>
    <row r="116" spans="1:15" s="540" customFormat="1" ht="21.75" customHeight="1">
      <c r="A116" s="1274" t="s">
        <v>224</v>
      </c>
      <c r="B116" s="1275"/>
      <c r="C116" s="624"/>
      <c r="D116" s="618" t="s">
        <v>143</v>
      </c>
      <c r="E116" s="619">
        <f>'25'!F116</f>
        <v>8772</v>
      </c>
      <c r="F116" s="623">
        <v>8778</v>
      </c>
      <c r="G116" s="623">
        <f t="shared" ref="G116:G117" si="13">F116-E116</f>
        <v>6</v>
      </c>
      <c r="H116" s="620">
        <f>SUM(G116+'1'!G93)</f>
        <v>141</v>
      </c>
      <c r="I116" s="619"/>
      <c r="J116" s="621">
        <f>H116/DAY(B2)</f>
        <v>5.4230769230769234</v>
      </c>
      <c r="N116" s="658"/>
      <c r="O116" s="496"/>
    </row>
    <row r="117" spans="1:15" s="540" customFormat="1" ht="21.75" customHeight="1">
      <c r="A117" s="1274" t="s">
        <v>225</v>
      </c>
      <c r="B117" s="1275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171</v>
      </c>
      <c r="I117" s="619"/>
      <c r="J117" s="621">
        <f>H117/DAY(B2)</f>
        <v>6.5769230769230766</v>
      </c>
      <c r="N117" s="658"/>
      <c r="O117" s="496"/>
    </row>
    <row r="118" spans="1:15" s="626" customFormat="1">
      <c r="A118" s="1276" t="s">
        <v>201</v>
      </c>
      <c r="B118" s="1277"/>
      <c r="C118" s="624"/>
      <c r="D118" s="625"/>
      <c r="E118" s="623"/>
      <c r="F118" s="623"/>
      <c r="G118" s="623">
        <f>SUM(G115:G117)</f>
        <v>27</v>
      </c>
      <c r="H118" s="620">
        <f>SUM(G118+'1'!G96)</f>
        <v>97</v>
      </c>
      <c r="I118" s="623"/>
      <c r="J118" s="621">
        <f>H118/DAY(B2)</f>
        <v>3.7307692307692308</v>
      </c>
      <c r="N118" s="663"/>
      <c r="O118" s="496"/>
    </row>
    <row r="119" spans="1:15" s="419" customFormat="1">
      <c r="A119" s="1269" t="s">
        <v>226</v>
      </c>
      <c r="B119" s="1270"/>
      <c r="C119" s="627"/>
      <c r="D119" s="628" t="s">
        <v>143</v>
      </c>
      <c r="E119" s="629"/>
      <c r="F119" s="630"/>
      <c r="G119" s="630">
        <f>SUM(G19+G93)</f>
        <v>142</v>
      </c>
      <c r="H119" s="620">
        <f>SUM(G119+'1'!G97)</f>
        <v>176</v>
      </c>
      <c r="I119" s="629"/>
      <c r="J119" s="631">
        <f>H119/DAY(B2)</f>
        <v>6.7692307692307692</v>
      </c>
      <c r="N119" s="664"/>
      <c r="O119" s="496"/>
    </row>
    <row r="120" spans="1:15" s="419" customFormat="1">
      <c r="A120" s="1269" t="s">
        <v>227</v>
      </c>
      <c r="B120" s="1270"/>
      <c r="C120" s="627"/>
      <c r="D120" s="628" t="s">
        <v>143</v>
      </c>
      <c r="E120" s="629"/>
      <c r="F120" s="630"/>
      <c r="G120" s="630">
        <f>SUM(G96,G97,G98,G100,G101)</f>
        <v>137</v>
      </c>
      <c r="H120" s="620">
        <f>SUM(G120+'1'!G99)</f>
        <v>143</v>
      </c>
      <c r="I120" s="629"/>
      <c r="J120" s="631">
        <f>H120/DAY(B2)</f>
        <v>5.5</v>
      </c>
      <c r="N120" s="664"/>
      <c r="O120" s="496"/>
    </row>
    <row r="121" spans="1:15" s="419" customFormat="1">
      <c r="A121" s="1269" t="s">
        <v>228</v>
      </c>
      <c r="B121" s="1270"/>
      <c r="C121" s="627"/>
      <c r="D121" s="628" t="s">
        <v>143</v>
      </c>
      <c r="E121" s="629"/>
      <c r="F121" s="623"/>
      <c r="G121" s="623">
        <f>SUM(G113)</f>
        <v>84</v>
      </c>
      <c r="H121" s="620">
        <f>SUM(G121+'1'!G101)</f>
        <v>99</v>
      </c>
      <c r="I121" s="629"/>
      <c r="J121" s="631">
        <f>H121/DAY(B2)</f>
        <v>3.8076923076923075</v>
      </c>
      <c r="N121" s="664"/>
      <c r="O121" s="496"/>
    </row>
    <row r="122" spans="1:15" s="540" customFormat="1" ht="18.75" customHeight="1">
      <c r="A122" s="1271"/>
      <c r="B122" s="1268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 ht="20.100000000000001" customHeight="1">
      <c r="A123" s="1286" t="s">
        <v>229</v>
      </c>
      <c r="B123" s="1287"/>
      <c r="C123" s="1288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 ht="22.5" customHeight="1">
      <c r="A124" s="517" t="s">
        <v>230</v>
      </c>
      <c r="B124" s="518"/>
      <c r="C124" s="518"/>
      <c r="D124" s="489" t="s">
        <v>140</v>
      </c>
      <c r="E124" s="490">
        <f>'25'!F124</f>
        <v>846435</v>
      </c>
      <c r="F124" s="507">
        <v>846687</v>
      </c>
      <c r="G124" s="491">
        <f t="shared" ref="G124:G128" si="14">F124-E124</f>
        <v>252</v>
      </c>
      <c r="H124" s="492">
        <f>G124+'25'!H124</f>
        <v>-1279</v>
      </c>
      <c r="I124" s="607"/>
      <c r="J124" s="494">
        <f>H124/DAY(B2)</f>
        <v>-49.192307692307693</v>
      </c>
      <c r="K124" s="589"/>
      <c r="L124" s="469"/>
      <c r="O124" s="496"/>
    </row>
    <row r="125" spans="1:15" ht="22.5" customHeight="1">
      <c r="A125" s="517" t="s">
        <v>231</v>
      </c>
      <c r="B125" s="518"/>
      <c r="C125" s="518"/>
      <c r="D125" s="489" t="s">
        <v>140</v>
      </c>
      <c r="E125" s="490">
        <f>'25'!F125</f>
        <v>73583</v>
      </c>
      <c r="F125" s="635">
        <v>73583</v>
      </c>
      <c r="G125" s="491">
        <f t="shared" si="14"/>
        <v>0</v>
      </c>
      <c r="H125" s="492">
        <f>G125+'25'!H125</f>
        <v>-0.39999999999417923</v>
      </c>
      <c r="I125" s="607"/>
      <c r="J125" s="494">
        <f>H125/DAY(B2)</f>
        <v>-1.5384615384391509E-2</v>
      </c>
      <c r="K125" s="589"/>
      <c r="L125" s="469"/>
      <c r="O125" s="496"/>
    </row>
    <row r="126" spans="1:15" ht="22.5" customHeight="1">
      <c r="A126" s="1297" t="s">
        <v>232</v>
      </c>
      <c r="B126" s="1298"/>
      <c r="C126" s="1299"/>
      <c r="D126" s="489" t="s">
        <v>140</v>
      </c>
      <c r="E126" s="490">
        <f>'25'!F126</f>
        <v>150850</v>
      </c>
      <c r="F126" s="507">
        <v>150921</v>
      </c>
      <c r="G126" s="491">
        <f t="shared" si="14"/>
        <v>71</v>
      </c>
      <c r="H126" s="492">
        <f>G126+'25'!H126</f>
        <v>-400</v>
      </c>
      <c r="I126" s="607"/>
      <c r="J126" s="494">
        <f>H126/DAY(B2)</f>
        <v>-15.384615384615385</v>
      </c>
      <c r="K126" s="589"/>
      <c r="L126" s="469"/>
      <c r="O126" s="496"/>
    </row>
    <row r="127" spans="1:15" ht="20.100000000000001" customHeight="1">
      <c r="A127" s="636" t="s">
        <v>233</v>
      </c>
      <c r="B127" s="518"/>
      <c r="C127" s="518"/>
      <c r="D127" s="489" t="s">
        <v>140</v>
      </c>
      <c r="E127" s="490">
        <f>'25'!F127</f>
        <v>33055</v>
      </c>
      <c r="F127" s="635">
        <v>33090</v>
      </c>
      <c r="G127" s="491">
        <f t="shared" si="14"/>
        <v>35</v>
      </c>
      <c r="H127" s="492">
        <f>G127+'25'!H127</f>
        <v>-198</v>
      </c>
      <c r="I127" s="607"/>
      <c r="J127" s="494">
        <f>H127/DAY(B2)</f>
        <v>-7.615384615384615</v>
      </c>
      <c r="K127" s="589"/>
      <c r="L127" s="469"/>
      <c r="O127" s="496"/>
    </row>
    <row r="128" spans="1:15" ht="20.100000000000001" customHeight="1">
      <c r="A128" s="636" t="s">
        <v>234</v>
      </c>
      <c r="B128" s="518"/>
      <c r="C128" s="518"/>
      <c r="D128" s="489" t="s">
        <v>140</v>
      </c>
      <c r="E128" s="490">
        <f>'25'!F128</f>
        <v>9099</v>
      </c>
      <c r="F128" s="635">
        <v>9101</v>
      </c>
      <c r="G128" s="491">
        <f t="shared" si="14"/>
        <v>2</v>
      </c>
      <c r="H128" s="492">
        <f>G128+'25'!H128</f>
        <v>-12</v>
      </c>
      <c r="I128" s="510"/>
      <c r="J128" s="494">
        <f>H128/DAY(B2)</f>
        <v>-0.46153846153846156</v>
      </c>
      <c r="K128" s="589"/>
      <c r="L128" s="469"/>
      <c r="O128" s="496"/>
    </row>
    <row r="129" spans="1:15" ht="21.75" customHeight="1">
      <c r="A129" s="636" t="s">
        <v>235</v>
      </c>
      <c r="B129" s="518"/>
      <c r="C129" s="518"/>
      <c r="D129" s="489"/>
      <c r="E129" s="490"/>
      <c r="F129" s="507"/>
      <c r="G129" s="491">
        <f>G15-SUM(G124:G128)</f>
        <v>590</v>
      </c>
      <c r="H129" s="492">
        <f>G129+'25'!H129</f>
        <v>18416.399999999994</v>
      </c>
      <c r="I129" s="510"/>
      <c r="J129" s="494">
        <f>H129/DAY(B2)</f>
        <v>708.32307692307666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'25'!F131</f>
        <v>0</v>
      </c>
      <c r="F131" s="519">
        <v>0</v>
      </c>
      <c r="G131" s="491">
        <f t="shared" ref="G131:G141" si="15">F131-E131</f>
        <v>0</v>
      </c>
      <c r="H131" s="492">
        <f>G131+'25'!H131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'25'!F132</f>
        <v>0</v>
      </c>
      <c r="F132" s="519">
        <v>0</v>
      </c>
      <c r="G132" s="491">
        <f t="shared" si="15"/>
        <v>0</v>
      </c>
      <c r="H132" s="492">
        <f>G132+'25'!H132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'25'!F133</f>
        <v>40619</v>
      </c>
      <c r="F133" s="640">
        <v>40619</v>
      </c>
      <c r="G133" s="491">
        <f t="shared" si="15"/>
        <v>0</v>
      </c>
      <c r="H133" s="492">
        <f>G133+'25'!H133</f>
        <v>0</v>
      </c>
      <c r="I133" s="510"/>
      <c r="J133" s="494">
        <f>H133/DAY(B2)</f>
        <v>0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'25'!F134</f>
        <v>474</v>
      </c>
      <c r="F134" s="584">
        <v>486</v>
      </c>
      <c r="G134" s="491">
        <f t="shared" si="15"/>
        <v>12</v>
      </c>
      <c r="H134" s="492">
        <f>G134+'25'!H134</f>
        <v>-88</v>
      </c>
      <c r="I134" s="510">
        <f>G131+G132+G133+G134</f>
        <v>12</v>
      </c>
      <c r="J134" s="494">
        <f>H134/DAY(B2)</f>
        <v>-3.3846153846153846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'25'!F135</f>
        <v>42410</v>
      </c>
      <c r="F135" s="640">
        <v>42430</v>
      </c>
      <c r="G135" s="491">
        <f t="shared" si="15"/>
        <v>20</v>
      </c>
      <c r="H135" s="492">
        <f>G135+'25'!H135</f>
        <v>91.889999999999418</v>
      </c>
      <c r="I135" s="510"/>
      <c r="J135" s="494">
        <f>H135/DAY(B2)</f>
        <v>3.5342307692307466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'25'!F136</f>
        <v>32874</v>
      </c>
      <c r="F136" s="640">
        <v>32874</v>
      </c>
      <c r="G136" s="491">
        <f t="shared" si="15"/>
        <v>0</v>
      </c>
      <c r="H136" s="492">
        <f>G136+'25'!H136</f>
        <v>12.94999999999709</v>
      </c>
      <c r="I136" s="510"/>
      <c r="J136" s="494">
        <f>H136/DAY(B2)</f>
        <v>0.49807692307681112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'25'!F137</f>
        <v>23076</v>
      </c>
      <c r="F137" s="640">
        <v>23083</v>
      </c>
      <c r="G137" s="491">
        <f t="shared" si="15"/>
        <v>7</v>
      </c>
      <c r="H137" s="492">
        <f>G137+'25'!H137</f>
        <v>-23.56000000000131</v>
      </c>
      <c r="I137" s="510">
        <f>G135+G136+G137</f>
        <v>27</v>
      </c>
      <c r="J137" s="494">
        <f>H137/DAY(B2)</f>
        <v>-0.90615384615389649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'25'!F138</f>
        <v>25099</v>
      </c>
      <c r="F138" s="640">
        <v>25099</v>
      </c>
      <c r="G138" s="491">
        <f t="shared" si="15"/>
        <v>0</v>
      </c>
      <c r="H138" s="492">
        <f>G138+'25'!H138</f>
        <v>7.8400000000001455</v>
      </c>
      <c r="I138" s="510"/>
      <c r="J138" s="494">
        <f>H138/DAY(B2)</f>
        <v>0.30153846153846714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'25'!F139</f>
        <v>70517</v>
      </c>
      <c r="F139" s="640">
        <v>70517</v>
      </c>
      <c r="G139" s="491">
        <f t="shared" si="15"/>
        <v>0</v>
      </c>
      <c r="H139" s="492">
        <f>G139+'25'!H139</f>
        <v>15.399999999994179</v>
      </c>
      <c r="I139" s="510">
        <f>G138+G139</f>
        <v>0</v>
      </c>
      <c r="J139" s="494">
        <f>H139/DAY(B2)</f>
        <v>0.59230769230746838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'25'!F140</f>
        <v>2255.36</v>
      </c>
      <c r="F140" s="519">
        <v>2264.63</v>
      </c>
      <c r="G140" s="491">
        <f t="shared" si="15"/>
        <v>9.2699999999999818</v>
      </c>
      <c r="H140" s="492">
        <f>G140+'25'!H140</f>
        <v>-46.929999999999836</v>
      </c>
      <c r="I140" s="641"/>
      <c r="J140" s="494">
        <f>H140/DAY(B2)</f>
        <v>-1.8049999999999937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'25'!F141</f>
        <v>4753.67</v>
      </c>
      <c r="F141" s="519">
        <v>4753.67</v>
      </c>
      <c r="G141" s="491">
        <f t="shared" si="15"/>
        <v>0</v>
      </c>
      <c r="H141" s="492">
        <f>G141+'25'!H141</f>
        <v>-0.32999999999992724</v>
      </c>
      <c r="I141" s="641"/>
      <c r="J141" s="494">
        <f>H141/DAY(B2)</f>
        <v>-1.2692307692304894E-2</v>
      </c>
      <c r="O141" s="496"/>
    </row>
    <row r="142" spans="1:15">
      <c r="A142" s="1289" t="s">
        <v>249</v>
      </c>
      <c r="B142" s="1290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291" t="s">
        <v>250</v>
      </c>
      <c r="B143" s="1292"/>
      <c r="C143" s="1293"/>
      <c r="D143" s="489" t="s">
        <v>131</v>
      </c>
      <c r="E143" s="489"/>
      <c r="F143" s="489"/>
      <c r="G143" s="492">
        <f>G35+G43+G49+G57</f>
        <v>5939</v>
      </c>
      <c r="H143" s="492">
        <f>G143+'25'!H143</f>
        <v>-31521.119999999995</v>
      </c>
      <c r="I143" s="510"/>
      <c r="J143" s="494">
        <f>H143/DAY(B2)</f>
        <v>-1212.3507692307689</v>
      </c>
      <c r="K143" s="589"/>
      <c r="L143" s="469"/>
      <c r="O143" s="496"/>
    </row>
    <row r="144" spans="1:15">
      <c r="A144" s="1291" t="s">
        <v>251</v>
      </c>
      <c r="B144" s="1292"/>
      <c r="C144" s="1293"/>
      <c r="D144" s="489" t="s">
        <v>24</v>
      </c>
      <c r="E144" s="476"/>
      <c r="F144" s="480"/>
      <c r="G144" s="642">
        <f>G143/G7</f>
        <v>0.25544086021505374</v>
      </c>
      <c r="H144" s="492">
        <f>G144+'25'!H144</f>
        <v>-1.1865823361829417</v>
      </c>
      <c r="I144" s="643"/>
      <c r="J144" s="494">
        <f>H144/DAY(B2)</f>
        <v>-4.5637782160882372E-2</v>
      </c>
      <c r="K144" s="589"/>
      <c r="L144" s="469"/>
      <c r="O144" s="496"/>
    </row>
    <row r="145" spans="1:15">
      <c r="A145" s="1291" t="s">
        <v>252</v>
      </c>
      <c r="B145" s="1292"/>
      <c r="C145" s="1293"/>
      <c r="D145" s="489" t="s">
        <v>131</v>
      </c>
      <c r="E145" s="490"/>
      <c r="F145" s="490"/>
      <c r="G145" s="492">
        <f>G41+G42+G55+G56</f>
        <v>7309</v>
      </c>
      <c r="H145" s="492">
        <f>G145+'25'!H145</f>
        <v>-33659</v>
      </c>
      <c r="I145" s="510"/>
      <c r="J145" s="494">
        <f>H145/DAY(B2)</f>
        <v>-1294.5769230769231</v>
      </c>
      <c r="K145" s="589"/>
      <c r="L145" s="469"/>
      <c r="O145" s="496"/>
    </row>
    <row r="146" spans="1:15" ht="20.100000000000001" customHeight="1">
      <c r="A146" s="1291" t="s">
        <v>253</v>
      </c>
      <c r="B146" s="1292"/>
      <c r="C146" s="1293"/>
      <c r="D146" s="489" t="s">
        <v>24</v>
      </c>
      <c r="E146" s="490"/>
      <c r="F146" s="490"/>
      <c r="G146" s="642">
        <f>G145/G7</f>
        <v>0.31436559139784948</v>
      </c>
      <c r="H146" s="492">
        <f>G146+'25'!H146</f>
        <v>-1.2664195797416715</v>
      </c>
      <c r="I146" s="643"/>
      <c r="J146" s="494">
        <f>H146/DAY(B2)</f>
        <v>-4.8708445374679672E-2</v>
      </c>
      <c r="K146" s="589"/>
      <c r="L146" s="469"/>
      <c r="O146" s="496"/>
    </row>
    <row r="147" spans="1:15" ht="20.100000000000001" customHeight="1">
      <c r="A147" s="1291" t="s">
        <v>254</v>
      </c>
      <c r="B147" s="1292"/>
      <c r="C147" s="1293"/>
      <c r="D147" s="489" t="s">
        <v>131</v>
      </c>
      <c r="E147" s="490"/>
      <c r="F147" s="490"/>
      <c r="G147" s="492">
        <f>G39+G53</f>
        <v>3750</v>
      </c>
      <c r="H147" s="492">
        <f>G147+'25'!H147</f>
        <v>-19040</v>
      </c>
      <c r="I147" s="644"/>
      <c r="J147" s="494">
        <f>H147/DAY(B2)</f>
        <v>-732.30769230769226</v>
      </c>
      <c r="K147" s="589"/>
      <c r="L147" s="469"/>
      <c r="O147" s="496"/>
    </row>
    <row r="148" spans="1:15" ht="20.100000000000001" customHeight="1">
      <c r="A148" s="1291" t="s">
        <v>255</v>
      </c>
      <c r="B148" s="1292"/>
      <c r="C148" s="1293"/>
      <c r="D148" s="489" t="s">
        <v>24</v>
      </c>
      <c r="E148" s="490"/>
      <c r="F148" s="490"/>
      <c r="G148" s="642">
        <f>G147/G7</f>
        <v>0.16129032258064516</v>
      </c>
      <c r="H148" s="492">
        <f>G148+'25'!H148</f>
        <v>-0.7040467586368363</v>
      </c>
      <c r="I148" s="644"/>
      <c r="J148" s="494">
        <f>H148/DAY(B2)</f>
        <v>-2.7078721486032166E-2</v>
      </c>
      <c r="O148" s="496"/>
    </row>
    <row r="149" spans="1:15" ht="20.100000000000001" customHeight="1">
      <c r="A149" s="1291" t="s">
        <v>256</v>
      </c>
      <c r="B149" s="1292"/>
      <c r="C149" s="1293"/>
      <c r="D149" s="489" t="s">
        <v>182</v>
      </c>
      <c r="E149" s="490"/>
      <c r="F149" s="490"/>
      <c r="G149" s="492">
        <f>G38+G52</f>
        <v>1573</v>
      </c>
      <c r="H149" s="492">
        <f>G149+'25'!H149</f>
        <v>-8144.9300000000512</v>
      </c>
      <c r="I149" s="510"/>
      <c r="J149" s="494">
        <f>H149/DAY(B2)</f>
        <v>-313.26653846154045</v>
      </c>
      <c r="K149" s="645"/>
      <c r="O149" s="496"/>
    </row>
    <row r="150" spans="1:15" ht="20.100000000000001" customHeight="1">
      <c r="A150" s="1291" t="s">
        <v>257</v>
      </c>
      <c r="B150" s="1292"/>
      <c r="C150" s="1293"/>
      <c r="D150" s="489" t="s">
        <v>24</v>
      </c>
      <c r="E150" s="490"/>
      <c r="F150" s="490"/>
      <c r="G150" s="642">
        <f>G149/G7</f>
        <v>6.7655913978494617E-2</v>
      </c>
      <c r="H150" s="492">
        <f>G150+'25'!H150</f>
        <v>-0.29872181669222903</v>
      </c>
      <c r="I150" s="644"/>
      <c r="J150" s="494">
        <f>H150/DAY(B2)</f>
        <v>-1.1489300642008808E-2</v>
      </c>
      <c r="O150" s="496"/>
    </row>
    <row r="151" spans="1:15" ht="20.100000000000001" customHeight="1">
      <c r="A151" s="1291" t="s">
        <v>258</v>
      </c>
      <c r="B151" s="1292"/>
      <c r="C151" s="1293"/>
      <c r="D151" s="489" t="s">
        <v>182</v>
      </c>
      <c r="E151" s="490"/>
      <c r="F151" s="490"/>
      <c r="G151" s="492">
        <f>G36+G50</f>
        <v>1683</v>
      </c>
      <c r="H151" s="492">
        <f>G151+'25'!H151</f>
        <v>-9368</v>
      </c>
      <c r="I151" s="644"/>
      <c r="J151" s="494">
        <f>H151/DAY(B2)</f>
        <v>-360.30769230769232</v>
      </c>
      <c r="O151" s="496"/>
    </row>
    <row r="152" spans="1:15" ht="20.100000000000001" customHeight="1">
      <c r="A152" s="1291" t="s">
        <v>259</v>
      </c>
      <c r="B152" s="1292"/>
      <c r="C152" s="1293"/>
      <c r="D152" s="489" t="s">
        <v>24</v>
      </c>
      <c r="E152" s="490"/>
      <c r="F152" s="490"/>
      <c r="G152" s="642">
        <f>G151/G7</f>
        <v>7.2387096774193554E-2</v>
      </c>
      <c r="H152" s="492">
        <f>G152+'25'!H152</f>
        <v>-0.35063876899213797</v>
      </c>
      <c r="I152" s="510"/>
      <c r="J152" s="494">
        <f>H152/DAY(B2)</f>
        <v>-1.3486106499697614E-2</v>
      </c>
      <c r="O152" s="496"/>
    </row>
    <row r="153" spans="1:15" ht="20.100000000000001" customHeight="1">
      <c r="A153" s="1291" t="s">
        <v>260</v>
      </c>
      <c r="B153" s="1292"/>
      <c r="C153" s="1293"/>
      <c r="D153" s="489" t="s">
        <v>182</v>
      </c>
      <c r="E153" s="490"/>
      <c r="F153" s="490"/>
      <c r="G153" s="492">
        <f>G37+G51</f>
        <v>1663</v>
      </c>
      <c r="H153" s="492">
        <f>G153+'25'!H153</f>
        <v>-8150.1300000000047</v>
      </c>
      <c r="I153" s="510"/>
      <c r="J153" s="494">
        <f>H153/DAY(B2)</f>
        <v>-313.46653846153862</v>
      </c>
      <c r="O153" s="496"/>
    </row>
    <row r="154" spans="1:15" ht="20.100000000000001" customHeight="1" thickBot="1">
      <c r="A154" s="1294" t="s">
        <v>261</v>
      </c>
      <c r="B154" s="1295"/>
      <c r="C154" s="1296"/>
      <c r="D154" s="646" t="s">
        <v>24</v>
      </c>
      <c r="E154" s="647"/>
      <c r="F154" s="647"/>
      <c r="G154" s="648">
        <f>G153/G7</f>
        <v>7.1526881720430105E-2</v>
      </c>
      <c r="H154" s="492">
        <f>G154+'25'!H154</f>
        <v>-0.30301170404674754</v>
      </c>
      <c r="I154" s="649"/>
      <c r="J154" s="650">
        <f>H154/DAY(B2)</f>
        <v>-1.1654296309490291E-2</v>
      </c>
      <c r="O154" s="496"/>
    </row>
    <row r="155" spans="1:15" ht="44.25" customHeight="1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641" t="s">
        <v>262</v>
      </c>
      <c r="B161" s="641"/>
      <c r="C161" s="641"/>
      <c r="D161" s="476" t="s">
        <v>186</v>
      </c>
      <c r="E161" s="490">
        <f>'25'!F161</f>
        <v>42848</v>
      </c>
      <c r="F161" s="665">
        <v>42931</v>
      </c>
      <c r="G161" s="491">
        <f t="shared" ref="G161:G164" si="16">F161-E161</f>
        <v>83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'25'!F162</f>
        <v>119316</v>
      </c>
      <c r="F162" s="665">
        <v>119810</v>
      </c>
      <c r="G162" s="491">
        <f t="shared" si="16"/>
        <v>494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'25'!F163</f>
        <v>66311</v>
      </c>
      <c r="F163" s="665">
        <v>66512</v>
      </c>
      <c r="G163" s="491">
        <f t="shared" si="16"/>
        <v>201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'25'!F164</f>
        <v>7082</v>
      </c>
      <c r="F164" s="665">
        <v>7092</v>
      </c>
      <c r="G164" s="491">
        <f t="shared" si="16"/>
        <v>10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572">
        <f>E62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7" ht="21.75" customHeight="1">
      <c r="A167" s="1266" t="s">
        <v>98</v>
      </c>
      <c r="B167" s="1266"/>
      <c r="C167" s="1266"/>
      <c r="D167" s="489" t="s">
        <v>186</v>
      </c>
      <c r="E167" s="572">
        <f t="shared" si="18"/>
        <v>179586</v>
      </c>
      <c r="F167" s="572">
        <f t="shared" si="19"/>
        <v>179989</v>
      </c>
      <c r="G167" s="491">
        <f t="shared" si="17"/>
        <v>403</v>
      </c>
    </row>
    <row r="168" spans="1:7" ht="21.75" customHeight="1">
      <c r="A168" s="1266" t="s">
        <v>99</v>
      </c>
      <c r="B168" s="1266"/>
      <c r="C168" s="1266"/>
      <c r="D168" s="489" t="s">
        <v>186</v>
      </c>
      <c r="E168" s="572">
        <f t="shared" si="18"/>
        <v>179904</v>
      </c>
      <c r="F168" s="572">
        <f t="shared" si="19"/>
        <v>180273</v>
      </c>
      <c r="G168" s="491">
        <f t="shared" si="17"/>
        <v>369</v>
      </c>
    </row>
    <row r="169" spans="1:7" ht="21.75" customHeight="1">
      <c r="A169" s="1266" t="s">
        <v>100</v>
      </c>
      <c r="B169" s="1266"/>
      <c r="C169" s="1266"/>
      <c r="D169" s="489" t="s">
        <v>186</v>
      </c>
      <c r="E169" s="572">
        <f t="shared" si="18"/>
        <v>78223</v>
      </c>
      <c r="F169" s="572">
        <f t="shared" si="19"/>
        <v>78637</v>
      </c>
      <c r="G169" s="491">
        <f t="shared" si="17"/>
        <v>414</v>
      </c>
    </row>
    <row r="170" spans="1:7" ht="21.75" customHeight="1">
      <c r="A170" s="1266" t="s">
        <v>101</v>
      </c>
      <c r="B170" s="1266"/>
      <c r="C170" s="1266"/>
      <c r="D170" s="489" t="s">
        <v>186</v>
      </c>
      <c r="E170" s="572">
        <f t="shared" si="18"/>
        <v>276979</v>
      </c>
      <c r="F170" s="572">
        <f t="shared" si="19"/>
        <v>277460</v>
      </c>
      <c r="G170" s="491">
        <f t="shared" si="17"/>
        <v>481</v>
      </c>
    </row>
    <row r="171" spans="1:7" ht="24" customHeight="1">
      <c r="A171" s="1266" t="s">
        <v>102</v>
      </c>
      <c r="B171" s="1266"/>
      <c r="C171" s="1266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</row>
    <row r="172" spans="1:7">
      <c r="A172" s="1266" t="s">
        <v>103</v>
      </c>
      <c r="B172" s="1266"/>
      <c r="C172" s="1266"/>
      <c r="D172" s="489" t="s">
        <v>186</v>
      </c>
      <c r="E172" s="572">
        <f t="shared" si="18"/>
        <v>94476</v>
      </c>
      <c r="F172" s="572">
        <f t="shared" si="19"/>
        <v>94828</v>
      </c>
      <c r="G172" s="491">
        <f t="shared" si="17"/>
        <v>352</v>
      </c>
    </row>
    <row r="173" spans="1:7">
      <c r="G173" s="656">
        <f>SUM(G161:G172)</f>
        <v>2807</v>
      </c>
    </row>
    <row r="174" spans="1:7">
      <c r="A174" s="1266" t="s">
        <v>334</v>
      </c>
      <c r="B174" s="1266"/>
      <c r="C174" s="1266"/>
      <c r="D174" s="489" t="s">
        <v>186</v>
      </c>
      <c r="E174" s="597">
        <v>28448</v>
      </c>
      <c r="F174" s="619">
        <v>28455</v>
      </c>
      <c r="G174" s="491">
        <f t="shared" ref="G174:G177" si="20">F174-E174</f>
        <v>7</v>
      </c>
    </row>
    <row r="175" spans="1:7">
      <c r="A175" s="1267" t="s">
        <v>338</v>
      </c>
      <c r="B175" s="1268"/>
      <c r="C175" s="641"/>
      <c r="D175" s="489" t="s">
        <v>186</v>
      </c>
      <c r="E175" s="619">
        <v>19116</v>
      </c>
      <c r="F175" s="619">
        <v>19118</v>
      </c>
      <c r="G175" s="491">
        <f t="shared" si="20"/>
        <v>2</v>
      </c>
    </row>
    <row r="176" spans="1:7">
      <c r="A176" s="1267" t="s">
        <v>339</v>
      </c>
      <c r="B176" s="1268"/>
      <c r="D176" s="489" t="s">
        <v>186</v>
      </c>
      <c r="E176" s="619">
        <v>27760</v>
      </c>
      <c r="F176" s="901">
        <v>27766</v>
      </c>
      <c r="G176" s="491">
        <f t="shared" si="20"/>
        <v>6</v>
      </c>
    </row>
    <row r="177" spans="1:15" ht="18.75" customHeight="1">
      <c r="A177" s="1267" t="s">
        <v>338</v>
      </c>
      <c r="B177" s="1268"/>
      <c r="D177" s="489" t="s">
        <v>186</v>
      </c>
      <c r="E177" s="619">
        <v>70448</v>
      </c>
      <c r="F177" s="619">
        <v>70500</v>
      </c>
      <c r="G177" s="491">
        <f t="shared" si="20"/>
        <v>52</v>
      </c>
      <c r="J177" s="657"/>
    </row>
    <row r="178" spans="1:15" s="67" customFormat="1" ht="29.25">
      <c r="A178" s="1228"/>
      <c r="B178" s="1191"/>
      <c r="C178" s="436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>
      <c r="A179" s="1228"/>
      <c r="B179" s="1191"/>
      <c r="C179" s="436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>
      <c r="A180" s="1228"/>
      <c r="B180" s="1191"/>
      <c r="C180" s="436"/>
      <c r="D180" s="174"/>
      <c r="E180" s="183"/>
      <c r="F180" s="183"/>
      <c r="G180" s="124"/>
      <c r="H180" s="189"/>
      <c r="I180" s="188"/>
      <c r="J180" s="190"/>
      <c r="N180" s="369"/>
      <c r="O180" s="374"/>
    </row>
    <row r="181" spans="1:15">
      <c r="F181" s="1119"/>
    </row>
    <row r="182" spans="1:15">
      <c r="F182" s="1119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80"/>
  <sheetViews>
    <sheetView view="pageBreakPreview" topLeftCell="B78" zoomScale="95" zoomScaleSheetLayoutView="95" workbookViewId="0">
      <selection activeCell="F19" sqref="F19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4" s="57" customFormat="1" ht="27">
      <c r="A2" s="226" t="s">
        <v>360</v>
      </c>
      <c r="B2" s="762">
        <v>44039</v>
      </c>
      <c r="C2" s="773" t="s">
        <v>68</v>
      </c>
      <c r="D2" s="262">
        <v>0.64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773" t="s">
        <v>119</v>
      </c>
      <c r="D3" s="263">
        <v>29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773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'26'!F7</f>
        <v>1197888</v>
      </c>
      <c r="F7" s="106">
        <f>E7+23250</f>
        <v>1221138</v>
      </c>
      <c r="G7" s="329">
        <f>F7-E7</f>
        <v>23250</v>
      </c>
      <c r="H7" s="330">
        <f>G7+'26'!H7</f>
        <v>613316</v>
      </c>
      <c r="I7" s="331">
        <f>'1'!I7</f>
        <v>12000</v>
      </c>
      <c r="J7" s="332">
        <f>H7/DAY(B2)</f>
        <v>22715.407407407409</v>
      </c>
      <c r="K7" s="200"/>
      <c r="L7" s="68">
        <v>1375467</v>
      </c>
      <c r="M7" s="67">
        <v>1691553</v>
      </c>
      <c r="N7" s="73">
        <f>M7-L7</f>
        <v>316086</v>
      </c>
    </row>
    <row r="8" spans="1:14" ht="27.75" thickBot="1">
      <c r="A8" s="333" t="s">
        <v>132</v>
      </c>
      <c r="B8" s="334"/>
      <c r="C8" s="335"/>
      <c r="D8" s="336" t="s">
        <v>25</v>
      </c>
      <c r="E8" s="284">
        <f>'26'!F8</f>
        <v>504655</v>
      </c>
      <c r="F8" s="126">
        <v>525880</v>
      </c>
      <c r="G8" s="340">
        <f>F8-E8</f>
        <v>21225</v>
      </c>
      <c r="H8" s="330">
        <f>G8+'26'!H8</f>
        <v>-89717</v>
      </c>
      <c r="I8" s="337">
        <f>'1'!I8</f>
        <v>12000</v>
      </c>
      <c r="J8" s="332">
        <f>H8/DAY(B2)</f>
        <v>-3322.8518518518517</v>
      </c>
      <c r="K8" s="200"/>
      <c r="L8" s="78"/>
      <c r="M8" s="91"/>
      <c r="N8" s="354"/>
    </row>
    <row r="9" spans="1:14">
      <c r="A9" s="338" t="s">
        <v>133</v>
      </c>
      <c r="B9" s="339"/>
      <c r="C9" s="339"/>
      <c r="D9" s="288" t="s">
        <v>131</v>
      </c>
      <c r="E9" s="285">
        <f>'26'!F9</f>
        <v>2589721</v>
      </c>
      <c r="F9" s="129">
        <v>2610163</v>
      </c>
      <c r="G9" s="353">
        <f t="shared" ref="G9:G12" si="0">F9-E9</f>
        <v>20442</v>
      </c>
      <c r="H9" s="330">
        <f>G9+'26'!H9</f>
        <v>-86472</v>
      </c>
      <c r="I9" s="341">
        <f>I8-J8</f>
        <v>15322.851851851852</v>
      </c>
      <c r="J9" s="332">
        <f>H9/DAY(B2)</f>
        <v>-3202.6666666666665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-5.0000000000181899E-2</v>
      </c>
      <c r="I10" s="342"/>
      <c r="J10" s="332">
        <f>H10/DAY(B2)</f>
        <v>-1.8518518518585889E-3</v>
      </c>
      <c r="K10" s="81"/>
      <c r="L10" s="68"/>
      <c r="N10" s="73"/>
    </row>
    <row r="11" spans="1:1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/>
    </row>
    <row r="12" spans="1:1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106"/>
      <c r="G13" s="345">
        <f>G9+G10+G11+G12</f>
        <v>20442.099999999999</v>
      </c>
      <c r="H13" s="330">
        <f>G13+'26'!H13</f>
        <v>-129156.05000000002</v>
      </c>
      <c r="I13" s="346">
        <f>G7-G13</f>
        <v>2807.9000000000015</v>
      </c>
      <c r="J13" s="332">
        <f>H13/DAY(B2)</f>
        <v>-4783.5574074074084</v>
      </c>
      <c r="K13" s="81"/>
      <c r="L13" s="68"/>
      <c r="N13" s="73"/>
    </row>
    <row r="14" spans="1:14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>
      <c r="A15" s="316" t="s">
        <v>139</v>
      </c>
      <c r="B15" s="317"/>
      <c r="C15" s="317"/>
      <c r="D15" s="318" t="s">
        <v>140</v>
      </c>
      <c r="E15" s="319">
        <f>'26'!F15</f>
        <v>1753159</v>
      </c>
      <c r="F15" s="351">
        <f>E15+950</f>
        <v>1754109</v>
      </c>
      <c r="G15" s="315">
        <f>(F15-E15)</f>
        <v>950</v>
      </c>
      <c r="H15" s="321">
        <f>G15+'26'!H15</f>
        <v>24555</v>
      </c>
      <c r="I15" s="322">
        <v>800</v>
      </c>
      <c r="J15" s="910">
        <f>H15/DAY(B2)</f>
        <v>909.44444444444446</v>
      </c>
      <c r="K15" s="81"/>
      <c r="L15" s="68"/>
      <c r="N15" s="73"/>
    </row>
    <row r="16" spans="1:1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-109.44444444444446</v>
      </c>
      <c r="J16" s="323"/>
      <c r="K16" s="81"/>
      <c r="L16" s="68"/>
      <c r="N16" s="73"/>
    </row>
    <row r="17" spans="1:14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48" t="s">
        <v>142</v>
      </c>
      <c r="B18" s="1249"/>
      <c r="C18" s="1250"/>
      <c r="D18" s="288" t="s">
        <v>143</v>
      </c>
      <c r="E18" s="285">
        <f>'26'!F18</f>
        <v>12</v>
      </c>
      <c r="F18" s="129">
        <v>11</v>
      </c>
      <c r="G18" s="345">
        <f>F18*10</f>
        <v>110</v>
      </c>
      <c r="H18" s="330">
        <f>G18+'26'!H18</f>
        <v>4070</v>
      </c>
      <c r="I18" s="331">
        <f>'1'!I18</f>
        <v>65</v>
      </c>
      <c r="J18" s="332">
        <f>H18/DAY(B2)</f>
        <v>150.74074074074073</v>
      </c>
      <c r="K18" s="81"/>
      <c r="L18" s="68"/>
      <c r="N18" s="73"/>
    </row>
    <row r="19" spans="1:14" ht="27.75">
      <c r="A19" s="1248" t="s">
        <v>70</v>
      </c>
      <c r="B19" s="1249"/>
      <c r="C19" s="1250"/>
      <c r="D19" s="288" t="s">
        <v>143</v>
      </c>
      <c r="E19" s="285">
        <f>'26'!F19</f>
        <v>144990</v>
      </c>
      <c r="F19" s="129">
        <f>E19+60</f>
        <v>145050</v>
      </c>
      <c r="G19" s="340">
        <f t="shared" ref="G19" si="1">F19-E19</f>
        <v>60</v>
      </c>
      <c r="H19" s="330">
        <f>G19+'26'!H19</f>
        <v>1660</v>
      </c>
      <c r="I19" s="347"/>
      <c r="J19" s="332">
        <f>H19/DAY(B2)</f>
        <v>61.481481481481481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170</v>
      </c>
      <c r="H20" s="330">
        <f>G20+'26'!H20</f>
        <v>5730</v>
      </c>
      <c r="I20" s="349">
        <f>I18-J20</f>
        <v>-147.22222222222223</v>
      </c>
      <c r="J20" s="332">
        <f>H20/DAY(B2)</f>
        <v>212.22222222222223</v>
      </c>
      <c r="K20" s="81"/>
      <c r="L20" s="68"/>
      <c r="N20" s="73"/>
    </row>
    <row r="21" spans="1:14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71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71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21225</v>
      </c>
      <c r="F27" s="152">
        <v>9</v>
      </c>
      <c r="G27" s="153">
        <f>E27*F27</f>
        <v>191025</v>
      </c>
      <c r="H27" s="111">
        <f>G27+'26'!H27</f>
        <v>-807451.10999999964</v>
      </c>
      <c r="I27" s="154"/>
      <c r="J27" s="203">
        <f>H27/DAY(B2)</f>
        <v>-29905.596666666654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G28+'26'!H28</f>
        <v>1309747.5</v>
      </c>
      <c r="I28" s="156"/>
      <c r="J28" s="203">
        <f>H28/DAY(B2)</f>
        <v>48509.166666666664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242360</v>
      </c>
      <c r="I30" s="156"/>
      <c r="J30" s="203">
        <f>H30/DAY(B2)</f>
        <v>8976.2962962962956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110</v>
      </c>
      <c r="F31" s="152">
        <v>80</v>
      </c>
      <c r="G31" s="153">
        <f>E31*F31</f>
        <v>8800</v>
      </c>
      <c r="H31" s="111">
        <f>G31+'26'!H31</f>
        <v>325600</v>
      </c>
      <c r="I31" s="156"/>
      <c r="J31" s="203">
        <f>H31/DAY(B2)</f>
        <v>12059.259259259259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257985</v>
      </c>
      <c r="H32" s="111">
        <f>G32+'26'!H32</f>
        <v>1070256.3899999999</v>
      </c>
      <c r="I32" s="160"/>
      <c r="J32" s="203">
        <f>H32/DAY(B2)</f>
        <v>39639.125555555554</v>
      </c>
      <c r="K32" s="65"/>
      <c r="L32" s="94"/>
      <c r="N32" s="73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3"/>
    </row>
    <row r="34" spans="1:14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0.69999999995343387</v>
      </c>
      <c r="I35" s="106"/>
      <c r="J35" s="203">
        <f>H35/DAY(B2)</f>
        <v>2.5925925924201256E-2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'26'!F36</f>
        <v>42524</v>
      </c>
      <c r="F36" s="161">
        <v>43195</v>
      </c>
      <c r="G36" s="124">
        <f t="shared" si="3"/>
        <v>671</v>
      </c>
      <c r="H36" s="111">
        <f>G36+'26'!H36</f>
        <v>-3603</v>
      </c>
      <c r="I36" s="106"/>
      <c r="J36" s="203">
        <f>H36/DAY(B2)</f>
        <v>-133.44444444444446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'26'!F37</f>
        <v>218023</v>
      </c>
      <c r="F37" s="161">
        <v>219678</v>
      </c>
      <c r="G37" s="124">
        <f t="shared" si="3"/>
        <v>1655</v>
      </c>
      <c r="H37" s="111">
        <f>G37+'26'!H37</f>
        <v>-6495</v>
      </c>
      <c r="I37" s="106"/>
      <c r="J37" s="203">
        <f>H37/DAY(B2)</f>
        <v>-240.55555555555554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'26'!F38</f>
        <v>240414</v>
      </c>
      <c r="F38" s="120">
        <v>241922</v>
      </c>
      <c r="G38" s="124">
        <f t="shared" si="3"/>
        <v>1508</v>
      </c>
      <c r="H38" s="111">
        <f>G38+'26'!H38</f>
        <v>-6637</v>
      </c>
      <c r="I38" s="106"/>
      <c r="J38" s="203">
        <f>H38/DAY(B2)</f>
        <v>-245.81481481481481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'26'!F39</f>
        <v>501478</v>
      </c>
      <c r="F39" s="161">
        <v>505261</v>
      </c>
      <c r="G39" s="124">
        <f t="shared" si="3"/>
        <v>3783</v>
      </c>
      <c r="H39" s="111">
        <f>G39+'26'!H39</f>
        <v>-15257</v>
      </c>
      <c r="I39" s="106"/>
      <c r="J39" s="203">
        <f>H39/DAY(B2)</f>
        <v>-565.07407407407402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'26'!F40</f>
        <v>17874</v>
      </c>
      <c r="F40" s="161">
        <v>18260</v>
      </c>
      <c r="G40" s="124">
        <f t="shared" si="3"/>
        <v>386</v>
      </c>
      <c r="H40" s="111">
        <f>G40+'26'!H40</f>
        <v>-1913</v>
      </c>
      <c r="I40" s="106"/>
      <c r="J40" s="203">
        <f>H40/DAY(B2)</f>
        <v>-70.851851851851848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'26'!F41</f>
        <v>366840</v>
      </c>
      <c r="F41" s="161">
        <v>366840</v>
      </c>
      <c r="G41" s="124">
        <f t="shared" si="3"/>
        <v>0</v>
      </c>
      <c r="H41" s="111">
        <f>G41+'26'!H41</f>
        <v>0</v>
      </c>
      <c r="I41" s="106"/>
      <c r="J41" s="203">
        <f>H41/DAY(B2)</f>
        <v>0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'26'!F42</f>
        <v>97548</v>
      </c>
      <c r="F42" s="161">
        <v>102539</v>
      </c>
      <c r="G42" s="124">
        <f t="shared" si="3"/>
        <v>4991</v>
      </c>
      <c r="H42" s="111">
        <f>G42+'26'!H42</f>
        <v>-12973</v>
      </c>
      <c r="I42" s="106"/>
      <c r="J42" s="203">
        <f>H42/DAY(B2)</f>
        <v>-480.48148148148147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'26'!F43</f>
        <v>1190837</v>
      </c>
      <c r="F43" s="161">
        <v>1193513</v>
      </c>
      <c r="G43" s="124">
        <f t="shared" si="3"/>
        <v>2676</v>
      </c>
      <c r="H43" s="111">
        <f>G43+'26'!H43</f>
        <v>-10948</v>
      </c>
      <c r="I43" s="106"/>
      <c r="J43" s="203">
        <f>H43/DAY(B2)</f>
        <v>-405.48148148148147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15670</v>
      </c>
      <c r="H47" s="111">
        <f>G47+'26'!H47</f>
        <v>-57024.30000000009</v>
      </c>
      <c r="I47" s="106"/>
      <c r="J47" s="203">
        <f>H47/DAY(B2)</f>
        <v>-2112.0111111111146</v>
      </c>
      <c r="K47" s="81"/>
      <c r="L47" s="68"/>
      <c r="N47" s="73"/>
    </row>
    <row r="48" spans="1:14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'26'!F49</f>
        <v>309209</v>
      </c>
      <c r="F49" s="161">
        <v>312092</v>
      </c>
      <c r="G49" s="124">
        <f t="shared" ref="G49:G58" si="4">F49-E49</f>
        <v>2883</v>
      </c>
      <c r="H49" s="111">
        <f>G49+'26'!H49</f>
        <v>-14946</v>
      </c>
      <c r="I49" s="106"/>
      <c r="J49" s="203">
        <f>H49/DAY(B2)</f>
        <v>-553.55555555555554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'26'!F50</f>
        <v>564831</v>
      </c>
      <c r="F50" s="161">
        <v>565819</v>
      </c>
      <c r="G50" s="124">
        <f t="shared" si="4"/>
        <v>988</v>
      </c>
      <c r="H50" s="111">
        <f>G50+'26'!H50</f>
        <v>-4998</v>
      </c>
      <c r="I50" s="106"/>
      <c r="J50" s="203">
        <f>H50/DAY(B2)</f>
        <v>-185.11111111111111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-0.33000000001629815</v>
      </c>
      <c r="I53" s="106"/>
      <c r="J53" s="203">
        <f>H53/DAY(B2)</f>
        <v>-1.2222222222825858E-2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0</v>
      </c>
      <c r="I54" s="106"/>
      <c r="J54" s="203">
        <f>H54/DAY(B2)</f>
        <v>0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'26'!F55</f>
        <v>220067</v>
      </c>
      <c r="F55" s="304">
        <v>221246</v>
      </c>
      <c r="G55" s="124">
        <f t="shared" si="4"/>
        <v>1179</v>
      </c>
      <c r="H55" s="356">
        <f>G55+'26'!H55</f>
        <v>-15940</v>
      </c>
      <c r="I55" s="357"/>
      <c r="J55" s="358">
        <f>H55/DAY(B2)</f>
        <v>-590.37037037037032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'26'!F56</f>
        <v>649273</v>
      </c>
      <c r="F56" s="304">
        <v>649316</v>
      </c>
      <c r="G56" s="124">
        <f t="shared" si="4"/>
        <v>43</v>
      </c>
      <c r="H56" s="111">
        <f>G56+'26'!H56</f>
        <v>-56</v>
      </c>
      <c r="I56" s="106"/>
      <c r="J56" s="203">
        <f>H56/DAY(B2)</f>
        <v>-2.074074074074074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'26'!F58</f>
        <v>58700</v>
      </c>
      <c r="F58" s="304">
        <v>58892</v>
      </c>
      <c r="G58" s="124">
        <f t="shared" si="4"/>
        <v>192</v>
      </c>
      <c r="H58" s="111">
        <f>G58+'26'!H58</f>
        <v>-999</v>
      </c>
      <c r="I58" s="106"/>
      <c r="J58" s="203">
        <f>H58/DAY(B2)</f>
        <v>-37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5285.0600000000559</v>
      </c>
      <c r="H59" s="111">
        <f>G59+'26'!H59</f>
        <v>-36939.330000000016</v>
      </c>
      <c r="I59" s="106">
        <f>G7-G60</f>
        <v>2294.9399999999441</v>
      </c>
      <c r="J59" s="203">
        <f>H59/DAY(B2)</f>
        <v>-1368.1233333333339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20955.060000000056</v>
      </c>
      <c r="H60" s="111">
        <f>G60+'26'!H60</f>
        <v>-88386.300000000076</v>
      </c>
      <c r="I60" s="106">
        <f>G13-G60</f>
        <v>-512.96000000005733</v>
      </c>
      <c r="J60" s="203">
        <f>H60/DAY(B2)</f>
        <v>-3273.5666666666693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181" t="s">
        <v>98</v>
      </c>
      <c r="B64" s="1182"/>
      <c r="C64" s="1183"/>
      <c r="D64" s="174" t="s">
        <v>186</v>
      </c>
      <c r="E64" s="165">
        <f>'26'!F64</f>
        <v>179989</v>
      </c>
      <c r="F64" s="129">
        <v>180340</v>
      </c>
      <c r="G64" s="124">
        <f t="shared" si="5"/>
        <v>351</v>
      </c>
      <c r="H64" s="111">
        <f>G64+'26'!H64</f>
        <v>-1520</v>
      </c>
      <c r="I64" s="131"/>
      <c r="J64" s="203">
        <f>H64/DAY(B2)</f>
        <v>-56.296296296296298</v>
      </c>
      <c r="K64" s="81"/>
      <c r="L64" s="68"/>
      <c r="N64" s="73"/>
    </row>
    <row r="65" spans="1:14" ht="27.75">
      <c r="A65" s="1181" t="s">
        <v>99</v>
      </c>
      <c r="B65" s="1182"/>
      <c r="C65" s="1183"/>
      <c r="D65" s="174" t="s">
        <v>186</v>
      </c>
      <c r="E65" s="165">
        <f>'26'!F65</f>
        <v>180273</v>
      </c>
      <c r="F65" s="136">
        <v>180631</v>
      </c>
      <c r="G65" s="124">
        <f t="shared" si="5"/>
        <v>358</v>
      </c>
      <c r="H65" s="111">
        <f>G65+'26'!H65</f>
        <v>-1578</v>
      </c>
      <c r="I65" s="140"/>
      <c r="J65" s="203">
        <f>H65/DAY(B2)</f>
        <v>-58.444444444444443</v>
      </c>
      <c r="K65" s="81"/>
      <c r="L65" s="68"/>
      <c r="N65" s="73"/>
    </row>
    <row r="66" spans="1:14" ht="27.75">
      <c r="A66" s="1181" t="s">
        <v>100</v>
      </c>
      <c r="B66" s="1182"/>
      <c r="C66" s="1183"/>
      <c r="D66" s="174" t="s">
        <v>186</v>
      </c>
      <c r="E66" s="165">
        <f>'26'!F66</f>
        <v>78637</v>
      </c>
      <c r="F66" s="136">
        <v>79039</v>
      </c>
      <c r="G66" s="124">
        <f t="shared" si="5"/>
        <v>402</v>
      </c>
      <c r="H66" s="111">
        <f>G66+'26'!H66</f>
        <v>-1633</v>
      </c>
      <c r="I66" s="131"/>
      <c r="J66" s="203">
        <f>H66/DAY(B2)</f>
        <v>-60.481481481481481</v>
      </c>
      <c r="K66" s="81"/>
      <c r="L66" s="68"/>
      <c r="N66" s="73"/>
    </row>
    <row r="67" spans="1:14" ht="27.75">
      <c r="A67" s="1181" t="s">
        <v>101</v>
      </c>
      <c r="B67" s="1182"/>
      <c r="C67" s="1183"/>
      <c r="D67" s="174" t="s">
        <v>186</v>
      </c>
      <c r="E67" s="165">
        <f>'26'!F67</f>
        <v>277460</v>
      </c>
      <c r="F67" s="129">
        <v>277989</v>
      </c>
      <c r="G67" s="124">
        <f t="shared" si="5"/>
        <v>529</v>
      </c>
      <c r="H67" s="111">
        <f>G67+'26'!H67</f>
        <v>-2069</v>
      </c>
      <c r="I67" s="140"/>
      <c r="J67" s="203">
        <f>H67/DAY(B2)</f>
        <v>-76.629629629629633</v>
      </c>
      <c r="K67" s="82"/>
      <c r="L67" s="68"/>
      <c r="N67" s="73"/>
    </row>
    <row r="68" spans="1:14" ht="27.75">
      <c r="A68" s="1181" t="s">
        <v>102</v>
      </c>
      <c r="B68" s="1182"/>
      <c r="C68" s="1183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181" t="s">
        <v>103</v>
      </c>
      <c r="B69" s="1182"/>
      <c r="C69" s="1183"/>
      <c r="D69" s="174" t="s">
        <v>186</v>
      </c>
      <c r="E69" s="165">
        <f>'26'!F69</f>
        <v>94828</v>
      </c>
      <c r="F69" s="129">
        <v>95173</v>
      </c>
      <c r="G69" s="124">
        <f t="shared" si="5"/>
        <v>345</v>
      </c>
      <c r="H69" s="111">
        <f>G69+'26'!H69</f>
        <v>-1384</v>
      </c>
      <c r="I69" s="167"/>
      <c r="J69" s="203">
        <f>H69/DAY(B2)</f>
        <v>-51.25925925925926</v>
      </c>
      <c r="K69" s="84"/>
      <c r="L69" s="68"/>
      <c r="N69" s="73"/>
    </row>
    <row r="70" spans="1:14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3"/>
    </row>
    <row r="72" spans="1:14" ht="27.75">
      <c r="A72" s="1181" t="s">
        <v>190</v>
      </c>
      <c r="B72" s="1182"/>
      <c r="C72" s="1183"/>
      <c r="D72" s="174" t="s">
        <v>186</v>
      </c>
      <c r="E72" s="170">
        <f>'26'!F72</f>
        <v>856543</v>
      </c>
      <c r="F72" s="305">
        <v>856556</v>
      </c>
      <c r="G72" s="124">
        <f t="shared" ref="G72:G84" si="6">F72-E72</f>
        <v>13</v>
      </c>
      <c r="H72" s="111">
        <f>G72+'26'!H72</f>
        <v>-67</v>
      </c>
      <c r="I72" s="131"/>
      <c r="J72" s="203">
        <f>H72/DAY(B2)</f>
        <v>-2.4814814814814814</v>
      </c>
      <c r="K72" s="84"/>
      <c r="L72" s="68"/>
      <c r="N72" s="73"/>
    </row>
    <row r="73" spans="1:14" ht="27.75">
      <c r="A73" s="1181" t="s">
        <v>191</v>
      </c>
      <c r="B73" s="1182"/>
      <c r="C73" s="1183"/>
      <c r="D73" s="174" t="s">
        <v>186</v>
      </c>
      <c r="E73" s="170">
        <f>'26'!F73</f>
        <v>886007</v>
      </c>
      <c r="F73" s="306">
        <v>886008</v>
      </c>
      <c r="G73" s="303">
        <f t="shared" si="6"/>
        <v>1</v>
      </c>
      <c r="H73" s="111">
        <f>G73+'26'!H73</f>
        <v>152</v>
      </c>
      <c r="I73" s="131"/>
      <c r="J73" s="203">
        <f>H73/DAY(B2)</f>
        <v>5.6296296296296298</v>
      </c>
      <c r="K73" s="83"/>
      <c r="L73" s="68"/>
      <c r="N73" s="73"/>
    </row>
    <row r="74" spans="1:14" ht="27.75">
      <c r="A74" s="1181" t="s">
        <v>192</v>
      </c>
      <c r="B74" s="1182"/>
      <c r="C74" s="1183"/>
      <c r="D74" s="174" t="s">
        <v>186</v>
      </c>
      <c r="E74" s="170">
        <f>'26'!F74</f>
        <v>88723</v>
      </c>
      <c r="F74" s="306">
        <v>88726</v>
      </c>
      <c r="G74" s="124">
        <f t="shared" si="6"/>
        <v>3</v>
      </c>
      <c r="H74" s="111">
        <f>G74+'26'!H74</f>
        <v>65</v>
      </c>
      <c r="I74" s="131"/>
      <c r="J74" s="203">
        <f>H74/DAY(B2)</f>
        <v>2.4074074074074074</v>
      </c>
      <c r="K74" s="84"/>
      <c r="L74" s="68"/>
      <c r="N74" s="73"/>
    </row>
    <row r="75" spans="1:14" ht="27.75">
      <c r="A75" s="1184" t="s">
        <v>193</v>
      </c>
      <c r="B75" s="1185"/>
      <c r="C75" s="1186"/>
      <c r="D75" s="174" t="s">
        <v>186</v>
      </c>
      <c r="E75" s="170">
        <f>'26'!F75</f>
        <v>20129</v>
      </c>
      <c r="F75" s="305">
        <v>20277</v>
      </c>
      <c r="G75" s="124">
        <f t="shared" si="6"/>
        <v>148</v>
      </c>
      <c r="H75" s="111">
        <f>G75+'26'!H75</f>
        <v>-670</v>
      </c>
      <c r="I75" s="131"/>
      <c r="J75" s="203">
        <f>H75/DAY(B2)</f>
        <v>-24.814814814814813</v>
      </c>
      <c r="K75" s="83"/>
      <c r="L75" s="68"/>
      <c r="N75" s="73"/>
    </row>
    <row r="76" spans="1:14" ht="27.75">
      <c r="A76" s="1184" t="s">
        <v>194</v>
      </c>
      <c r="B76" s="1185"/>
      <c r="C76" s="1186"/>
      <c r="D76" s="174" t="s">
        <v>186</v>
      </c>
      <c r="E76" s="170">
        <f>'26'!F76</f>
        <v>11062</v>
      </c>
      <c r="F76" s="306">
        <v>11140</v>
      </c>
      <c r="G76" s="124">
        <f t="shared" si="6"/>
        <v>78</v>
      </c>
      <c r="H76" s="111">
        <f>G76+'26'!H76</f>
        <v>1214.6000000000004</v>
      </c>
      <c r="I76" s="156"/>
      <c r="J76" s="203">
        <f>H76/DAY(B2)</f>
        <v>44.985185185185202</v>
      </c>
      <c r="K76" s="83"/>
      <c r="L76" s="68"/>
      <c r="N76" s="73"/>
    </row>
    <row r="77" spans="1:14" ht="27.75">
      <c r="A77" s="1181" t="s">
        <v>195</v>
      </c>
      <c r="B77" s="1182"/>
      <c r="C77" s="1183"/>
      <c r="D77" s="174" t="s">
        <v>186</v>
      </c>
      <c r="E77" s="170">
        <f>'26'!F77</f>
        <v>706078</v>
      </c>
      <c r="F77" s="306">
        <v>706191</v>
      </c>
      <c r="G77" s="303">
        <f t="shared" si="6"/>
        <v>113</v>
      </c>
      <c r="H77" s="111">
        <f>G77+'26'!H77</f>
        <v>-262</v>
      </c>
      <c r="I77" s="156"/>
      <c r="J77" s="203">
        <f>H77/DAY(B2)</f>
        <v>-9.7037037037037042</v>
      </c>
      <c r="K77" s="83"/>
      <c r="L77" s="68"/>
      <c r="N77" s="73"/>
    </row>
    <row r="78" spans="1:14" ht="27.75">
      <c r="A78" s="774" t="s">
        <v>196</v>
      </c>
      <c r="B78" s="766"/>
      <c r="C78" s="766"/>
      <c r="D78" s="174" t="s">
        <v>186</v>
      </c>
      <c r="E78" s="170">
        <f>'26'!F78</f>
        <v>678100</v>
      </c>
      <c r="F78" s="305">
        <v>678285</v>
      </c>
      <c r="G78" s="124">
        <f t="shared" si="6"/>
        <v>185</v>
      </c>
      <c r="H78" s="111">
        <f>G78+'26'!H78</f>
        <v>-568</v>
      </c>
      <c r="I78" s="156"/>
      <c r="J78" s="203">
        <f>H78/DAY(B2)</f>
        <v>-21.037037037037038</v>
      </c>
      <c r="K78" s="83"/>
      <c r="L78" s="68"/>
      <c r="N78" s="73"/>
    </row>
    <row r="79" spans="1:14" ht="27.75">
      <c r="A79" s="1184" t="s">
        <v>91</v>
      </c>
      <c r="B79" s="1185"/>
      <c r="C79" s="1186"/>
      <c r="D79" s="175" t="s">
        <v>186</v>
      </c>
      <c r="E79" s="170">
        <f>'26'!F79</f>
        <v>839478</v>
      </c>
      <c r="F79" s="938">
        <v>839622</v>
      </c>
      <c r="G79" s="124">
        <f t="shared" si="6"/>
        <v>144</v>
      </c>
      <c r="H79" s="111">
        <f>G79+'26'!H79</f>
        <v>-1060</v>
      </c>
      <c r="I79" s="156"/>
      <c r="J79" s="203">
        <f>H79/DAY(B2)</f>
        <v>-39.25925925925926</v>
      </c>
      <c r="K79" s="83"/>
      <c r="L79" s="68"/>
      <c r="N79" s="73"/>
    </row>
    <row r="80" spans="1:14" ht="27.75">
      <c r="A80" s="1184" t="s">
        <v>197</v>
      </c>
      <c r="B80" s="1185"/>
      <c r="C80" s="1186"/>
      <c r="D80" s="175" t="s">
        <v>186</v>
      </c>
      <c r="E80" s="170">
        <f>'26'!F80</f>
        <v>550012</v>
      </c>
      <c r="F80" s="306">
        <v>550386</v>
      </c>
      <c r="G80" s="124">
        <f t="shared" si="6"/>
        <v>374</v>
      </c>
      <c r="H80" s="111">
        <f>G80+'26'!H80</f>
        <v>-4820</v>
      </c>
      <c r="I80" s="156"/>
      <c r="J80" s="203">
        <f>H80/DAY(B2)</f>
        <v>-178.5185185185185</v>
      </c>
      <c r="K80" s="83"/>
      <c r="L80" s="68"/>
      <c r="N80" s="73"/>
    </row>
    <row r="81" spans="1:15" ht="27.75">
      <c r="A81" s="1184" t="s">
        <v>198</v>
      </c>
      <c r="B81" s="1185"/>
      <c r="C81" s="1186"/>
      <c r="D81" s="175" t="s">
        <v>186</v>
      </c>
      <c r="E81" s="170">
        <f>'26'!F81</f>
        <v>648073</v>
      </c>
      <c r="F81" s="306">
        <v>648258</v>
      </c>
      <c r="G81" s="124">
        <f t="shared" si="6"/>
        <v>185</v>
      </c>
      <c r="H81" s="111">
        <f>G81+'26'!H81</f>
        <v>-760</v>
      </c>
      <c r="I81" s="156"/>
      <c r="J81" s="203">
        <f>H81/DAY(B2)</f>
        <v>-28.148148148148149</v>
      </c>
      <c r="K81" s="83"/>
      <c r="L81" s="68"/>
      <c r="N81" s="73"/>
    </row>
    <row r="82" spans="1:15" ht="27.75">
      <c r="A82" s="1184" t="s">
        <v>92</v>
      </c>
      <c r="B82" s="1185"/>
      <c r="C82" s="1186"/>
      <c r="D82" s="136" t="s">
        <v>131</v>
      </c>
      <c r="E82" s="170">
        <f>'26'!F82</f>
        <v>109230</v>
      </c>
      <c r="F82" s="302">
        <v>109253</v>
      </c>
      <c r="G82" s="124">
        <f t="shared" si="6"/>
        <v>23</v>
      </c>
      <c r="H82" s="111">
        <f>G82+'26'!H82</f>
        <v>-83</v>
      </c>
      <c r="I82" s="137"/>
      <c r="J82" s="203">
        <f>H82/DAY(B2)</f>
        <v>-3.074074074074074</v>
      </c>
      <c r="K82" s="83"/>
      <c r="L82" s="68"/>
      <c r="N82" s="73"/>
    </row>
    <row r="83" spans="1:15" ht="27.75">
      <c r="A83" s="1184" t="s">
        <v>199</v>
      </c>
      <c r="B83" s="1185"/>
      <c r="C83" s="1186"/>
      <c r="D83" s="271" t="s">
        <v>131</v>
      </c>
      <c r="E83" s="170">
        <f>'26'!F83</f>
        <v>33838</v>
      </c>
      <c r="F83" s="939">
        <v>33867</v>
      </c>
      <c r="G83" s="124">
        <f t="shared" si="6"/>
        <v>29</v>
      </c>
      <c r="H83" s="111">
        <f>G83+'26'!H83</f>
        <v>-1158</v>
      </c>
      <c r="I83" s="132"/>
      <c r="J83" s="203">
        <f>H83/DAY(B2)</f>
        <v>-42.888888888888886</v>
      </c>
      <c r="K83" s="82"/>
      <c r="L83" s="68"/>
      <c r="N83" s="73"/>
    </row>
    <row r="84" spans="1:15">
      <c r="A84" s="775" t="s">
        <v>200</v>
      </c>
      <c r="B84" s="222"/>
      <c r="C84" s="222"/>
      <c r="D84" s="129" t="s">
        <v>131</v>
      </c>
      <c r="E84" s="170">
        <f>'26'!F84</f>
        <v>543364</v>
      </c>
      <c r="F84" s="175">
        <v>544199</v>
      </c>
      <c r="G84" s="124">
        <f t="shared" si="6"/>
        <v>835</v>
      </c>
      <c r="H84" s="111">
        <f>G84+'26'!H84</f>
        <v>-3194</v>
      </c>
      <c r="I84" s="132"/>
      <c r="J84" s="203">
        <f>H84/DAY(B2)</f>
        <v>-118.29629629629629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2131</v>
      </c>
      <c r="H85" s="111">
        <f>G85+'26'!H85</f>
        <v>-9133.9999999999964</v>
      </c>
      <c r="I85" s="132"/>
      <c r="J85" s="203">
        <f>H85/DAY(B2)</f>
        <v>-338.29629629629613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'26'!F86</f>
        <v>462367</v>
      </c>
      <c r="F86" s="298">
        <v>462446</v>
      </c>
      <c r="G86" s="356">
        <f>F86-E86</f>
        <v>79</v>
      </c>
      <c r="H86" s="356">
        <f t="shared" ref="H86:H88" si="7">G86</f>
        <v>79</v>
      </c>
      <c r="I86" s="303"/>
      <c r="J86" s="358">
        <f>H86/DAY(B2)</f>
        <v>2.925925925925926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'26'!F87</f>
        <v>82793</v>
      </c>
      <c r="F87" s="298">
        <v>82823</v>
      </c>
      <c r="G87" s="356">
        <f t="shared" ref="G87:G91" si="8">F87-E87</f>
        <v>30</v>
      </c>
      <c r="H87" s="356">
        <f t="shared" si="7"/>
        <v>30</v>
      </c>
      <c r="I87" s="303"/>
      <c r="J87" s="358">
        <f>H87/DAY(B2)</f>
        <v>1.1111111111111112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'26'!F88</f>
        <v>158099</v>
      </c>
      <c r="F88" s="298">
        <v>158133</v>
      </c>
      <c r="G88" s="356">
        <f t="shared" si="8"/>
        <v>34</v>
      </c>
      <c r="H88" s="356">
        <f t="shared" si="7"/>
        <v>34</v>
      </c>
      <c r="I88" s="303"/>
      <c r="J88" s="358">
        <f>H88/DAY(B2)</f>
        <v>1.2592592592592593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'26'!F89</f>
        <v>66839</v>
      </c>
      <c r="F89" s="298">
        <v>66870</v>
      </c>
      <c r="G89" s="356">
        <f t="shared" si="8"/>
        <v>31</v>
      </c>
      <c r="H89" s="356">
        <f>G89</f>
        <v>31</v>
      </c>
      <c r="I89" s="303"/>
      <c r="J89" s="358">
        <f>H89/DAY(B2)</f>
        <v>1.1481481481481481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'26'!F90</f>
        <v>3439</v>
      </c>
      <c r="F90" s="298">
        <v>3444</v>
      </c>
      <c r="G90" s="356">
        <f t="shared" si="8"/>
        <v>5</v>
      </c>
      <c r="H90" s="356">
        <f>G90</f>
        <v>5</v>
      </c>
      <c r="I90" s="303"/>
      <c r="J90" s="358">
        <f>H90/DAY(B2)</f>
        <v>0.18518518518518517</v>
      </c>
      <c r="K90" s="384"/>
      <c r="L90" s="385"/>
      <c r="N90" s="428"/>
      <c r="O90" s="73"/>
    </row>
    <row r="91" spans="1:15" s="386" customFormat="1">
      <c r="A91" s="381" t="s">
        <v>336</v>
      </c>
      <c r="B91" s="382"/>
      <c r="C91" s="382"/>
      <c r="D91" s="383" t="s">
        <v>131</v>
      </c>
      <c r="E91" s="278">
        <f>'26'!F91</f>
        <v>28455</v>
      </c>
      <c r="F91" s="298">
        <v>28465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00" t="s">
        <v>205</v>
      </c>
      <c r="B93" s="1201"/>
      <c r="C93" s="1202"/>
      <c r="D93" s="174" t="s">
        <v>143</v>
      </c>
      <c r="E93" s="135">
        <f>'26'!F93</f>
        <v>249944</v>
      </c>
      <c r="F93" s="129">
        <v>249998</v>
      </c>
      <c r="G93" s="124">
        <f t="shared" ref="G93:G94" si="9">F93-E93</f>
        <v>54</v>
      </c>
      <c r="H93" s="111">
        <f>G93+'26'!H93</f>
        <v>-316</v>
      </c>
      <c r="I93" s="131"/>
      <c r="J93" s="203">
        <f>H93/DAY(B2)</f>
        <v>-11.703703703703704</v>
      </c>
      <c r="K93" s="82"/>
      <c r="L93" s="68"/>
      <c r="N93" s="73"/>
    </row>
    <row r="94" spans="1:15" ht="27.75">
      <c r="A94" s="1200" t="s">
        <v>206</v>
      </c>
      <c r="B94" s="1201"/>
      <c r="C94" s="1202"/>
      <c r="D94" s="174" t="s">
        <v>143</v>
      </c>
      <c r="E94" s="135">
        <f>'26'!F94</f>
        <v>192477</v>
      </c>
      <c r="F94" s="277">
        <v>192492</v>
      </c>
      <c r="G94" s="124">
        <f t="shared" si="9"/>
        <v>15</v>
      </c>
      <c r="H94" s="111">
        <f>G94+'26'!H94</f>
        <v>-406</v>
      </c>
      <c r="I94" s="131"/>
      <c r="J94" s="203">
        <f>H94/DAY(B2)</f>
        <v>-15.037037037037036</v>
      </c>
      <c r="K94" s="71"/>
      <c r="L94" s="68"/>
      <c r="N94" s="73"/>
    </row>
    <row r="95" spans="1:15">
      <c r="A95" s="1232" t="s">
        <v>207</v>
      </c>
      <c r="B95" s="1233"/>
      <c r="C95" s="1234"/>
      <c r="D95" s="174"/>
      <c r="E95" s="135">
        <f>'26'!F95</f>
        <v>0</v>
      </c>
      <c r="F95" s="129"/>
      <c r="G95" s="124">
        <f>G93+G94</f>
        <v>69</v>
      </c>
      <c r="H95" s="111">
        <f>G95+'26'!H95</f>
        <v>-1028</v>
      </c>
      <c r="I95" s="131"/>
      <c r="J95" s="203">
        <f>H95/DAY(B2)</f>
        <v>-38.074074074074076</v>
      </c>
      <c r="K95" s="71"/>
      <c r="L95" s="68"/>
      <c r="N95" s="73"/>
    </row>
    <row r="96" spans="1:15" ht="27.75">
      <c r="A96" s="1200" t="s">
        <v>208</v>
      </c>
      <c r="B96" s="1201"/>
      <c r="C96" s="1202"/>
      <c r="D96" s="174" t="s">
        <v>143</v>
      </c>
      <c r="E96" s="135">
        <f>'26'!F96</f>
        <v>418191</v>
      </c>
      <c r="F96" s="129">
        <v>418253</v>
      </c>
      <c r="G96" s="124">
        <f t="shared" ref="G96:G101" si="10">F96-E96</f>
        <v>62</v>
      </c>
      <c r="H96" s="111">
        <f>G96+'26'!H96</f>
        <v>-283</v>
      </c>
      <c r="I96" s="131"/>
      <c r="J96" s="203">
        <f>H96/DAY(B2)</f>
        <v>-10.481481481481481</v>
      </c>
      <c r="K96" s="71"/>
      <c r="L96" s="68"/>
      <c r="N96" s="73"/>
    </row>
    <row r="97" spans="1:14" ht="27.75">
      <c r="A97" s="771" t="s">
        <v>209</v>
      </c>
      <c r="B97" s="772"/>
      <c r="C97" s="772"/>
      <c r="D97" s="174" t="s">
        <v>143</v>
      </c>
      <c r="E97" s="135">
        <f>'26'!F97</f>
        <v>103742</v>
      </c>
      <c r="F97" s="129">
        <v>103761</v>
      </c>
      <c r="G97" s="124">
        <f t="shared" si="10"/>
        <v>19</v>
      </c>
      <c r="H97" s="111">
        <f>G97+'26'!H97</f>
        <v>-88</v>
      </c>
      <c r="I97" s="131"/>
      <c r="J97" s="203">
        <f>H97/DAY(B2)</f>
        <v>-3.2592592592592591</v>
      </c>
      <c r="K97" s="80"/>
      <c r="L97" s="68"/>
      <c r="N97" s="73"/>
    </row>
    <row r="98" spans="1:14" ht="27.75">
      <c r="A98" s="771" t="s">
        <v>210</v>
      </c>
      <c r="B98" s="772"/>
      <c r="C98" s="772"/>
      <c r="D98" s="174" t="s">
        <v>143</v>
      </c>
      <c r="E98" s="135">
        <f>'26'!F98</f>
        <v>99318</v>
      </c>
      <c r="F98" s="129">
        <v>99342</v>
      </c>
      <c r="G98" s="124">
        <f t="shared" si="10"/>
        <v>24</v>
      </c>
      <c r="H98" s="111">
        <f>G98+'26'!H98</f>
        <v>-106</v>
      </c>
      <c r="I98" s="131"/>
      <c r="J98" s="203">
        <f>H98/DAY(B2)</f>
        <v>-3.925925925925926</v>
      </c>
      <c r="K98" s="85"/>
      <c r="L98" s="68"/>
      <c r="N98" s="455"/>
    </row>
    <row r="99" spans="1:14" ht="27.75">
      <c r="A99" s="771" t="s">
        <v>211</v>
      </c>
      <c r="B99" s="772"/>
      <c r="C99" s="772"/>
      <c r="D99" s="174" t="s">
        <v>143</v>
      </c>
      <c r="E99" s="135">
        <f>'26'!F99</f>
        <v>151129</v>
      </c>
      <c r="F99" s="129">
        <v>151136</v>
      </c>
      <c r="G99" s="124">
        <f t="shared" si="10"/>
        <v>7</v>
      </c>
      <c r="H99" s="111">
        <f>G99+'26'!H99</f>
        <v>-115</v>
      </c>
      <c r="I99" s="131"/>
      <c r="J99" s="203">
        <f>H99/DAY(B2)</f>
        <v>-4.2592592592592595</v>
      </c>
      <c r="K99" s="71"/>
      <c r="L99" s="68"/>
      <c r="N99" s="679"/>
    </row>
    <row r="100" spans="1:14" ht="27.75">
      <c r="A100" s="771" t="s">
        <v>212</v>
      </c>
      <c r="B100" s="772"/>
      <c r="C100" s="772"/>
      <c r="D100" s="174" t="s">
        <v>143</v>
      </c>
      <c r="E100" s="135">
        <f>'26'!F100</f>
        <v>8106</v>
      </c>
      <c r="F100" s="129">
        <v>8114</v>
      </c>
      <c r="G100" s="124">
        <f t="shared" si="10"/>
        <v>8</v>
      </c>
      <c r="H100" s="111">
        <f>G100+'26'!H100</f>
        <v>-51</v>
      </c>
      <c r="I100" s="131"/>
      <c r="J100" s="203">
        <f>H100/DAY(B2)</f>
        <v>-1.8888888888888888</v>
      </c>
      <c r="K100" s="71"/>
      <c r="L100" s="68"/>
      <c r="N100" s="455"/>
    </row>
    <row r="101" spans="1:14" ht="27.75">
      <c r="A101" s="771" t="s">
        <v>213</v>
      </c>
      <c r="B101" s="772"/>
      <c r="C101" s="772"/>
      <c r="D101" s="174" t="s">
        <v>143</v>
      </c>
      <c r="E101" s="135">
        <f>'26'!F101</f>
        <v>5938</v>
      </c>
      <c r="F101" s="129">
        <v>5945</v>
      </c>
      <c r="G101" s="124">
        <f t="shared" si="10"/>
        <v>7</v>
      </c>
      <c r="H101" s="111">
        <f>G101+'26'!H101</f>
        <v>-46</v>
      </c>
      <c r="I101" s="131"/>
      <c r="J101" s="203">
        <f>H101/DAY(B2)</f>
        <v>-1.7037037037037037</v>
      </c>
      <c r="K101" s="71"/>
      <c r="L101" s="68"/>
      <c r="N101" s="455"/>
    </row>
    <row r="102" spans="1:14">
      <c r="A102" s="1232" t="s">
        <v>215</v>
      </c>
      <c r="B102" s="1233"/>
      <c r="C102" s="1234"/>
      <c r="D102" s="175"/>
      <c r="E102" s="175"/>
      <c r="F102" s="175"/>
      <c r="G102" s="176">
        <f>SUM(G96:G101)</f>
        <v>127</v>
      </c>
      <c r="H102" s="111">
        <f>G102+'26'!H102</f>
        <v>-689</v>
      </c>
      <c r="I102" s="177"/>
      <c r="J102" s="203">
        <f>H102/DAY(B2)</f>
        <v>-25.518518518518519</v>
      </c>
      <c r="K102" s="71"/>
      <c r="L102" s="68"/>
      <c r="N102" s="455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35" t="s">
        <v>217</v>
      </c>
      <c r="B104" s="1236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192" t="s">
        <v>218</v>
      </c>
      <c r="B105" s="1193"/>
      <c r="C105" s="770"/>
      <c r="D105" s="273" t="s">
        <v>143</v>
      </c>
      <c r="E105" s="183">
        <f>'26'!F105</f>
        <v>7637</v>
      </c>
      <c r="F105" s="309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2.2085185185184888</v>
      </c>
      <c r="N105" s="73"/>
    </row>
    <row r="106" spans="1:14" s="93" customFormat="1" ht="27.75">
      <c r="A106" s="1192" t="s">
        <v>76</v>
      </c>
      <c r="B106" s="1193"/>
      <c r="C106" s="770"/>
      <c r="D106" s="273" t="s">
        <v>143</v>
      </c>
      <c r="E106" s="183">
        <f>'26'!F106</f>
        <v>36415</v>
      </c>
      <c r="F106" s="434">
        <v>36424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2.5185185185185186</v>
      </c>
      <c r="N106" s="73"/>
    </row>
    <row r="107" spans="1:14" s="93" customFormat="1" ht="27.75">
      <c r="A107" s="1192" t="s">
        <v>77</v>
      </c>
      <c r="B107" s="1237"/>
      <c r="C107" s="1193"/>
      <c r="D107" s="273" t="s">
        <v>143</v>
      </c>
      <c r="E107" s="183">
        <f>'26'!F107</f>
        <v>19938</v>
      </c>
      <c r="F107" s="310">
        <v>19943</v>
      </c>
      <c r="G107" s="183">
        <f t="shared" si="11"/>
        <v>5</v>
      </c>
      <c r="H107" s="184">
        <f>SUM(G107+'1'!G78)</f>
        <v>149</v>
      </c>
      <c r="I107" s="183"/>
      <c r="J107" s="209">
        <f>H107/DAY(B2)</f>
        <v>5.5185185185185182</v>
      </c>
      <c r="N107" s="73"/>
    </row>
    <row r="108" spans="1:14" s="93" customFormat="1" ht="27.75">
      <c r="A108" s="1194" t="s">
        <v>201</v>
      </c>
      <c r="B108" s="1195"/>
      <c r="C108" s="770"/>
      <c r="D108" s="273"/>
      <c r="E108" s="183">
        <f>'26'!F108</f>
        <v>0</v>
      </c>
      <c r="F108" s="310"/>
      <c r="G108" s="183">
        <f>SUM(G105:G107)</f>
        <v>14</v>
      </c>
      <c r="H108" s="184">
        <f>SUM(G108+'1'!G79)</f>
        <v>157</v>
      </c>
      <c r="I108" s="183"/>
      <c r="J108" s="209">
        <f>H108/DAY(B2)</f>
        <v>5.8148148148148149</v>
      </c>
      <c r="N108" s="73"/>
    </row>
    <row r="109" spans="1:14" s="93" customFormat="1" ht="27.75">
      <c r="A109" s="1198" t="s">
        <v>78</v>
      </c>
      <c r="B109" s="1199"/>
      <c r="C109" s="770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>
      <c r="A110" s="1192" t="s">
        <v>219</v>
      </c>
      <c r="B110" s="1193"/>
      <c r="C110" s="770"/>
      <c r="D110" s="273" t="s">
        <v>143</v>
      </c>
      <c r="E110" s="183">
        <f>'26'!F110</f>
        <v>66724</v>
      </c>
      <c r="F110" s="454">
        <v>66795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8.7614814814835515</v>
      </c>
      <c r="N110" s="73"/>
    </row>
    <row r="111" spans="1:14" s="93" customFormat="1" ht="27.75">
      <c r="A111" s="1192" t="s">
        <v>220</v>
      </c>
      <c r="B111" s="1193"/>
      <c r="C111" s="770"/>
      <c r="D111" s="273" t="s">
        <v>143</v>
      </c>
      <c r="E111" s="183">
        <f>'26'!F111</f>
        <v>33838</v>
      </c>
      <c r="F111" s="434">
        <v>33867</v>
      </c>
      <c r="G111" s="183">
        <f t="shared" ref="G111:G112" si="12">F111-E111</f>
        <v>29</v>
      </c>
      <c r="H111" s="184">
        <f>SUM(G111+'1'!G82)</f>
        <v>42.279999999998836</v>
      </c>
      <c r="I111" s="183"/>
      <c r="J111" s="209">
        <f>H111/DAY(B2)</f>
        <v>1.5659259259258829</v>
      </c>
      <c r="N111" s="73"/>
    </row>
    <row r="112" spans="1:14" s="93" customFormat="1" ht="27.75">
      <c r="A112" s="1192" t="s">
        <v>221</v>
      </c>
      <c r="B112" s="1193"/>
      <c r="C112" s="770"/>
      <c r="D112" s="273" t="s">
        <v>143</v>
      </c>
      <c r="E112" s="183">
        <f>'26'!F112</f>
        <v>4622</v>
      </c>
      <c r="F112" s="434">
        <v>4622</v>
      </c>
      <c r="G112" s="185">
        <f t="shared" si="12"/>
        <v>0</v>
      </c>
      <c r="H112" s="184">
        <f>SUM(G112+'1'!G83)</f>
        <v>305</v>
      </c>
      <c r="I112" s="183"/>
      <c r="J112" s="209">
        <f>H112/DAY(B2)</f>
        <v>11.296296296296296</v>
      </c>
      <c r="N112" s="73"/>
    </row>
    <row r="113" spans="1:14" s="93" customFormat="1" ht="27.75">
      <c r="A113" s="1194" t="s">
        <v>109</v>
      </c>
      <c r="B113" s="1195"/>
      <c r="C113" s="770"/>
      <c r="D113" s="273"/>
      <c r="E113" s="183">
        <f>'26'!F113</f>
        <v>0</v>
      </c>
      <c r="F113" s="310"/>
      <c r="G113" s="183">
        <f>SUM(G110:G112)</f>
        <v>100</v>
      </c>
      <c r="H113" s="184">
        <f>SUM(G113+'1'!G84)</f>
        <v>909</v>
      </c>
      <c r="I113" s="183"/>
      <c r="J113" s="209">
        <f>H113/DAY(B2)</f>
        <v>33.666666666666664</v>
      </c>
      <c r="N113" s="73"/>
    </row>
    <row r="114" spans="1:14" s="93" customFormat="1" ht="27.75">
      <c r="A114" s="1198" t="s">
        <v>222</v>
      </c>
      <c r="B114" s="1199"/>
      <c r="C114" s="770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>
      <c r="A115" s="1192" t="s">
        <v>223</v>
      </c>
      <c r="B115" s="1193"/>
      <c r="C115" s="225"/>
      <c r="D115" s="273" t="s">
        <v>143</v>
      </c>
      <c r="E115" s="183">
        <f>'26'!F115</f>
        <v>12393</v>
      </c>
      <c r="F115" s="310">
        <v>12403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0.37037037037037035</v>
      </c>
      <c r="N115" s="73"/>
    </row>
    <row r="116" spans="1:14" s="93" customFormat="1" ht="27.75">
      <c r="A116" s="1192" t="s">
        <v>224</v>
      </c>
      <c r="B116" s="1193"/>
      <c r="C116" s="225"/>
      <c r="D116" s="273" t="s">
        <v>143</v>
      </c>
      <c r="E116" s="183">
        <f>'26'!F116</f>
        <v>8778</v>
      </c>
      <c r="F116" s="310">
        <v>8785</v>
      </c>
      <c r="G116" s="185">
        <f t="shared" ref="G116:G117" si="13">F116-E116</f>
        <v>7</v>
      </c>
      <c r="H116" s="184">
        <f>SUM(G116+'1'!G93)</f>
        <v>142</v>
      </c>
      <c r="I116" s="183"/>
      <c r="J116" s="209">
        <f>H116/DAY(B2)</f>
        <v>5.2592592592592595</v>
      </c>
      <c r="N116" s="73"/>
    </row>
    <row r="117" spans="1:14" s="93" customFormat="1" ht="27.75">
      <c r="A117" s="1192" t="s">
        <v>225</v>
      </c>
      <c r="B117" s="1193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6.333333333333333</v>
      </c>
      <c r="N117" s="73"/>
    </row>
    <row r="118" spans="1:14" s="96" customFormat="1" ht="27.75">
      <c r="A118" s="1194" t="s">
        <v>201</v>
      </c>
      <c r="B118" s="1195"/>
      <c r="C118" s="225"/>
      <c r="D118" s="274"/>
      <c r="E118" s="185"/>
      <c r="F118" s="310"/>
      <c r="G118" s="185">
        <f>SUM(G115:G117)</f>
        <v>17</v>
      </c>
      <c r="H118" s="184">
        <f>SUM(G118+'1'!G96)</f>
        <v>87</v>
      </c>
      <c r="I118" s="185"/>
      <c r="J118" s="209">
        <f>H118/DAY(B2)</f>
        <v>3.2222222222222223</v>
      </c>
      <c r="N118" s="73"/>
    </row>
    <row r="119" spans="1:14" s="97" customFormat="1" ht="27.75">
      <c r="A119" s="1188" t="s">
        <v>226</v>
      </c>
      <c r="B119" s="1189"/>
      <c r="C119" s="768"/>
      <c r="D119" s="275" t="s">
        <v>143</v>
      </c>
      <c r="E119" s="187"/>
      <c r="F119" s="311"/>
      <c r="G119" s="187">
        <f>SUM(G19+G93)</f>
        <v>114</v>
      </c>
      <c r="H119" s="184">
        <f>SUM(G119+'1'!G97)</f>
        <v>148</v>
      </c>
      <c r="I119" s="186"/>
      <c r="J119" s="210">
        <f>H119/DAY(B2)</f>
        <v>5.4814814814814818</v>
      </c>
      <c r="N119" s="73"/>
    </row>
    <row r="120" spans="1:14" s="97" customFormat="1" ht="27.75">
      <c r="A120" s="1188" t="s">
        <v>227</v>
      </c>
      <c r="B120" s="1189"/>
      <c r="C120" s="768"/>
      <c r="D120" s="275" t="s">
        <v>143</v>
      </c>
      <c r="E120" s="187"/>
      <c r="F120" s="311"/>
      <c r="G120" s="187">
        <f>SUM(G96,G97,G98,G100,G101)</f>
        <v>120</v>
      </c>
      <c r="H120" s="184">
        <f>SUM(G120+'1'!G99)</f>
        <v>126</v>
      </c>
      <c r="I120" s="186"/>
      <c r="J120" s="210">
        <f>H120/DAY(B2)</f>
        <v>4.666666666666667</v>
      </c>
      <c r="N120" s="73"/>
    </row>
    <row r="121" spans="1:14" s="97" customFormat="1" ht="27.75">
      <c r="A121" s="1188" t="s">
        <v>228</v>
      </c>
      <c r="B121" s="1189"/>
      <c r="C121" s="768"/>
      <c r="D121" s="275" t="s">
        <v>143</v>
      </c>
      <c r="E121" s="185"/>
      <c r="F121" s="310"/>
      <c r="G121" s="185">
        <f>SUM(G113)</f>
        <v>100</v>
      </c>
      <c r="H121" s="184">
        <f>SUM(G121+'1'!G101)</f>
        <v>115</v>
      </c>
      <c r="I121" s="186"/>
      <c r="J121" s="210">
        <f>H121/DAY(B2)</f>
        <v>4.2592592592592595</v>
      </c>
      <c r="N121" s="73"/>
    </row>
    <row r="122" spans="1:14" s="93" customFormat="1" ht="27.75">
      <c r="A122" s="1190"/>
      <c r="B122" s="1191"/>
      <c r="C122" s="769"/>
      <c r="D122" s="211"/>
      <c r="E122" s="211"/>
      <c r="F122" s="312"/>
      <c r="G122" s="211"/>
      <c r="H122" s="212"/>
      <c r="I122" s="211"/>
      <c r="J122" s="213"/>
      <c r="N122" s="73"/>
    </row>
    <row r="123" spans="1:14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71" t="s">
        <v>230</v>
      </c>
      <c r="B124" s="772"/>
      <c r="C124" s="772"/>
      <c r="D124" s="174" t="s">
        <v>140</v>
      </c>
      <c r="E124" s="129">
        <f>'26'!F124</f>
        <v>846687</v>
      </c>
      <c r="F124" s="129">
        <v>846937</v>
      </c>
      <c r="G124" s="124">
        <f t="shared" ref="G124:G128" si="14">F124-E124</f>
        <v>250</v>
      </c>
      <c r="H124" s="111">
        <f>G124+'26'!H124</f>
        <v>-1029</v>
      </c>
      <c r="I124" s="177">
        <f>G124/5</f>
        <v>50</v>
      </c>
      <c r="J124" s="203">
        <f>H124/DAY(B2)</f>
        <v>-38.111111111111114</v>
      </c>
      <c r="K124" s="71"/>
      <c r="L124" s="68"/>
      <c r="N124" s="73"/>
    </row>
    <row r="125" spans="1:14" ht="27.75">
      <c r="A125" s="771" t="s">
        <v>231</v>
      </c>
      <c r="B125" s="772"/>
      <c r="C125" s="772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181" t="s">
        <v>232</v>
      </c>
      <c r="B126" s="1182"/>
      <c r="C126" s="1183"/>
      <c r="D126" s="174" t="s">
        <v>140</v>
      </c>
      <c r="E126" s="129">
        <f>'26'!F126</f>
        <v>150921</v>
      </c>
      <c r="F126" s="277">
        <v>150983</v>
      </c>
      <c r="G126" s="124">
        <f t="shared" si="14"/>
        <v>62</v>
      </c>
      <c r="H126" s="111">
        <f>G126+'26'!H126</f>
        <v>-338</v>
      </c>
      <c r="I126" s="177"/>
      <c r="J126" s="203">
        <f>H126/DAY(B2)</f>
        <v>-12.518518518518519</v>
      </c>
      <c r="K126" s="71"/>
      <c r="L126" s="68"/>
      <c r="N126" s="73"/>
    </row>
    <row r="127" spans="1:14" ht="27.75">
      <c r="A127" s="260" t="s">
        <v>233</v>
      </c>
      <c r="B127" s="772"/>
      <c r="C127" s="772"/>
      <c r="D127" s="174" t="s">
        <v>140</v>
      </c>
      <c r="E127" s="129">
        <f>'26'!F127</f>
        <v>33090</v>
      </c>
      <c r="F127" s="277">
        <v>33120</v>
      </c>
      <c r="G127" s="124">
        <f t="shared" si="14"/>
        <v>30</v>
      </c>
      <c r="H127" s="111">
        <f>G127+'26'!H127</f>
        <v>-168</v>
      </c>
      <c r="I127" s="177"/>
      <c r="J127" s="203">
        <f>H127/DAY(B2)</f>
        <v>-6.2222222222222223</v>
      </c>
      <c r="K127" s="71"/>
      <c r="L127" s="68"/>
      <c r="N127" s="73"/>
    </row>
    <row r="128" spans="1:14" ht="27.75">
      <c r="A128" s="260" t="s">
        <v>234</v>
      </c>
      <c r="B128" s="772"/>
      <c r="C128" s="772"/>
      <c r="D128" s="174" t="s">
        <v>140</v>
      </c>
      <c r="E128" s="129">
        <f>'26'!F128</f>
        <v>9101</v>
      </c>
      <c r="F128" s="277">
        <v>9102</v>
      </c>
      <c r="G128" s="124">
        <f t="shared" si="14"/>
        <v>1</v>
      </c>
      <c r="H128" s="111">
        <f>G128+'26'!H128</f>
        <v>-11</v>
      </c>
      <c r="I128" s="131"/>
      <c r="J128" s="203">
        <f>H128/DAY(B2)</f>
        <v>-0.40740740740740738</v>
      </c>
      <c r="K128" s="71"/>
      <c r="L128" s="68"/>
      <c r="N128" s="73"/>
    </row>
    <row r="129" spans="1:14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606.60000000000582</v>
      </c>
      <c r="H129" s="111">
        <f>G129+'26'!H129</f>
        <v>19023</v>
      </c>
      <c r="I129" s="131"/>
      <c r="J129" s="203">
        <f>H129/DAY(B2)</f>
        <v>704.55555555555554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71" t="s">
        <v>237</v>
      </c>
      <c r="B131" s="772"/>
      <c r="C131" s="772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>
      <c r="A132" s="771" t="s">
        <v>239</v>
      </c>
      <c r="B132" s="772"/>
      <c r="C132" s="772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>
      <c r="A133" s="771" t="s">
        <v>240</v>
      </c>
      <c r="B133" s="772"/>
      <c r="C133" s="772"/>
      <c r="D133" s="174" t="s">
        <v>238</v>
      </c>
      <c r="E133" s="135">
        <f>'26'!F133</f>
        <v>40619</v>
      </c>
      <c r="F133" s="136">
        <v>40619</v>
      </c>
      <c r="G133" s="124">
        <f t="shared" si="15"/>
        <v>0</v>
      </c>
      <c r="H133" s="111">
        <f>G133+'26'!H133</f>
        <v>0</v>
      </c>
      <c r="I133" s="131"/>
      <c r="J133" s="203">
        <f>H133/DAY(B2)</f>
        <v>0</v>
      </c>
      <c r="N133" s="73"/>
    </row>
    <row r="134" spans="1:14" ht="27.75">
      <c r="A134" s="771" t="s">
        <v>241</v>
      </c>
      <c r="B134" s="772"/>
      <c r="C134" s="772"/>
      <c r="D134" s="174" t="s">
        <v>238</v>
      </c>
      <c r="E134" s="135">
        <f>'26'!F134</f>
        <v>486</v>
      </c>
      <c r="F134" s="302">
        <v>510</v>
      </c>
      <c r="G134" s="124">
        <f t="shared" si="15"/>
        <v>24</v>
      </c>
      <c r="H134" s="111">
        <f>G134+'26'!H134</f>
        <v>-64</v>
      </c>
      <c r="I134" s="131">
        <f>G131+G132+G133+G134</f>
        <v>24</v>
      </c>
      <c r="J134" s="203">
        <f>H134/DAY(B2)</f>
        <v>-2.3703703703703702</v>
      </c>
      <c r="N134" s="73"/>
    </row>
    <row r="135" spans="1:14" ht="27.75">
      <c r="A135" s="771" t="s">
        <v>242</v>
      </c>
      <c r="B135" s="772"/>
      <c r="C135" s="772"/>
      <c r="D135" s="174" t="s">
        <v>238</v>
      </c>
      <c r="E135" s="135">
        <f>'26'!F135</f>
        <v>42430</v>
      </c>
      <c r="F135" s="136">
        <v>42436</v>
      </c>
      <c r="G135" s="124">
        <f t="shared" si="15"/>
        <v>6</v>
      </c>
      <c r="H135" s="111">
        <f>G135+'26'!H135</f>
        <v>97.889999999999418</v>
      </c>
      <c r="I135" s="131"/>
      <c r="J135" s="203">
        <f>H135/DAY(B2)</f>
        <v>3.6255555555555339</v>
      </c>
      <c r="N135" s="73"/>
    </row>
    <row r="136" spans="1:14" ht="27.75">
      <c r="A136" s="771" t="s">
        <v>243</v>
      </c>
      <c r="B136" s="772"/>
      <c r="C136" s="772"/>
      <c r="D136" s="174" t="s">
        <v>238</v>
      </c>
      <c r="E136" s="135">
        <f>'26'!F136</f>
        <v>32874</v>
      </c>
      <c r="F136" s="136">
        <v>32874</v>
      </c>
      <c r="G136" s="124">
        <f t="shared" si="15"/>
        <v>0</v>
      </c>
      <c r="H136" s="111">
        <f>G136+'26'!H136</f>
        <v>12.94999999999709</v>
      </c>
      <c r="I136" s="131"/>
      <c r="J136" s="203">
        <f>H136/DAY(B2)</f>
        <v>0.47962962962952183</v>
      </c>
      <c r="N136" s="73"/>
    </row>
    <row r="137" spans="1:14" ht="27.75">
      <c r="A137" s="771" t="s">
        <v>244</v>
      </c>
      <c r="B137" s="772"/>
      <c r="C137" s="772"/>
      <c r="D137" s="174" t="s">
        <v>238</v>
      </c>
      <c r="E137" s="135">
        <f>'26'!F137</f>
        <v>23083</v>
      </c>
      <c r="F137" s="136">
        <v>23091.78</v>
      </c>
      <c r="G137" s="124">
        <f t="shared" si="15"/>
        <v>8.7799999999988358</v>
      </c>
      <c r="H137" s="111">
        <f>G137+'26'!H137</f>
        <v>-14.780000000002474</v>
      </c>
      <c r="I137" s="131">
        <f>G135+G136+G137</f>
        <v>14.779999999998836</v>
      </c>
      <c r="J137" s="203">
        <f>H137/DAY(B2)</f>
        <v>-0.54740740740749905</v>
      </c>
      <c r="N137" s="73"/>
    </row>
    <row r="138" spans="1:14" ht="27.75">
      <c r="A138" s="771" t="s">
        <v>245</v>
      </c>
      <c r="B138" s="772"/>
      <c r="C138" s="772"/>
      <c r="D138" s="174" t="s">
        <v>238</v>
      </c>
      <c r="E138" s="135">
        <f>'26'!F138</f>
        <v>25099</v>
      </c>
      <c r="F138" s="302">
        <v>25099.16</v>
      </c>
      <c r="G138" s="124">
        <f t="shared" si="15"/>
        <v>0.15999999999985448</v>
      </c>
      <c r="H138" s="111">
        <f>G138+'26'!H138</f>
        <v>8</v>
      </c>
      <c r="I138" s="131"/>
      <c r="J138" s="203">
        <f>H138/DAY(B2)</f>
        <v>0.29629629629629628</v>
      </c>
      <c r="N138" s="73"/>
    </row>
    <row r="139" spans="1:14" ht="27.75">
      <c r="A139" s="771" t="s">
        <v>246</v>
      </c>
      <c r="B139" s="772"/>
      <c r="C139" s="772"/>
      <c r="D139" s="174" t="s">
        <v>238</v>
      </c>
      <c r="E139" s="135">
        <f>'26'!F139</f>
        <v>70517</v>
      </c>
      <c r="F139" s="136">
        <v>70516.600000000006</v>
      </c>
      <c r="G139" s="124">
        <f t="shared" si="15"/>
        <v>-0.39999999999417923</v>
      </c>
      <c r="H139" s="111">
        <f>G139+'26'!H139</f>
        <v>15</v>
      </c>
      <c r="I139" s="131">
        <f>G138+G139</f>
        <v>-0.23999999999432475</v>
      </c>
      <c r="J139" s="203">
        <f>H139/DAY(B2)</f>
        <v>0.55555555555555558</v>
      </c>
      <c r="N139" s="73"/>
    </row>
    <row r="140" spans="1:14" ht="27.75">
      <c r="A140" s="771" t="s">
        <v>247</v>
      </c>
      <c r="B140" s="772"/>
      <c r="C140" s="772"/>
      <c r="D140" s="174" t="s">
        <v>238</v>
      </c>
      <c r="E140" s="135">
        <f>'26'!F140</f>
        <v>2264.63</v>
      </c>
      <c r="F140" s="136">
        <v>2273.79</v>
      </c>
      <c r="G140" s="124">
        <f t="shared" si="15"/>
        <v>9.1599999999998545</v>
      </c>
      <c r="H140" s="111">
        <f>G140+'26'!H140</f>
        <v>-37.769999999999982</v>
      </c>
      <c r="I140" s="193"/>
      <c r="J140" s="203">
        <f>H140/DAY(B2)</f>
        <v>-1.3988888888888882</v>
      </c>
      <c r="N140" s="73"/>
    </row>
    <row r="141" spans="1:14" ht="27.75">
      <c r="A141" s="771" t="s">
        <v>248</v>
      </c>
      <c r="B141" s="772"/>
      <c r="C141" s="772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>
      <c r="A142" s="1203" t="s">
        <v>249</v>
      </c>
      <c r="B142" s="1204"/>
      <c r="C142" s="777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5559</v>
      </c>
      <c r="H143" s="111">
        <f>G143+'26'!H143</f>
        <v>-25962.119999999995</v>
      </c>
      <c r="I143" s="131"/>
      <c r="J143" s="203">
        <f>H143/DAY(B2)</f>
        <v>-961.55999999999983</v>
      </c>
      <c r="K143" s="71"/>
      <c r="L143" s="68"/>
      <c r="N143" s="73"/>
    </row>
    <row r="144" spans="1:14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0.23909677419354838</v>
      </c>
      <c r="H144" s="111">
        <f>G144+'26'!H144</f>
        <v>-0.94748556198939338</v>
      </c>
      <c r="I144" s="195"/>
      <c r="J144" s="203">
        <f>H144/DAY(B2)</f>
        <v>-3.5092057851459017E-2</v>
      </c>
      <c r="K144" s="71"/>
      <c r="L144" s="68"/>
      <c r="N144" s="73"/>
    </row>
    <row r="145" spans="1:14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6213</v>
      </c>
      <c r="H145" s="111">
        <f>G145+'26'!H145</f>
        <v>-27446</v>
      </c>
      <c r="I145" s="131"/>
      <c r="J145" s="203">
        <f>H145/DAY(B2)</f>
        <v>-1016.5185185185185</v>
      </c>
      <c r="K145" s="71"/>
      <c r="L145" s="68"/>
      <c r="N145" s="73"/>
    </row>
    <row r="146" spans="1:14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0.26722580645161292</v>
      </c>
      <c r="H146" s="111">
        <f>G146+'26'!H146</f>
        <v>-0.99919377329005865</v>
      </c>
      <c r="I146" s="195"/>
      <c r="J146" s="203">
        <f>H146/DAY(B2)</f>
        <v>-3.7007176788520689E-2</v>
      </c>
      <c r="K146" s="71"/>
      <c r="L146" s="68"/>
      <c r="N146" s="73"/>
    </row>
    <row r="147" spans="1:14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3783</v>
      </c>
      <c r="H147" s="111">
        <f>G147+'26'!H147</f>
        <v>-15257</v>
      </c>
      <c r="I147" s="196"/>
      <c r="J147" s="203">
        <f>H147/DAY(B2)</f>
        <v>-565.07407407407402</v>
      </c>
      <c r="K147" s="71"/>
      <c r="L147" s="68"/>
      <c r="N147" s="73"/>
    </row>
    <row r="148" spans="1:14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0.16270967741935483</v>
      </c>
      <c r="H148" s="111">
        <f>G148+'26'!H148</f>
        <v>-0.54133708121748148</v>
      </c>
      <c r="I148" s="196"/>
      <c r="J148" s="203">
        <f>H148/DAY(B2)</f>
        <v>-2.0049521526573386E-2</v>
      </c>
      <c r="N148" s="73"/>
    </row>
    <row r="149" spans="1:14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1507.9300000000512</v>
      </c>
      <c r="H149" s="111">
        <f>G149+'26'!H149</f>
        <v>-6637</v>
      </c>
      <c r="I149" s="131"/>
      <c r="J149" s="203">
        <f>H149/DAY(B2)</f>
        <v>-245.81481481481481</v>
      </c>
      <c r="K149" s="72"/>
      <c r="N149" s="73"/>
    </row>
    <row r="150" spans="1:14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6.485720430107747E-2</v>
      </c>
      <c r="H150" s="111">
        <f>G150+'26'!H150</f>
        <v>-0.23386461239115156</v>
      </c>
      <c r="I150" s="196"/>
      <c r="J150" s="203">
        <f>H150/DAY(B2)</f>
        <v>-8.6616523107833909E-3</v>
      </c>
      <c r="N150" s="73"/>
    </row>
    <row r="151" spans="1:14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1659</v>
      </c>
      <c r="H151" s="111">
        <f>G151+'26'!H151</f>
        <v>-7709</v>
      </c>
      <c r="I151" s="196"/>
      <c r="J151" s="203">
        <f>H151/DAY(B2)</f>
        <v>-285.51851851851853</v>
      </c>
      <c r="N151" s="73"/>
    </row>
    <row r="152" spans="1:14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7.1354838709677418E-2</v>
      </c>
      <c r="H152" s="111">
        <f>G152+'26'!H152</f>
        <v>-0.27928393028246057</v>
      </c>
      <c r="I152" s="131"/>
      <c r="J152" s="203">
        <f>H152/DAY(B2)</f>
        <v>-1.0343849269720762E-2</v>
      </c>
      <c r="N152" s="73"/>
    </row>
    <row r="153" spans="1:14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1655.1300000000047</v>
      </c>
      <c r="H153" s="111">
        <f>G153+'26'!H153</f>
        <v>-6495</v>
      </c>
      <c r="I153" s="131"/>
      <c r="J153" s="203">
        <f>H153/DAY(B2)</f>
        <v>-240.55555555555554</v>
      </c>
      <c r="N153" s="73"/>
    </row>
    <row r="154" spans="1:14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7.11883870967744E-2</v>
      </c>
      <c r="H154" s="111">
        <f>G154+'26'!H154</f>
        <v>-0.23182331694997316</v>
      </c>
      <c r="I154" s="219"/>
      <c r="J154" s="220">
        <f>H154/DAY(B2)</f>
        <v>-8.5860487759249326E-3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>
      <c r="A161" s="435" t="s">
        <v>262</v>
      </c>
      <c r="B161" s="436"/>
      <c r="C161" s="436"/>
      <c r="D161" s="162" t="s">
        <v>186</v>
      </c>
      <c r="E161" s="192">
        <f>'26'!F161</f>
        <v>42931</v>
      </c>
      <c r="F161" s="309">
        <v>43011</v>
      </c>
      <c r="G161" s="124">
        <f t="shared" ref="G161:G164" si="16">F161-E161</f>
        <v>80</v>
      </c>
    </row>
    <row r="162" spans="1:14">
      <c r="A162" s="435" t="s">
        <v>263</v>
      </c>
      <c r="B162" s="436"/>
      <c r="C162" s="436"/>
      <c r="D162" s="162" t="s">
        <v>186</v>
      </c>
      <c r="E162" s="192">
        <f>'26'!F162</f>
        <v>119810</v>
      </c>
      <c r="F162" s="309">
        <v>120288</v>
      </c>
      <c r="G162" s="124">
        <f t="shared" si="16"/>
        <v>478</v>
      </c>
    </row>
    <row r="163" spans="1:14">
      <c r="A163" s="435" t="s">
        <v>264</v>
      </c>
      <c r="B163" s="436"/>
      <c r="C163" s="436"/>
      <c r="D163" s="162" t="s">
        <v>186</v>
      </c>
      <c r="E163" s="192">
        <f>'26'!F163</f>
        <v>66512</v>
      </c>
      <c r="F163" s="309">
        <v>66707</v>
      </c>
      <c r="G163" s="124">
        <f t="shared" si="16"/>
        <v>195</v>
      </c>
    </row>
    <row r="164" spans="1:14">
      <c r="A164" s="435" t="s">
        <v>265</v>
      </c>
      <c r="B164" s="436"/>
      <c r="C164" s="436"/>
      <c r="D164" s="162" t="s">
        <v>186</v>
      </c>
      <c r="E164" s="192">
        <f>'26'!F164</f>
        <v>7092</v>
      </c>
      <c r="F164" s="309">
        <v>7101</v>
      </c>
      <c r="G164" s="124">
        <f t="shared" si="16"/>
        <v>9</v>
      </c>
    </row>
    <row r="165" spans="1:14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>
      <c r="A167" s="1187" t="s">
        <v>98</v>
      </c>
      <c r="B167" s="1187"/>
      <c r="C167" s="1187"/>
      <c r="D167" s="174" t="s">
        <v>186</v>
      </c>
      <c r="E167" s="165">
        <f t="shared" si="18"/>
        <v>179989</v>
      </c>
      <c r="F167" s="165">
        <f t="shared" si="19"/>
        <v>180340</v>
      </c>
      <c r="G167" s="124">
        <f t="shared" si="17"/>
        <v>351</v>
      </c>
    </row>
    <row r="168" spans="1:14" ht="27.75">
      <c r="A168" s="1187" t="s">
        <v>99</v>
      </c>
      <c r="B168" s="1187"/>
      <c r="C168" s="1187"/>
      <c r="D168" s="174" t="s">
        <v>186</v>
      </c>
      <c r="E168" s="165">
        <f t="shared" si="18"/>
        <v>180273</v>
      </c>
      <c r="F168" s="165">
        <f t="shared" si="19"/>
        <v>180631</v>
      </c>
      <c r="G168" s="124">
        <f t="shared" si="17"/>
        <v>358</v>
      </c>
    </row>
    <row r="169" spans="1:14" ht="27.75">
      <c r="A169" s="1187" t="s">
        <v>100</v>
      </c>
      <c r="B169" s="1187"/>
      <c r="C169" s="1187"/>
      <c r="D169" s="174" t="s">
        <v>186</v>
      </c>
      <c r="E169" s="165">
        <f t="shared" si="18"/>
        <v>78637</v>
      </c>
      <c r="F169" s="165">
        <f t="shared" si="19"/>
        <v>79039</v>
      </c>
      <c r="G169" s="124">
        <f t="shared" si="17"/>
        <v>402</v>
      </c>
    </row>
    <row r="170" spans="1:14" ht="27.75">
      <c r="A170" s="1187" t="s">
        <v>101</v>
      </c>
      <c r="B170" s="1187"/>
      <c r="C170" s="1187"/>
      <c r="D170" s="174" t="s">
        <v>186</v>
      </c>
      <c r="E170" s="165">
        <f t="shared" si="18"/>
        <v>277460</v>
      </c>
      <c r="F170" s="165">
        <f t="shared" si="19"/>
        <v>277989</v>
      </c>
      <c r="G170" s="124">
        <f t="shared" si="17"/>
        <v>529</v>
      </c>
    </row>
    <row r="171" spans="1:14" ht="27.75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>
      <c r="A172" s="1187" t="s">
        <v>103</v>
      </c>
      <c r="B172" s="1187"/>
      <c r="C172" s="1187"/>
      <c r="D172" s="174" t="s">
        <v>186</v>
      </c>
      <c r="E172" s="165">
        <f t="shared" si="18"/>
        <v>94828</v>
      </c>
      <c r="F172" s="165">
        <f t="shared" si="19"/>
        <v>95173</v>
      </c>
      <c r="G172" s="124">
        <f t="shared" si="17"/>
        <v>345</v>
      </c>
    </row>
    <row r="173" spans="1:14">
      <c r="G173" s="190">
        <f>SUM(G161:G172)</f>
        <v>2747</v>
      </c>
    </row>
    <row r="174" spans="1:14" s="57" customFormat="1" ht="27">
      <c r="A174" s="1187" t="s">
        <v>334</v>
      </c>
      <c r="B174" s="1187"/>
      <c r="C174" s="1187"/>
      <c r="D174" s="1123" t="s">
        <v>186</v>
      </c>
      <c r="E174" s="1124">
        <v>28455</v>
      </c>
      <c r="F174" s="1124">
        <v>28465</v>
      </c>
      <c r="G174" s="1125">
        <f t="shared" ref="G174:G177" si="20">F174-E174</f>
        <v>10</v>
      </c>
      <c r="H174" s="1126"/>
      <c r="I174" s="105"/>
      <c r="J174" s="1127"/>
      <c r="N174" s="1129"/>
    </row>
    <row r="175" spans="1:14" s="57" customFormat="1" ht="27">
      <c r="A175" s="1228" t="s">
        <v>338</v>
      </c>
      <c r="B175" s="1191"/>
      <c r="C175" s="435"/>
      <c r="D175" s="1123" t="s">
        <v>186</v>
      </c>
      <c r="E175" s="1124">
        <v>19118</v>
      </c>
      <c r="F175" s="1124">
        <v>19121</v>
      </c>
      <c r="G175" s="1125">
        <f t="shared" si="20"/>
        <v>3</v>
      </c>
      <c r="H175" s="1126"/>
      <c r="I175" s="105"/>
      <c r="J175" s="1127"/>
      <c r="N175" s="1129"/>
    </row>
    <row r="176" spans="1:14" s="57" customFormat="1" ht="27">
      <c r="A176" s="1228" t="s">
        <v>339</v>
      </c>
      <c r="B176" s="1191"/>
      <c r="C176" s="105"/>
      <c r="D176" s="1123" t="s">
        <v>186</v>
      </c>
      <c r="E176" s="1128">
        <v>27766</v>
      </c>
      <c r="F176" s="1128">
        <v>27771</v>
      </c>
      <c r="G176" s="1125">
        <f t="shared" si="20"/>
        <v>5</v>
      </c>
      <c r="H176" s="1126"/>
      <c r="I176" s="105"/>
      <c r="J176" s="1127"/>
      <c r="N176" s="1129"/>
    </row>
    <row r="177" spans="1:15" s="57" customFormat="1" ht="25.5" customHeight="1">
      <c r="A177" s="1228" t="s">
        <v>338</v>
      </c>
      <c r="B177" s="1191"/>
      <c r="C177" s="105"/>
      <c r="D177" s="1123" t="s">
        <v>186</v>
      </c>
      <c r="E177" s="1124">
        <v>70500</v>
      </c>
      <c r="F177" s="1124">
        <v>70506</v>
      </c>
      <c r="G177" s="1125">
        <f t="shared" si="20"/>
        <v>6</v>
      </c>
      <c r="H177" s="1126"/>
      <c r="I177" s="105"/>
      <c r="J177" s="1129"/>
      <c r="N177" s="1129"/>
    </row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0"/>
  <sheetViews>
    <sheetView view="pageBreakPreview" topLeftCell="B149" zoomScale="95" zoomScaleNormal="80" zoomScaleSheetLayoutView="95" workbookViewId="0">
      <selection activeCell="F19" sqref="F19"/>
    </sheetView>
  </sheetViews>
  <sheetFormatPr defaultColWidth="22.33203125" defaultRowHeight="29.2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51" customWidth="1"/>
    <col min="15" max="17" width="22.33203125" style="420"/>
    <col min="18" max="16384" width="22.33203125" style="67"/>
  </cols>
  <sheetData>
    <row r="1" spans="1:17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7" s="57" customFormat="1" ht="27">
      <c r="A2" s="226" t="s">
        <v>355</v>
      </c>
      <c r="B2" s="1002">
        <v>44405</v>
      </c>
      <c r="C2" s="773" t="s">
        <v>68</v>
      </c>
      <c r="D2" s="262">
        <v>0.56999999999999995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51"/>
      <c r="O2" s="420"/>
      <c r="P2" s="420"/>
      <c r="Q2" s="420"/>
    </row>
    <row r="3" spans="1:17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  <c r="N3" s="751"/>
      <c r="O3" s="420"/>
      <c r="P3" s="420"/>
      <c r="Q3" s="420"/>
    </row>
    <row r="4" spans="1:17" s="57" customFormat="1" ht="27">
      <c r="A4" s="227"/>
      <c r="B4" s="267"/>
      <c r="C4" s="773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751"/>
      <c r="O4" s="420"/>
      <c r="P4" s="422"/>
      <c r="Q4" s="420"/>
    </row>
    <row r="5" spans="1:17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>
      <c r="A6" s="1208" t="s">
        <v>129</v>
      </c>
      <c r="B6" s="1209"/>
      <c r="C6" s="1210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>
      <c r="A7" s="327" t="s">
        <v>130</v>
      </c>
      <c r="B7" s="328"/>
      <c r="C7" s="328"/>
      <c r="D7" s="288" t="s">
        <v>131</v>
      </c>
      <c r="E7" s="330">
        <f>'27'!F7</f>
        <v>1221138</v>
      </c>
      <c r="F7" s="106">
        <f>E7+23250</f>
        <v>1244388</v>
      </c>
      <c r="G7" s="329">
        <f>F7-E7</f>
        <v>23250</v>
      </c>
      <c r="H7" s="330">
        <f>G7+'27'!H7</f>
        <v>636566</v>
      </c>
      <c r="I7" s="331">
        <f>'1'!I7</f>
        <v>12000</v>
      </c>
      <c r="J7" s="332">
        <f>H7/DAY(B2)</f>
        <v>22734.5</v>
      </c>
      <c r="K7" s="200"/>
      <c r="L7" s="68"/>
      <c r="N7" s="752"/>
    </row>
    <row r="8" spans="1:17" ht="27.75" thickBot="1">
      <c r="A8" s="333" t="s">
        <v>132</v>
      </c>
      <c r="B8" s="334"/>
      <c r="C8" s="335"/>
      <c r="D8" s="336" t="s">
        <v>25</v>
      </c>
      <c r="E8" s="330">
        <f>'27'!F8</f>
        <v>525880</v>
      </c>
      <c r="F8" s="126">
        <v>546938</v>
      </c>
      <c r="G8" s="340">
        <f>F8-E8</f>
        <v>21058</v>
      </c>
      <c r="H8" s="330">
        <f>G8+'27'!H8</f>
        <v>-68659</v>
      </c>
      <c r="I8" s="337">
        <f>'1'!I8</f>
        <v>12000</v>
      </c>
      <c r="J8" s="332">
        <f>H8/DAY(B2)</f>
        <v>-2452.1071428571427</v>
      </c>
      <c r="K8" s="200"/>
      <c r="L8" s="78">
        <v>1375467</v>
      </c>
      <c r="M8" s="91">
        <v>1703438</v>
      </c>
      <c r="N8" s="752"/>
    </row>
    <row r="9" spans="1:17">
      <c r="A9" s="338" t="s">
        <v>133</v>
      </c>
      <c r="B9" s="339"/>
      <c r="C9" s="339"/>
      <c r="D9" s="288" t="s">
        <v>131</v>
      </c>
      <c r="E9" s="330">
        <f>'27'!F9</f>
        <v>2610163</v>
      </c>
      <c r="F9" s="388">
        <v>2630432</v>
      </c>
      <c r="G9" s="353">
        <f t="shared" ref="G9:G12" si="0">F9-E9</f>
        <v>20269</v>
      </c>
      <c r="H9" s="330">
        <f>G9+'27'!H9</f>
        <v>-66203</v>
      </c>
      <c r="I9" s="341">
        <f>I8-J8</f>
        <v>14452.107142857143</v>
      </c>
      <c r="J9" s="332">
        <f>H9/DAY(B2)</f>
        <v>-2364.3928571428573</v>
      </c>
      <c r="K9" s="81"/>
      <c r="L9" s="68"/>
      <c r="N9" s="752"/>
    </row>
    <row r="10" spans="1:17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0.29999999999972715</v>
      </c>
      <c r="I10" s="342"/>
      <c r="J10" s="332">
        <f>H10/DAY(B2)</f>
        <v>1.071428571427597E-2</v>
      </c>
      <c r="K10" s="81"/>
      <c r="L10" s="68"/>
      <c r="M10" s="67">
        <f>170</f>
        <v>170</v>
      </c>
      <c r="N10" s="752"/>
    </row>
    <row r="11" spans="1:17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52"/>
    </row>
    <row r="12" spans="1:17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52"/>
    </row>
    <row r="13" spans="1:17">
      <c r="A13" s="343" t="s">
        <v>137</v>
      </c>
      <c r="B13" s="344"/>
      <c r="C13" s="344"/>
      <c r="D13" s="288"/>
      <c r="E13" s="330"/>
      <c r="F13" s="111"/>
      <c r="G13" s="345">
        <f>G9+G10+G11+G12</f>
        <v>20269.349999999999</v>
      </c>
      <c r="H13" s="330">
        <f>G13+'27'!H13</f>
        <v>-108886.70000000001</v>
      </c>
      <c r="I13" s="346">
        <f>G7-G13</f>
        <v>2980.6500000000015</v>
      </c>
      <c r="J13" s="332">
        <f>H13/DAY(B2)</f>
        <v>-3888.8107142857148</v>
      </c>
      <c r="K13" s="81"/>
      <c r="L13" s="68"/>
      <c r="N13" s="752"/>
    </row>
    <row r="14" spans="1:17">
      <c r="A14" s="1211" t="s">
        <v>138</v>
      </c>
      <c r="B14" s="1212"/>
      <c r="C14" s="1213"/>
      <c r="D14" s="123"/>
      <c r="E14" s="389"/>
      <c r="F14" s="389"/>
      <c r="G14" s="134"/>
      <c r="H14" s="123"/>
      <c r="I14" s="123"/>
      <c r="J14" s="202"/>
      <c r="K14" s="82"/>
      <c r="L14" s="68"/>
      <c r="N14" s="752"/>
    </row>
    <row r="15" spans="1:17">
      <c r="A15" s="316" t="s">
        <v>139</v>
      </c>
      <c r="B15" s="317"/>
      <c r="C15" s="317"/>
      <c r="D15" s="318" t="s">
        <v>140</v>
      </c>
      <c r="E15" s="1130">
        <f>'27'!F15</f>
        <v>1754109</v>
      </c>
      <c r="F15" s="351">
        <f>E15+950</f>
        <v>1755059</v>
      </c>
      <c r="G15" s="315">
        <f>(F15-E15)</f>
        <v>950</v>
      </c>
      <c r="H15" s="737">
        <f>G15+'27'!H15</f>
        <v>25505</v>
      </c>
      <c r="I15" s="738">
        <v>800</v>
      </c>
      <c r="J15" s="739">
        <f>H15/DAY(B2)</f>
        <v>910.89285714285711</v>
      </c>
      <c r="K15" s="81"/>
      <c r="L15" s="68"/>
      <c r="N15" s="752"/>
    </row>
    <row r="16" spans="1:17">
      <c r="A16" s="324"/>
      <c r="B16" s="325"/>
      <c r="C16" s="325"/>
      <c r="D16" s="318"/>
      <c r="E16" s="407"/>
      <c r="F16" s="390"/>
      <c r="G16" s="320"/>
      <c r="H16" s="737"/>
      <c r="I16" s="740">
        <f>I15-J15</f>
        <v>-110.89285714285711</v>
      </c>
      <c r="J16" s="739"/>
      <c r="K16" s="81"/>
      <c r="L16" s="68"/>
      <c r="N16" s="752"/>
    </row>
    <row r="17" spans="1:17">
      <c r="A17" s="1211" t="s">
        <v>141</v>
      </c>
      <c r="B17" s="1212"/>
      <c r="C17" s="1213"/>
      <c r="D17" s="123"/>
      <c r="E17" s="389"/>
      <c r="F17" s="389"/>
      <c r="G17" s="139"/>
      <c r="H17" s="123"/>
      <c r="I17" s="123"/>
      <c r="J17" s="202"/>
      <c r="K17" s="81"/>
      <c r="L17" s="68"/>
      <c r="N17" s="752"/>
    </row>
    <row r="18" spans="1:17" ht="27.75">
      <c r="A18" s="1248" t="s">
        <v>142</v>
      </c>
      <c r="B18" s="1249"/>
      <c r="C18" s="1250"/>
      <c r="D18" s="288" t="s">
        <v>143</v>
      </c>
      <c r="E18" s="408">
        <f>'27'!F18</f>
        <v>11</v>
      </c>
      <c r="F18" s="388">
        <v>6</v>
      </c>
      <c r="G18" s="345">
        <f>F18*10</f>
        <v>60</v>
      </c>
      <c r="H18" s="330">
        <f>G18+'27'!H18</f>
        <v>4130</v>
      </c>
      <c r="I18" s="331">
        <f>'1'!I18</f>
        <v>65</v>
      </c>
      <c r="J18" s="332">
        <f>H18/DAY(B2)</f>
        <v>147.5</v>
      </c>
      <c r="K18" s="81"/>
      <c r="L18" s="68"/>
      <c r="N18" s="752"/>
    </row>
    <row r="19" spans="1:17" ht="27.75">
      <c r="A19" s="1248" t="s">
        <v>70</v>
      </c>
      <c r="B19" s="1249"/>
      <c r="C19" s="1250"/>
      <c r="D19" s="288" t="s">
        <v>143</v>
      </c>
      <c r="E19" s="408">
        <f>'27'!F19</f>
        <v>145050</v>
      </c>
      <c r="F19" s="388">
        <f>E19+60</f>
        <v>145110</v>
      </c>
      <c r="G19" s="340">
        <f t="shared" ref="G19" si="1">F19-E19</f>
        <v>60</v>
      </c>
      <c r="H19" s="330">
        <f>G19+'27'!H19</f>
        <v>1720</v>
      </c>
      <c r="I19" s="347"/>
      <c r="J19" s="332">
        <f>H19/DAY(B2)</f>
        <v>61.428571428571431</v>
      </c>
      <c r="K19" s="81"/>
      <c r="L19" s="68"/>
      <c r="N19" s="752"/>
    </row>
    <row r="20" spans="1:17">
      <c r="A20" s="343" t="s">
        <v>144</v>
      </c>
      <c r="B20" s="344"/>
      <c r="C20" s="344"/>
      <c r="D20" s="288"/>
      <c r="E20" s="330"/>
      <c r="F20" s="111"/>
      <c r="G20" s="348">
        <f>G18+G19</f>
        <v>120</v>
      </c>
      <c r="H20" s="330">
        <f>G20+'27'!H20</f>
        <v>5850</v>
      </c>
      <c r="I20" s="349">
        <f>I18-J20</f>
        <v>-143.92857142857142</v>
      </c>
      <c r="J20" s="332">
        <f>H20/DAY(B2)</f>
        <v>208.92857142857142</v>
      </c>
      <c r="K20" s="81"/>
      <c r="L20" s="68"/>
      <c r="N20" s="752"/>
    </row>
    <row r="21" spans="1:17">
      <c r="A21" s="1211" t="s">
        <v>145</v>
      </c>
      <c r="B21" s="1212"/>
      <c r="C21" s="1213"/>
      <c r="D21" s="123"/>
      <c r="E21" s="389"/>
      <c r="F21" s="389"/>
      <c r="G21" s="134"/>
      <c r="H21" s="123"/>
      <c r="I21" s="123"/>
      <c r="J21" s="202"/>
      <c r="K21" s="81"/>
      <c r="L21" s="68"/>
      <c r="N21" s="752"/>
    </row>
    <row r="22" spans="1:17">
      <c r="A22" s="771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52"/>
    </row>
    <row r="23" spans="1:17">
      <c r="A23" s="771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52"/>
    </row>
    <row r="24" spans="1:17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52"/>
    </row>
    <row r="25" spans="1:17" s="93" customFormat="1" ht="27">
      <c r="A25" s="1216" t="s">
        <v>150</v>
      </c>
      <c r="B25" s="1217"/>
      <c r="C25" s="1218"/>
      <c r="D25" s="122"/>
      <c r="E25" s="146"/>
      <c r="F25" s="146"/>
      <c r="G25" s="145"/>
      <c r="H25" s="146"/>
      <c r="I25" s="147"/>
      <c r="J25" s="205"/>
      <c r="K25" s="65"/>
      <c r="L25" s="94"/>
      <c r="N25" s="752"/>
      <c r="O25" s="420"/>
      <c r="P25" s="420"/>
      <c r="Q25" s="420"/>
    </row>
    <row r="26" spans="1:17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52"/>
      <c r="O26" s="420"/>
      <c r="P26" s="420"/>
      <c r="Q26" s="420"/>
    </row>
    <row r="27" spans="1:17" s="93" customFormat="1" ht="27">
      <c r="A27" s="243" t="s">
        <v>6</v>
      </c>
      <c r="B27" s="244"/>
      <c r="C27" s="245"/>
      <c r="D27" s="270" t="s">
        <v>25</v>
      </c>
      <c r="E27" s="350">
        <f>G8</f>
        <v>21058</v>
      </c>
      <c r="F27" s="152">
        <v>9</v>
      </c>
      <c r="G27" s="153">
        <f>E27*F27</f>
        <v>189522</v>
      </c>
      <c r="H27" s="111">
        <f>G27+'27'!H27</f>
        <v>-617929.10999999964</v>
      </c>
      <c r="I27" s="154"/>
      <c r="J27" s="203">
        <f>H27/DAY(B2)</f>
        <v>-22068.896785714274</v>
      </c>
      <c r="K27" s="65"/>
      <c r="L27" s="94"/>
      <c r="N27" s="752"/>
      <c r="O27" s="420"/>
      <c r="P27" s="420"/>
      <c r="Q27" s="420"/>
    </row>
    <row r="28" spans="1:17" s="93" customFormat="1" ht="27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G28+'27'!H28</f>
        <v>1359147.5</v>
      </c>
      <c r="I28" s="156"/>
      <c r="J28" s="203">
        <f>H28/DAY(B2)</f>
        <v>48540.982142857145</v>
      </c>
      <c r="K28" s="65"/>
      <c r="L28" s="94"/>
      <c r="N28" s="752"/>
      <c r="O28" s="420"/>
      <c r="P28" s="420"/>
      <c r="Q28" s="420"/>
    </row>
    <row r="29" spans="1:17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52"/>
      <c r="O29" s="420"/>
      <c r="P29" s="420"/>
      <c r="Q29" s="420"/>
    </row>
    <row r="30" spans="1:17" s="93" customFormat="1" ht="27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251120</v>
      </c>
      <c r="I30" s="156"/>
      <c r="J30" s="203">
        <f>H30/DAY(B2)</f>
        <v>8968.5714285714294</v>
      </c>
      <c r="K30" s="65"/>
      <c r="L30" s="94"/>
      <c r="N30" s="752"/>
      <c r="O30" s="420"/>
      <c r="P30" s="420"/>
      <c r="Q30" s="420"/>
    </row>
    <row r="31" spans="1:17" s="93" customFormat="1" ht="27">
      <c r="A31" s="243" t="s">
        <v>159</v>
      </c>
      <c r="B31" s="244"/>
      <c r="C31" s="245"/>
      <c r="D31" s="270" t="s">
        <v>143</v>
      </c>
      <c r="E31" s="350">
        <f>G18</f>
        <v>60</v>
      </c>
      <c r="F31" s="350">
        <v>80</v>
      </c>
      <c r="G31" s="153">
        <f>E31*F31</f>
        <v>4800</v>
      </c>
      <c r="H31" s="111">
        <f>G31+'27'!H31</f>
        <v>330400</v>
      </c>
      <c r="I31" s="156"/>
      <c r="J31" s="203">
        <f>H31/DAY(B2)</f>
        <v>11800</v>
      </c>
      <c r="K31" s="65"/>
      <c r="L31" s="94"/>
      <c r="N31" s="752"/>
      <c r="O31" s="420"/>
      <c r="P31" s="420"/>
      <c r="Q31" s="420"/>
    </row>
    <row r="32" spans="1:17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252482</v>
      </c>
      <c r="H32" s="111">
        <f>G32+'27'!H32</f>
        <v>1322738.3899999999</v>
      </c>
      <c r="I32" s="160"/>
      <c r="J32" s="203">
        <f>H32/DAY(B2)</f>
        <v>47240.65678571428</v>
      </c>
      <c r="K32" s="65"/>
      <c r="L32" s="94"/>
      <c r="N32" s="752"/>
      <c r="O32" s="420"/>
      <c r="P32" s="420"/>
      <c r="Q32" s="420"/>
    </row>
    <row r="33" spans="1:14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752"/>
    </row>
    <row r="34" spans="1:14">
      <c r="A34" s="249" t="s">
        <v>162</v>
      </c>
      <c r="B34" s="776"/>
      <c r="C34" s="776"/>
      <c r="D34" s="123"/>
      <c r="E34" s="146"/>
      <c r="F34" s="146"/>
      <c r="G34" s="123"/>
      <c r="H34" s="123"/>
      <c r="I34" s="123"/>
      <c r="J34" s="202"/>
      <c r="K34" s="81"/>
      <c r="L34" s="68"/>
      <c r="N34" s="752"/>
    </row>
    <row r="35" spans="1:1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0.69999999995343387</v>
      </c>
      <c r="I35" s="106"/>
      <c r="J35" s="203">
        <f>H35/DAY(B2)</f>
        <v>2.4999999998336925E-2</v>
      </c>
      <c r="K35" s="81"/>
      <c r="L35" s="68"/>
      <c r="N35" s="752"/>
    </row>
    <row r="36" spans="1:14">
      <c r="A36" s="229" t="s">
        <v>164</v>
      </c>
      <c r="B36" s="230"/>
      <c r="C36" s="230"/>
      <c r="D36" s="174" t="s">
        <v>131</v>
      </c>
      <c r="E36" s="392">
        <f>'27'!F36</f>
        <v>43195</v>
      </c>
      <c r="F36" s="392">
        <v>43869</v>
      </c>
      <c r="G36" s="124">
        <f t="shared" si="3"/>
        <v>674</v>
      </c>
      <c r="H36" s="111">
        <f>G36+'27'!H36</f>
        <v>-2929</v>
      </c>
      <c r="I36" s="106"/>
      <c r="J36" s="203">
        <f>H36/DAY(B2)</f>
        <v>-104.60714285714286</v>
      </c>
      <c r="K36" s="81"/>
      <c r="L36" s="68"/>
      <c r="N36" s="752"/>
    </row>
    <row r="37" spans="1:14">
      <c r="A37" s="229" t="s">
        <v>165</v>
      </c>
      <c r="B37" s="230"/>
      <c r="C37" s="230"/>
      <c r="D37" s="174" t="s">
        <v>131</v>
      </c>
      <c r="E37" s="392">
        <f>'27'!F37</f>
        <v>219678</v>
      </c>
      <c r="F37" s="392">
        <v>221278</v>
      </c>
      <c r="G37" s="124">
        <f t="shared" si="3"/>
        <v>1600</v>
      </c>
      <c r="H37" s="111">
        <f>G37+'27'!H37</f>
        <v>-4895</v>
      </c>
      <c r="I37" s="106"/>
      <c r="J37" s="203">
        <f>H37/DAY(B2)</f>
        <v>-174.82142857142858</v>
      </c>
      <c r="K37" s="81"/>
      <c r="L37" s="68"/>
      <c r="N37" s="752"/>
    </row>
    <row r="38" spans="1:14">
      <c r="A38" s="229" t="s">
        <v>166</v>
      </c>
      <c r="B38" s="230"/>
      <c r="C38" s="230"/>
      <c r="D38" s="174" t="s">
        <v>131</v>
      </c>
      <c r="E38" s="392">
        <f>'27'!F38</f>
        <v>241922</v>
      </c>
      <c r="F38" s="121">
        <v>243471</v>
      </c>
      <c r="G38" s="124">
        <f t="shared" si="3"/>
        <v>1549</v>
      </c>
      <c r="H38" s="111">
        <f>G38+'27'!H38</f>
        <v>-5088</v>
      </c>
      <c r="I38" s="106"/>
      <c r="J38" s="203">
        <f>H38/DAY(B2)</f>
        <v>-181.71428571428572</v>
      </c>
      <c r="K38" s="81"/>
      <c r="L38" s="68"/>
      <c r="N38" s="752"/>
    </row>
    <row r="39" spans="1:14">
      <c r="A39" s="229" t="s">
        <v>167</v>
      </c>
      <c r="B39" s="230"/>
      <c r="C39" s="230"/>
      <c r="D39" s="174" t="s">
        <v>131</v>
      </c>
      <c r="E39" s="392">
        <f>'27'!F39</f>
        <v>505261</v>
      </c>
      <c r="F39" s="392">
        <v>509046</v>
      </c>
      <c r="G39" s="124">
        <f>F39-E39</f>
        <v>3785</v>
      </c>
      <c r="H39" s="111">
        <f>G39+'27'!H39</f>
        <v>-11472</v>
      </c>
      <c r="I39" s="106"/>
      <c r="J39" s="203">
        <f>H39/DAY(B2)</f>
        <v>-409.71428571428572</v>
      </c>
      <c r="K39" s="81"/>
      <c r="L39" s="68"/>
      <c r="N39" s="752"/>
    </row>
    <row r="40" spans="1:14">
      <c r="A40" s="250" t="s">
        <v>168</v>
      </c>
      <c r="B40" s="251"/>
      <c r="C40" s="251"/>
      <c r="D40" s="174" t="s">
        <v>131</v>
      </c>
      <c r="E40" s="392">
        <f>'27'!F40</f>
        <v>18260</v>
      </c>
      <c r="F40" s="392">
        <v>18733</v>
      </c>
      <c r="G40" s="124">
        <f t="shared" si="3"/>
        <v>473</v>
      </c>
      <c r="H40" s="111">
        <f>G40+'27'!H40</f>
        <v>-1440</v>
      </c>
      <c r="I40" s="106"/>
      <c r="J40" s="203">
        <f>H40/DAY(B2)</f>
        <v>-51.428571428571431</v>
      </c>
      <c r="K40" s="82"/>
      <c r="L40" s="68"/>
      <c r="N40" s="752"/>
    </row>
    <row r="41" spans="1:14">
      <c r="A41" s="229" t="s">
        <v>169</v>
      </c>
      <c r="B41" s="230"/>
      <c r="C41" s="230"/>
      <c r="D41" s="174" t="s">
        <v>131</v>
      </c>
      <c r="E41" s="392">
        <f>'27'!F41</f>
        <v>366840</v>
      </c>
      <c r="F41" s="392">
        <v>366840</v>
      </c>
      <c r="G41" s="124">
        <f t="shared" si="3"/>
        <v>0</v>
      </c>
      <c r="H41" s="111">
        <f>G41+'27'!H41</f>
        <v>0</v>
      </c>
      <c r="I41" s="106"/>
      <c r="J41" s="203">
        <f>H41/DAY(B2)</f>
        <v>0</v>
      </c>
      <c r="K41" s="81"/>
      <c r="L41" s="68"/>
      <c r="N41" s="752"/>
    </row>
    <row r="42" spans="1:14">
      <c r="A42" s="229" t="s">
        <v>170</v>
      </c>
      <c r="B42" s="230"/>
      <c r="C42" s="230"/>
      <c r="D42" s="174" t="s">
        <v>131</v>
      </c>
      <c r="E42" s="392">
        <f>'27'!F42</f>
        <v>102539</v>
      </c>
      <c r="F42" s="392">
        <v>107503</v>
      </c>
      <c r="G42" s="124">
        <f t="shared" si="3"/>
        <v>4964</v>
      </c>
      <c r="H42" s="111">
        <f>G42+'27'!H42</f>
        <v>-8009</v>
      </c>
      <c r="I42" s="106"/>
      <c r="J42" s="203">
        <f>H42/DAY(B2)</f>
        <v>-286.03571428571428</v>
      </c>
      <c r="K42" s="81"/>
      <c r="L42" s="68"/>
      <c r="N42" s="752"/>
    </row>
    <row r="43" spans="1:14">
      <c r="A43" s="229" t="s">
        <v>171</v>
      </c>
      <c r="B43" s="230"/>
      <c r="C43" s="230"/>
      <c r="D43" s="174" t="s">
        <v>131</v>
      </c>
      <c r="E43" s="392">
        <f>'27'!F43</f>
        <v>1193513</v>
      </c>
      <c r="F43" s="392">
        <v>1196199</v>
      </c>
      <c r="G43" s="124">
        <f t="shared" si="3"/>
        <v>2686</v>
      </c>
      <c r="H43" s="111">
        <f>G43+'27'!H43</f>
        <v>-8262</v>
      </c>
      <c r="I43" s="106"/>
      <c r="J43" s="203">
        <f>H43/DAY(B2)</f>
        <v>-295.07142857142856</v>
      </c>
      <c r="K43" s="81"/>
      <c r="L43" s="68"/>
      <c r="N43" s="752"/>
    </row>
    <row r="44" spans="1:1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52"/>
    </row>
    <row r="45" spans="1:1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52"/>
    </row>
    <row r="46" spans="1:1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52"/>
    </row>
    <row r="47" spans="1:14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15731</v>
      </c>
      <c r="H47" s="111">
        <f>G47+'27'!H47</f>
        <v>-41293.30000000009</v>
      </c>
      <c r="I47" s="106"/>
      <c r="J47" s="203">
        <f>H47/DAY(B2)</f>
        <v>-1474.7607142857175</v>
      </c>
      <c r="K47" s="81"/>
      <c r="L47" s="68"/>
      <c r="N47" s="752"/>
    </row>
    <row r="48" spans="1:14">
      <c r="A48" s="249" t="s">
        <v>176</v>
      </c>
      <c r="B48" s="776"/>
      <c r="C48" s="776"/>
      <c r="D48" s="123"/>
      <c r="E48" s="146"/>
      <c r="F48" s="146"/>
      <c r="G48" s="123"/>
      <c r="H48" s="123"/>
      <c r="I48" s="123"/>
      <c r="J48" s="202"/>
      <c r="K48" s="81"/>
      <c r="L48" s="68"/>
      <c r="N48" s="752"/>
    </row>
    <row r="49" spans="1:14">
      <c r="A49" s="229" t="s">
        <v>163</v>
      </c>
      <c r="B49" s="252"/>
      <c r="C49" s="252"/>
      <c r="D49" s="174" t="s">
        <v>131</v>
      </c>
      <c r="E49" s="392">
        <f>'27'!F49</f>
        <v>312092</v>
      </c>
      <c r="F49" s="392">
        <v>314988</v>
      </c>
      <c r="G49" s="124">
        <f t="shared" ref="G49:G58" si="4">F49-E49</f>
        <v>2896</v>
      </c>
      <c r="H49" s="111">
        <f>G49+'27'!H49</f>
        <v>-12050</v>
      </c>
      <c r="I49" s="106"/>
      <c r="J49" s="203">
        <f>H49/DAY(B2)</f>
        <v>-430.35714285714283</v>
      </c>
      <c r="K49" s="81"/>
      <c r="L49" s="68"/>
      <c r="N49" s="752"/>
    </row>
    <row r="50" spans="1:14">
      <c r="A50" s="229" t="s">
        <v>177</v>
      </c>
      <c r="B50" s="252"/>
      <c r="C50" s="252"/>
      <c r="D50" s="174" t="s">
        <v>131</v>
      </c>
      <c r="E50" s="392">
        <f>'27'!F50</f>
        <v>565819</v>
      </c>
      <c r="F50" s="392">
        <v>566739</v>
      </c>
      <c r="G50" s="124">
        <f t="shared" si="4"/>
        <v>920</v>
      </c>
      <c r="H50" s="111">
        <f>G50+'27'!H50</f>
        <v>-4078</v>
      </c>
      <c r="I50" s="106"/>
      <c r="J50" s="203">
        <f>H50/DAY(B2)</f>
        <v>-145.64285714285714</v>
      </c>
      <c r="K50" s="81"/>
      <c r="L50" s="68"/>
      <c r="N50" s="752"/>
    </row>
    <row r="51" spans="1:1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52"/>
    </row>
    <row r="52" spans="1:1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52"/>
    </row>
    <row r="53" spans="1:1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-0.33000000001629815</v>
      </c>
      <c r="I53" s="106"/>
      <c r="J53" s="203">
        <f>H53/DAY(B2)</f>
        <v>-1.1785714286296363E-2</v>
      </c>
      <c r="K53" s="81"/>
      <c r="L53" s="68"/>
      <c r="N53" s="752"/>
    </row>
    <row r="54" spans="1:1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0</v>
      </c>
      <c r="I54" s="106"/>
      <c r="J54" s="203">
        <f>H54/DAY(B2)</f>
        <v>0</v>
      </c>
      <c r="K54" s="81"/>
      <c r="L54" s="68"/>
      <c r="N54" s="752"/>
    </row>
    <row r="55" spans="1:14">
      <c r="A55" s="229" t="s">
        <v>180</v>
      </c>
      <c r="B55" s="252"/>
      <c r="C55" s="252"/>
      <c r="D55" s="174" t="s">
        <v>131</v>
      </c>
      <c r="E55" s="392">
        <f>'27'!F55</f>
        <v>221246</v>
      </c>
      <c r="F55" s="393">
        <v>222380</v>
      </c>
      <c r="G55" s="303">
        <f t="shared" si="4"/>
        <v>1134</v>
      </c>
      <c r="H55" s="356">
        <f>G55+'27'!H55</f>
        <v>-14806</v>
      </c>
      <c r="I55" s="357"/>
      <c r="J55" s="358">
        <f>H55/DAY(B2)</f>
        <v>-528.78571428571433</v>
      </c>
      <c r="K55" s="81"/>
      <c r="L55" s="68"/>
      <c r="N55" s="752"/>
    </row>
    <row r="56" spans="1:14">
      <c r="A56" s="229" t="s">
        <v>181</v>
      </c>
      <c r="B56" s="252"/>
      <c r="C56" s="252"/>
      <c r="D56" s="174" t="s">
        <v>182</v>
      </c>
      <c r="E56" s="392">
        <f>'27'!F56</f>
        <v>649316</v>
      </c>
      <c r="F56" s="393">
        <v>649327</v>
      </c>
      <c r="G56" s="124">
        <f t="shared" si="4"/>
        <v>11</v>
      </c>
      <c r="H56" s="111">
        <f>G56+'27'!H56</f>
        <v>-45</v>
      </c>
      <c r="I56" s="106"/>
      <c r="J56" s="203">
        <f>H56/DAY(B2)</f>
        <v>-1.6071428571428572</v>
      </c>
      <c r="K56" s="80"/>
      <c r="L56" s="68"/>
      <c r="N56" s="752"/>
    </row>
    <row r="57" spans="1:1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52"/>
    </row>
    <row r="58" spans="1:14">
      <c r="A58" s="229" t="s">
        <v>183</v>
      </c>
      <c r="B58" s="252"/>
      <c r="C58" s="252"/>
      <c r="D58" s="174" t="s">
        <v>131</v>
      </c>
      <c r="E58" s="392">
        <f>'27'!F58</f>
        <v>58892</v>
      </c>
      <c r="F58" s="860">
        <v>59054</v>
      </c>
      <c r="G58" s="124">
        <f t="shared" si="4"/>
        <v>162</v>
      </c>
      <c r="H58" s="111">
        <f>G58+'27'!H58</f>
        <v>-837</v>
      </c>
      <c r="I58" s="106"/>
      <c r="J58" s="203">
        <f>H58/DAY(B2)</f>
        <v>-29.892857142857142</v>
      </c>
      <c r="K58" s="81"/>
      <c r="L58" s="68"/>
      <c r="N58" s="752"/>
    </row>
    <row r="59" spans="1:14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5123.3999999999487</v>
      </c>
      <c r="H59" s="111">
        <f>G59+'27'!H59</f>
        <v>-31815.930000000066</v>
      </c>
      <c r="I59" s="106">
        <f>G7-G60</f>
        <v>2395.6000000000495</v>
      </c>
      <c r="J59" s="203">
        <f>H59/DAY(B2)</f>
        <v>-1136.2832142857167</v>
      </c>
      <c r="K59" s="81"/>
      <c r="L59" s="68"/>
      <c r="N59" s="752"/>
    </row>
    <row r="60" spans="1:14">
      <c r="A60" s="229"/>
      <c r="B60" s="230"/>
      <c r="C60" s="230"/>
      <c r="D60" s="162" t="s">
        <v>184</v>
      </c>
      <c r="E60" s="121"/>
      <c r="F60" s="121"/>
      <c r="G60" s="132">
        <f>G47+G59</f>
        <v>20854.399999999951</v>
      </c>
      <c r="H60" s="111">
        <f>G60+'27'!H60</f>
        <v>-67531.900000000125</v>
      </c>
      <c r="I60" s="106">
        <f>G13-G60</f>
        <v>-585.04999999995198</v>
      </c>
      <c r="J60" s="203">
        <f>H60/DAY(B2)</f>
        <v>-2411.8535714285758</v>
      </c>
      <c r="K60" s="81"/>
      <c r="L60" s="68"/>
      <c r="N60" s="752"/>
    </row>
    <row r="61" spans="1:14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52"/>
    </row>
    <row r="62" spans="1:1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52"/>
    </row>
    <row r="63" spans="1:1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52"/>
    </row>
    <row r="64" spans="1:14" ht="27.75">
      <c r="A64" s="1181" t="s">
        <v>98</v>
      </c>
      <c r="B64" s="1182"/>
      <c r="C64" s="1183"/>
      <c r="D64" s="174" t="s">
        <v>186</v>
      </c>
      <c r="E64" s="165">
        <f>'27'!F64</f>
        <v>180340</v>
      </c>
      <c r="F64" s="388">
        <v>180729</v>
      </c>
      <c r="G64" s="124">
        <f t="shared" si="5"/>
        <v>389</v>
      </c>
      <c r="H64" s="111">
        <f>G64+'27'!H64</f>
        <v>-1131</v>
      </c>
      <c r="I64" s="131"/>
      <c r="J64" s="203">
        <f>H64/DAY(B2)</f>
        <v>-40.392857142857146</v>
      </c>
      <c r="K64" s="81"/>
      <c r="L64" s="68"/>
      <c r="N64" s="752"/>
    </row>
    <row r="65" spans="1:14" ht="27.75">
      <c r="A65" s="1181" t="s">
        <v>99</v>
      </c>
      <c r="B65" s="1182"/>
      <c r="C65" s="1183"/>
      <c r="D65" s="174" t="s">
        <v>186</v>
      </c>
      <c r="E65" s="165">
        <f>'27'!F65</f>
        <v>180631</v>
      </c>
      <c r="F65" s="395">
        <v>181013</v>
      </c>
      <c r="G65" s="124">
        <f t="shared" si="5"/>
        <v>382</v>
      </c>
      <c r="H65" s="111">
        <f>G65+'27'!H65</f>
        <v>-1196</v>
      </c>
      <c r="I65" s="140"/>
      <c r="J65" s="203">
        <f>H65/DAY(B2)</f>
        <v>-42.714285714285715</v>
      </c>
      <c r="K65" s="81"/>
      <c r="L65" s="68"/>
      <c r="N65" s="752"/>
    </row>
    <row r="66" spans="1:14" ht="27.75">
      <c r="A66" s="1181" t="s">
        <v>100</v>
      </c>
      <c r="B66" s="1182"/>
      <c r="C66" s="1183"/>
      <c r="D66" s="174" t="s">
        <v>186</v>
      </c>
      <c r="E66" s="165">
        <f>'27'!F66</f>
        <v>79039</v>
      </c>
      <c r="F66" s="388">
        <v>79435</v>
      </c>
      <c r="G66" s="124">
        <f t="shared" si="5"/>
        <v>396</v>
      </c>
      <c r="H66" s="111">
        <f>G66+'27'!H66</f>
        <v>-1237</v>
      </c>
      <c r="I66" s="131"/>
      <c r="J66" s="203">
        <f>H66/DAY(B2)</f>
        <v>-44.178571428571431</v>
      </c>
      <c r="K66" s="81"/>
      <c r="L66" s="68"/>
      <c r="N66" s="752"/>
    </row>
    <row r="67" spans="1:14" ht="27.75">
      <c r="A67" s="1181" t="s">
        <v>101</v>
      </c>
      <c r="B67" s="1182"/>
      <c r="C67" s="1183"/>
      <c r="D67" s="174" t="s">
        <v>186</v>
      </c>
      <c r="E67" s="165">
        <f>'27'!F67</f>
        <v>277989</v>
      </c>
      <c r="F67" s="388">
        <v>278486</v>
      </c>
      <c r="G67" s="124">
        <f t="shared" si="5"/>
        <v>497</v>
      </c>
      <c r="H67" s="111">
        <f>G67+'27'!H67</f>
        <v>-1572</v>
      </c>
      <c r="I67" s="140"/>
      <c r="J67" s="203">
        <f>H67/DAY(B2)</f>
        <v>-56.142857142857146</v>
      </c>
      <c r="K67" s="82"/>
      <c r="L67" s="68"/>
      <c r="N67" s="752"/>
    </row>
    <row r="68" spans="1:14" ht="27.75">
      <c r="A68" s="1181" t="s">
        <v>102</v>
      </c>
      <c r="B68" s="1182"/>
      <c r="C68" s="1183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52"/>
    </row>
    <row r="69" spans="1:14" ht="27.75">
      <c r="A69" s="1181" t="s">
        <v>103</v>
      </c>
      <c r="B69" s="1182"/>
      <c r="C69" s="1183"/>
      <c r="D69" s="174" t="s">
        <v>186</v>
      </c>
      <c r="E69" s="165">
        <f>'27'!F69</f>
        <v>95173</v>
      </c>
      <c r="F69" s="388">
        <v>95523</v>
      </c>
      <c r="G69" s="124">
        <f t="shared" si="5"/>
        <v>350</v>
      </c>
      <c r="H69" s="111">
        <f>G69+'27'!H69</f>
        <v>-1034</v>
      </c>
      <c r="I69" s="167"/>
      <c r="J69" s="203">
        <f>H69/DAY(B2)</f>
        <v>-36.928571428571431</v>
      </c>
      <c r="K69" s="84"/>
      <c r="L69" s="68"/>
      <c r="N69" s="752"/>
    </row>
    <row r="70" spans="1:14" ht="27.75">
      <c r="A70" s="1222" t="s">
        <v>188</v>
      </c>
      <c r="B70" s="1223"/>
      <c r="C70" s="1224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52"/>
    </row>
    <row r="71" spans="1:14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752"/>
    </row>
    <row r="72" spans="1:14" ht="27.75">
      <c r="A72" s="1181" t="s">
        <v>190</v>
      </c>
      <c r="B72" s="1182"/>
      <c r="C72" s="1183"/>
      <c r="D72" s="174" t="s">
        <v>186</v>
      </c>
      <c r="E72" s="413">
        <f>'27'!F72</f>
        <v>856556</v>
      </c>
      <c r="F72" s="397">
        <v>856569</v>
      </c>
      <c r="G72" s="124">
        <f t="shared" ref="G72:G84" si="6">F72-E72</f>
        <v>13</v>
      </c>
      <c r="H72" s="111">
        <f>G72+'27'!H72</f>
        <v>-54</v>
      </c>
      <c r="I72" s="131"/>
      <c r="J72" s="203">
        <f>H72/DAY(B2)</f>
        <v>-1.9285714285714286</v>
      </c>
      <c r="K72" s="84"/>
      <c r="L72" s="68"/>
      <c r="N72" s="752"/>
    </row>
    <row r="73" spans="1:14" ht="27.75">
      <c r="A73" s="1181" t="s">
        <v>191</v>
      </c>
      <c r="B73" s="1182"/>
      <c r="C73" s="1183"/>
      <c r="D73" s="174" t="s">
        <v>186</v>
      </c>
      <c r="E73" s="413">
        <f>'27'!F73</f>
        <v>886008</v>
      </c>
      <c r="F73" s="398">
        <v>886009</v>
      </c>
      <c r="G73" s="303">
        <f t="shared" si="6"/>
        <v>1</v>
      </c>
      <c r="H73" s="111">
        <f>G73+'27'!H73</f>
        <v>153</v>
      </c>
      <c r="I73" s="131"/>
      <c r="J73" s="203">
        <f>H73/DAY(B2)</f>
        <v>5.4642857142857144</v>
      </c>
      <c r="K73" s="83"/>
      <c r="L73" s="68"/>
      <c r="N73" s="752"/>
    </row>
    <row r="74" spans="1:14" ht="27.75">
      <c r="A74" s="1181" t="s">
        <v>192</v>
      </c>
      <c r="B74" s="1182"/>
      <c r="C74" s="1183"/>
      <c r="D74" s="174" t="s">
        <v>186</v>
      </c>
      <c r="E74" s="413">
        <f>'27'!F74</f>
        <v>88726</v>
      </c>
      <c r="F74" s="398">
        <v>88729</v>
      </c>
      <c r="G74" s="124">
        <f t="shared" si="6"/>
        <v>3</v>
      </c>
      <c r="H74" s="111">
        <f>G74+'27'!H74</f>
        <v>68</v>
      </c>
      <c r="I74" s="131"/>
      <c r="J74" s="203">
        <f>H74/DAY(B2)</f>
        <v>2.4285714285714284</v>
      </c>
      <c r="K74" s="84"/>
      <c r="L74" s="68"/>
      <c r="N74" s="752"/>
    </row>
    <row r="75" spans="1:14" ht="27.75">
      <c r="A75" s="1184" t="s">
        <v>193</v>
      </c>
      <c r="B75" s="1185"/>
      <c r="C75" s="1186"/>
      <c r="D75" s="174" t="s">
        <v>186</v>
      </c>
      <c r="E75" s="413">
        <f>'27'!F75</f>
        <v>20277</v>
      </c>
      <c r="F75" s="398">
        <v>20429</v>
      </c>
      <c r="G75" s="124">
        <f t="shared" si="6"/>
        <v>152</v>
      </c>
      <c r="H75" s="111">
        <f>G75+'27'!H75</f>
        <v>-518</v>
      </c>
      <c r="I75" s="131"/>
      <c r="J75" s="203">
        <f>H75/DAY(B2)</f>
        <v>-18.5</v>
      </c>
      <c r="K75" s="83"/>
      <c r="L75" s="68"/>
      <c r="N75" s="752"/>
    </row>
    <row r="76" spans="1:14" ht="27.75">
      <c r="A76" s="1184" t="s">
        <v>194</v>
      </c>
      <c r="B76" s="1185"/>
      <c r="C76" s="1186"/>
      <c r="D76" s="174" t="s">
        <v>186</v>
      </c>
      <c r="E76" s="413">
        <f>'27'!F76</f>
        <v>11140</v>
      </c>
      <c r="F76" s="398">
        <v>11211</v>
      </c>
      <c r="G76" s="124">
        <f t="shared" si="6"/>
        <v>71</v>
      </c>
      <c r="H76" s="111">
        <f>G76+'27'!H76</f>
        <v>1285.6000000000004</v>
      </c>
      <c r="I76" s="156"/>
      <c r="J76" s="203">
        <f>H76/DAY(B2)</f>
        <v>45.914285714285725</v>
      </c>
      <c r="K76" s="83"/>
      <c r="L76" s="68"/>
      <c r="N76" s="752"/>
    </row>
    <row r="77" spans="1:14" ht="27.75">
      <c r="A77" s="1181" t="s">
        <v>195</v>
      </c>
      <c r="B77" s="1182"/>
      <c r="C77" s="1183"/>
      <c r="D77" s="174" t="s">
        <v>186</v>
      </c>
      <c r="E77" s="413">
        <f>'27'!F77</f>
        <v>706191</v>
      </c>
      <c r="F77" s="398">
        <v>706269</v>
      </c>
      <c r="G77" s="303">
        <f t="shared" si="6"/>
        <v>78</v>
      </c>
      <c r="H77" s="111">
        <f>G77+'27'!H77</f>
        <v>-184</v>
      </c>
      <c r="I77" s="156"/>
      <c r="J77" s="203">
        <f>H77/DAY(B2)</f>
        <v>-6.5714285714285712</v>
      </c>
      <c r="K77" s="83"/>
      <c r="L77" s="68"/>
      <c r="N77" s="752"/>
    </row>
    <row r="78" spans="1:14" ht="27.75">
      <c r="A78" s="774" t="s">
        <v>196</v>
      </c>
      <c r="B78" s="766"/>
      <c r="C78" s="766"/>
      <c r="D78" s="174" t="s">
        <v>186</v>
      </c>
      <c r="E78" s="413">
        <f>'27'!F78</f>
        <v>678285</v>
      </c>
      <c r="F78" s="398">
        <v>678366</v>
      </c>
      <c r="G78" s="303">
        <f t="shared" si="6"/>
        <v>81</v>
      </c>
      <c r="H78" s="111">
        <f>G78+'27'!H78</f>
        <v>-487</v>
      </c>
      <c r="I78" s="156"/>
      <c r="J78" s="203">
        <f>H78/DAY(B2)</f>
        <v>-17.392857142857142</v>
      </c>
      <c r="K78" s="83"/>
      <c r="L78" s="68"/>
      <c r="N78" s="752"/>
    </row>
    <row r="79" spans="1:14" ht="27.75">
      <c r="A79" s="1184" t="s">
        <v>91</v>
      </c>
      <c r="B79" s="1185"/>
      <c r="C79" s="1186"/>
      <c r="D79" s="175" t="s">
        <v>186</v>
      </c>
      <c r="E79" s="413">
        <f>'27'!F79</f>
        <v>839622</v>
      </c>
      <c r="F79" s="399">
        <v>839767</v>
      </c>
      <c r="G79" s="124">
        <f t="shared" si="6"/>
        <v>145</v>
      </c>
      <c r="H79" s="111">
        <f>G79+'27'!H79</f>
        <v>-915</v>
      </c>
      <c r="I79" s="156"/>
      <c r="J79" s="203">
        <f>H79/DAY(B2)</f>
        <v>-32.678571428571431</v>
      </c>
      <c r="K79" s="83"/>
      <c r="L79" s="68"/>
      <c r="N79" s="752"/>
    </row>
    <row r="80" spans="1:14" ht="27.75">
      <c r="A80" s="1184" t="s">
        <v>197</v>
      </c>
      <c r="B80" s="1185"/>
      <c r="C80" s="1186"/>
      <c r="D80" s="175" t="s">
        <v>186</v>
      </c>
      <c r="E80" s="413">
        <f>'27'!F80</f>
        <v>550386</v>
      </c>
      <c r="F80" s="398">
        <v>550747</v>
      </c>
      <c r="G80" s="124">
        <f t="shared" si="6"/>
        <v>361</v>
      </c>
      <c r="H80" s="111">
        <f>G80+'27'!H80</f>
        <v>-4459</v>
      </c>
      <c r="I80" s="156"/>
      <c r="J80" s="203">
        <f>H80/DAY(B2)</f>
        <v>-159.25</v>
      </c>
      <c r="K80" s="83"/>
      <c r="L80" s="68"/>
      <c r="N80" s="752"/>
    </row>
    <row r="81" spans="1:17" ht="27.75">
      <c r="A81" s="1184" t="s">
        <v>198</v>
      </c>
      <c r="B81" s="1185"/>
      <c r="C81" s="1186"/>
      <c r="D81" s="175" t="s">
        <v>186</v>
      </c>
      <c r="E81" s="413">
        <f>'27'!F81</f>
        <v>648258</v>
      </c>
      <c r="F81" s="398">
        <v>648448</v>
      </c>
      <c r="G81" s="124">
        <f t="shared" si="6"/>
        <v>190</v>
      </c>
      <c r="H81" s="111">
        <f>G81+'27'!H81</f>
        <v>-570</v>
      </c>
      <c r="I81" s="156"/>
      <c r="J81" s="203">
        <f>H81/DAY(B2)</f>
        <v>-20.357142857142858</v>
      </c>
      <c r="K81" s="83"/>
      <c r="L81" s="68"/>
      <c r="N81" s="752"/>
    </row>
    <row r="82" spans="1:17" ht="27.75">
      <c r="A82" s="1184" t="s">
        <v>92</v>
      </c>
      <c r="B82" s="1185"/>
      <c r="C82" s="1186"/>
      <c r="D82" s="136" t="s">
        <v>131</v>
      </c>
      <c r="E82" s="413">
        <f>'27'!F82</f>
        <v>109253</v>
      </c>
      <c r="F82" s="395">
        <v>109268</v>
      </c>
      <c r="G82" s="124">
        <f t="shared" si="6"/>
        <v>15</v>
      </c>
      <c r="H82" s="111">
        <f>G82+'27'!H82</f>
        <v>-68</v>
      </c>
      <c r="I82" s="137"/>
      <c r="J82" s="203">
        <f>H82/DAY(B2)</f>
        <v>-2.4285714285714284</v>
      </c>
      <c r="K82" s="83"/>
      <c r="L82" s="68"/>
      <c r="N82" s="752"/>
    </row>
    <row r="83" spans="1:17" ht="27.75">
      <c r="A83" s="1184" t="s">
        <v>199</v>
      </c>
      <c r="B83" s="1185"/>
      <c r="C83" s="1186"/>
      <c r="D83" s="271" t="s">
        <v>131</v>
      </c>
      <c r="E83" s="413">
        <f>'27'!F83</f>
        <v>33867</v>
      </c>
      <c r="F83" s="121">
        <v>34091</v>
      </c>
      <c r="G83" s="124">
        <f t="shared" si="6"/>
        <v>224</v>
      </c>
      <c r="H83" s="111">
        <f>G83+'27'!H83</f>
        <v>-934</v>
      </c>
      <c r="I83" s="132"/>
      <c r="J83" s="203">
        <f>H83/DAY(B2)</f>
        <v>-33.357142857142854</v>
      </c>
      <c r="K83" s="82"/>
      <c r="L83" s="68"/>
      <c r="N83" s="752"/>
    </row>
    <row r="84" spans="1:17">
      <c r="A84" s="775" t="s">
        <v>200</v>
      </c>
      <c r="B84" s="222"/>
      <c r="C84" s="222"/>
      <c r="D84" s="129" t="s">
        <v>131</v>
      </c>
      <c r="E84" s="413">
        <f>'27'!F84</f>
        <v>544199</v>
      </c>
      <c r="F84" s="356">
        <v>544978</v>
      </c>
      <c r="G84" s="124">
        <f t="shared" si="6"/>
        <v>779</v>
      </c>
      <c r="H84" s="111">
        <f>G84+'27'!H84</f>
        <v>-2415</v>
      </c>
      <c r="I84" s="132"/>
      <c r="J84" s="203">
        <f>H84/DAY(B2)</f>
        <v>-86.25</v>
      </c>
      <c r="K84" s="71"/>
      <c r="L84" s="68"/>
      <c r="N84" s="752"/>
    </row>
    <row r="85" spans="1:17" s="70" customFormat="1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2113</v>
      </c>
      <c r="H85" s="111">
        <f>G85+'27'!H85</f>
        <v>-7020.9999999999964</v>
      </c>
      <c r="I85" s="132"/>
      <c r="J85" s="203">
        <f>H85/DAY(B2)</f>
        <v>-250.74999999999986</v>
      </c>
      <c r="K85" s="71"/>
      <c r="L85" s="69"/>
      <c r="N85" s="752"/>
      <c r="O85" s="420"/>
      <c r="P85" s="420"/>
      <c r="Q85" s="420"/>
    </row>
    <row r="86" spans="1:17" s="386" customFormat="1">
      <c r="A86" s="381" t="s">
        <v>93</v>
      </c>
      <c r="B86" s="382"/>
      <c r="C86" s="382"/>
      <c r="D86" s="383" t="s">
        <v>182</v>
      </c>
      <c r="E86" s="356">
        <f>'27'!F86</f>
        <v>462446</v>
      </c>
      <c r="F86" s="400">
        <v>462465</v>
      </c>
      <c r="G86" s="356">
        <f t="shared" ref="G86:G88" si="7">F86-E86</f>
        <v>19</v>
      </c>
      <c r="H86" s="356">
        <f t="shared" ref="H86:H88" si="8">G86</f>
        <v>19</v>
      </c>
      <c r="I86" s="303"/>
      <c r="J86" s="358">
        <f>H86/DAY(B2)</f>
        <v>0.6785714285714286</v>
      </c>
      <c r="K86" s="384"/>
      <c r="L86" s="385"/>
      <c r="N86" s="752"/>
      <c r="O86" s="420"/>
      <c r="P86" s="420"/>
      <c r="Q86" s="421"/>
    </row>
    <row r="87" spans="1:17" s="386" customFormat="1">
      <c r="A87" s="381" t="s">
        <v>94</v>
      </c>
      <c r="B87" s="382"/>
      <c r="C87" s="382"/>
      <c r="D87" s="383" t="s">
        <v>182</v>
      </c>
      <c r="E87" s="356">
        <f>'27'!F87</f>
        <v>82823</v>
      </c>
      <c r="F87" s="400">
        <v>82857</v>
      </c>
      <c r="G87" s="356">
        <f t="shared" si="7"/>
        <v>34</v>
      </c>
      <c r="H87" s="356">
        <f t="shared" si="8"/>
        <v>34</v>
      </c>
      <c r="I87" s="303"/>
      <c r="J87" s="358">
        <f>H87/DAY(B2)</f>
        <v>1.2142857142857142</v>
      </c>
      <c r="K87" s="384"/>
      <c r="L87" s="385"/>
      <c r="N87" s="752"/>
      <c r="O87" s="420"/>
      <c r="P87" s="420"/>
      <c r="Q87" s="421"/>
    </row>
    <row r="88" spans="1:17" s="386" customFormat="1">
      <c r="A88" s="381" t="s">
        <v>95</v>
      </c>
      <c r="B88" s="382"/>
      <c r="C88" s="382"/>
      <c r="D88" s="383" t="s">
        <v>182</v>
      </c>
      <c r="E88" s="356">
        <f>'27'!F88</f>
        <v>158133</v>
      </c>
      <c r="F88" s="400">
        <v>158159</v>
      </c>
      <c r="G88" s="356">
        <f t="shared" si="7"/>
        <v>26</v>
      </c>
      <c r="H88" s="356">
        <f t="shared" si="8"/>
        <v>26</v>
      </c>
      <c r="I88" s="303"/>
      <c r="J88" s="358">
        <f>H88/DAY(B2)</f>
        <v>0.9285714285714286</v>
      </c>
      <c r="K88" s="384"/>
      <c r="L88" s="385"/>
      <c r="N88" s="752"/>
      <c r="O88" s="420"/>
      <c r="P88" s="420"/>
      <c r="Q88" s="421"/>
    </row>
    <row r="89" spans="1:17" s="386" customFormat="1">
      <c r="A89" s="381" t="s">
        <v>203</v>
      </c>
      <c r="B89" s="382"/>
      <c r="C89" s="382"/>
      <c r="D89" s="383" t="s">
        <v>182</v>
      </c>
      <c r="E89" s="356">
        <f>'27'!F89</f>
        <v>66870</v>
      </c>
      <c r="F89" s="400">
        <v>66934</v>
      </c>
      <c r="G89" s="356">
        <f t="shared" ref="G89:G91" si="9">F89-E89</f>
        <v>64</v>
      </c>
      <c r="H89" s="356">
        <f t="shared" ref="H89:H91" si="10">G89</f>
        <v>64</v>
      </c>
      <c r="I89" s="303"/>
      <c r="J89" s="358">
        <f>H89/DAY(B2)</f>
        <v>2.2857142857142856</v>
      </c>
      <c r="K89" s="384"/>
      <c r="L89" s="385"/>
      <c r="N89" s="752"/>
      <c r="O89" s="73"/>
    </row>
    <row r="90" spans="1:17" s="386" customFormat="1">
      <c r="A90" s="381" t="s">
        <v>203</v>
      </c>
      <c r="B90" s="382"/>
      <c r="C90" s="382"/>
      <c r="D90" s="383" t="s">
        <v>182</v>
      </c>
      <c r="E90" s="356">
        <f>'27'!F90</f>
        <v>3444</v>
      </c>
      <c r="F90" s="400">
        <v>3450</v>
      </c>
      <c r="G90" s="356">
        <f t="shared" si="9"/>
        <v>6</v>
      </c>
      <c r="H90" s="356">
        <f t="shared" si="10"/>
        <v>6</v>
      </c>
      <c r="I90" s="303"/>
      <c r="J90" s="358">
        <f>H90/DAY(B2)</f>
        <v>0.21428571428571427</v>
      </c>
      <c r="K90" s="384"/>
      <c r="L90" s="385"/>
      <c r="N90" s="752"/>
      <c r="O90" s="73"/>
    </row>
    <row r="91" spans="1:17" s="386" customFormat="1">
      <c r="A91" s="381" t="s">
        <v>336</v>
      </c>
      <c r="B91" s="382"/>
      <c r="C91" s="382"/>
      <c r="D91" s="383"/>
      <c r="E91" s="356">
        <f>'27'!F91</f>
        <v>28465</v>
      </c>
      <c r="F91" s="298">
        <v>28474</v>
      </c>
      <c r="G91" s="356">
        <f t="shared" si="9"/>
        <v>9</v>
      </c>
      <c r="H91" s="356">
        <f t="shared" si="10"/>
        <v>9</v>
      </c>
      <c r="I91" s="303"/>
      <c r="J91" s="358">
        <f>H91/DAY(B2)</f>
        <v>0.32142857142857145</v>
      </c>
      <c r="K91" s="384"/>
      <c r="L91" s="385"/>
      <c r="N91" s="428"/>
      <c r="O91" s="73"/>
    </row>
    <row r="92" spans="1:17" s="70" customFormat="1">
      <c r="A92" s="257" t="s">
        <v>204</v>
      </c>
      <c r="B92" s="777"/>
      <c r="C92" s="777"/>
      <c r="D92" s="123"/>
      <c r="E92" s="389"/>
      <c r="F92" s="389"/>
      <c r="G92" s="139"/>
      <c r="H92" s="123"/>
      <c r="I92" s="123"/>
      <c r="J92" s="202"/>
      <c r="K92" s="71"/>
      <c r="L92" s="69"/>
      <c r="N92" s="752"/>
      <c r="O92" s="420"/>
      <c r="P92" s="420"/>
      <c r="Q92" s="420"/>
    </row>
    <row r="93" spans="1:17" ht="27.75">
      <c r="A93" s="1200" t="s">
        <v>205</v>
      </c>
      <c r="B93" s="1201"/>
      <c r="C93" s="1202"/>
      <c r="D93" s="174" t="s">
        <v>143</v>
      </c>
      <c r="E93" s="409">
        <f>'27'!F93</f>
        <v>249998</v>
      </c>
      <c r="F93" s="388">
        <v>250059</v>
      </c>
      <c r="G93" s="124">
        <f t="shared" ref="G93:G94" si="11">F93-E93</f>
        <v>61</v>
      </c>
      <c r="H93" s="111">
        <f>G93+'27'!H93</f>
        <v>-255</v>
      </c>
      <c r="I93" s="131"/>
      <c r="J93" s="203">
        <f>H93/DAY(B2)</f>
        <v>-9.1071428571428577</v>
      </c>
      <c r="K93" s="82"/>
      <c r="L93" s="68"/>
      <c r="N93" s="752"/>
    </row>
    <row r="94" spans="1:17" ht="27.75">
      <c r="A94" s="1200" t="s">
        <v>206</v>
      </c>
      <c r="B94" s="1201"/>
      <c r="C94" s="1202"/>
      <c r="D94" s="174" t="s">
        <v>143</v>
      </c>
      <c r="E94" s="409">
        <f>'27'!F94</f>
        <v>192492</v>
      </c>
      <c r="F94" s="388">
        <v>192611</v>
      </c>
      <c r="G94" s="124">
        <f t="shared" si="11"/>
        <v>119</v>
      </c>
      <c r="H94" s="111">
        <f>G94+'27'!H94</f>
        <v>-287</v>
      </c>
      <c r="I94" s="131"/>
      <c r="J94" s="203">
        <f>H94/DAY(B2)</f>
        <v>-10.25</v>
      </c>
      <c r="K94" s="71"/>
      <c r="L94" s="68"/>
      <c r="N94" s="752"/>
    </row>
    <row r="95" spans="1:17">
      <c r="A95" s="1232" t="s">
        <v>207</v>
      </c>
      <c r="B95" s="1233"/>
      <c r="C95" s="1234"/>
      <c r="D95" s="174"/>
      <c r="E95" s="409"/>
      <c r="F95" s="388"/>
      <c r="G95" s="124">
        <f>G93+G94</f>
        <v>180</v>
      </c>
      <c r="H95" s="111">
        <f>G95+'27'!H95</f>
        <v>-848</v>
      </c>
      <c r="I95" s="131"/>
      <c r="J95" s="203">
        <f>H95/DAY(B2)</f>
        <v>-30.285714285714285</v>
      </c>
      <c r="K95" s="71"/>
      <c r="L95" s="68"/>
      <c r="N95" s="752"/>
    </row>
    <row r="96" spans="1:17" ht="27.75">
      <c r="A96" s="1200" t="s">
        <v>208</v>
      </c>
      <c r="B96" s="1201"/>
      <c r="C96" s="1202"/>
      <c r="D96" s="174" t="s">
        <v>143</v>
      </c>
      <c r="E96" s="409">
        <f>'27'!F96</f>
        <v>418253</v>
      </c>
      <c r="F96" s="388">
        <v>418314</v>
      </c>
      <c r="G96" s="124">
        <f t="shared" ref="G96:G101" si="12">F96-E96</f>
        <v>61</v>
      </c>
      <c r="H96" s="111">
        <f>G96+'27'!H96</f>
        <v>-222</v>
      </c>
      <c r="I96" s="131"/>
      <c r="J96" s="203">
        <f>H96/DAY(B2)</f>
        <v>-7.9285714285714288</v>
      </c>
      <c r="K96" s="71"/>
      <c r="L96" s="68"/>
      <c r="N96" s="752"/>
    </row>
    <row r="97" spans="1:17" ht="27.75">
      <c r="A97" s="771" t="s">
        <v>209</v>
      </c>
      <c r="B97" s="772"/>
      <c r="C97" s="772"/>
      <c r="D97" s="174" t="s">
        <v>143</v>
      </c>
      <c r="E97" s="409">
        <f>'27'!F97</f>
        <v>103761</v>
      </c>
      <c r="F97" s="388">
        <v>103782</v>
      </c>
      <c r="G97" s="124">
        <f t="shared" si="12"/>
        <v>21</v>
      </c>
      <c r="H97" s="111">
        <f>G97+'27'!H97</f>
        <v>-67</v>
      </c>
      <c r="I97" s="131"/>
      <c r="J97" s="203">
        <f>H97/DAY(B2)</f>
        <v>-2.3928571428571428</v>
      </c>
      <c r="K97" s="80"/>
      <c r="L97" s="68"/>
      <c r="N97" s="752"/>
    </row>
    <row r="98" spans="1:17" ht="27.75">
      <c r="A98" s="771" t="s">
        <v>210</v>
      </c>
      <c r="B98" s="772"/>
      <c r="C98" s="772"/>
      <c r="D98" s="174" t="s">
        <v>143</v>
      </c>
      <c r="E98" s="409">
        <f>'27'!F98</f>
        <v>99342</v>
      </c>
      <c r="F98" s="388">
        <v>99366</v>
      </c>
      <c r="G98" s="124">
        <f t="shared" si="12"/>
        <v>24</v>
      </c>
      <c r="H98" s="111">
        <f>G98+'27'!H98</f>
        <v>-82</v>
      </c>
      <c r="I98" s="131"/>
      <c r="J98" s="203">
        <f>H98/DAY(B2)</f>
        <v>-2.9285714285714284</v>
      </c>
      <c r="K98" s="85"/>
      <c r="L98" s="68"/>
      <c r="N98" s="752"/>
    </row>
    <row r="99" spans="1:17" ht="27.75">
      <c r="A99" s="771" t="s">
        <v>211</v>
      </c>
      <c r="B99" s="772"/>
      <c r="C99" s="772"/>
      <c r="D99" s="174" t="s">
        <v>143</v>
      </c>
      <c r="E99" s="409">
        <f>'27'!F99</f>
        <v>151136</v>
      </c>
      <c r="F99" s="388">
        <v>151183</v>
      </c>
      <c r="G99" s="124">
        <f t="shared" si="12"/>
        <v>47</v>
      </c>
      <c r="H99" s="111">
        <f>G99+'27'!H99</f>
        <v>-68</v>
      </c>
      <c r="I99" s="131"/>
      <c r="J99" s="203">
        <f>H99/DAY(B2)</f>
        <v>-2.4285714285714284</v>
      </c>
      <c r="K99" s="71"/>
      <c r="L99" s="68"/>
      <c r="N99" s="752"/>
    </row>
    <row r="100" spans="1:17" ht="27.75">
      <c r="A100" s="771" t="s">
        <v>212</v>
      </c>
      <c r="B100" s="772"/>
      <c r="C100" s="772"/>
      <c r="D100" s="174" t="s">
        <v>143</v>
      </c>
      <c r="E100" s="409">
        <f>'27'!F100</f>
        <v>8114</v>
      </c>
      <c r="F100" s="388">
        <v>8124</v>
      </c>
      <c r="G100" s="124">
        <f t="shared" si="12"/>
        <v>10</v>
      </c>
      <c r="H100" s="111">
        <f>G100+'27'!H100</f>
        <v>-41</v>
      </c>
      <c r="I100" s="131"/>
      <c r="J100" s="203">
        <f>H100/DAY(B2)</f>
        <v>-1.4642857142857142</v>
      </c>
      <c r="K100" s="71"/>
      <c r="L100" s="68"/>
      <c r="N100" s="752"/>
    </row>
    <row r="101" spans="1:17" ht="27.75">
      <c r="A101" s="771" t="s">
        <v>213</v>
      </c>
      <c r="B101" s="772"/>
      <c r="C101" s="772"/>
      <c r="D101" s="174" t="s">
        <v>143</v>
      </c>
      <c r="E101" s="409">
        <f>'27'!F101</f>
        <v>5945</v>
      </c>
      <c r="F101" s="388">
        <v>5957</v>
      </c>
      <c r="G101" s="124">
        <f t="shared" si="12"/>
        <v>12</v>
      </c>
      <c r="H101" s="111">
        <f>G101+'27'!H101</f>
        <v>-34</v>
      </c>
      <c r="I101" s="131"/>
      <c r="J101" s="203">
        <f>H101/DAY(B2)</f>
        <v>-1.2142857142857142</v>
      </c>
      <c r="K101" s="71"/>
      <c r="L101" s="68"/>
      <c r="N101" s="752"/>
    </row>
    <row r="102" spans="1:17">
      <c r="A102" s="1232" t="s">
        <v>215</v>
      </c>
      <c r="B102" s="1233"/>
      <c r="C102" s="1234"/>
      <c r="D102" s="175"/>
      <c r="E102" s="137"/>
      <c r="F102" s="137"/>
      <c r="G102" s="176">
        <f>SUM(G96:G101)</f>
        <v>175</v>
      </c>
      <c r="H102" s="111">
        <f>G102+'27'!H102</f>
        <v>-514</v>
      </c>
      <c r="I102" s="177"/>
      <c r="J102" s="203">
        <f>H102/DAY(B2)</f>
        <v>-18.357142857142858</v>
      </c>
      <c r="K102" s="71"/>
      <c r="L102" s="68"/>
      <c r="N102" s="752"/>
    </row>
    <row r="103" spans="1:17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52"/>
      <c r="O103" s="420"/>
      <c r="P103" s="420"/>
      <c r="Q103" s="420"/>
    </row>
    <row r="104" spans="1:17" s="93" customFormat="1" ht="27">
      <c r="A104" s="1235" t="s">
        <v>217</v>
      </c>
      <c r="B104" s="1236"/>
      <c r="C104" s="224"/>
      <c r="D104" s="273"/>
      <c r="E104" s="184"/>
      <c r="F104" s="402"/>
      <c r="G104" s="183"/>
      <c r="H104" s="184"/>
      <c r="I104" s="183"/>
      <c r="J104" s="209"/>
      <c r="N104" s="752"/>
      <c r="O104" s="420"/>
      <c r="P104" s="420"/>
      <c r="Q104" s="420"/>
    </row>
    <row r="105" spans="1:17" s="93" customFormat="1" ht="27">
      <c r="A105" s="1192" t="s">
        <v>218</v>
      </c>
      <c r="B105" s="1193"/>
      <c r="C105" s="770"/>
      <c r="D105" s="273" t="s">
        <v>143</v>
      </c>
      <c r="E105" s="184">
        <f>'27'!F105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2.1296428571428287</v>
      </c>
      <c r="N105" s="752"/>
      <c r="O105" s="420"/>
      <c r="P105" s="420"/>
      <c r="Q105" s="420"/>
    </row>
    <row r="106" spans="1:17" s="93" customFormat="1" ht="27">
      <c r="A106" s="1192" t="s">
        <v>76</v>
      </c>
      <c r="B106" s="1193"/>
      <c r="C106" s="770"/>
      <c r="D106" s="273" t="s">
        <v>143</v>
      </c>
      <c r="E106" s="184">
        <f>'27'!F106</f>
        <v>36424</v>
      </c>
      <c r="F106" s="311">
        <v>36432</v>
      </c>
      <c r="G106" s="183">
        <f t="shared" ref="G106" si="13">F106-E106</f>
        <v>8</v>
      </c>
      <c r="H106" s="184">
        <f>SUM(G106+'1'!G77)</f>
        <v>67</v>
      </c>
      <c r="I106" s="183"/>
      <c r="J106" s="209">
        <f>H106/DAY(B2)</f>
        <v>2.3928571428571428</v>
      </c>
      <c r="N106" s="752"/>
      <c r="O106" s="420"/>
      <c r="P106" s="420"/>
      <c r="Q106" s="420"/>
    </row>
    <row r="107" spans="1:17" s="93" customFormat="1" ht="27">
      <c r="A107" s="1192" t="s">
        <v>77</v>
      </c>
      <c r="B107" s="1237"/>
      <c r="C107" s="1193"/>
      <c r="D107" s="273" t="s">
        <v>143</v>
      </c>
      <c r="E107" s="184">
        <f>'27'!F107</f>
        <v>19943</v>
      </c>
      <c r="F107" s="311">
        <v>19946</v>
      </c>
      <c r="G107" s="183">
        <f>F107-E107</f>
        <v>3</v>
      </c>
      <c r="H107" s="184">
        <f>SUM(G107+'1'!G78)</f>
        <v>147</v>
      </c>
      <c r="I107" s="183"/>
      <c r="J107" s="209">
        <f>H107/DAY(B2)</f>
        <v>5.25</v>
      </c>
      <c r="N107" s="752"/>
      <c r="O107" s="420"/>
      <c r="P107" s="420"/>
      <c r="Q107" s="420"/>
    </row>
    <row r="108" spans="1:17" s="93" customFormat="1" ht="27">
      <c r="A108" s="1194" t="s">
        <v>201</v>
      </c>
      <c r="B108" s="1195"/>
      <c r="C108" s="770"/>
      <c r="D108" s="273"/>
      <c r="E108" s="184">
        <f>'27'!F108</f>
        <v>0</v>
      </c>
      <c r="F108" s="311"/>
      <c r="G108" s="183">
        <f>SUM(G105:G107)</f>
        <v>11</v>
      </c>
      <c r="H108" s="184">
        <f>SUM(G108+'1'!G79)</f>
        <v>154</v>
      </c>
      <c r="I108" s="183"/>
      <c r="J108" s="209">
        <f>H108/DAY(B2)</f>
        <v>5.5</v>
      </c>
      <c r="N108" s="752"/>
      <c r="O108" s="420"/>
      <c r="P108" s="420"/>
      <c r="Q108" s="420"/>
    </row>
    <row r="109" spans="1:17" s="93" customFormat="1" ht="27">
      <c r="A109" s="1198" t="s">
        <v>78</v>
      </c>
      <c r="B109" s="1199"/>
      <c r="C109" s="770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52"/>
      <c r="O109" s="420"/>
      <c r="P109" s="420"/>
      <c r="Q109" s="420"/>
    </row>
    <row r="110" spans="1:17" s="93" customFormat="1" ht="27">
      <c r="A110" s="1192" t="s">
        <v>219</v>
      </c>
      <c r="B110" s="1193"/>
      <c r="C110" s="770"/>
      <c r="D110" s="273" t="s">
        <v>143</v>
      </c>
      <c r="E110" s="184">
        <f>'27'!F110</f>
        <v>66795</v>
      </c>
      <c r="F110" s="311">
        <v>66865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8.4128571428591385</v>
      </c>
      <c r="N110" s="752"/>
      <c r="O110" s="420"/>
      <c r="P110" s="420"/>
      <c r="Q110" s="420"/>
    </row>
    <row r="111" spans="1:17" s="93" customFormat="1" ht="27">
      <c r="A111" s="1192" t="s">
        <v>220</v>
      </c>
      <c r="B111" s="1193"/>
      <c r="C111" s="770"/>
      <c r="D111" s="273" t="s">
        <v>143</v>
      </c>
      <c r="E111" s="184">
        <f>'27'!F111</f>
        <v>33867</v>
      </c>
      <c r="F111" s="311">
        <v>33886</v>
      </c>
      <c r="G111" s="183">
        <f t="shared" ref="G111:G112" si="14">F111-E111</f>
        <v>19</v>
      </c>
      <c r="H111" s="184">
        <f>SUM(G111+'1'!G82)</f>
        <v>32.279999999998836</v>
      </c>
      <c r="I111" s="183"/>
      <c r="J111" s="209">
        <f>H111/DAY(B2)</f>
        <v>1.1528571428571013</v>
      </c>
      <c r="N111" s="752"/>
      <c r="O111" s="420"/>
      <c r="P111" s="420"/>
      <c r="Q111" s="420"/>
    </row>
    <row r="112" spans="1:17" s="93" customFormat="1" ht="27">
      <c r="A112" s="1192" t="s">
        <v>221</v>
      </c>
      <c r="B112" s="1193"/>
      <c r="C112" s="770"/>
      <c r="D112" s="273" t="s">
        <v>143</v>
      </c>
      <c r="E112" s="184">
        <f>'27'!F112</f>
        <v>4622</v>
      </c>
      <c r="F112" s="311">
        <v>4622</v>
      </c>
      <c r="G112" s="185">
        <f t="shared" si="14"/>
        <v>0</v>
      </c>
      <c r="H112" s="184">
        <f>SUM(G112+'1'!G83)</f>
        <v>305</v>
      </c>
      <c r="I112" s="183"/>
      <c r="J112" s="209">
        <f>H112/DAY(B2)</f>
        <v>10.892857142857142</v>
      </c>
      <c r="N112" s="752"/>
      <c r="O112" s="420"/>
      <c r="P112" s="420"/>
      <c r="Q112" s="420"/>
    </row>
    <row r="113" spans="1:17" s="93" customFormat="1" ht="27">
      <c r="A113" s="1194" t="s">
        <v>109</v>
      </c>
      <c r="B113" s="1195"/>
      <c r="C113" s="770"/>
      <c r="D113" s="273"/>
      <c r="E113" s="184">
        <f>'27'!F113</f>
        <v>0</v>
      </c>
      <c r="F113" s="311"/>
      <c r="G113" s="183">
        <f>SUM(G110:G112)</f>
        <v>89</v>
      </c>
      <c r="H113" s="184">
        <f>SUM(G113+'1'!G84)</f>
        <v>898</v>
      </c>
      <c r="I113" s="183"/>
      <c r="J113" s="209">
        <f>H113/DAY(B2)</f>
        <v>32.071428571428569</v>
      </c>
      <c r="N113" s="752"/>
      <c r="O113" s="420"/>
      <c r="P113" s="420"/>
      <c r="Q113" s="420"/>
    </row>
    <row r="114" spans="1:17" s="93" customFormat="1" ht="27">
      <c r="A114" s="1198" t="s">
        <v>222</v>
      </c>
      <c r="B114" s="1199"/>
      <c r="C114" s="770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52"/>
      <c r="O114" s="420"/>
      <c r="P114" s="420"/>
      <c r="Q114" s="420"/>
    </row>
    <row r="115" spans="1:17" s="93" customFormat="1" ht="27">
      <c r="A115" s="1192" t="s">
        <v>223</v>
      </c>
      <c r="B115" s="1193"/>
      <c r="C115" s="225"/>
      <c r="D115" s="273" t="s">
        <v>143</v>
      </c>
      <c r="E115" s="184">
        <f>'27'!F115</f>
        <v>12403</v>
      </c>
      <c r="F115" s="311">
        <v>12414</v>
      </c>
      <c r="G115" s="185">
        <f>F115-E115</f>
        <v>11</v>
      </c>
      <c r="H115" s="184">
        <f>SUM(G115+'1'!G92)</f>
        <v>11</v>
      </c>
      <c r="I115" s="183"/>
      <c r="J115" s="209">
        <f>H115/DAY(B2)</f>
        <v>0.39285714285714285</v>
      </c>
      <c r="N115" s="752"/>
      <c r="O115" s="420"/>
      <c r="P115" s="420"/>
      <c r="Q115" s="420"/>
    </row>
    <row r="116" spans="1:17" s="93" customFormat="1" ht="27">
      <c r="A116" s="1192" t="s">
        <v>224</v>
      </c>
      <c r="B116" s="1193"/>
      <c r="C116" s="225"/>
      <c r="D116" s="273" t="s">
        <v>143</v>
      </c>
      <c r="E116" s="184">
        <f>'27'!F116</f>
        <v>8785</v>
      </c>
      <c r="F116" s="311">
        <v>8794</v>
      </c>
      <c r="G116" s="185">
        <f t="shared" ref="G116:G117" si="15">F116-E116</f>
        <v>9</v>
      </c>
      <c r="H116" s="184">
        <f>SUM(G116+'1'!G93)</f>
        <v>144</v>
      </c>
      <c r="I116" s="183"/>
      <c r="J116" s="209">
        <f>H116/DAY(B2)</f>
        <v>5.1428571428571432</v>
      </c>
      <c r="N116" s="752"/>
      <c r="O116" s="420"/>
      <c r="P116" s="420"/>
      <c r="Q116" s="420"/>
    </row>
    <row r="117" spans="1:17" s="93" customFormat="1" ht="27">
      <c r="A117" s="1192" t="s">
        <v>225</v>
      </c>
      <c r="B117" s="1193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171</v>
      </c>
      <c r="I117" s="183"/>
      <c r="J117" s="209">
        <f>H117/DAY(B2)</f>
        <v>6.1071428571428568</v>
      </c>
      <c r="N117" s="752"/>
      <c r="O117" s="420"/>
      <c r="P117" s="420"/>
      <c r="Q117" s="420"/>
    </row>
    <row r="118" spans="1:17" s="96" customFormat="1" ht="27">
      <c r="A118" s="1194" t="s">
        <v>201</v>
      </c>
      <c r="B118" s="1195"/>
      <c r="C118" s="225"/>
      <c r="D118" s="274"/>
      <c r="E118" s="187"/>
      <c r="F118" s="311"/>
      <c r="G118" s="185">
        <f>SUM(G115:G117)</f>
        <v>20</v>
      </c>
      <c r="H118" s="184">
        <f>SUM(G118+'1'!G96)</f>
        <v>90</v>
      </c>
      <c r="I118" s="185"/>
      <c r="J118" s="209">
        <f>H118/DAY(B2)</f>
        <v>3.2142857142857144</v>
      </c>
      <c r="N118" s="752"/>
      <c r="O118" s="420"/>
      <c r="P118" s="420"/>
      <c r="Q118" s="421"/>
    </row>
    <row r="119" spans="1:17" s="97" customFormat="1" ht="27">
      <c r="A119" s="1188" t="s">
        <v>226</v>
      </c>
      <c r="B119" s="1189"/>
      <c r="C119" s="768"/>
      <c r="D119" s="275" t="s">
        <v>143</v>
      </c>
      <c r="E119" s="187"/>
      <c r="F119" s="311"/>
      <c r="G119" s="187">
        <f>SUM(G19+G93)</f>
        <v>121</v>
      </c>
      <c r="H119" s="184">
        <f>SUM(G119+'1'!G97)</f>
        <v>155</v>
      </c>
      <c r="I119" s="186"/>
      <c r="J119" s="210">
        <f>H119/DAY(B2)</f>
        <v>5.5357142857142856</v>
      </c>
      <c r="N119" s="752"/>
      <c r="O119" s="420"/>
      <c r="P119" s="420"/>
      <c r="Q119" s="421"/>
    </row>
    <row r="120" spans="1:17" s="97" customFormat="1" ht="27">
      <c r="A120" s="1188" t="s">
        <v>227</v>
      </c>
      <c r="B120" s="1189"/>
      <c r="C120" s="768"/>
      <c r="D120" s="275" t="s">
        <v>143</v>
      </c>
      <c r="E120" s="187"/>
      <c r="F120" s="311"/>
      <c r="G120" s="187">
        <f>SUM(G96,G97,G98,G100,G101)</f>
        <v>128</v>
      </c>
      <c r="H120" s="184">
        <f>SUM(G120+'1'!G99)</f>
        <v>134</v>
      </c>
      <c r="I120" s="186"/>
      <c r="J120" s="210">
        <f>H120/DAY(B2)</f>
        <v>4.7857142857142856</v>
      </c>
      <c r="N120" s="752"/>
      <c r="O120" s="420"/>
      <c r="P120" s="420"/>
      <c r="Q120" s="421"/>
    </row>
    <row r="121" spans="1:17" s="97" customFormat="1" ht="27">
      <c r="A121" s="1188" t="s">
        <v>228</v>
      </c>
      <c r="B121" s="1189"/>
      <c r="C121" s="768"/>
      <c r="D121" s="275" t="s">
        <v>143</v>
      </c>
      <c r="E121" s="187"/>
      <c r="F121" s="311"/>
      <c r="G121" s="185">
        <f>SUM(G113)</f>
        <v>89</v>
      </c>
      <c r="H121" s="184">
        <f>SUM(G121+'1'!G101)</f>
        <v>104</v>
      </c>
      <c r="I121" s="186"/>
      <c r="J121" s="210">
        <f>H121/DAY(B2)</f>
        <v>3.7142857142857144</v>
      </c>
      <c r="N121" s="752"/>
      <c r="O121" s="420"/>
      <c r="P121" s="420"/>
      <c r="Q121" s="421"/>
    </row>
    <row r="122" spans="1:17" s="93" customFormat="1" ht="27">
      <c r="A122" s="1190"/>
      <c r="B122" s="1191"/>
      <c r="C122" s="769"/>
      <c r="D122" s="211"/>
      <c r="E122" s="416"/>
      <c r="F122" s="403"/>
      <c r="G122" s="211"/>
      <c r="H122" s="212"/>
      <c r="I122" s="211"/>
      <c r="J122" s="213"/>
      <c r="N122" s="752"/>
      <c r="O122" s="420"/>
      <c r="P122" s="420"/>
      <c r="Q122" s="420"/>
    </row>
    <row r="123" spans="1:17">
      <c r="A123" s="1229" t="s">
        <v>229</v>
      </c>
      <c r="B123" s="1230"/>
      <c r="C123" s="1231"/>
      <c r="D123" s="123"/>
      <c r="E123" s="389"/>
      <c r="F123" s="389"/>
      <c r="G123" s="134"/>
      <c r="H123" s="134"/>
      <c r="I123" s="134"/>
      <c r="J123" s="214"/>
      <c r="K123" s="71"/>
      <c r="L123" s="68"/>
      <c r="N123" s="752"/>
    </row>
    <row r="124" spans="1:17" ht="27.75">
      <c r="A124" s="771" t="s">
        <v>230</v>
      </c>
      <c r="B124" s="772"/>
      <c r="C124" s="772"/>
      <c r="D124" s="174" t="s">
        <v>140</v>
      </c>
      <c r="E124" s="388">
        <f>'27'!F124</f>
        <v>846937</v>
      </c>
      <c r="F124" s="388">
        <v>847180</v>
      </c>
      <c r="G124" s="124">
        <f t="shared" ref="G124:G128" si="16">F124-E124</f>
        <v>243</v>
      </c>
      <c r="H124" s="111">
        <f>G124+'27'!H124</f>
        <v>-786</v>
      </c>
      <c r="I124" s="177"/>
      <c r="J124" s="203">
        <f>H124/DAY(B2)</f>
        <v>-28.071428571428573</v>
      </c>
      <c r="K124" s="71"/>
      <c r="L124" s="68"/>
      <c r="N124" s="752"/>
    </row>
    <row r="125" spans="1:17" ht="27.75">
      <c r="A125" s="771" t="s">
        <v>231</v>
      </c>
      <c r="B125" s="772"/>
      <c r="C125" s="772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52"/>
    </row>
    <row r="126" spans="1:17" ht="27.75">
      <c r="A126" s="1181" t="s">
        <v>232</v>
      </c>
      <c r="B126" s="1182"/>
      <c r="C126" s="1183"/>
      <c r="D126" s="174" t="s">
        <v>140</v>
      </c>
      <c r="E126" s="388">
        <f>'27'!F126</f>
        <v>150983</v>
      </c>
      <c r="F126" s="388">
        <v>151049</v>
      </c>
      <c r="G126" s="124">
        <f t="shared" si="16"/>
        <v>66</v>
      </c>
      <c r="H126" s="111">
        <f>G126+'27'!H126</f>
        <v>-272</v>
      </c>
      <c r="I126" s="177"/>
      <c r="J126" s="203">
        <f>H126/DAY(B2)</f>
        <v>-9.7142857142857135</v>
      </c>
      <c r="K126" s="71"/>
      <c r="L126" s="68"/>
      <c r="N126" s="752"/>
    </row>
    <row r="127" spans="1:17" ht="27.75">
      <c r="A127" s="260" t="s">
        <v>233</v>
      </c>
      <c r="B127" s="772"/>
      <c r="C127" s="772"/>
      <c r="D127" s="174" t="s">
        <v>140</v>
      </c>
      <c r="E127" s="388">
        <f>'27'!F127</f>
        <v>33120</v>
      </c>
      <c r="F127" s="404">
        <v>33152</v>
      </c>
      <c r="G127" s="124">
        <f t="shared" si="16"/>
        <v>32</v>
      </c>
      <c r="H127" s="111">
        <f>G127+'27'!H127</f>
        <v>-136</v>
      </c>
      <c r="I127" s="177"/>
      <c r="J127" s="203">
        <f>H127/DAY(B2)</f>
        <v>-4.8571428571428568</v>
      </c>
      <c r="K127" s="71"/>
      <c r="L127" s="68"/>
      <c r="N127" s="752"/>
    </row>
    <row r="128" spans="1:17" ht="27.75">
      <c r="A128" s="260" t="s">
        <v>234</v>
      </c>
      <c r="B128" s="772"/>
      <c r="C128" s="772"/>
      <c r="D128" s="174" t="s">
        <v>140</v>
      </c>
      <c r="E128" s="388">
        <f>'27'!F128</f>
        <v>9102</v>
      </c>
      <c r="F128" s="404">
        <v>9104</v>
      </c>
      <c r="G128" s="124">
        <f t="shared" si="16"/>
        <v>2</v>
      </c>
      <c r="H128" s="111">
        <f>G128+'27'!H128</f>
        <v>-9</v>
      </c>
      <c r="I128" s="131"/>
      <c r="J128" s="203">
        <f>H128/DAY(B2)</f>
        <v>-0.32142857142857145</v>
      </c>
      <c r="K128" s="71"/>
      <c r="L128" s="68"/>
      <c r="N128" s="752"/>
    </row>
    <row r="129" spans="1:17" s="57" customFormat="1" ht="27">
      <c r="A129" s="260" t="s">
        <v>235</v>
      </c>
      <c r="B129" s="772"/>
      <c r="C129" s="772"/>
      <c r="D129" s="174"/>
      <c r="E129" s="388"/>
      <c r="F129" s="388"/>
      <c r="G129" s="124">
        <f>G15-SUM(G124:G128)</f>
        <v>607</v>
      </c>
      <c r="H129" s="111"/>
      <c r="I129" s="131"/>
      <c r="J129" s="203"/>
      <c r="K129" s="60"/>
      <c r="L129" s="58"/>
      <c r="N129" s="752"/>
      <c r="O129" s="420"/>
      <c r="P129" s="420"/>
      <c r="Q129" s="420"/>
    </row>
    <row r="130" spans="1:17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>
      <c r="A131" s="771" t="s">
        <v>237</v>
      </c>
      <c r="B131" s="772"/>
      <c r="C131" s="772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>
      <c r="A132" s="771" t="s">
        <v>239</v>
      </c>
      <c r="B132" s="772"/>
      <c r="C132" s="772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>
      <c r="A133" s="771" t="s">
        <v>240</v>
      </c>
      <c r="B133" s="772"/>
      <c r="C133" s="772"/>
      <c r="D133" s="174" t="s">
        <v>238</v>
      </c>
      <c r="E133" s="418">
        <f>'27'!F133</f>
        <v>40619</v>
      </c>
      <c r="F133" s="404">
        <v>40619</v>
      </c>
      <c r="G133" s="124">
        <f t="shared" si="17"/>
        <v>0</v>
      </c>
      <c r="H133" s="111">
        <f>G133+'27'!H133</f>
        <v>0</v>
      </c>
      <c r="I133" s="131"/>
      <c r="J133" s="203">
        <f>H133/DAY(B2)</f>
        <v>0</v>
      </c>
    </row>
    <row r="134" spans="1:17" ht="27.75">
      <c r="A134" s="771" t="s">
        <v>241</v>
      </c>
      <c r="B134" s="772"/>
      <c r="C134" s="772"/>
      <c r="D134" s="174" t="s">
        <v>238</v>
      </c>
      <c r="E134" s="418">
        <f>'27'!F134</f>
        <v>510</v>
      </c>
      <c r="F134" s="404">
        <v>534</v>
      </c>
      <c r="G134" s="124">
        <f t="shared" si="17"/>
        <v>24</v>
      </c>
      <c r="H134" s="111">
        <f>G134+'27'!H134</f>
        <v>-40</v>
      </c>
      <c r="I134" s="131">
        <f>G131+G132+G133+G134</f>
        <v>24</v>
      </c>
      <c r="J134" s="203">
        <f>H134/DAY(B2)</f>
        <v>-1.4285714285714286</v>
      </c>
    </row>
    <row r="135" spans="1:17" ht="27.75">
      <c r="A135" s="771" t="s">
        <v>242</v>
      </c>
      <c r="B135" s="772"/>
      <c r="C135" s="772"/>
      <c r="D135" s="174" t="s">
        <v>238</v>
      </c>
      <c r="E135" s="418">
        <f>'27'!F135</f>
        <v>42436</v>
      </c>
      <c r="F135" s="404">
        <v>42442</v>
      </c>
      <c r="G135" s="124">
        <f t="shared" si="17"/>
        <v>6</v>
      </c>
      <c r="H135" s="111">
        <f>G135+'27'!H135</f>
        <v>103.88999999999942</v>
      </c>
      <c r="I135" s="131"/>
      <c r="J135" s="203">
        <f>H135/DAY(B2)</f>
        <v>3.7103571428571223</v>
      </c>
      <c r="O135" s="420">
        <f>9-24</f>
        <v>-15</v>
      </c>
    </row>
    <row r="136" spans="1:17" ht="27.75">
      <c r="A136" s="771" t="s">
        <v>243</v>
      </c>
      <c r="B136" s="772"/>
      <c r="C136" s="772"/>
      <c r="D136" s="174" t="s">
        <v>238</v>
      </c>
      <c r="E136" s="417">
        <f>'27'!F136</f>
        <v>32874</v>
      </c>
      <c r="F136" s="395">
        <v>32874</v>
      </c>
      <c r="G136" s="124">
        <f t="shared" si="17"/>
        <v>0</v>
      </c>
      <c r="H136" s="111">
        <f>G136+'27'!H136</f>
        <v>12.94999999999709</v>
      </c>
      <c r="I136" s="131"/>
      <c r="J136" s="203">
        <f>H136/DAY(B2)</f>
        <v>0.46249999999989605</v>
      </c>
    </row>
    <row r="137" spans="1:17" ht="27.75">
      <c r="A137" s="771" t="s">
        <v>244</v>
      </c>
      <c r="B137" s="772"/>
      <c r="C137" s="772"/>
      <c r="D137" s="174" t="s">
        <v>238</v>
      </c>
      <c r="E137" s="417">
        <f>'27'!F137</f>
        <v>23091.78</v>
      </c>
      <c r="F137" s="395">
        <v>23097.58</v>
      </c>
      <c r="G137" s="124">
        <f t="shared" si="17"/>
        <v>5.8000000000029104</v>
      </c>
      <c r="H137" s="111">
        <f>G137+'27'!H137</f>
        <v>-8.9799999999995634</v>
      </c>
      <c r="I137" s="131">
        <f>G135+G136+G137</f>
        <v>11.80000000000291</v>
      </c>
      <c r="J137" s="203">
        <f>H137/DAY(B2)</f>
        <v>-0.32071428571427013</v>
      </c>
    </row>
    <row r="138" spans="1:17" ht="27.75">
      <c r="A138" s="771" t="s">
        <v>245</v>
      </c>
      <c r="B138" s="772"/>
      <c r="C138" s="772"/>
      <c r="D138" s="174" t="s">
        <v>238</v>
      </c>
      <c r="E138" s="417">
        <f>'27'!F138</f>
        <v>25099.16</v>
      </c>
      <c r="F138" s="395">
        <v>25099.18</v>
      </c>
      <c r="G138" s="124">
        <f t="shared" si="17"/>
        <v>2.0000000000436557E-2</v>
      </c>
      <c r="H138" s="111">
        <f>G138+'27'!H138</f>
        <v>8.0200000000004366</v>
      </c>
      <c r="I138" s="131"/>
      <c r="J138" s="203">
        <f>H138/DAY(B2)</f>
        <v>0.28642857142858702</v>
      </c>
    </row>
    <row r="139" spans="1:17" ht="27.75">
      <c r="A139" s="771" t="s">
        <v>246</v>
      </c>
      <c r="B139" s="772"/>
      <c r="C139" s="772"/>
      <c r="D139" s="174" t="s">
        <v>238</v>
      </c>
      <c r="E139" s="417">
        <f>'27'!F139</f>
        <v>70516.600000000006</v>
      </c>
      <c r="F139" s="395">
        <v>70516.600000000006</v>
      </c>
      <c r="G139" s="124">
        <f t="shared" si="17"/>
        <v>0</v>
      </c>
      <c r="H139" s="111">
        <f>G139+'27'!H139</f>
        <v>15</v>
      </c>
      <c r="I139" s="131">
        <f>G138+G139</f>
        <v>2.0000000000436557E-2</v>
      </c>
      <c r="J139" s="203">
        <f>H139/DAY(B2)</f>
        <v>0.5357142857142857</v>
      </c>
    </row>
    <row r="140" spans="1:17" ht="27.75">
      <c r="A140" s="771" t="s">
        <v>247</v>
      </c>
      <c r="B140" s="772"/>
      <c r="C140" s="772"/>
      <c r="D140" s="174" t="s">
        <v>238</v>
      </c>
      <c r="E140" s="418">
        <f>'27'!F140</f>
        <v>2273.79</v>
      </c>
      <c r="F140" s="404">
        <v>2283.1799999999998</v>
      </c>
      <c r="G140" s="124">
        <f t="shared" si="17"/>
        <v>9.3899999999998727</v>
      </c>
      <c r="H140" s="111">
        <f>G140+'27'!H140</f>
        <v>-28.380000000000109</v>
      </c>
      <c r="I140" s="193"/>
      <c r="J140" s="203">
        <f>H140/DAY(B2)</f>
        <v>-1.0135714285714326</v>
      </c>
    </row>
    <row r="141" spans="1:17" ht="27.75">
      <c r="A141" s="771" t="s">
        <v>248</v>
      </c>
      <c r="B141" s="772"/>
      <c r="C141" s="772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>
      <c r="A142" s="1203" t="s">
        <v>249</v>
      </c>
      <c r="B142" s="1204"/>
      <c r="C142" s="777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>
      <c r="A143" s="1200" t="s">
        <v>250</v>
      </c>
      <c r="B143" s="1201"/>
      <c r="C143" s="1202"/>
      <c r="D143" s="174" t="s">
        <v>131</v>
      </c>
      <c r="E143" s="111"/>
      <c r="F143" s="111"/>
      <c r="G143" s="111">
        <f>G35+G43+G49+G57</f>
        <v>5582.33</v>
      </c>
      <c r="H143" s="111">
        <f>G143+'27'!H143</f>
        <v>-20379.789999999994</v>
      </c>
      <c r="I143" s="131"/>
      <c r="J143" s="203">
        <f>H143/DAY(B2)</f>
        <v>-727.84964285714261</v>
      </c>
      <c r="K143" s="71"/>
      <c r="L143" s="68"/>
    </row>
    <row r="144" spans="1:17" ht="27.75">
      <c r="A144" s="1200" t="s">
        <v>251</v>
      </c>
      <c r="B144" s="1201"/>
      <c r="C144" s="1202"/>
      <c r="D144" s="174" t="s">
        <v>24</v>
      </c>
      <c r="E144" s="121"/>
      <c r="F144" s="121"/>
      <c r="G144" s="194">
        <f>G143/G7</f>
        <v>0.24010021505376344</v>
      </c>
      <c r="H144" s="111">
        <f>G144+'27'!H144</f>
        <v>-0.70738534693562993</v>
      </c>
      <c r="I144" s="195"/>
      <c r="J144" s="203">
        <f>H144/DAY(B2)</f>
        <v>-2.5263762390558213E-2</v>
      </c>
      <c r="K144" s="71"/>
      <c r="L144" s="68"/>
    </row>
    <row r="145" spans="1:12" ht="27.75">
      <c r="A145" s="1200" t="s">
        <v>252</v>
      </c>
      <c r="B145" s="1201"/>
      <c r="C145" s="1202"/>
      <c r="D145" s="174" t="s">
        <v>131</v>
      </c>
      <c r="E145" s="111"/>
      <c r="F145" s="111"/>
      <c r="G145" s="111">
        <f>G41+G42+G55+G56</f>
        <v>6109</v>
      </c>
      <c r="H145" s="111">
        <f>G145+'27'!H145</f>
        <v>-21337</v>
      </c>
      <c r="I145" s="131"/>
      <c r="J145" s="203">
        <f>H145/DAY(B2)</f>
        <v>-762.03571428571433</v>
      </c>
      <c r="K145" s="71"/>
      <c r="L145" s="68"/>
    </row>
    <row r="146" spans="1:12" ht="27.75">
      <c r="A146" s="1200" t="s">
        <v>253</v>
      </c>
      <c r="B146" s="1201"/>
      <c r="C146" s="1202"/>
      <c r="D146" s="174" t="s">
        <v>24</v>
      </c>
      <c r="E146" s="111"/>
      <c r="F146" s="111"/>
      <c r="G146" s="194">
        <f>G145/G7</f>
        <v>0.262752688172043</v>
      </c>
      <c r="H146" s="111">
        <f>G146+'27'!H146</f>
        <v>-0.73644108511801565</v>
      </c>
      <c r="I146" s="195"/>
      <c r="J146" s="203">
        <f>H146/DAY(B2)</f>
        <v>-2.6301467325643417E-2</v>
      </c>
      <c r="K146" s="71"/>
      <c r="L146" s="68"/>
    </row>
    <row r="147" spans="1:12" ht="27.75">
      <c r="A147" s="1200" t="s">
        <v>254</v>
      </c>
      <c r="B147" s="1201"/>
      <c r="C147" s="1202"/>
      <c r="D147" s="174" t="s">
        <v>131</v>
      </c>
      <c r="E147" s="111"/>
      <c r="F147" s="111"/>
      <c r="G147" s="111">
        <f>G39+G53</f>
        <v>3785</v>
      </c>
      <c r="H147" s="111">
        <f>G147+'27'!H147</f>
        <v>-11472</v>
      </c>
      <c r="I147" s="196"/>
      <c r="J147" s="203">
        <f>H147/DAY(B2)</f>
        <v>-409.71428571428572</v>
      </c>
      <c r="K147" s="71"/>
      <c r="L147" s="68"/>
    </row>
    <row r="148" spans="1:12" ht="27.75">
      <c r="A148" s="1200" t="s">
        <v>255</v>
      </c>
      <c r="B148" s="1201"/>
      <c r="C148" s="1202"/>
      <c r="D148" s="174" t="s">
        <v>24</v>
      </c>
      <c r="E148" s="111"/>
      <c r="F148" s="111"/>
      <c r="G148" s="194">
        <f>G147/G7</f>
        <v>0.16279569892473117</v>
      </c>
      <c r="H148" s="111">
        <f>G148+'27'!H148</f>
        <v>-0.37854138229275031</v>
      </c>
      <c r="I148" s="196"/>
      <c r="J148" s="203">
        <f>H148/DAY(B2)</f>
        <v>-1.3519335081883939E-2</v>
      </c>
    </row>
    <row r="149" spans="1:12" ht="27.75">
      <c r="A149" s="1200" t="s">
        <v>256</v>
      </c>
      <c r="B149" s="1201"/>
      <c r="C149" s="1202"/>
      <c r="D149" s="174" t="s">
        <v>182</v>
      </c>
      <c r="E149" s="111"/>
      <c r="F149" s="111"/>
      <c r="G149" s="111">
        <f>G38+G52</f>
        <v>1549.0699999999488</v>
      </c>
      <c r="H149" s="111">
        <f>G149+'27'!H149</f>
        <v>-5087.9300000000512</v>
      </c>
      <c r="I149" s="131"/>
      <c r="J149" s="203">
        <f>H149/DAY(B2)</f>
        <v>-181.71178571428754</v>
      </c>
      <c r="K149" s="72"/>
    </row>
    <row r="150" spans="1:12" ht="27.75">
      <c r="A150" s="1200" t="s">
        <v>257</v>
      </c>
      <c r="B150" s="1201"/>
      <c r="C150" s="1202"/>
      <c r="D150" s="174" t="s">
        <v>24</v>
      </c>
      <c r="E150" s="111"/>
      <c r="F150" s="111"/>
      <c r="G150" s="194">
        <f>G149/G7</f>
        <v>6.6626666666664461E-2</v>
      </c>
      <c r="H150" s="111">
        <f>G150+'27'!H150</f>
        <v>-0.16723794572448708</v>
      </c>
      <c r="I150" s="196"/>
      <c r="J150" s="203">
        <f>H150/DAY(B2)</f>
        <v>-5.9727837758745388E-3</v>
      </c>
    </row>
    <row r="151" spans="1:12" ht="27.75">
      <c r="A151" s="1200" t="s">
        <v>258</v>
      </c>
      <c r="B151" s="1201"/>
      <c r="C151" s="1202"/>
      <c r="D151" s="174" t="s">
        <v>182</v>
      </c>
      <c r="E151" s="111"/>
      <c r="F151" s="111"/>
      <c r="G151" s="111">
        <f>G36+G50</f>
        <v>1594</v>
      </c>
      <c r="H151" s="111">
        <f>G151+'27'!H151</f>
        <v>-6115</v>
      </c>
      <c r="I151" s="196"/>
      <c r="J151" s="203">
        <f>H151/DAY(B2)</f>
        <v>-218.39285714285714</v>
      </c>
    </row>
    <row r="152" spans="1:12" ht="27.75">
      <c r="A152" s="1200" t="s">
        <v>259</v>
      </c>
      <c r="B152" s="1201"/>
      <c r="C152" s="1202"/>
      <c r="D152" s="174" t="s">
        <v>24</v>
      </c>
      <c r="E152" s="111"/>
      <c r="F152" s="111"/>
      <c r="G152" s="194">
        <f>G151/G7</f>
        <v>6.8559139784946238E-2</v>
      </c>
      <c r="H152" s="111">
        <f>G152+'27'!H152</f>
        <v>-0.21072479049751433</v>
      </c>
      <c r="I152" s="131"/>
      <c r="J152" s="203">
        <f>H152/DAY(B2)</f>
        <v>-7.5258853749112257E-3</v>
      </c>
    </row>
    <row r="153" spans="1:12" ht="27.75">
      <c r="A153" s="1200" t="s">
        <v>260</v>
      </c>
      <c r="B153" s="1201"/>
      <c r="C153" s="1202"/>
      <c r="D153" s="174" t="s">
        <v>182</v>
      </c>
      <c r="E153" s="111"/>
      <c r="F153" s="111"/>
      <c r="G153" s="111">
        <f>G37+G51</f>
        <v>1600</v>
      </c>
      <c r="H153" s="111">
        <f>G153+'27'!H153</f>
        <v>-4895</v>
      </c>
      <c r="I153" s="131"/>
      <c r="J153" s="203">
        <f>H153/DAY(B2)</f>
        <v>-174.82142857142858</v>
      </c>
    </row>
    <row r="154" spans="1:12" ht="28.5" thickBot="1">
      <c r="A154" s="1238" t="s">
        <v>261</v>
      </c>
      <c r="B154" s="1239"/>
      <c r="C154" s="1240"/>
      <c r="D154" s="276" t="s">
        <v>24</v>
      </c>
      <c r="E154" s="218"/>
      <c r="F154" s="218"/>
      <c r="G154" s="217">
        <f>G153/G7</f>
        <v>6.8817204301075269E-2</v>
      </c>
      <c r="H154" s="111">
        <f>G154+'27'!H154</f>
        <v>-0.16300611264889789</v>
      </c>
      <c r="I154" s="219"/>
      <c r="J154" s="220">
        <f>H154/DAY(B2)</f>
        <v>-5.821646880317782E-3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35" t="s">
        <v>262</v>
      </c>
      <c r="B161" s="436"/>
      <c r="C161" s="436"/>
      <c r="D161" s="162" t="s">
        <v>186</v>
      </c>
      <c r="E161" s="417">
        <f>'27'!F161</f>
        <v>43011</v>
      </c>
      <c r="F161" s="309">
        <v>43091</v>
      </c>
      <c r="G161" s="124">
        <f t="shared" ref="G161:G164" si="18">F161-E161</f>
        <v>80</v>
      </c>
    </row>
    <row r="162" spans="1:7">
      <c r="A162" s="435" t="s">
        <v>263</v>
      </c>
      <c r="B162" s="436"/>
      <c r="C162" s="436"/>
      <c r="D162" s="162" t="s">
        <v>186</v>
      </c>
      <c r="E162" s="417">
        <f>'27'!F162</f>
        <v>120288</v>
      </c>
      <c r="F162" s="309">
        <v>120749</v>
      </c>
      <c r="G162" s="124">
        <f t="shared" si="18"/>
        <v>461</v>
      </c>
    </row>
    <row r="163" spans="1:7">
      <c r="A163" s="435" t="s">
        <v>264</v>
      </c>
      <c r="B163" s="436"/>
      <c r="C163" s="436"/>
      <c r="D163" s="162" t="s">
        <v>186</v>
      </c>
      <c r="E163" s="417">
        <f>'27'!F163</f>
        <v>66707</v>
      </c>
      <c r="F163" s="309">
        <v>66905</v>
      </c>
      <c r="G163" s="124">
        <f t="shared" si="18"/>
        <v>198</v>
      </c>
    </row>
    <row r="164" spans="1:7">
      <c r="A164" s="435" t="s">
        <v>265</v>
      </c>
      <c r="B164" s="436"/>
      <c r="C164" s="436"/>
      <c r="D164" s="162" t="s">
        <v>186</v>
      </c>
      <c r="E164" s="417">
        <f>'27'!F164</f>
        <v>7101</v>
      </c>
      <c r="F164" s="309">
        <v>7111</v>
      </c>
      <c r="G164" s="124">
        <f t="shared" si="18"/>
        <v>10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si="20"/>
        <v>180340</v>
      </c>
      <c r="F167" s="165">
        <f t="shared" si="21"/>
        <v>180729</v>
      </c>
      <c r="G167" s="124">
        <f t="shared" si="19"/>
        <v>389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si="20"/>
        <v>180631</v>
      </c>
      <c r="F168" s="165">
        <f t="shared" si="21"/>
        <v>181013</v>
      </c>
      <c r="G168" s="124">
        <f t="shared" si="19"/>
        <v>382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si="20"/>
        <v>79039</v>
      </c>
      <c r="F169" s="165">
        <f t="shared" si="21"/>
        <v>79435</v>
      </c>
      <c r="G169" s="124">
        <f t="shared" si="19"/>
        <v>396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si="20"/>
        <v>277989</v>
      </c>
      <c r="F170" s="165">
        <f t="shared" si="21"/>
        <v>278486</v>
      </c>
      <c r="G170" s="124">
        <f t="shared" si="19"/>
        <v>497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si="20"/>
        <v>95173</v>
      </c>
      <c r="F172" s="165">
        <f t="shared" si="21"/>
        <v>95523</v>
      </c>
      <c r="G172" s="124">
        <f t="shared" si="19"/>
        <v>350</v>
      </c>
    </row>
    <row r="173" spans="1:7">
      <c r="G173" s="190">
        <f>SUM(G161:G172)</f>
        <v>2763</v>
      </c>
    </row>
    <row r="174" spans="1:7" ht="27.75">
      <c r="A174" s="1228" t="s">
        <v>338</v>
      </c>
      <c r="B174" s="1191"/>
      <c r="C174" s="435"/>
      <c r="D174" s="1123" t="s">
        <v>186</v>
      </c>
      <c r="E174" s="1124">
        <v>19121</v>
      </c>
      <c r="F174" s="1124">
        <v>19124</v>
      </c>
      <c r="G174" s="1125">
        <f t="shared" ref="G174:G176" si="22">F174-E174</f>
        <v>3</v>
      </c>
    </row>
    <row r="175" spans="1:7" ht="27.75">
      <c r="A175" s="1228" t="s">
        <v>339</v>
      </c>
      <c r="B175" s="1191"/>
      <c r="C175" s="105"/>
      <c r="D175" s="1123" t="s">
        <v>186</v>
      </c>
      <c r="E175" s="1128">
        <v>27771</v>
      </c>
      <c r="F175" s="1128">
        <v>27774</v>
      </c>
      <c r="G175" s="1125">
        <f t="shared" si="22"/>
        <v>3</v>
      </c>
    </row>
    <row r="176" spans="1:7" ht="27.75">
      <c r="A176" s="1228" t="s">
        <v>338</v>
      </c>
      <c r="B176" s="1191"/>
      <c r="C176" s="105"/>
      <c r="D176" s="1123" t="s">
        <v>186</v>
      </c>
      <c r="E176" s="1124">
        <v>70506</v>
      </c>
      <c r="F176" s="1124">
        <v>70512</v>
      </c>
      <c r="G176" s="1125">
        <f t="shared" si="22"/>
        <v>6</v>
      </c>
    </row>
    <row r="178" spans="1:17">
      <c r="A178" s="1228"/>
      <c r="B178" s="1191"/>
      <c r="C178" s="436"/>
      <c r="D178" s="174"/>
      <c r="E178" s="183"/>
      <c r="F178" s="183"/>
      <c r="G178" s="124"/>
      <c r="N178" s="369"/>
      <c r="O178" s="374"/>
      <c r="P178" s="67"/>
      <c r="Q178" s="67"/>
    </row>
    <row r="179" spans="1:17">
      <c r="A179" s="1228"/>
      <c r="B179" s="1191"/>
      <c r="C179" s="436"/>
      <c r="D179" s="174"/>
      <c r="E179" s="183"/>
      <c r="F179" s="183"/>
      <c r="G179" s="124"/>
      <c r="N179" s="369"/>
      <c r="O179" s="374"/>
      <c r="P179" s="67"/>
      <c r="Q179" s="67"/>
    </row>
    <row r="180" spans="1:17">
      <c r="A180" s="1228"/>
      <c r="B180" s="1191"/>
      <c r="C180" s="436"/>
      <c r="D180" s="174"/>
      <c r="E180" s="183"/>
      <c r="F180" s="183"/>
      <c r="G180" s="124"/>
      <c r="N180" s="369"/>
      <c r="O180" s="374"/>
      <c r="P180" s="67"/>
      <c r="Q180" s="67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0"/>
  <sheetViews>
    <sheetView view="pageBreakPreview" topLeftCell="A31" zoomScale="55" zoomScaleNormal="78" zoomScaleSheetLayoutView="55" workbookViewId="0">
      <selection activeCell="F19" sqref="F19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54" s="57" customFormat="1" ht="27">
      <c r="A2" s="226" t="s">
        <v>278</v>
      </c>
      <c r="B2" s="682">
        <v>44345</v>
      </c>
      <c r="C2" s="773" t="s">
        <v>68</v>
      </c>
      <c r="D2" s="262">
        <v>0.7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>
      <c r="A3" s="221"/>
      <c r="B3" s="265"/>
      <c r="C3" s="773" t="s">
        <v>119</v>
      </c>
      <c r="D3" s="263">
        <v>27</v>
      </c>
      <c r="E3" s="1214" t="s">
        <v>120</v>
      </c>
      <c r="F3" s="1215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>
      <c r="A4" s="227"/>
      <c r="B4" s="267"/>
      <c r="C4" s="773" t="s">
        <v>121</v>
      </c>
      <c r="D4" s="262">
        <v>0.9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>
      <c r="A6" s="1208" t="s">
        <v>129</v>
      </c>
      <c r="B6" s="1209"/>
      <c r="C6" s="1210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>
      <c r="A7" s="327" t="s">
        <v>130</v>
      </c>
      <c r="B7" s="328"/>
      <c r="C7" s="328"/>
      <c r="D7" s="288" t="s">
        <v>131</v>
      </c>
      <c r="E7" s="330">
        <f>'28'!F7</f>
        <v>1244388</v>
      </c>
      <c r="F7" s="106">
        <f>E7+23250</f>
        <v>1267638</v>
      </c>
      <c r="G7" s="329">
        <f>F7-E7</f>
        <v>23250</v>
      </c>
      <c r="H7" s="330">
        <f>G7+'28'!H7</f>
        <v>659816</v>
      </c>
      <c r="I7" s="331">
        <f>'1'!I7</f>
        <v>12000</v>
      </c>
      <c r="J7" s="332">
        <f>H7/DAY(B2)</f>
        <v>22752.275862068964</v>
      </c>
      <c r="K7" s="200">
        <v>1703438</v>
      </c>
      <c r="L7" s="68">
        <v>1715917</v>
      </c>
      <c r="O7" s="423"/>
    </row>
    <row r="8" spans="1:54" ht="27.75" thickBot="1">
      <c r="A8" s="333" t="s">
        <v>132</v>
      </c>
      <c r="B8" s="334"/>
      <c r="C8" s="335"/>
      <c r="D8" s="336" t="s">
        <v>25</v>
      </c>
      <c r="E8" s="330">
        <f>'28'!F8</f>
        <v>546938</v>
      </c>
      <c r="F8" s="126">
        <v>570021</v>
      </c>
      <c r="G8" s="340">
        <f>F8-E8</f>
        <v>23083</v>
      </c>
      <c r="H8" s="330">
        <f>G8+'28'!H8</f>
        <v>-45576</v>
      </c>
      <c r="I8" s="337"/>
      <c r="J8" s="332">
        <f>H8/DAY(B2)</f>
        <v>-1571.5862068965516</v>
      </c>
      <c r="K8" s="200">
        <v>1375467</v>
      </c>
      <c r="L8" s="78"/>
      <c r="M8" s="91"/>
      <c r="O8" s="423"/>
    </row>
    <row r="9" spans="1:54">
      <c r="A9" s="338" t="s">
        <v>133</v>
      </c>
      <c r="B9" s="339"/>
      <c r="C9" s="339"/>
      <c r="D9" s="288" t="s">
        <v>131</v>
      </c>
      <c r="E9" s="330">
        <f>'28'!F9</f>
        <v>2630432</v>
      </c>
      <c r="F9" s="388">
        <v>2652678</v>
      </c>
      <c r="G9" s="353">
        <f t="shared" ref="G9:G12" si="0">F9-E9</f>
        <v>22246</v>
      </c>
      <c r="H9" s="330">
        <f>G9+'28'!H9</f>
        <v>-43957</v>
      </c>
      <c r="I9" s="341">
        <f>I7-J7</f>
        <v>-10752.275862068964</v>
      </c>
      <c r="J9" s="332">
        <f>H9/DAY(B2)</f>
        <v>-1515.7586206896551</v>
      </c>
      <c r="K9" s="81"/>
      <c r="L9" s="68"/>
      <c r="O9" s="423"/>
    </row>
    <row r="10" spans="1:5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0.29999999999972715</v>
      </c>
      <c r="I10" s="342"/>
      <c r="J10" s="332">
        <f>H10/DAY(B2)</f>
        <v>1.0344827586197487E-2</v>
      </c>
      <c r="K10" s="81"/>
      <c r="L10" s="68"/>
      <c r="BB10" s="67">
        <v>0</v>
      </c>
    </row>
    <row r="11" spans="1:5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>
      <c r="A12" s="327" t="s">
        <v>136</v>
      </c>
      <c r="B12" s="328"/>
      <c r="C12" s="328"/>
      <c r="D12" s="747" t="s">
        <v>131</v>
      </c>
      <c r="E12" s="741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>
      <c r="A13" s="343" t="s">
        <v>137</v>
      </c>
      <c r="B13" s="344"/>
      <c r="C13" s="344"/>
      <c r="D13" s="747"/>
      <c r="E13" s="741"/>
      <c r="F13" s="111"/>
      <c r="G13" s="345">
        <f>G9+G10+G11+G12</f>
        <v>22246</v>
      </c>
      <c r="H13" s="741">
        <f>G13+'28'!H13</f>
        <v>-86640.700000000012</v>
      </c>
      <c r="I13" s="742">
        <f>G7-G13</f>
        <v>1004</v>
      </c>
      <c r="J13" s="743">
        <f>H13/DAY(B2)</f>
        <v>-2987.6103448275867</v>
      </c>
      <c r="K13" s="81"/>
      <c r="L13" s="68"/>
    </row>
    <row r="14" spans="1:54">
      <c r="A14" s="1211" t="s">
        <v>138</v>
      </c>
      <c r="B14" s="1212"/>
      <c r="C14" s="1213"/>
      <c r="D14" s="744"/>
      <c r="E14" s="748"/>
      <c r="F14" s="389"/>
      <c r="G14" s="134"/>
      <c r="H14" s="744"/>
      <c r="I14" s="744"/>
      <c r="J14" s="745"/>
      <c r="K14" s="82"/>
      <c r="L14" s="68"/>
    </row>
    <row r="15" spans="1:54">
      <c r="A15" s="316" t="s">
        <v>139</v>
      </c>
      <c r="B15" s="317"/>
      <c r="C15" s="317"/>
      <c r="D15" s="749" t="s">
        <v>140</v>
      </c>
      <c r="E15" s="750">
        <f>'28'!F15</f>
        <v>1755059</v>
      </c>
      <c r="F15" s="351">
        <f>E15+950</f>
        <v>1756009</v>
      </c>
      <c r="G15" s="315">
        <f>(F15-E15)</f>
        <v>950</v>
      </c>
      <c r="H15" s="737">
        <f>G15+'28'!H15</f>
        <v>26455</v>
      </c>
      <c r="I15" s="738">
        <f>'1'!I15</f>
        <v>800</v>
      </c>
      <c r="J15" s="739">
        <f>H15/DAY(B2)</f>
        <v>912.24137931034488</v>
      </c>
      <c r="K15" s="81"/>
      <c r="L15" s="68"/>
    </row>
    <row r="16" spans="1:54">
      <c r="A16" s="324"/>
      <c r="B16" s="325"/>
      <c r="C16" s="325"/>
      <c r="D16" s="749"/>
      <c r="E16" s="750"/>
      <c r="F16" s="390"/>
      <c r="G16" s="320"/>
      <c r="H16" s="737"/>
      <c r="I16" s="740">
        <f>I15-J15</f>
        <v>-112.24137931034488</v>
      </c>
      <c r="J16" s="739"/>
      <c r="K16" s="81"/>
      <c r="L16" s="68"/>
    </row>
    <row r="17" spans="1:15">
      <c r="A17" s="1211" t="s">
        <v>141</v>
      </c>
      <c r="B17" s="1212"/>
      <c r="C17" s="1213"/>
      <c r="D17" s="744"/>
      <c r="E17" s="748"/>
      <c r="F17" s="389"/>
      <c r="G17" s="139"/>
      <c r="H17" s="744"/>
      <c r="I17" s="744"/>
      <c r="J17" s="745"/>
      <c r="K17" s="81"/>
      <c r="L17" s="68"/>
    </row>
    <row r="18" spans="1:15" ht="27.75">
      <c r="A18" s="1248" t="s">
        <v>142</v>
      </c>
      <c r="B18" s="1249"/>
      <c r="C18" s="1250"/>
      <c r="D18" s="288" t="s">
        <v>143</v>
      </c>
      <c r="E18" s="408">
        <f>'28'!F18</f>
        <v>6</v>
      </c>
      <c r="F18" s="388">
        <v>14</v>
      </c>
      <c r="G18" s="345">
        <f>F18*10</f>
        <v>140</v>
      </c>
      <c r="H18" s="741">
        <f>G18+'28'!H18</f>
        <v>4270</v>
      </c>
      <c r="I18" s="746">
        <f>'1'!I18</f>
        <v>65</v>
      </c>
      <c r="J18" s="743">
        <f>H18/DAY(B2)</f>
        <v>147.24137931034483</v>
      </c>
      <c r="K18" s="81"/>
      <c r="L18" s="68"/>
    </row>
    <row r="19" spans="1:15" ht="27.75">
      <c r="A19" s="1248" t="s">
        <v>70</v>
      </c>
      <c r="B19" s="1249"/>
      <c r="C19" s="1250"/>
      <c r="D19" s="288" t="s">
        <v>143</v>
      </c>
      <c r="E19" s="408">
        <f>'28'!F19</f>
        <v>145110</v>
      </c>
      <c r="F19" s="388">
        <f>E19+60</f>
        <v>145170</v>
      </c>
      <c r="G19" s="340">
        <f t="shared" ref="G19" si="1">F19-E19</f>
        <v>60</v>
      </c>
      <c r="H19" s="330">
        <f>G19+'28'!H19</f>
        <v>1780</v>
      </c>
      <c r="I19" s="347"/>
      <c r="J19" s="332">
        <f>H19/DAY(B2)</f>
        <v>61.379310344827587</v>
      </c>
      <c r="K19" s="81"/>
      <c r="L19" s="68"/>
    </row>
    <row r="20" spans="1:15">
      <c r="A20" s="343" t="s">
        <v>144</v>
      </c>
      <c r="B20" s="344"/>
      <c r="C20" s="344"/>
      <c r="D20" s="288"/>
      <c r="E20" s="330"/>
      <c r="F20" s="111"/>
      <c r="G20" s="348">
        <f>G18+G19</f>
        <v>200</v>
      </c>
      <c r="H20" s="330">
        <f>G20+'28'!H20</f>
        <v>6050</v>
      </c>
      <c r="I20" s="349">
        <f>I18-J20</f>
        <v>-143.62068965517241</v>
      </c>
      <c r="J20" s="332">
        <f>H20/DAY(B2)</f>
        <v>208.62068965517241</v>
      </c>
      <c r="K20" s="81"/>
      <c r="L20" s="68"/>
    </row>
    <row r="21" spans="1:15">
      <c r="A21" s="1211" t="s">
        <v>145</v>
      </c>
      <c r="B21" s="1212"/>
      <c r="C21" s="1213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>
      <c r="A22" s="771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>
      <c r="A23" s="771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>
      <c r="A25" s="1216" t="s">
        <v>150</v>
      </c>
      <c r="B25" s="1217"/>
      <c r="C25" s="1218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>
      <c r="A27" s="243" t="s">
        <v>6</v>
      </c>
      <c r="B27" s="244"/>
      <c r="C27" s="245"/>
      <c r="D27" s="270" t="s">
        <v>25</v>
      </c>
      <c r="E27" s="350">
        <f>G8</f>
        <v>23083</v>
      </c>
      <c r="F27" s="152">
        <v>9</v>
      </c>
      <c r="G27" s="153">
        <f>E27*F27</f>
        <v>207747</v>
      </c>
      <c r="H27" s="111">
        <f>G27+'28'!H27</f>
        <v>-410182.10999999964</v>
      </c>
      <c r="I27" s="154"/>
      <c r="J27" s="203">
        <f>H27/DAY(B2)</f>
        <v>-14144.21068965516</v>
      </c>
      <c r="K27" s="65"/>
      <c r="L27" s="94"/>
      <c r="N27" s="420"/>
      <c r="O27" s="420"/>
    </row>
    <row r="28" spans="1:15" s="93" customFormat="1" ht="27">
      <c r="A28" s="243" t="s">
        <v>153</v>
      </c>
      <c r="B28" s="244"/>
      <c r="C28" s="245"/>
      <c r="D28" s="270" t="s">
        <v>154</v>
      </c>
      <c r="E28" s="350">
        <f>G15</f>
        <v>950</v>
      </c>
      <c r="F28" s="152">
        <v>52</v>
      </c>
      <c r="G28" s="153">
        <f>E28*F28</f>
        <v>49400</v>
      </c>
      <c r="H28" s="111">
        <f>G28+'28'!H28</f>
        <v>1408547.5</v>
      </c>
      <c r="I28" s="156"/>
      <c r="J28" s="203">
        <f>H28/DAY(B2)</f>
        <v>48570.603448275862</v>
      </c>
      <c r="K28" s="65"/>
      <c r="L28" s="94"/>
      <c r="N28" s="420"/>
      <c r="O28" s="420"/>
    </row>
    <row r="29" spans="1:15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G30+'28'!H30</f>
        <v>259880</v>
      </c>
      <c r="I30" s="156"/>
      <c r="J30" s="203">
        <f>H30/DAY(B2)</f>
        <v>8961.3793103448279</v>
      </c>
      <c r="K30" s="65"/>
      <c r="L30" s="94"/>
      <c r="N30" s="420"/>
      <c r="O30" s="420"/>
    </row>
    <row r="31" spans="1:15" s="93" customFormat="1" ht="27">
      <c r="A31" s="243" t="s">
        <v>159</v>
      </c>
      <c r="B31" s="244"/>
      <c r="C31" s="245"/>
      <c r="D31" s="270" t="s">
        <v>143</v>
      </c>
      <c r="E31" s="350">
        <f>G18</f>
        <v>140</v>
      </c>
      <c r="F31" s="350">
        <v>80</v>
      </c>
      <c r="G31" s="153">
        <f>E31*F31</f>
        <v>11200</v>
      </c>
      <c r="H31" s="111">
        <f>G31+'28'!H31</f>
        <v>341600</v>
      </c>
      <c r="I31" s="156"/>
      <c r="J31" s="203">
        <f>H31/DAY(B2)</f>
        <v>11779.310344827587</v>
      </c>
      <c r="K31" s="65"/>
      <c r="L31" s="94"/>
      <c r="N31" s="420"/>
      <c r="O31" s="420"/>
    </row>
    <row r="32" spans="1:15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277107</v>
      </c>
      <c r="H32" s="111">
        <f>G32+'28'!H32</f>
        <v>1599845.39</v>
      </c>
      <c r="I32" s="160"/>
      <c r="J32" s="203" t="s">
        <v>361</v>
      </c>
      <c r="K32" s="65"/>
      <c r="L32" s="94"/>
      <c r="N32" s="420"/>
      <c r="O32" s="420"/>
    </row>
    <row r="33" spans="1:15" ht="25.5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</row>
    <row r="34" spans="1:15">
      <c r="A34" s="249" t="s">
        <v>162</v>
      </c>
      <c r="B34" s="776"/>
      <c r="C34" s="776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0.69999999995343387</v>
      </c>
      <c r="I35" s="106"/>
      <c r="J35" s="203">
        <f>H35/DAY(B2)</f>
        <v>2.4137931032877029E-2</v>
      </c>
      <c r="K35" s="81"/>
      <c r="L35" s="68"/>
    </row>
    <row r="36" spans="1:15">
      <c r="A36" s="229" t="s">
        <v>164</v>
      </c>
      <c r="B36" s="230"/>
      <c r="C36" s="230"/>
      <c r="D36" s="174" t="s">
        <v>131</v>
      </c>
      <c r="E36" s="392">
        <f>'28'!F36</f>
        <v>43869</v>
      </c>
      <c r="F36" s="392">
        <v>44995</v>
      </c>
      <c r="G36" s="124">
        <f t="shared" si="3"/>
        <v>1126</v>
      </c>
      <c r="H36" s="111">
        <f>G36+'28'!H36</f>
        <v>-1803</v>
      </c>
      <c r="I36" s="106"/>
      <c r="J36" s="203">
        <f>H36/DAY(B2)</f>
        <v>-62.172413793103445</v>
      </c>
      <c r="K36" s="81"/>
      <c r="L36" s="68"/>
    </row>
    <row r="37" spans="1:15" s="92" customFormat="1">
      <c r="A37" s="753" t="s">
        <v>165</v>
      </c>
      <c r="B37" s="757"/>
      <c r="C37" s="757"/>
      <c r="D37" s="278" t="s">
        <v>131</v>
      </c>
      <c r="E37" s="393">
        <f>'28'!F37</f>
        <v>221278</v>
      </c>
      <c r="F37" s="393">
        <v>222885</v>
      </c>
      <c r="G37" s="303">
        <f t="shared" si="3"/>
        <v>1607</v>
      </c>
      <c r="H37" s="356">
        <f>G37+'28'!H37</f>
        <v>-3288</v>
      </c>
      <c r="I37" s="357"/>
      <c r="J37" s="358">
        <f>H37/DAY(B2)</f>
        <v>-113.37931034482759</v>
      </c>
      <c r="K37" s="755"/>
      <c r="L37" s="756"/>
      <c r="N37" s="421"/>
      <c r="O37" s="421"/>
    </row>
    <row r="38" spans="1:15" s="92" customFormat="1">
      <c r="A38" s="753" t="s">
        <v>166</v>
      </c>
      <c r="B38" s="757"/>
      <c r="C38" s="757"/>
      <c r="D38" s="278" t="s">
        <v>131</v>
      </c>
      <c r="E38" s="393">
        <f>'28'!F38</f>
        <v>243471</v>
      </c>
      <c r="F38" s="758">
        <v>245114</v>
      </c>
      <c r="G38" s="303">
        <f t="shared" si="3"/>
        <v>1643</v>
      </c>
      <c r="H38" s="356">
        <f>G38+'28'!H38</f>
        <v>-3445</v>
      </c>
      <c r="I38" s="357"/>
      <c r="J38" s="358">
        <f>H38/DAY(B2)</f>
        <v>-118.79310344827586</v>
      </c>
      <c r="K38" s="755"/>
      <c r="L38" s="756"/>
      <c r="N38" s="421"/>
      <c r="O38" s="421"/>
    </row>
    <row r="39" spans="1:15" s="92" customFormat="1">
      <c r="A39" s="753" t="s">
        <v>167</v>
      </c>
      <c r="B39" s="757"/>
      <c r="C39" s="757"/>
      <c r="D39" s="278" t="s">
        <v>131</v>
      </c>
      <c r="E39" s="393">
        <f>'28'!F39</f>
        <v>509046</v>
      </c>
      <c r="F39" s="393">
        <v>512863</v>
      </c>
      <c r="G39" s="303">
        <f t="shared" si="3"/>
        <v>3817</v>
      </c>
      <c r="H39" s="356">
        <f>G39+'28'!H39</f>
        <v>-7655</v>
      </c>
      <c r="I39" s="357"/>
      <c r="J39" s="358">
        <f>H39/DAY(B2)</f>
        <v>-263.9655172413793</v>
      </c>
      <c r="K39" s="755"/>
      <c r="L39" s="756"/>
      <c r="N39" s="421"/>
      <c r="O39" s="421"/>
    </row>
    <row r="40" spans="1:15" s="92" customFormat="1">
      <c r="A40" s="759" t="s">
        <v>168</v>
      </c>
      <c r="B40" s="760"/>
      <c r="C40" s="760"/>
      <c r="D40" s="278" t="s">
        <v>131</v>
      </c>
      <c r="E40" s="393">
        <f>'28'!F40</f>
        <v>18733</v>
      </c>
      <c r="F40" s="393">
        <v>19128</v>
      </c>
      <c r="G40" s="303">
        <f t="shared" si="3"/>
        <v>395</v>
      </c>
      <c r="H40" s="356">
        <f>G40+'28'!H40</f>
        <v>-1045</v>
      </c>
      <c r="I40" s="357"/>
      <c r="J40" s="358">
        <f>H40/DAY(B2)</f>
        <v>-36.03448275862069</v>
      </c>
      <c r="K40" s="761"/>
      <c r="L40" s="756"/>
      <c r="N40" s="421"/>
      <c r="O40" s="421"/>
    </row>
    <row r="41" spans="1:15" s="92" customFormat="1">
      <c r="A41" s="753" t="s">
        <v>169</v>
      </c>
      <c r="B41" s="757"/>
      <c r="C41" s="757"/>
      <c r="D41" s="278" t="s">
        <v>131</v>
      </c>
      <c r="E41" s="393">
        <f>'28'!F41</f>
        <v>366840</v>
      </c>
      <c r="F41" s="393">
        <v>366840</v>
      </c>
      <c r="G41" s="303">
        <f>F41-E41</f>
        <v>0</v>
      </c>
      <c r="H41" s="356">
        <f>G41+'28'!H41</f>
        <v>0</v>
      </c>
      <c r="I41" s="357"/>
      <c r="J41" s="358">
        <f>H41/DAY(B2)</f>
        <v>0</v>
      </c>
      <c r="K41" s="755"/>
      <c r="L41" s="756"/>
      <c r="N41" s="421"/>
      <c r="O41" s="421"/>
    </row>
    <row r="42" spans="1:15">
      <c r="A42" s="229" t="s">
        <v>170</v>
      </c>
      <c r="B42" s="230"/>
      <c r="C42" s="230"/>
      <c r="D42" s="174" t="s">
        <v>131</v>
      </c>
      <c r="E42" s="392">
        <f>'28'!F42</f>
        <v>107503</v>
      </c>
      <c r="F42" s="392">
        <v>111473</v>
      </c>
      <c r="G42" s="124">
        <f t="shared" si="3"/>
        <v>3970</v>
      </c>
      <c r="H42" s="111">
        <f>G42+'28'!H42</f>
        <v>-4039</v>
      </c>
      <c r="I42" s="106"/>
      <c r="J42" s="203">
        <f>H42/DAY(B2)</f>
        <v>-139.27586206896552</v>
      </c>
      <c r="K42" s="81"/>
      <c r="L42" s="68"/>
    </row>
    <row r="43" spans="1:15">
      <c r="A43" s="229" t="s">
        <v>171</v>
      </c>
      <c r="B43" s="230"/>
      <c r="C43" s="230"/>
      <c r="D43" s="174" t="s">
        <v>131</v>
      </c>
      <c r="E43" s="392">
        <f>'28'!F43</f>
        <v>1196199</v>
      </c>
      <c r="F43" s="392">
        <v>1198997</v>
      </c>
      <c r="G43" s="124">
        <f t="shared" si="3"/>
        <v>2798</v>
      </c>
      <c r="H43" s="111">
        <f>G43+'28'!H43</f>
        <v>-5464</v>
      </c>
      <c r="I43" s="106"/>
      <c r="J43" s="203">
        <f>H43/DAY(B2)</f>
        <v>-188.41379310344828</v>
      </c>
      <c r="K43" s="81"/>
      <c r="L43" s="68"/>
    </row>
    <row r="44" spans="1:15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15356</v>
      </c>
      <c r="H47" s="111">
        <f>G47+'28'!H47</f>
        <v>-25937.30000000009</v>
      </c>
      <c r="I47" s="106"/>
      <c r="J47" s="203">
        <f>H47/DAY(B2)</f>
        <v>-894.38965517241695</v>
      </c>
      <c r="K47" s="81"/>
      <c r="L47" s="68"/>
    </row>
    <row r="48" spans="1:15">
      <c r="A48" s="249" t="s">
        <v>176</v>
      </c>
      <c r="B48" s="776"/>
      <c r="C48" s="776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>
      <c r="A49" s="753" t="s">
        <v>163</v>
      </c>
      <c r="B49" s="754"/>
      <c r="C49" s="754"/>
      <c r="D49" s="278" t="s">
        <v>131</v>
      </c>
      <c r="E49" s="393">
        <f>'28'!F49</f>
        <v>314988</v>
      </c>
      <c r="F49" s="393">
        <v>318012</v>
      </c>
      <c r="G49" s="303">
        <f t="shared" ref="G49:G58" si="4">F49-E49</f>
        <v>3024</v>
      </c>
      <c r="H49" s="356">
        <f>G49+'28'!H49</f>
        <v>-9026</v>
      </c>
      <c r="I49" s="357"/>
      <c r="J49" s="358">
        <f>H49/DAY(B2)</f>
        <v>-311.24137931034483</v>
      </c>
      <c r="K49" s="755"/>
      <c r="L49" s="756"/>
      <c r="N49" s="421"/>
      <c r="O49" s="421"/>
    </row>
    <row r="50" spans="1:15" s="92" customFormat="1">
      <c r="A50" s="753" t="s">
        <v>177</v>
      </c>
      <c r="B50" s="754" t="s">
        <v>276</v>
      </c>
      <c r="C50" s="754"/>
      <c r="D50" s="278" t="s">
        <v>131</v>
      </c>
      <c r="E50" s="393">
        <f>'28'!F50</f>
        <v>566739</v>
      </c>
      <c r="F50" s="393">
        <v>567719</v>
      </c>
      <c r="G50" s="303">
        <f t="shared" si="4"/>
        <v>980</v>
      </c>
      <c r="H50" s="356">
        <f>G50+'28'!H50</f>
        <v>-3098</v>
      </c>
      <c r="I50" s="357"/>
      <c r="J50" s="358">
        <f>H50/DAY(B2)</f>
        <v>-106.82758620689656</v>
      </c>
      <c r="K50" s="755"/>
      <c r="L50" s="756"/>
      <c r="N50" s="421"/>
      <c r="O50" s="421"/>
    </row>
    <row r="51" spans="1:15" s="92" customFormat="1">
      <c r="A51" s="753" t="s">
        <v>165</v>
      </c>
      <c r="B51" s="754"/>
      <c r="C51" s="754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-0.13000000000465661</v>
      </c>
      <c r="I51" s="357"/>
      <c r="J51" s="358">
        <f>H51/DAY(B2)</f>
        <v>-4.4827586208502279E-3</v>
      </c>
      <c r="K51" s="755"/>
      <c r="L51" s="756"/>
      <c r="N51" s="421"/>
      <c r="O51" s="421"/>
    </row>
    <row r="52" spans="1:15" s="92" customFormat="1">
      <c r="A52" s="753" t="s">
        <v>178</v>
      </c>
      <c r="B52" s="754"/>
      <c r="C52" s="754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55"/>
      <c r="L52" s="756"/>
      <c r="N52" s="421"/>
      <c r="O52" s="421"/>
    </row>
    <row r="53" spans="1:15" s="92" customFormat="1">
      <c r="A53" s="753" t="s">
        <v>167</v>
      </c>
      <c r="B53" s="754"/>
      <c r="C53" s="754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-0.33000000001629815</v>
      </c>
      <c r="I53" s="357"/>
      <c r="J53" s="358">
        <f>H53/DAY(B2)</f>
        <v>-1.1379310345389592E-2</v>
      </c>
      <c r="K53" s="755"/>
      <c r="L53" s="756"/>
      <c r="N53" s="421"/>
      <c r="O53" s="421"/>
    </row>
    <row r="54" spans="1:15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0</v>
      </c>
      <c r="I54" s="106"/>
      <c r="J54" s="203">
        <f>H54/DAY(B2)</f>
        <v>0</v>
      </c>
      <c r="K54" s="81"/>
      <c r="L54" s="68"/>
    </row>
    <row r="55" spans="1:15">
      <c r="A55" s="229" t="s">
        <v>180</v>
      </c>
      <c r="B55" s="252"/>
      <c r="C55" s="252"/>
      <c r="D55" s="174" t="s">
        <v>131</v>
      </c>
      <c r="E55" s="393">
        <f>'28'!F55</f>
        <v>222380</v>
      </c>
      <c r="F55" s="393">
        <v>225654</v>
      </c>
      <c r="G55" s="303">
        <f t="shared" si="4"/>
        <v>3274</v>
      </c>
      <c r="H55" s="356">
        <f>G55+'28'!H55</f>
        <v>-11532</v>
      </c>
      <c r="I55" s="357"/>
      <c r="J55" s="358">
        <f>H55/DAY(B2)</f>
        <v>-397.65517241379308</v>
      </c>
      <c r="K55" s="81"/>
      <c r="L55" s="68"/>
    </row>
    <row r="56" spans="1:15">
      <c r="A56" s="229" t="s">
        <v>181</v>
      </c>
      <c r="B56" s="252"/>
      <c r="C56" s="252"/>
      <c r="D56" s="174" t="s">
        <v>182</v>
      </c>
      <c r="E56" s="393">
        <f>'28'!F56</f>
        <v>649327</v>
      </c>
      <c r="F56" s="393">
        <v>649338</v>
      </c>
      <c r="G56" s="124">
        <f t="shared" si="4"/>
        <v>11</v>
      </c>
      <c r="H56" s="111">
        <f>G56+'28'!H56</f>
        <v>-34</v>
      </c>
      <c r="I56" s="106"/>
      <c r="J56" s="203">
        <f>H56/DAY(B2)</f>
        <v>-1.1724137931034482</v>
      </c>
      <c r="K56" s="80"/>
      <c r="L56" s="68"/>
    </row>
    <row r="57" spans="1:15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>
      <c r="A58" s="229" t="s">
        <v>183</v>
      </c>
      <c r="B58" s="252"/>
      <c r="C58" s="252"/>
      <c r="D58" s="174" t="s">
        <v>131</v>
      </c>
      <c r="E58" s="393">
        <f>'28'!F58</f>
        <v>59054</v>
      </c>
      <c r="F58" s="393">
        <v>59251</v>
      </c>
      <c r="G58" s="124">
        <f t="shared" si="4"/>
        <v>197</v>
      </c>
      <c r="H58" s="111">
        <f>G58+'28'!H58</f>
        <v>-640</v>
      </c>
      <c r="I58" s="106"/>
      <c r="J58" s="203">
        <f>H58/DAY(B2)</f>
        <v>-22.068965517241381</v>
      </c>
      <c r="K58" s="81"/>
      <c r="L58" s="68"/>
    </row>
    <row r="59" spans="1:1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7485.5399999999954</v>
      </c>
      <c r="H59" s="111">
        <f>G59+'28'!H59</f>
        <v>-24330.390000000072</v>
      </c>
      <c r="I59" s="106">
        <f>G7-G60</f>
        <v>408.4600000000064</v>
      </c>
      <c r="J59" s="203">
        <f>H59/DAY(B2)</f>
        <v>-838.97896551724386</v>
      </c>
      <c r="K59" s="81"/>
      <c r="L59" s="68"/>
      <c r="O59" s="420">
        <f>159+122+341+154</f>
        <v>776</v>
      </c>
    </row>
    <row r="60" spans="1:15">
      <c r="A60" s="229"/>
      <c r="B60" s="230"/>
      <c r="C60" s="230"/>
      <c r="D60" s="162" t="s">
        <v>184</v>
      </c>
      <c r="E60" s="121"/>
      <c r="F60" s="121"/>
      <c r="G60" s="132">
        <f>G47+G59</f>
        <v>22841.539999999994</v>
      </c>
      <c r="H60" s="111">
        <f>G60+'28'!H60</f>
        <v>-44690.360000000132</v>
      </c>
      <c r="I60" s="106">
        <f>G13-G60</f>
        <v>-595.5399999999936</v>
      </c>
      <c r="J60" s="203">
        <f>H60/DAY(B2)</f>
        <v>-1541.0468965517287</v>
      </c>
      <c r="K60" s="81"/>
      <c r="L60" s="68"/>
    </row>
    <row r="61" spans="1:1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>
      <c r="A64" s="1181" t="s">
        <v>98</v>
      </c>
      <c r="B64" s="1182"/>
      <c r="C64" s="1183"/>
      <c r="D64" s="174" t="s">
        <v>186</v>
      </c>
      <c r="E64" s="165">
        <f>'28'!F64</f>
        <v>180729</v>
      </c>
      <c r="F64" s="388">
        <v>181134</v>
      </c>
      <c r="G64" s="124">
        <f t="shared" si="5"/>
        <v>405</v>
      </c>
      <c r="H64" s="111">
        <f>G64+'28'!H64</f>
        <v>-726</v>
      </c>
      <c r="I64" s="131"/>
      <c r="J64" s="203">
        <f>H64/DAY(B2)</f>
        <v>-25.03448275862069</v>
      </c>
      <c r="K64" s="81"/>
      <c r="L64" s="68"/>
    </row>
    <row r="65" spans="1:12" ht="27.75">
      <c r="A65" s="1181" t="s">
        <v>99</v>
      </c>
      <c r="B65" s="1182"/>
      <c r="C65" s="1183"/>
      <c r="D65" s="174" t="s">
        <v>186</v>
      </c>
      <c r="E65" s="165">
        <f>'28'!F65</f>
        <v>181013</v>
      </c>
      <c r="F65" s="395">
        <v>181412</v>
      </c>
      <c r="G65" s="124">
        <f t="shared" si="5"/>
        <v>399</v>
      </c>
      <c r="H65" s="111">
        <f>G65+'28'!H65</f>
        <v>-797</v>
      </c>
      <c r="I65" s="140"/>
      <c r="J65" s="203">
        <f>H65/DAY(B2)</f>
        <v>-27.482758620689655</v>
      </c>
      <c r="K65" s="81"/>
      <c r="L65" s="68"/>
    </row>
    <row r="66" spans="1:12" ht="27.75">
      <c r="A66" s="1181" t="s">
        <v>100</v>
      </c>
      <c r="B66" s="1182"/>
      <c r="C66" s="1183"/>
      <c r="D66" s="174" t="s">
        <v>186</v>
      </c>
      <c r="E66" s="165">
        <f>'28'!F66</f>
        <v>79435</v>
      </c>
      <c r="F66" s="388">
        <v>79841</v>
      </c>
      <c r="G66" s="124">
        <f t="shared" si="5"/>
        <v>406</v>
      </c>
      <c r="H66" s="111">
        <f>G66+'28'!H66</f>
        <v>-831</v>
      </c>
      <c r="I66" s="131"/>
      <c r="J66" s="203">
        <f>H66/DAY(B2)</f>
        <v>-28.655172413793103</v>
      </c>
      <c r="K66" s="81"/>
      <c r="L66" s="68"/>
    </row>
    <row r="67" spans="1:12" ht="27.75">
      <c r="A67" s="1181" t="s">
        <v>101</v>
      </c>
      <c r="B67" s="1182"/>
      <c r="C67" s="1183"/>
      <c r="D67" s="174" t="s">
        <v>186</v>
      </c>
      <c r="E67" s="165">
        <f>'28'!F67</f>
        <v>278486</v>
      </c>
      <c r="F67" s="388">
        <v>278995</v>
      </c>
      <c r="G67" s="124">
        <f t="shared" si="5"/>
        <v>509</v>
      </c>
      <c r="H67" s="111">
        <f>G67+'28'!H67</f>
        <v>-1063</v>
      </c>
      <c r="I67" s="140"/>
      <c r="J67" s="203">
        <f>H67/DAY(B2)</f>
        <v>-36.655172413793103</v>
      </c>
      <c r="K67" s="82"/>
      <c r="L67" s="68"/>
    </row>
    <row r="68" spans="1:12" ht="27.75">
      <c r="A68" s="1181" t="s">
        <v>102</v>
      </c>
      <c r="B68" s="1182"/>
      <c r="C68" s="1183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>
      <c r="A69" s="1181" t="s">
        <v>103</v>
      </c>
      <c r="B69" s="1182"/>
      <c r="C69" s="1183"/>
      <c r="D69" s="174" t="s">
        <v>186</v>
      </c>
      <c r="E69" s="165">
        <f>'28'!F69</f>
        <v>95523</v>
      </c>
      <c r="F69" s="388">
        <v>95873</v>
      </c>
      <c r="G69" s="124">
        <f t="shared" si="5"/>
        <v>350</v>
      </c>
      <c r="H69" s="111">
        <f>G69+'28'!H69</f>
        <v>-684</v>
      </c>
      <c r="I69" s="167"/>
      <c r="J69" s="203">
        <f>H69/DAY(B2)</f>
        <v>-23.586206896551722</v>
      </c>
      <c r="K69" s="84"/>
      <c r="L69" s="68"/>
    </row>
    <row r="70" spans="1:12" ht="27.75">
      <c r="A70" s="1222" t="s">
        <v>188</v>
      </c>
      <c r="B70" s="1223"/>
      <c r="C70" s="1224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</row>
    <row r="72" spans="1:12" ht="27.75">
      <c r="A72" s="1181" t="s">
        <v>190</v>
      </c>
      <c r="B72" s="1182"/>
      <c r="C72" s="1183"/>
      <c r="D72" s="174" t="s">
        <v>186</v>
      </c>
      <c r="E72" s="413">
        <f>'28'!F72</f>
        <v>856569</v>
      </c>
      <c r="F72" s="397">
        <v>856582</v>
      </c>
      <c r="G72" s="124">
        <f t="shared" ref="G72:G84" si="6">F72-E72</f>
        <v>13</v>
      </c>
      <c r="H72" s="111">
        <f>G72+'28'!H72</f>
        <v>-41</v>
      </c>
      <c r="I72" s="131"/>
      <c r="J72" s="203">
        <f>H72/DAY(B2)</f>
        <v>-1.4137931034482758</v>
      </c>
      <c r="K72" s="84"/>
      <c r="L72" s="68"/>
    </row>
    <row r="73" spans="1:12" ht="27.75">
      <c r="A73" s="1181" t="s">
        <v>191</v>
      </c>
      <c r="B73" s="1182"/>
      <c r="C73" s="1183"/>
      <c r="D73" s="174" t="s">
        <v>186</v>
      </c>
      <c r="E73" s="413">
        <f>'28'!F73</f>
        <v>886009</v>
      </c>
      <c r="F73" s="398">
        <v>886010</v>
      </c>
      <c r="G73" s="303">
        <f>F73-E73</f>
        <v>1</v>
      </c>
      <c r="H73" s="111">
        <f>G73+'28'!H73</f>
        <v>154</v>
      </c>
      <c r="I73" s="131"/>
      <c r="J73" s="203">
        <f>H73/DAY(B2)</f>
        <v>5.3103448275862073</v>
      </c>
      <c r="K73" s="83"/>
      <c r="L73" s="68"/>
    </row>
    <row r="74" spans="1:12" ht="27.75">
      <c r="A74" s="1181" t="s">
        <v>192</v>
      </c>
      <c r="B74" s="1182"/>
      <c r="C74" s="1183"/>
      <c r="D74" s="174" t="s">
        <v>186</v>
      </c>
      <c r="E74" s="413">
        <f>'28'!F74</f>
        <v>88729</v>
      </c>
      <c r="F74" s="398">
        <v>88731</v>
      </c>
      <c r="G74" s="124">
        <f t="shared" si="6"/>
        <v>2</v>
      </c>
      <c r="H74" s="111">
        <f>G74+'28'!H74</f>
        <v>70</v>
      </c>
      <c r="I74" s="131"/>
      <c r="J74" s="203">
        <f>H74/DAY(B2)</f>
        <v>2.4137931034482758</v>
      </c>
      <c r="K74" s="84"/>
      <c r="L74" s="68"/>
    </row>
    <row r="75" spans="1:12" ht="27.75">
      <c r="A75" s="1184" t="s">
        <v>193</v>
      </c>
      <c r="B75" s="1185"/>
      <c r="C75" s="1186"/>
      <c r="D75" s="174" t="s">
        <v>186</v>
      </c>
      <c r="E75" s="413">
        <f>'28'!F75</f>
        <v>20429</v>
      </c>
      <c r="F75" s="398">
        <v>20588</v>
      </c>
      <c r="G75" s="124">
        <f t="shared" si="6"/>
        <v>159</v>
      </c>
      <c r="H75" s="111">
        <f>G75+'28'!H75</f>
        <v>-359</v>
      </c>
      <c r="I75" s="131"/>
      <c r="J75" s="203">
        <f>H75/DAY(B2)</f>
        <v>-12.379310344827585</v>
      </c>
      <c r="K75" s="83"/>
      <c r="L75" s="68"/>
    </row>
    <row r="76" spans="1:12" ht="27.75">
      <c r="A76" s="1184" t="s">
        <v>194</v>
      </c>
      <c r="B76" s="1185"/>
      <c r="C76" s="1186"/>
      <c r="D76" s="174" t="s">
        <v>186</v>
      </c>
      <c r="E76" s="413">
        <f>'28'!F76</f>
        <v>11211</v>
      </c>
      <c r="F76" s="398">
        <v>11284</v>
      </c>
      <c r="G76" s="124">
        <f t="shared" si="6"/>
        <v>73</v>
      </c>
      <c r="H76" s="111">
        <f>G76+'28'!H76</f>
        <v>1358.6000000000004</v>
      </c>
      <c r="I76" s="156"/>
      <c r="J76" s="203">
        <f>H76/DAY(B2)</f>
        <v>46.848275862068981</v>
      </c>
      <c r="K76" s="83"/>
      <c r="L76" s="68"/>
    </row>
    <row r="77" spans="1:12" ht="27.75">
      <c r="A77" s="1181" t="s">
        <v>195</v>
      </c>
      <c r="B77" s="1182"/>
      <c r="C77" s="1183"/>
      <c r="D77" s="174" t="s">
        <v>186</v>
      </c>
      <c r="E77" s="413">
        <f>'28'!F77</f>
        <v>706269</v>
      </c>
      <c r="F77" s="398">
        <v>706327</v>
      </c>
      <c r="G77" s="303">
        <f t="shared" si="6"/>
        <v>58</v>
      </c>
      <c r="H77" s="111">
        <f>G77+'28'!H77</f>
        <v>-126</v>
      </c>
      <c r="I77" s="156"/>
      <c r="J77" s="203">
        <f>H77/DAY(B2)</f>
        <v>-4.3448275862068968</v>
      </c>
      <c r="K77" s="83"/>
      <c r="L77" s="68"/>
    </row>
    <row r="78" spans="1:12" ht="27.75">
      <c r="A78" s="774" t="s">
        <v>196</v>
      </c>
      <c r="B78" s="766"/>
      <c r="C78" s="766"/>
      <c r="D78" s="174" t="s">
        <v>186</v>
      </c>
      <c r="E78" s="413">
        <f>'28'!F78</f>
        <v>678366</v>
      </c>
      <c r="F78" s="398">
        <v>678496</v>
      </c>
      <c r="G78" s="303">
        <f t="shared" si="6"/>
        <v>130</v>
      </c>
      <c r="H78" s="111">
        <f>G78+'28'!H78</f>
        <v>-357</v>
      </c>
      <c r="I78" s="156"/>
      <c r="J78" s="203">
        <f>H78/DAY(B2)</f>
        <v>-12.310344827586206</v>
      </c>
      <c r="K78" s="83"/>
      <c r="L78" s="68"/>
    </row>
    <row r="79" spans="1:12" ht="27.75">
      <c r="A79" s="1184" t="s">
        <v>91</v>
      </c>
      <c r="B79" s="1185"/>
      <c r="C79" s="1186"/>
      <c r="D79" s="175" t="s">
        <v>186</v>
      </c>
      <c r="E79" s="413">
        <f>'28'!F79</f>
        <v>839767</v>
      </c>
      <c r="F79" s="399">
        <v>839915</v>
      </c>
      <c r="G79" s="124">
        <f t="shared" si="6"/>
        <v>148</v>
      </c>
      <c r="H79" s="111">
        <f>G79+'28'!H79</f>
        <v>-767</v>
      </c>
      <c r="I79" s="156"/>
      <c r="J79" s="203">
        <f>H79/DAY(B2)</f>
        <v>-26.448275862068964</v>
      </c>
      <c r="K79" s="83"/>
      <c r="L79" s="68"/>
    </row>
    <row r="80" spans="1:12" ht="27.75">
      <c r="A80" s="1184" t="s">
        <v>197</v>
      </c>
      <c r="B80" s="1185"/>
      <c r="C80" s="1186"/>
      <c r="D80" s="175" t="s">
        <v>186</v>
      </c>
      <c r="E80" s="413">
        <f>'28'!F80</f>
        <v>550747</v>
      </c>
      <c r="F80" s="398">
        <v>551128</v>
      </c>
      <c r="G80" s="124">
        <f t="shared" si="6"/>
        <v>381</v>
      </c>
      <c r="H80" s="111">
        <f>G80+'28'!H80</f>
        <v>-4078</v>
      </c>
      <c r="I80" s="156"/>
      <c r="J80" s="203">
        <f>H80/DAY(B2)</f>
        <v>-140.62068965517241</v>
      </c>
      <c r="K80" s="83"/>
      <c r="L80" s="68"/>
    </row>
    <row r="81" spans="1:15" ht="27.75">
      <c r="A81" s="1184" t="s">
        <v>198</v>
      </c>
      <c r="B81" s="1185"/>
      <c r="C81" s="1186"/>
      <c r="D81" s="175" t="s">
        <v>186</v>
      </c>
      <c r="E81" s="413">
        <f>'28'!F81</f>
        <v>648448</v>
      </c>
      <c r="F81" s="398">
        <v>648645</v>
      </c>
      <c r="G81" s="124">
        <f t="shared" si="6"/>
        <v>197</v>
      </c>
      <c r="H81" s="111">
        <f>G81+'28'!H81</f>
        <v>-373</v>
      </c>
      <c r="I81" s="156"/>
      <c r="J81" s="203">
        <f>H81/DAY(B2)</f>
        <v>-12.862068965517242</v>
      </c>
      <c r="K81" s="83"/>
      <c r="L81" s="68"/>
    </row>
    <row r="82" spans="1:15" ht="27.75">
      <c r="A82" s="1184" t="s">
        <v>92</v>
      </c>
      <c r="B82" s="1185"/>
      <c r="C82" s="1186"/>
      <c r="D82" s="136" t="s">
        <v>131</v>
      </c>
      <c r="E82" s="413">
        <f>'28'!F82</f>
        <v>109268</v>
      </c>
      <c r="F82" s="395">
        <v>109295</v>
      </c>
      <c r="G82" s="124">
        <f t="shared" si="6"/>
        <v>27</v>
      </c>
      <c r="H82" s="111">
        <f>G82+'28'!H82</f>
        <v>-41</v>
      </c>
      <c r="I82" s="137"/>
      <c r="J82" s="203">
        <f>H82/DAY(B2)</f>
        <v>-1.4137931034482758</v>
      </c>
      <c r="K82" s="83"/>
      <c r="L82" s="68"/>
    </row>
    <row r="83" spans="1:15" ht="27.75">
      <c r="A83" s="1184" t="s">
        <v>199</v>
      </c>
      <c r="B83" s="1185"/>
      <c r="C83" s="1186"/>
      <c r="D83" s="271" t="s">
        <v>131</v>
      </c>
      <c r="E83" s="413">
        <f>'28'!F83</f>
        <v>34091</v>
      </c>
      <c r="F83" s="121">
        <v>34387</v>
      </c>
      <c r="G83" s="124">
        <f t="shared" si="6"/>
        <v>296</v>
      </c>
      <c r="H83" s="111">
        <f>G83+'28'!H83</f>
        <v>-638</v>
      </c>
      <c r="I83" s="132"/>
      <c r="J83" s="203">
        <f>H83/DAY(B2)</f>
        <v>-22</v>
      </c>
      <c r="K83" s="82"/>
      <c r="L83" s="68"/>
    </row>
    <row r="84" spans="1:15">
      <c r="A84" s="775" t="s">
        <v>200</v>
      </c>
      <c r="B84" s="222"/>
      <c r="C84" s="222"/>
      <c r="D84" s="129" t="s">
        <v>131</v>
      </c>
      <c r="E84" s="413">
        <f>'28'!F84</f>
        <v>544978</v>
      </c>
      <c r="F84" s="356">
        <v>545771</v>
      </c>
      <c r="G84" s="124">
        <f t="shared" si="6"/>
        <v>793</v>
      </c>
      <c r="H84" s="111">
        <f>G84+'28'!H84</f>
        <v>-1622</v>
      </c>
      <c r="I84" s="132"/>
      <c r="J84" s="203">
        <f>H84/DAY(B2)</f>
        <v>-55.931034482758619</v>
      </c>
      <c r="K84" s="71"/>
      <c r="L84" s="68"/>
    </row>
    <row r="85" spans="1:15" s="70" customFormat="1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2278</v>
      </c>
      <c r="H85" s="111">
        <f>G85+'28'!H85</f>
        <v>-4742.9999999999964</v>
      </c>
      <c r="I85" s="132"/>
      <c r="J85" s="203">
        <f>H85/DAY(B2)</f>
        <v>-163.5517241379309</v>
      </c>
      <c r="K85" s="71"/>
      <c r="L85" s="69"/>
      <c r="N85" s="420"/>
      <c r="O85" s="420"/>
    </row>
    <row r="86" spans="1:15" s="386" customFormat="1">
      <c r="A86" s="381" t="s">
        <v>93</v>
      </c>
      <c r="B86" s="382"/>
      <c r="C86" s="382"/>
      <c r="D86" s="383" t="s">
        <v>182</v>
      </c>
      <c r="E86" s="356">
        <f>'28'!F86</f>
        <v>462465</v>
      </c>
      <c r="F86" s="400">
        <v>462474</v>
      </c>
      <c r="G86" s="356">
        <f t="shared" ref="G86:G91" si="7">F86-E86</f>
        <v>9</v>
      </c>
      <c r="H86" s="356">
        <f t="shared" ref="H86:H88" si="8">G86</f>
        <v>9</v>
      </c>
      <c r="I86" s="303"/>
      <c r="J86" s="358">
        <f>H86/DAY(B2)</f>
        <v>0.31034482758620691</v>
      </c>
      <c r="K86" s="384"/>
      <c r="L86" s="385"/>
      <c r="N86" s="421"/>
      <c r="O86" s="421"/>
    </row>
    <row r="87" spans="1:15" s="386" customFormat="1">
      <c r="A87" s="381" t="s">
        <v>94</v>
      </c>
      <c r="B87" s="382"/>
      <c r="C87" s="382"/>
      <c r="D87" s="383" t="s">
        <v>182</v>
      </c>
      <c r="E87" s="356">
        <f>'28'!F87</f>
        <v>82857</v>
      </c>
      <c r="F87" s="400">
        <v>82896</v>
      </c>
      <c r="G87" s="356">
        <f t="shared" si="7"/>
        <v>39</v>
      </c>
      <c r="H87" s="356">
        <f t="shared" si="8"/>
        <v>39</v>
      </c>
      <c r="I87" s="303"/>
      <c r="J87" s="358">
        <f>H87/DAY(B2)</f>
        <v>1.3448275862068966</v>
      </c>
      <c r="K87" s="384"/>
      <c r="L87" s="385"/>
      <c r="N87" s="421"/>
      <c r="O87" s="421"/>
    </row>
    <row r="88" spans="1:15" s="386" customFormat="1">
      <c r="A88" s="381" t="s">
        <v>95</v>
      </c>
      <c r="B88" s="382"/>
      <c r="C88" s="382"/>
      <c r="D88" s="383" t="s">
        <v>182</v>
      </c>
      <c r="E88" s="356">
        <f>'28'!F88</f>
        <v>158159</v>
      </c>
      <c r="F88" s="400">
        <v>158182</v>
      </c>
      <c r="G88" s="356">
        <f t="shared" si="7"/>
        <v>23</v>
      </c>
      <c r="H88" s="356">
        <f t="shared" si="8"/>
        <v>23</v>
      </c>
      <c r="I88" s="303"/>
      <c r="J88" s="358">
        <f>H88/DAY(B2)</f>
        <v>0.7931034482758621</v>
      </c>
      <c r="K88" s="384"/>
      <c r="L88" s="385"/>
      <c r="N88" s="421">
        <f>122+359</f>
        <v>481</v>
      </c>
      <c r="O88" s="421"/>
    </row>
    <row r="89" spans="1:15" s="386" customFormat="1">
      <c r="A89" s="381" t="s">
        <v>203</v>
      </c>
      <c r="B89" s="382"/>
      <c r="C89" s="382"/>
      <c r="D89" s="383" t="s">
        <v>182</v>
      </c>
      <c r="E89" s="356">
        <f>'28'!F89</f>
        <v>66934</v>
      </c>
      <c r="F89" s="298">
        <v>66996</v>
      </c>
      <c r="G89" s="356">
        <f t="shared" si="7"/>
        <v>62</v>
      </c>
      <c r="H89" s="356">
        <f>G89</f>
        <v>62</v>
      </c>
      <c r="I89" s="303"/>
      <c r="J89" s="358">
        <f>H89/DAY(B2)</f>
        <v>2.1379310344827585</v>
      </c>
      <c r="K89" s="384"/>
      <c r="L89" s="385"/>
    </row>
    <row r="90" spans="1:15" s="386" customFormat="1">
      <c r="A90" s="381" t="s">
        <v>203</v>
      </c>
      <c r="B90" s="382"/>
      <c r="C90" s="382"/>
      <c r="D90" s="383" t="s">
        <v>182</v>
      </c>
      <c r="E90" s="356">
        <f>'28'!F90</f>
        <v>3450</v>
      </c>
      <c r="F90" s="298">
        <v>3455</v>
      </c>
      <c r="G90" s="356">
        <f t="shared" si="7"/>
        <v>5</v>
      </c>
      <c r="H90" s="356">
        <f>G90</f>
        <v>5</v>
      </c>
      <c r="I90" s="303"/>
      <c r="J90" s="358">
        <f>H90/DAY(B2)</f>
        <v>0.17241379310344829</v>
      </c>
      <c r="K90" s="384"/>
      <c r="L90" s="385"/>
    </row>
    <row r="91" spans="1:15" s="386" customFormat="1">
      <c r="A91" s="381" t="s">
        <v>336</v>
      </c>
      <c r="B91" s="382"/>
      <c r="C91" s="382"/>
      <c r="D91" s="383"/>
      <c r="E91" s="356">
        <f>'28'!F91</f>
        <v>28474</v>
      </c>
      <c r="F91" s="298">
        <v>28484</v>
      </c>
      <c r="G91" s="356">
        <f t="shared" si="7"/>
        <v>10</v>
      </c>
      <c r="H91" s="356">
        <f>G91</f>
        <v>10</v>
      </c>
      <c r="I91" s="303"/>
      <c r="J91" s="358">
        <f>H91/DAY(B2)</f>
        <v>0.34482758620689657</v>
      </c>
      <c r="K91" s="384"/>
      <c r="L91" s="385"/>
      <c r="N91" s="428"/>
      <c r="O91" s="73"/>
    </row>
    <row r="92" spans="1:15" s="70" customFormat="1">
      <c r="A92" s="257" t="s">
        <v>204</v>
      </c>
      <c r="B92" s="777"/>
      <c r="C92" s="777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>
      <c r="A93" s="1200" t="s">
        <v>205</v>
      </c>
      <c r="B93" s="1201"/>
      <c r="C93" s="1202"/>
      <c r="D93" s="174" t="s">
        <v>143</v>
      </c>
      <c r="E93" s="409">
        <f>'28'!F93</f>
        <v>250059</v>
      </c>
      <c r="F93" s="388">
        <v>250126</v>
      </c>
      <c r="G93" s="124">
        <f>F93-E93</f>
        <v>67</v>
      </c>
      <c r="H93" s="111">
        <f>G93+'28'!H93</f>
        <v>-188</v>
      </c>
      <c r="I93" s="131"/>
      <c r="J93" s="203">
        <f>H93/DAY(B2)</f>
        <v>-6.4827586206896548</v>
      </c>
      <c r="K93" s="82"/>
      <c r="L93" s="68"/>
    </row>
    <row r="94" spans="1:15" ht="27.75">
      <c r="A94" s="1200" t="s">
        <v>206</v>
      </c>
      <c r="B94" s="1201"/>
      <c r="C94" s="1202"/>
      <c r="D94" s="174" t="s">
        <v>143</v>
      </c>
      <c r="E94" s="409">
        <f>'28'!F94</f>
        <v>192611</v>
      </c>
      <c r="F94" s="388">
        <v>192719</v>
      </c>
      <c r="G94" s="124">
        <f>F94-E94</f>
        <v>108</v>
      </c>
      <c r="H94" s="111">
        <f>G94+'28'!H94</f>
        <v>-179</v>
      </c>
      <c r="I94" s="131"/>
      <c r="J94" s="203">
        <f>H94/DAY(B2)</f>
        <v>-6.1724137931034484</v>
      </c>
      <c r="K94" s="71"/>
      <c r="L94" s="68"/>
    </row>
    <row r="95" spans="1:15">
      <c r="A95" s="1232" t="s">
        <v>207</v>
      </c>
      <c r="B95" s="1233"/>
      <c r="C95" s="1234"/>
      <c r="D95" s="174"/>
      <c r="E95" s="409"/>
      <c r="F95" s="388">
        <v>3</v>
      </c>
      <c r="G95" s="124">
        <f>G93+G94</f>
        <v>175</v>
      </c>
      <c r="H95" s="111">
        <f>G95+'28'!H95</f>
        <v>-673</v>
      </c>
      <c r="I95" s="131"/>
      <c r="J95" s="203">
        <f>H95/DAY(B2)</f>
        <v>-23.206896551724139</v>
      </c>
      <c r="K95" s="71"/>
      <c r="L95" s="68"/>
    </row>
    <row r="96" spans="1:15" ht="27.75">
      <c r="A96" s="1200" t="s">
        <v>208</v>
      </c>
      <c r="B96" s="1201"/>
      <c r="C96" s="1202"/>
      <c r="D96" s="174" t="s">
        <v>143</v>
      </c>
      <c r="E96" s="409">
        <f>'28'!F96</f>
        <v>418314</v>
      </c>
      <c r="F96" s="388">
        <v>418383</v>
      </c>
      <c r="G96" s="124">
        <f t="shared" ref="G96:G101" si="9">F96-E96</f>
        <v>69</v>
      </c>
      <c r="H96" s="111">
        <f>G96+'28'!H96</f>
        <v>-153</v>
      </c>
      <c r="I96" s="131"/>
      <c r="J96" s="203">
        <f>H96/DAY(B2)</f>
        <v>-5.2758620689655169</v>
      </c>
      <c r="K96" s="71"/>
      <c r="L96" s="68"/>
    </row>
    <row r="97" spans="1:15" ht="27.75">
      <c r="A97" s="771" t="s">
        <v>209</v>
      </c>
      <c r="B97" s="772"/>
      <c r="C97" s="772"/>
      <c r="D97" s="174" t="s">
        <v>143</v>
      </c>
      <c r="E97" s="409">
        <f>'28'!F97</f>
        <v>103782</v>
      </c>
      <c r="F97" s="388">
        <v>103802</v>
      </c>
      <c r="G97" s="124">
        <f t="shared" si="9"/>
        <v>20</v>
      </c>
      <c r="H97" s="111">
        <f>G97+'28'!H97</f>
        <v>-47</v>
      </c>
      <c r="I97" s="131"/>
      <c r="J97" s="203">
        <f>H97/DAY(B2)</f>
        <v>-1.6206896551724137</v>
      </c>
      <c r="K97" s="80"/>
      <c r="L97" s="68"/>
    </row>
    <row r="98" spans="1:15" ht="27.75">
      <c r="A98" s="771" t="s">
        <v>210</v>
      </c>
      <c r="B98" s="772"/>
      <c r="C98" s="772"/>
      <c r="D98" s="174" t="s">
        <v>143</v>
      </c>
      <c r="E98" s="409">
        <f>'28'!F98</f>
        <v>99366</v>
      </c>
      <c r="F98" s="388">
        <v>99391</v>
      </c>
      <c r="G98" s="124">
        <f t="shared" si="9"/>
        <v>25</v>
      </c>
      <c r="H98" s="111">
        <f>G98+'28'!H98</f>
        <v>-57</v>
      </c>
      <c r="I98" s="131"/>
      <c r="J98" s="203">
        <f>H98/DAY(B2)</f>
        <v>-1.9655172413793103</v>
      </c>
      <c r="K98" s="85"/>
      <c r="L98" s="68"/>
    </row>
    <row r="99" spans="1:15" ht="27.75">
      <c r="A99" s="771" t="s">
        <v>211</v>
      </c>
      <c r="B99" s="772"/>
      <c r="C99" s="772"/>
      <c r="D99" s="174" t="s">
        <v>143</v>
      </c>
      <c r="E99" s="409">
        <f>'28'!F99</f>
        <v>151183</v>
      </c>
      <c r="F99" s="388">
        <v>151213</v>
      </c>
      <c r="G99" s="124">
        <f t="shared" si="9"/>
        <v>30</v>
      </c>
      <c r="H99" s="111">
        <f>G99+'28'!H99</f>
        <v>-38</v>
      </c>
      <c r="I99" s="131"/>
      <c r="J99" s="203">
        <f>H99/DAY(B2)</f>
        <v>-1.3103448275862069</v>
      </c>
      <c r="K99" s="71"/>
      <c r="L99" s="68"/>
    </row>
    <row r="100" spans="1:15" ht="27.75">
      <c r="A100" s="771" t="s">
        <v>212</v>
      </c>
      <c r="B100" s="772"/>
      <c r="C100" s="772"/>
      <c r="D100" s="174" t="s">
        <v>143</v>
      </c>
      <c r="E100" s="409">
        <f>'28'!F100</f>
        <v>8124</v>
      </c>
      <c r="F100" s="388">
        <v>8131</v>
      </c>
      <c r="G100" s="124">
        <f t="shared" si="9"/>
        <v>7</v>
      </c>
      <c r="H100" s="111">
        <f>G100+'28'!H100</f>
        <v>-34</v>
      </c>
      <c r="I100" s="131"/>
      <c r="J100" s="203">
        <f>H100/DAY(B2)</f>
        <v>-1.1724137931034482</v>
      </c>
      <c r="K100" s="71"/>
      <c r="L100" s="68"/>
    </row>
    <row r="101" spans="1:15" ht="27.75">
      <c r="A101" s="771" t="s">
        <v>213</v>
      </c>
      <c r="B101" s="772"/>
      <c r="C101" s="772"/>
      <c r="D101" s="174" t="s">
        <v>143</v>
      </c>
      <c r="E101" s="409">
        <f>'28'!F101</f>
        <v>5957</v>
      </c>
      <c r="F101" s="388">
        <v>5967</v>
      </c>
      <c r="G101" s="124">
        <f t="shared" si="9"/>
        <v>10</v>
      </c>
      <c r="H101" s="111">
        <f>G101+'28'!H101</f>
        <v>-24</v>
      </c>
      <c r="I101" s="131"/>
      <c r="J101" s="203">
        <f>H101/DAY(B2)</f>
        <v>-0.82758620689655171</v>
      </c>
      <c r="K101" s="71"/>
      <c r="L101" s="68"/>
    </row>
    <row r="102" spans="1:15">
      <c r="A102" s="1232" t="s">
        <v>215</v>
      </c>
      <c r="B102" s="1233"/>
      <c r="C102" s="1234"/>
      <c r="D102" s="175"/>
      <c r="E102" s="137"/>
      <c r="F102" s="137"/>
      <c r="G102" s="176">
        <f>SUM(G96:G101)</f>
        <v>161</v>
      </c>
      <c r="H102" s="111">
        <f>G102+'28'!H102</f>
        <v>-353</v>
      </c>
      <c r="I102" s="177"/>
      <c r="J102" s="203">
        <f>H102/DAY(B2)</f>
        <v>-12.172413793103448</v>
      </c>
      <c r="K102" s="71"/>
      <c r="L102" s="68"/>
    </row>
    <row r="103" spans="1:15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>
      <c r="A104" s="1235" t="s">
        <v>217</v>
      </c>
      <c r="B104" s="1236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>
      <c r="A105" s="1192" t="s">
        <v>218</v>
      </c>
      <c r="B105" s="1193"/>
      <c r="C105" s="770"/>
      <c r="D105" s="273" t="s">
        <v>143</v>
      </c>
      <c r="E105" s="184">
        <f>'28'!F105</f>
        <v>7637</v>
      </c>
      <c r="F105" s="402">
        <v>7637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2.0562068965516964</v>
      </c>
      <c r="N105" s="420"/>
      <c r="O105" s="420"/>
    </row>
    <row r="106" spans="1:15" s="93" customFormat="1" ht="27">
      <c r="A106" s="1192" t="s">
        <v>76</v>
      </c>
      <c r="B106" s="1193"/>
      <c r="C106" s="770"/>
      <c r="D106" s="273" t="s">
        <v>143</v>
      </c>
      <c r="E106" s="184">
        <f>'28'!F106</f>
        <v>36432</v>
      </c>
      <c r="F106" s="311">
        <v>36440</v>
      </c>
      <c r="G106" s="183">
        <f t="shared" ref="G106:G107" si="10">F106-E106</f>
        <v>8</v>
      </c>
      <c r="H106" s="184">
        <f>SUM(G106+'1'!G77)</f>
        <v>67</v>
      </c>
      <c r="I106" s="183"/>
      <c r="J106" s="209">
        <f>H106/DAY(B2)</f>
        <v>2.3103448275862069</v>
      </c>
      <c r="N106" s="420"/>
      <c r="O106" s="420"/>
    </row>
    <row r="107" spans="1:15" s="93" customFormat="1" ht="27">
      <c r="A107" s="1192" t="s">
        <v>77</v>
      </c>
      <c r="B107" s="1237"/>
      <c r="C107" s="1193"/>
      <c r="D107" s="273" t="s">
        <v>143</v>
      </c>
      <c r="E107" s="184">
        <f>'28'!F107</f>
        <v>19946</v>
      </c>
      <c r="F107" s="311">
        <v>19951</v>
      </c>
      <c r="G107" s="183">
        <f t="shared" si="10"/>
        <v>5</v>
      </c>
      <c r="H107" s="184">
        <f>SUM(G107+'1'!G78)</f>
        <v>149</v>
      </c>
      <c r="I107" s="183"/>
      <c r="J107" s="209">
        <f>H107/DAY(B2)</f>
        <v>5.1379310344827589</v>
      </c>
      <c r="N107" s="420"/>
      <c r="O107" s="420"/>
    </row>
    <row r="108" spans="1:15" s="93" customFormat="1" ht="27">
      <c r="A108" s="1194" t="s">
        <v>201</v>
      </c>
      <c r="B108" s="1195"/>
      <c r="C108" s="770"/>
      <c r="D108" s="273"/>
      <c r="E108" s="184">
        <f>'28'!F108</f>
        <v>0</v>
      </c>
      <c r="F108" s="311"/>
      <c r="G108" s="183">
        <f>SUM(G105:G107)</f>
        <v>13</v>
      </c>
      <c r="H108" s="184">
        <f>SUM(G108+'1'!G79)</f>
        <v>156</v>
      </c>
      <c r="I108" s="183"/>
      <c r="J108" s="209">
        <f>H108/DAY(B2)</f>
        <v>5.3793103448275863</v>
      </c>
      <c r="N108" s="420"/>
      <c r="O108" s="420"/>
    </row>
    <row r="109" spans="1:15" s="93" customFormat="1" ht="27">
      <c r="A109" s="1198" t="s">
        <v>78</v>
      </c>
      <c r="B109" s="1199"/>
      <c r="C109" s="770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>
      <c r="A110" s="1192" t="s">
        <v>219</v>
      </c>
      <c r="B110" s="1193"/>
      <c r="C110" s="770"/>
      <c r="D110" s="273" t="s">
        <v>143</v>
      </c>
      <c r="E110" s="184">
        <f>'28'!F110</f>
        <v>66865</v>
      </c>
      <c r="F110" s="311">
        <v>66935</v>
      </c>
      <c r="G110" s="183">
        <f>F110-E110</f>
        <v>70</v>
      </c>
      <c r="H110" s="184">
        <f>SUM(G110+'1'!G81)</f>
        <v>235.56000000005588</v>
      </c>
      <c r="I110" s="183"/>
      <c r="J110" s="209">
        <f>H110/DAY(B2)</f>
        <v>8.1227586206915827</v>
      </c>
      <c r="N110" s="420"/>
      <c r="O110" s="420"/>
    </row>
    <row r="111" spans="1:15" s="93" customFormat="1" ht="27">
      <c r="A111" s="1192" t="s">
        <v>220</v>
      </c>
      <c r="B111" s="1193"/>
      <c r="C111" s="770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13.279999999998836</v>
      </c>
      <c r="I111" s="183"/>
      <c r="J111" s="209">
        <f>H111/DAY(B2)</f>
        <v>0.45793103448271849</v>
      </c>
      <c r="N111" s="420"/>
      <c r="O111" s="420"/>
    </row>
    <row r="112" spans="1:15" s="93" customFormat="1" ht="27">
      <c r="A112" s="1192" t="s">
        <v>221</v>
      </c>
      <c r="B112" s="1193"/>
      <c r="C112" s="770"/>
      <c r="D112" s="273" t="s">
        <v>143</v>
      </c>
      <c r="E112" s="184">
        <f>'28'!F112</f>
        <v>4622</v>
      </c>
      <c r="F112" s="311">
        <v>4622</v>
      </c>
      <c r="G112" s="185">
        <f t="shared" si="11"/>
        <v>0</v>
      </c>
      <c r="H112" s="184">
        <f>SUM(G112+'1'!G83)</f>
        <v>305</v>
      </c>
      <c r="I112" s="183"/>
      <c r="J112" s="209">
        <f>H112/DAY(B2)</f>
        <v>10.517241379310345</v>
      </c>
      <c r="N112" s="420"/>
      <c r="O112" s="420"/>
    </row>
    <row r="113" spans="1:15" s="93" customFormat="1" ht="27">
      <c r="A113" s="1194" t="s">
        <v>109</v>
      </c>
      <c r="B113" s="1195"/>
      <c r="C113" s="770"/>
      <c r="D113" s="273"/>
      <c r="E113" s="184">
        <f>'28'!F113</f>
        <v>0</v>
      </c>
      <c r="F113" s="311"/>
      <c r="G113" s="183">
        <f>SUM(G110:G112)</f>
        <v>70</v>
      </c>
      <c r="H113" s="184">
        <f>SUM(G113+'1'!G84)</f>
        <v>879</v>
      </c>
      <c r="I113" s="183"/>
      <c r="J113" s="209">
        <f>H113/DAY(B2)</f>
        <v>30.310344827586206</v>
      </c>
      <c r="N113" s="420"/>
      <c r="O113" s="420"/>
    </row>
    <row r="114" spans="1:15" s="93" customFormat="1" ht="27">
      <c r="A114" s="1198" t="s">
        <v>222</v>
      </c>
      <c r="B114" s="1199"/>
      <c r="C114" s="770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>
      <c r="A115" s="1192" t="s">
        <v>223</v>
      </c>
      <c r="B115" s="1193"/>
      <c r="C115" s="225"/>
      <c r="D115" s="273" t="s">
        <v>143</v>
      </c>
      <c r="E115" s="184">
        <f>'28'!F115</f>
        <v>12414</v>
      </c>
      <c r="F115" s="311">
        <v>12424</v>
      </c>
      <c r="G115" s="185">
        <f>F115-E115</f>
        <v>10</v>
      </c>
      <c r="H115" s="184">
        <f>SUM(G115+'1'!G92)</f>
        <v>10</v>
      </c>
      <c r="I115" s="183"/>
      <c r="J115" s="209">
        <f>H115/DAY(B2)</f>
        <v>0.34482758620689657</v>
      </c>
      <c r="N115" s="420"/>
      <c r="O115" s="420"/>
    </row>
    <row r="116" spans="1:15" s="93" customFormat="1" ht="27">
      <c r="A116" s="1192" t="s">
        <v>224</v>
      </c>
      <c r="B116" s="1193"/>
      <c r="C116" s="225"/>
      <c r="D116" s="273" t="s">
        <v>143</v>
      </c>
      <c r="E116" s="184">
        <f>'28'!F116</f>
        <v>8794</v>
      </c>
      <c r="F116" s="311">
        <v>8801</v>
      </c>
      <c r="G116" s="185">
        <f t="shared" ref="G116:G117" si="12">F116-E116</f>
        <v>7</v>
      </c>
      <c r="H116" s="184">
        <f>SUM(G116+'1'!G93)</f>
        <v>142</v>
      </c>
      <c r="I116" s="183"/>
      <c r="J116" s="209">
        <f>H116/DAY(B2)</f>
        <v>4.8965517241379306</v>
      </c>
      <c r="N116" s="420"/>
      <c r="O116" s="420"/>
    </row>
    <row r="117" spans="1:15" s="93" customFormat="1" ht="27">
      <c r="A117" s="1192" t="s">
        <v>225</v>
      </c>
      <c r="B117" s="1193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171</v>
      </c>
      <c r="I117" s="183"/>
      <c r="J117" s="209">
        <f>H117/DAY(B2)</f>
        <v>5.8965517241379306</v>
      </c>
      <c r="N117" s="420"/>
      <c r="O117" s="420"/>
    </row>
    <row r="118" spans="1:15" s="96" customFormat="1" ht="27">
      <c r="A118" s="1194" t="s">
        <v>201</v>
      </c>
      <c r="B118" s="1195"/>
      <c r="C118" s="225"/>
      <c r="D118" s="274"/>
      <c r="E118" s="187"/>
      <c r="F118" s="311"/>
      <c r="G118" s="185">
        <f>SUM(G115:G117)</f>
        <v>17</v>
      </c>
      <c r="H118" s="184">
        <f>SUM(G118+'1'!G96)</f>
        <v>87</v>
      </c>
      <c r="I118" s="185"/>
      <c r="J118" s="209">
        <f>H118/DAY(B2)</f>
        <v>3</v>
      </c>
      <c r="N118" s="420"/>
      <c r="O118" s="421"/>
    </row>
    <row r="119" spans="1:15" s="97" customFormat="1" ht="27">
      <c r="A119" s="1188" t="s">
        <v>226</v>
      </c>
      <c r="B119" s="1189"/>
      <c r="C119" s="768"/>
      <c r="D119" s="275" t="s">
        <v>143</v>
      </c>
      <c r="E119" s="187"/>
      <c r="F119" s="311"/>
      <c r="G119" s="187">
        <f>SUM(G19+G93)</f>
        <v>127</v>
      </c>
      <c r="H119" s="184">
        <f>SUM(G119+'1'!G97)</f>
        <v>161</v>
      </c>
      <c r="I119" s="186"/>
      <c r="J119" s="210">
        <f>H119/DAY(B2)</f>
        <v>5.5517241379310347</v>
      </c>
      <c r="N119" s="420"/>
      <c r="O119" s="421"/>
    </row>
    <row r="120" spans="1:15" s="97" customFormat="1" ht="27">
      <c r="A120" s="1188" t="s">
        <v>227</v>
      </c>
      <c r="B120" s="1189"/>
      <c r="C120" s="768"/>
      <c r="D120" s="275" t="s">
        <v>143</v>
      </c>
      <c r="E120" s="187"/>
      <c r="F120" s="311"/>
      <c r="G120" s="187">
        <f>SUM(G96,G97,G98,G100,G101)</f>
        <v>131</v>
      </c>
      <c r="H120" s="184">
        <f>SUM(G120+'1'!G99)</f>
        <v>137</v>
      </c>
      <c r="I120" s="186"/>
      <c r="J120" s="210">
        <f>H120/DAY(B2)</f>
        <v>4.7241379310344831</v>
      </c>
      <c r="N120" s="420"/>
      <c r="O120" s="421"/>
    </row>
    <row r="121" spans="1:15" s="97" customFormat="1" ht="27">
      <c r="A121" s="1188" t="s">
        <v>228</v>
      </c>
      <c r="B121" s="1189"/>
      <c r="C121" s="768"/>
      <c r="D121" s="275" t="s">
        <v>143</v>
      </c>
      <c r="E121" s="187"/>
      <c r="F121" s="311"/>
      <c r="G121" s="185">
        <f>SUM(G113)</f>
        <v>70</v>
      </c>
      <c r="H121" s="184">
        <f>SUM(G121+'1'!G101)</f>
        <v>85</v>
      </c>
      <c r="I121" s="186"/>
      <c r="J121" s="210">
        <f>H121/DAY(B2)</f>
        <v>2.9310344827586206</v>
      </c>
      <c r="N121" s="420"/>
      <c r="O121" s="421"/>
    </row>
    <row r="122" spans="1:15" s="93" customFormat="1" ht="27">
      <c r="A122" s="1190"/>
      <c r="B122" s="1191"/>
      <c r="C122" s="769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>
      <c r="A123" s="1229" t="s">
        <v>229</v>
      </c>
      <c r="B123" s="1230"/>
      <c r="C123" s="1231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>
      <c r="A124" s="771" t="s">
        <v>230</v>
      </c>
      <c r="B124" s="772"/>
      <c r="C124" s="772"/>
      <c r="D124" s="174" t="s">
        <v>140</v>
      </c>
      <c r="E124" s="388">
        <f>'28'!F124</f>
        <v>847180</v>
      </c>
      <c r="F124" s="388">
        <v>847445</v>
      </c>
      <c r="G124" s="124">
        <f t="shared" ref="G124:G128" si="13">F124-E124</f>
        <v>265</v>
      </c>
      <c r="H124" s="111">
        <f>G124+'28'!H124</f>
        <v>-521</v>
      </c>
      <c r="I124" s="177"/>
      <c r="J124" s="203">
        <f>H124/DAY(B2)</f>
        <v>-17.96551724137931</v>
      </c>
      <c r="K124" s="71"/>
      <c r="L124" s="68"/>
    </row>
    <row r="125" spans="1:15" ht="27.75">
      <c r="A125" s="771" t="s">
        <v>231</v>
      </c>
      <c r="B125" s="772"/>
      <c r="C125" s="772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>
      <c r="A126" s="1181" t="s">
        <v>232</v>
      </c>
      <c r="B126" s="1182"/>
      <c r="C126" s="1183"/>
      <c r="D126" s="174" t="s">
        <v>140</v>
      </c>
      <c r="E126" s="388">
        <f>'28'!F126</f>
        <v>151049</v>
      </c>
      <c r="F126" s="388">
        <v>151138</v>
      </c>
      <c r="G126" s="124">
        <f t="shared" si="13"/>
        <v>89</v>
      </c>
      <c r="H126" s="111">
        <f>G126+'28'!H126</f>
        <v>-183</v>
      </c>
      <c r="I126" s="177"/>
      <c r="J126" s="203">
        <f>H126/DAY(B2)</f>
        <v>-6.3103448275862073</v>
      </c>
      <c r="K126" s="71"/>
      <c r="L126" s="68"/>
    </row>
    <row r="127" spans="1:15" ht="27.75">
      <c r="A127" s="260" t="s">
        <v>233</v>
      </c>
      <c r="B127" s="772"/>
      <c r="C127" s="772"/>
      <c r="D127" s="174" t="s">
        <v>140</v>
      </c>
      <c r="E127" s="388">
        <f>'28'!F127</f>
        <v>33152</v>
      </c>
      <c r="F127" s="404">
        <v>33196</v>
      </c>
      <c r="G127" s="124">
        <f t="shared" si="13"/>
        <v>44</v>
      </c>
      <c r="H127" s="111">
        <f>G127+'28'!H127</f>
        <v>-92</v>
      </c>
      <c r="I127" s="177"/>
      <c r="J127" s="203">
        <f>H127/DAY(B2)</f>
        <v>-3.1724137931034484</v>
      </c>
      <c r="K127" s="71"/>
      <c r="L127" s="68"/>
    </row>
    <row r="128" spans="1:15" ht="27.75">
      <c r="A128" s="260" t="s">
        <v>234</v>
      </c>
      <c r="B128" s="772"/>
      <c r="C128" s="772"/>
      <c r="D128" s="174" t="s">
        <v>140</v>
      </c>
      <c r="E128" s="388">
        <f>'28'!F128</f>
        <v>9104</v>
      </c>
      <c r="F128" s="404">
        <v>9105</v>
      </c>
      <c r="G128" s="124">
        <f t="shared" si="13"/>
        <v>1</v>
      </c>
      <c r="H128" s="111">
        <f>G128+'28'!H128</f>
        <v>-8</v>
      </c>
      <c r="I128" s="131"/>
      <c r="J128" s="203">
        <f>H128/DAY(B2)</f>
        <v>-0.27586206896551724</v>
      </c>
      <c r="K128" s="71"/>
      <c r="L128" s="68"/>
    </row>
    <row r="129" spans="1:15" s="57" customFormat="1" ht="27">
      <c r="A129" s="260" t="s">
        <v>235</v>
      </c>
      <c r="B129" s="772"/>
      <c r="C129" s="772"/>
      <c r="D129" s="174"/>
      <c r="E129" s="388"/>
      <c r="F129" s="388"/>
      <c r="G129" s="124">
        <f>G15-SUM(G124:G128)</f>
        <v>551.39999999999418</v>
      </c>
      <c r="H129" s="111"/>
      <c r="I129" s="131"/>
      <c r="J129" s="203"/>
      <c r="K129" s="60"/>
      <c r="L129" s="58"/>
      <c r="N129" s="420"/>
      <c r="O129" s="420"/>
    </row>
    <row r="130" spans="1:15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>
      <c r="A131" s="771" t="s">
        <v>237</v>
      </c>
      <c r="B131" s="772"/>
      <c r="C131" s="772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>
      <c r="A132" s="771" t="s">
        <v>239</v>
      </c>
      <c r="B132" s="772"/>
      <c r="C132" s="772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>
      <c r="A133" s="771" t="s">
        <v>240</v>
      </c>
      <c r="B133" s="772"/>
      <c r="C133" s="772"/>
      <c r="D133" s="174" t="s">
        <v>238</v>
      </c>
      <c r="E133" s="418">
        <f>'28'!F133</f>
        <v>40619</v>
      </c>
      <c r="F133" s="404">
        <v>40619</v>
      </c>
      <c r="G133" s="124">
        <f t="shared" si="14"/>
        <v>0</v>
      </c>
      <c r="H133" s="111">
        <f>G133+'28'!H133</f>
        <v>0</v>
      </c>
      <c r="I133" s="131"/>
      <c r="J133" s="203">
        <f>H133/DAY(B2)</f>
        <v>0</v>
      </c>
    </row>
    <row r="134" spans="1:15" ht="27.75">
      <c r="A134" s="771" t="s">
        <v>241</v>
      </c>
      <c r="B134" s="772"/>
      <c r="C134" s="772"/>
      <c r="D134" s="174" t="s">
        <v>238</v>
      </c>
      <c r="E134" s="418">
        <f>'28'!F134</f>
        <v>534</v>
      </c>
      <c r="F134" s="404">
        <v>554</v>
      </c>
      <c r="G134" s="124">
        <f t="shared" si="14"/>
        <v>20</v>
      </c>
      <c r="H134" s="111">
        <f>G134+'28'!H134</f>
        <v>-20</v>
      </c>
      <c r="I134" s="131">
        <f>G131+G132+G133+G134</f>
        <v>20</v>
      </c>
      <c r="J134" s="203">
        <f>H134/DAY(B2)</f>
        <v>-0.68965517241379315</v>
      </c>
    </row>
    <row r="135" spans="1:15" ht="27.75">
      <c r="A135" s="771" t="s">
        <v>242</v>
      </c>
      <c r="B135" s="772"/>
      <c r="C135" s="772"/>
      <c r="D135" s="174" t="s">
        <v>238</v>
      </c>
      <c r="E135" s="418">
        <f>'28'!F135</f>
        <v>42442</v>
      </c>
      <c r="F135" s="404">
        <v>42456</v>
      </c>
      <c r="G135" s="124">
        <f t="shared" si="14"/>
        <v>14</v>
      </c>
      <c r="H135" s="111">
        <f>G135+'28'!H135</f>
        <v>117.88999999999942</v>
      </c>
      <c r="I135" s="131"/>
      <c r="J135" s="203">
        <f>H135/DAY(B2)</f>
        <v>4.0651724137930838</v>
      </c>
    </row>
    <row r="136" spans="1:15" ht="27.75">
      <c r="A136" s="771" t="s">
        <v>243</v>
      </c>
      <c r="B136" s="772"/>
      <c r="C136" s="772"/>
      <c r="D136" s="174" t="s">
        <v>238</v>
      </c>
      <c r="E136" s="414">
        <f>'28'!F136</f>
        <v>32874</v>
      </c>
      <c r="F136" s="391">
        <v>32874</v>
      </c>
      <c r="G136" s="124">
        <f t="shared" si="14"/>
        <v>0</v>
      </c>
      <c r="H136" s="111">
        <f>G136+'28'!H136</f>
        <v>12.94999999999709</v>
      </c>
      <c r="I136" s="131"/>
      <c r="J136" s="203">
        <f>H136/DAY(B2)</f>
        <v>0.44655172413783067</v>
      </c>
    </row>
    <row r="137" spans="1:15" ht="27.75">
      <c r="A137" s="771" t="s">
        <v>244</v>
      </c>
      <c r="B137" s="772"/>
      <c r="C137" s="772"/>
      <c r="D137" s="174" t="s">
        <v>238</v>
      </c>
      <c r="E137" s="417">
        <f>'28'!F137</f>
        <v>23097.58</v>
      </c>
      <c r="F137" s="395">
        <v>23097.56</v>
      </c>
      <c r="G137" s="124">
        <f t="shared" si="14"/>
        <v>-2.0000000000436557E-2</v>
      </c>
      <c r="H137" s="111">
        <f>G137+'28'!H137</f>
        <v>-9</v>
      </c>
      <c r="I137" s="131">
        <f>G135+G136+G137</f>
        <v>13.979999999999563</v>
      </c>
      <c r="J137" s="203">
        <f>H137/DAY(B2)</f>
        <v>-0.31034482758620691</v>
      </c>
    </row>
    <row r="138" spans="1:15" ht="27.75">
      <c r="A138" s="771" t="s">
        <v>245</v>
      </c>
      <c r="B138" s="772"/>
      <c r="C138" s="772"/>
      <c r="D138" s="174" t="s">
        <v>238</v>
      </c>
      <c r="E138" s="417">
        <f>'28'!F138</f>
        <v>25099.18</v>
      </c>
      <c r="F138" s="395">
        <v>25109.95</v>
      </c>
      <c r="G138" s="124">
        <f t="shared" si="14"/>
        <v>10.770000000000437</v>
      </c>
      <c r="H138" s="111">
        <f>G138+'28'!H138</f>
        <v>18.790000000000873</v>
      </c>
      <c r="I138" s="131"/>
      <c r="J138" s="203">
        <f>H138/DAY(B2)</f>
        <v>0.64793103448278877</v>
      </c>
    </row>
    <row r="139" spans="1:15" ht="27.75">
      <c r="A139" s="771" t="s">
        <v>246</v>
      </c>
      <c r="B139" s="772"/>
      <c r="C139" s="772"/>
      <c r="D139" s="174" t="s">
        <v>238</v>
      </c>
      <c r="E139" s="417">
        <f>'28'!F139</f>
        <v>70516.600000000006</v>
      </c>
      <c r="F139" s="395">
        <v>70517</v>
      </c>
      <c r="G139" s="124">
        <f t="shared" si="14"/>
        <v>0.39999999999417923</v>
      </c>
      <c r="H139" s="111">
        <f>G139+'28'!H139</f>
        <v>15.399999999994179</v>
      </c>
      <c r="I139" s="131">
        <f>G138+G139</f>
        <v>11.169999999994616</v>
      </c>
      <c r="J139" s="203">
        <f>H139/DAY(B2)</f>
        <v>0.53103448275842002</v>
      </c>
    </row>
    <row r="140" spans="1:15" ht="27.75">
      <c r="A140" s="771" t="s">
        <v>247</v>
      </c>
      <c r="B140" s="772"/>
      <c r="C140" s="772"/>
      <c r="D140" s="174" t="s">
        <v>238</v>
      </c>
      <c r="E140" s="418">
        <f>'28'!F140</f>
        <v>2283.1799999999998</v>
      </c>
      <c r="F140" s="404">
        <v>2292.4899999999998</v>
      </c>
      <c r="G140" s="124">
        <f t="shared" si="14"/>
        <v>9.3099999999999454</v>
      </c>
      <c r="H140" s="111">
        <f>G140+'28'!H140</f>
        <v>-19.070000000000164</v>
      </c>
      <c r="I140" s="193"/>
      <c r="J140" s="203">
        <f>H140/DAY(B2)</f>
        <v>-0.65758620689655733</v>
      </c>
    </row>
    <row r="141" spans="1:15" ht="27.75">
      <c r="A141" s="771" t="s">
        <v>248</v>
      </c>
      <c r="B141" s="772"/>
      <c r="C141" s="772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>
      <c r="A142" s="1203" t="s">
        <v>249</v>
      </c>
      <c r="B142" s="1204"/>
      <c r="C142" s="777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>
      <c r="A143" s="1200" t="s">
        <v>250</v>
      </c>
      <c r="B143" s="1201"/>
      <c r="C143" s="1202"/>
      <c r="D143" s="174" t="s">
        <v>131</v>
      </c>
      <c r="E143" s="111"/>
      <c r="F143" s="111"/>
      <c r="G143" s="111">
        <f>G35+G43+G49+G57</f>
        <v>5821.67</v>
      </c>
      <c r="H143" s="111">
        <f>G143+'28'!H143</f>
        <v>-14558.119999999994</v>
      </c>
      <c r="I143" s="131"/>
      <c r="J143" s="203">
        <f>H143/DAY(B2)</f>
        <v>-502.00413793103428</v>
      </c>
      <c r="K143" s="71"/>
      <c r="L143" s="68"/>
    </row>
    <row r="144" spans="1:15" ht="27.75">
      <c r="A144" s="1200" t="s">
        <v>251</v>
      </c>
      <c r="B144" s="1201"/>
      <c r="C144" s="1202"/>
      <c r="D144" s="174" t="s">
        <v>24</v>
      </c>
      <c r="E144" s="121"/>
      <c r="F144" s="121"/>
      <c r="G144" s="194">
        <f>G143/G7</f>
        <v>0.25039440860215056</v>
      </c>
      <c r="H144" s="111">
        <f>G144+'28'!H144</f>
        <v>-0.45699093833347937</v>
      </c>
      <c r="I144" s="195"/>
      <c r="J144" s="203">
        <f>H144/DAY(B2)</f>
        <v>-1.5758308218395842E-2</v>
      </c>
      <c r="K144" s="71"/>
      <c r="L144" s="68"/>
    </row>
    <row r="145" spans="1:12" ht="27.75">
      <c r="A145" s="1200" t="s">
        <v>252</v>
      </c>
      <c r="B145" s="1201"/>
      <c r="C145" s="1202"/>
      <c r="D145" s="174" t="s">
        <v>131</v>
      </c>
      <c r="E145" s="111"/>
      <c r="F145" s="111"/>
      <c r="G145" s="111">
        <f>G41+G42+G55+G56</f>
        <v>7255</v>
      </c>
      <c r="H145" s="111">
        <f>G145+'28'!H145</f>
        <v>-14082</v>
      </c>
      <c r="I145" s="131"/>
      <c r="J145" s="203">
        <f>H145/DAY(B2)</f>
        <v>-485.58620689655174</v>
      </c>
      <c r="K145" s="71"/>
      <c r="L145" s="68"/>
    </row>
    <row r="146" spans="1:12" ht="27.75">
      <c r="A146" s="1200" t="s">
        <v>253</v>
      </c>
      <c r="B146" s="1201"/>
      <c r="C146" s="1202"/>
      <c r="D146" s="174" t="s">
        <v>24</v>
      </c>
      <c r="E146" s="111"/>
      <c r="F146" s="111"/>
      <c r="G146" s="194">
        <f>G145/G7</f>
        <v>0.3120430107526882</v>
      </c>
      <c r="H146" s="111">
        <f>G146+'28'!H146</f>
        <v>-0.42439807436532745</v>
      </c>
      <c r="I146" s="195"/>
      <c r="J146" s="203">
        <f>H146/DAY(B2)</f>
        <v>-1.4634416357425085E-2</v>
      </c>
      <c r="K146" s="71"/>
      <c r="L146" s="68"/>
    </row>
    <row r="147" spans="1:12" ht="27.75">
      <c r="A147" s="1200" t="s">
        <v>254</v>
      </c>
      <c r="B147" s="1201"/>
      <c r="C147" s="1202"/>
      <c r="D147" s="174" t="s">
        <v>131</v>
      </c>
      <c r="E147" s="111"/>
      <c r="F147" s="111"/>
      <c r="G147" s="111">
        <f>G39+G53</f>
        <v>3817</v>
      </c>
      <c r="H147" s="111">
        <f>G147+'28'!H147</f>
        <v>-7655</v>
      </c>
      <c r="I147" s="196"/>
      <c r="J147" s="203">
        <f>H147/DAY(B2)</f>
        <v>-263.9655172413793</v>
      </c>
      <c r="K147" s="71"/>
      <c r="L147" s="68"/>
    </row>
    <row r="148" spans="1:12" ht="27.75">
      <c r="A148" s="1200" t="s">
        <v>255</v>
      </c>
      <c r="B148" s="1201"/>
      <c r="C148" s="1202"/>
      <c r="D148" s="174" t="s">
        <v>24</v>
      </c>
      <c r="E148" s="111"/>
      <c r="F148" s="111"/>
      <c r="G148" s="194">
        <f>G147/G7</f>
        <v>0.16417204301075269</v>
      </c>
      <c r="H148" s="111">
        <f>G148+'28'!H148</f>
        <v>-0.21436933928199761</v>
      </c>
      <c r="I148" s="196"/>
      <c r="J148" s="203">
        <f>H148/DAY(B2)</f>
        <v>-7.3920461821378484E-3</v>
      </c>
    </row>
    <row r="149" spans="1:12" ht="27.75">
      <c r="A149" s="1200" t="s">
        <v>256</v>
      </c>
      <c r="B149" s="1201"/>
      <c r="C149" s="1202"/>
      <c r="D149" s="174" t="s">
        <v>182</v>
      </c>
      <c r="E149" s="111"/>
      <c r="F149" s="111"/>
      <c r="G149" s="111">
        <f>G38+G52</f>
        <v>1643</v>
      </c>
      <c r="H149" s="111">
        <f>G149+'28'!H149</f>
        <v>-3444.9300000000512</v>
      </c>
      <c r="I149" s="131"/>
      <c r="J149" s="203">
        <f>H149/DAY(B2)</f>
        <v>-118.79068965517418</v>
      </c>
      <c r="K149" s="72"/>
    </row>
    <row r="150" spans="1:12" ht="27.75">
      <c r="A150" s="1200" t="s">
        <v>257</v>
      </c>
      <c r="B150" s="1201"/>
      <c r="C150" s="1202"/>
      <c r="D150" s="174" t="s">
        <v>24</v>
      </c>
      <c r="E150" s="111"/>
      <c r="F150" s="111"/>
      <c r="G150" s="194">
        <f>G149/G7</f>
        <v>7.0666666666666669E-2</v>
      </c>
      <c r="H150" s="111">
        <f>G150+'28'!H150</f>
        <v>-9.6571279057820411E-2</v>
      </c>
      <c r="I150" s="196"/>
      <c r="J150" s="203">
        <f>H150/DAY(B2)</f>
        <v>-3.3300441054420833E-3</v>
      </c>
    </row>
    <row r="151" spans="1:12" ht="27.75">
      <c r="A151" s="1200" t="s">
        <v>258</v>
      </c>
      <c r="B151" s="1201"/>
      <c r="C151" s="1202"/>
      <c r="D151" s="174" t="s">
        <v>182</v>
      </c>
      <c r="E151" s="111"/>
      <c r="F151" s="111"/>
      <c r="G151" s="111">
        <f>G36+G50</f>
        <v>2106</v>
      </c>
      <c r="H151" s="111">
        <f>G151+'28'!H151</f>
        <v>-4009</v>
      </c>
      <c r="I151" s="196"/>
      <c r="J151" s="203">
        <f>H151/DAY(B2)</f>
        <v>-138.24137931034483</v>
      </c>
    </row>
    <row r="152" spans="1:12" ht="27.75">
      <c r="A152" s="1200" t="s">
        <v>259</v>
      </c>
      <c r="B152" s="1201"/>
      <c r="C152" s="1202"/>
      <c r="D152" s="174" t="s">
        <v>24</v>
      </c>
      <c r="E152" s="111"/>
      <c r="F152" s="111"/>
      <c r="G152" s="194">
        <f>G151/G7</f>
        <v>9.0580645161290316E-2</v>
      </c>
      <c r="H152" s="111">
        <f>G152+'28'!H152</f>
        <v>-0.12014414533622401</v>
      </c>
      <c r="I152" s="131"/>
      <c r="J152" s="203">
        <f>H152/DAY(B2)</f>
        <v>-4.1429015633180693E-3</v>
      </c>
    </row>
    <row r="153" spans="1:12" ht="27.75">
      <c r="A153" s="1200" t="s">
        <v>260</v>
      </c>
      <c r="B153" s="1201"/>
      <c r="C153" s="1202"/>
      <c r="D153" s="174" t="s">
        <v>182</v>
      </c>
      <c r="E153" s="111"/>
      <c r="F153" s="111"/>
      <c r="G153" s="111">
        <f>G37+G51</f>
        <v>1606.8699999999953</v>
      </c>
      <c r="H153" s="111">
        <f>G153+'28'!H153</f>
        <v>-3288.1300000000047</v>
      </c>
      <c r="I153" s="131"/>
      <c r="J153" s="203">
        <f>H153/DAY(B2)</f>
        <v>-113.38379310344844</v>
      </c>
    </row>
    <row r="154" spans="1:12" ht="28.5" thickBot="1">
      <c r="A154" s="1238" t="s">
        <v>261</v>
      </c>
      <c r="B154" s="1239"/>
      <c r="C154" s="1240"/>
      <c r="D154" s="276" t="s">
        <v>24</v>
      </c>
      <c r="E154" s="218"/>
      <c r="F154" s="218"/>
      <c r="G154" s="217">
        <f>G153/G7</f>
        <v>6.9112688172042816E-2</v>
      </c>
      <c r="H154" s="111">
        <f>G154+'28'!H154</f>
        <v>-9.3893424476855072E-2</v>
      </c>
      <c r="I154" s="219"/>
      <c r="J154" s="220">
        <f>H154/DAY(B2)</f>
        <v>-3.2377042923053471E-3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45" t="s">
        <v>262</v>
      </c>
      <c r="B161" s="446"/>
      <c r="C161" s="446"/>
      <c r="D161" s="271" t="s">
        <v>186</v>
      </c>
      <c r="E161" s="414">
        <f>'28'!F161</f>
        <v>43091</v>
      </c>
      <c r="F161" s="454">
        <v>43170</v>
      </c>
      <c r="G161" s="124">
        <f t="shared" ref="G161:G164" si="15">F161-E161</f>
        <v>79</v>
      </c>
    </row>
    <row r="162" spans="1:7">
      <c r="A162" s="445" t="s">
        <v>263</v>
      </c>
      <c r="B162" s="446"/>
      <c r="C162" s="446"/>
      <c r="D162" s="271" t="s">
        <v>186</v>
      </c>
      <c r="E162" s="414">
        <f>'28'!F162</f>
        <v>120749</v>
      </c>
      <c r="F162" s="454">
        <v>121199</v>
      </c>
      <c r="G162" s="124">
        <f t="shared" si="15"/>
        <v>450</v>
      </c>
    </row>
    <row r="163" spans="1:7">
      <c r="A163" s="445" t="s">
        <v>264</v>
      </c>
      <c r="B163" s="446"/>
      <c r="C163" s="446"/>
      <c r="D163" s="271" t="s">
        <v>186</v>
      </c>
      <c r="E163" s="414">
        <f>'28'!F163</f>
        <v>66905</v>
      </c>
      <c r="F163" s="454">
        <v>67101</v>
      </c>
      <c r="G163" s="124">
        <f t="shared" si="15"/>
        <v>196</v>
      </c>
    </row>
    <row r="164" spans="1:7">
      <c r="A164" s="445" t="s">
        <v>265</v>
      </c>
      <c r="B164" s="446"/>
      <c r="C164" s="446"/>
      <c r="D164" s="271" t="s">
        <v>186</v>
      </c>
      <c r="E164" s="414">
        <f>'28'!F164</f>
        <v>7111</v>
      </c>
      <c r="F164" s="454">
        <v>7112</v>
      </c>
      <c r="G164" s="124">
        <f t="shared" si="15"/>
        <v>1</v>
      </c>
    </row>
    <row r="165" spans="1:7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>
      <c r="A166" s="447" t="s">
        <v>187</v>
      </c>
      <c r="B166" s="448"/>
      <c r="C166" s="448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>
      <c r="A167" s="1253" t="s">
        <v>98</v>
      </c>
      <c r="B167" s="1253"/>
      <c r="C167" s="1253"/>
      <c r="D167" s="175" t="s">
        <v>186</v>
      </c>
      <c r="E167" s="165">
        <f t="shared" si="17"/>
        <v>180729</v>
      </c>
      <c r="F167" s="165">
        <f t="shared" si="18"/>
        <v>181134</v>
      </c>
      <c r="G167" s="124">
        <f t="shared" si="16"/>
        <v>405</v>
      </c>
    </row>
    <row r="168" spans="1:7" ht="27.75">
      <c r="A168" s="1253" t="s">
        <v>99</v>
      </c>
      <c r="B168" s="1253"/>
      <c r="C168" s="1253"/>
      <c r="D168" s="175" t="s">
        <v>186</v>
      </c>
      <c r="E168" s="165">
        <f t="shared" si="17"/>
        <v>181013</v>
      </c>
      <c r="F168" s="165">
        <f t="shared" si="18"/>
        <v>181412</v>
      </c>
      <c r="G168" s="124">
        <f t="shared" si="16"/>
        <v>399</v>
      </c>
    </row>
    <row r="169" spans="1:7" ht="27.75">
      <c r="A169" s="1253" t="s">
        <v>100</v>
      </c>
      <c r="B169" s="1253"/>
      <c r="C169" s="1253"/>
      <c r="D169" s="175" t="s">
        <v>186</v>
      </c>
      <c r="E169" s="165">
        <f t="shared" si="17"/>
        <v>79435</v>
      </c>
      <c r="F169" s="165">
        <f t="shared" si="18"/>
        <v>79841</v>
      </c>
      <c r="G169" s="124">
        <f t="shared" si="16"/>
        <v>406</v>
      </c>
    </row>
    <row r="170" spans="1:7" ht="27.75">
      <c r="A170" s="1253" t="s">
        <v>101</v>
      </c>
      <c r="B170" s="1253"/>
      <c r="C170" s="1253"/>
      <c r="D170" s="175" t="s">
        <v>186</v>
      </c>
      <c r="E170" s="165">
        <f t="shared" si="17"/>
        <v>278486</v>
      </c>
      <c r="F170" s="165">
        <f t="shared" si="18"/>
        <v>278995</v>
      </c>
      <c r="G170" s="124">
        <f t="shared" si="16"/>
        <v>509</v>
      </c>
    </row>
    <row r="171" spans="1:7" ht="27.75">
      <c r="A171" s="1253" t="s">
        <v>102</v>
      </c>
      <c r="B171" s="1253"/>
      <c r="C171" s="1253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>
      <c r="A172" s="1253" t="s">
        <v>103</v>
      </c>
      <c r="B172" s="1253"/>
      <c r="C172" s="1253"/>
      <c r="D172" s="175" t="s">
        <v>186</v>
      </c>
      <c r="E172" s="165">
        <f t="shared" si="17"/>
        <v>95523</v>
      </c>
      <c r="F172" s="165">
        <f t="shared" si="18"/>
        <v>95873</v>
      </c>
      <c r="G172" s="124">
        <f t="shared" si="16"/>
        <v>350</v>
      </c>
    </row>
    <row r="173" spans="1:7">
      <c r="A173" s="449"/>
      <c r="B173" s="450"/>
      <c r="C173" s="450"/>
      <c r="D173" s="451"/>
      <c r="E173" s="453"/>
      <c r="F173" s="680"/>
      <c r="G173" s="453">
        <f>SUM(G161:G172)</f>
        <v>2795</v>
      </c>
    </row>
    <row r="174" spans="1:7" ht="27.75">
      <c r="A174" s="1228" t="s">
        <v>338</v>
      </c>
      <c r="B174" s="1191"/>
      <c r="C174" s="435"/>
      <c r="D174" s="1123" t="s">
        <v>186</v>
      </c>
      <c r="E174" s="1124">
        <v>19124</v>
      </c>
      <c r="F174" s="1124">
        <v>19127</v>
      </c>
      <c r="G174" s="1125">
        <f t="shared" ref="G174:G176" si="19">F174-E174</f>
        <v>3</v>
      </c>
    </row>
    <row r="175" spans="1:7" ht="27.75">
      <c r="A175" s="1228" t="s">
        <v>339</v>
      </c>
      <c r="B175" s="1191"/>
      <c r="C175" s="105"/>
      <c r="D175" s="1123" t="s">
        <v>186</v>
      </c>
      <c r="E175" s="1128">
        <v>27774</v>
      </c>
      <c r="F175" s="1128">
        <v>27782</v>
      </c>
      <c r="G175" s="1125">
        <f t="shared" si="19"/>
        <v>8</v>
      </c>
    </row>
    <row r="176" spans="1:7" ht="27.75">
      <c r="A176" s="1228" t="s">
        <v>338</v>
      </c>
      <c r="B176" s="1191"/>
      <c r="C176" s="105"/>
      <c r="D176" s="1123" t="s">
        <v>186</v>
      </c>
      <c r="E176" s="1124">
        <v>70512</v>
      </c>
      <c r="F176" s="1124">
        <v>70517</v>
      </c>
      <c r="G176" s="1125">
        <f t="shared" si="19"/>
        <v>5</v>
      </c>
    </row>
    <row r="178" spans="1:1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0"/>
  <sheetViews>
    <sheetView view="pageBreakPreview" zoomScale="60" zoomScaleNormal="55" workbookViewId="0">
      <selection activeCell="P31" sqref="P31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327</v>
      </c>
      <c r="B2" s="762">
        <v>44042</v>
      </c>
      <c r="C2" s="773" t="s">
        <v>68</v>
      </c>
      <c r="D2" s="262">
        <v>0.5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>
      <c r="A3" s="221"/>
      <c r="B3" s="265"/>
      <c r="C3" s="773" t="s">
        <v>119</v>
      </c>
      <c r="D3" s="263">
        <v>27</v>
      </c>
      <c r="E3" s="1337" t="s">
        <v>120</v>
      </c>
      <c r="F3" s="1337"/>
      <c r="G3" s="113"/>
      <c r="H3" s="114"/>
      <c r="I3" s="114"/>
      <c r="J3" s="266"/>
      <c r="K3" s="63"/>
      <c r="L3" s="58"/>
      <c r="O3" s="672"/>
    </row>
    <row r="4" spans="1:15" s="57" customFormat="1" ht="27">
      <c r="A4" s="227"/>
      <c r="B4" s="267"/>
      <c r="C4" s="773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338" t="s">
        <v>129</v>
      </c>
      <c r="B6" s="1339"/>
      <c r="C6" s="1339"/>
      <c r="D6" s="122"/>
      <c r="E6" s="122"/>
      <c r="F6" s="122"/>
      <c r="G6" s="122"/>
      <c r="H6" s="123"/>
      <c r="I6" s="123"/>
      <c r="J6" s="202"/>
      <c r="K6" s="80"/>
      <c r="L6" s="68"/>
      <c r="O6" s="673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'29'!F7</f>
        <v>1267638</v>
      </c>
      <c r="F7" s="106">
        <f>E7+23250</f>
        <v>1290888</v>
      </c>
      <c r="G7" s="424">
        <f>F7-E7</f>
        <v>23250</v>
      </c>
      <c r="H7" s="111">
        <f>G7+'29'!H7</f>
        <v>683066</v>
      </c>
      <c r="I7" s="125">
        <f>'1'!I7</f>
        <v>12000</v>
      </c>
      <c r="J7" s="203">
        <f>H7/DAY(B2)</f>
        <v>22768.866666666665</v>
      </c>
      <c r="K7" s="200">
        <v>1375467</v>
      </c>
      <c r="L7" s="68"/>
      <c r="N7" s="91">
        <f>F7-'1'!E7</f>
        <v>683215</v>
      </c>
      <c r="O7" s="455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'29'!F8</f>
        <v>570021</v>
      </c>
      <c r="F8" s="126">
        <v>592305</v>
      </c>
      <c r="G8" s="127">
        <f>F8-E8</f>
        <v>22284</v>
      </c>
      <c r="H8" s="111">
        <f>G8+'29'!H8</f>
        <v>-23292</v>
      </c>
      <c r="I8" s="128"/>
      <c r="J8" s="203">
        <f>H8/DAY(B2)</f>
        <v>-776.4</v>
      </c>
      <c r="K8" s="200">
        <v>1715917</v>
      </c>
      <c r="L8" s="78">
        <v>1728480</v>
      </c>
      <c r="M8" s="91">
        <f>L8-K8</f>
        <v>12563</v>
      </c>
      <c r="N8" s="91">
        <f>F8-'1'!E8</f>
        <v>-23292</v>
      </c>
      <c r="O8" s="455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f>'29'!F9</f>
        <v>2652678</v>
      </c>
      <c r="F9" s="129">
        <v>2674174</v>
      </c>
      <c r="G9" s="124">
        <f t="shared" ref="G9:G12" si="0">F9-E9</f>
        <v>21496</v>
      </c>
      <c r="H9" s="111">
        <f>G9+'29'!H9</f>
        <v>-22461</v>
      </c>
      <c r="I9" s="130">
        <f>I7-J7</f>
        <v>-10768.866666666665</v>
      </c>
      <c r="J9" s="203">
        <f>H9/DAY(B2)</f>
        <v>-748.7</v>
      </c>
      <c r="K9" s="81">
        <f>K8-100</f>
        <v>1715817</v>
      </c>
      <c r="L9" s="68"/>
      <c r="N9" s="91">
        <f>F9-'1'!E9</f>
        <v>-22461</v>
      </c>
      <c r="O9" s="455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0.29999999999972715</v>
      </c>
      <c r="I10" s="131"/>
      <c r="J10" s="203">
        <f>H10/DAY(B2)</f>
        <v>9.9999999999909051E-3</v>
      </c>
      <c r="K10" s="81"/>
      <c r="L10" s="68"/>
      <c r="N10" s="91">
        <f>F10-'1'!E10</f>
        <v>0</v>
      </c>
      <c r="O10" s="455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5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5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21496</v>
      </c>
      <c r="H13" s="111">
        <f>G13+'29'!H13</f>
        <v>-65144.700000000012</v>
      </c>
      <c r="I13" s="133">
        <f>G7-G13</f>
        <v>1754</v>
      </c>
      <c r="J13" s="203">
        <f>H13/DAY(B2)</f>
        <v>-2171.4900000000002</v>
      </c>
      <c r="K13" s="81"/>
      <c r="L13" s="68"/>
      <c r="N13" s="91">
        <f>F13-'1'!E13</f>
        <v>0</v>
      </c>
      <c r="O13" s="455"/>
    </row>
    <row r="14" spans="1:15" ht="29.25">
      <c r="A14" s="1340" t="s">
        <v>138</v>
      </c>
      <c r="B14" s="1341"/>
      <c r="C14" s="1341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5"/>
    </row>
    <row r="15" spans="1:15" ht="21.95" customHeight="1">
      <c r="A15" s="771" t="s">
        <v>139</v>
      </c>
      <c r="B15" s="240"/>
      <c r="C15" s="240"/>
      <c r="D15" s="174" t="s">
        <v>140</v>
      </c>
      <c r="E15" s="106">
        <f>'29'!F15</f>
        <v>1756009</v>
      </c>
      <c r="F15" s="351">
        <f>E15+950</f>
        <v>1756959</v>
      </c>
      <c r="G15" s="424">
        <f>(F15-E15)</f>
        <v>950</v>
      </c>
      <c r="H15" s="111">
        <f>G15+'29'!H15</f>
        <v>27405</v>
      </c>
      <c r="I15" s="125">
        <f>'1'!I15</f>
        <v>800</v>
      </c>
      <c r="J15" s="203">
        <f>H15/DAY(B2)</f>
        <v>913.5</v>
      </c>
      <c r="K15" s="81"/>
      <c r="L15" s="68"/>
      <c r="N15" s="91">
        <f>F15-'1'!E15</f>
        <v>27405</v>
      </c>
      <c r="O15" s="455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-113.5</v>
      </c>
      <c r="J16" s="204"/>
      <c r="K16" s="81"/>
      <c r="L16" s="68"/>
      <c r="N16" s="91">
        <f>F16-'1'!E16</f>
        <v>0</v>
      </c>
      <c r="O16" s="455"/>
    </row>
    <row r="17" spans="1:15" ht="29.25">
      <c r="A17" s="1340" t="s">
        <v>141</v>
      </c>
      <c r="B17" s="1341"/>
      <c r="C17" s="1341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5"/>
    </row>
    <row r="18" spans="1:15" ht="27.75">
      <c r="A18" s="1329" t="s">
        <v>142</v>
      </c>
      <c r="B18" s="1330"/>
      <c r="C18" s="1330"/>
      <c r="D18" s="174" t="s">
        <v>143</v>
      </c>
      <c r="E18" s="106">
        <f>'29'!F18</f>
        <v>14</v>
      </c>
      <c r="F18" s="135">
        <v>15</v>
      </c>
      <c r="G18" s="132">
        <f>F18*10</f>
        <v>150</v>
      </c>
      <c r="H18" s="111">
        <f>G18+'29'!H18</f>
        <v>4420</v>
      </c>
      <c r="I18" s="125">
        <f>'1'!I18</f>
        <v>65</v>
      </c>
      <c r="J18" s="203">
        <f>H18/DAY(B2)</f>
        <v>147.33333333333334</v>
      </c>
      <c r="K18" s="81"/>
      <c r="L18" s="68"/>
      <c r="N18" s="91">
        <f>F18-'1'!E18</f>
        <v>-1</v>
      </c>
      <c r="O18" s="455"/>
    </row>
    <row r="19" spans="1:15" ht="27.75">
      <c r="A19" s="1329" t="s">
        <v>70</v>
      </c>
      <c r="B19" s="1330"/>
      <c r="C19" s="1330"/>
      <c r="D19" s="174" t="s">
        <v>143</v>
      </c>
      <c r="E19" s="106">
        <f>'29'!F19</f>
        <v>145170</v>
      </c>
      <c r="F19" s="135">
        <f>E19+60</f>
        <v>145230</v>
      </c>
      <c r="G19" s="124">
        <f t="shared" ref="G19" si="1">F19-E19</f>
        <v>60</v>
      </c>
      <c r="H19" s="111">
        <f>G19+'29'!H19</f>
        <v>1840</v>
      </c>
      <c r="I19" s="140"/>
      <c r="J19" s="203">
        <f>H19/DAY(B2)</f>
        <v>61.333333333333336</v>
      </c>
      <c r="K19" s="81"/>
      <c r="L19" s="68"/>
      <c r="N19" s="91">
        <f>F19-'1'!E19</f>
        <v>1840</v>
      </c>
      <c r="O19" s="455"/>
    </row>
    <row r="20" spans="1:15" ht="21.95" customHeight="1">
      <c r="A20" s="236" t="s">
        <v>144</v>
      </c>
      <c r="B20" s="237"/>
      <c r="C20" s="237"/>
      <c r="D20" s="141"/>
      <c r="E20" s="141"/>
      <c r="F20" s="141"/>
      <c r="G20" s="671">
        <f>G18+G19</f>
        <v>210</v>
      </c>
      <c r="H20" s="111">
        <f>G20+'29'!H20</f>
        <v>6260</v>
      </c>
      <c r="I20" s="143">
        <f>I18-J20</f>
        <v>-143.66666666666666</v>
      </c>
      <c r="J20" s="203">
        <f>H20/DAY(B2)</f>
        <v>208.66666666666666</v>
      </c>
      <c r="K20" s="81"/>
      <c r="L20" s="68"/>
      <c r="N20" s="91">
        <f>F20-'1'!E20</f>
        <v>0</v>
      </c>
      <c r="O20" s="455"/>
    </row>
    <row r="21" spans="1:15" ht="29.25">
      <c r="A21" s="1340" t="s">
        <v>145</v>
      </c>
      <c r="B21" s="1341"/>
      <c r="C21" s="1341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5"/>
    </row>
    <row r="22" spans="1:15" ht="21.95" customHeight="1">
      <c r="A22" s="771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5"/>
    </row>
    <row r="23" spans="1:15" ht="21.95" customHeight="1">
      <c r="A23" s="771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5"/>
    </row>
    <row r="24" spans="1:15" ht="21.95" customHeight="1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5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5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5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22284</v>
      </c>
      <c r="F27" s="152">
        <v>9</v>
      </c>
      <c r="G27" s="674">
        <f>E27*F27</f>
        <v>200556</v>
      </c>
      <c r="H27" s="111">
        <f>G27+'29'!H27</f>
        <v>-209626.10999999964</v>
      </c>
      <c r="I27" s="154"/>
      <c r="J27" s="203">
        <f>H27/DAY(B2)</f>
        <v>-6987.5369999999875</v>
      </c>
      <c r="K27" s="65"/>
      <c r="L27" s="94"/>
      <c r="N27" s="91"/>
      <c r="O27" s="455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674">
        <f>E28*F28</f>
        <v>49400</v>
      </c>
      <c r="H28" s="111">
        <f>G28+'29'!H28</f>
        <v>1457947.5</v>
      </c>
      <c r="I28" s="156"/>
      <c r="J28" s="203">
        <f>H28/DAY(B2)</f>
        <v>48598.25</v>
      </c>
      <c r="K28" s="65"/>
      <c r="L28" s="94"/>
      <c r="N28" s="91"/>
      <c r="O28" s="455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4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5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674">
        <f>E30*F30</f>
        <v>8760</v>
      </c>
      <c r="H30" s="111">
        <f>G30+'29'!H30</f>
        <v>268640</v>
      </c>
      <c r="I30" s="156"/>
      <c r="J30" s="203">
        <f>H30/DAY(B2)</f>
        <v>8954.6666666666661</v>
      </c>
      <c r="K30" s="65"/>
      <c r="L30" s="94"/>
      <c r="N30" s="91"/>
      <c r="O30" s="455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150</v>
      </c>
      <c r="F31" s="152">
        <v>80</v>
      </c>
      <c r="G31" s="674">
        <f>E31*F31</f>
        <v>12000</v>
      </c>
      <c r="H31" s="111">
        <f>G31+'29'!H31</f>
        <v>353600</v>
      </c>
      <c r="I31" s="156"/>
      <c r="J31" s="203">
        <f>H31/DAY(B2)</f>
        <v>11786.666666666666</v>
      </c>
      <c r="K31" s="65"/>
      <c r="L31" s="94"/>
      <c r="N31" s="91"/>
      <c r="O31" s="455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270716</v>
      </c>
      <c r="H32" s="111">
        <f>G32+'29'!H32</f>
        <v>1870561.39</v>
      </c>
      <c r="I32" s="160"/>
      <c r="J32" s="203">
        <f>H32/DAY(B2)</f>
        <v>62352.046333333332</v>
      </c>
      <c r="K32" s="65"/>
      <c r="L32" s="94"/>
      <c r="N32" s="91"/>
      <c r="O32" s="455"/>
    </row>
    <row r="33" spans="1:15" ht="25.5">
      <c r="A33" s="1345" t="s">
        <v>161</v>
      </c>
      <c r="B33" s="1346"/>
      <c r="C33" s="1346"/>
      <c r="D33" s="1346"/>
      <c r="E33" s="1346"/>
      <c r="F33" s="1346"/>
      <c r="G33" s="1346"/>
      <c r="H33" s="1346"/>
      <c r="I33" s="1346"/>
      <c r="J33" s="1347"/>
      <c r="K33" s="81"/>
      <c r="L33" s="68"/>
      <c r="N33" s="91"/>
      <c r="O33" s="455"/>
    </row>
    <row r="34" spans="1:15" ht="21.95" customHeight="1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5"/>
    </row>
    <row r="35" spans="1:15" ht="21.95" customHeight="1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0.69999999995343387</v>
      </c>
      <c r="I35" s="106"/>
      <c r="J35" s="203">
        <f>H35/DAY(B2)</f>
        <v>2.3333333331781128E-2</v>
      </c>
      <c r="K35" s="81"/>
      <c r="L35" s="68"/>
      <c r="N35" s="91">
        <f>F35-'1'!E35</f>
        <v>0.69999999995343387</v>
      </c>
      <c r="O35" s="455"/>
    </row>
    <row r="36" spans="1:15" ht="21.95" customHeight="1">
      <c r="A36" s="229" t="s">
        <v>164</v>
      </c>
      <c r="B36" s="230"/>
      <c r="C36" s="230"/>
      <c r="D36" s="174" t="s">
        <v>131</v>
      </c>
      <c r="E36" s="106">
        <f>'29'!F36</f>
        <v>44995</v>
      </c>
      <c r="F36" s="161">
        <v>45852</v>
      </c>
      <c r="G36" s="124">
        <f t="shared" si="3"/>
        <v>857</v>
      </c>
      <c r="H36" s="111">
        <v>0</v>
      </c>
      <c r="I36" s="106"/>
      <c r="J36" s="203">
        <f>H36/DAY(B2)</f>
        <v>0</v>
      </c>
      <c r="K36" s="81"/>
      <c r="L36" s="68"/>
      <c r="N36" s="91">
        <f>F36-'1'!E36</f>
        <v>-946</v>
      </c>
      <c r="O36" s="455"/>
    </row>
    <row r="37" spans="1:15" ht="21.95" customHeight="1">
      <c r="A37" s="229" t="s">
        <v>165</v>
      </c>
      <c r="B37" s="230"/>
      <c r="C37" s="230"/>
      <c r="D37" s="174" t="s">
        <v>131</v>
      </c>
      <c r="E37" s="106">
        <f>'29'!F37</f>
        <v>222885</v>
      </c>
      <c r="F37" s="161">
        <v>224517</v>
      </c>
      <c r="G37" s="124">
        <f t="shared" si="3"/>
        <v>1632</v>
      </c>
      <c r="H37" s="111">
        <f>G37+'29'!H37</f>
        <v>-1656</v>
      </c>
      <c r="I37" s="106"/>
      <c r="J37" s="203">
        <f>H37/DAY(B2)</f>
        <v>-55.2</v>
      </c>
      <c r="K37" s="81"/>
      <c r="L37" s="68"/>
      <c r="N37" s="91">
        <f>F37-'1'!E37</f>
        <v>-1656</v>
      </c>
      <c r="O37" s="455"/>
    </row>
    <row r="38" spans="1:15" ht="21.95" customHeight="1">
      <c r="A38" s="229" t="s">
        <v>166</v>
      </c>
      <c r="B38" s="230"/>
      <c r="C38" s="230"/>
      <c r="D38" s="174" t="s">
        <v>131</v>
      </c>
      <c r="E38" s="106">
        <f>'29'!F38</f>
        <v>245114</v>
      </c>
      <c r="F38" s="120">
        <v>246814</v>
      </c>
      <c r="G38" s="124">
        <f t="shared" si="3"/>
        <v>1700</v>
      </c>
      <c r="H38" s="111">
        <f>G38+'29'!H38</f>
        <v>-1745</v>
      </c>
      <c r="I38" s="106"/>
      <c r="J38" s="203">
        <f>H38/DAY(B2)</f>
        <v>-58.166666666666664</v>
      </c>
      <c r="K38" s="81"/>
      <c r="L38" s="68"/>
      <c r="N38" s="91"/>
      <c r="O38" s="455"/>
    </row>
    <row r="39" spans="1:15" ht="21.95" customHeight="1">
      <c r="A39" s="229" t="s">
        <v>167</v>
      </c>
      <c r="B39" s="230"/>
      <c r="C39" s="230"/>
      <c r="D39" s="174" t="s">
        <v>131</v>
      </c>
      <c r="E39" s="106">
        <f>'29'!F39</f>
        <v>512863</v>
      </c>
      <c r="F39" s="161">
        <v>516711</v>
      </c>
      <c r="G39" s="124">
        <f t="shared" si="3"/>
        <v>3848</v>
      </c>
      <c r="H39" s="111">
        <f>G39+'29'!H39</f>
        <v>-3807</v>
      </c>
      <c r="I39" s="106"/>
      <c r="J39" s="203">
        <f>H39/DAY(B2)</f>
        <v>-126.9</v>
      </c>
      <c r="K39" s="81"/>
      <c r="L39" s="68"/>
      <c r="N39" s="91">
        <f>F39-'1'!E39</f>
        <v>-3807</v>
      </c>
      <c r="O39" s="455"/>
    </row>
    <row r="40" spans="1:15" ht="21.95" customHeight="1">
      <c r="A40" s="250" t="s">
        <v>168</v>
      </c>
      <c r="B40" s="251"/>
      <c r="C40" s="251"/>
      <c r="D40" s="174" t="s">
        <v>131</v>
      </c>
      <c r="E40" s="106">
        <f>'29'!F40</f>
        <v>19128</v>
      </c>
      <c r="F40" s="161">
        <v>19776</v>
      </c>
      <c r="G40" s="124">
        <f t="shared" si="3"/>
        <v>648</v>
      </c>
      <c r="H40" s="111">
        <f>G40+'29'!H40</f>
        <v>-397</v>
      </c>
      <c r="I40" s="106"/>
      <c r="J40" s="203">
        <f>H40/DAY(B2)</f>
        <v>-13.233333333333333</v>
      </c>
      <c r="K40" s="82"/>
      <c r="L40" s="68"/>
      <c r="N40" s="91">
        <f>F40-'1'!E40</f>
        <v>-397</v>
      </c>
      <c r="O40" s="455"/>
    </row>
    <row r="41" spans="1:15" ht="21.95" customHeight="1">
      <c r="A41" s="229" t="s">
        <v>169</v>
      </c>
      <c r="B41" s="230"/>
      <c r="C41" s="230"/>
      <c r="D41" s="174" t="s">
        <v>131</v>
      </c>
      <c r="E41" s="106">
        <f>'29'!F41</f>
        <v>366840</v>
      </c>
      <c r="F41" s="161">
        <v>366840</v>
      </c>
      <c r="G41" s="124">
        <f t="shared" si="3"/>
        <v>0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5"/>
    </row>
    <row r="42" spans="1:15" ht="21.95" customHeight="1">
      <c r="A42" s="229" t="s">
        <v>170</v>
      </c>
      <c r="B42" s="230"/>
      <c r="C42" s="230"/>
      <c r="D42" s="174" t="s">
        <v>131</v>
      </c>
      <c r="E42" s="106">
        <f>'29'!F42</f>
        <v>111473</v>
      </c>
      <c r="F42" s="161">
        <v>112569</v>
      </c>
      <c r="G42" s="124">
        <f t="shared" si="3"/>
        <v>1096</v>
      </c>
      <c r="H42" s="111">
        <f>G42+'29'!H42</f>
        <v>-2943</v>
      </c>
      <c r="I42" s="106"/>
      <c r="J42" s="203">
        <f>H42/DAY(B2)</f>
        <v>-98.1</v>
      </c>
      <c r="K42" s="81"/>
      <c r="L42" s="68"/>
      <c r="N42" s="91">
        <f>F42-'1'!E42</f>
        <v>-2943</v>
      </c>
      <c r="O42" s="455"/>
    </row>
    <row r="43" spans="1:15" ht="21.95" customHeight="1">
      <c r="A43" s="229" t="s">
        <v>171</v>
      </c>
      <c r="B43" s="230"/>
      <c r="C43" s="230"/>
      <c r="D43" s="174" t="s">
        <v>131</v>
      </c>
      <c r="E43" s="106">
        <f>'29'!F43</f>
        <v>1198997</v>
      </c>
      <c r="F43" s="161">
        <v>1201637</v>
      </c>
      <c r="G43" s="124">
        <f t="shared" si="3"/>
        <v>2640</v>
      </c>
      <c r="H43" s="111">
        <f>G43+'29'!H43</f>
        <v>-2824</v>
      </c>
      <c r="I43" s="106"/>
      <c r="J43" s="203">
        <f>H43/DAY(B2)</f>
        <v>-94.13333333333334</v>
      </c>
      <c r="K43" s="81"/>
      <c r="L43" s="68"/>
      <c r="N43" s="91">
        <f>F43-'1'!E43</f>
        <v>-2824</v>
      </c>
      <c r="O43" s="455"/>
    </row>
    <row r="44" spans="1:15" ht="21.95" customHeight="1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5"/>
    </row>
    <row r="45" spans="1:15" ht="21.95" customHeight="1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5"/>
    </row>
    <row r="46" spans="1:15" ht="21.95" customHeight="1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5"/>
    </row>
    <row r="47" spans="1:15" ht="21.95" customHeight="1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12421</v>
      </c>
      <c r="H47" s="111">
        <f>G47+'29'!H47</f>
        <v>-13516.30000000009</v>
      </c>
      <c r="I47" s="106"/>
      <c r="J47" s="203">
        <f>H47/DAY(B2)</f>
        <v>-450.54333333333636</v>
      </c>
      <c r="K47" s="81"/>
      <c r="L47" s="68"/>
      <c r="N47" s="91">
        <f>F47-'1'!E47</f>
        <v>0</v>
      </c>
      <c r="O47" s="455"/>
    </row>
    <row r="48" spans="1:15" ht="29.2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O48" s="455"/>
    </row>
    <row r="49" spans="1:15" ht="29.25">
      <c r="A49" s="229" t="s">
        <v>163</v>
      </c>
      <c r="B49" s="252"/>
      <c r="C49" s="252"/>
      <c r="D49" s="174" t="s">
        <v>131</v>
      </c>
      <c r="E49" s="106">
        <f>'29'!F49</f>
        <v>318012</v>
      </c>
      <c r="F49" s="161">
        <v>321016</v>
      </c>
      <c r="G49" s="124">
        <f t="shared" ref="G49:G58" si="4">F49-E49</f>
        <v>3004</v>
      </c>
      <c r="H49" s="111">
        <f>G49+'29'!H49</f>
        <v>-6022</v>
      </c>
      <c r="I49" s="106"/>
      <c r="J49" s="203">
        <f>H49/DAY(B2)</f>
        <v>-200.73333333333332</v>
      </c>
      <c r="K49" s="81"/>
      <c r="L49" s="68"/>
      <c r="O49" s="455"/>
    </row>
    <row r="50" spans="1:15" ht="29.25">
      <c r="A50" s="229" t="s">
        <v>177</v>
      </c>
      <c r="B50" s="252"/>
      <c r="C50" s="252"/>
      <c r="D50" s="174" t="s">
        <v>131</v>
      </c>
      <c r="E50" s="106">
        <f>'29'!F50</f>
        <v>567719</v>
      </c>
      <c r="F50" s="161">
        <v>568748</v>
      </c>
      <c r="G50" s="124">
        <f t="shared" si="4"/>
        <v>1029</v>
      </c>
      <c r="H50" s="111">
        <f>G50+'29'!H50</f>
        <v>-2069</v>
      </c>
      <c r="I50" s="106"/>
      <c r="J50" s="203">
        <f>H50/DAY(B2)</f>
        <v>-68.966666666666669</v>
      </c>
      <c r="K50" s="81"/>
      <c r="L50" s="68"/>
      <c r="O50" s="455"/>
    </row>
    <row r="51" spans="1:15" ht="29.25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5"/>
    </row>
    <row r="52" spans="1:15" ht="29.25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5"/>
    </row>
    <row r="53" spans="1:15" ht="29.25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-0.33000000001629815</v>
      </c>
      <c r="I53" s="106"/>
      <c r="J53" s="203">
        <f>H53/DAY(B2)</f>
        <v>-1.1000000000543271E-2</v>
      </c>
      <c r="K53" s="81"/>
      <c r="L53" s="68"/>
      <c r="O53" s="455"/>
    </row>
    <row r="54" spans="1:15" ht="29.25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0</v>
      </c>
      <c r="I54" s="106"/>
      <c r="J54" s="203">
        <f>H54/DAY(B2)</f>
        <v>0</v>
      </c>
      <c r="K54" s="81"/>
      <c r="L54" s="68"/>
      <c r="O54" s="455"/>
    </row>
    <row r="55" spans="1:15" ht="29.25">
      <c r="A55" s="229" t="s">
        <v>180</v>
      </c>
      <c r="B55" s="252"/>
      <c r="C55" s="252"/>
      <c r="D55" s="174" t="s">
        <v>131</v>
      </c>
      <c r="E55" s="106">
        <f>'29'!F55</f>
        <v>225654</v>
      </c>
      <c r="F55" s="706">
        <v>231381</v>
      </c>
      <c r="G55" s="124">
        <f t="shared" si="4"/>
        <v>5727</v>
      </c>
      <c r="H55" s="111">
        <f>G55+'29'!H55</f>
        <v>-5805</v>
      </c>
      <c r="I55" s="106"/>
      <c r="J55" s="203">
        <f>H55/DAY(B2)</f>
        <v>-193.5</v>
      </c>
      <c r="K55" s="81"/>
      <c r="L55" s="68"/>
      <c r="O55" s="455"/>
    </row>
    <row r="56" spans="1:15" ht="29.25">
      <c r="A56" s="229" t="s">
        <v>181</v>
      </c>
      <c r="B56" s="252"/>
      <c r="C56" s="252"/>
      <c r="D56" s="174" t="s">
        <v>182</v>
      </c>
      <c r="E56" s="106">
        <f>'29'!F56</f>
        <v>649338</v>
      </c>
      <c r="F56" s="161">
        <v>649350</v>
      </c>
      <c r="G56" s="124">
        <f t="shared" si="4"/>
        <v>12</v>
      </c>
      <c r="H56" s="111">
        <f>G56+'29'!H56</f>
        <v>-22</v>
      </c>
      <c r="I56" s="106"/>
      <c r="J56" s="203">
        <f>H56/DAY(B2)</f>
        <v>-0.73333333333333328</v>
      </c>
      <c r="K56" s="80"/>
      <c r="L56" s="68"/>
      <c r="O56" s="455"/>
    </row>
    <row r="57" spans="1:15" ht="29.25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5"/>
    </row>
    <row r="58" spans="1:15" ht="29.25">
      <c r="A58" s="229" t="s">
        <v>183</v>
      </c>
      <c r="B58" s="252"/>
      <c r="C58" s="252"/>
      <c r="D58" s="174" t="s">
        <v>131</v>
      </c>
      <c r="E58" s="106">
        <f>'29'!F58</f>
        <v>59251</v>
      </c>
      <c r="F58" s="161">
        <v>59471</v>
      </c>
      <c r="G58" s="124">
        <f t="shared" si="4"/>
        <v>220</v>
      </c>
      <c r="H58" s="111">
        <f>G58+'29'!H58</f>
        <v>-420</v>
      </c>
      <c r="I58" s="106"/>
      <c r="J58" s="203">
        <f>H58/DAY(B2)</f>
        <v>-14</v>
      </c>
      <c r="K58" s="81"/>
      <c r="L58" s="68"/>
      <c r="O58" s="455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9992.0600000000559</v>
      </c>
      <c r="H59" s="111">
        <f>G59+'29'!H59</f>
        <v>-14338.330000000016</v>
      </c>
      <c r="I59" s="106">
        <f>G7-G60</f>
        <v>836.93999999994412</v>
      </c>
      <c r="J59" s="203">
        <f>H59/DAY(B2)</f>
        <v>-477.94433333333387</v>
      </c>
      <c r="K59" s="81"/>
      <c r="L59" s="68"/>
      <c r="O59" s="455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22413.060000000056</v>
      </c>
      <c r="H60" s="111">
        <f>G60+'29'!H60</f>
        <v>-22277.300000000076</v>
      </c>
      <c r="I60" s="106">
        <f>G13-G60</f>
        <v>-917.06000000005588</v>
      </c>
      <c r="J60" s="203">
        <f>H60/DAY(B2)</f>
        <v>-742.57666666666921</v>
      </c>
      <c r="K60" s="81"/>
      <c r="L60" s="68"/>
      <c r="O60" s="455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5"/>
    </row>
    <row r="62" spans="1:15" ht="29.25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5"/>
    </row>
    <row r="63" spans="1:15" ht="29.25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5"/>
    </row>
    <row r="64" spans="1:15" ht="27.75">
      <c r="A64" s="1331" t="s">
        <v>98</v>
      </c>
      <c r="B64" s="1187"/>
      <c r="C64" s="1187"/>
      <c r="D64" s="174" t="s">
        <v>186</v>
      </c>
      <c r="E64" s="106">
        <f>'29'!F64</f>
        <v>181134</v>
      </c>
      <c r="F64" s="135">
        <v>181513</v>
      </c>
      <c r="G64" s="124">
        <f t="shared" si="5"/>
        <v>379</v>
      </c>
      <c r="H64" s="111">
        <f>G64+'29'!H64</f>
        <v>-347</v>
      </c>
      <c r="I64" s="131"/>
      <c r="J64" s="203">
        <f>H64/DAY(B2)</f>
        <v>-11.566666666666666</v>
      </c>
      <c r="K64" s="81"/>
      <c r="L64" s="68"/>
      <c r="O64" s="455"/>
    </row>
    <row r="65" spans="1:15" ht="27.75">
      <c r="A65" s="1331" t="s">
        <v>99</v>
      </c>
      <c r="B65" s="1187"/>
      <c r="C65" s="1187"/>
      <c r="D65" s="174" t="s">
        <v>186</v>
      </c>
      <c r="E65" s="106">
        <f>'29'!F65</f>
        <v>181412</v>
      </c>
      <c r="F65" s="135">
        <v>181814</v>
      </c>
      <c r="G65" s="124">
        <f t="shared" si="5"/>
        <v>402</v>
      </c>
      <c r="H65" s="111">
        <f>G65+'29'!H65</f>
        <v>-395</v>
      </c>
      <c r="I65" s="140"/>
      <c r="J65" s="203">
        <f>H65/DAY(B2)</f>
        <v>-13.166666666666666</v>
      </c>
      <c r="K65" s="81"/>
      <c r="L65" s="68"/>
      <c r="O65" s="455"/>
    </row>
    <row r="66" spans="1:15" ht="27.75">
      <c r="A66" s="1331" t="s">
        <v>100</v>
      </c>
      <c r="B66" s="1187"/>
      <c r="C66" s="1187"/>
      <c r="D66" s="174" t="s">
        <v>186</v>
      </c>
      <c r="E66" s="106">
        <f>'29'!F66</f>
        <v>79841</v>
      </c>
      <c r="F66" s="135">
        <v>80259</v>
      </c>
      <c r="G66" s="124">
        <f t="shared" si="5"/>
        <v>418</v>
      </c>
      <c r="H66" s="111">
        <f>G66+'29'!H66</f>
        <v>-413</v>
      </c>
      <c r="I66" s="131"/>
      <c r="J66" s="203">
        <f>H66/DAY(B2)</f>
        <v>-13.766666666666667</v>
      </c>
      <c r="K66" s="81"/>
      <c r="L66" s="68"/>
      <c r="O66" s="455"/>
    </row>
    <row r="67" spans="1:15" ht="27.75">
      <c r="A67" s="1331" t="s">
        <v>101</v>
      </c>
      <c r="B67" s="1187"/>
      <c r="C67" s="1187"/>
      <c r="D67" s="174" t="s">
        <v>186</v>
      </c>
      <c r="E67" s="106">
        <f>'29'!F67</f>
        <v>278995</v>
      </c>
      <c r="F67" s="135">
        <v>279520</v>
      </c>
      <c r="G67" s="124">
        <f t="shared" si="5"/>
        <v>525</v>
      </c>
      <c r="H67" s="111">
        <f>G67+'29'!H67</f>
        <v>-538</v>
      </c>
      <c r="I67" s="140"/>
      <c r="J67" s="203">
        <f>H67/DAY(B2)</f>
        <v>-17.933333333333334</v>
      </c>
      <c r="K67" s="82"/>
      <c r="L67" s="68"/>
      <c r="O67" s="455"/>
    </row>
    <row r="68" spans="1:15" ht="27.75">
      <c r="A68" s="1331" t="s">
        <v>102</v>
      </c>
      <c r="B68" s="1187"/>
      <c r="C68" s="1187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5"/>
    </row>
    <row r="69" spans="1:15" ht="27.75">
      <c r="A69" s="1331" t="s">
        <v>103</v>
      </c>
      <c r="B69" s="1187"/>
      <c r="C69" s="1187"/>
      <c r="D69" s="174" t="s">
        <v>186</v>
      </c>
      <c r="E69" s="106">
        <f>'29'!F69</f>
        <v>95873</v>
      </c>
      <c r="F69" s="135">
        <v>96220</v>
      </c>
      <c r="G69" s="124">
        <f t="shared" si="5"/>
        <v>347</v>
      </c>
      <c r="H69" s="111">
        <f>G69+'29'!H69</f>
        <v>-337</v>
      </c>
      <c r="I69" s="167"/>
      <c r="J69" s="203">
        <f>H69/DAY(B2)</f>
        <v>-11.233333333333333</v>
      </c>
      <c r="K69" s="84"/>
      <c r="L69" s="68"/>
      <c r="O69" s="455"/>
    </row>
    <row r="70" spans="1:15" ht="27.75">
      <c r="A70" s="1348" t="s">
        <v>188</v>
      </c>
      <c r="B70" s="1253"/>
      <c r="C70" s="1253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5"/>
    </row>
    <row r="71" spans="1:15" ht="31.5">
      <c r="A71" s="1342" t="s">
        <v>189</v>
      </c>
      <c r="B71" s="1343"/>
      <c r="C71" s="1343"/>
      <c r="D71" s="1343"/>
      <c r="E71" s="1343"/>
      <c r="F71" s="1343"/>
      <c r="G71" s="1343"/>
      <c r="H71" s="1343"/>
      <c r="I71" s="1343"/>
      <c r="J71" s="1344"/>
      <c r="K71" s="83"/>
      <c r="L71" s="68"/>
      <c r="O71" s="455"/>
    </row>
    <row r="72" spans="1:15" ht="27.75">
      <c r="A72" s="1331" t="s">
        <v>190</v>
      </c>
      <c r="B72" s="1187"/>
      <c r="C72" s="1187"/>
      <c r="D72" s="174" t="s">
        <v>186</v>
      </c>
      <c r="E72" s="106">
        <f>'29'!F72</f>
        <v>856582</v>
      </c>
      <c r="F72" s="170">
        <v>856597</v>
      </c>
      <c r="G72" s="124">
        <f t="shared" ref="G72:G84" si="6">F72-E72</f>
        <v>15</v>
      </c>
      <c r="H72" s="111">
        <f>G72+'29'!H72</f>
        <v>-26</v>
      </c>
      <c r="I72" s="131"/>
      <c r="J72" s="203">
        <f>H72/DAY(B2)</f>
        <v>-0.8666666666666667</v>
      </c>
      <c r="K72" s="84"/>
      <c r="L72" s="68"/>
      <c r="O72" s="455"/>
    </row>
    <row r="73" spans="1:15" ht="27.75">
      <c r="A73" s="1331" t="s">
        <v>191</v>
      </c>
      <c r="B73" s="1187"/>
      <c r="C73" s="1187"/>
      <c r="D73" s="174" t="s">
        <v>186</v>
      </c>
      <c r="E73" s="106">
        <f>'29'!F73</f>
        <v>886010</v>
      </c>
      <c r="F73" s="171">
        <v>886012</v>
      </c>
      <c r="G73" s="124">
        <f t="shared" si="6"/>
        <v>2</v>
      </c>
      <c r="H73" s="111">
        <f>G73+'29'!H73</f>
        <v>156</v>
      </c>
      <c r="I73" s="131"/>
      <c r="J73" s="203">
        <f>H73/DAY(B2)</f>
        <v>5.2</v>
      </c>
      <c r="K73" s="83"/>
      <c r="L73" s="68"/>
      <c r="O73" s="455"/>
    </row>
    <row r="74" spans="1:15" ht="27.75">
      <c r="A74" s="1331" t="s">
        <v>192</v>
      </c>
      <c r="B74" s="1187"/>
      <c r="C74" s="1187"/>
      <c r="D74" s="174" t="s">
        <v>186</v>
      </c>
      <c r="E74" s="106">
        <f>'29'!F74</f>
        <v>88731</v>
      </c>
      <c r="F74" s="172">
        <v>88732</v>
      </c>
      <c r="G74" s="124">
        <f t="shared" si="6"/>
        <v>1</v>
      </c>
      <c r="H74" s="111">
        <f>G74+'29'!H74</f>
        <v>71</v>
      </c>
      <c r="I74" s="131"/>
      <c r="J74" s="203">
        <f>H74/DAY(B2)</f>
        <v>2.3666666666666667</v>
      </c>
      <c r="K74" s="84"/>
      <c r="L74" s="68"/>
      <c r="O74" s="455"/>
    </row>
    <row r="75" spans="1:15" ht="27.75">
      <c r="A75" s="1353" t="s">
        <v>193</v>
      </c>
      <c r="B75" s="1354"/>
      <c r="C75" s="1354"/>
      <c r="D75" s="174" t="s">
        <v>186</v>
      </c>
      <c r="E75" s="106">
        <f>'29'!F75</f>
        <v>20588</v>
      </c>
      <c r="F75" s="172">
        <v>20760</v>
      </c>
      <c r="G75" s="124">
        <f t="shared" si="6"/>
        <v>172</v>
      </c>
      <c r="H75" s="111">
        <f>G75+'29'!H75</f>
        <v>-187</v>
      </c>
      <c r="I75" s="131"/>
      <c r="J75" s="203">
        <f>H75/DAY(B2)</f>
        <v>-6.2333333333333334</v>
      </c>
      <c r="K75" s="83"/>
      <c r="L75" s="68"/>
      <c r="O75" s="455"/>
    </row>
    <row r="76" spans="1:15" ht="27.75">
      <c r="A76" s="1353" t="s">
        <v>194</v>
      </c>
      <c r="B76" s="1354"/>
      <c r="C76" s="1354"/>
      <c r="D76" s="174" t="s">
        <v>186</v>
      </c>
      <c r="E76" s="106">
        <f>'29'!F76</f>
        <v>11284</v>
      </c>
      <c r="F76" s="171">
        <v>11357</v>
      </c>
      <c r="G76" s="124">
        <f t="shared" si="6"/>
        <v>73</v>
      </c>
      <c r="H76" s="111">
        <f>G76+'29'!H76</f>
        <v>1431.6000000000004</v>
      </c>
      <c r="I76" s="156"/>
      <c r="J76" s="203">
        <f>H76/DAY(B2)</f>
        <v>47.720000000000013</v>
      </c>
      <c r="K76" s="83"/>
      <c r="L76" s="68"/>
      <c r="O76" s="455"/>
    </row>
    <row r="77" spans="1:15" ht="27.75">
      <c r="A77" s="1331" t="s">
        <v>195</v>
      </c>
      <c r="B77" s="1187"/>
      <c r="C77" s="1187"/>
      <c r="D77" s="174" t="s">
        <v>186</v>
      </c>
      <c r="E77" s="106">
        <f>'29'!F77</f>
        <v>706327</v>
      </c>
      <c r="F77" s="172">
        <v>706384</v>
      </c>
      <c r="G77" s="124">
        <f t="shared" si="6"/>
        <v>57</v>
      </c>
      <c r="H77" s="111">
        <f>G77+'29'!H77</f>
        <v>-69</v>
      </c>
      <c r="I77" s="156"/>
      <c r="J77" s="203">
        <f>H77/DAY(B2)</f>
        <v>-2.2999999999999998</v>
      </c>
      <c r="K77" s="83"/>
      <c r="L77" s="68"/>
      <c r="O77" s="455"/>
    </row>
    <row r="78" spans="1:15" ht="27.75">
      <c r="A78" s="774" t="s">
        <v>196</v>
      </c>
      <c r="B78" s="766"/>
      <c r="C78" s="766"/>
      <c r="D78" s="174" t="s">
        <v>186</v>
      </c>
      <c r="E78" s="106">
        <f>'29'!F78</f>
        <v>678496</v>
      </c>
      <c r="F78" s="172">
        <v>678673</v>
      </c>
      <c r="G78" s="124">
        <f t="shared" si="6"/>
        <v>177</v>
      </c>
      <c r="H78" s="111">
        <f>G78+'29'!H78</f>
        <v>-180</v>
      </c>
      <c r="I78" s="156"/>
      <c r="J78" s="203">
        <f>H78/DAY(B2)</f>
        <v>-6</v>
      </c>
      <c r="K78" s="83"/>
      <c r="L78" s="68"/>
      <c r="O78" s="455"/>
    </row>
    <row r="79" spans="1:15" ht="27.75">
      <c r="A79" s="1353" t="s">
        <v>91</v>
      </c>
      <c r="B79" s="1354"/>
      <c r="C79" s="1354"/>
      <c r="D79" s="175" t="s">
        <v>186</v>
      </c>
      <c r="E79" s="106">
        <f>'29'!F79</f>
        <v>839915</v>
      </c>
      <c r="F79" s="172">
        <v>840054</v>
      </c>
      <c r="G79" s="124">
        <f t="shared" si="6"/>
        <v>139</v>
      </c>
      <c r="H79" s="111">
        <f>G79+'29'!H79</f>
        <v>-628</v>
      </c>
      <c r="I79" s="156"/>
      <c r="J79" s="203">
        <f>H79/DAY(B2)</f>
        <v>-20.933333333333334</v>
      </c>
      <c r="K79" s="83"/>
      <c r="L79" s="68"/>
      <c r="O79" s="455"/>
    </row>
    <row r="80" spans="1:15" ht="27.75">
      <c r="A80" s="1353" t="s">
        <v>197</v>
      </c>
      <c r="B80" s="1354"/>
      <c r="C80" s="1354"/>
      <c r="D80" s="175" t="s">
        <v>186</v>
      </c>
      <c r="E80" s="106">
        <f>'29'!F80</f>
        <v>551128</v>
      </c>
      <c r="F80" s="171">
        <v>551538</v>
      </c>
      <c r="G80" s="124">
        <f t="shared" si="6"/>
        <v>410</v>
      </c>
      <c r="H80" s="111">
        <f>G80+'29'!H80</f>
        <v>-3668</v>
      </c>
      <c r="I80" s="156"/>
      <c r="J80" s="203">
        <f>H80/DAY(B2)</f>
        <v>-122.26666666666667</v>
      </c>
      <c r="K80" s="83"/>
      <c r="L80" s="68"/>
      <c r="O80" s="455"/>
    </row>
    <row r="81" spans="1:15" ht="27.75">
      <c r="A81" s="1353" t="s">
        <v>198</v>
      </c>
      <c r="B81" s="1354"/>
      <c r="C81" s="1354"/>
      <c r="D81" s="175" t="s">
        <v>186</v>
      </c>
      <c r="E81" s="106">
        <f>'29'!F81</f>
        <v>648645</v>
      </c>
      <c r="F81" s="171">
        <v>648833</v>
      </c>
      <c r="G81" s="124">
        <f t="shared" si="6"/>
        <v>188</v>
      </c>
      <c r="H81" s="111">
        <f>G81+'29'!H81</f>
        <v>-185</v>
      </c>
      <c r="I81" s="156"/>
      <c r="J81" s="203">
        <f>H81/DAY(B2)</f>
        <v>-6.166666666666667</v>
      </c>
      <c r="K81" s="83"/>
      <c r="L81" s="68"/>
      <c r="O81" s="455"/>
    </row>
    <row r="82" spans="1:15" ht="27.75">
      <c r="A82" s="1353" t="s">
        <v>92</v>
      </c>
      <c r="B82" s="1354"/>
      <c r="C82" s="1354"/>
      <c r="D82" s="136" t="s">
        <v>131</v>
      </c>
      <c r="E82" s="106">
        <f>'29'!F82</f>
        <v>109295</v>
      </c>
      <c r="F82" s="173">
        <v>109309</v>
      </c>
      <c r="G82" s="124">
        <f t="shared" si="6"/>
        <v>14</v>
      </c>
      <c r="H82" s="111">
        <f>G82+'29'!H82</f>
        <v>-27</v>
      </c>
      <c r="I82" s="137"/>
      <c r="J82" s="203">
        <f>H82/DAY(B2)</f>
        <v>-0.9</v>
      </c>
      <c r="K82" s="83"/>
      <c r="L82" s="68"/>
      <c r="O82" s="455"/>
    </row>
    <row r="83" spans="1:15" ht="27.75">
      <c r="A83" s="1353" t="s">
        <v>199</v>
      </c>
      <c r="B83" s="1354"/>
      <c r="C83" s="1354"/>
      <c r="D83" s="271" t="s">
        <v>131</v>
      </c>
      <c r="E83" s="106">
        <f>'29'!F83</f>
        <v>34387</v>
      </c>
      <c r="F83" s="162">
        <v>34708</v>
      </c>
      <c r="G83" s="124">
        <f t="shared" si="6"/>
        <v>321</v>
      </c>
      <c r="H83" s="111">
        <f>G83+'29'!H83</f>
        <v>-317</v>
      </c>
      <c r="I83" s="132"/>
      <c r="J83" s="203">
        <f>H83/DAY(B2)</f>
        <v>-10.566666666666666</v>
      </c>
      <c r="K83" s="82"/>
      <c r="L83" s="68"/>
      <c r="O83" s="455"/>
    </row>
    <row r="84" spans="1:15" ht="29.25">
      <c r="A84" s="775" t="s">
        <v>200</v>
      </c>
      <c r="B84" s="222"/>
      <c r="C84" s="222"/>
      <c r="D84" s="129" t="s">
        <v>131</v>
      </c>
      <c r="E84" s="106">
        <f>'29'!F84</f>
        <v>545771</v>
      </c>
      <c r="F84" s="174">
        <v>546573</v>
      </c>
      <c r="G84" s="124">
        <f t="shared" si="6"/>
        <v>802</v>
      </c>
      <c r="H84" s="111">
        <f>G84+'29'!H84</f>
        <v>-820</v>
      </c>
      <c r="I84" s="132"/>
      <c r="J84" s="203">
        <f>H84/DAY(B2)</f>
        <v>-27.333333333333332</v>
      </c>
      <c r="K84" s="71"/>
      <c r="L84" s="68"/>
      <c r="O84" s="455"/>
    </row>
    <row r="85" spans="1:15" s="70" customFormat="1" ht="21.95" customHeight="1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2371</v>
      </c>
      <c r="H85" s="111">
        <f>G85+'29'!H85</f>
        <v>-2371.9999999999964</v>
      </c>
      <c r="I85" s="132"/>
      <c r="J85" s="203">
        <f>H85/DAY(B2)</f>
        <v>-79.066666666666549</v>
      </c>
      <c r="K85" s="71"/>
      <c r="L85" s="69"/>
      <c r="O85" s="455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'29'!F86</f>
        <v>462474</v>
      </c>
      <c r="F86" s="298">
        <v>462486</v>
      </c>
      <c r="G86" s="356">
        <f t="shared" ref="G86:G91" si="7">F86-E86</f>
        <v>12</v>
      </c>
      <c r="H86" s="111">
        <f>G86+'29'!H86</f>
        <v>21</v>
      </c>
      <c r="I86" s="303"/>
      <c r="J86" s="358">
        <f>H86/DAY(B2)</f>
        <v>0.7</v>
      </c>
      <c r="K86" s="384"/>
      <c r="L86" s="385"/>
      <c r="O86" s="455"/>
    </row>
    <row r="87" spans="1:15" s="386" customFormat="1" ht="27.75" customHeight="1">
      <c r="A87" s="381" t="s">
        <v>94</v>
      </c>
      <c r="B87" s="382"/>
      <c r="C87" s="382"/>
      <c r="D87" s="383" t="s">
        <v>182</v>
      </c>
      <c r="E87" s="106">
        <f>'29'!F87</f>
        <v>82896</v>
      </c>
      <c r="F87" s="298">
        <v>82928</v>
      </c>
      <c r="G87" s="356">
        <f t="shared" si="7"/>
        <v>32</v>
      </c>
      <c r="H87" s="111">
        <f>G87+'29'!H87</f>
        <v>71</v>
      </c>
      <c r="I87" s="303"/>
      <c r="J87" s="358">
        <f>H87/DAY(B2)</f>
        <v>2.3666666666666667</v>
      </c>
      <c r="K87" s="384"/>
      <c r="L87" s="385"/>
      <c r="O87" s="455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'29'!F88</f>
        <v>158182</v>
      </c>
      <c r="F88" s="298">
        <v>158202</v>
      </c>
      <c r="G88" s="356">
        <f t="shared" si="7"/>
        <v>20</v>
      </c>
      <c r="H88" s="111">
        <f>G88+'29'!H88</f>
        <v>43</v>
      </c>
      <c r="I88" s="303"/>
      <c r="J88" s="358">
        <f>H88/DAY(B2)</f>
        <v>1.4333333333333333</v>
      </c>
      <c r="K88" s="384"/>
      <c r="L88" s="385"/>
      <c r="O88" s="455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'29'!F89</f>
        <v>66996</v>
      </c>
      <c r="F89" s="298">
        <v>67055</v>
      </c>
      <c r="G89" s="356">
        <f t="shared" si="7"/>
        <v>59</v>
      </c>
      <c r="H89" s="111">
        <f>G89+'29'!H89</f>
        <v>121</v>
      </c>
      <c r="I89" s="303"/>
      <c r="J89" s="358">
        <f>H89/DAY(B2)</f>
        <v>4.0333333333333332</v>
      </c>
      <c r="K89" s="384"/>
      <c r="L89" s="385"/>
      <c r="N89" s="428"/>
      <c r="O89" s="455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'29'!F90</f>
        <v>3455</v>
      </c>
      <c r="F90" s="298">
        <v>3460</v>
      </c>
      <c r="G90" s="356">
        <f t="shared" si="7"/>
        <v>5</v>
      </c>
      <c r="H90" s="111">
        <f>G90+'29'!H90</f>
        <v>10</v>
      </c>
      <c r="I90" s="303"/>
      <c r="J90" s="358">
        <f>H90/DAY(B2)</f>
        <v>0.33333333333333331</v>
      </c>
      <c r="K90" s="384"/>
      <c r="L90" s="385"/>
      <c r="N90" s="428"/>
      <c r="O90" s="455"/>
    </row>
    <row r="91" spans="1:15" s="386" customFormat="1" ht="29.25">
      <c r="A91" s="381" t="s">
        <v>336</v>
      </c>
      <c r="B91" s="382"/>
      <c r="C91" s="382"/>
      <c r="D91" s="383"/>
      <c r="E91" s="106">
        <f>'29'!F91</f>
        <v>28484</v>
      </c>
      <c r="F91" s="298">
        <v>28493</v>
      </c>
      <c r="G91" s="356">
        <f t="shared" si="7"/>
        <v>9</v>
      </c>
      <c r="H91" s="111">
        <f>G91+'29'!H91</f>
        <v>19</v>
      </c>
      <c r="I91" s="303"/>
      <c r="J91" s="358">
        <f>H91/DAY(B2)</f>
        <v>0.6333333333333333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O92" s="455"/>
    </row>
    <row r="93" spans="1:15" ht="27.75">
      <c r="A93" s="1329" t="s">
        <v>205</v>
      </c>
      <c r="B93" s="1330"/>
      <c r="C93" s="1330"/>
      <c r="D93" s="174" t="s">
        <v>143</v>
      </c>
      <c r="E93" s="106">
        <f>'29'!F93</f>
        <v>250126</v>
      </c>
      <c r="F93" s="135">
        <v>250211</v>
      </c>
      <c r="G93" s="124">
        <f t="shared" ref="G93:G94" si="8">F93-E93</f>
        <v>85</v>
      </c>
      <c r="H93" s="111">
        <f>G93+'29'!H93</f>
        <v>-103</v>
      </c>
      <c r="I93" s="131"/>
      <c r="J93" s="203">
        <f>H93/DAY(B2)</f>
        <v>-3.4333333333333331</v>
      </c>
      <c r="K93" s="82"/>
      <c r="L93" s="68"/>
      <c r="O93" s="455"/>
    </row>
    <row r="94" spans="1:15" ht="27.75">
      <c r="A94" s="1329" t="s">
        <v>206</v>
      </c>
      <c r="B94" s="1330"/>
      <c r="C94" s="1330"/>
      <c r="D94" s="174" t="s">
        <v>143</v>
      </c>
      <c r="E94" s="106">
        <f>'29'!F94</f>
        <v>192719</v>
      </c>
      <c r="F94" s="135">
        <v>192795</v>
      </c>
      <c r="G94" s="124">
        <f t="shared" si="8"/>
        <v>76</v>
      </c>
      <c r="H94" s="111">
        <f>G94+'29'!H94</f>
        <v>-103</v>
      </c>
      <c r="I94" s="131"/>
      <c r="J94" s="203">
        <f>H94/DAY(B2)</f>
        <v>-3.4333333333333331</v>
      </c>
      <c r="K94" s="71"/>
      <c r="L94" s="68"/>
      <c r="O94" s="455"/>
    </row>
    <row r="95" spans="1:15" ht="29.25">
      <c r="A95" s="1355" t="s">
        <v>207</v>
      </c>
      <c r="B95" s="1356"/>
      <c r="C95" s="1356"/>
      <c r="D95" s="174"/>
      <c r="E95" s="106"/>
      <c r="F95" s="135"/>
      <c r="G95" s="124">
        <f>G93+G94</f>
        <v>161</v>
      </c>
      <c r="H95" s="111">
        <f>G95+'29'!H95</f>
        <v>-512</v>
      </c>
      <c r="I95" s="131"/>
      <c r="J95" s="203">
        <f>H95/DAY(B2)</f>
        <v>-17.066666666666666</v>
      </c>
      <c r="K95" s="71"/>
      <c r="L95" s="68"/>
      <c r="O95" s="455"/>
    </row>
    <row r="96" spans="1:15" ht="27.75">
      <c r="A96" s="1329" t="s">
        <v>208</v>
      </c>
      <c r="B96" s="1330"/>
      <c r="C96" s="1330"/>
      <c r="D96" s="174" t="s">
        <v>143</v>
      </c>
      <c r="E96" s="106">
        <f>'29'!F96</f>
        <v>418383</v>
      </c>
      <c r="F96" s="135">
        <v>418456</v>
      </c>
      <c r="G96" s="124">
        <f t="shared" ref="G96:G100" si="9">F96-E96</f>
        <v>73</v>
      </c>
      <c r="H96" s="111">
        <f>G96+'29'!H96</f>
        <v>-80</v>
      </c>
      <c r="I96" s="131"/>
      <c r="J96" s="203">
        <f>H96/DAY(B2)</f>
        <v>-2.6666666666666665</v>
      </c>
      <c r="K96" s="71"/>
      <c r="L96" s="68"/>
      <c r="O96" s="455"/>
    </row>
    <row r="97" spans="1:15" ht="27.75">
      <c r="A97" s="771" t="s">
        <v>209</v>
      </c>
      <c r="B97" s="772"/>
      <c r="C97" s="772"/>
      <c r="D97" s="174" t="s">
        <v>143</v>
      </c>
      <c r="E97" s="106">
        <f>'29'!F97</f>
        <v>103802</v>
      </c>
      <c r="F97" s="135">
        <v>103825</v>
      </c>
      <c r="G97" s="124">
        <f t="shared" si="9"/>
        <v>23</v>
      </c>
      <c r="H97" s="111">
        <f>G97+'29'!H97</f>
        <v>-24</v>
      </c>
      <c r="I97" s="131"/>
      <c r="J97" s="203">
        <f>H97/DAY(B2)</f>
        <v>-0.8</v>
      </c>
      <c r="K97" s="80"/>
      <c r="L97" s="68"/>
      <c r="O97" s="455"/>
    </row>
    <row r="98" spans="1:15" ht="27.75">
      <c r="A98" s="771" t="s">
        <v>210</v>
      </c>
      <c r="B98" s="772"/>
      <c r="C98" s="772"/>
      <c r="D98" s="174" t="s">
        <v>143</v>
      </c>
      <c r="E98" s="106">
        <f>'29'!F98</f>
        <v>99391</v>
      </c>
      <c r="F98" s="135">
        <v>99417</v>
      </c>
      <c r="G98" s="124">
        <f t="shared" si="9"/>
        <v>26</v>
      </c>
      <c r="H98" s="111">
        <f>G98+'29'!H98</f>
        <v>-31</v>
      </c>
      <c r="I98" s="131"/>
      <c r="J98" s="203">
        <f>H98/DAY(B2)</f>
        <v>-1.0333333333333334</v>
      </c>
      <c r="K98" s="85"/>
      <c r="L98" s="68"/>
      <c r="O98" s="455"/>
    </row>
    <row r="99" spans="1:15" ht="27.75">
      <c r="A99" s="771" t="s">
        <v>211</v>
      </c>
      <c r="B99" s="772"/>
      <c r="C99" s="772"/>
      <c r="D99" s="174" t="s">
        <v>143</v>
      </c>
      <c r="E99" s="106">
        <f>'29'!F99</f>
        <v>151213</v>
      </c>
      <c r="F99" s="135">
        <v>151236</v>
      </c>
      <c r="G99" s="124">
        <f t="shared" si="9"/>
        <v>23</v>
      </c>
      <c r="H99" s="111">
        <f>G99+'29'!H99</f>
        <v>-15</v>
      </c>
      <c r="I99" s="131"/>
      <c r="J99" s="203">
        <f>H99/DAY(B2)</f>
        <v>-0.5</v>
      </c>
      <c r="K99" s="71"/>
      <c r="L99" s="68"/>
      <c r="O99" s="455"/>
    </row>
    <row r="100" spans="1:15" ht="27.75">
      <c r="A100" s="771" t="s">
        <v>212</v>
      </c>
      <c r="B100" s="772"/>
      <c r="C100" s="772"/>
      <c r="D100" s="174" t="s">
        <v>143</v>
      </c>
      <c r="E100" s="106">
        <f>'29'!F100</f>
        <v>8131</v>
      </c>
      <c r="F100" s="135">
        <v>8146</v>
      </c>
      <c r="G100" s="124">
        <f t="shared" si="9"/>
        <v>15</v>
      </c>
      <c r="H100" s="111">
        <f>G100+'29'!H100</f>
        <v>-19</v>
      </c>
      <c r="I100" s="131"/>
      <c r="J100" s="203">
        <f>H100/DAY(B2)</f>
        <v>-0.6333333333333333</v>
      </c>
      <c r="K100" s="71"/>
      <c r="L100" s="68"/>
      <c r="O100" s="455"/>
    </row>
    <row r="101" spans="1:15" ht="27.75">
      <c r="A101" s="771" t="s">
        <v>213</v>
      </c>
      <c r="B101" s="772"/>
      <c r="C101" s="772"/>
      <c r="D101" s="174" t="s">
        <v>143</v>
      </c>
      <c r="E101" s="106">
        <f>'29'!F101</f>
        <v>5967</v>
      </c>
      <c r="F101" s="135">
        <v>5977</v>
      </c>
      <c r="G101" s="124">
        <f>F101-E101</f>
        <v>10</v>
      </c>
      <c r="H101" s="111">
        <f>G101+'29'!H101</f>
        <v>-14</v>
      </c>
      <c r="I101" s="131"/>
      <c r="J101" s="203">
        <f>H101/DAY(B2)</f>
        <v>-0.46666666666666667</v>
      </c>
      <c r="K101" s="71"/>
      <c r="L101" s="68"/>
      <c r="O101" s="455"/>
    </row>
    <row r="102" spans="1:15" ht="29.25">
      <c r="A102" s="1355" t="s">
        <v>215</v>
      </c>
      <c r="B102" s="1356"/>
      <c r="C102" s="1356"/>
      <c r="D102" s="175"/>
      <c r="E102" s="175"/>
      <c r="F102" s="175"/>
      <c r="G102" s="176">
        <f>SUM(G96:G101)</f>
        <v>170</v>
      </c>
      <c r="H102" s="111">
        <f>G102+'29'!H102</f>
        <v>-183</v>
      </c>
      <c r="I102" s="177"/>
      <c r="J102" s="203">
        <f>H102/DAY(B2)</f>
        <v>-6.1</v>
      </c>
      <c r="K102" s="71"/>
      <c r="L102" s="68"/>
      <c r="O102" s="455"/>
    </row>
    <row r="103" spans="1:15" s="93" customFormat="1" ht="27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5"/>
    </row>
    <row r="104" spans="1:15" s="93" customFormat="1" ht="27.75">
      <c r="A104" s="1359" t="s">
        <v>217</v>
      </c>
      <c r="B104" s="1360"/>
      <c r="C104" s="224"/>
      <c r="D104" s="273"/>
      <c r="E104" s="183"/>
      <c r="F104" s="183"/>
      <c r="G104" s="183"/>
      <c r="H104" s="184"/>
      <c r="I104" s="183"/>
      <c r="J104" s="209"/>
      <c r="O104" s="455"/>
    </row>
    <row r="105" spans="1:15" s="93" customFormat="1" ht="27.75">
      <c r="A105" s="1334" t="s">
        <v>218</v>
      </c>
      <c r="B105" s="1247"/>
      <c r="C105" s="769"/>
      <c r="D105" s="273" t="s">
        <v>143</v>
      </c>
      <c r="E105" s="183">
        <f>'29'!F105</f>
        <v>7637</v>
      </c>
      <c r="F105" s="183">
        <v>7637</v>
      </c>
      <c r="G105" s="183">
        <f>F105-E105</f>
        <v>0</v>
      </c>
      <c r="H105" s="111">
        <f>G105+'29'!H105</f>
        <v>59.6299999999992</v>
      </c>
      <c r="I105" s="183"/>
      <c r="J105" s="209">
        <f>H105/DAY(B2)</f>
        <v>1.98766666666664</v>
      </c>
      <c r="O105" s="455"/>
    </row>
    <row r="106" spans="1:15" s="93" customFormat="1" ht="27.75">
      <c r="A106" s="1334" t="s">
        <v>76</v>
      </c>
      <c r="B106" s="1247"/>
      <c r="C106" s="769"/>
      <c r="D106" s="273" t="s">
        <v>143</v>
      </c>
      <c r="E106" s="183">
        <f>'29'!F106</f>
        <v>36440</v>
      </c>
      <c r="F106" s="185">
        <v>36451</v>
      </c>
      <c r="G106" s="183">
        <f t="shared" ref="G106:G107" si="10">F106-E106</f>
        <v>11</v>
      </c>
      <c r="H106" s="111">
        <f>G106+'29'!H106</f>
        <v>78</v>
      </c>
      <c r="I106" s="183"/>
      <c r="J106" s="209">
        <f>H106/DAY(B2)</f>
        <v>2.6</v>
      </c>
      <c r="O106" s="455"/>
    </row>
    <row r="107" spans="1:15" s="93" customFormat="1" ht="27.75">
      <c r="A107" s="1334" t="s">
        <v>77</v>
      </c>
      <c r="B107" s="1247"/>
      <c r="C107" s="1247"/>
      <c r="D107" s="273" t="s">
        <v>143</v>
      </c>
      <c r="E107" s="183">
        <f>'29'!F107</f>
        <v>19951</v>
      </c>
      <c r="F107" s="183">
        <v>19957</v>
      </c>
      <c r="G107" s="183">
        <f t="shared" si="10"/>
        <v>6</v>
      </c>
      <c r="H107" s="111">
        <f>G107+'29'!H107</f>
        <v>155</v>
      </c>
      <c r="I107" s="183"/>
      <c r="J107" s="209">
        <f>H107/DAY(B2)</f>
        <v>5.166666666666667</v>
      </c>
      <c r="O107" s="455"/>
    </row>
    <row r="108" spans="1:15" s="93" customFormat="1" ht="27.75">
      <c r="A108" s="1323" t="s">
        <v>201</v>
      </c>
      <c r="B108" s="1324"/>
      <c r="C108" s="769"/>
      <c r="D108" s="273"/>
      <c r="E108" s="183"/>
      <c r="F108" s="183"/>
      <c r="G108" s="183">
        <f>SUM(G105:G107)</f>
        <v>17</v>
      </c>
      <c r="H108" s="111">
        <f>G108+'29'!H108</f>
        <v>173</v>
      </c>
      <c r="I108" s="183"/>
      <c r="J108" s="209">
        <f>H108/DAY(B2)</f>
        <v>5.7666666666666666</v>
      </c>
      <c r="O108" s="455"/>
    </row>
    <row r="109" spans="1:15" s="93" customFormat="1" ht="27.75">
      <c r="A109" s="1351" t="s">
        <v>78</v>
      </c>
      <c r="B109" s="1352"/>
      <c r="C109" s="769"/>
      <c r="D109" s="273" t="s">
        <v>143</v>
      </c>
      <c r="E109" s="183"/>
      <c r="F109" s="183"/>
      <c r="G109" s="183"/>
      <c r="H109" s="184"/>
      <c r="I109" s="183"/>
      <c r="J109" s="209"/>
      <c r="O109" s="455"/>
    </row>
    <row r="110" spans="1:15" s="93" customFormat="1" ht="27.75">
      <c r="A110" s="1334" t="s">
        <v>219</v>
      </c>
      <c r="B110" s="1247"/>
      <c r="C110" s="769"/>
      <c r="D110" s="273" t="s">
        <v>143</v>
      </c>
      <c r="E110" s="183">
        <f>'29'!F110</f>
        <v>66935</v>
      </c>
      <c r="F110" s="183">
        <v>67021</v>
      </c>
      <c r="G110" s="183">
        <f>F110-E110</f>
        <v>86</v>
      </c>
      <c r="H110" s="111">
        <f>G110+'29'!H110</f>
        <v>321.56000000005588</v>
      </c>
      <c r="I110" s="183"/>
      <c r="J110" s="209">
        <f>H110/DAY(B2)</f>
        <v>10.718666666668529</v>
      </c>
      <c r="O110" s="455"/>
    </row>
    <row r="111" spans="1:15" s="93" customFormat="1" ht="27.75">
      <c r="A111" s="1334" t="s">
        <v>220</v>
      </c>
      <c r="B111" s="1247"/>
      <c r="C111" s="769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13.279999999998836</v>
      </c>
      <c r="I111" s="183"/>
      <c r="J111" s="209">
        <f>H111/DAY(B2)</f>
        <v>0.44266666666662785</v>
      </c>
      <c r="O111" s="455"/>
    </row>
    <row r="112" spans="1:15" s="93" customFormat="1" ht="27.75">
      <c r="A112" s="1334" t="s">
        <v>221</v>
      </c>
      <c r="B112" s="1247"/>
      <c r="C112" s="769"/>
      <c r="D112" s="273" t="s">
        <v>143</v>
      </c>
      <c r="E112" s="183">
        <f>'29'!F112</f>
        <v>4622</v>
      </c>
      <c r="F112" s="183">
        <v>4622</v>
      </c>
      <c r="G112" s="183">
        <f t="shared" si="11"/>
        <v>0</v>
      </c>
      <c r="H112" s="111">
        <f>G112+'29'!H112</f>
        <v>305</v>
      </c>
      <c r="I112" s="183"/>
      <c r="J112" s="209">
        <f>H112/DAY(B2)</f>
        <v>10.166666666666666</v>
      </c>
      <c r="O112" s="455"/>
    </row>
    <row r="113" spans="1:15" s="93" customFormat="1" ht="27.75">
      <c r="A113" s="1349" t="s">
        <v>109</v>
      </c>
      <c r="B113" s="1350"/>
      <c r="C113" s="769"/>
      <c r="D113" s="273"/>
      <c r="E113" s="183"/>
      <c r="F113" s="183"/>
      <c r="G113" s="183">
        <f>SUM(G110:G112)</f>
        <v>86</v>
      </c>
      <c r="H113" s="111">
        <f>G113+'29'!H113</f>
        <v>965</v>
      </c>
      <c r="I113" s="183"/>
      <c r="J113" s="209">
        <f>H113/DAY(B2)</f>
        <v>32.166666666666664</v>
      </c>
      <c r="O113" s="455"/>
    </row>
    <row r="114" spans="1:15" s="93" customFormat="1" ht="27.75">
      <c r="A114" s="1351" t="s">
        <v>222</v>
      </c>
      <c r="B114" s="1352"/>
      <c r="C114" s="769"/>
      <c r="D114" s="273"/>
      <c r="E114" s="183"/>
      <c r="F114" s="183"/>
      <c r="G114" s="183"/>
      <c r="H114" s="184"/>
      <c r="I114" s="183"/>
      <c r="J114" s="209">
        <f>H114/DAY(B2)</f>
        <v>0</v>
      </c>
      <c r="O114" s="455"/>
    </row>
    <row r="115" spans="1:15" s="93" customFormat="1" ht="27.75">
      <c r="A115" s="1334" t="s">
        <v>223</v>
      </c>
      <c r="B115" s="1247"/>
      <c r="C115" s="225"/>
      <c r="D115" s="273" t="s">
        <v>143</v>
      </c>
      <c r="E115" s="183">
        <f>'29'!F115</f>
        <v>12424</v>
      </c>
      <c r="F115" s="185">
        <v>12442</v>
      </c>
      <c r="G115" s="185">
        <f>F115-E115</f>
        <v>18</v>
      </c>
      <c r="H115" s="111">
        <f>G115+'29'!H115</f>
        <v>28</v>
      </c>
      <c r="I115" s="183"/>
      <c r="J115" s="209">
        <f>H115/DAY(B2)</f>
        <v>0.93333333333333335</v>
      </c>
      <c r="O115" s="455"/>
    </row>
    <row r="116" spans="1:15" s="93" customFormat="1" ht="27.75">
      <c r="A116" s="1334" t="s">
        <v>224</v>
      </c>
      <c r="B116" s="1247"/>
      <c r="C116" s="225"/>
      <c r="D116" s="273" t="s">
        <v>143</v>
      </c>
      <c r="E116" s="183">
        <f>'29'!F116</f>
        <v>8801</v>
      </c>
      <c r="F116" s="185">
        <v>8811</v>
      </c>
      <c r="G116" s="185">
        <f t="shared" ref="G116:G117" si="12">F116-E116</f>
        <v>10</v>
      </c>
      <c r="H116" s="111">
        <f>G116+'29'!H116</f>
        <v>152</v>
      </c>
      <c r="I116" s="183"/>
      <c r="J116" s="209">
        <f>H116/DAY(B2)</f>
        <v>5.0666666666666664</v>
      </c>
      <c r="O116" s="455"/>
    </row>
    <row r="117" spans="1:15" s="93" customFormat="1" ht="27.75">
      <c r="A117" s="1334" t="s">
        <v>225</v>
      </c>
      <c r="B117" s="1247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171</v>
      </c>
      <c r="I117" s="183"/>
      <c r="J117" s="209">
        <f>H117/DAY(B2)</f>
        <v>5.7</v>
      </c>
      <c r="O117" s="455"/>
    </row>
    <row r="118" spans="1:15" s="96" customFormat="1" ht="27.75">
      <c r="A118" s="1323" t="s">
        <v>201</v>
      </c>
      <c r="B118" s="1324"/>
      <c r="C118" s="225"/>
      <c r="D118" s="274"/>
      <c r="E118" s="185"/>
      <c r="F118" s="185"/>
      <c r="G118" s="185">
        <f>SUM(G115:G117)</f>
        <v>28</v>
      </c>
      <c r="H118" s="111">
        <f>G118+'29'!H118</f>
        <v>115</v>
      </c>
      <c r="I118" s="185"/>
      <c r="J118" s="209">
        <f>H118/DAY(B2)</f>
        <v>3.8333333333333335</v>
      </c>
      <c r="O118" s="455"/>
    </row>
    <row r="119" spans="1:15" s="97" customFormat="1" ht="27.75">
      <c r="A119" s="1325" t="s">
        <v>226</v>
      </c>
      <c r="B119" s="1326"/>
      <c r="C119" s="768"/>
      <c r="D119" s="275" t="s">
        <v>143</v>
      </c>
      <c r="E119" s="186"/>
      <c r="F119" s="187"/>
      <c r="G119" s="187">
        <f>SUM(G19+G93)</f>
        <v>145</v>
      </c>
      <c r="H119" s="111">
        <f>G119+'29'!H119</f>
        <v>306</v>
      </c>
      <c r="I119" s="186"/>
      <c r="J119" s="210">
        <f>H119/DAY(B2)</f>
        <v>10.199999999999999</v>
      </c>
      <c r="O119" s="455"/>
    </row>
    <row r="120" spans="1:15" s="97" customFormat="1" ht="27.75">
      <c r="A120" s="1325" t="s">
        <v>227</v>
      </c>
      <c r="B120" s="1326"/>
      <c r="C120" s="768"/>
      <c r="D120" s="275" t="s">
        <v>143</v>
      </c>
      <c r="E120" s="186"/>
      <c r="F120" s="187"/>
      <c r="G120" s="187">
        <f>SUM(G96,G97,G98,G100,G101)</f>
        <v>147</v>
      </c>
      <c r="H120" s="111">
        <f>G120+'29'!H120</f>
        <v>284</v>
      </c>
      <c r="I120" s="186"/>
      <c r="J120" s="210">
        <f>H120/DAY(B2)</f>
        <v>9.4666666666666668</v>
      </c>
      <c r="O120" s="455"/>
    </row>
    <row r="121" spans="1:15" s="97" customFormat="1" ht="27.75">
      <c r="A121" s="1325" t="s">
        <v>228</v>
      </c>
      <c r="B121" s="1326"/>
      <c r="C121" s="768"/>
      <c r="D121" s="275" t="s">
        <v>143</v>
      </c>
      <c r="E121" s="186"/>
      <c r="F121" s="185"/>
      <c r="G121" s="185">
        <f>SUM(G113)</f>
        <v>86</v>
      </c>
      <c r="H121" s="111">
        <f>G121+'29'!H121</f>
        <v>171</v>
      </c>
      <c r="I121" s="186"/>
      <c r="J121" s="210">
        <f>H121/DAY(B2)</f>
        <v>5.7</v>
      </c>
      <c r="O121" s="455"/>
    </row>
    <row r="122" spans="1:15" s="93" customFormat="1" ht="27.75">
      <c r="A122" s="1327"/>
      <c r="B122" s="1328"/>
      <c r="C122" s="769"/>
      <c r="D122" s="211"/>
      <c r="E122" s="211"/>
      <c r="F122" s="211"/>
      <c r="G122" s="211"/>
      <c r="H122" s="212"/>
      <c r="I122" s="211"/>
      <c r="J122" s="213"/>
      <c r="O122" s="455"/>
    </row>
    <row r="123" spans="1:15" ht="29.25">
      <c r="A123" s="1357" t="s">
        <v>229</v>
      </c>
      <c r="B123" s="1358"/>
      <c r="C123" s="1358"/>
      <c r="D123" s="123"/>
      <c r="E123" s="123"/>
      <c r="F123" s="123"/>
      <c r="G123" s="134"/>
      <c r="H123" s="134"/>
      <c r="I123" s="134"/>
      <c r="J123" s="214"/>
      <c r="K123" s="71"/>
      <c r="L123" s="68"/>
      <c r="O123" s="455"/>
    </row>
    <row r="124" spans="1:15" ht="21.95" customHeight="1">
      <c r="A124" s="771" t="s">
        <v>230</v>
      </c>
      <c r="B124" s="772"/>
      <c r="C124" s="772"/>
      <c r="D124" s="174" t="s">
        <v>140</v>
      </c>
      <c r="E124" s="106">
        <f>'29'!F124</f>
        <v>847445</v>
      </c>
      <c r="F124" s="129">
        <v>847607</v>
      </c>
      <c r="G124" s="124">
        <f t="shared" ref="G124:G128" si="13">F124-E124</f>
        <v>162</v>
      </c>
      <c r="H124" s="111">
        <f>G124+'29'!H124</f>
        <v>-359</v>
      </c>
      <c r="I124" s="177"/>
      <c r="J124" s="203">
        <f>H124/DAY(B2)</f>
        <v>-11.966666666666667</v>
      </c>
      <c r="K124" s="71"/>
      <c r="L124" s="68"/>
      <c r="O124" s="455"/>
    </row>
    <row r="125" spans="1:15" ht="21.95" customHeight="1">
      <c r="A125" s="771" t="s">
        <v>231</v>
      </c>
      <c r="B125" s="772"/>
      <c r="C125" s="772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5"/>
    </row>
    <row r="126" spans="1:15" ht="21.95" customHeight="1">
      <c r="A126" s="1331" t="s">
        <v>232</v>
      </c>
      <c r="B126" s="1187"/>
      <c r="C126" s="1187"/>
      <c r="D126" s="174" t="s">
        <v>140</v>
      </c>
      <c r="E126" s="106">
        <f>'29'!F126</f>
        <v>151138</v>
      </c>
      <c r="F126" s="129">
        <v>151229</v>
      </c>
      <c r="G126" s="124">
        <f t="shared" si="13"/>
        <v>91</v>
      </c>
      <c r="H126" s="111">
        <f>G126+'29'!H126</f>
        <v>-92</v>
      </c>
      <c r="I126" s="177"/>
      <c r="J126" s="203">
        <f>H126/DAY(B2)</f>
        <v>-3.0666666666666669</v>
      </c>
      <c r="K126" s="71"/>
      <c r="L126" s="68"/>
      <c r="O126" s="455"/>
    </row>
    <row r="127" spans="1:15" ht="21.95" customHeight="1">
      <c r="A127" s="260" t="s">
        <v>233</v>
      </c>
      <c r="B127" s="772"/>
      <c r="C127" s="772"/>
      <c r="D127" s="174" t="s">
        <v>140</v>
      </c>
      <c r="E127" s="106">
        <f>'29'!F127</f>
        <v>33196</v>
      </c>
      <c r="F127" s="129">
        <v>33245</v>
      </c>
      <c r="G127" s="124">
        <f t="shared" si="13"/>
        <v>49</v>
      </c>
      <c r="H127" s="111">
        <f>G127+'29'!H127</f>
        <v>-43</v>
      </c>
      <c r="I127" s="177"/>
      <c r="J127" s="203">
        <f>H127/DAY(B2)</f>
        <v>-1.4333333333333333</v>
      </c>
      <c r="K127" s="71"/>
      <c r="L127" s="68"/>
      <c r="O127" s="455"/>
    </row>
    <row r="128" spans="1:15" ht="21.95" customHeight="1">
      <c r="A128" s="260" t="s">
        <v>234</v>
      </c>
      <c r="B128" s="772"/>
      <c r="C128" s="772"/>
      <c r="D128" s="174" t="s">
        <v>140</v>
      </c>
      <c r="E128" s="106">
        <f>'29'!F128</f>
        <v>9105</v>
      </c>
      <c r="F128" s="129">
        <v>9109</v>
      </c>
      <c r="G128" s="124">
        <f t="shared" si="13"/>
        <v>4</v>
      </c>
      <c r="H128" s="111">
        <f>G128+'29'!H128</f>
        <v>-4</v>
      </c>
      <c r="I128" s="131"/>
      <c r="J128" s="203">
        <f>H128/DAY(B2)</f>
        <v>-0.13333333333333333</v>
      </c>
      <c r="K128" s="71"/>
      <c r="L128" s="68"/>
      <c r="O128" s="455"/>
    </row>
    <row r="129" spans="1:15" s="57" customFormat="1" ht="21.75" customHeight="1">
      <c r="A129" s="260" t="s">
        <v>235</v>
      </c>
      <c r="B129" s="772"/>
      <c r="C129" s="772"/>
      <c r="D129" s="174"/>
      <c r="E129" s="106"/>
      <c r="F129" s="129"/>
      <c r="G129" s="124">
        <f>G15-SUM(G124:G128)</f>
        <v>643.60000000000582</v>
      </c>
      <c r="H129" s="111"/>
      <c r="I129" s="131"/>
      <c r="J129" s="203"/>
      <c r="K129" s="60"/>
      <c r="L129" s="58"/>
      <c r="O129" s="455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5"/>
    </row>
    <row r="131" spans="1:15" ht="27.75">
      <c r="A131" s="771" t="s">
        <v>237</v>
      </c>
      <c r="B131" s="772"/>
      <c r="C131" s="772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5"/>
    </row>
    <row r="132" spans="1:15" ht="27.75">
      <c r="A132" s="771" t="s">
        <v>239</v>
      </c>
      <c r="B132" s="772"/>
      <c r="C132" s="772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5"/>
    </row>
    <row r="133" spans="1:15" ht="27.75">
      <c r="A133" s="771" t="s">
        <v>240</v>
      </c>
      <c r="B133" s="772"/>
      <c r="C133" s="772"/>
      <c r="D133" s="174" t="s">
        <v>238</v>
      </c>
      <c r="E133" s="106">
        <f>'29'!F133</f>
        <v>40619</v>
      </c>
      <c r="F133" s="192">
        <v>40619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5"/>
    </row>
    <row r="134" spans="1:15" ht="27.75">
      <c r="A134" s="771" t="s">
        <v>241</v>
      </c>
      <c r="B134" s="772"/>
      <c r="C134" s="772"/>
      <c r="D134" s="174" t="s">
        <v>238</v>
      </c>
      <c r="E134" s="106">
        <f>'29'!F134</f>
        <v>554</v>
      </c>
      <c r="F134" s="192">
        <v>559</v>
      </c>
      <c r="G134" s="124">
        <f t="shared" si="14"/>
        <v>5</v>
      </c>
      <c r="H134" s="111">
        <f>G134+'29'!H134</f>
        <v>-15</v>
      </c>
      <c r="I134" s="131">
        <f>G131+G132+G133+G134</f>
        <v>5</v>
      </c>
      <c r="J134" s="203">
        <f>H134/DAY(B2)</f>
        <v>-0.5</v>
      </c>
      <c r="O134" s="455"/>
    </row>
    <row r="135" spans="1:15" ht="27.75">
      <c r="A135" s="771" t="s">
        <v>242</v>
      </c>
      <c r="B135" s="772"/>
      <c r="C135" s="772"/>
      <c r="D135" s="174" t="s">
        <v>238</v>
      </c>
      <c r="E135" s="106">
        <f>'29'!F135</f>
        <v>42456</v>
      </c>
      <c r="F135" s="192">
        <v>42480</v>
      </c>
      <c r="G135" s="124">
        <f t="shared" si="14"/>
        <v>24</v>
      </c>
      <c r="H135" s="111">
        <f>G135+'29'!H135</f>
        <v>141.88999999999942</v>
      </c>
      <c r="I135" s="131"/>
      <c r="J135" s="203">
        <f>H135/DAY(B2)</f>
        <v>4.7296666666666471</v>
      </c>
      <c r="O135" s="455"/>
    </row>
    <row r="136" spans="1:15" ht="27.75">
      <c r="A136" s="771" t="s">
        <v>243</v>
      </c>
      <c r="B136" s="772"/>
      <c r="C136" s="772"/>
      <c r="D136" s="174" t="s">
        <v>238</v>
      </c>
      <c r="E136" s="106">
        <f>'29'!F136</f>
        <v>32874</v>
      </c>
      <c r="F136" s="192">
        <v>32874</v>
      </c>
      <c r="G136" s="124">
        <f t="shared" si="14"/>
        <v>0</v>
      </c>
      <c r="H136" s="111">
        <f>G136+'29'!H136</f>
        <v>12.94999999999709</v>
      </c>
      <c r="I136" s="131"/>
      <c r="J136" s="203">
        <f>H136/DAY(B2)</f>
        <v>0.43166666666656967</v>
      </c>
      <c r="O136" s="455"/>
    </row>
    <row r="137" spans="1:15" ht="27.75">
      <c r="A137" s="771" t="s">
        <v>244</v>
      </c>
      <c r="B137" s="772"/>
      <c r="C137" s="772"/>
      <c r="D137" s="174" t="s">
        <v>238</v>
      </c>
      <c r="E137" s="106">
        <f>'29'!F137</f>
        <v>23097.56</v>
      </c>
      <c r="F137" s="192">
        <v>23097.56</v>
      </c>
      <c r="G137" s="124">
        <f t="shared" si="14"/>
        <v>0</v>
      </c>
      <c r="H137" s="111">
        <f>G137+'29'!H137</f>
        <v>-9</v>
      </c>
      <c r="I137" s="131">
        <f>G135+G136+G137</f>
        <v>24</v>
      </c>
      <c r="J137" s="203">
        <f>H137/DAY(B2)</f>
        <v>-0.3</v>
      </c>
      <c r="O137" s="455"/>
    </row>
    <row r="138" spans="1:15" ht="27.75">
      <c r="A138" s="771" t="s">
        <v>245</v>
      </c>
      <c r="B138" s="772"/>
      <c r="C138" s="772"/>
      <c r="D138" s="174" t="s">
        <v>238</v>
      </c>
      <c r="E138" s="106">
        <f>'29'!F138</f>
        <v>25109.95</v>
      </c>
      <c r="F138" s="192">
        <v>25119.45</v>
      </c>
      <c r="G138" s="124">
        <f t="shared" si="14"/>
        <v>9.5</v>
      </c>
      <c r="H138" s="111">
        <f>G138+'29'!H138</f>
        <v>28.290000000000873</v>
      </c>
      <c r="I138" s="131"/>
      <c r="J138" s="203">
        <f>H138/DAY(B2)</f>
        <v>0.94300000000002915</v>
      </c>
      <c r="O138" s="455"/>
    </row>
    <row r="139" spans="1:15" ht="27.75">
      <c r="A139" s="771" t="s">
        <v>246</v>
      </c>
      <c r="B139" s="772"/>
      <c r="C139" s="772"/>
      <c r="D139" s="174" t="s">
        <v>238</v>
      </c>
      <c r="E139" s="106">
        <f>'29'!F139</f>
        <v>70517</v>
      </c>
      <c r="F139" s="192">
        <v>70516.600000000006</v>
      </c>
      <c r="G139" s="124">
        <f t="shared" si="14"/>
        <v>-0.39999999999417923</v>
      </c>
      <c r="H139" s="111">
        <f>G139+'29'!H139</f>
        <v>15</v>
      </c>
      <c r="I139" s="131">
        <f>G138+G139</f>
        <v>9.1000000000058208</v>
      </c>
      <c r="J139" s="203">
        <f>H139/DAY(B2)</f>
        <v>0.5</v>
      </c>
      <c r="O139" s="455"/>
    </row>
    <row r="140" spans="1:15" ht="27.75">
      <c r="A140" s="771" t="s">
        <v>247</v>
      </c>
      <c r="B140" s="772"/>
      <c r="C140" s="772"/>
      <c r="D140" s="174" t="s">
        <v>238</v>
      </c>
      <c r="E140" s="106">
        <f>'29'!F140</f>
        <v>2292.4899999999998</v>
      </c>
      <c r="F140" s="135">
        <v>2301.33</v>
      </c>
      <c r="G140" s="124">
        <f t="shared" si="14"/>
        <v>8.8400000000001455</v>
      </c>
      <c r="H140" s="111">
        <f>G140+'29'!H140</f>
        <v>-10.230000000000018</v>
      </c>
      <c r="I140" s="193"/>
      <c r="J140" s="203">
        <f>H140/DAY(B2)</f>
        <v>-0.34100000000000058</v>
      </c>
      <c r="O140" s="455"/>
    </row>
    <row r="141" spans="1:15" ht="27.75">
      <c r="A141" s="771" t="s">
        <v>248</v>
      </c>
      <c r="B141" s="772"/>
      <c r="C141" s="772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5"/>
    </row>
    <row r="142" spans="1:15" ht="21.95" customHeight="1">
      <c r="A142" s="1332" t="s">
        <v>249</v>
      </c>
      <c r="B142" s="1333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O142" s="455"/>
    </row>
    <row r="143" spans="1:15" ht="21.95" customHeight="1">
      <c r="A143" s="1329" t="s">
        <v>250</v>
      </c>
      <c r="B143" s="1330"/>
      <c r="C143" s="1330"/>
      <c r="D143" s="174" t="s">
        <v>131</v>
      </c>
      <c r="E143" s="174"/>
      <c r="F143" s="174"/>
      <c r="G143" s="111">
        <f>G35+G43+G49+G57</f>
        <v>5644</v>
      </c>
      <c r="H143" s="111">
        <f>G143+'29'!H143</f>
        <v>-8914.1199999999935</v>
      </c>
      <c r="I143" s="131"/>
      <c r="J143" s="203">
        <f>H143/DAY(B2)</f>
        <v>-297.13733333333312</v>
      </c>
      <c r="K143" s="71"/>
      <c r="L143" s="68"/>
      <c r="O143" s="455"/>
    </row>
    <row r="144" spans="1:15" ht="21.95" customHeight="1">
      <c r="A144" s="1329" t="s">
        <v>251</v>
      </c>
      <c r="B144" s="1330"/>
      <c r="C144" s="1330"/>
      <c r="D144" s="174" t="s">
        <v>24</v>
      </c>
      <c r="E144" s="162"/>
      <c r="F144" s="162"/>
      <c r="G144" s="194">
        <f>G143/G7</f>
        <v>0.24275268817204301</v>
      </c>
      <c r="H144" s="111">
        <f>G144+'29'!H144</f>
        <v>-0.21423825016143636</v>
      </c>
      <c r="I144" s="195"/>
      <c r="J144" s="203">
        <f>H144/DAY(B2)</f>
        <v>-7.1412750053812118E-3</v>
      </c>
      <c r="K144" s="71"/>
      <c r="L144" s="68"/>
      <c r="O144" s="455"/>
    </row>
    <row r="145" spans="1:15" ht="21.95" customHeight="1">
      <c r="A145" s="1329" t="s">
        <v>252</v>
      </c>
      <c r="B145" s="1330"/>
      <c r="C145" s="1330"/>
      <c r="D145" s="174" t="s">
        <v>131</v>
      </c>
      <c r="E145" s="106"/>
      <c r="F145" s="106"/>
      <c r="G145" s="111">
        <f>G41+G42+G55+G56</f>
        <v>6835</v>
      </c>
      <c r="H145" s="111">
        <f>G145+'29'!H145</f>
        <v>-7247</v>
      </c>
      <c r="I145" s="131"/>
      <c r="J145" s="203">
        <f>H145/DAY(B2)</f>
        <v>-241.56666666666666</v>
      </c>
      <c r="K145" s="71"/>
      <c r="L145" s="68"/>
      <c r="O145" s="455"/>
    </row>
    <row r="146" spans="1:15" ht="21.95" customHeight="1">
      <c r="A146" s="1329" t="s">
        <v>253</v>
      </c>
      <c r="B146" s="1330"/>
      <c r="C146" s="1330"/>
      <c r="D146" s="174" t="s">
        <v>24</v>
      </c>
      <c r="E146" s="106"/>
      <c r="F146" s="106"/>
      <c r="G146" s="194">
        <f>G145/G7</f>
        <v>0.29397849462365594</v>
      </c>
      <c r="H146" s="111">
        <f>G146+'29'!H146</f>
        <v>-0.13041957974167151</v>
      </c>
      <c r="I146" s="195"/>
      <c r="J146" s="203">
        <f>H146/DAY(B2)</f>
        <v>-4.3473193247223841E-3</v>
      </c>
      <c r="K146" s="71"/>
      <c r="L146" s="68"/>
      <c r="O146" s="455"/>
    </row>
    <row r="147" spans="1:15" ht="21.95" customHeight="1">
      <c r="A147" s="1329" t="s">
        <v>254</v>
      </c>
      <c r="B147" s="1330"/>
      <c r="C147" s="1330"/>
      <c r="D147" s="174" t="s">
        <v>131</v>
      </c>
      <c r="E147" s="106"/>
      <c r="F147" s="106"/>
      <c r="G147" s="111">
        <f>G39+G53</f>
        <v>3848</v>
      </c>
      <c r="H147" s="111">
        <f>G147+'29'!H147</f>
        <v>-3807</v>
      </c>
      <c r="I147" s="196"/>
      <c r="J147" s="203">
        <f>H147/DAY(B2)</f>
        <v>-126.9</v>
      </c>
      <c r="K147" s="71"/>
      <c r="L147" s="68"/>
      <c r="O147" s="455"/>
    </row>
    <row r="148" spans="1:15" ht="21.95" customHeight="1">
      <c r="A148" s="1329" t="s">
        <v>255</v>
      </c>
      <c r="B148" s="1330"/>
      <c r="C148" s="1330"/>
      <c r="D148" s="174" t="s">
        <v>24</v>
      </c>
      <c r="E148" s="106"/>
      <c r="F148" s="106"/>
      <c r="G148" s="194">
        <f>G147/G7</f>
        <v>0.16550537634408602</v>
      </c>
      <c r="H148" s="111">
        <f>G148+'29'!H148</f>
        <v>-4.8863962937911593E-2</v>
      </c>
      <c r="I148" s="196"/>
      <c r="J148" s="203">
        <f>H148/DAY(B2)</f>
        <v>-1.6287987645970531E-3</v>
      </c>
      <c r="O148" s="455"/>
    </row>
    <row r="149" spans="1:15" ht="21.95" customHeight="1">
      <c r="A149" s="1329" t="s">
        <v>256</v>
      </c>
      <c r="B149" s="1330"/>
      <c r="C149" s="1330"/>
      <c r="D149" s="174" t="s">
        <v>182</v>
      </c>
      <c r="E149" s="106"/>
      <c r="F149" s="106"/>
      <c r="G149" s="111">
        <f>G38+G52</f>
        <v>1699.9300000000512</v>
      </c>
      <c r="H149" s="111">
        <f>G149+'29'!H149</f>
        <v>-1745</v>
      </c>
      <c r="I149" s="131"/>
      <c r="J149" s="203">
        <f>H149/DAY(B2)</f>
        <v>-58.166666666666664</v>
      </c>
      <c r="K149" s="72"/>
      <c r="O149" s="455"/>
    </row>
    <row r="150" spans="1:15" ht="21.95" customHeight="1">
      <c r="A150" s="1329" t="s">
        <v>257</v>
      </c>
      <c r="B150" s="1330"/>
      <c r="C150" s="1330"/>
      <c r="D150" s="174" t="s">
        <v>24</v>
      </c>
      <c r="E150" s="106"/>
      <c r="F150" s="106"/>
      <c r="G150" s="194">
        <f>G149/G7</f>
        <v>7.3115268817206508E-2</v>
      </c>
      <c r="H150" s="111">
        <f>G150+'29'!H150</f>
        <v>-2.3456010240613903E-2</v>
      </c>
      <c r="I150" s="196"/>
      <c r="J150" s="203">
        <f>H150/DAY(B2)</f>
        <v>-7.8186700802046342E-4</v>
      </c>
      <c r="O150" s="455"/>
    </row>
    <row r="151" spans="1:15" ht="21.95" customHeight="1">
      <c r="A151" s="1329" t="s">
        <v>258</v>
      </c>
      <c r="B151" s="1330"/>
      <c r="C151" s="1330"/>
      <c r="D151" s="174" t="s">
        <v>182</v>
      </c>
      <c r="E151" s="106"/>
      <c r="F151" s="106"/>
      <c r="G151" s="111">
        <f>G36+G50</f>
        <v>1886</v>
      </c>
      <c r="H151" s="111">
        <f>G151+'29'!H151</f>
        <v>-2123</v>
      </c>
      <c r="I151" s="196"/>
      <c r="J151" s="203">
        <f>H151/DAY(B2)</f>
        <v>-70.766666666666666</v>
      </c>
      <c r="O151" s="455"/>
    </row>
    <row r="152" spans="1:15" ht="21.95" customHeight="1">
      <c r="A152" s="1329" t="s">
        <v>259</v>
      </c>
      <c r="B152" s="1330"/>
      <c r="C152" s="1330"/>
      <c r="D152" s="174" t="s">
        <v>24</v>
      </c>
      <c r="E152" s="106"/>
      <c r="F152" s="106"/>
      <c r="G152" s="194">
        <f>G151/G7</f>
        <v>8.1118279569892468E-2</v>
      </c>
      <c r="H152" s="111">
        <f>G152+'29'!H152</f>
        <v>-3.9025865766331547E-2</v>
      </c>
      <c r="I152" s="131"/>
      <c r="J152" s="203">
        <f>H152/DAY(B2)</f>
        <v>-1.3008621922110516E-3</v>
      </c>
      <c r="O152" s="455"/>
    </row>
    <row r="153" spans="1:15" ht="27.75">
      <c r="A153" s="1329" t="s">
        <v>260</v>
      </c>
      <c r="B153" s="1330"/>
      <c r="C153" s="1330"/>
      <c r="D153" s="174" t="s">
        <v>182</v>
      </c>
      <c r="E153" s="106"/>
      <c r="F153" s="106"/>
      <c r="G153" s="111">
        <f>G37+G51</f>
        <v>1632.1300000000047</v>
      </c>
      <c r="H153" s="111">
        <f>G153+'29'!H153</f>
        <v>-1656</v>
      </c>
      <c r="I153" s="131"/>
      <c r="J153" s="203">
        <f>H153/DAY(B2)</f>
        <v>-55.2</v>
      </c>
      <c r="O153" s="455"/>
    </row>
    <row r="154" spans="1:15" ht="28.5" thickBot="1">
      <c r="A154" s="1335" t="s">
        <v>261</v>
      </c>
      <c r="B154" s="1336"/>
      <c r="C154" s="1336"/>
      <c r="D154" s="276" t="s">
        <v>24</v>
      </c>
      <c r="E154" s="216"/>
      <c r="F154" s="216"/>
      <c r="G154" s="217">
        <f>G153/G7</f>
        <v>7.0199139784946435E-2</v>
      </c>
      <c r="H154" s="218">
        <f>G154+'29'!H154</f>
        <v>-2.3694284691908638E-2</v>
      </c>
      <c r="I154" s="219"/>
      <c r="J154" s="220">
        <f>H154/DAY(B2)</f>
        <v>-7.8980948973028794E-4</v>
      </c>
      <c r="O154" s="455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>
      <c r="A161" s="435" t="s">
        <v>262</v>
      </c>
      <c r="B161" s="436"/>
      <c r="C161" s="436"/>
      <c r="D161" s="162" t="s">
        <v>186</v>
      </c>
      <c r="E161" s="106">
        <f>'29'!F161</f>
        <v>43170</v>
      </c>
      <c r="F161" s="309">
        <v>43249</v>
      </c>
      <c r="G161" s="124">
        <f t="shared" ref="G161:G164" si="15">F161-E161</f>
        <v>79</v>
      </c>
    </row>
    <row r="162" spans="1:7" ht="21.95" customHeight="1">
      <c r="A162" s="435" t="s">
        <v>263</v>
      </c>
      <c r="B162" s="436"/>
      <c r="C162" s="436"/>
      <c r="D162" s="162" t="s">
        <v>186</v>
      </c>
      <c r="E162" s="106">
        <f>'29'!F162</f>
        <v>121199</v>
      </c>
      <c r="F162" s="309">
        <v>121650</v>
      </c>
      <c r="G162" s="124">
        <f t="shared" si="15"/>
        <v>451</v>
      </c>
    </row>
    <row r="163" spans="1:7" ht="21.95" customHeight="1">
      <c r="A163" s="435" t="s">
        <v>264</v>
      </c>
      <c r="B163" s="436"/>
      <c r="C163" s="436"/>
      <c r="D163" s="162" t="s">
        <v>186</v>
      </c>
      <c r="E163" s="106">
        <f>'29'!F163</f>
        <v>67101</v>
      </c>
      <c r="F163" s="309">
        <v>67300</v>
      </c>
      <c r="G163" s="124">
        <f t="shared" si="15"/>
        <v>199</v>
      </c>
    </row>
    <row r="164" spans="1:7" ht="21.95" customHeight="1">
      <c r="A164" s="435" t="s">
        <v>265</v>
      </c>
      <c r="B164" s="436"/>
      <c r="C164" s="436"/>
      <c r="D164" s="162" t="s">
        <v>186</v>
      </c>
      <c r="E164" s="106">
        <f>'29'!F164</f>
        <v>7112</v>
      </c>
      <c r="F164" s="309">
        <v>7129</v>
      </c>
      <c r="G164" s="124">
        <f t="shared" si="15"/>
        <v>17</v>
      </c>
    </row>
    <row r="165" spans="1:7" ht="21.95" customHeight="1">
      <c r="A165" s="437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>
      <c r="A166" s="437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>
      <c r="A167" s="1187" t="s">
        <v>98</v>
      </c>
      <c r="B167" s="1187"/>
      <c r="C167" s="1187"/>
      <c r="D167" s="174" t="s">
        <v>186</v>
      </c>
      <c r="E167" s="106">
        <f>'29'!F167</f>
        <v>181134</v>
      </c>
      <c r="F167" s="135">
        <v>181513</v>
      </c>
      <c r="G167" s="124">
        <f t="shared" si="16"/>
        <v>379</v>
      </c>
    </row>
    <row r="168" spans="1:7" ht="21.95" customHeight="1">
      <c r="A168" s="1187" t="s">
        <v>99</v>
      </c>
      <c r="B168" s="1187"/>
      <c r="C168" s="1187"/>
      <c r="D168" s="174" t="s">
        <v>186</v>
      </c>
      <c r="E168" s="106">
        <f>'29'!F168</f>
        <v>181412</v>
      </c>
      <c r="F168" s="165">
        <f t="shared" ref="F168:F172" si="17">F65</f>
        <v>181814</v>
      </c>
      <c r="G168" s="124">
        <f t="shared" si="16"/>
        <v>402</v>
      </c>
    </row>
    <row r="169" spans="1:7" ht="21.95" customHeight="1">
      <c r="A169" s="1187" t="s">
        <v>100</v>
      </c>
      <c r="B169" s="1187"/>
      <c r="C169" s="1187"/>
      <c r="D169" s="174" t="s">
        <v>186</v>
      </c>
      <c r="E169" s="106">
        <f>'29'!F169</f>
        <v>79841</v>
      </c>
      <c r="F169" s="165">
        <f t="shared" si="17"/>
        <v>80259</v>
      </c>
      <c r="G169" s="124">
        <f t="shared" si="16"/>
        <v>418</v>
      </c>
    </row>
    <row r="170" spans="1:7" ht="21.95" customHeight="1">
      <c r="A170" s="1187" t="s">
        <v>101</v>
      </c>
      <c r="B170" s="1187"/>
      <c r="C170" s="1187"/>
      <c r="D170" s="174" t="s">
        <v>186</v>
      </c>
      <c r="E170" s="106">
        <f>'29'!F170</f>
        <v>278995</v>
      </c>
      <c r="F170" s="165">
        <f t="shared" si="17"/>
        <v>279520</v>
      </c>
      <c r="G170" s="124">
        <f t="shared" si="16"/>
        <v>525</v>
      </c>
    </row>
    <row r="171" spans="1:7" ht="21.95" customHeight="1">
      <c r="A171" s="1187" t="s">
        <v>102</v>
      </c>
      <c r="B171" s="1187"/>
      <c r="C171" s="1187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>
      <c r="A172" s="1187" t="s">
        <v>103</v>
      </c>
      <c r="B172" s="1187"/>
      <c r="C172" s="1187"/>
      <c r="D172" s="174" t="s">
        <v>186</v>
      </c>
      <c r="E172" s="106">
        <f>'29'!F172</f>
        <v>95873</v>
      </c>
      <c r="F172" s="165">
        <f t="shared" si="17"/>
        <v>96220</v>
      </c>
      <c r="G172" s="124">
        <f t="shared" si="16"/>
        <v>347</v>
      </c>
    </row>
    <row r="173" spans="1:7" ht="21.95" customHeight="1">
      <c r="A173" s="1228"/>
      <c r="B173" s="1191"/>
      <c r="C173" s="436"/>
      <c r="D173" s="174"/>
      <c r="G173" s="189">
        <f>SUM(G161:G172)</f>
        <v>2817</v>
      </c>
    </row>
    <row r="174" spans="1:7" ht="21.95" customHeight="1">
      <c r="A174" s="1228" t="s">
        <v>338</v>
      </c>
      <c r="B174" s="1191"/>
      <c r="C174" s="435"/>
      <c r="D174" s="1123" t="s">
        <v>186</v>
      </c>
      <c r="E174" s="1124">
        <v>19127</v>
      </c>
      <c r="F174" s="1124">
        <v>19002</v>
      </c>
      <c r="G174" s="1125">
        <f t="shared" ref="G174:G176" si="18">F174-E174</f>
        <v>-125</v>
      </c>
    </row>
    <row r="175" spans="1:7" ht="21.95" customHeight="1">
      <c r="A175" s="1228" t="s">
        <v>339</v>
      </c>
      <c r="B175" s="1191"/>
      <c r="C175" s="105"/>
      <c r="D175" s="1123" t="s">
        <v>186</v>
      </c>
      <c r="E175" s="1128">
        <v>27782</v>
      </c>
      <c r="F175" s="1128">
        <v>27630</v>
      </c>
      <c r="G175" s="1125">
        <f t="shared" si="18"/>
        <v>-152</v>
      </c>
    </row>
    <row r="176" spans="1:7" ht="21.95" customHeight="1">
      <c r="A176" s="1228" t="s">
        <v>338</v>
      </c>
      <c r="B176" s="1191"/>
      <c r="C176" s="105"/>
      <c r="D176" s="1123" t="s">
        <v>186</v>
      </c>
      <c r="E176" s="1124">
        <v>70517</v>
      </c>
      <c r="F176" s="1124">
        <v>70336</v>
      </c>
      <c r="G176" s="1125">
        <f t="shared" si="18"/>
        <v>-181</v>
      </c>
    </row>
    <row r="178" spans="1:15" ht="29.25">
      <c r="A178" s="1228"/>
      <c r="B178" s="1191"/>
      <c r="C178" s="436"/>
      <c r="D178" s="174"/>
      <c r="E178" s="183"/>
      <c r="F178" s="183"/>
      <c r="G178" s="124"/>
      <c r="N178" s="369"/>
      <c r="O178" s="374"/>
    </row>
    <row r="179" spans="1:15" ht="29.25">
      <c r="A179" s="1228"/>
      <c r="B179" s="1191"/>
      <c r="C179" s="436"/>
      <c r="D179" s="174"/>
      <c r="E179" s="183"/>
      <c r="F179" s="183"/>
      <c r="G179" s="124"/>
      <c r="N179" s="369"/>
      <c r="O179" s="374"/>
    </row>
    <row r="180" spans="1:15" ht="29.25">
      <c r="A180" s="1228"/>
      <c r="B180" s="1191"/>
      <c r="C180" s="436"/>
      <c r="D180" s="174"/>
      <c r="E180" s="183"/>
      <c r="F180" s="183"/>
      <c r="G180" s="124"/>
      <c r="N180" s="369"/>
      <c r="O180" s="374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zoomScale="55" zoomScaleNormal="75" zoomScaleSheetLayoutView="55" workbookViewId="0">
      <selection activeCell="F9" sqref="F9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05" t="s">
        <v>116</v>
      </c>
      <c r="B1" s="1206"/>
      <c r="C1" s="1206"/>
      <c r="D1" s="1206"/>
      <c r="E1" s="1206"/>
      <c r="F1" s="1206"/>
      <c r="G1" s="1206"/>
      <c r="H1" s="1206"/>
      <c r="I1" s="1206"/>
      <c r="J1" s="1207"/>
    </row>
    <row r="2" spans="1:15" s="57" customFormat="1" ht="27">
      <c r="A2" s="226" t="s">
        <v>327</v>
      </c>
      <c r="B2" s="762">
        <v>44347</v>
      </c>
      <c r="C2" s="773" t="s">
        <v>68</v>
      </c>
      <c r="D2" s="262">
        <v>0.24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73" t="s">
        <v>119</v>
      </c>
      <c r="D3" s="263">
        <v>30</v>
      </c>
      <c r="E3" s="1214" t="s">
        <v>120</v>
      </c>
      <c r="F3" s="1215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73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208" t="s">
        <v>129</v>
      </c>
      <c r="B6" s="1209"/>
      <c r="C6" s="1210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'30'!F7</f>
        <v>1290888</v>
      </c>
      <c r="F7" s="106">
        <f>E7+23250</f>
        <v>1314138</v>
      </c>
      <c r="G7" s="124">
        <f>F7-E7</f>
        <v>23250</v>
      </c>
      <c r="H7" s="111">
        <f>G7+'30'!H7</f>
        <v>706316</v>
      </c>
      <c r="I7" s="125">
        <f>'1'!I7</f>
        <v>12000</v>
      </c>
      <c r="J7" s="203">
        <f>H7/DAY(B2)</f>
        <v>22784.387096774193</v>
      </c>
      <c r="K7" s="200">
        <v>1375467</v>
      </c>
      <c r="L7" s="68"/>
      <c r="N7" s="91">
        <f>F7-'1'!E7</f>
        <v>706465</v>
      </c>
      <c r="O7" s="73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'30'!F8</f>
        <v>592305</v>
      </c>
      <c r="F8" s="126">
        <f>E8+21500</f>
        <v>613805</v>
      </c>
      <c r="G8" s="127">
        <f>F8-E8</f>
        <v>21500</v>
      </c>
      <c r="H8" s="111">
        <f>G8+'30'!H8</f>
        <v>-1792</v>
      </c>
      <c r="I8" s="128"/>
      <c r="J8" s="203">
        <f>H8/DAY(B2)</f>
        <v>-57.806451612903224</v>
      </c>
      <c r="K8" s="200">
        <v>1715917</v>
      </c>
      <c r="L8" s="78">
        <v>1728480</v>
      </c>
      <c r="M8" s="91">
        <f>L8-K8</f>
        <v>12563</v>
      </c>
      <c r="N8" s="91">
        <f>F8-'1'!E8</f>
        <v>-1792</v>
      </c>
      <c r="O8" s="73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f>'30'!F9</f>
        <v>2674174</v>
      </c>
      <c r="F9" s="129">
        <f>E9+16950</f>
        <v>2691124</v>
      </c>
      <c r="G9" s="124">
        <f>F9-E9</f>
        <v>16950</v>
      </c>
      <c r="H9" s="111">
        <f>G9+'30'!H9</f>
        <v>-5511</v>
      </c>
      <c r="I9" s="130">
        <f>I7-J7</f>
        <v>-10784.387096774193</v>
      </c>
      <c r="J9" s="203">
        <f>H9/DAY(B2)</f>
        <v>-177.7741935483871</v>
      </c>
      <c r="K9" s="81">
        <f>K8-100</f>
        <v>1715817</v>
      </c>
      <c r="L9" s="68"/>
      <c r="N9" s="91">
        <f>F9-'1'!E9</f>
        <v>-5511</v>
      </c>
      <c r="O9" s="73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/>
      <c r="G10" s="124">
        <f t="shared" ref="G10:G12" si="0">F10-E10</f>
        <v>-2607</v>
      </c>
      <c r="H10" s="111">
        <f>G10+'30'!H10</f>
        <v>-2606.7000000000003</v>
      </c>
      <c r="I10" s="131"/>
      <c r="J10" s="203">
        <f>H10/DAY(B2)</f>
        <v>-84.087096774193554</v>
      </c>
      <c r="K10" s="81"/>
      <c r="L10" s="68"/>
      <c r="N10" s="91">
        <f>F10-'1'!E10</f>
        <v>-2607</v>
      </c>
      <c r="O10" s="73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14343</v>
      </c>
      <c r="H13" s="111">
        <f>G13+'30'!H13</f>
        <v>-50801.700000000012</v>
      </c>
      <c r="I13" s="133">
        <f>G7-G13</f>
        <v>8907</v>
      </c>
      <c r="J13" s="203">
        <f>H13/DAY(B2)</f>
        <v>-1638.7645161290327</v>
      </c>
      <c r="K13" s="81"/>
      <c r="L13" s="68"/>
      <c r="N13" s="91">
        <f>F13-'1'!E13</f>
        <v>0</v>
      </c>
      <c r="O13" s="73"/>
    </row>
    <row r="14" spans="1:15" ht="29.25">
      <c r="A14" s="1211" t="s">
        <v>138</v>
      </c>
      <c r="B14" s="1212"/>
      <c r="C14" s="1213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>
      <c r="A15" s="771" t="s">
        <v>139</v>
      </c>
      <c r="B15" s="240"/>
      <c r="C15" s="240"/>
      <c r="D15" s="174" t="s">
        <v>140</v>
      </c>
      <c r="E15" s="173">
        <v>1683884</v>
      </c>
      <c r="F15" s="351">
        <f>E15+950</f>
        <v>1684834</v>
      </c>
      <c r="G15" s="124">
        <f>(F15-E15)</f>
        <v>950</v>
      </c>
      <c r="H15" s="111">
        <f>G15+'30'!H15</f>
        <v>28355</v>
      </c>
      <c r="I15" s="125">
        <f>'1'!I15</f>
        <v>800</v>
      </c>
      <c r="J15" s="203">
        <f>H15/DAY(B2)</f>
        <v>914.67741935483866</v>
      </c>
      <c r="K15" s="81"/>
      <c r="L15" s="68"/>
      <c r="N15" s="91">
        <f>F15-'1'!E15</f>
        <v>-44720</v>
      </c>
      <c r="O15" s="7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-114.67741935483866</v>
      </c>
      <c r="J16" s="204"/>
      <c r="K16" s="81"/>
      <c r="L16" s="68"/>
      <c r="N16" s="91">
        <f>F16-'1'!E16</f>
        <v>0</v>
      </c>
      <c r="O16" s="73"/>
    </row>
    <row r="17" spans="1:15" ht="29.25">
      <c r="A17" s="1211" t="s">
        <v>141</v>
      </c>
      <c r="B17" s="1212"/>
      <c r="C17" s="1213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>
      <c r="A18" s="1200" t="s">
        <v>142</v>
      </c>
      <c r="B18" s="1201"/>
      <c r="C18" s="1202"/>
      <c r="D18" s="174" t="s">
        <v>143</v>
      </c>
      <c r="E18" s="106">
        <f>'30'!F18</f>
        <v>15</v>
      </c>
      <c r="F18" s="135">
        <v>6</v>
      </c>
      <c r="G18" s="132">
        <f>F18*10</f>
        <v>60</v>
      </c>
      <c r="H18" s="111">
        <f>G18+'30'!H18</f>
        <v>4480</v>
      </c>
      <c r="I18" s="125">
        <f>'1'!I18</f>
        <v>65</v>
      </c>
      <c r="J18" s="203">
        <f>H18/DAY(B2)</f>
        <v>144.51612903225808</v>
      </c>
      <c r="K18" s="81"/>
      <c r="L18" s="68"/>
      <c r="N18" s="91">
        <f>F18-'1'!E18</f>
        <v>-10</v>
      </c>
      <c r="O18" s="73"/>
    </row>
    <row r="19" spans="1:15" ht="27.75">
      <c r="A19" s="1200" t="s">
        <v>70</v>
      </c>
      <c r="B19" s="1201"/>
      <c r="C19" s="1202"/>
      <c r="D19" s="174" t="s">
        <v>143</v>
      </c>
      <c r="E19" s="106">
        <f>'30'!F19</f>
        <v>145230</v>
      </c>
      <c r="F19" s="135">
        <f>E19+60</f>
        <v>145290</v>
      </c>
      <c r="G19" s="124">
        <f t="shared" ref="G19" si="1">F19-E19</f>
        <v>60</v>
      </c>
      <c r="H19" s="111">
        <f>G19+'30'!H19</f>
        <v>1900</v>
      </c>
      <c r="I19" s="140"/>
      <c r="J19" s="203">
        <f>H19/DAY(B2)</f>
        <v>61.29032258064516</v>
      </c>
      <c r="K19" s="81"/>
      <c r="L19" s="68"/>
      <c r="N19" s="91">
        <f>F19-'1'!E19</f>
        <v>1900</v>
      </c>
      <c r="O19" s="73"/>
    </row>
    <row r="20" spans="1:15" ht="29.25">
      <c r="A20" s="236" t="s">
        <v>144</v>
      </c>
      <c r="B20" s="237"/>
      <c r="C20" s="237"/>
      <c r="D20" s="141"/>
      <c r="E20" s="141"/>
      <c r="F20" s="141"/>
      <c r="G20" s="142">
        <f>G18+G19</f>
        <v>120</v>
      </c>
      <c r="H20" s="111">
        <f>G20+'30'!H20</f>
        <v>6380</v>
      </c>
      <c r="I20" s="143">
        <f>I18-J20</f>
        <v>-140.80645161290323</v>
      </c>
      <c r="J20" s="203">
        <f>H20/DAY(B2)</f>
        <v>205.80645161290323</v>
      </c>
      <c r="K20" s="81"/>
      <c r="L20" s="68"/>
      <c r="N20" s="91">
        <f>F20-'1'!E20</f>
        <v>0</v>
      </c>
      <c r="O20" s="73"/>
    </row>
    <row r="21" spans="1:15" ht="29.25">
      <c r="A21" s="1211" t="s">
        <v>145</v>
      </c>
      <c r="B21" s="1212"/>
      <c r="C21" s="1213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>
      <c r="A22" s="771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>
      <c r="A23" s="771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>
      <c r="A25" s="1216" t="s">
        <v>150</v>
      </c>
      <c r="B25" s="1217"/>
      <c r="C25" s="1218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21500</v>
      </c>
      <c r="F27" s="152">
        <v>9</v>
      </c>
      <c r="G27" s="153">
        <f>E27*F27</f>
        <v>193500</v>
      </c>
      <c r="H27" s="111">
        <f>G27+'30'!H27</f>
        <v>-16126.109999999637</v>
      </c>
      <c r="I27" s="154"/>
      <c r="J27" s="203">
        <f>H27/DAY(B2)</f>
        <v>-520.19709677418189</v>
      </c>
      <c r="K27" s="65"/>
      <c r="L27" s="94"/>
      <c r="N27" s="91">
        <f>F27-'1'!E27</f>
        <v>-22531.069999999949</v>
      </c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950</v>
      </c>
      <c r="F28" s="152">
        <v>52</v>
      </c>
      <c r="G28" s="153">
        <f>E28*F28</f>
        <v>49400</v>
      </c>
      <c r="H28" s="111">
        <f>G28+'30'!H28</f>
        <v>1507347.5</v>
      </c>
      <c r="I28" s="156"/>
      <c r="J28" s="203">
        <f>H28/DAY(B2)</f>
        <v>48624.112903225803</v>
      </c>
      <c r="K28" s="65"/>
      <c r="L28" s="94"/>
      <c r="N28" s="91">
        <f>F28-'1'!E28</f>
        <v>-724</v>
      </c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60</v>
      </c>
      <c r="F30" s="152">
        <v>146</v>
      </c>
      <c r="G30" s="153">
        <f>E30*F30</f>
        <v>8760</v>
      </c>
      <c r="H30" s="111">
        <f>G30+'30'!H30</f>
        <v>277400</v>
      </c>
      <c r="I30" s="156"/>
      <c r="J30" s="203">
        <f>H30/DAY(B2)</f>
        <v>8948.3870967741932</v>
      </c>
      <c r="K30" s="65"/>
      <c r="L30" s="94"/>
      <c r="N30" s="91">
        <f>F30-'1'!E30</f>
        <v>83</v>
      </c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60</v>
      </c>
      <c r="F31" s="152">
        <v>80</v>
      </c>
      <c r="G31" s="153">
        <f>E31*F31</f>
        <v>4800</v>
      </c>
      <c r="H31" s="111">
        <f>G31+'30'!H31</f>
        <v>358400</v>
      </c>
      <c r="I31" s="156"/>
      <c r="J31" s="203">
        <f>H31/DAY(B2)</f>
        <v>11561.290322580646</v>
      </c>
      <c r="K31" s="65"/>
      <c r="L31" s="94"/>
      <c r="N31" s="91">
        <f>F31-'1'!E31</f>
        <v>-100</v>
      </c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256460</v>
      </c>
      <c r="H32" s="111">
        <f>G32+'30'!H32</f>
        <v>2127021.3899999997</v>
      </c>
      <c r="I32" s="160"/>
      <c r="J32" s="203">
        <f>H32/DAY(B2)</f>
        <v>68613.593225806442</v>
      </c>
      <c r="K32" s="65"/>
      <c r="L32" s="94"/>
      <c r="N32" s="91">
        <f>F32-'1'!E32</f>
        <v>0</v>
      </c>
      <c r="O32" s="73"/>
    </row>
    <row r="33" spans="1:15" ht="25.5" customHeight="1">
      <c r="A33" s="1219" t="s">
        <v>161</v>
      </c>
      <c r="B33" s="1220"/>
      <c r="C33" s="1220"/>
      <c r="D33" s="1220"/>
      <c r="E33" s="1220"/>
      <c r="F33" s="1220"/>
      <c r="G33" s="1220"/>
      <c r="H33" s="1220"/>
      <c r="I33" s="1220"/>
      <c r="J33" s="1221"/>
      <c r="K33" s="81"/>
      <c r="L33" s="68"/>
      <c r="N33" s="91">
        <f>F33-'1'!E33</f>
        <v>0</v>
      </c>
      <c r="O33" s="73"/>
    </row>
    <row r="34" spans="1:15" ht="29.25">
      <c r="A34" s="249" t="s">
        <v>162</v>
      </c>
      <c r="B34" s="776"/>
      <c r="C34" s="776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>
      <c r="A35" s="229" t="s">
        <v>163</v>
      </c>
      <c r="B35" s="230"/>
      <c r="C35" s="230"/>
      <c r="D35" s="174" t="s">
        <v>131</v>
      </c>
      <c r="E35" s="106">
        <f>'30'!F35</f>
        <v>1058597</v>
      </c>
      <c r="F35" s="161">
        <v>950488</v>
      </c>
      <c r="G35" s="124">
        <f t="shared" ref="G35:G46" si="3">F35-E35</f>
        <v>-108109</v>
      </c>
      <c r="H35" s="111">
        <f>G35+'30'!H35</f>
        <v>-108108.30000000005</v>
      </c>
      <c r="I35" s="106"/>
      <c r="J35" s="203">
        <f>H35/DAY(B2)</f>
        <v>-3487.3645161290337</v>
      </c>
      <c r="K35" s="81"/>
      <c r="L35" s="68"/>
      <c r="N35" s="91">
        <f>F35-'1'!E35</f>
        <v>-108108.30000000005</v>
      </c>
      <c r="O35" s="73"/>
    </row>
    <row r="36" spans="1:15" ht="29.25">
      <c r="A36" s="229" t="s">
        <v>164</v>
      </c>
      <c r="B36" s="230"/>
      <c r="C36" s="230"/>
      <c r="D36" s="174" t="s">
        <v>131</v>
      </c>
      <c r="E36" s="106">
        <v>0</v>
      </c>
      <c r="F36" s="161">
        <v>173</v>
      </c>
      <c r="G36" s="124">
        <f t="shared" si="3"/>
        <v>173</v>
      </c>
      <c r="H36" s="111">
        <f>G36+'30'!H36</f>
        <v>173</v>
      </c>
      <c r="I36" s="106"/>
      <c r="J36" s="203">
        <f>H36/DAY(B2)</f>
        <v>5.580645161290323</v>
      </c>
      <c r="K36" s="81"/>
      <c r="L36" s="68"/>
      <c r="N36" s="91">
        <f>F36-'1'!E36</f>
        <v>-46625</v>
      </c>
      <c r="O36" s="279"/>
    </row>
    <row r="37" spans="1:15" ht="29.25">
      <c r="A37" s="229" t="s">
        <v>165</v>
      </c>
      <c r="B37" s="230"/>
      <c r="C37" s="230"/>
      <c r="D37" s="174" t="s">
        <v>131</v>
      </c>
      <c r="E37" s="106">
        <f>'30'!F37</f>
        <v>224517</v>
      </c>
      <c r="F37" s="161">
        <v>134236</v>
      </c>
      <c r="G37" s="124">
        <f t="shared" si="3"/>
        <v>-90281</v>
      </c>
      <c r="H37" s="111">
        <f>G37+'30'!H37</f>
        <v>-91937</v>
      </c>
      <c r="I37" s="106"/>
      <c r="J37" s="203">
        <f>H37/DAY(B2)</f>
        <v>-2965.7096774193546</v>
      </c>
      <c r="K37" s="81"/>
      <c r="L37" s="68"/>
      <c r="N37" s="91">
        <f>F37-'1'!E37</f>
        <v>-91937</v>
      </c>
      <c r="O37" s="280"/>
    </row>
    <row r="38" spans="1:15" ht="29.25">
      <c r="A38" s="229" t="s">
        <v>166</v>
      </c>
      <c r="B38" s="230"/>
      <c r="C38" s="230"/>
      <c r="D38" s="174" t="s">
        <v>131</v>
      </c>
      <c r="E38" s="120">
        <v>155156</v>
      </c>
      <c r="F38" s="120">
        <v>156405</v>
      </c>
      <c r="G38" s="124">
        <f t="shared" si="3"/>
        <v>1249</v>
      </c>
      <c r="H38" s="111">
        <f>G38+'30'!H38</f>
        <v>-496</v>
      </c>
      <c r="I38" s="106"/>
      <c r="J38" s="203">
        <f>H38/DAY(B2)</f>
        <v>-16</v>
      </c>
      <c r="K38" s="81"/>
      <c r="L38" s="68"/>
      <c r="N38" s="91">
        <f>F38-'1'!E38</f>
        <v>-92154</v>
      </c>
      <c r="O38" s="73"/>
    </row>
    <row r="39" spans="1:15" ht="29.25">
      <c r="A39" s="229" t="s">
        <v>167</v>
      </c>
      <c r="B39" s="230"/>
      <c r="C39" s="230"/>
      <c r="D39" s="174" t="s">
        <v>131</v>
      </c>
      <c r="E39" s="106">
        <f>'30'!F39</f>
        <v>516711</v>
      </c>
      <c r="F39" s="161">
        <v>308173</v>
      </c>
      <c r="G39" s="124">
        <f t="shared" si="3"/>
        <v>-208538</v>
      </c>
      <c r="H39" s="111">
        <f>G39+'30'!H39</f>
        <v>-212345</v>
      </c>
      <c r="I39" s="106"/>
      <c r="J39" s="203">
        <f>H39/DAY(B2)</f>
        <v>-6849.8387096774195</v>
      </c>
      <c r="K39" s="81"/>
      <c r="L39" s="68"/>
      <c r="N39" s="91">
        <f>F39-'1'!E39</f>
        <v>-212345</v>
      </c>
      <c r="O39" s="73"/>
    </row>
    <row r="40" spans="1:15" ht="29.25">
      <c r="A40" s="250" t="s">
        <v>168</v>
      </c>
      <c r="B40" s="251"/>
      <c r="C40" s="251"/>
      <c r="D40" s="174" t="s">
        <v>131</v>
      </c>
      <c r="E40" s="106">
        <f>'30'!F40</f>
        <v>19776</v>
      </c>
      <c r="F40" s="161">
        <v>889</v>
      </c>
      <c r="G40" s="124">
        <f t="shared" si="3"/>
        <v>-18887</v>
      </c>
      <c r="H40" s="111">
        <f>G40+'30'!H40</f>
        <v>-19284</v>
      </c>
      <c r="I40" s="106"/>
      <c r="J40" s="203">
        <f>H40/DAY(B2)</f>
        <v>-622.06451612903231</v>
      </c>
      <c r="K40" s="82"/>
      <c r="L40" s="68"/>
      <c r="N40" s="91">
        <f>F40-'1'!E40</f>
        <v>-19284</v>
      </c>
      <c r="O40" s="73"/>
    </row>
    <row r="41" spans="1:15" ht="29.25">
      <c r="A41" s="229" t="s">
        <v>169</v>
      </c>
      <c r="B41" s="230"/>
      <c r="C41" s="230"/>
      <c r="D41" s="174" t="s">
        <v>131</v>
      </c>
      <c r="E41" s="106">
        <f>'30'!F41</f>
        <v>366840</v>
      </c>
      <c r="F41" s="161">
        <v>240478</v>
      </c>
      <c r="G41" s="124">
        <f t="shared" si="3"/>
        <v>-126362</v>
      </c>
      <c r="H41" s="111">
        <f>G41+'30'!H41</f>
        <v>-126362</v>
      </c>
      <c r="I41" s="106"/>
      <c r="J41" s="203">
        <f>H41/DAY(B2)</f>
        <v>-4076.1935483870966</v>
      </c>
      <c r="K41" s="81"/>
      <c r="L41" s="68"/>
      <c r="N41" s="91">
        <f>F41-'1'!E41</f>
        <v>-126362</v>
      </c>
      <c r="O41" s="73"/>
    </row>
    <row r="42" spans="1:15" ht="29.25">
      <c r="A42" s="229" t="s">
        <v>170</v>
      </c>
      <c r="B42" s="230"/>
      <c r="C42" s="230"/>
      <c r="D42" s="174" t="s">
        <v>131</v>
      </c>
      <c r="E42" s="106">
        <f>'30'!F42</f>
        <v>112569</v>
      </c>
      <c r="F42" s="161">
        <v>59200</v>
      </c>
      <c r="G42" s="124">
        <f t="shared" si="3"/>
        <v>-53369</v>
      </c>
      <c r="H42" s="111">
        <f>G42+'30'!H42</f>
        <v>-56312</v>
      </c>
      <c r="I42" s="106"/>
      <c r="J42" s="203">
        <f>H42/DAY(B2)</f>
        <v>-1816.516129032258</v>
      </c>
      <c r="K42" s="81"/>
      <c r="L42" s="68"/>
      <c r="N42" s="91">
        <f>H42-'1'!E42</f>
        <v>-171824</v>
      </c>
      <c r="O42" s="73"/>
    </row>
    <row r="43" spans="1:15" ht="29.25">
      <c r="A43" s="229" t="s">
        <v>171</v>
      </c>
      <c r="B43" s="230"/>
      <c r="C43" s="230"/>
      <c r="D43" s="174" t="s">
        <v>131</v>
      </c>
      <c r="E43" s="106">
        <f>'30'!F43</f>
        <v>1201637</v>
      </c>
      <c r="F43" s="161">
        <v>1042244</v>
      </c>
      <c r="G43" s="124">
        <f t="shared" si="3"/>
        <v>-159393</v>
      </c>
      <c r="H43" s="111">
        <f>G43+'30'!H43</f>
        <v>-162217</v>
      </c>
      <c r="I43" s="106"/>
      <c r="J43" s="203">
        <f>H43/DAY(B2)</f>
        <v>-5232.8064516129034</v>
      </c>
      <c r="K43" s="81"/>
      <c r="L43" s="68"/>
      <c r="N43" s="91">
        <f>H43-'1'!E43</f>
        <v>-1366678</v>
      </c>
      <c r="O43" s="73"/>
    </row>
    <row r="44" spans="1:15" ht="29.25">
      <c r="A44" s="229" t="s">
        <v>172</v>
      </c>
      <c r="B44" s="230"/>
      <c r="C44" s="230"/>
      <c r="D44" s="174" t="s">
        <v>131</v>
      </c>
      <c r="E44" s="106">
        <f>'30'!F44</f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>
      <c r="A45" s="229" t="s">
        <v>173</v>
      </c>
      <c r="B45" s="230"/>
      <c r="C45" s="230"/>
      <c r="D45" s="174" t="s">
        <v>131</v>
      </c>
      <c r="E45" s="106">
        <f>'30'!F45</f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>
      <c r="A46" s="229" t="s">
        <v>174</v>
      </c>
      <c r="B46" s="230"/>
      <c r="C46" s="230"/>
      <c r="D46" s="174" t="s">
        <v>131</v>
      </c>
      <c r="E46" s="106">
        <f>'30'!F46</f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-763517</v>
      </c>
      <c r="H47" s="111">
        <f>G47+'30'!H47</f>
        <v>-777033.3</v>
      </c>
      <c r="I47" s="106"/>
      <c r="J47" s="203">
        <f>H47/DAY(B2)</f>
        <v>-25065.590322580647</v>
      </c>
      <c r="K47" s="81"/>
      <c r="L47" s="68"/>
      <c r="N47" s="91">
        <f>H47-'1'!E47</f>
        <v>-777033.3</v>
      </c>
      <c r="O47" s="73"/>
    </row>
    <row r="48" spans="1:15" ht="29.25">
      <c r="A48" s="249" t="s">
        <v>176</v>
      </c>
      <c r="B48" s="776"/>
      <c r="C48" s="776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>
      <c r="A49" s="229" t="s">
        <v>163</v>
      </c>
      <c r="B49" s="252"/>
      <c r="C49" s="252"/>
      <c r="D49" s="174" t="s">
        <v>131</v>
      </c>
      <c r="E49" s="106">
        <f>'30'!F49</f>
        <v>321016</v>
      </c>
      <c r="F49" s="161">
        <v>260732</v>
      </c>
      <c r="G49" s="124">
        <f t="shared" ref="G49:G58" si="4">F49-E49</f>
        <v>-60284</v>
      </c>
      <c r="H49" s="111">
        <f>G49+'30'!H49</f>
        <v>-66306</v>
      </c>
      <c r="I49" s="106"/>
      <c r="J49" s="203">
        <f>H49/DAY(B2)</f>
        <v>-2138.9032258064517</v>
      </c>
      <c r="K49" s="81"/>
      <c r="L49" s="68"/>
      <c r="N49" s="91">
        <f>H49-'1'!E49</f>
        <v>-390394</v>
      </c>
      <c r="O49" s="73"/>
    </row>
    <row r="50" spans="1:15" ht="29.25">
      <c r="A50" s="229" t="s">
        <v>177</v>
      </c>
      <c r="B50" s="252"/>
      <c r="C50" s="252"/>
      <c r="D50" s="174" t="s">
        <v>131</v>
      </c>
      <c r="E50" s="106">
        <f>'30'!F50</f>
        <v>568748</v>
      </c>
      <c r="F50" s="161">
        <v>502536</v>
      </c>
      <c r="G50" s="124">
        <f t="shared" si="4"/>
        <v>-66212</v>
      </c>
      <c r="H50" s="111">
        <f>G50+'30'!H50</f>
        <v>-68281</v>
      </c>
      <c r="I50" s="106"/>
      <c r="J50" s="203">
        <f>H50/DAY(B2)</f>
        <v>-2202.6129032258063</v>
      </c>
      <c r="K50" s="81"/>
      <c r="L50" s="68"/>
      <c r="N50" s="91">
        <f>H50-'1'!E50</f>
        <v>-638206</v>
      </c>
      <c r="O50" s="73"/>
    </row>
    <row r="51" spans="1:15" ht="29.25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0</v>
      </c>
      <c r="I51" s="106"/>
      <c r="J51" s="203">
        <f>H51/DAY(B2)</f>
        <v>0</v>
      </c>
      <c r="K51" s="81"/>
      <c r="L51" s="68"/>
      <c r="N51" s="91">
        <f>H51-'1'!E51</f>
        <v>-144640</v>
      </c>
      <c r="O51" s="73"/>
    </row>
    <row r="52" spans="1:15" ht="29.25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-539606.06999999995</v>
      </c>
      <c r="O52" s="73"/>
    </row>
    <row r="53" spans="1:15" ht="29.25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432568</v>
      </c>
      <c r="G53" s="124">
        <f t="shared" si="4"/>
        <v>-1664</v>
      </c>
      <c r="H53" s="111">
        <f>G53+'30'!H53</f>
        <v>-1664.3300000000163</v>
      </c>
      <c r="I53" s="106"/>
      <c r="J53" s="203">
        <f>H53/DAY(B2)</f>
        <v>-53.688064516129558</v>
      </c>
      <c r="K53" s="81"/>
      <c r="L53" s="68"/>
      <c r="N53" s="91">
        <f>H53-'1'!E53</f>
        <v>-435896.33</v>
      </c>
      <c r="O53" s="73"/>
    </row>
    <row r="54" spans="1:15" ht="29.25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13750</v>
      </c>
      <c r="G54" s="124">
        <f t="shared" si="4"/>
        <v>-1217</v>
      </c>
      <c r="H54" s="111">
        <f>G54+'30'!H54</f>
        <v>-1217</v>
      </c>
      <c r="I54" s="106"/>
      <c r="J54" s="203">
        <f>H54/DAY(B2)</f>
        <v>-39.258064516129032</v>
      </c>
      <c r="K54" s="81"/>
      <c r="L54" s="68"/>
      <c r="N54" s="91">
        <f>H54-'1'!E54</f>
        <v>-16184</v>
      </c>
      <c r="O54" s="73"/>
    </row>
    <row r="55" spans="1:15" ht="29.25">
      <c r="A55" s="229" t="s">
        <v>180</v>
      </c>
      <c r="B55" s="252"/>
      <c r="C55" s="252"/>
      <c r="D55" s="174" t="s">
        <v>131</v>
      </c>
      <c r="E55" s="106">
        <f>'30'!F55</f>
        <v>231381</v>
      </c>
      <c r="F55" s="161">
        <v>68111</v>
      </c>
      <c r="G55" s="124">
        <f t="shared" si="4"/>
        <v>-163270</v>
      </c>
      <c r="H55" s="111">
        <f>G55+'30'!H55</f>
        <v>-169075</v>
      </c>
      <c r="I55" s="106"/>
      <c r="J55" s="203">
        <f>H55/DAY(B2)</f>
        <v>-5454.0322580645161</v>
      </c>
      <c r="K55" s="81"/>
      <c r="L55" s="68"/>
      <c r="N55" s="91">
        <f>H55-'1'!E55</f>
        <v>-404749</v>
      </c>
      <c r="O55" s="73"/>
    </row>
    <row r="56" spans="1:15" ht="29.25">
      <c r="A56" s="229" t="s">
        <v>181</v>
      </c>
      <c r="B56" s="252"/>
      <c r="C56" s="252"/>
      <c r="D56" s="174" t="s">
        <v>182</v>
      </c>
      <c r="E56" s="106">
        <f>'30'!F56</f>
        <v>649350</v>
      </c>
      <c r="F56" s="161">
        <v>617198</v>
      </c>
      <c r="G56" s="124">
        <f t="shared" si="4"/>
        <v>-32152</v>
      </c>
      <c r="H56" s="111">
        <f>G56+'30'!H56</f>
        <v>-32174</v>
      </c>
      <c r="I56" s="106"/>
      <c r="J56" s="203">
        <f>H56/DAY(B2)</f>
        <v>-1037.8709677419354</v>
      </c>
      <c r="K56" s="80"/>
      <c r="L56" s="68"/>
      <c r="N56" s="91">
        <f>H56-'1'!E56</f>
        <v>-681535</v>
      </c>
      <c r="O56" s="73"/>
    </row>
    <row r="57" spans="1:15" ht="29.25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>
      <c r="A58" s="229" t="s">
        <v>183</v>
      </c>
      <c r="B58" s="252"/>
      <c r="C58" s="252"/>
      <c r="D58" s="174" t="s">
        <v>131</v>
      </c>
      <c r="E58" s="106">
        <f>'30'!F58</f>
        <v>59471</v>
      </c>
      <c r="F58" s="161">
        <v>49625</v>
      </c>
      <c r="G58" s="124">
        <f t="shared" si="4"/>
        <v>-9846</v>
      </c>
      <c r="H58" s="111">
        <f>G58+'30'!H58</f>
        <v>-10266</v>
      </c>
      <c r="I58" s="106"/>
      <c r="J58" s="203">
        <f>H58/DAY(B2)</f>
        <v>-331.16129032258067</v>
      </c>
      <c r="K58" s="81"/>
      <c r="L58" s="68"/>
      <c r="N58" s="91">
        <f>H58-'1'!E58</f>
        <v>-69945</v>
      </c>
      <c r="O58" s="7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-334645</v>
      </c>
      <c r="H59" s="111">
        <f>G59+'30'!H59</f>
        <v>-348983.33</v>
      </c>
      <c r="I59" s="106">
        <f>G7-G60</f>
        <v>1121412</v>
      </c>
      <c r="J59" s="203">
        <f>H59/DAY(B2)</f>
        <v>-11257.526774193549</v>
      </c>
      <c r="K59" s="81"/>
      <c r="L59" s="68"/>
      <c r="N59" s="91">
        <f>H59-'1'!E59</f>
        <v>-348983.33</v>
      </c>
      <c r="O59" s="7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-1098162</v>
      </c>
      <c r="H60" s="111">
        <f>G60+'30'!H60</f>
        <v>-1120439.3</v>
      </c>
      <c r="I60" s="106">
        <f>G13-G60</f>
        <v>1112505</v>
      </c>
      <c r="J60" s="203">
        <f>H60/DAY(B2)</f>
        <v>-36143.20322580645</v>
      </c>
      <c r="K60" s="81"/>
      <c r="L60" s="68"/>
      <c r="N60" s="91">
        <f>H60-'1'!E60</f>
        <v>-1120439.3</v>
      </c>
      <c r="O60" s="73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>
      <c r="A64" s="1181" t="s">
        <v>98</v>
      </c>
      <c r="B64" s="1182"/>
      <c r="C64" s="1183"/>
      <c r="D64" s="174" t="s">
        <v>186</v>
      </c>
      <c r="E64" s="106">
        <f>'30'!F64</f>
        <v>181513</v>
      </c>
      <c r="F64" s="135">
        <v>159932</v>
      </c>
      <c r="G64" s="124">
        <f t="shared" si="5"/>
        <v>-21581</v>
      </c>
      <c r="H64" s="111">
        <f>G64+'30'!H64</f>
        <v>-21928</v>
      </c>
      <c r="I64" s="131"/>
      <c r="J64" s="203">
        <f>H64/DAY(B2)</f>
        <v>-707.35483870967744</v>
      </c>
      <c r="K64" s="81"/>
      <c r="L64" s="68"/>
      <c r="N64" s="91">
        <f>H64-'1'!E64</f>
        <v>-203788</v>
      </c>
      <c r="O64" s="73"/>
    </row>
    <row r="65" spans="1:15" ht="27.75">
      <c r="A65" s="1181" t="s">
        <v>99</v>
      </c>
      <c r="B65" s="1182"/>
      <c r="C65" s="1183"/>
      <c r="D65" s="174" t="s">
        <v>186</v>
      </c>
      <c r="E65" s="106">
        <f>'30'!F65</f>
        <v>181814</v>
      </c>
      <c r="F65" s="135">
        <v>160998</v>
      </c>
      <c r="G65" s="124">
        <f t="shared" si="5"/>
        <v>-20816</v>
      </c>
      <c r="H65" s="111">
        <f>G65+'30'!H65</f>
        <v>-21211</v>
      </c>
      <c r="I65" s="140"/>
      <c r="J65" s="203">
        <f>H65/DAY(B2)</f>
        <v>-684.22580645161293</v>
      </c>
      <c r="K65" s="81"/>
      <c r="L65" s="68"/>
      <c r="N65" s="91">
        <f>H65-'1'!E65</f>
        <v>-203420</v>
      </c>
      <c r="O65" s="73"/>
    </row>
    <row r="66" spans="1:15" ht="27.75">
      <c r="A66" s="1181" t="s">
        <v>100</v>
      </c>
      <c r="B66" s="1182"/>
      <c r="C66" s="1183"/>
      <c r="D66" s="174" t="s">
        <v>186</v>
      </c>
      <c r="E66" s="106">
        <f>'30'!F66</f>
        <v>80259</v>
      </c>
      <c r="F66" s="135">
        <v>56805</v>
      </c>
      <c r="G66" s="124">
        <f t="shared" si="5"/>
        <v>-23454</v>
      </c>
      <c r="H66" s="111">
        <f>G66+'30'!H66</f>
        <v>-23867</v>
      </c>
      <c r="I66" s="131"/>
      <c r="J66" s="203">
        <f>H66/DAY(B2)</f>
        <v>-769.90322580645159</v>
      </c>
      <c r="K66" s="81"/>
      <c r="L66" s="68"/>
      <c r="N66" s="91">
        <f>H66-'1'!E66</f>
        <v>-104539</v>
      </c>
      <c r="O66" s="73"/>
    </row>
    <row r="67" spans="1:15" ht="27.75">
      <c r="A67" s="1181" t="s">
        <v>101</v>
      </c>
      <c r="B67" s="1182"/>
      <c r="C67" s="1183"/>
      <c r="D67" s="174" t="s">
        <v>186</v>
      </c>
      <c r="E67" s="106">
        <f>'30'!F67</f>
        <v>279520</v>
      </c>
      <c r="F67" s="135">
        <v>252192</v>
      </c>
      <c r="G67" s="124">
        <f t="shared" si="5"/>
        <v>-27328</v>
      </c>
      <c r="H67" s="111">
        <f>G67+'30'!H67</f>
        <v>-27866</v>
      </c>
      <c r="I67" s="140"/>
      <c r="J67" s="203">
        <f>H67/DAY(B2)</f>
        <v>-898.90322580645159</v>
      </c>
      <c r="K67" s="82"/>
      <c r="L67" s="68"/>
      <c r="N67" s="91">
        <f>H67-'1'!E67</f>
        <v>-307924</v>
      </c>
      <c r="O67" s="73"/>
    </row>
    <row r="68" spans="1:15" ht="27.75">
      <c r="A68" s="1181" t="s">
        <v>102</v>
      </c>
      <c r="B68" s="1182"/>
      <c r="C68" s="1183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>
      <c r="A69" s="1181" t="s">
        <v>103</v>
      </c>
      <c r="B69" s="1182"/>
      <c r="C69" s="1183"/>
      <c r="D69" s="174" t="s">
        <v>186</v>
      </c>
      <c r="E69" s="106">
        <f>'30'!F69</f>
        <v>96220</v>
      </c>
      <c r="F69" s="135">
        <v>81749</v>
      </c>
      <c r="G69" s="124">
        <f t="shared" si="5"/>
        <v>-14471</v>
      </c>
      <c r="H69" s="111">
        <f>G69+'30'!H69</f>
        <v>-14808</v>
      </c>
      <c r="I69" s="167"/>
      <c r="J69" s="203">
        <f>H69/DAY(B2)</f>
        <v>-477.67741935483872</v>
      </c>
      <c r="K69" s="84"/>
      <c r="L69" s="68"/>
      <c r="N69" s="91">
        <f>H69-'1'!E69</f>
        <v>-111365</v>
      </c>
      <c r="O69" s="73"/>
    </row>
    <row r="70" spans="1:15" ht="27.75">
      <c r="A70" s="1222" t="s">
        <v>188</v>
      </c>
      <c r="B70" s="1223"/>
      <c r="C70" s="1224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>
      <c r="A71" s="1225" t="s">
        <v>189</v>
      </c>
      <c r="B71" s="1226"/>
      <c r="C71" s="1226"/>
      <c r="D71" s="1226"/>
      <c r="E71" s="1226"/>
      <c r="F71" s="1226"/>
      <c r="G71" s="1226"/>
      <c r="H71" s="1226"/>
      <c r="I71" s="1226"/>
      <c r="J71" s="1227"/>
      <c r="K71" s="83"/>
      <c r="L71" s="68"/>
      <c r="N71" s="91">
        <f>H71-'1'!E71</f>
        <v>0</v>
      </c>
      <c r="O71" s="73"/>
    </row>
    <row r="72" spans="1:15" ht="27.75">
      <c r="A72" s="1181" t="s">
        <v>190</v>
      </c>
      <c r="B72" s="1182"/>
      <c r="C72" s="1183"/>
      <c r="D72" s="174" t="s">
        <v>186</v>
      </c>
      <c r="E72" s="106">
        <f>'30'!F72</f>
        <v>856597</v>
      </c>
      <c r="F72" s="170">
        <v>855843</v>
      </c>
      <c r="G72" s="124">
        <f t="shared" ref="G72:G84" si="6">F72-E72</f>
        <v>-754</v>
      </c>
      <c r="H72" s="111">
        <f>G72+'30'!H72</f>
        <v>-780</v>
      </c>
      <c r="I72" s="131"/>
      <c r="J72" s="203">
        <f>H72/DAY(B2)</f>
        <v>-25.161290322580644</v>
      </c>
      <c r="K72" s="84"/>
      <c r="L72" s="68"/>
      <c r="N72" s="91">
        <f>H72-'1'!E72</f>
        <v>-857389</v>
      </c>
      <c r="O72" s="73"/>
    </row>
    <row r="73" spans="1:15" ht="27.75">
      <c r="A73" s="1181" t="s">
        <v>191</v>
      </c>
      <c r="B73" s="1182"/>
      <c r="C73" s="1183"/>
      <c r="D73" s="174" t="s">
        <v>186</v>
      </c>
      <c r="E73" s="106">
        <f>'30'!F73</f>
        <v>886012</v>
      </c>
      <c r="F73" s="171">
        <v>885937</v>
      </c>
      <c r="G73" s="124">
        <f t="shared" si="6"/>
        <v>-75</v>
      </c>
      <c r="H73" s="111">
        <f>G73+'30'!H73</f>
        <v>81</v>
      </c>
      <c r="I73" s="131"/>
      <c r="J73" s="203">
        <f>H73/DAY(B2)</f>
        <v>2.6129032258064515</v>
      </c>
      <c r="K73" s="83"/>
      <c r="L73" s="68"/>
      <c r="N73" s="91">
        <f>H73-'1'!E73</f>
        <v>-885932</v>
      </c>
      <c r="O73" s="73"/>
    </row>
    <row r="74" spans="1:15" ht="27.75">
      <c r="A74" s="1181" t="s">
        <v>192</v>
      </c>
      <c r="B74" s="1182"/>
      <c r="C74" s="1183"/>
      <c r="D74" s="174" t="s">
        <v>186</v>
      </c>
      <c r="E74" s="106">
        <f>'30'!F74</f>
        <v>88732</v>
      </c>
      <c r="F74" s="172">
        <v>2586</v>
      </c>
      <c r="G74" s="124">
        <f t="shared" si="6"/>
        <v>-86146</v>
      </c>
      <c r="H74" s="111">
        <f>G74+'30'!H74</f>
        <v>-86075</v>
      </c>
      <c r="I74" s="131"/>
      <c r="J74" s="203">
        <f>H74/DAY(B2)</f>
        <v>-2776.6129032258063</v>
      </c>
      <c r="K74" s="84"/>
      <c r="L74" s="68"/>
      <c r="N74" s="91">
        <f>H74-'1'!E74</f>
        <v>-174808</v>
      </c>
      <c r="O74" s="73"/>
    </row>
    <row r="75" spans="1:15" ht="27.75">
      <c r="A75" s="1184" t="s">
        <v>193</v>
      </c>
      <c r="B75" s="1185"/>
      <c r="C75" s="1186"/>
      <c r="D75" s="174" t="s">
        <v>186</v>
      </c>
      <c r="E75" s="106">
        <f>'30'!F75</f>
        <v>20760</v>
      </c>
      <c r="F75" s="172">
        <v>12669</v>
      </c>
      <c r="G75" s="124">
        <f t="shared" si="6"/>
        <v>-8091</v>
      </c>
      <c r="H75" s="111">
        <f>G75+'30'!H75</f>
        <v>-8278</v>
      </c>
      <c r="I75" s="131"/>
      <c r="J75" s="203">
        <f>H75/DAY(B2)</f>
        <v>-267.03225806451616</v>
      </c>
      <c r="K75" s="83"/>
      <c r="L75" s="68"/>
      <c r="N75" s="91">
        <f>H75-'1'!E75</f>
        <v>-29225</v>
      </c>
      <c r="O75" s="73"/>
    </row>
    <row r="76" spans="1:15" ht="27.75">
      <c r="A76" s="1184" t="s">
        <v>194</v>
      </c>
      <c r="B76" s="1185"/>
      <c r="C76" s="1186"/>
      <c r="D76" s="174" t="s">
        <v>186</v>
      </c>
      <c r="E76" s="106">
        <f>'30'!F76</f>
        <v>11357</v>
      </c>
      <c r="F76" s="171">
        <v>7419</v>
      </c>
      <c r="G76" s="124">
        <f t="shared" si="6"/>
        <v>-3938</v>
      </c>
      <c r="H76" s="111">
        <f>G76+'30'!H76</f>
        <v>-2506.3999999999996</v>
      </c>
      <c r="I76" s="156"/>
      <c r="J76" s="203">
        <f>H76/DAY(B2)</f>
        <v>-80.851612903225799</v>
      </c>
      <c r="K76" s="83"/>
      <c r="L76" s="68"/>
      <c r="N76" s="91">
        <f>H76-'1'!E76</f>
        <v>-13933.4</v>
      </c>
      <c r="O76" s="73"/>
    </row>
    <row r="77" spans="1:15" ht="27.75">
      <c r="A77" s="1181" t="s">
        <v>195</v>
      </c>
      <c r="B77" s="1182"/>
      <c r="C77" s="1183"/>
      <c r="D77" s="174" t="s">
        <v>186</v>
      </c>
      <c r="E77" s="106">
        <f>'30'!F77</f>
        <v>706384</v>
      </c>
      <c r="F77" s="172">
        <v>702839</v>
      </c>
      <c r="G77" s="124">
        <f t="shared" si="6"/>
        <v>-3545</v>
      </c>
      <c r="H77" s="111">
        <f>G77+'30'!H77</f>
        <v>-3614</v>
      </c>
      <c r="I77" s="156"/>
      <c r="J77" s="203">
        <f>H77/DAY(B2)</f>
        <v>-116.58064516129032</v>
      </c>
      <c r="K77" s="83"/>
      <c r="L77" s="68"/>
      <c r="N77" s="91">
        <f>H77-'1'!E77</f>
        <v>-710067</v>
      </c>
      <c r="O77" s="73"/>
    </row>
    <row r="78" spans="1:15" ht="27.75">
      <c r="A78" s="774" t="s">
        <v>196</v>
      </c>
      <c r="B78" s="766"/>
      <c r="C78" s="766"/>
      <c r="D78" s="174" t="s">
        <v>186</v>
      </c>
      <c r="E78" s="106">
        <f>'30'!F78</f>
        <v>678673</v>
      </c>
      <c r="F78" s="172">
        <v>673032</v>
      </c>
      <c r="G78" s="124">
        <f t="shared" si="6"/>
        <v>-5641</v>
      </c>
      <c r="H78" s="111">
        <f>G78+'30'!H78</f>
        <v>-5821</v>
      </c>
      <c r="I78" s="156"/>
      <c r="J78" s="203">
        <f>H78/DAY(B2)</f>
        <v>-187.7741935483871</v>
      </c>
      <c r="K78" s="83"/>
      <c r="L78" s="68"/>
      <c r="N78" s="91">
        <f>H78-'1'!E78</f>
        <v>-684674</v>
      </c>
      <c r="O78" s="73"/>
    </row>
    <row r="79" spans="1:15" ht="27.75">
      <c r="A79" s="1184" t="s">
        <v>91</v>
      </c>
      <c r="B79" s="1185"/>
      <c r="C79" s="1186"/>
      <c r="D79" s="175" t="s">
        <v>186</v>
      </c>
      <c r="E79" s="106">
        <f>'30'!F79</f>
        <v>840054</v>
      </c>
      <c r="F79" s="172">
        <v>831010</v>
      </c>
      <c r="G79" s="124">
        <f t="shared" si="6"/>
        <v>-9044</v>
      </c>
      <c r="H79" s="111">
        <f>G79+'30'!H79</f>
        <v>-9672</v>
      </c>
      <c r="I79" s="156"/>
      <c r="J79" s="203">
        <f>H79/DAY(B2)</f>
        <v>-312</v>
      </c>
      <c r="K79" s="83"/>
      <c r="L79" s="68"/>
      <c r="N79" s="91">
        <f>H79-'1'!E79</f>
        <v>-849887</v>
      </c>
      <c r="O79" s="73"/>
    </row>
    <row r="80" spans="1:15" ht="27.75">
      <c r="A80" s="1184" t="s">
        <v>197</v>
      </c>
      <c r="B80" s="1185"/>
      <c r="C80" s="1186"/>
      <c r="D80" s="175" t="s">
        <v>186</v>
      </c>
      <c r="E80" s="106">
        <f>'30'!F80</f>
        <v>551538</v>
      </c>
      <c r="F80" s="171">
        <v>527658</v>
      </c>
      <c r="G80" s="124">
        <f t="shared" si="6"/>
        <v>-23880</v>
      </c>
      <c r="H80" s="111">
        <f>G80+'30'!H80</f>
        <v>-27548</v>
      </c>
      <c r="I80" s="156"/>
      <c r="J80" s="203">
        <f>H80/DAY(B2)</f>
        <v>-888.64516129032256</v>
      </c>
      <c r="K80" s="83"/>
      <c r="L80" s="68"/>
      <c r="N80" s="91">
        <f>H80-'1'!E80</f>
        <v>-579500</v>
      </c>
      <c r="O80" s="73"/>
    </row>
    <row r="81" spans="1:15" ht="27.75">
      <c r="A81" s="1184" t="s">
        <v>198</v>
      </c>
      <c r="B81" s="1185"/>
      <c r="C81" s="1186"/>
      <c r="D81" s="175" t="s">
        <v>186</v>
      </c>
      <c r="E81" s="106">
        <f>'30'!F81</f>
        <v>648833</v>
      </c>
      <c r="F81" s="171">
        <v>638898</v>
      </c>
      <c r="G81" s="124">
        <f t="shared" si="6"/>
        <v>-9935</v>
      </c>
      <c r="H81" s="111">
        <f>G81+'30'!H81</f>
        <v>-10120</v>
      </c>
      <c r="I81" s="156"/>
      <c r="J81" s="203">
        <f>H81/DAY(B2)</f>
        <v>-326.45161290322579</v>
      </c>
      <c r="K81" s="83"/>
      <c r="L81" s="68"/>
      <c r="N81" s="91">
        <f>H81-'1'!E81</f>
        <v>-659138</v>
      </c>
      <c r="O81" s="73"/>
    </row>
    <row r="82" spans="1:15" ht="27.75">
      <c r="A82" s="1184" t="s">
        <v>92</v>
      </c>
      <c r="B82" s="1185"/>
      <c r="C82" s="1186"/>
      <c r="D82" s="136" t="s">
        <v>131</v>
      </c>
      <c r="E82" s="106">
        <f>'30'!F82</f>
        <v>109309</v>
      </c>
      <c r="F82" s="173">
        <v>108158</v>
      </c>
      <c r="G82" s="124">
        <f t="shared" si="6"/>
        <v>-1151</v>
      </c>
      <c r="H82" s="111">
        <f>G82+'30'!H82</f>
        <v>-1178</v>
      </c>
      <c r="I82" s="137"/>
      <c r="J82" s="203">
        <f>H82/DAY(B2)</f>
        <v>-38</v>
      </c>
      <c r="K82" s="83"/>
      <c r="L82" s="68"/>
      <c r="N82" s="91">
        <f>H82-'1'!E82</f>
        <v>-110514</v>
      </c>
      <c r="O82" s="73"/>
    </row>
    <row r="83" spans="1:15" ht="27.75">
      <c r="A83" s="1184" t="s">
        <v>199</v>
      </c>
      <c r="B83" s="1185"/>
      <c r="C83" s="1186"/>
      <c r="D83" s="271" t="s">
        <v>131</v>
      </c>
      <c r="E83" s="106">
        <f>'30'!F83</f>
        <v>34708</v>
      </c>
      <c r="F83" s="162">
        <v>20506</v>
      </c>
      <c r="G83" s="124">
        <f t="shared" si="6"/>
        <v>-14202</v>
      </c>
      <c r="H83" s="111">
        <f>G83+'30'!H83</f>
        <v>-14519</v>
      </c>
      <c r="I83" s="132"/>
      <c r="J83" s="203">
        <f>H83/DAY(B2)</f>
        <v>-468.35483870967744</v>
      </c>
      <c r="K83" s="82"/>
      <c r="L83" s="68"/>
      <c r="N83" s="91">
        <f>H83-'1'!E83</f>
        <v>-49544</v>
      </c>
      <c r="O83" s="73"/>
    </row>
    <row r="84" spans="1:15" ht="29.25">
      <c r="A84" s="775" t="s">
        <v>200</v>
      </c>
      <c r="B84" s="222"/>
      <c r="C84" s="222"/>
      <c r="D84" s="129" t="s">
        <v>131</v>
      </c>
      <c r="E84" s="106">
        <f>'30'!F84</f>
        <v>546573</v>
      </c>
      <c r="F84" s="278">
        <v>500294</v>
      </c>
      <c r="G84" s="124">
        <f t="shared" si="6"/>
        <v>-46279</v>
      </c>
      <c r="H84" s="111">
        <f>G84+'30'!H84</f>
        <v>-47099</v>
      </c>
      <c r="I84" s="132"/>
      <c r="J84" s="203">
        <f>H84/DAY(B2)</f>
        <v>-1519.3225806451612</v>
      </c>
      <c r="K84" s="71"/>
      <c r="L84" s="68"/>
      <c r="N84" s="91">
        <f>H84-'1'!E84</f>
        <v>-594492</v>
      </c>
      <c r="O84" s="73"/>
    </row>
    <row r="85" spans="1:15" s="70" customFormat="1" ht="29.2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-212681</v>
      </c>
      <c r="H85" s="111">
        <f>G85+'30'!H85</f>
        <v>-215053</v>
      </c>
      <c r="I85" s="132"/>
      <c r="J85" s="203">
        <f>H85/DAY(B2)</f>
        <v>-6937.1935483870966</v>
      </c>
      <c r="K85" s="71"/>
      <c r="L85" s="69"/>
      <c r="N85" s="91">
        <f>H85-'1'!E85</f>
        <v>-215053</v>
      </c>
      <c r="O85" s="73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'30'!F86</f>
        <v>462486</v>
      </c>
      <c r="F86" s="298">
        <v>460935</v>
      </c>
      <c r="G86" s="356">
        <f t="shared" ref="G86" si="7">F86-E86</f>
        <v>-1551</v>
      </c>
      <c r="H86" s="111">
        <f>G86+'30'!H86</f>
        <v>-1530</v>
      </c>
      <c r="I86" s="303"/>
      <c r="J86" s="358">
        <f>H86/DAY(B2)</f>
        <v>-49.354838709677416</v>
      </c>
      <c r="K86" s="384"/>
      <c r="L86" s="385"/>
      <c r="N86" s="91">
        <f>H86-'1'!E86</f>
        <v>-464037</v>
      </c>
      <c r="O86" s="364"/>
    </row>
    <row r="87" spans="1:15" s="386" customFormat="1" ht="29.25">
      <c r="A87" s="381" t="s">
        <v>94</v>
      </c>
      <c r="B87" s="382"/>
      <c r="C87" s="382"/>
      <c r="D87" s="383" t="s">
        <v>182</v>
      </c>
      <c r="E87" s="106">
        <f>'30'!F87</f>
        <v>82928</v>
      </c>
      <c r="F87" s="298">
        <v>81375</v>
      </c>
      <c r="G87" s="356">
        <f t="shared" ref="G87:G91" si="8">F87-E87</f>
        <v>-1553</v>
      </c>
      <c r="H87" s="111">
        <f>G87+'30'!H87</f>
        <v>-1482</v>
      </c>
      <c r="I87" s="303"/>
      <c r="J87" s="358">
        <f>H87/DAY(B2)</f>
        <v>-47.806451612903224</v>
      </c>
      <c r="K87" s="384"/>
      <c r="L87" s="385"/>
      <c r="N87" s="91">
        <f>H87-'1'!E87</f>
        <v>-84436</v>
      </c>
      <c r="O87" s="364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'30'!F88</f>
        <v>158202</v>
      </c>
      <c r="F88" s="298">
        <v>153064</v>
      </c>
      <c r="G88" s="356">
        <f t="shared" si="8"/>
        <v>-5138</v>
      </c>
      <c r="H88" s="111">
        <f>G88+'30'!H88</f>
        <v>-5095</v>
      </c>
      <c r="I88" s="303"/>
      <c r="J88" s="358">
        <f>H88/DAY(B2)</f>
        <v>-164.35483870967741</v>
      </c>
      <c r="K88" s="384"/>
      <c r="L88" s="385"/>
      <c r="N88" s="91">
        <f>H88-'1'!E88</f>
        <v>-163307</v>
      </c>
      <c r="O88" s="364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'30'!F89</f>
        <v>67055</v>
      </c>
      <c r="F89" s="298">
        <v>65174.6</v>
      </c>
      <c r="G89" s="356">
        <f t="shared" si="8"/>
        <v>-1880.4000000000015</v>
      </c>
      <c r="H89" s="111">
        <f>G89+'30'!H89</f>
        <v>-1759.4000000000015</v>
      </c>
      <c r="I89" s="303"/>
      <c r="J89" s="358">
        <f>H89/DAY(B2)</f>
        <v>-56.754838709677465</v>
      </c>
      <c r="K89" s="384"/>
      <c r="L89" s="385"/>
      <c r="N89" s="91">
        <f>H89-'1'!E89</f>
        <v>-68848.399999999994</v>
      </c>
      <c r="O89" s="73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'30'!F90</f>
        <v>3460</v>
      </c>
      <c r="F90" s="298">
        <v>3273.6</v>
      </c>
      <c r="G90" s="356">
        <f t="shared" si="8"/>
        <v>-186.40000000000009</v>
      </c>
      <c r="H90" s="111">
        <f>G90+'30'!H90</f>
        <v>-176.40000000000009</v>
      </c>
      <c r="I90" s="303"/>
      <c r="J90" s="358">
        <f>H90/DAY(B2)</f>
        <v>-5.6903225806451641</v>
      </c>
      <c r="K90" s="384"/>
      <c r="L90" s="385"/>
      <c r="N90" s="91">
        <f>H90-'1'!E90</f>
        <v>-3640.4</v>
      </c>
      <c r="O90" s="73"/>
    </row>
    <row r="91" spans="1:15" s="386" customFormat="1" ht="29.25">
      <c r="A91" s="381" t="s">
        <v>336</v>
      </c>
      <c r="B91" s="382"/>
      <c r="C91" s="382"/>
      <c r="D91" s="383"/>
      <c r="E91" s="106">
        <f>'30'!F91</f>
        <v>28493</v>
      </c>
      <c r="F91" s="298">
        <v>28022</v>
      </c>
      <c r="G91" s="356">
        <f t="shared" si="8"/>
        <v>-471</v>
      </c>
      <c r="H91" s="111">
        <f>G91+'30'!H91</f>
        <v>-452</v>
      </c>
      <c r="I91" s="303"/>
      <c r="J91" s="358">
        <f>H91/DAY(B2)</f>
        <v>-14.580645161290322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77"/>
      <c r="C92" s="777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>
      <c r="A93" s="1200" t="s">
        <v>205</v>
      </c>
      <c r="B93" s="1201"/>
      <c r="C93" s="1202"/>
      <c r="D93" s="174" t="s">
        <v>143</v>
      </c>
      <c r="E93" s="106">
        <f>'30'!F93</f>
        <v>250211</v>
      </c>
      <c r="F93" s="135">
        <v>245488</v>
      </c>
      <c r="G93" s="124">
        <f t="shared" ref="G93:G94" si="9">F93-E93</f>
        <v>-4723</v>
      </c>
      <c r="H93" s="111">
        <f>G93+'30'!H93</f>
        <v>-4826</v>
      </c>
      <c r="I93" s="131"/>
      <c r="J93" s="203">
        <f>H93/DAY(B2)</f>
        <v>-155.67741935483872</v>
      </c>
      <c r="K93" s="82"/>
      <c r="L93" s="68"/>
      <c r="N93" s="91">
        <f>H93-'1'!E93</f>
        <v>-255140</v>
      </c>
      <c r="O93" s="73"/>
    </row>
    <row r="94" spans="1:15" ht="27.75">
      <c r="A94" s="1200" t="s">
        <v>206</v>
      </c>
      <c r="B94" s="1201"/>
      <c r="C94" s="1202"/>
      <c r="D94" s="174" t="s">
        <v>143</v>
      </c>
      <c r="E94" s="106">
        <f>'30'!F94</f>
        <v>192795</v>
      </c>
      <c r="F94" s="135">
        <v>186121</v>
      </c>
      <c r="G94" s="124">
        <f t="shared" si="9"/>
        <v>-6674</v>
      </c>
      <c r="H94" s="111">
        <f>G94+'30'!H94</f>
        <v>-6777</v>
      </c>
      <c r="I94" s="131"/>
      <c r="J94" s="203">
        <f>H94/DAY(B2)</f>
        <v>-218.61290322580646</v>
      </c>
      <c r="K94" s="71"/>
      <c r="L94" s="68"/>
      <c r="N94" s="91">
        <f>H94-'1'!E94</f>
        <v>-199675</v>
      </c>
      <c r="O94" s="73"/>
    </row>
    <row r="95" spans="1:15" ht="29.25">
      <c r="A95" s="1232" t="s">
        <v>207</v>
      </c>
      <c r="B95" s="1233"/>
      <c r="C95" s="1234"/>
      <c r="D95" s="174"/>
      <c r="E95" s="135"/>
      <c r="F95" s="135"/>
      <c r="G95" s="124">
        <f>G93+G94</f>
        <v>-11397</v>
      </c>
      <c r="H95" s="111">
        <f>G95+'30'!H95</f>
        <v>-11909</v>
      </c>
      <c r="I95" s="131"/>
      <c r="J95" s="203">
        <f>H95/DAY(B2)</f>
        <v>-384.16129032258067</v>
      </c>
      <c r="K95" s="71"/>
      <c r="L95" s="68"/>
      <c r="N95" s="91">
        <f>H95-'1'!E95</f>
        <v>-11909</v>
      </c>
      <c r="O95" s="73"/>
    </row>
    <row r="96" spans="1:15" ht="27.75">
      <c r="A96" s="1200" t="s">
        <v>208</v>
      </c>
      <c r="B96" s="1201"/>
      <c r="C96" s="1202"/>
      <c r="D96" s="174" t="s">
        <v>143</v>
      </c>
      <c r="E96" s="106">
        <f>'30'!F96</f>
        <v>418456</v>
      </c>
      <c r="F96" s="135">
        <v>414283</v>
      </c>
      <c r="G96" s="124">
        <f t="shared" ref="G96:G101" si="10">F96-E96</f>
        <v>-4173</v>
      </c>
      <c r="H96" s="111">
        <f>G96+'30'!H96</f>
        <v>-4253</v>
      </c>
      <c r="I96" s="131"/>
      <c r="J96" s="203">
        <f>H96/DAY(B2)</f>
        <v>-137.19354838709677</v>
      </c>
      <c r="K96" s="71"/>
      <c r="L96" s="68"/>
      <c r="N96" s="91">
        <f>H96-'1'!E96</f>
        <v>-422789</v>
      </c>
      <c r="O96" s="73"/>
    </row>
    <row r="97" spans="1:15" ht="27.75">
      <c r="A97" s="771" t="s">
        <v>209</v>
      </c>
      <c r="B97" s="772"/>
      <c r="C97" s="772"/>
      <c r="D97" s="174" t="s">
        <v>143</v>
      </c>
      <c r="E97" s="106">
        <f>'30'!F97</f>
        <v>103825</v>
      </c>
      <c r="F97" s="135">
        <v>102648</v>
      </c>
      <c r="G97" s="124">
        <f t="shared" si="10"/>
        <v>-1177</v>
      </c>
      <c r="H97" s="111">
        <f>G97+'30'!H97</f>
        <v>-1201</v>
      </c>
      <c r="I97" s="131"/>
      <c r="J97" s="203">
        <f>H97/DAY(B2)</f>
        <v>-38.741935483870968</v>
      </c>
      <c r="K97" s="80"/>
      <c r="L97" s="68"/>
      <c r="N97" s="91">
        <f>H97-'1'!E97</f>
        <v>-105050</v>
      </c>
      <c r="O97" s="73"/>
    </row>
    <row r="98" spans="1:15" ht="27.75">
      <c r="A98" s="771" t="s">
        <v>210</v>
      </c>
      <c r="B98" s="772"/>
      <c r="C98" s="772"/>
      <c r="D98" s="174" t="s">
        <v>143</v>
      </c>
      <c r="E98" s="106">
        <f>'30'!F98</f>
        <v>99417</v>
      </c>
      <c r="F98" s="135">
        <v>97950</v>
      </c>
      <c r="G98" s="124">
        <f t="shared" si="10"/>
        <v>-1467</v>
      </c>
      <c r="H98" s="111">
        <f>G98+'30'!H98</f>
        <v>-1498</v>
      </c>
      <c r="I98" s="131"/>
      <c r="J98" s="203">
        <f>H98/DAY(B2)</f>
        <v>-48.322580645161288</v>
      </c>
      <c r="K98" s="85"/>
      <c r="L98" s="68"/>
      <c r="N98" s="91">
        <f>H98-'1'!E98</f>
        <v>-100946</v>
      </c>
      <c r="O98" s="73"/>
    </row>
    <row r="99" spans="1:15" ht="27.75">
      <c r="A99" s="771" t="s">
        <v>211</v>
      </c>
      <c r="B99" s="772"/>
      <c r="C99" s="772"/>
      <c r="D99" s="174" t="s">
        <v>143</v>
      </c>
      <c r="E99" s="106">
        <f>'30'!F99</f>
        <v>151236</v>
      </c>
      <c r="F99" s="135">
        <v>149852</v>
      </c>
      <c r="G99" s="124">
        <f t="shared" si="10"/>
        <v>-1384</v>
      </c>
      <c r="H99" s="111">
        <f>G99+'30'!H99</f>
        <v>-1399</v>
      </c>
      <c r="I99" s="131"/>
      <c r="J99" s="203">
        <f>H99/DAY(B2)</f>
        <v>-45.12903225806452</v>
      </c>
      <c r="K99" s="71"/>
      <c r="L99" s="68"/>
      <c r="N99" s="91">
        <f>H99-'1'!E99</f>
        <v>-152650</v>
      </c>
      <c r="O99" s="73"/>
    </row>
    <row r="100" spans="1:15" ht="27.75">
      <c r="A100" s="771" t="s">
        <v>212</v>
      </c>
      <c r="B100" s="772"/>
      <c r="C100" s="772"/>
      <c r="D100" s="174" t="s">
        <v>143</v>
      </c>
      <c r="E100" s="106">
        <f>'30'!F100</f>
        <v>8146</v>
      </c>
      <c r="F100" s="135">
        <v>7369</v>
      </c>
      <c r="G100" s="124">
        <f t="shared" si="10"/>
        <v>-777</v>
      </c>
      <c r="H100" s="111">
        <f>G100+'30'!H100</f>
        <v>-796</v>
      </c>
      <c r="I100" s="131"/>
      <c r="J100" s="203">
        <f>H100/DAY(B2)</f>
        <v>-25.677419354838708</v>
      </c>
      <c r="K100" s="71"/>
      <c r="L100" s="68"/>
      <c r="N100" s="91">
        <f>H100-'1'!E100</f>
        <v>-8961</v>
      </c>
      <c r="O100" s="73"/>
    </row>
    <row r="101" spans="1:15" ht="27.75">
      <c r="A101" s="771" t="s">
        <v>213</v>
      </c>
      <c r="B101" s="772"/>
      <c r="C101" s="772"/>
      <c r="D101" s="174" t="s">
        <v>143</v>
      </c>
      <c r="E101" s="106">
        <f>'30'!F101</f>
        <v>5977</v>
      </c>
      <c r="F101" s="135">
        <v>5391</v>
      </c>
      <c r="G101" s="124">
        <f t="shared" si="10"/>
        <v>-586</v>
      </c>
      <c r="H101" s="111">
        <f>G101+'30'!H101</f>
        <v>-600</v>
      </c>
      <c r="I101" s="131"/>
      <c r="J101" s="203">
        <f>H101/DAY(B2)</f>
        <v>-19.35483870967742</v>
      </c>
      <c r="K101" s="71"/>
      <c r="L101" s="68"/>
      <c r="N101" s="91">
        <f>H101-'1'!E101</f>
        <v>-6591</v>
      </c>
      <c r="O101" s="73"/>
    </row>
    <row r="102" spans="1:15" ht="29.25">
      <c r="A102" s="1232" t="s">
        <v>215</v>
      </c>
      <c r="B102" s="1233"/>
      <c r="C102" s="1234"/>
      <c r="D102" s="175"/>
      <c r="E102" s="175"/>
      <c r="F102" s="175"/>
      <c r="G102" s="176">
        <f>SUM(G96:G101)</f>
        <v>-9564</v>
      </c>
      <c r="H102" s="111">
        <f>G102+'30'!H102</f>
        <v>-9747</v>
      </c>
      <c r="I102" s="177"/>
      <c r="J102" s="203">
        <f>H102/DAY(B2)</f>
        <v>-314.41935483870969</v>
      </c>
      <c r="K102" s="71"/>
      <c r="L102" s="68"/>
      <c r="N102" s="91">
        <f>H102-'1'!E102</f>
        <v>-9747</v>
      </c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>
      <c r="A104" s="1235" t="s">
        <v>217</v>
      </c>
      <c r="B104" s="1236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>
      <c r="A105" s="1192" t="s">
        <v>218</v>
      </c>
      <c r="B105" s="1193"/>
      <c r="C105" s="769"/>
      <c r="D105" s="273" t="s">
        <v>143</v>
      </c>
      <c r="E105" s="183">
        <f>'30'!F105</f>
        <v>7637</v>
      </c>
      <c r="F105" s="183">
        <v>7484</v>
      </c>
      <c r="G105" s="183">
        <f>F105-E105</f>
        <v>-153</v>
      </c>
      <c r="H105" s="111">
        <f>G105+'30'!H105</f>
        <v>-93.3700000000008</v>
      </c>
      <c r="I105" s="183"/>
      <c r="J105" s="209">
        <f>H105/DAY(B2)</f>
        <v>-3.0119354838709937</v>
      </c>
      <c r="N105" s="91">
        <f>H105-'1'!E105</f>
        <v>-7730.3700000000008</v>
      </c>
      <c r="O105" s="73"/>
    </row>
    <row r="106" spans="1:15" s="93" customFormat="1" ht="27.75">
      <c r="A106" s="1192" t="s">
        <v>76</v>
      </c>
      <c r="B106" s="1193"/>
      <c r="C106" s="769"/>
      <c r="D106" s="273" t="s">
        <v>143</v>
      </c>
      <c r="E106" s="183">
        <f>'30'!F106</f>
        <v>36451</v>
      </c>
      <c r="F106" s="185">
        <v>35953</v>
      </c>
      <c r="G106" s="183">
        <f t="shared" ref="G106:G107" si="11">F106-E106</f>
        <v>-498</v>
      </c>
      <c r="H106" s="111">
        <f>G106+'30'!H106</f>
        <v>-420</v>
      </c>
      <c r="I106" s="183"/>
      <c r="J106" s="209">
        <f>H106/DAY(B2)</f>
        <v>-13.548387096774194</v>
      </c>
      <c r="N106" s="91">
        <f>H106-'1'!E106</f>
        <v>-36880</v>
      </c>
      <c r="O106" s="73"/>
    </row>
    <row r="107" spans="1:15" s="93" customFormat="1" ht="27.75">
      <c r="A107" s="1192" t="s">
        <v>77</v>
      </c>
      <c r="B107" s="1237"/>
      <c r="C107" s="1193"/>
      <c r="D107" s="273" t="s">
        <v>143</v>
      </c>
      <c r="E107" s="183">
        <f>'30'!F107</f>
        <v>19957</v>
      </c>
      <c r="F107" s="183">
        <v>19708</v>
      </c>
      <c r="G107" s="183">
        <f t="shared" si="11"/>
        <v>-249</v>
      </c>
      <c r="H107" s="111">
        <f>G107+'30'!H107</f>
        <v>-94</v>
      </c>
      <c r="I107" s="183"/>
      <c r="J107" s="209">
        <f>H107/DAY(B2)</f>
        <v>-3.032258064516129</v>
      </c>
      <c r="N107" s="91">
        <f>H107-'1'!E107</f>
        <v>-20057</v>
      </c>
      <c r="O107" s="73"/>
    </row>
    <row r="108" spans="1:15" s="93" customFormat="1" ht="27.75">
      <c r="A108" s="1194" t="s">
        <v>201</v>
      </c>
      <c r="B108" s="1195"/>
      <c r="C108" s="769"/>
      <c r="D108" s="273"/>
      <c r="E108" s="183"/>
      <c r="F108" s="183"/>
      <c r="G108" s="183">
        <f>SUM(G105:G107)</f>
        <v>-900</v>
      </c>
      <c r="H108" s="111">
        <f>G108+'30'!H108</f>
        <v>-727</v>
      </c>
      <c r="I108" s="183"/>
      <c r="J108" s="209">
        <f>H108/DAY(B2)</f>
        <v>-23.451612903225808</v>
      </c>
      <c r="N108" s="91">
        <f>H108-'1'!E108</f>
        <v>-727</v>
      </c>
      <c r="O108" s="73"/>
    </row>
    <row r="109" spans="1:15" s="93" customFormat="1" ht="27.75">
      <c r="A109" s="1198" t="s">
        <v>78</v>
      </c>
      <c r="B109" s="1199"/>
      <c r="C109" s="769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>
      <c r="A110" s="1192" t="s">
        <v>219</v>
      </c>
      <c r="B110" s="1193"/>
      <c r="C110" s="769"/>
      <c r="D110" s="273" t="s">
        <v>143</v>
      </c>
      <c r="E110" s="183">
        <f>'30'!F110</f>
        <v>67021</v>
      </c>
      <c r="F110" s="183">
        <v>62834</v>
      </c>
      <c r="G110" s="183">
        <f>F110-E110</f>
        <v>-4187</v>
      </c>
      <c r="H110" s="111">
        <f>G110+'30'!H110</f>
        <v>-3865.4399999999441</v>
      </c>
      <c r="I110" s="183"/>
      <c r="J110" s="209">
        <f>H110/DAY(B2)</f>
        <v>-124.691612903224</v>
      </c>
      <c r="N110" s="91">
        <f>H110-'1'!E110</f>
        <v>-70968.439999999944</v>
      </c>
      <c r="O110" s="73"/>
    </row>
    <row r="111" spans="1:15" s="93" customFormat="1" ht="27.75">
      <c r="A111" s="1192" t="s">
        <v>220</v>
      </c>
      <c r="B111" s="1193"/>
      <c r="C111" s="769"/>
      <c r="D111" s="273" t="s">
        <v>143</v>
      </c>
      <c r="E111" s="183">
        <f>'30'!F111</f>
        <v>33886</v>
      </c>
      <c r="F111" s="183">
        <v>32578</v>
      </c>
      <c r="G111" s="183">
        <f t="shared" ref="G111:G112" si="12">F111-E111</f>
        <v>-1308</v>
      </c>
      <c r="H111" s="111">
        <f>G111+'30'!H111</f>
        <v>-1294.7200000000012</v>
      </c>
      <c r="I111" s="183"/>
      <c r="J111" s="209">
        <f>H111/DAY(B2)</f>
        <v>-41.765161290322617</v>
      </c>
      <c r="N111" s="91">
        <f>H111-'1'!E111</f>
        <v>-35180.720000000001</v>
      </c>
      <c r="O111" s="73"/>
    </row>
    <row r="112" spans="1:15" s="93" customFormat="1" ht="27.75">
      <c r="A112" s="1192" t="s">
        <v>221</v>
      </c>
      <c r="B112" s="1193"/>
      <c r="C112" s="769"/>
      <c r="D112" s="273" t="s">
        <v>143</v>
      </c>
      <c r="E112" s="183">
        <f>'30'!F112</f>
        <v>4622</v>
      </c>
      <c r="F112" s="183">
        <v>4576</v>
      </c>
      <c r="G112" s="183">
        <f t="shared" si="12"/>
        <v>-46</v>
      </c>
      <c r="H112" s="111">
        <f>G112+'30'!H112</f>
        <v>259</v>
      </c>
      <c r="I112" s="183"/>
      <c r="J112" s="209">
        <f>H112/DAY(B2)</f>
        <v>8.3548387096774199</v>
      </c>
      <c r="N112" s="91">
        <f>H112-'1'!E112</f>
        <v>-4363</v>
      </c>
      <c r="O112" s="73"/>
    </row>
    <row r="113" spans="1:15" s="93" customFormat="1" ht="27.75">
      <c r="A113" s="1196" t="s">
        <v>109</v>
      </c>
      <c r="B113" s="1197"/>
      <c r="C113" s="769"/>
      <c r="D113" s="273"/>
      <c r="E113" s="183"/>
      <c r="F113" s="183"/>
      <c r="G113" s="183">
        <f>SUM(G110:G112)</f>
        <v>-5541</v>
      </c>
      <c r="H113" s="111">
        <f>G113+'30'!H113</f>
        <v>-4576</v>
      </c>
      <c r="I113" s="183"/>
      <c r="J113" s="209">
        <f>H113/DAY(B2)</f>
        <v>-147.61290322580646</v>
      </c>
      <c r="N113" s="91">
        <f>H113-'1'!E113</f>
        <v>-4576</v>
      </c>
      <c r="O113" s="73"/>
    </row>
    <row r="114" spans="1:15" s="93" customFormat="1" ht="27.75">
      <c r="A114" s="1198" t="s">
        <v>222</v>
      </c>
      <c r="B114" s="1199"/>
      <c r="C114" s="769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>
      <c r="A115" s="1192" t="s">
        <v>223</v>
      </c>
      <c r="B115" s="1193"/>
      <c r="C115" s="225"/>
      <c r="D115" s="273" t="s">
        <v>143</v>
      </c>
      <c r="E115" s="183">
        <f>'30'!F115</f>
        <v>12442</v>
      </c>
      <c r="F115" s="185">
        <v>11497</v>
      </c>
      <c r="G115" s="185">
        <f>F115-E115</f>
        <v>-945</v>
      </c>
      <c r="H115" s="111">
        <f>G115+'30'!H115</f>
        <v>-917</v>
      </c>
      <c r="I115" s="183"/>
      <c r="J115" s="209">
        <f>H115/DAY(B2)</f>
        <v>-29.580645161290324</v>
      </c>
      <c r="N115" s="91">
        <f>H115-'1'!E115</f>
        <v>-13382</v>
      </c>
      <c r="O115" s="73"/>
    </row>
    <row r="116" spans="1:15" s="93" customFormat="1" ht="27.75">
      <c r="A116" s="1192" t="s">
        <v>224</v>
      </c>
      <c r="B116" s="1193"/>
      <c r="C116" s="225"/>
      <c r="D116" s="273" t="s">
        <v>143</v>
      </c>
      <c r="E116" s="183">
        <f>'30'!F116</f>
        <v>8811</v>
      </c>
      <c r="F116" s="185">
        <v>8312</v>
      </c>
      <c r="G116" s="185">
        <f t="shared" ref="G116:G117" si="13">F116-E116</f>
        <v>-499</v>
      </c>
      <c r="H116" s="111">
        <f>G116+'30'!H116</f>
        <v>-347</v>
      </c>
      <c r="I116" s="183"/>
      <c r="J116" s="209">
        <f>H116/DAY(B2)</f>
        <v>-11.193548387096774</v>
      </c>
      <c r="N116" s="91">
        <f>H116-'1'!E116</f>
        <v>-9167</v>
      </c>
      <c r="O116" s="73"/>
    </row>
    <row r="117" spans="1:15" s="93" customFormat="1" ht="27.75">
      <c r="A117" s="1192" t="s">
        <v>225</v>
      </c>
      <c r="B117" s="1193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171</v>
      </c>
      <c r="I117" s="183"/>
      <c r="J117" s="209">
        <f>H117/DAY(B2)</f>
        <v>5.5161290322580649</v>
      </c>
      <c r="N117" s="91">
        <f>H117-'1'!E117</f>
        <v>171</v>
      </c>
      <c r="O117" s="73"/>
    </row>
    <row r="118" spans="1:15" s="96" customFormat="1" ht="27.75">
      <c r="A118" s="1194" t="s">
        <v>201</v>
      </c>
      <c r="B118" s="1195"/>
      <c r="C118" s="225"/>
      <c r="D118" s="274"/>
      <c r="E118" s="185"/>
      <c r="F118" s="185"/>
      <c r="G118" s="185">
        <f>SUM(G115:G117)</f>
        <v>-1444</v>
      </c>
      <c r="H118" s="111">
        <f>G118+'30'!H118</f>
        <v>-1329</v>
      </c>
      <c r="I118" s="185"/>
      <c r="J118" s="209">
        <f>H118/DAY(B2)</f>
        <v>-42.87096774193548</v>
      </c>
      <c r="N118" s="91">
        <f>H118-'1'!E118</f>
        <v>-1329</v>
      </c>
      <c r="O118" s="73"/>
    </row>
    <row r="119" spans="1:15" s="97" customFormat="1" ht="27.75">
      <c r="A119" s="1188" t="s">
        <v>226</v>
      </c>
      <c r="B119" s="1189"/>
      <c r="C119" s="768"/>
      <c r="D119" s="275" t="s">
        <v>143</v>
      </c>
      <c r="E119" s="187"/>
      <c r="F119" s="187"/>
      <c r="G119" s="187">
        <f>SUM(G19+G93)</f>
        <v>-4663</v>
      </c>
      <c r="H119" s="111">
        <f>G119+'30'!H119</f>
        <v>-4357</v>
      </c>
      <c r="I119" s="186"/>
      <c r="J119" s="210">
        <f>H119/DAY(B2)</f>
        <v>-140.54838709677421</v>
      </c>
      <c r="N119" s="91">
        <f>H119-'1'!E119</f>
        <v>-4357</v>
      </c>
      <c r="O119" s="73"/>
    </row>
    <row r="120" spans="1:15" s="97" customFormat="1" ht="27.75">
      <c r="A120" s="1188" t="s">
        <v>227</v>
      </c>
      <c r="B120" s="1189"/>
      <c r="C120" s="768"/>
      <c r="D120" s="275" t="s">
        <v>143</v>
      </c>
      <c r="E120" s="187"/>
      <c r="F120" s="187"/>
      <c r="G120" s="187">
        <f>SUM(G96,G97,G98,G100,G101)</f>
        <v>-8180</v>
      </c>
      <c r="H120" s="111">
        <f>G120+'30'!H120</f>
        <v>-7896</v>
      </c>
      <c r="I120" s="186"/>
      <c r="J120" s="210">
        <f>H120/DAY(B2)</f>
        <v>-254.70967741935485</v>
      </c>
      <c r="N120" s="91">
        <f>H120-'1'!E120</f>
        <v>-7896</v>
      </c>
      <c r="O120" s="73"/>
    </row>
    <row r="121" spans="1:15" s="97" customFormat="1" ht="27.75">
      <c r="A121" s="1188" t="s">
        <v>228</v>
      </c>
      <c r="B121" s="1189"/>
      <c r="C121" s="768"/>
      <c r="D121" s="275" t="s">
        <v>143</v>
      </c>
      <c r="E121" s="185"/>
      <c r="F121" s="185"/>
      <c r="G121" s="185">
        <f>SUM(G113)</f>
        <v>-5541</v>
      </c>
      <c r="H121" s="111">
        <f>G121+'30'!H121</f>
        <v>-5370</v>
      </c>
      <c r="I121" s="186"/>
      <c r="J121" s="210">
        <f>H121/DAY(B2)</f>
        <v>-173.2258064516129</v>
      </c>
      <c r="N121" s="91">
        <f>H121-'1'!E121</f>
        <v>-5370</v>
      </c>
      <c r="O121" s="73"/>
    </row>
    <row r="122" spans="1:15" s="93" customFormat="1" ht="27.75">
      <c r="A122" s="1190"/>
      <c r="B122" s="1191"/>
      <c r="C122" s="769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>
      <c r="A123" s="1229" t="s">
        <v>229</v>
      </c>
      <c r="B123" s="1230"/>
      <c r="C123" s="1231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>
      <c r="A124" s="771" t="s">
        <v>230</v>
      </c>
      <c r="B124" s="772"/>
      <c r="C124" s="772"/>
      <c r="D124" s="174" t="s">
        <v>140</v>
      </c>
      <c r="E124" s="106">
        <f>'30'!F124</f>
        <v>847607</v>
      </c>
      <c r="F124" s="129">
        <v>832366</v>
      </c>
      <c r="G124" s="124">
        <f t="shared" ref="G124:G128" si="14">F124-E124</f>
        <v>-15241</v>
      </c>
      <c r="H124" s="111">
        <f>G124+'30'!H124</f>
        <v>-15600</v>
      </c>
      <c r="I124" s="177"/>
      <c r="J124" s="203">
        <f>H124/DAY(B2)</f>
        <v>-503.22580645161293</v>
      </c>
      <c r="K124" s="71"/>
      <c r="L124" s="68"/>
      <c r="N124" s="91">
        <f>H124-'1'!E124</f>
        <v>-863566</v>
      </c>
      <c r="O124" s="73"/>
    </row>
    <row r="125" spans="1:15" ht="27.75">
      <c r="A125" s="771" t="s">
        <v>231</v>
      </c>
      <c r="B125" s="772"/>
      <c r="C125" s="772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>
      <c r="A126" s="1181" t="s">
        <v>232</v>
      </c>
      <c r="B126" s="1182"/>
      <c r="C126" s="1183"/>
      <c r="D126" s="174" t="s">
        <v>140</v>
      </c>
      <c r="E126" s="106">
        <f>'30'!F126</f>
        <v>151229</v>
      </c>
      <c r="F126" s="129">
        <v>146491</v>
      </c>
      <c r="G126" s="124">
        <f t="shared" si="14"/>
        <v>-4738</v>
      </c>
      <c r="H126" s="111">
        <f>G126+'30'!H126</f>
        <v>-4830</v>
      </c>
      <c r="I126" s="177"/>
      <c r="J126" s="203">
        <f>H126/DAY(B2)</f>
        <v>-155.80645161290323</v>
      </c>
      <c r="K126" s="71"/>
      <c r="L126" s="68"/>
      <c r="N126" s="91">
        <f>H126-'1'!E126</f>
        <v>-156151</v>
      </c>
      <c r="O126" s="73"/>
    </row>
    <row r="127" spans="1:15" ht="27.75">
      <c r="A127" s="260" t="s">
        <v>233</v>
      </c>
      <c r="B127" s="772"/>
      <c r="C127" s="772"/>
      <c r="D127" s="174" t="s">
        <v>140</v>
      </c>
      <c r="E127" s="106">
        <f>'30'!F127</f>
        <v>33245</v>
      </c>
      <c r="F127" s="277">
        <v>31406</v>
      </c>
      <c r="G127" s="124">
        <f t="shared" si="14"/>
        <v>-1839</v>
      </c>
      <c r="H127" s="111">
        <f>G127+'30'!H127</f>
        <v>-1882</v>
      </c>
      <c r="I127" s="177"/>
      <c r="J127" s="203">
        <f>H127/DAY(B2)</f>
        <v>-60.70967741935484</v>
      </c>
      <c r="K127" s="71"/>
      <c r="L127" s="68"/>
      <c r="N127" s="91">
        <f>H127-'1'!E127</f>
        <v>-35170</v>
      </c>
      <c r="O127" s="73"/>
    </row>
    <row r="128" spans="1:15" ht="27.75">
      <c r="A128" s="260" t="s">
        <v>234</v>
      </c>
      <c r="B128" s="772"/>
      <c r="C128" s="772"/>
      <c r="D128" s="174" t="s">
        <v>140</v>
      </c>
      <c r="E128" s="106">
        <f>'30'!F128</f>
        <v>9109</v>
      </c>
      <c r="F128" s="277">
        <v>8972</v>
      </c>
      <c r="G128" s="124">
        <f t="shared" si="14"/>
        <v>-137</v>
      </c>
      <c r="H128" s="111">
        <f>G128+'30'!H128</f>
        <v>-141</v>
      </c>
      <c r="I128" s="131"/>
      <c r="J128" s="203">
        <f>H128/DAY(B2)</f>
        <v>-4.5483870967741939</v>
      </c>
      <c r="K128" s="71"/>
      <c r="L128" s="68"/>
      <c r="N128" s="91">
        <f>H128-'1'!E128</f>
        <v>-9254</v>
      </c>
      <c r="O128" s="73"/>
    </row>
    <row r="129" spans="1:15" s="57" customFormat="1" ht="27.75">
      <c r="A129" s="260" t="s">
        <v>235</v>
      </c>
      <c r="B129" s="772"/>
      <c r="C129" s="772"/>
      <c r="D129" s="174"/>
      <c r="E129" s="129"/>
      <c r="F129" s="129"/>
      <c r="G129" s="124">
        <f>G15-SUM(G124:G128)</f>
        <v>22905</v>
      </c>
      <c r="H129" s="111">
        <f>G129+'30'!H129</f>
        <v>22905</v>
      </c>
      <c r="I129" s="131"/>
      <c r="J129" s="203"/>
      <c r="K129" s="60"/>
      <c r="L129" s="58"/>
      <c r="N129" s="91">
        <f>H129-'1'!E129</f>
        <v>22905</v>
      </c>
      <c r="O129" s="73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771" t="s">
        <v>237</v>
      </c>
      <c r="B131" s="772"/>
      <c r="C131" s="772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>
      <c r="A132" s="771" t="s">
        <v>239</v>
      </c>
      <c r="B132" s="772"/>
      <c r="C132" s="772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>
      <c r="A133" s="771" t="s">
        <v>240</v>
      </c>
      <c r="B133" s="772"/>
      <c r="C133" s="772"/>
      <c r="D133" s="174" t="s">
        <v>238</v>
      </c>
      <c r="E133" s="106">
        <f>'30'!F133</f>
        <v>40619</v>
      </c>
      <c r="F133" s="192">
        <v>40059</v>
      </c>
      <c r="G133" s="124">
        <f t="shared" si="15"/>
        <v>-560</v>
      </c>
      <c r="H133" s="111">
        <f>G133+'30'!H133</f>
        <v>-560</v>
      </c>
      <c r="I133" s="131"/>
      <c r="J133" s="203">
        <f>H133/DAY(B2)</f>
        <v>-18.06451612903226</v>
      </c>
      <c r="O133" s="73"/>
    </row>
    <row r="134" spans="1:15" ht="27.75">
      <c r="A134" s="771" t="s">
        <v>241</v>
      </c>
      <c r="B134" s="772"/>
      <c r="C134" s="772"/>
      <c r="D134" s="174" t="s">
        <v>238</v>
      </c>
      <c r="E134" s="106">
        <f>'30'!F134</f>
        <v>559</v>
      </c>
      <c r="F134" s="192">
        <v>300</v>
      </c>
      <c r="G134" s="124">
        <f t="shared" si="15"/>
        <v>-259</v>
      </c>
      <c r="H134" s="111">
        <f>G134+'30'!H134</f>
        <v>-274</v>
      </c>
      <c r="I134" s="131">
        <f>G131+G132+G133+G134</f>
        <v>-819</v>
      </c>
      <c r="J134" s="203">
        <f>H134/DAY(B2)</f>
        <v>-8.8387096774193541</v>
      </c>
      <c r="O134" s="73"/>
    </row>
    <row r="135" spans="1:15" ht="27.75">
      <c r="A135" s="771" t="s">
        <v>242</v>
      </c>
      <c r="B135" s="772"/>
      <c r="C135" s="772"/>
      <c r="D135" s="174" t="s">
        <v>238</v>
      </c>
      <c r="E135" s="106">
        <f>'30'!F135</f>
        <v>42480</v>
      </c>
      <c r="F135" s="192">
        <v>41730</v>
      </c>
      <c r="G135" s="124">
        <f t="shared" si="15"/>
        <v>-750</v>
      </c>
      <c r="H135" s="111">
        <f>G135+'30'!H135</f>
        <v>-608.11000000000058</v>
      </c>
      <c r="I135" s="131"/>
      <c r="J135" s="203">
        <f>H135/DAY(B2)</f>
        <v>-19.616451612903244</v>
      </c>
      <c r="O135" s="73"/>
    </row>
    <row r="136" spans="1:15" ht="27.75">
      <c r="A136" s="771" t="s">
        <v>243</v>
      </c>
      <c r="B136" s="772"/>
      <c r="C136" s="772"/>
      <c r="D136" s="174" t="s">
        <v>238</v>
      </c>
      <c r="E136" s="106">
        <f>'30'!F136</f>
        <v>32874</v>
      </c>
      <c r="F136" s="192">
        <v>32715</v>
      </c>
      <c r="G136" s="124">
        <f t="shared" si="15"/>
        <v>-159</v>
      </c>
      <c r="H136" s="111">
        <f>G136+'30'!H136</f>
        <v>-146.05000000000291</v>
      </c>
      <c r="I136" s="131"/>
      <c r="J136" s="203">
        <f>H136/DAY(B2)</f>
        <v>-4.711290322580739</v>
      </c>
      <c r="O136" s="73"/>
    </row>
    <row r="137" spans="1:15" ht="27.75">
      <c r="A137" s="771" t="s">
        <v>244</v>
      </c>
      <c r="B137" s="772"/>
      <c r="C137" s="772"/>
      <c r="D137" s="174" t="s">
        <v>238</v>
      </c>
      <c r="E137" s="106">
        <f>'30'!F137</f>
        <v>23097.56</v>
      </c>
      <c r="F137" s="192">
        <v>22807.24</v>
      </c>
      <c r="G137" s="124">
        <f t="shared" si="15"/>
        <v>-290.31999999999971</v>
      </c>
      <c r="H137" s="111">
        <f>G137+'30'!H137</f>
        <v>-299.31999999999971</v>
      </c>
      <c r="I137" s="131">
        <f>G135+G136+G137</f>
        <v>-1199.3199999999997</v>
      </c>
      <c r="J137" s="203">
        <f>H137/DAY(B2)</f>
        <v>-9.655483870967732</v>
      </c>
      <c r="O137" s="73"/>
    </row>
    <row r="138" spans="1:15" ht="27.75">
      <c r="A138" s="771" t="s">
        <v>245</v>
      </c>
      <c r="B138" s="772"/>
      <c r="C138" s="772"/>
      <c r="D138" s="174" t="s">
        <v>238</v>
      </c>
      <c r="E138" s="106">
        <f>'30'!F138</f>
        <v>25119.45</v>
      </c>
      <c r="F138" s="192">
        <v>25051.82</v>
      </c>
      <c r="G138" s="124">
        <f t="shared" si="15"/>
        <v>-67.630000000001019</v>
      </c>
      <c r="H138" s="111">
        <f>G138+'30'!H138</f>
        <v>-39.340000000000146</v>
      </c>
      <c r="I138" s="131"/>
      <c r="J138" s="203">
        <f>H138/DAY(B2)</f>
        <v>-1.2690322580645208</v>
      </c>
      <c r="O138" s="73"/>
    </row>
    <row r="139" spans="1:15" ht="27.75">
      <c r="A139" s="771" t="s">
        <v>246</v>
      </c>
      <c r="B139" s="772"/>
      <c r="C139" s="772"/>
      <c r="D139" s="174" t="s">
        <v>238</v>
      </c>
      <c r="E139" s="106">
        <f>'30'!F139</f>
        <v>70516.600000000006</v>
      </c>
      <c r="F139" s="192">
        <v>70411.740000000005</v>
      </c>
      <c r="G139" s="124">
        <f t="shared" si="15"/>
        <v>-104.86000000000058</v>
      </c>
      <c r="H139" s="111">
        <f>G139+'30'!H139</f>
        <v>-89.860000000000582</v>
      </c>
      <c r="I139" s="131">
        <f>G138+G139</f>
        <v>-172.4900000000016</v>
      </c>
      <c r="J139" s="203">
        <f>H139/DAY(B2)</f>
        <v>-2.8987096774193737</v>
      </c>
      <c r="O139" s="73"/>
    </row>
    <row r="140" spans="1:15" ht="27.75">
      <c r="A140" s="771" t="s">
        <v>247</v>
      </c>
      <c r="B140" s="772"/>
      <c r="C140" s="772"/>
      <c r="D140" s="174" t="s">
        <v>238</v>
      </c>
      <c r="E140" s="106">
        <f>'30'!F140</f>
        <v>2301.33</v>
      </c>
      <c r="F140" s="135">
        <v>1854.3</v>
      </c>
      <c r="G140" s="124">
        <f t="shared" si="15"/>
        <v>-447.03</v>
      </c>
      <c r="H140" s="111">
        <f>G140+'30'!H140</f>
        <v>-457.26</v>
      </c>
      <c r="I140" s="193"/>
      <c r="J140" s="203">
        <f>H140/DAY(B2)</f>
        <v>-14.750322580645161</v>
      </c>
      <c r="O140" s="73"/>
    </row>
    <row r="141" spans="1:15" ht="27.75">
      <c r="A141" s="771" t="s">
        <v>248</v>
      </c>
      <c r="B141" s="772"/>
      <c r="C141" s="772"/>
      <c r="D141" s="174" t="s">
        <v>238</v>
      </c>
      <c r="E141" s="106">
        <f>'30'!F141</f>
        <v>4754</v>
      </c>
      <c r="F141" s="135">
        <v>4637</v>
      </c>
      <c r="G141" s="124">
        <f t="shared" si="15"/>
        <v>-117</v>
      </c>
      <c r="H141" s="111">
        <f>G141+'30'!H141</f>
        <v>-117</v>
      </c>
      <c r="I141" s="193"/>
      <c r="J141" s="203">
        <f>H141/DAY(B2)</f>
        <v>-3.774193548387097</v>
      </c>
      <c r="O141" s="73"/>
    </row>
    <row r="142" spans="1:15" ht="29.25">
      <c r="A142" s="1203" t="s">
        <v>249</v>
      </c>
      <c r="B142" s="1204"/>
      <c r="C142" s="777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00" t="s">
        <v>250</v>
      </c>
      <c r="B143" s="1201"/>
      <c r="C143" s="1202"/>
      <c r="D143" s="174" t="s">
        <v>131</v>
      </c>
      <c r="E143" s="174"/>
      <c r="F143" s="174"/>
      <c r="G143" s="111">
        <f>G35+G43+G49+G57</f>
        <v>-327786</v>
      </c>
      <c r="H143" s="111">
        <f>G143+'30'!H143</f>
        <v>-336700.12</v>
      </c>
      <c r="I143" s="131"/>
      <c r="J143" s="203">
        <f>H143/DAY(B2)</f>
        <v>-10861.294193548387</v>
      </c>
      <c r="K143" s="71"/>
      <c r="L143" s="68"/>
      <c r="O143" s="73"/>
    </row>
    <row r="144" spans="1:15" ht="27.75">
      <c r="A144" s="1200" t="s">
        <v>251</v>
      </c>
      <c r="B144" s="1201"/>
      <c r="C144" s="1202"/>
      <c r="D144" s="174" t="s">
        <v>24</v>
      </c>
      <c r="E144" s="162"/>
      <c r="F144" s="162"/>
      <c r="G144" s="194">
        <f>G143/G7</f>
        <v>-14.098322580645162</v>
      </c>
      <c r="H144" s="111">
        <f>G144+'30'!H144</f>
        <v>-14.312560830806598</v>
      </c>
      <c r="I144" s="195"/>
      <c r="J144" s="203">
        <f>H144/DAY(B2)</f>
        <v>-0.46169551067118059</v>
      </c>
      <c r="K144" s="71"/>
      <c r="L144" s="68"/>
      <c r="O144" s="73"/>
    </row>
    <row r="145" spans="1:15" ht="27.75">
      <c r="A145" s="1200" t="s">
        <v>252</v>
      </c>
      <c r="B145" s="1201"/>
      <c r="C145" s="1202"/>
      <c r="D145" s="174" t="s">
        <v>131</v>
      </c>
      <c r="E145" s="106"/>
      <c r="F145" s="106"/>
      <c r="G145" s="111">
        <f>G41+G42+G55+G56</f>
        <v>-375153</v>
      </c>
      <c r="H145" s="111">
        <f>G145+'30'!H145</f>
        <v>-382400</v>
      </c>
      <c r="I145" s="131"/>
      <c r="J145" s="203">
        <f>H145/DAY(B2)</f>
        <v>-12335.483870967742</v>
      </c>
      <c r="K145" s="71"/>
      <c r="L145" s="68"/>
      <c r="O145" s="73"/>
    </row>
    <row r="146" spans="1:15" ht="27.75">
      <c r="A146" s="1200" t="s">
        <v>253</v>
      </c>
      <c r="B146" s="1201"/>
      <c r="C146" s="1202"/>
      <c r="D146" s="174" t="s">
        <v>24</v>
      </c>
      <c r="E146" s="106"/>
      <c r="F146" s="106"/>
      <c r="G146" s="194">
        <f>G145/G7</f>
        <v>-16.135612903225805</v>
      </c>
      <c r="H146" s="111">
        <f>G146+'30'!H146</f>
        <v>-16.266032482967479</v>
      </c>
      <c r="I146" s="195"/>
      <c r="J146" s="203">
        <f>H146/DAY(B2)</f>
        <v>-0.52471072525701545</v>
      </c>
      <c r="K146" s="71"/>
      <c r="L146" s="68"/>
      <c r="O146" s="73"/>
    </row>
    <row r="147" spans="1:15" ht="27.75">
      <c r="A147" s="1200" t="s">
        <v>254</v>
      </c>
      <c r="B147" s="1201"/>
      <c r="C147" s="1202"/>
      <c r="D147" s="174" t="s">
        <v>131</v>
      </c>
      <c r="E147" s="106"/>
      <c r="F147" s="106"/>
      <c r="G147" s="111">
        <f>G39+G53</f>
        <v>-210202</v>
      </c>
      <c r="H147" s="111">
        <f>G147+'30'!H147</f>
        <v>-214009</v>
      </c>
      <c r="I147" s="196"/>
      <c r="J147" s="203">
        <f>H147/DAY(B2)</f>
        <v>-6903.5161290322585</v>
      </c>
      <c r="K147" s="71"/>
      <c r="L147" s="68"/>
      <c r="O147" s="73"/>
    </row>
    <row r="148" spans="1:15" ht="27.75">
      <c r="A148" s="1200" t="s">
        <v>255</v>
      </c>
      <c r="B148" s="1201"/>
      <c r="C148" s="1202"/>
      <c r="D148" s="174" t="s">
        <v>24</v>
      </c>
      <c r="E148" s="106"/>
      <c r="F148" s="106"/>
      <c r="G148" s="194">
        <f>G147/G7</f>
        <v>-9.0409462365591402</v>
      </c>
      <c r="H148" s="111">
        <f>G148+'30'!H148</f>
        <v>-9.0898101994970517</v>
      </c>
      <c r="I148" s="196"/>
      <c r="J148" s="203">
        <f>H148/DAY(B2)</f>
        <v>-0.29321968385474362</v>
      </c>
      <c r="O148" s="73"/>
    </row>
    <row r="149" spans="1:15" ht="27.75">
      <c r="A149" s="1200" t="s">
        <v>256</v>
      </c>
      <c r="B149" s="1201"/>
      <c r="C149" s="1202"/>
      <c r="D149" s="174" t="s">
        <v>182</v>
      </c>
      <c r="E149" s="106"/>
      <c r="F149" s="106"/>
      <c r="G149" s="111">
        <f>G38+G52</f>
        <v>1249</v>
      </c>
      <c r="H149" s="111">
        <f>G149+'30'!H149</f>
        <v>-496</v>
      </c>
      <c r="I149" s="131"/>
      <c r="J149" s="203">
        <f>H149/DAY(B2)</f>
        <v>-16</v>
      </c>
      <c r="K149" s="72"/>
      <c r="O149" s="73"/>
    </row>
    <row r="150" spans="1:15" ht="27.75">
      <c r="A150" s="1200" t="s">
        <v>257</v>
      </c>
      <c r="B150" s="1201"/>
      <c r="C150" s="1202"/>
      <c r="D150" s="174" t="s">
        <v>24</v>
      </c>
      <c r="E150" s="106"/>
      <c r="F150" s="106"/>
      <c r="G150" s="194">
        <f>G149/G7</f>
        <v>5.3720430107526883E-2</v>
      </c>
      <c r="H150" s="111">
        <f>G150+'30'!H150</f>
        <v>3.026441986691298E-2</v>
      </c>
      <c r="I150" s="196"/>
      <c r="J150" s="203">
        <f>H150/DAY(B2)</f>
        <v>9.7627160861009615E-4</v>
      </c>
      <c r="O150" s="73"/>
    </row>
    <row r="151" spans="1:15" ht="27.75">
      <c r="A151" s="1200" t="s">
        <v>258</v>
      </c>
      <c r="B151" s="1201"/>
      <c r="C151" s="1202"/>
      <c r="D151" s="174" t="s">
        <v>182</v>
      </c>
      <c r="E151" s="106"/>
      <c r="F151" s="106"/>
      <c r="G151" s="111">
        <f>G36+G50</f>
        <v>-66039</v>
      </c>
      <c r="H151" s="111">
        <f>G151+'30'!H151</f>
        <v>-68162</v>
      </c>
      <c r="I151" s="196"/>
      <c r="J151" s="203">
        <f>H151/DAY(B2)</f>
        <v>-2198.7741935483873</v>
      </c>
      <c r="O151" s="73"/>
    </row>
    <row r="152" spans="1:15" ht="27.75">
      <c r="A152" s="1200" t="s">
        <v>259</v>
      </c>
      <c r="B152" s="1201"/>
      <c r="C152" s="1202"/>
      <c r="D152" s="174" t="s">
        <v>24</v>
      </c>
      <c r="E152" s="106"/>
      <c r="F152" s="106"/>
      <c r="G152" s="194">
        <f>G151/G7</f>
        <v>-2.8403870967741938</v>
      </c>
      <c r="H152" s="111">
        <f>G152+'30'!H152</f>
        <v>-2.8794129625405254</v>
      </c>
      <c r="I152" s="131"/>
      <c r="J152" s="203">
        <f>H152/DAY(B2)</f>
        <v>-9.2884289114210497E-2</v>
      </c>
      <c r="O152" s="73"/>
    </row>
    <row r="153" spans="1:15" ht="27.75">
      <c r="A153" s="1200" t="s">
        <v>260</v>
      </c>
      <c r="B153" s="1201"/>
      <c r="C153" s="1202"/>
      <c r="D153" s="174" t="s">
        <v>182</v>
      </c>
      <c r="E153" s="106"/>
      <c r="F153" s="106"/>
      <c r="G153" s="111">
        <f>G37+G51</f>
        <v>-90281</v>
      </c>
      <c r="H153" s="111">
        <f>G153+'30'!H153</f>
        <v>-91937</v>
      </c>
      <c r="I153" s="131"/>
      <c r="J153" s="203">
        <f>H153/DAY(B2)</f>
        <v>-2965.7096774193546</v>
      </c>
      <c r="O153" s="73"/>
    </row>
    <row r="154" spans="1:15" ht="28.5" thickBot="1">
      <c r="A154" s="1238" t="s">
        <v>261</v>
      </c>
      <c r="B154" s="1239"/>
      <c r="C154" s="1240"/>
      <c r="D154" s="276" t="s">
        <v>24</v>
      </c>
      <c r="E154" s="216"/>
      <c r="F154" s="216"/>
      <c r="G154" s="217">
        <f>G153/G7</f>
        <v>-3.8830537634408602</v>
      </c>
      <c r="H154" s="111">
        <f>G154+'30'!H154</f>
        <v>-3.9067480481327688</v>
      </c>
      <c r="I154" s="219"/>
      <c r="J154" s="220">
        <f>H154/DAY(B2)</f>
        <v>-0.12602413058492803</v>
      </c>
      <c r="O154" s="73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435" t="s">
        <v>262</v>
      </c>
      <c r="B161" s="436"/>
      <c r="C161" s="436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>
      <c r="A162" s="435" t="s">
        <v>263</v>
      </c>
      <c r="B162" s="436"/>
      <c r="C162" s="436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>
      <c r="A163" s="435" t="s">
        <v>264</v>
      </c>
      <c r="B163" s="436"/>
      <c r="C163" s="436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>
      <c r="A164" s="435" t="s">
        <v>265</v>
      </c>
      <c r="B164" s="436"/>
      <c r="C164" s="436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>
      <c r="A166" s="437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>
      <c r="A167" s="1187" t="s">
        <v>98</v>
      </c>
      <c r="B167" s="1187"/>
      <c r="C167" s="1187"/>
      <c r="D167" s="174" t="s">
        <v>186</v>
      </c>
      <c r="E167" s="165">
        <f t="shared" ref="E167:E172" si="18">E64</f>
        <v>181513</v>
      </c>
      <c r="F167" s="165">
        <f t="shared" ref="F167:F172" si="19">F64</f>
        <v>159932</v>
      </c>
      <c r="G167" s="124">
        <f t="shared" si="17"/>
        <v>-21581</v>
      </c>
    </row>
    <row r="168" spans="1:7" ht="27.75">
      <c r="A168" s="1187" t="s">
        <v>99</v>
      </c>
      <c r="B168" s="1187"/>
      <c r="C168" s="1187"/>
      <c r="D168" s="174" t="s">
        <v>186</v>
      </c>
      <c r="E168" s="165">
        <f t="shared" si="18"/>
        <v>181814</v>
      </c>
      <c r="F168" s="165">
        <f t="shared" si="19"/>
        <v>160998</v>
      </c>
      <c r="G168" s="124">
        <f t="shared" si="17"/>
        <v>-20816</v>
      </c>
    </row>
    <row r="169" spans="1:7" ht="27.75">
      <c r="A169" s="1187" t="s">
        <v>100</v>
      </c>
      <c r="B169" s="1187"/>
      <c r="C169" s="1187"/>
      <c r="D169" s="174" t="s">
        <v>186</v>
      </c>
      <c r="E169" s="165">
        <f t="shared" si="18"/>
        <v>80259</v>
      </c>
      <c r="F169" s="165">
        <f t="shared" si="19"/>
        <v>56805</v>
      </c>
      <c r="G169" s="124">
        <f t="shared" si="17"/>
        <v>-23454</v>
      </c>
    </row>
    <row r="170" spans="1:7" ht="27.75">
      <c r="A170" s="1187" t="s">
        <v>101</v>
      </c>
      <c r="B170" s="1187"/>
      <c r="C170" s="1187"/>
      <c r="D170" s="174" t="s">
        <v>186</v>
      </c>
      <c r="E170" s="165">
        <f t="shared" si="18"/>
        <v>279520</v>
      </c>
      <c r="F170" s="165">
        <f t="shared" si="19"/>
        <v>252192</v>
      </c>
      <c r="G170" s="124">
        <f t="shared" si="17"/>
        <v>-27328</v>
      </c>
    </row>
    <row r="171" spans="1:7" ht="27.75">
      <c r="A171" s="1187" t="s">
        <v>102</v>
      </c>
      <c r="B171" s="1187"/>
      <c r="C171" s="1187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>
      <c r="A172" s="1187" t="s">
        <v>103</v>
      </c>
      <c r="B172" s="1187"/>
      <c r="C172" s="1187"/>
      <c r="D172" s="174" t="s">
        <v>186</v>
      </c>
      <c r="E172" s="165">
        <f t="shared" si="18"/>
        <v>96220</v>
      </c>
      <c r="F172" s="165">
        <f t="shared" si="19"/>
        <v>81749</v>
      </c>
      <c r="G172" s="124">
        <f t="shared" si="17"/>
        <v>-14471</v>
      </c>
    </row>
    <row r="173" spans="1:7" ht="29.25">
      <c r="G173" s="190">
        <f>SUM(G161:G172)</f>
        <v>-106956</v>
      </c>
    </row>
    <row r="174" spans="1:7" ht="29.25">
      <c r="A174" s="1228" t="s">
        <v>338</v>
      </c>
      <c r="B174" s="1191"/>
      <c r="C174" s="436"/>
      <c r="D174" s="174" t="s">
        <v>186</v>
      </c>
    </row>
    <row r="175" spans="1:7" ht="29.25">
      <c r="A175" s="1228" t="s">
        <v>339</v>
      </c>
      <c r="B175" s="1191"/>
      <c r="C175" s="436"/>
      <c r="D175" s="174" t="s">
        <v>186</v>
      </c>
    </row>
    <row r="176" spans="1:7" ht="29.25"/>
    <row r="177" spans="1:15" ht="29.25"/>
    <row r="178" spans="1:15" ht="29.25">
      <c r="A178" s="1228" t="s">
        <v>338</v>
      </c>
      <c r="B178" s="1191"/>
      <c r="C178" s="436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0">F178-E178</f>
        <v>19067.400000000001</v>
      </c>
      <c r="N178" s="369"/>
      <c r="O178" s="374"/>
    </row>
    <row r="179" spans="1:15" ht="29.25">
      <c r="A179" s="1228" t="s">
        <v>338</v>
      </c>
      <c r="B179" s="1191"/>
      <c r="C179" s="436"/>
      <c r="D179" s="174" t="s">
        <v>186</v>
      </c>
      <c r="E179" s="183">
        <f>'13'!F181</f>
        <v>0</v>
      </c>
      <c r="F179" s="183">
        <v>70423.7</v>
      </c>
      <c r="G179" s="124">
        <f t="shared" si="20"/>
        <v>70423.7</v>
      </c>
      <c r="N179" s="369"/>
      <c r="O179" s="374"/>
    </row>
    <row r="180" spans="1:15" ht="29.25">
      <c r="A180" s="1228" t="s">
        <v>339</v>
      </c>
      <c r="B180" s="1191"/>
      <c r="C180" s="436"/>
      <c r="D180" s="174" t="s">
        <v>186</v>
      </c>
      <c r="E180" s="183">
        <f>'13'!F182</f>
        <v>0</v>
      </c>
      <c r="F180" s="183">
        <v>27698</v>
      </c>
      <c r="G180" s="124">
        <f t="shared" si="20"/>
        <v>27698</v>
      </c>
      <c r="N180" s="369"/>
      <c r="O180" s="374"/>
    </row>
    <row r="181" spans="1:15" ht="29.25"/>
    <row r="182" spans="1:15" ht="29.25"/>
    <row r="183" spans="1:15" ht="29.25"/>
    <row r="184" spans="1:15" ht="29.25"/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9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162"/>
      <c r="B1" s="1162"/>
      <c r="C1" s="1162"/>
      <c r="D1" s="1162"/>
      <c r="E1" s="1162"/>
      <c r="F1" s="1162"/>
      <c r="G1" s="1162"/>
      <c r="H1" s="1162"/>
      <c r="I1" s="1162"/>
      <c r="J1" s="1162"/>
      <c r="K1" s="1162"/>
      <c r="L1" s="1162"/>
      <c r="M1" s="1162"/>
      <c r="N1" s="1162"/>
      <c r="O1" s="1162"/>
    </row>
    <row r="2" spans="1:15" ht="28.5" customHeight="1">
      <c r="A2" s="1" t="s">
        <v>0</v>
      </c>
      <c r="B2" s="1" t="s">
        <v>0</v>
      </c>
      <c r="C2" s="764" t="s">
        <v>1</v>
      </c>
      <c r="D2" s="4" t="s">
        <v>4</v>
      </c>
      <c r="E2" s="1164" t="s">
        <v>7</v>
      </c>
      <c r="F2" s="1164"/>
      <c r="G2" s="1164"/>
      <c r="H2" s="1170" t="s">
        <v>15</v>
      </c>
      <c r="I2" s="1170"/>
      <c r="J2" s="1170"/>
      <c r="K2" s="764" t="s">
        <v>16</v>
      </c>
      <c r="L2" s="1170" t="s">
        <v>17</v>
      </c>
      <c r="M2" s="1170"/>
      <c r="N2" s="1170"/>
      <c r="O2" s="76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277</v>
      </c>
      <c r="O3" s="12"/>
    </row>
    <row r="4" spans="1:15">
      <c r="A4" s="16">
        <v>1</v>
      </c>
      <c r="B4" s="17">
        <v>1</v>
      </c>
      <c r="C4" s="18"/>
      <c r="D4" s="19">
        <f>'1'!F8</f>
        <v>638137.06999999995</v>
      </c>
      <c r="E4" s="19">
        <f>'1'!G97</f>
        <v>34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325.52999999999884</v>
      </c>
      <c r="J4" s="19">
        <f>'1'!G70</f>
        <v>0</v>
      </c>
      <c r="K4" s="23">
        <f>H4+I4</f>
        <v>325.52999999999884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659998.75</v>
      </c>
      <c r="E5" s="19">
        <f>'2'!G96</f>
        <v>68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318.47999999999593</v>
      </c>
      <c r="J5" s="19">
        <f>'2'!G70</f>
        <v>0</v>
      </c>
      <c r="K5" s="23">
        <f t="shared" ref="K5:K18" si="1">H5+I5</f>
        <v>318.47999999999593</v>
      </c>
      <c r="L5" s="19">
        <f>'2'!G71</f>
        <v>0</v>
      </c>
      <c r="M5" s="19">
        <f>'2'!G72</f>
        <v>12</v>
      </c>
      <c r="N5" s="19">
        <v>0</v>
      </c>
      <c r="O5" s="23">
        <f t="shared" ref="O5:O18" si="2">L5+M5+N5</f>
        <v>12</v>
      </c>
    </row>
    <row r="6" spans="1:15">
      <c r="A6" s="16">
        <v>3</v>
      </c>
      <c r="B6" s="26">
        <v>3</v>
      </c>
      <c r="C6" s="26"/>
      <c r="D6" s="19">
        <f>'4'!F8</f>
        <v>706368.71</v>
      </c>
      <c r="E6" s="19">
        <f>'3'!G96</f>
        <v>62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310.1299999999901</v>
      </c>
      <c r="J6" s="19">
        <f>'4'!G70</f>
        <v>0</v>
      </c>
      <c r="K6" s="23">
        <f t="shared" si="1"/>
        <v>310.1299999999901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681487.57</v>
      </c>
      <c r="E7" s="19">
        <f>'4'!G96</f>
        <v>91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299.06000000001222</v>
      </c>
      <c r="J7" s="19">
        <f>'3'!G70</f>
        <v>0</v>
      </c>
      <c r="K7" s="23">
        <f t="shared" si="1"/>
        <v>299.06000000001222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753768.63</v>
      </c>
      <c r="E9" s="19">
        <f>'6'!G96</f>
        <v>74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329</v>
      </c>
      <c r="J9" s="19">
        <f>'6'!G70</f>
        <v>0</v>
      </c>
      <c r="K9" s="23">
        <f t="shared" si="1"/>
        <v>329</v>
      </c>
      <c r="L9" s="19">
        <f>'6'!G71</f>
        <v>0</v>
      </c>
      <c r="M9" s="19">
        <f>'6'!G72</f>
        <v>12</v>
      </c>
      <c r="N9" s="19">
        <v>0</v>
      </c>
      <c r="O9" s="23">
        <f t="shared" si="2"/>
        <v>12</v>
      </c>
    </row>
    <row r="10" spans="1:15">
      <c r="A10" s="16">
        <v>7</v>
      </c>
      <c r="B10" s="26">
        <v>7</v>
      </c>
      <c r="C10" s="27"/>
      <c r="D10" s="19">
        <f>'7'!F8</f>
        <v>778174.31</v>
      </c>
      <c r="E10" s="19">
        <f>'7'!G96</f>
        <v>86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332</v>
      </c>
      <c r="J10" s="19">
        <f>'7'!G70</f>
        <v>0</v>
      </c>
      <c r="K10" s="23">
        <f t="shared" si="1"/>
        <v>332</v>
      </c>
      <c r="L10" s="19">
        <f>'7'!G71</f>
        <v>0</v>
      </c>
      <c r="M10" s="19">
        <f>'7'!G72</f>
        <v>15</v>
      </c>
      <c r="N10" s="19">
        <v>0</v>
      </c>
      <c r="O10" s="23">
        <f t="shared" si="2"/>
        <v>15</v>
      </c>
    </row>
    <row r="11" spans="1:15">
      <c r="A11" s="16">
        <v>8</v>
      </c>
      <c r="B11" s="26">
        <v>8</v>
      </c>
      <c r="C11" s="18"/>
      <c r="D11" s="19">
        <f>'8'!F8</f>
        <v>800610</v>
      </c>
      <c r="E11" s="19">
        <f>'8'!G96</f>
        <v>74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306.19999999999709</v>
      </c>
      <c r="J11" s="19">
        <f>'8'!G70</f>
        <v>0</v>
      </c>
      <c r="K11" s="23">
        <f t="shared" si="1"/>
        <v>306.19999999999709</v>
      </c>
      <c r="L11" s="19">
        <f>'8'!G71</f>
        <v>0</v>
      </c>
      <c r="M11" s="19">
        <f>'8'!G72</f>
        <v>12</v>
      </c>
      <c r="N11" s="19">
        <v>0</v>
      </c>
      <c r="O11" s="23">
        <f t="shared" si="2"/>
        <v>12</v>
      </c>
    </row>
    <row r="12" spans="1:15">
      <c r="A12" s="16">
        <v>9</v>
      </c>
      <c r="B12" s="27">
        <v>9</v>
      </c>
      <c r="C12" s="26"/>
      <c r="D12" s="19">
        <f>'9'!F8</f>
        <v>821222</v>
      </c>
      <c r="E12" s="19">
        <f>'9'!G96</f>
        <v>84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324</v>
      </c>
      <c r="J12" s="19">
        <f>'9'!G70</f>
        <v>0</v>
      </c>
      <c r="K12" s="23">
        <f t="shared" si="1"/>
        <v>324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>
      <c r="A13" s="16">
        <v>10</v>
      </c>
      <c r="B13" s="27">
        <v>10</v>
      </c>
      <c r="C13" s="26"/>
      <c r="D13" s="19">
        <f>'10'!F8</f>
        <v>842889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323</v>
      </c>
      <c r="J13" s="19">
        <f>'10'!G70</f>
        <v>0</v>
      </c>
      <c r="K13" s="23">
        <f t="shared" si="1"/>
        <v>323</v>
      </c>
      <c r="L13" s="19">
        <f>'10'!G71</f>
        <v>0</v>
      </c>
      <c r="M13" s="19">
        <f>'10'!G72</f>
        <v>14</v>
      </c>
      <c r="N13" s="19">
        <v>0</v>
      </c>
      <c r="O13" s="23">
        <f t="shared" si="2"/>
        <v>14</v>
      </c>
    </row>
    <row r="14" spans="1:15">
      <c r="A14" s="16">
        <v>11</v>
      </c>
      <c r="B14" s="17">
        <v>11</v>
      </c>
      <c r="C14" s="27"/>
      <c r="D14" s="19">
        <f>'11'!F8</f>
        <v>864602</v>
      </c>
      <c r="E14" s="19">
        <f>'11'!G96</f>
        <v>69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322</v>
      </c>
      <c r="J14" s="19">
        <f>'11'!G70</f>
        <v>0</v>
      </c>
      <c r="K14" s="23">
        <f t="shared" si="1"/>
        <v>322</v>
      </c>
      <c r="L14" s="19">
        <f>'11'!G71</f>
        <v>0</v>
      </c>
      <c r="M14" s="19">
        <f>'11'!G72</f>
        <v>12</v>
      </c>
      <c r="N14" s="19">
        <v>0</v>
      </c>
      <c r="O14" s="23">
        <f t="shared" si="2"/>
        <v>12</v>
      </c>
    </row>
    <row r="15" spans="1:15">
      <c r="A15" s="16">
        <v>12</v>
      </c>
      <c r="B15" s="26">
        <v>12</v>
      </c>
      <c r="C15" s="27"/>
      <c r="D15" s="19">
        <f>'12'!F8</f>
        <v>887655</v>
      </c>
      <c r="E15" s="19">
        <f>'12'!G96</f>
        <v>87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335</v>
      </c>
      <c r="J15" s="19">
        <f>'12'!G70</f>
        <v>0</v>
      </c>
      <c r="K15" s="23">
        <f t="shared" si="1"/>
        <v>335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>
      <c r="A16" s="16">
        <v>13</v>
      </c>
      <c r="B16" s="26">
        <v>13</v>
      </c>
      <c r="C16" s="26"/>
      <c r="D16" s="19">
        <f>'13'!F8</f>
        <v>910406</v>
      </c>
      <c r="E16" s="19">
        <f>'13'!G96</f>
        <v>74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308</v>
      </c>
      <c r="J16" s="19">
        <f>'13'!G70</f>
        <v>0</v>
      </c>
      <c r="K16" s="23">
        <f t="shared" si="1"/>
        <v>308</v>
      </c>
      <c r="L16" s="19">
        <f>'13'!G71</f>
        <v>0</v>
      </c>
      <c r="M16" s="19">
        <f>'13'!G72</f>
        <v>14</v>
      </c>
      <c r="N16" s="19">
        <v>0</v>
      </c>
      <c r="O16" s="23">
        <f t="shared" si="2"/>
        <v>14</v>
      </c>
    </row>
    <row r="17" spans="1:15">
      <c r="A17" s="16">
        <v>14</v>
      </c>
      <c r="B17" s="17">
        <v>14</v>
      </c>
      <c r="C17" s="27"/>
      <c r="D17" s="19">
        <f>'14'!F8</f>
        <v>931220</v>
      </c>
      <c r="E17" s="19">
        <f>'14'!G96</f>
        <v>69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303</v>
      </c>
      <c r="J17" s="19">
        <f>'14'!G71</f>
        <v>0</v>
      </c>
      <c r="K17" s="23">
        <f t="shared" si="1"/>
        <v>303</v>
      </c>
      <c r="L17" s="19">
        <f>'14'!G72</f>
        <v>12</v>
      </c>
      <c r="M17" s="19">
        <f>'14'!G73</f>
        <v>1</v>
      </c>
      <c r="N17" s="19">
        <v>0</v>
      </c>
      <c r="O17" s="23">
        <f t="shared" si="2"/>
        <v>13</v>
      </c>
    </row>
    <row r="18" spans="1:15">
      <c r="A18" s="16">
        <v>15</v>
      </c>
      <c r="B18" s="26">
        <v>15</v>
      </c>
      <c r="C18" s="18"/>
      <c r="D18" s="19">
        <f>'15'!F8</f>
        <v>952770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292</v>
      </c>
      <c r="J18" s="19">
        <f>'15'!G71</f>
        <v>0</v>
      </c>
      <c r="K18" s="23">
        <f t="shared" si="1"/>
        <v>292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27</vt:i4>
      </vt:variant>
    </vt:vector>
  </HeadingPairs>
  <TitlesOfParts>
    <vt:vector size="65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2021-08-16T05:22:11Z</dcterms:modified>
</cp:coreProperties>
</file>