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<sst xmlns="http://schemas.openxmlformats.org/spreadsheetml/2006/main" count="313" uniqueCount="148">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</sst>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28" sqref="R2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2021</v>
      </c>
      <c r="E2" s="12">
        <f>Submetering!E2+Submetering!F2+Submetering!G2+Submetering!H2+Submetering!J2-Submetering!AV2</f>
        <v>10539.999999999618</v>
      </c>
      <c r="F2" s="11">
        <v>0.58765030286592534</v>
      </c>
      <c r="G2" s="12">
        <f>(Submetering!AX2+Submetering!AY2+Submetering!AZ2+Submetering!BA2+Submetering!BB2)</f>
        <v>25.640999999999998</v>
      </c>
      <c r="H2" s="11">
        <v>0.99</v>
      </c>
      <c r="I2" s="12">
        <f>'FS Desroches Daily'!CM4</f>
        <v>112</v>
      </c>
      <c r="J2" s="11">
        <v>10.487297712684205</v>
      </c>
      <c r="K2" s="13">
        <f>'FS Desroches Daily'!CN4</f>
        <v>13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8</v>
      </c>
      <c r="D3" s="1">
        <v>2021</v>
      </c>
      <c r="E3" s="12">
        <f>Submetering!E3+Submetering!F3+Submetering!G3+Submetering!H3+Submetering!J3-Submetering!AV3</f>
        <v>8920.0000000002892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63</v>
      </c>
      <c r="J3" s="11">
        <f>J2</f>
        <v>10.487297712684205</v>
      </c>
      <c r="K3" s="13">
        <f>'FS Desroches Daily'!CN5</f>
        <v>13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8</v>
      </c>
      <c r="D4" s="1">
        <v>2021</v>
      </c>
      <c r="E4" s="12">
        <f>Submetering!E4+Submetering!F4+Submetering!G4+Submetering!H4+Submetering!J4-Submetering!AV4</f>
        <v>7330.0000000002701</v>
      </c>
      <c r="F4" s="11">
        <f t="shared" ref="F4:F32" si="1">F3</f>
        <v>0.58765030286592534</v>
      </c>
      <c r="G4" s="12">
        <f>(Submetering!AX4+Submetering!AY4+Submetering!AZ4+Submetering!BA4+Submetering!BB4)</f>
        <v>0</v>
      </c>
      <c r="H4" s="11">
        <f t="shared" ref="H4:H32" si="2">H3</f>
        <v>0.99</v>
      </c>
      <c r="I4" s="12">
        <f>'FS Desroches Daily'!CM6</f>
        <v>60</v>
      </c>
      <c r="J4" s="11">
        <f t="shared" ref="J4:J32" si="3">J3</f>
        <v>10.487297712684205</v>
      </c>
      <c r="K4" s="13">
        <f>'FS Desroches Daily'!CN6</f>
        <v>15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8</v>
      </c>
      <c r="D5" s="1">
        <v>2021</v>
      </c>
      <c r="E5" s="12" t="e">
        <f>Submetering!E5+Submetering!F5+Submetering!G5+Submetering!H5+Submetering!J5-Submetering!AV5</f>
        <v>#VALUE!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 t="e">
        <f>'FS Desroches Daily'!CM7</f>
        <v>#VALUE!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8</v>
      </c>
      <c r="D6" s="1">
        <v>2021</v>
      </c>
      <c r="E6" s="12">
        <f>Submetering!E6+Submetering!F6+Submetering!G6+Submetering!H6+Submetering!J6-Submetering!AV6</f>
        <v>0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8</v>
      </c>
      <c r="D7" s="1">
        <v>2021</v>
      </c>
      <c r="E7" s="12">
        <f>Submetering!E7+Submetering!F7+Submetering!G7+Submetering!H7+Submetering!J7-Submetering!AV7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8</v>
      </c>
      <c r="D8" s="1">
        <v>2021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8</v>
      </c>
      <c r="D9" s="1">
        <v>2021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8</v>
      </c>
      <c r="D10" s="1">
        <v>2021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8</v>
      </c>
      <c r="D11" s="1">
        <v>2021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8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8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8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8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8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8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8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8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8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8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8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8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8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8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8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8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8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8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8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8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8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3" sqref="C3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2021</v>
      </c>
      <c r="E2" s="31">
        <f>'FS Desroches Daily'!D4</f>
        <v>2199.9999999997576</v>
      </c>
      <c r="F2" s="32">
        <f>'FS Desroches Daily'!F4</f>
        <v>3299.9999999998586</v>
      </c>
      <c r="G2" s="31">
        <f>'FS Desroches Daily'!H4</f>
        <v>3499.9999999998367</v>
      </c>
      <c r="H2" s="32">
        <f>'FS Desroches Daily'!J4</f>
        <v>1400.0000000000678</v>
      </c>
      <c r="I2" s="31">
        <f>'FS Desroches Daily'!L4</f>
        <v>2499.9999999999468</v>
      </c>
      <c r="J2" s="32">
        <f>'FS Desroches Daily'!N4</f>
        <v>1000.0000000001119</v>
      </c>
      <c r="K2" s="13">
        <f>'FS Desroches Daily'!P4</f>
        <v>7</v>
      </c>
      <c r="L2" s="31">
        <f>'FS Desroches Daily'!R4</f>
        <v>3</v>
      </c>
      <c r="M2" s="31">
        <f>'FS Desroches Daily'!T4</f>
        <v>1.1999999999999318</v>
      </c>
      <c r="N2" s="31">
        <f>'FS Desroches Daily'!V4</f>
        <v>439.5</v>
      </c>
      <c r="O2" s="31">
        <f>'FS Desroches Daily'!X4</f>
        <v>319.99999999999318</v>
      </c>
      <c r="P2" s="31">
        <f>'FS Desroches Daily'!Z4</f>
        <v>3099.9999999998809</v>
      </c>
      <c r="Q2" s="31">
        <f>'FS Desroches Daily'!AB4</f>
        <v>330.00000000004093</v>
      </c>
      <c r="R2" s="31">
        <f>'FS Desroches Daily'!AD4</f>
        <v>289.99999999996362</v>
      </c>
      <c r="S2" s="31">
        <f>'FS Desroches Daily'!AF4</f>
        <v>219.9999999999136</v>
      </c>
      <c r="T2" s="31">
        <f>'FS Desroches Daily'!AH4</f>
        <v>42</v>
      </c>
      <c r="U2" s="35">
        <f>'FS Desroches Daily'!AJ4</f>
        <v>679.99999999994998</v>
      </c>
      <c r="V2" s="35">
        <f>'FS Desroches Daily'!AL4</f>
        <v>240.00000000000909</v>
      </c>
      <c r="W2" s="35">
        <f>'FS Desroches Daily'!AN4</f>
        <v>80.000000000012506</v>
      </c>
      <c r="X2" s="35">
        <f>'FS Desroches Daily'!AP4</f>
        <v>250</v>
      </c>
      <c r="Y2" s="35">
        <f>'FS Desroches Daily'!AR4</f>
        <v>299.99999999998295</v>
      </c>
      <c r="Z2" s="35">
        <f>'FS Desroches Daily'!AT4</f>
        <v>120.00000000000455</v>
      </c>
      <c r="AA2" s="35">
        <f>'FS Desroches Daily'!AT4</f>
        <v>120.00000000000455</v>
      </c>
      <c r="AB2" s="35">
        <f>'FS Desroches Daily'!AV4</f>
        <v>169.99999999995907</v>
      </c>
      <c r="AC2" s="35">
        <f>'FS Desroches Daily'!AZ4</f>
        <v>39.99999999996362</v>
      </c>
      <c r="AD2" s="35">
        <f>'FS Desroches Daily'!BB4</f>
        <v>29.999999999972715</v>
      </c>
      <c r="AE2" s="35">
        <f>'FS Desroches Daily'!BD4</f>
        <v>69.999999999993179</v>
      </c>
      <c r="AF2" s="31">
        <f>'FS Desroches Daily'!BF4</f>
        <v>39</v>
      </c>
      <c r="AG2" s="32">
        <f>'FS Desroches Daily'!BH4</f>
        <v>60.000000000002274</v>
      </c>
      <c r="AH2" s="32">
        <f>'FS Desroches Daily'!BJ4</f>
        <v>40.000000000020464</v>
      </c>
      <c r="AI2" s="32">
        <f>'FS Desroches Daily'!BL4</f>
        <v>30.000000000001137</v>
      </c>
      <c r="AJ2" s="32">
        <f>'FS Desroches Daily'!BN4</f>
        <v>40.000000000020464</v>
      </c>
      <c r="AK2" s="32">
        <f>'FS Desroches Daily'!BP4</f>
        <v>40.000000000020464</v>
      </c>
      <c r="AL2" s="32">
        <f>'FS Desroches Daily'!BR4</f>
        <v>27</v>
      </c>
      <c r="AM2" s="32">
        <f>'FS Desroches Daily'!BT4</f>
        <v>30.000000000001137</v>
      </c>
      <c r="AN2" s="32">
        <f>'FS Desroches Daily'!BV4</f>
        <v>44</v>
      </c>
      <c r="AO2" s="32">
        <f>'FS Desroches Daily'!BX4</f>
        <v>30.000000000001137</v>
      </c>
      <c r="AP2" s="32">
        <f>'FS Desroches Daily'!BZ4</f>
        <v>48</v>
      </c>
      <c r="AQ2" s="31">
        <f>'FS Desroches Daily'!CB4</f>
        <v>40</v>
      </c>
      <c r="AR2" s="31">
        <f>'FS Desroches Daily'!CD4</f>
        <v>12</v>
      </c>
      <c r="AS2" s="31">
        <f>'FS Desroches Daily'!CF4</f>
        <v>11.600000000000364</v>
      </c>
      <c r="AT2" s="31">
        <f>'FS Desroches Daily'!CH4</f>
        <v>55</v>
      </c>
      <c r="AU2" s="31">
        <f>'FS Desroches Daily'!CJ4</f>
        <v>320</v>
      </c>
      <c r="AV2" s="31">
        <f>'FS Desroches Daily'!CL4</f>
        <v>860.00000000001364</v>
      </c>
      <c r="AW2" s="31">
        <f>'FS Desroches Daily'!CM4</f>
        <v>112</v>
      </c>
      <c r="AX2" s="31">
        <f>IF(LPG!F9-LPG!F8&lt;0,"0",(LPG!F9-LPG!F8)*1.8315)</f>
        <v>7.3259999999999996</v>
      </c>
      <c r="AY2" s="31">
        <f>IF(LPG!H9-LPG!H8&lt;0,"0",(LPG!H9-LPG!H8)*1.8315)</f>
        <v>3.6629999999999998</v>
      </c>
      <c r="AZ2" s="31">
        <f>IF(LPG!J9-LPG!J8&lt;0,"0",(LPG!J9-LPG!J8)*1.8315)</f>
        <v>3.6629999999999998</v>
      </c>
      <c r="BA2" s="31">
        <f>IF(LPG!M9-LPG!M8&lt;0,"0",(LPG!M9-LPG!M8)*1.8315)</f>
        <v>3.6629999999999998</v>
      </c>
      <c r="BB2" s="31">
        <f>IF(LPG!Q9-LPG!Q8&lt;0,"0",(LPG!Q9-LPG!Q8)*1.8315)</f>
        <v>7.3259999999999996</v>
      </c>
      <c r="BC2" s="13">
        <f>'FS Desroches Daily'!CN4</f>
        <v>13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8</v>
      </c>
      <c r="D3" s="27">
        <v>2021</v>
      </c>
      <c r="E3" s="31">
        <f>'FS Desroches Daily'!D5</f>
        <v>2200.0000000002019</v>
      </c>
      <c r="F3" s="32">
        <f>'FS Desroches Daily'!F5</f>
        <v>2800.0000000001355</v>
      </c>
      <c r="G3" s="31">
        <f>'FS Desroches Daily'!H5</f>
        <v>2600.0000000001578</v>
      </c>
      <c r="H3" s="32">
        <f>'FS Desroches Daily'!J5</f>
        <v>1199.9999999998679</v>
      </c>
      <c r="I3" s="31">
        <f>'FS Desroches Daily'!L5</f>
        <v>1999.9999999997797</v>
      </c>
      <c r="J3" s="32">
        <f>'FS Desroches Daily'!N5</f>
        <v>899.99999999990087</v>
      </c>
      <c r="K3" s="13">
        <f>'FS Desroches Daily'!P5</f>
        <v>5</v>
      </c>
      <c r="L3" s="31">
        <f>'FS Desroches Daily'!R5</f>
        <v>2</v>
      </c>
      <c r="M3" s="31">
        <f>'FS Desroches Daily'!T5</f>
        <v>0.80000000000006821</v>
      </c>
      <c r="N3" s="31">
        <f>'FS Desroches Daily'!V5</f>
        <v>230.39999999996508</v>
      </c>
      <c r="O3" s="31">
        <f>'FS Desroches Daily'!X6</f>
        <v>280.00000000002956</v>
      </c>
      <c r="P3" s="31">
        <f>'FS Desroches Daily'!Z5</f>
        <v>2000.0000000002237</v>
      </c>
      <c r="Q3" s="31">
        <f>'FS Desroches Daily'!AB5</f>
        <v>279.99999999997272</v>
      </c>
      <c r="R3" s="31">
        <f>'FS Desroches Daily'!AD5</f>
        <v>240.00000000000909</v>
      </c>
      <c r="S3" s="31">
        <f>'FS Desroches Daily'!AF5</f>
        <v>240.00000000000909</v>
      </c>
      <c r="T3" s="31">
        <f>'FS Desroches Daily'!AH5</f>
        <v>29</v>
      </c>
      <c r="U3" s="35">
        <f>'FS Desroches Daily'!AJ5</f>
        <v>519.99999999998181</v>
      </c>
      <c r="V3" s="35">
        <f>'FS Desroches Daily'!AL5</f>
        <v>159.99999999999659</v>
      </c>
      <c r="W3" s="35">
        <f>'FS Desroches Daily'!AN5</f>
        <v>69.999999999993179</v>
      </c>
      <c r="X3" s="35">
        <f>'FS Desroches Daily'!AP5</f>
        <v>159.99999999999659</v>
      </c>
      <c r="Y3" s="35">
        <f>'FS Desroches Daily'!AR5</f>
        <v>110.00000000001364</v>
      </c>
      <c r="Z3" s="35">
        <f>'FS Desroches Daily'!AT5</f>
        <v>89.999999999974989</v>
      </c>
      <c r="AA3" s="35">
        <f>'FS Desroches Daily'!AT5</f>
        <v>89.999999999974989</v>
      </c>
      <c r="AB3" s="35">
        <f>'FS Desroches Daily'!AV5</f>
        <v>129.99999999999545</v>
      </c>
      <c r="AC3" s="35">
        <f>'FS Desroches Daily'!AZ5</f>
        <v>30.000000000029559</v>
      </c>
      <c r="AD3" s="35">
        <f>'FS Desroches Daily'!BB5</f>
        <v>9.9999999999909051</v>
      </c>
      <c r="AE3" s="35">
        <f>'FS Desroches Daily'!BD5</f>
        <v>69.999999999993179</v>
      </c>
      <c r="AF3" s="31">
        <f>'FS Desroches Daily'!BF5</f>
        <v>33</v>
      </c>
      <c r="AG3" s="32">
        <f>'FS Desroches Daily'!BH5</f>
        <v>39.999999999992042</v>
      </c>
      <c r="AH3" s="32">
        <f>'FS Desroches Daily'!BJ5</f>
        <v>19.99999999998181</v>
      </c>
      <c r="AI3" s="32">
        <f>'FS Desroches Daily'!BL5</f>
        <v>30.000000000001137</v>
      </c>
      <c r="AJ3" s="32">
        <f>'FS Desroches Daily'!BN5</f>
        <v>39.999999999992042</v>
      </c>
      <c r="AK3" s="32">
        <f>'FS Desroches Daily'!BP5</f>
        <v>30.000000000029559</v>
      </c>
      <c r="AL3" s="32">
        <f>'FS Desroches Daily'!BR5</f>
        <v>22</v>
      </c>
      <c r="AM3" s="32">
        <f>'FS Desroches Daily'!BT5</f>
        <v>30.000000000001137</v>
      </c>
      <c r="AN3" s="32">
        <f>'FS Desroches Daily'!BV5</f>
        <v>36</v>
      </c>
      <c r="AO3" s="32">
        <f>'FS Desroches Daily'!BX5</f>
        <v>19.99999999998181</v>
      </c>
      <c r="AP3" s="32">
        <f>'FS Desroches Daily'!BZ5</f>
        <v>39</v>
      </c>
      <c r="AQ3" s="31">
        <f>'FS Desroches Daily'!CB5</f>
        <v>30.69999999999709</v>
      </c>
      <c r="AR3" s="31">
        <f>'FS Desroches Daily'!CD5</f>
        <v>3.1999999999989086</v>
      </c>
      <c r="AS3" s="31">
        <f>'FS Desroches Daily'!CF5</f>
        <v>11.5</v>
      </c>
      <c r="AT3" s="31">
        <f>'FS Desroches Daily'!CH5</f>
        <v>36.19999999999709</v>
      </c>
      <c r="AU3" s="31">
        <f>'FS Desroches Daily'!CJ5</f>
        <v>228</v>
      </c>
      <c r="AV3" s="31">
        <f>'FS Desroches Daily'!CL5</f>
        <v>779.99999999997272</v>
      </c>
      <c r="AW3" s="31">
        <f>'FS Desroches Daily'!CM5</f>
        <v>63</v>
      </c>
      <c r="AX3" s="31">
        <f>IF(LPG!F10-LPG!F9&lt;0,"0",(LPG!F10-LPG!F9)*1.8315)</f>
        <v>9.1574999999999989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13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8</v>
      </c>
      <c r="D4" s="27">
        <v>2021</v>
      </c>
      <c r="E4" s="31">
        <f>'FS Desroches Daily'!D6</f>
        <v>1799.9999999998017</v>
      </c>
      <c r="F4" s="32">
        <f>'FS Desroches Daily'!F6</f>
        <v>2299.9999999999686</v>
      </c>
      <c r="G4" s="31">
        <f>'FS Desroches Daily'!H6</f>
        <v>2000.0000000002237</v>
      </c>
      <c r="H4" s="32">
        <f>'FS Desroches Daily'!J6</f>
        <v>1200.0000000000898</v>
      </c>
      <c r="I4" s="31">
        <f>'FS Desroches Daily'!L6</f>
        <v>1800.0000000002458</v>
      </c>
      <c r="J4" s="32">
        <f>'FS Desroches Daily'!N6</f>
        <v>700.00000000014495</v>
      </c>
      <c r="K4" s="13">
        <f>'FS Desroches Daily'!P6</f>
        <v>2</v>
      </c>
      <c r="L4" s="31">
        <f>'FS Desroches Daily'!R6</f>
        <v>4</v>
      </c>
      <c r="M4" s="31">
        <f>'FS Desroches Daily'!T6</f>
        <v>0.5</v>
      </c>
      <c r="N4" s="31">
        <f>'FS Desroches Daily'!V6</f>
        <v>348.30000000004657</v>
      </c>
      <c r="O4" s="31" t="str">
        <f>'FS Desroches Daily'!X7</f>
        <v/>
      </c>
      <c r="P4" s="31">
        <f>'FS Desroches Daily'!Z6</f>
        <v>2499.9999999999468</v>
      </c>
      <c r="Q4" s="31">
        <f>'FS Desroches Daily'!AB6</f>
        <v>180.00000000000682</v>
      </c>
      <c r="R4" s="31">
        <f>'FS Desroches Daily'!AD6</f>
        <v>300.00000000001137</v>
      </c>
      <c r="S4" s="31">
        <f>'FS Desroches Daily'!AF6</f>
        <v>170.00000000007276</v>
      </c>
      <c r="T4" s="31">
        <f>'FS Desroches Daily'!AH6</f>
        <v>38</v>
      </c>
      <c r="U4" s="35">
        <f>'FS Desroches Daily'!AJ6</f>
        <v>670.00000000007276</v>
      </c>
      <c r="V4" s="35">
        <f>'FS Desroches Daily'!AL6</f>
        <v>219.99999999999886</v>
      </c>
      <c r="W4" s="35">
        <f>'FS Desroches Daily'!AN6</f>
        <v>129.99999999999545</v>
      </c>
      <c r="X4" s="35">
        <f>'FS Desroches Daily'!AP6</f>
        <v>219.99999999999886</v>
      </c>
      <c r="Y4" s="35">
        <f>'FS Desroches Daily'!AR6</f>
        <v>310.00000000000227</v>
      </c>
      <c r="Z4" s="35">
        <f>'FS Desroches Daily'!AT6</f>
        <v>129.99999999999545</v>
      </c>
      <c r="AA4" s="35">
        <f>'FS Desroches Daily'!AT6</f>
        <v>129.99999999999545</v>
      </c>
      <c r="AB4" s="35">
        <f>'FS Desroches Daily'!AV6</f>
        <v>180.00000000000682</v>
      </c>
      <c r="AC4" s="35">
        <f>'FS Desroches Daily'!AZ6</f>
        <v>39.99999999996362</v>
      </c>
      <c r="AD4" s="35">
        <f>'FS Desroches Daily'!BB6</f>
        <v>30.000000000029559</v>
      </c>
      <c r="AE4" s="35">
        <f>'FS Desroches Daily'!BD6</f>
        <v>80.000000000012506</v>
      </c>
      <c r="AF4" s="31">
        <f>'FS Desroches Daily'!BF6</f>
        <v>29</v>
      </c>
      <c r="AG4" s="32">
        <f>'FS Desroches Daily'!BH6</f>
        <v>60.000000000002274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49.999999999982947</v>
      </c>
      <c r="AK4" s="32">
        <f>'FS Desroches Daily'!BP6</f>
        <v>49.999999999954525</v>
      </c>
      <c r="AL4" s="32">
        <f>'FS Desroches Daily'!BR6</f>
        <v>31</v>
      </c>
      <c r="AM4" s="32">
        <f>'FS Desroches Daily'!BT6</f>
        <v>39.999999999992042</v>
      </c>
      <c r="AN4" s="32">
        <f>'FS Desroches Daily'!BV6</f>
        <v>45</v>
      </c>
      <c r="AO4" s="32">
        <f>'FS Desroches Daily'!BX6</f>
        <v>30.000000000001137</v>
      </c>
      <c r="AP4" s="32">
        <f>'FS Desroches Daily'!BZ6</f>
        <v>49</v>
      </c>
      <c r="AQ4" s="31">
        <f>'FS Desroches Daily'!CB6</f>
        <v>29.200000000004366</v>
      </c>
      <c r="AR4" s="31">
        <f>'FS Desroches Daily'!CD6</f>
        <v>7.6000000000003638</v>
      </c>
      <c r="AS4" s="31">
        <f>'FS Desroches Daily'!CF6</f>
        <v>1</v>
      </c>
      <c r="AT4" s="31">
        <f>'FS Desroches Daily'!CH6</f>
        <v>55.400000000001455</v>
      </c>
      <c r="AU4" s="31">
        <f>'FS Desroches Daily'!CJ6</f>
        <v>285</v>
      </c>
      <c r="AV4" s="31">
        <f>'FS Desroches Daily'!CL6</f>
        <v>669.99999999995907</v>
      </c>
      <c r="AW4" s="31">
        <f>'FS Desroches Daily'!CM6</f>
        <v>60</v>
      </c>
      <c r="AX4" s="31" t="str">
        <f>IF(LPG!F11-LPG!F10&lt;0,"0",(LPG!F11-LPG!F10)*1.8315)</f>
        <v>0</v>
      </c>
      <c r="AY4" s="31" t="str">
        <f>IF(LPG!H11-LPG!H10&lt;0,"0",(LPG!H11-LPG!H10)*1.8315)</f>
        <v>0</v>
      </c>
      <c r="AZ4" s="31" t="str">
        <f>IF(LPG!J13-LPG!J10&lt;0,"0",(LPG!J13-LPG!J10)*1.8315)</f>
        <v>0</v>
      </c>
      <c r="BA4" s="31" t="str">
        <f>IF(LPG!M11-LPG!M10&lt;0,"0",(LPG!M11-LPG!M10)*1.8315)</f>
        <v>0</v>
      </c>
      <c r="BB4" s="31" t="str">
        <f>IF(LPG!Q11-LPG!Q10&lt;0,"0",(LPG!Q11-LPG!Q10)*1.8315)</f>
        <v>0</v>
      </c>
      <c r="BC4" s="13">
        <f>'FS Desroches Daily'!CN6</f>
        <v>15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8</v>
      </c>
      <c r="D5" s="27">
        <v>2021</v>
      </c>
      <c r="E5" s="31" t="str">
        <f>'FS Desroches Daily'!D7</f>
        <v>0</v>
      </c>
      <c r="F5" s="32" t="str">
        <f>'FS Desroches Daily'!F7</f>
        <v>0</v>
      </c>
      <c r="G5" s="31" t="str">
        <f>'FS Desroches Daily'!H7</f>
        <v>0</v>
      </c>
      <c r="H5" s="32" t="str">
        <f>'FS Desroches Daily'!J7</f>
        <v>0</v>
      </c>
      <c r="I5" s="31" t="str">
        <f>'FS Desroches Daily'!L7</f>
        <v>0</v>
      </c>
      <c r="J5" s="32" t="str">
        <f>'FS Desroches Daily'!N7</f>
        <v/>
      </c>
      <c r="K5" s="13" t="str">
        <f>'FS Desroches Daily'!P7</f>
        <v/>
      </c>
      <c r="L5" s="31" t="str">
        <f>'FS Desroches Daily'!R7</f>
        <v/>
      </c>
      <c r="M5" s="31" t="str">
        <f>'FS Desroches Daily'!T7</f>
        <v/>
      </c>
      <c r="N5" s="31" t="str">
        <f>'FS Desroches Daily'!V7</f>
        <v/>
      </c>
      <c r="O5" s="31">
        <f>'FS Desroches Daily'!X8</f>
        <v>0</v>
      </c>
      <c r="P5" s="31" t="str">
        <f>'FS Desroches Daily'!Z7</f>
        <v/>
      </c>
      <c r="Q5" s="31" t="str">
        <f>'FS Desroches Daily'!AB7</f>
        <v/>
      </c>
      <c r="R5" s="31" t="str">
        <f>'FS Desroches Daily'!AD7</f>
        <v/>
      </c>
      <c r="S5" s="31" t="str">
        <f>'FS Desroches Daily'!AF7</f>
        <v/>
      </c>
      <c r="T5" s="31" t="str">
        <f>'FS Desroches Daily'!AH7</f>
        <v/>
      </c>
      <c r="U5" s="35" t="str">
        <f>'FS Desroches Daily'!AJ7</f>
        <v/>
      </c>
      <c r="V5" s="35" t="str">
        <f>'FS Desroches Daily'!AL7</f>
        <v/>
      </c>
      <c r="W5" s="35" t="str">
        <f>'FS Desroches Daily'!AN7</f>
        <v/>
      </c>
      <c r="X5" s="35" t="str">
        <f>'FS Desroches Daily'!AP7</f>
        <v/>
      </c>
      <c r="Y5" s="35" t="str">
        <f>'FS Desroches Daily'!AR7</f>
        <v/>
      </c>
      <c r="Z5" s="35" t="str">
        <f>'FS Desroches Daily'!AT7</f>
        <v/>
      </c>
      <c r="AA5" s="35" t="str">
        <f>'FS Desroches Daily'!AT7</f>
        <v/>
      </c>
      <c r="AB5" s="35" t="str">
        <f>'FS Desroches Daily'!AV7</f>
        <v/>
      </c>
      <c r="AC5" s="35" t="str">
        <f>'FS Desroches Daily'!AZ7</f>
        <v/>
      </c>
      <c r="AD5" s="35" t="str">
        <f>'FS Desroches Daily'!BB7</f>
        <v/>
      </c>
      <c r="AE5" s="35" t="str">
        <f>'FS Desroches Daily'!BD7</f>
        <v/>
      </c>
      <c r="AF5" s="31" t="str">
        <f>'FS Desroches Daily'!BF7</f>
        <v/>
      </c>
      <c r="AG5" s="32" t="str">
        <f>'FS Desroches Daily'!BH7</f>
        <v/>
      </c>
      <c r="AH5" s="32" t="str">
        <f>'FS Desroches Daily'!BJ7</f>
        <v/>
      </c>
      <c r="AI5" s="32" t="str">
        <f>'FS Desroches Daily'!BL7</f>
        <v/>
      </c>
      <c r="AJ5" s="32" t="str">
        <f>'FS Desroches Daily'!BN7</f>
        <v/>
      </c>
      <c r="AK5" s="32" t="str">
        <f>'FS Desroches Daily'!BP7</f>
        <v/>
      </c>
      <c r="AL5" s="32" t="str">
        <f>'FS Desroches Daily'!BR7</f>
        <v/>
      </c>
      <c r="AM5" s="32" t="str">
        <f>'FS Desroches Daily'!BT7</f>
        <v/>
      </c>
      <c r="AN5" s="32" t="str">
        <f>'FS Desroches Daily'!BV7</f>
        <v/>
      </c>
      <c r="AO5" s="32" t="str">
        <f>'FS Desroches Daily'!BX7</f>
        <v/>
      </c>
      <c r="AP5" s="32" t="str">
        <f>'FS Desroches Daily'!BZ7</f>
        <v/>
      </c>
      <c r="AQ5" s="31" t="str">
        <f>'FS Desroches Daily'!CB7</f>
        <v/>
      </c>
      <c r="AR5" s="31" t="str">
        <f>'FS Desroches Daily'!CD7</f>
        <v/>
      </c>
      <c r="AS5" s="31" t="str">
        <f>'FS Desroches Daily'!CF7</f>
        <v/>
      </c>
      <c r="AT5" s="31" t="str">
        <f>'FS Desroches Daily'!CH7</f>
        <v/>
      </c>
      <c r="AU5" s="31" t="str">
        <f>'FS Desroches Daily'!CJ7</f>
        <v/>
      </c>
      <c r="AV5" s="31" t="str">
        <f>'FS Desroches Daily'!CL7</f>
        <v/>
      </c>
      <c r="AW5" s="31" t="e">
        <f>'FS Desroches Daily'!CM7</f>
        <v>#VALUE!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8</v>
      </c>
      <c r="D6" s="27">
        <v>2021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8</v>
      </c>
      <c r="D7" s="27">
        <v>2021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8</v>
      </c>
      <c r="D8" s="27">
        <v>2021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8</v>
      </c>
      <c r="D9" s="27">
        <v>2021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8</v>
      </c>
      <c r="D10" s="27">
        <v>2021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8</v>
      </c>
      <c r="D11" s="27">
        <v>2021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8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8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8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8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8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8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8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8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8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8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8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8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8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8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8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8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8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8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8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8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8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6199.9999999997617</v>
      </c>
      <c r="F33" s="17">
        <f t="shared" ref="F33:BC33" si="1">SUM(F2:F32)</f>
        <v>8399.9999999999636</v>
      </c>
      <c r="G33" s="17">
        <f t="shared" si="1"/>
        <v>8100.0000000002183</v>
      </c>
      <c r="H33" s="17">
        <f t="shared" si="1"/>
        <v>3800.0000000000255</v>
      </c>
      <c r="I33" s="17">
        <f t="shared" si="1"/>
        <v>6299.9999999999718</v>
      </c>
      <c r="J33" s="17">
        <f t="shared" si="1"/>
        <v>2600.0000000001578</v>
      </c>
      <c r="K33" s="17">
        <f t="shared" si="1"/>
        <v>14</v>
      </c>
      <c r="L33" s="17">
        <f t="shared" si="1"/>
        <v>9</v>
      </c>
      <c r="M33" s="17">
        <f t="shared" si="1"/>
        <v>2.5</v>
      </c>
      <c r="N33" s="17">
        <f t="shared" si="1"/>
        <v>1018.2000000000116</v>
      </c>
      <c r="O33" s="17">
        <f t="shared" si="1"/>
        <v>600.00000000002274</v>
      </c>
      <c r="P33" s="17">
        <f t="shared" si="1"/>
        <v>7600.0000000000509</v>
      </c>
      <c r="Q33" s="17">
        <f t="shared" si="1"/>
        <v>790.00000000002046</v>
      </c>
      <c r="R33" s="17">
        <f t="shared" si="1"/>
        <v>829.99999999998408</v>
      </c>
      <c r="S33" s="17">
        <f t="shared" si="1"/>
        <v>629.99999999999545</v>
      </c>
      <c r="T33" s="17">
        <f t="shared" si="1"/>
        <v>109</v>
      </c>
      <c r="U33" s="35">
        <f t="shared" si="1"/>
        <v>1870.0000000000045</v>
      </c>
      <c r="V33" s="35">
        <f t="shared" si="1"/>
        <v>620.00000000000455</v>
      </c>
      <c r="W33" s="35">
        <f t="shared" si="1"/>
        <v>280.00000000000114</v>
      </c>
      <c r="X33" s="35">
        <f t="shared" si="1"/>
        <v>629.99999999999545</v>
      </c>
      <c r="Y33" s="35">
        <f t="shared" si="1"/>
        <v>719.99999999999886</v>
      </c>
      <c r="Z33" s="35">
        <f t="shared" si="1"/>
        <v>339.99999999997499</v>
      </c>
      <c r="AA33" s="35">
        <f t="shared" si="1"/>
        <v>339.99999999997499</v>
      </c>
      <c r="AB33" s="35">
        <f t="shared" si="1"/>
        <v>479.99999999996135</v>
      </c>
      <c r="AC33" s="35">
        <f t="shared" si="1"/>
        <v>109.9999999999568</v>
      </c>
      <c r="AD33" s="35">
        <f t="shared" si="1"/>
        <v>69.999999999993179</v>
      </c>
      <c r="AE33" s="35">
        <f t="shared" si="1"/>
        <v>219.99999999999886</v>
      </c>
      <c r="AF33" s="17">
        <f t="shared" si="1"/>
        <v>101</v>
      </c>
      <c r="AG33" s="32">
        <f t="shared" si="1"/>
        <v>159.99999999999659</v>
      </c>
      <c r="AH33" s="32">
        <f t="shared" si="1"/>
        <v>79.999999999984084</v>
      </c>
      <c r="AI33" s="32">
        <f t="shared" si="1"/>
        <v>90.000000000003411</v>
      </c>
      <c r="AJ33" s="32">
        <f t="shared" si="1"/>
        <v>129.99999999999545</v>
      </c>
      <c r="AK33" s="32">
        <f t="shared" si="1"/>
        <v>120.00000000000455</v>
      </c>
      <c r="AL33" s="32">
        <f t="shared" si="1"/>
        <v>80</v>
      </c>
      <c r="AM33" s="32">
        <f t="shared" si="1"/>
        <v>99.999999999994316</v>
      </c>
      <c r="AN33" s="32">
        <f t="shared" si="1"/>
        <v>125</v>
      </c>
      <c r="AO33" s="32">
        <f t="shared" si="1"/>
        <v>79.999999999984084</v>
      </c>
      <c r="AP33" s="32">
        <f t="shared" si="1"/>
        <v>136</v>
      </c>
      <c r="AQ33" s="17">
        <f t="shared" si="1"/>
        <v>99.900000000001455</v>
      </c>
      <c r="AR33" s="17">
        <f t="shared" si="1"/>
        <v>22.799999999999272</v>
      </c>
      <c r="AS33" s="17">
        <f t="shared" si="1"/>
        <v>24.100000000000364</v>
      </c>
      <c r="AT33" s="17">
        <f t="shared" si="1"/>
        <v>146.59999999999854</v>
      </c>
      <c r="AU33" s="17">
        <f t="shared" si="1"/>
        <v>833</v>
      </c>
      <c r="AV33" s="17">
        <f t="shared" si="1"/>
        <v>2309.9999999999454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10.988999999999999</v>
      </c>
      <c r="BC33" s="17">
        <f t="shared" si="1"/>
        <v>41</v>
      </c>
    </row>
    <row r="35" spans="5:55" x14ac:dyDescent="0.25">
      <c r="E35" s="38">
        <f>E33/E37</f>
        <v>0.3063543828441409</v>
      </c>
      <c r="G35" s="29">
        <f>G33-M36</f>
        <v>7079.3000000002066</v>
      </c>
      <c r="AE35" s="35">
        <f>SUM(U33:AE33)</f>
        <v>5679.9999999998645</v>
      </c>
      <c r="AG35" s="32">
        <f>SUM(AG33:AP33)</f>
        <v>1100.9999999999625</v>
      </c>
    </row>
    <row r="36" spans="5:55" x14ac:dyDescent="0.25">
      <c r="G36" s="29">
        <f>G35-633*14</f>
        <v>-1782.6999999997934</v>
      </c>
      <c r="M36" s="29">
        <f>M33+N33</f>
        <v>1020.7000000000116</v>
      </c>
    </row>
    <row r="37" spans="5:55" x14ac:dyDescent="0.25">
      <c r="E37" s="17">
        <f>E33+F33+G33+H33+J33-633*14</f>
        <v>20238.000000000124</v>
      </c>
      <c r="G37" s="37">
        <f>M36/E37</f>
        <v>5.0434825575650037E-2</v>
      </c>
      <c r="M37" s="35">
        <f>AE35</f>
        <v>5679.9999999998645</v>
      </c>
    </row>
    <row r="38" spans="5:55" x14ac:dyDescent="0.25">
      <c r="L38" s="27">
        <f>M38/E37</f>
        <v>5.4402608953451712E-2</v>
      </c>
      <c r="M38" s="29">
        <f>AG35</f>
        <v>1100.9999999999625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CE1" zoomScale="80" zoomScaleNormal="80" workbookViewId="0">
      <pane ySplit="1" topLeftCell="A2" activePane="bottomLeft" state="frozen"/>
      <selection pane="bottomLeft" activeCell="CP10" sqref="CP1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44408</v>
      </c>
      <c r="B3" s="68"/>
      <c r="C3" s="58">
        <v>2.3572000000000002</v>
      </c>
      <c r="D3" s="64"/>
      <c r="E3" s="58">
        <v>3.3490000000000002</v>
      </c>
      <c r="F3" s="64"/>
      <c r="G3" s="58">
        <v>3.4056999999999999</v>
      </c>
      <c r="H3" s="64"/>
      <c r="I3" s="58">
        <v>1.6791</v>
      </c>
      <c r="J3" s="64"/>
      <c r="K3" s="58">
        <v>2.7126000000000001</v>
      </c>
      <c r="L3" s="64"/>
      <c r="M3" s="58">
        <v>1.4884999999999999</v>
      </c>
      <c r="N3" s="64"/>
      <c r="O3" s="58">
        <v>14542</v>
      </c>
      <c r="P3" s="67"/>
      <c r="Q3" s="58">
        <v>1093</v>
      </c>
      <c r="R3" s="67"/>
      <c r="S3" s="58">
        <v>1020.1</v>
      </c>
      <c r="T3" s="64"/>
      <c r="U3" s="58">
        <v>427651.2</v>
      </c>
      <c r="V3" s="67"/>
      <c r="W3" s="58">
        <v>406.47</v>
      </c>
      <c r="X3" s="65"/>
      <c r="Y3" s="58">
        <v>2.9289000000000001</v>
      </c>
      <c r="Z3" s="65"/>
      <c r="AA3" s="58">
        <v>405.28</v>
      </c>
      <c r="AB3" s="65"/>
      <c r="AC3" s="58">
        <v>378.73</v>
      </c>
      <c r="AD3" s="65"/>
      <c r="AE3" s="58">
        <v>575.82000000000005</v>
      </c>
      <c r="AF3" s="65"/>
      <c r="AG3" s="58">
        <v>5622</v>
      </c>
      <c r="AH3" s="67"/>
      <c r="AI3" s="58">
        <v>634.34</v>
      </c>
      <c r="AJ3" s="65"/>
      <c r="AK3" s="58">
        <v>210.12</v>
      </c>
      <c r="AL3" s="65"/>
      <c r="AM3" s="58">
        <v>199.92</v>
      </c>
      <c r="AN3" s="65"/>
      <c r="AO3" s="58">
        <v>193.06</v>
      </c>
      <c r="AP3" s="65"/>
      <c r="AQ3" s="58">
        <v>252.4</v>
      </c>
      <c r="AR3" s="65"/>
      <c r="AS3" s="58">
        <v>378.5</v>
      </c>
      <c r="AT3" s="65"/>
      <c r="AU3" s="58">
        <v>288.98</v>
      </c>
      <c r="AV3" s="65"/>
      <c r="AW3" s="58">
        <v>323.24</v>
      </c>
      <c r="AX3" s="65"/>
      <c r="AY3" s="58">
        <v>362.97</v>
      </c>
      <c r="AZ3" s="65"/>
      <c r="BA3" s="58">
        <v>382.05</v>
      </c>
      <c r="BB3" s="65"/>
      <c r="BC3" s="58">
        <v>244.86</v>
      </c>
      <c r="BD3" s="65"/>
      <c r="BE3" s="59">
        <v>41343</v>
      </c>
      <c r="BF3" s="67"/>
      <c r="BG3" s="60">
        <v>235.34</v>
      </c>
      <c r="BH3" s="65"/>
      <c r="BI3" s="60">
        <v>294.06</v>
      </c>
      <c r="BJ3" s="65"/>
      <c r="BK3" s="60">
        <v>237.87</v>
      </c>
      <c r="BL3" s="65"/>
      <c r="BM3" s="60">
        <v>225.07</v>
      </c>
      <c r="BN3" s="65"/>
      <c r="BO3" s="60">
        <v>288.77999999999997</v>
      </c>
      <c r="BP3" s="65"/>
      <c r="BQ3" s="60">
        <v>46194</v>
      </c>
      <c r="BR3" s="65"/>
      <c r="BS3" s="60">
        <v>201.75</v>
      </c>
      <c r="BT3" s="65"/>
      <c r="BU3" s="60">
        <v>41983</v>
      </c>
      <c r="BV3" s="65"/>
      <c r="BW3" s="60">
        <v>232.71</v>
      </c>
      <c r="BX3" s="65"/>
      <c r="BY3" s="60">
        <v>61770</v>
      </c>
      <c r="BZ3" s="67"/>
      <c r="CA3" s="60">
        <v>33136</v>
      </c>
      <c r="CB3" s="67"/>
      <c r="CC3" s="60">
        <v>12455.6</v>
      </c>
      <c r="CD3" s="67"/>
      <c r="CE3" s="60">
        <v>6588.9</v>
      </c>
      <c r="CF3" s="67"/>
      <c r="CG3" s="60">
        <v>60735.5</v>
      </c>
      <c r="CH3" s="67"/>
      <c r="CI3" s="60">
        <v>957957</v>
      </c>
      <c r="CJ3" s="67"/>
      <c r="CK3" s="60">
        <v>785.72</v>
      </c>
      <c r="CL3" s="64"/>
      <c r="CM3" s="65"/>
      <c r="CN3" s="62">
        <v>0</v>
      </c>
      <c r="CO3" s="62">
        <v>0</v>
      </c>
      <c r="CP3" s="68">
        <v>11206</v>
      </c>
      <c r="CQ3" s="67"/>
      <c r="CR3" s="68">
        <v>14965</v>
      </c>
      <c r="CS3" s="67"/>
      <c r="CT3" s="75">
        <v>6791</v>
      </c>
      <c r="CU3" s="67"/>
      <c r="CV3" s="68">
        <v>16309</v>
      </c>
      <c r="CW3" s="67"/>
      <c r="CX3" s="76"/>
    </row>
    <row r="4" spans="1:102" ht="25.5" customHeight="1" thickBot="1" x14ac:dyDescent="0.45">
      <c r="A4" s="63">
        <v>44409</v>
      </c>
      <c r="B4" s="68"/>
      <c r="C4" s="58">
        <v>2.3593999999999999</v>
      </c>
      <c r="D4" s="64">
        <f t="shared" ref="D4:D34" si="0">IF((C4-C3&lt;0), "0",(C4-C3)*1000000)</f>
        <v>2199.9999999997576</v>
      </c>
      <c r="E4" s="58">
        <v>3.3523000000000001</v>
      </c>
      <c r="F4" s="64">
        <f t="shared" ref="F4:F34" si="1">IF((E4-E3&lt;0), "0",(E4-E3)*1000000)</f>
        <v>3299.9999999998586</v>
      </c>
      <c r="G4" s="58">
        <v>3.4091999999999998</v>
      </c>
      <c r="H4" s="64">
        <f t="shared" ref="H4:H34" si="2">IF((G4-G3&lt;0), "0",(G4-G3)*1000000)</f>
        <v>3499.9999999998367</v>
      </c>
      <c r="I4" s="58">
        <v>1.6805000000000001</v>
      </c>
      <c r="J4" s="64">
        <f t="shared" ref="J4:J34" si="3">IF((I4-I3&lt;0), "0",(I4-I3)*1000000)</f>
        <v>1400.0000000000678</v>
      </c>
      <c r="K4" s="58">
        <v>2.7151000000000001</v>
      </c>
      <c r="L4" s="64">
        <f t="shared" ref="L4:L34" si="4">IF((K4-K3&lt;0), "0",(K4-K3)*1000000)</f>
        <v>2499.9999999999468</v>
      </c>
      <c r="M4" s="58">
        <v>1.4895</v>
      </c>
      <c r="N4" s="64">
        <f t="shared" ref="N4:N34" si="5">IF((M4-M3&lt;0), "",(M4-M3)*1000000)</f>
        <v>1000.0000000001119</v>
      </c>
      <c r="O4" s="58">
        <v>14549</v>
      </c>
      <c r="P4" s="67">
        <f>IF((O4-O3&lt;0), "",O4-O3)</f>
        <v>7</v>
      </c>
      <c r="Q4" s="58">
        <v>1096</v>
      </c>
      <c r="R4" s="67">
        <f t="shared" ref="R4:R34" si="6">IF((Q4-Q3&lt;0), "",Q4-Q3)</f>
        <v>3</v>
      </c>
      <c r="S4" s="58">
        <v>1021.3</v>
      </c>
      <c r="T4" s="67">
        <f t="shared" ref="T4:T34" si="7">IF((S4-S3&lt;0), "",S4-S3)</f>
        <v>1.1999999999999318</v>
      </c>
      <c r="U4" s="58">
        <v>428090.7</v>
      </c>
      <c r="V4" s="67">
        <f t="shared" ref="V4:V34" si="8">IF((U4-U3&lt;0), "",U4-U3)</f>
        <v>439.5</v>
      </c>
      <c r="W4" s="58">
        <v>406.79</v>
      </c>
      <c r="X4" s="65">
        <f t="shared" ref="X4:X34" si="9">IF((W4-W3&lt;0), "",(W4-W3)*1000)</f>
        <v>319.99999999999318</v>
      </c>
      <c r="Y4" s="58">
        <v>2.9319999999999999</v>
      </c>
      <c r="Z4" s="65">
        <f t="shared" ref="Z4:Z34" si="10">IF((Y4-Y3&lt;0), "",(Y4-Y3)*1000000)</f>
        <v>3099.9999999998809</v>
      </c>
      <c r="AA4" s="58">
        <v>405.61</v>
      </c>
      <c r="AB4" s="65">
        <f t="shared" ref="AB4:AB34" si="11">IF((AA4-AA3&lt;0), "",(AA4-AA3)*1000)</f>
        <v>330.00000000004093</v>
      </c>
      <c r="AC4" s="58">
        <v>379.02</v>
      </c>
      <c r="AD4" s="65">
        <f t="shared" ref="AD4:AD34" si="12">IF((AC4-AC3&lt;0), "",(AC4-AC3)*1000)</f>
        <v>289.99999999996362</v>
      </c>
      <c r="AE4" s="58">
        <v>576.04</v>
      </c>
      <c r="AF4" s="65">
        <f t="shared" ref="AF4:AF34" si="13">IF((AE4-AE3&lt;0), "",(AE4-AE3)*1000)</f>
        <v>219.9999999999136</v>
      </c>
      <c r="AG4" s="58">
        <v>5664</v>
      </c>
      <c r="AH4" s="67">
        <f t="shared" ref="AH4:AH34" si="14">IF((AG4-AG3&lt;0), "",AG4-AG3)</f>
        <v>42</v>
      </c>
      <c r="AI4" s="58">
        <v>635.02</v>
      </c>
      <c r="AJ4" s="65">
        <f t="shared" ref="AJ4:AP34" si="15">IF((AI4-AI3&lt;0), "",(AI4-AI3)*1000)</f>
        <v>679.99999999994998</v>
      </c>
      <c r="AK4" s="58">
        <v>210.36</v>
      </c>
      <c r="AL4" s="65">
        <f t="shared" si="15"/>
        <v>240.00000000000909</v>
      </c>
      <c r="AM4" s="58">
        <v>200</v>
      </c>
      <c r="AN4" s="65">
        <f t="shared" si="15"/>
        <v>80.000000000012506</v>
      </c>
      <c r="AO4" s="58">
        <v>193.31</v>
      </c>
      <c r="AP4" s="65">
        <f t="shared" si="15"/>
        <v>250</v>
      </c>
      <c r="AQ4" s="58">
        <v>252.7</v>
      </c>
      <c r="AR4" s="65">
        <f t="shared" ref="AR4:AR34" si="16">IF((AQ4-AQ3&lt;0), "",(AQ4-AQ3)*1000)</f>
        <v>299.99999999998295</v>
      </c>
      <c r="AS4" s="58">
        <v>378.62</v>
      </c>
      <c r="AT4" s="65">
        <f t="shared" ref="AT4:AT34" si="17">IF((AS4-AS3&lt;0), "",(AS4-AS3)*1000)</f>
        <v>120.00000000000455</v>
      </c>
      <c r="AU4" s="58">
        <v>289.14999999999998</v>
      </c>
      <c r="AV4" s="65">
        <f t="shared" ref="AV4:AV34" si="18">IF((AU4-AU3&lt;0), "",(AU4-AU3)*1000)</f>
        <v>169.99999999995907</v>
      </c>
      <c r="AW4" s="58">
        <v>323.33</v>
      </c>
      <c r="AX4" s="65">
        <f t="shared" ref="AX4:AX34" si="19">IF((AW4-AW3&lt;0), "",(AW4-AW3)*1000)</f>
        <v>89.999999999974989</v>
      </c>
      <c r="AY4" s="58">
        <v>363.01</v>
      </c>
      <c r="AZ4" s="65">
        <f t="shared" ref="AZ4:AZ34" si="20">IF((AY4-AY3&lt;0), "",(AY4-AY3)*1000)</f>
        <v>39.99999999996362</v>
      </c>
      <c r="BA4" s="58">
        <v>382.08</v>
      </c>
      <c r="BB4" s="65">
        <f t="shared" ref="BB4:BB34" si="21">IF((BA4-BA3&lt;0), "",(BA4-BA3)*1000)</f>
        <v>29.999999999972715</v>
      </c>
      <c r="BC4" s="58">
        <v>244.93</v>
      </c>
      <c r="BD4" s="65">
        <f t="shared" ref="BD4:BD34" si="22">IF((BC4-BC3&lt;0), "",(BC4-BC3)*1000)</f>
        <v>69.999999999993179</v>
      </c>
      <c r="BE4" s="59">
        <v>41382</v>
      </c>
      <c r="BF4" s="67">
        <f>IF((BE4-BE3&lt;0), "",BE4-BE3)</f>
        <v>39</v>
      </c>
      <c r="BG4" s="60">
        <v>235.4</v>
      </c>
      <c r="BH4" s="65">
        <f t="shared" ref="BH4:BH34" si="23">IF((BG4-BG3&lt;0), "",(BG4-BG3)*1000)</f>
        <v>60.000000000002274</v>
      </c>
      <c r="BI4" s="60">
        <v>294.10000000000002</v>
      </c>
      <c r="BJ4" s="65">
        <f>IF((BI4-BI3&lt;0), "",(BI4-BI3)*1000)</f>
        <v>40.000000000020464</v>
      </c>
      <c r="BK4" s="60">
        <v>237.9</v>
      </c>
      <c r="BL4" s="65">
        <f t="shared" ref="BL4:BL34" si="24">IF((BK4-BK3&lt;0), "",(BK4-BK3)*1000)</f>
        <v>30.000000000001137</v>
      </c>
      <c r="BM4" s="60">
        <v>225.11</v>
      </c>
      <c r="BN4" s="65">
        <f t="shared" ref="BN4:BN33" si="25">IF((BM4-BM3&lt;0), "",(BM4-BM3)*1000)</f>
        <v>40.000000000020464</v>
      </c>
      <c r="BO4" s="60">
        <v>288.82</v>
      </c>
      <c r="BP4" s="65">
        <f t="shared" ref="BP4:BP34" si="26">IF((BO4-BO3&lt;0), "",(BO4-BO3)*1000)</f>
        <v>40.000000000020464</v>
      </c>
      <c r="BQ4" s="60">
        <v>46221</v>
      </c>
      <c r="BR4" s="65">
        <f t="shared" ref="BR4:BR34" si="27">IF((BQ4-BQ3&lt;0), "",BQ4-BQ3)</f>
        <v>27</v>
      </c>
      <c r="BS4" s="60">
        <v>201.78</v>
      </c>
      <c r="BT4" s="65">
        <f t="shared" ref="BT4" si="28">IF((BS4-BS3&lt;0), "",(BS4-BS3)*1000)</f>
        <v>30.000000000001137</v>
      </c>
      <c r="BU4" s="60">
        <v>42027</v>
      </c>
      <c r="BV4" s="65">
        <f t="shared" ref="BV4:BV35" si="29">IF((BU4-BU3&lt;0), "",BU4-BU3)</f>
        <v>44</v>
      </c>
      <c r="BW4" s="60">
        <v>232.74</v>
      </c>
      <c r="BX4" s="65">
        <f t="shared" ref="BX4:BX34" si="30">IF((BW4-BW3&lt;0), "",(BW4-BW3)*1000)</f>
        <v>30.000000000001137</v>
      </c>
      <c r="BY4" s="60">
        <v>61818</v>
      </c>
      <c r="BZ4" s="67">
        <f t="shared" ref="BZ4:BZ34" si="31">IF((BY4-BY3&lt;0), "",BY4-BY3)</f>
        <v>48</v>
      </c>
      <c r="CA4" s="60">
        <v>33176</v>
      </c>
      <c r="CB4" s="67">
        <f t="shared" ref="CB4:CB33" si="32">IF((CA4-CA3&lt;0), "",CA4-CA3)</f>
        <v>40</v>
      </c>
      <c r="CC4" s="60">
        <v>12467.6</v>
      </c>
      <c r="CD4" s="67">
        <f t="shared" ref="CD4:CD34" si="33">IF((CC4-CC3&lt;0), "",CC4-CC3)</f>
        <v>12</v>
      </c>
      <c r="CE4" s="60">
        <v>6600.5</v>
      </c>
      <c r="CF4" s="67">
        <f t="shared" ref="CF4:CF33" si="34">IF((CE4-CE3&lt;0), "",CE4-CE3)</f>
        <v>11.600000000000364</v>
      </c>
      <c r="CG4" s="60">
        <v>60790.5</v>
      </c>
      <c r="CH4" s="67">
        <f t="shared" ref="CH4:CH34" si="35">IF((CG4-CG3&lt;0), "",CG4-CG3)</f>
        <v>55</v>
      </c>
      <c r="CI4" s="60">
        <v>958277</v>
      </c>
      <c r="CJ4" s="67">
        <f t="shared" ref="CJ4:CJ34" si="36">IF((CI4-CI3&lt;0), "",CI4-CI3)</f>
        <v>320</v>
      </c>
      <c r="CK4" s="60">
        <v>786.58</v>
      </c>
      <c r="CL4" s="64">
        <f t="shared" ref="CL4:CL34" si="37">IF((CK4-CK3&lt;0), "",(CK4-CK3)*1000)</f>
        <v>860.00000000001364</v>
      </c>
      <c r="CM4" s="65">
        <f>CQ4+CS4</f>
        <v>112</v>
      </c>
      <c r="CN4" s="62">
        <v>13</v>
      </c>
      <c r="CO4" s="62">
        <v>44</v>
      </c>
      <c r="CP4" s="68">
        <v>11277</v>
      </c>
      <c r="CQ4" s="67">
        <f t="shared" ref="CQ4:CW34" si="38">IF((CP4-CP3&lt;0), "",CP4-CP3)</f>
        <v>71</v>
      </c>
      <c r="CR4" s="68">
        <v>15006</v>
      </c>
      <c r="CS4" s="67">
        <f t="shared" si="38"/>
        <v>41</v>
      </c>
      <c r="CT4" s="75">
        <v>6805</v>
      </c>
      <c r="CU4" s="67">
        <f t="shared" si="38"/>
        <v>14</v>
      </c>
      <c r="CV4" s="68">
        <v>16343</v>
      </c>
      <c r="CW4" s="67">
        <f t="shared" si="38"/>
        <v>34</v>
      </c>
    </row>
    <row r="5" spans="1:102" ht="25.5" customHeight="1" thickBot="1" x14ac:dyDescent="0.45">
      <c r="A5" s="63">
        <v>44410</v>
      </c>
      <c r="B5" s="44"/>
      <c r="C5" s="58">
        <v>2.3616000000000001</v>
      </c>
      <c r="D5" s="64">
        <f t="shared" si="0"/>
        <v>2200.0000000002019</v>
      </c>
      <c r="E5" s="58">
        <v>3.3551000000000002</v>
      </c>
      <c r="F5" s="64">
        <f t="shared" si="1"/>
        <v>2800.0000000001355</v>
      </c>
      <c r="G5" s="58">
        <v>3.4117999999999999</v>
      </c>
      <c r="H5" s="64">
        <f t="shared" si="2"/>
        <v>2600.0000000001578</v>
      </c>
      <c r="I5" s="58">
        <v>1.6817</v>
      </c>
      <c r="J5" s="64">
        <f t="shared" si="3"/>
        <v>1199.9999999998679</v>
      </c>
      <c r="K5" s="58">
        <v>2.7170999999999998</v>
      </c>
      <c r="L5" s="64">
        <f t="shared" si="4"/>
        <v>1999.9999999997797</v>
      </c>
      <c r="M5" s="58">
        <v>1.4903999999999999</v>
      </c>
      <c r="N5" s="64">
        <f t="shared" si="5"/>
        <v>899.99999999990087</v>
      </c>
      <c r="O5" s="58">
        <v>14554</v>
      </c>
      <c r="P5" s="67">
        <f>IF((O5-O4&lt;0), "",O5-O4)</f>
        <v>5</v>
      </c>
      <c r="Q5" s="58">
        <v>1098</v>
      </c>
      <c r="R5" s="67">
        <f t="shared" si="6"/>
        <v>2</v>
      </c>
      <c r="S5" s="58">
        <v>1022.1</v>
      </c>
      <c r="T5" s="67">
        <f t="shared" si="7"/>
        <v>0.80000000000006821</v>
      </c>
      <c r="U5" s="58">
        <v>428321.1</v>
      </c>
      <c r="V5" s="67">
        <f t="shared" si="8"/>
        <v>230.39999999996508</v>
      </c>
      <c r="W5" s="58">
        <v>407.03</v>
      </c>
      <c r="X5" s="65">
        <f t="shared" si="9"/>
        <v>239.99999999995225</v>
      </c>
      <c r="Y5" s="58">
        <v>2.9340000000000002</v>
      </c>
      <c r="Z5" s="65">
        <f t="shared" si="10"/>
        <v>2000.0000000002237</v>
      </c>
      <c r="AA5" s="58">
        <v>405.89</v>
      </c>
      <c r="AB5" s="65">
        <f t="shared" si="11"/>
        <v>279.99999999997272</v>
      </c>
      <c r="AC5" s="58">
        <v>379.26</v>
      </c>
      <c r="AD5" s="65">
        <f t="shared" si="12"/>
        <v>240.00000000000909</v>
      </c>
      <c r="AE5" s="58">
        <v>576.28</v>
      </c>
      <c r="AF5" s="65">
        <f t="shared" si="13"/>
        <v>240.00000000000909</v>
      </c>
      <c r="AG5" s="58">
        <v>5693</v>
      </c>
      <c r="AH5" s="67">
        <f t="shared" si="14"/>
        <v>29</v>
      </c>
      <c r="AI5" s="58">
        <v>635.54</v>
      </c>
      <c r="AJ5" s="65">
        <f t="shared" si="15"/>
        <v>519.99999999998181</v>
      </c>
      <c r="AK5" s="58">
        <v>210.52</v>
      </c>
      <c r="AL5" s="65">
        <f t="shared" si="15"/>
        <v>159.99999999999659</v>
      </c>
      <c r="AM5" s="58">
        <v>200.07</v>
      </c>
      <c r="AN5" s="65">
        <f t="shared" si="15"/>
        <v>69.999999999993179</v>
      </c>
      <c r="AO5" s="58">
        <v>193.47</v>
      </c>
      <c r="AP5" s="65">
        <f t="shared" si="15"/>
        <v>159.99999999999659</v>
      </c>
      <c r="AQ5" s="58">
        <v>252.81</v>
      </c>
      <c r="AR5" s="65">
        <f t="shared" si="16"/>
        <v>110.00000000001364</v>
      </c>
      <c r="AS5" s="58">
        <v>378.71</v>
      </c>
      <c r="AT5" s="65">
        <f t="shared" si="17"/>
        <v>89.999999999974989</v>
      </c>
      <c r="AU5" s="58">
        <v>289.27999999999997</v>
      </c>
      <c r="AV5" s="65">
        <f t="shared" si="18"/>
        <v>129.99999999999545</v>
      </c>
      <c r="AW5" s="58">
        <v>323.39</v>
      </c>
      <c r="AX5" s="65">
        <f t="shared" si="19"/>
        <v>60.000000000002274</v>
      </c>
      <c r="AY5" s="58">
        <v>363.04</v>
      </c>
      <c r="AZ5" s="65">
        <f t="shared" si="20"/>
        <v>30.000000000029559</v>
      </c>
      <c r="BA5" s="58">
        <v>382.09</v>
      </c>
      <c r="BB5" s="65">
        <f t="shared" si="21"/>
        <v>9.9999999999909051</v>
      </c>
      <c r="BC5" s="58">
        <v>245</v>
      </c>
      <c r="BD5" s="65">
        <f t="shared" si="22"/>
        <v>69.999999999993179</v>
      </c>
      <c r="BE5" s="59">
        <v>41415</v>
      </c>
      <c r="BF5" s="67">
        <f t="shared" ref="BF5:BF34" si="39">IF((BE5-BE4&lt;0), "",BE5-BE4)</f>
        <v>33</v>
      </c>
      <c r="BG5" s="60">
        <v>235.44</v>
      </c>
      <c r="BH5" s="65">
        <f t="shared" si="23"/>
        <v>39.999999999992042</v>
      </c>
      <c r="BI5" s="60">
        <v>294.12</v>
      </c>
      <c r="BJ5" s="65">
        <f t="shared" ref="BJ5:BJ34" si="40">IF((BI5-BI4&lt;0), "",(BI5-BI4)*1000)</f>
        <v>19.99999999998181</v>
      </c>
      <c r="BK5" s="60">
        <v>237.93</v>
      </c>
      <c r="BL5" s="65">
        <f t="shared" si="24"/>
        <v>30.000000000001137</v>
      </c>
      <c r="BM5" s="60">
        <v>225.15</v>
      </c>
      <c r="BN5" s="65">
        <f t="shared" si="25"/>
        <v>39.999999999992042</v>
      </c>
      <c r="BO5" s="60">
        <v>288.85000000000002</v>
      </c>
      <c r="BP5" s="65">
        <f t="shared" si="26"/>
        <v>30.000000000029559</v>
      </c>
      <c r="BQ5" s="60">
        <v>46243</v>
      </c>
      <c r="BR5" s="65">
        <f t="shared" si="27"/>
        <v>22</v>
      </c>
      <c r="BS5" s="60">
        <v>201.81</v>
      </c>
      <c r="BT5" s="65">
        <f>IF((BS5-BS4&lt;0), "",(BS5-BS4)*1000)</f>
        <v>30.000000000001137</v>
      </c>
      <c r="BU5" s="60">
        <v>42063</v>
      </c>
      <c r="BV5" s="65">
        <f t="shared" si="29"/>
        <v>36</v>
      </c>
      <c r="BW5" s="60">
        <v>232.76</v>
      </c>
      <c r="BX5" s="65">
        <f t="shared" si="30"/>
        <v>19.99999999998181</v>
      </c>
      <c r="BY5" s="60">
        <v>61857</v>
      </c>
      <c r="BZ5" s="67">
        <f t="shared" si="31"/>
        <v>39</v>
      </c>
      <c r="CA5" s="60">
        <v>33206.699999999997</v>
      </c>
      <c r="CB5" s="67">
        <f t="shared" si="32"/>
        <v>30.69999999999709</v>
      </c>
      <c r="CC5" s="60">
        <v>12470.8</v>
      </c>
      <c r="CD5" s="67">
        <f t="shared" si="33"/>
        <v>3.1999999999989086</v>
      </c>
      <c r="CE5" s="60">
        <v>6612</v>
      </c>
      <c r="CF5" s="67">
        <f t="shared" si="34"/>
        <v>11.5</v>
      </c>
      <c r="CG5" s="60">
        <v>60826.7</v>
      </c>
      <c r="CH5" s="67">
        <f t="shared" si="35"/>
        <v>36.19999999999709</v>
      </c>
      <c r="CI5" s="60">
        <v>958505</v>
      </c>
      <c r="CJ5" s="67">
        <f t="shared" si="36"/>
        <v>228</v>
      </c>
      <c r="CK5" s="60">
        <v>787.36</v>
      </c>
      <c r="CL5" s="64">
        <f t="shared" si="37"/>
        <v>779.99999999997272</v>
      </c>
      <c r="CM5" s="65">
        <f t="shared" ref="CM5:CM34" si="41">CQ5+CS5</f>
        <v>63</v>
      </c>
      <c r="CN5" s="62">
        <v>13</v>
      </c>
      <c r="CO5" s="62">
        <v>44</v>
      </c>
      <c r="CP5" s="68">
        <v>11318</v>
      </c>
      <c r="CQ5" s="67">
        <f t="shared" si="38"/>
        <v>41</v>
      </c>
      <c r="CR5" s="68">
        <v>15028</v>
      </c>
      <c r="CS5" s="67">
        <f t="shared" si="38"/>
        <v>22</v>
      </c>
      <c r="CT5" s="75">
        <v>6814</v>
      </c>
      <c r="CU5" s="67">
        <f t="shared" si="38"/>
        <v>9</v>
      </c>
      <c r="CV5" s="68">
        <v>16372</v>
      </c>
      <c r="CW5" s="67">
        <f t="shared" si="38"/>
        <v>29</v>
      </c>
    </row>
    <row r="6" spans="1:102" ht="24.75" customHeight="1" thickBot="1" x14ac:dyDescent="0.45">
      <c r="A6" s="63">
        <v>44411</v>
      </c>
      <c r="B6" s="44"/>
      <c r="C6" s="58">
        <v>2.3633999999999999</v>
      </c>
      <c r="D6" s="64">
        <f t="shared" si="0"/>
        <v>1799.9999999998017</v>
      </c>
      <c r="E6" s="58">
        <v>3.3574000000000002</v>
      </c>
      <c r="F6" s="64">
        <f t="shared" si="1"/>
        <v>2299.9999999999686</v>
      </c>
      <c r="G6" s="58">
        <v>3.4138000000000002</v>
      </c>
      <c r="H6" s="64">
        <f t="shared" si="2"/>
        <v>2000.0000000002237</v>
      </c>
      <c r="I6" s="58">
        <v>1.6829000000000001</v>
      </c>
      <c r="J6" s="64">
        <f t="shared" si="3"/>
        <v>1200.0000000000898</v>
      </c>
      <c r="K6" s="58">
        <v>2.7189000000000001</v>
      </c>
      <c r="L6" s="64">
        <f t="shared" si="4"/>
        <v>1800.0000000002458</v>
      </c>
      <c r="M6" s="58">
        <v>1.4911000000000001</v>
      </c>
      <c r="N6" s="64">
        <f t="shared" si="5"/>
        <v>700.00000000014495</v>
      </c>
      <c r="O6" s="58">
        <v>14556</v>
      </c>
      <c r="P6" s="67">
        <f>IF((O6-O5&lt;0), "",O6-O5)</f>
        <v>2</v>
      </c>
      <c r="Q6" s="58">
        <v>1102</v>
      </c>
      <c r="R6" s="67">
        <f t="shared" si="6"/>
        <v>4</v>
      </c>
      <c r="S6" s="58">
        <v>1022.6</v>
      </c>
      <c r="T6" s="67">
        <f t="shared" si="7"/>
        <v>0.5</v>
      </c>
      <c r="U6" s="58">
        <v>428669.4</v>
      </c>
      <c r="V6" s="67">
        <f t="shared" si="8"/>
        <v>348.30000000004657</v>
      </c>
      <c r="W6" s="58">
        <v>407.31</v>
      </c>
      <c r="X6" s="65">
        <f t="shared" si="9"/>
        <v>280.00000000002956</v>
      </c>
      <c r="Y6" s="58">
        <v>2.9365000000000001</v>
      </c>
      <c r="Z6" s="65">
        <f t="shared" si="10"/>
        <v>2499.9999999999468</v>
      </c>
      <c r="AA6" s="58">
        <v>406.07</v>
      </c>
      <c r="AB6" s="65">
        <f t="shared" si="11"/>
        <v>180.00000000000682</v>
      </c>
      <c r="AC6" s="58">
        <v>379.56</v>
      </c>
      <c r="AD6" s="65">
        <f t="shared" si="12"/>
        <v>300.00000000001137</v>
      </c>
      <c r="AE6" s="58">
        <v>576.45000000000005</v>
      </c>
      <c r="AF6" s="65">
        <f t="shared" si="13"/>
        <v>170.00000000007276</v>
      </c>
      <c r="AG6" s="58">
        <v>5731</v>
      </c>
      <c r="AH6" s="67">
        <f t="shared" si="14"/>
        <v>38</v>
      </c>
      <c r="AI6" s="58">
        <v>636.21</v>
      </c>
      <c r="AJ6" s="65">
        <f t="shared" si="15"/>
        <v>670.00000000007276</v>
      </c>
      <c r="AK6" s="58">
        <v>210.74</v>
      </c>
      <c r="AL6" s="65">
        <f t="shared" si="15"/>
        <v>219.99999999999886</v>
      </c>
      <c r="AM6" s="58">
        <v>200.2</v>
      </c>
      <c r="AN6" s="65">
        <f t="shared" si="15"/>
        <v>129.99999999999545</v>
      </c>
      <c r="AO6" s="58">
        <v>193.69</v>
      </c>
      <c r="AP6" s="65">
        <f t="shared" si="15"/>
        <v>219.99999999999886</v>
      </c>
      <c r="AQ6" s="58">
        <v>253.12</v>
      </c>
      <c r="AR6" s="65">
        <f t="shared" si="16"/>
        <v>310.00000000000227</v>
      </c>
      <c r="AS6" s="58">
        <v>378.84</v>
      </c>
      <c r="AT6" s="65">
        <f t="shared" si="17"/>
        <v>129.99999999999545</v>
      </c>
      <c r="AU6" s="58">
        <v>289.45999999999998</v>
      </c>
      <c r="AV6" s="65">
        <f t="shared" si="18"/>
        <v>180.00000000000682</v>
      </c>
      <c r="AW6" s="58">
        <v>323.5</v>
      </c>
      <c r="AX6" s="65">
        <f t="shared" si="19"/>
        <v>110.00000000001364</v>
      </c>
      <c r="AY6" s="58">
        <v>363.08</v>
      </c>
      <c r="AZ6" s="65">
        <f t="shared" si="20"/>
        <v>39.99999999996362</v>
      </c>
      <c r="BA6" s="58">
        <v>382.12</v>
      </c>
      <c r="BB6" s="65">
        <f t="shared" si="21"/>
        <v>30.000000000029559</v>
      </c>
      <c r="BC6" s="58">
        <v>245.08</v>
      </c>
      <c r="BD6" s="65">
        <f t="shared" si="22"/>
        <v>80.000000000012506</v>
      </c>
      <c r="BE6" s="59">
        <v>41444</v>
      </c>
      <c r="BF6" s="67">
        <f t="shared" si="39"/>
        <v>29</v>
      </c>
      <c r="BG6" s="60">
        <v>235.5</v>
      </c>
      <c r="BH6" s="65">
        <f t="shared" si="23"/>
        <v>60.000000000002274</v>
      </c>
      <c r="BI6" s="60">
        <v>294.14</v>
      </c>
      <c r="BJ6" s="65">
        <f t="shared" si="40"/>
        <v>19.99999999998181</v>
      </c>
      <c r="BK6" s="60">
        <v>237.96</v>
      </c>
      <c r="BL6" s="65">
        <f t="shared" si="24"/>
        <v>30.000000000001137</v>
      </c>
      <c r="BM6" s="60">
        <v>225.2</v>
      </c>
      <c r="BN6" s="65">
        <f t="shared" si="25"/>
        <v>49.999999999982947</v>
      </c>
      <c r="BO6" s="60">
        <v>288.89999999999998</v>
      </c>
      <c r="BP6" s="65">
        <f t="shared" si="26"/>
        <v>49.999999999954525</v>
      </c>
      <c r="BQ6" s="60">
        <v>46274</v>
      </c>
      <c r="BR6" s="65">
        <f t="shared" si="27"/>
        <v>31</v>
      </c>
      <c r="BS6" s="60">
        <v>201.85</v>
      </c>
      <c r="BT6" s="65">
        <f t="shared" ref="BT6:BT35" si="42">IF((BS6-BS5&lt;0), "",(BS6-BS5)*1000)</f>
        <v>39.999999999992042</v>
      </c>
      <c r="BU6" s="60">
        <v>42108</v>
      </c>
      <c r="BV6" s="65">
        <f t="shared" si="29"/>
        <v>45</v>
      </c>
      <c r="BW6" s="60">
        <v>232.79</v>
      </c>
      <c r="BX6" s="65">
        <f t="shared" si="30"/>
        <v>30.000000000001137</v>
      </c>
      <c r="BY6" s="60">
        <v>61906</v>
      </c>
      <c r="BZ6" s="67">
        <f t="shared" si="31"/>
        <v>49</v>
      </c>
      <c r="CA6" s="60">
        <v>33235.9</v>
      </c>
      <c r="CB6" s="67">
        <f t="shared" si="32"/>
        <v>29.200000000004366</v>
      </c>
      <c r="CC6" s="60">
        <v>12478.4</v>
      </c>
      <c r="CD6" s="67">
        <f t="shared" si="33"/>
        <v>7.6000000000003638</v>
      </c>
      <c r="CE6" s="60">
        <v>6613</v>
      </c>
      <c r="CF6" s="67">
        <f t="shared" si="34"/>
        <v>1</v>
      </c>
      <c r="CG6" s="60">
        <v>60882.1</v>
      </c>
      <c r="CH6" s="67">
        <f t="shared" si="35"/>
        <v>55.400000000001455</v>
      </c>
      <c r="CI6" s="60">
        <v>958790</v>
      </c>
      <c r="CJ6" s="67">
        <f t="shared" si="36"/>
        <v>285</v>
      </c>
      <c r="CK6" s="60">
        <v>788.03</v>
      </c>
      <c r="CL6" s="64">
        <f t="shared" si="37"/>
        <v>669.99999999995907</v>
      </c>
      <c r="CM6" s="65">
        <f t="shared" si="41"/>
        <v>60</v>
      </c>
      <c r="CN6" s="62">
        <v>15</v>
      </c>
      <c r="CO6" s="62">
        <v>47</v>
      </c>
      <c r="CP6" s="68">
        <v>11363</v>
      </c>
      <c r="CQ6" s="67">
        <f t="shared" si="38"/>
        <v>45</v>
      </c>
      <c r="CR6" s="68">
        <v>15043</v>
      </c>
      <c r="CS6" s="67">
        <f t="shared" si="38"/>
        <v>15</v>
      </c>
      <c r="CT6" s="75">
        <v>6829</v>
      </c>
      <c r="CU6" s="67">
        <f t="shared" si="38"/>
        <v>15</v>
      </c>
      <c r="CV6" s="68">
        <v>16409</v>
      </c>
      <c r="CW6" s="67">
        <f t="shared" si="38"/>
        <v>37</v>
      </c>
    </row>
    <row r="7" spans="1:102" ht="25.5" customHeight="1" thickBot="1" x14ac:dyDescent="0.45">
      <c r="A7" s="63">
        <v>44412</v>
      </c>
      <c r="B7" s="44"/>
      <c r="C7" s="58"/>
      <c r="D7" s="64" t="str">
        <f t="shared" si="0"/>
        <v>0</v>
      </c>
      <c r="E7" s="58"/>
      <c r="F7" s="64" t="str">
        <f t="shared" si="1"/>
        <v>0</v>
      </c>
      <c r="G7" s="58"/>
      <c r="H7" s="64" t="str">
        <f t="shared" si="2"/>
        <v>0</v>
      </c>
      <c r="I7" s="58"/>
      <c r="J7" s="64" t="str">
        <f t="shared" si="3"/>
        <v>0</v>
      </c>
      <c r="K7" s="58"/>
      <c r="L7" s="64" t="str">
        <f t="shared" si="4"/>
        <v>0</v>
      </c>
      <c r="M7" s="58"/>
      <c r="N7" s="64" t="str">
        <f t="shared" si="5"/>
        <v/>
      </c>
      <c r="O7" s="58"/>
      <c r="P7" s="67" t="str">
        <f t="shared" ref="P7:P10" si="43">IF((O7-O6&lt;0), "",O7-O6)</f>
        <v/>
      </c>
      <c r="Q7" s="58"/>
      <c r="R7" s="67" t="str">
        <f t="shared" si="6"/>
        <v/>
      </c>
      <c r="S7" s="58"/>
      <c r="T7" s="67" t="str">
        <f t="shared" si="7"/>
        <v/>
      </c>
      <c r="U7" s="58"/>
      <c r="V7" s="67" t="str">
        <f t="shared" si="8"/>
        <v/>
      </c>
      <c r="W7" s="58"/>
      <c r="X7" s="65" t="str">
        <f t="shared" si="9"/>
        <v/>
      </c>
      <c r="Y7" s="58"/>
      <c r="Z7" s="65" t="str">
        <f t="shared" si="10"/>
        <v/>
      </c>
      <c r="AA7" s="58"/>
      <c r="AB7" s="65" t="str">
        <f t="shared" si="11"/>
        <v/>
      </c>
      <c r="AC7" s="58"/>
      <c r="AD7" s="65" t="str">
        <f t="shared" si="12"/>
        <v/>
      </c>
      <c r="AE7" s="58"/>
      <c r="AF7" s="65" t="str">
        <f t="shared" si="13"/>
        <v/>
      </c>
      <c r="AG7" s="58"/>
      <c r="AH7" s="67" t="str">
        <f t="shared" si="14"/>
        <v/>
      </c>
      <c r="AI7" s="58"/>
      <c r="AJ7" s="65" t="str">
        <f t="shared" si="15"/>
        <v/>
      </c>
      <c r="AK7" s="58"/>
      <c r="AL7" s="65" t="str">
        <f t="shared" si="15"/>
        <v/>
      </c>
      <c r="AM7" s="58"/>
      <c r="AN7" s="65" t="str">
        <f t="shared" si="15"/>
        <v/>
      </c>
      <c r="AO7" s="58"/>
      <c r="AP7" s="65" t="str">
        <f t="shared" si="15"/>
        <v/>
      </c>
      <c r="AQ7" s="58"/>
      <c r="AR7" s="65" t="str">
        <f t="shared" si="16"/>
        <v/>
      </c>
      <c r="AS7" s="58"/>
      <c r="AT7" s="65" t="str">
        <f t="shared" si="17"/>
        <v/>
      </c>
      <c r="AU7" s="58"/>
      <c r="AV7" s="65" t="str">
        <f t="shared" si="18"/>
        <v/>
      </c>
      <c r="AW7" s="58"/>
      <c r="AX7" s="65" t="str">
        <f t="shared" si="19"/>
        <v/>
      </c>
      <c r="AY7" s="58"/>
      <c r="AZ7" s="65" t="str">
        <f t="shared" si="20"/>
        <v/>
      </c>
      <c r="BA7" s="58"/>
      <c r="BB7" s="65" t="str">
        <f t="shared" si="21"/>
        <v/>
      </c>
      <c r="BC7" s="58"/>
      <c r="BD7" s="65" t="str">
        <f t="shared" si="22"/>
        <v/>
      </c>
      <c r="BE7" s="59"/>
      <c r="BF7" s="67" t="str">
        <f t="shared" si="39"/>
        <v/>
      </c>
      <c r="BG7" s="60"/>
      <c r="BH7" s="65" t="str">
        <f t="shared" si="23"/>
        <v/>
      </c>
      <c r="BI7" s="60"/>
      <c r="BJ7" s="65" t="str">
        <f t="shared" si="40"/>
        <v/>
      </c>
      <c r="BK7" s="60"/>
      <c r="BL7" s="65" t="str">
        <f t="shared" si="24"/>
        <v/>
      </c>
      <c r="BM7" s="60"/>
      <c r="BN7" s="65" t="str">
        <f t="shared" si="25"/>
        <v/>
      </c>
      <c r="BO7" s="60"/>
      <c r="BP7" s="65" t="str">
        <f t="shared" si="26"/>
        <v/>
      </c>
      <c r="BQ7" s="60"/>
      <c r="BR7" s="65" t="str">
        <f t="shared" si="27"/>
        <v/>
      </c>
      <c r="BS7" s="60"/>
      <c r="BT7" s="65" t="str">
        <f t="shared" si="42"/>
        <v/>
      </c>
      <c r="BU7" s="60"/>
      <c r="BV7" s="65" t="str">
        <f t="shared" si="29"/>
        <v/>
      </c>
      <c r="BW7" s="60"/>
      <c r="BX7" s="65" t="str">
        <f t="shared" si="30"/>
        <v/>
      </c>
      <c r="BY7" s="60"/>
      <c r="BZ7" s="67" t="str">
        <f t="shared" si="31"/>
        <v/>
      </c>
      <c r="CA7" s="60"/>
      <c r="CB7" s="67" t="str">
        <f t="shared" si="32"/>
        <v/>
      </c>
      <c r="CC7" s="60"/>
      <c r="CD7" s="67" t="str">
        <f t="shared" si="33"/>
        <v/>
      </c>
      <c r="CE7" s="60"/>
      <c r="CF7" s="67" t="str">
        <f t="shared" si="34"/>
        <v/>
      </c>
      <c r="CG7" s="60"/>
      <c r="CH7" s="67" t="str">
        <f t="shared" si="35"/>
        <v/>
      </c>
      <c r="CI7" s="60"/>
      <c r="CJ7" s="67" t="str">
        <f t="shared" si="36"/>
        <v/>
      </c>
      <c r="CK7" s="60"/>
      <c r="CL7" s="64" t="str">
        <f t="shared" si="37"/>
        <v/>
      </c>
      <c r="CM7" s="65" t="e">
        <f t="shared" si="41"/>
        <v>#VALUE!</v>
      </c>
      <c r="CN7" s="62"/>
      <c r="CO7" s="62"/>
      <c r="CP7" s="68"/>
      <c r="CQ7" s="67" t="str">
        <f t="shared" si="38"/>
        <v/>
      </c>
      <c r="CR7" s="68"/>
      <c r="CS7" s="67" t="str">
        <f t="shared" si="38"/>
        <v/>
      </c>
      <c r="CT7" s="75"/>
      <c r="CU7" s="67" t="str">
        <f t="shared" si="38"/>
        <v/>
      </c>
      <c r="CV7" s="68"/>
      <c r="CW7" s="67" t="str">
        <f t="shared" si="38"/>
        <v/>
      </c>
    </row>
    <row r="8" spans="1:102" ht="25.5" customHeight="1" thickBot="1" x14ac:dyDescent="0.45">
      <c r="A8" s="63">
        <v>44413</v>
      </c>
      <c r="B8" s="44"/>
      <c r="C8" s="58"/>
      <c r="D8" s="64">
        <f t="shared" si="0"/>
        <v>0</v>
      </c>
      <c r="E8" s="58"/>
      <c r="F8" s="64">
        <f t="shared" si="1"/>
        <v>0</v>
      </c>
      <c r="G8" s="58"/>
      <c r="H8" s="64">
        <f t="shared" si="2"/>
        <v>0</v>
      </c>
      <c r="I8" s="58"/>
      <c r="J8" s="64">
        <f t="shared" si="3"/>
        <v>0</v>
      </c>
      <c r="K8" s="58"/>
      <c r="L8" s="64">
        <f t="shared" si="4"/>
        <v>0</v>
      </c>
      <c r="M8" s="58"/>
      <c r="N8" s="64">
        <f t="shared" si="5"/>
        <v>0</v>
      </c>
      <c r="O8" s="58"/>
      <c r="P8" s="67">
        <f t="shared" si="43"/>
        <v>0</v>
      </c>
      <c r="Q8" s="58"/>
      <c r="R8" s="67">
        <f t="shared" si="6"/>
        <v>0</v>
      </c>
      <c r="S8" s="58"/>
      <c r="T8" s="67">
        <f t="shared" si="7"/>
        <v>0</v>
      </c>
      <c r="U8" s="58"/>
      <c r="V8" s="67">
        <f t="shared" si="8"/>
        <v>0</v>
      </c>
      <c r="W8" s="58"/>
      <c r="X8" s="65">
        <f t="shared" si="9"/>
        <v>0</v>
      </c>
      <c r="Y8" s="58"/>
      <c r="Z8" s="65">
        <f t="shared" si="10"/>
        <v>0</v>
      </c>
      <c r="AA8" s="58"/>
      <c r="AB8" s="65">
        <f t="shared" si="11"/>
        <v>0</v>
      </c>
      <c r="AC8" s="58"/>
      <c r="AD8" s="65">
        <f t="shared" si="12"/>
        <v>0</v>
      </c>
      <c r="AE8" s="58"/>
      <c r="AF8" s="65">
        <f t="shared" si="13"/>
        <v>0</v>
      </c>
      <c r="AG8" s="58"/>
      <c r="AH8" s="67">
        <f t="shared" si="14"/>
        <v>0</v>
      </c>
      <c r="AI8" s="58"/>
      <c r="AJ8" s="65">
        <f t="shared" si="15"/>
        <v>0</v>
      </c>
      <c r="AK8" s="58"/>
      <c r="AL8" s="65">
        <f t="shared" si="15"/>
        <v>0</v>
      </c>
      <c r="AM8" s="58"/>
      <c r="AN8" s="65">
        <f t="shared" si="15"/>
        <v>0</v>
      </c>
      <c r="AO8" s="58"/>
      <c r="AP8" s="65">
        <f t="shared" si="15"/>
        <v>0</v>
      </c>
      <c r="AQ8" s="58"/>
      <c r="AR8" s="65">
        <f t="shared" si="16"/>
        <v>0</v>
      </c>
      <c r="AS8" s="58"/>
      <c r="AT8" s="65">
        <f t="shared" si="17"/>
        <v>0</v>
      </c>
      <c r="AU8" s="58"/>
      <c r="AV8" s="65">
        <f t="shared" si="18"/>
        <v>0</v>
      </c>
      <c r="AW8" s="58"/>
      <c r="AX8" s="65">
        <f t="shared" si="19"/>
        <v>0</v>
      </c>
      <c r="AY8" s="58"/>
      <c r="AZ8" s="65">
        <f t="shared" si="20"/>
        <v>0</v>
      </c>
      <c r="BA8" s="58"/>
      <c r="BB8" s="65">
        <f t="shared" si="21"/>
        <v>0</v>
      </c>
      <c r="BC8" s="58"/>
      <c r="BD8" s="65">
        <f t="shared" si="22"/>
        <v>0</v>
      </c>
      <c r="BE8" s="59"/>
      <c r="BF8" s="67">
        <f t="shared" si="39"/>
        <v>0</v>
      </c>
      <c r="BG8" s="60"/>
      <c r="BH8" s="65">
        <f t="shared" si="23"/>
        <v>0</v>
      </c>
      <c r="BI8" s="60"/>
      <c r="BJ8" s="65">
        <f t="shared" si="40"/>
        <v>0</v>
      </c>
      <c r="BK8" s="60"/>
      <c r="BL8" s="65">
        <f t="shared" si="24"/>
        <v>0</v>
      </c>
      <c r="BM8" s="60"/>
      <c r="BN8" s="65">
        <f t="shared" si="25"/>
        <v>0</v>
      </c>
      <c r="BO8" s="60"/>
      <c r="BP8" s="65">
        <f t="shared" si="26"/>
        <v>0</v>
      </c>
      <c r="BQ8" s="60"/>
      <c r="BR8" s="65">
        <f t="shared" si="27"/>
        <v>0</v>
      </c>
      <c r="BS8" s="60"/>
      <c r="BT8" s="65">
        <f t="shared" si="42"/>
        <v>0</v>
      </c>
      <c r="BU8" s="60"/>
      <c r="BV8" s="65">
        <f t="shared" si="29"/>
        <v>0</v>
      </c>
      <c r="BW8" s="60"/>
      <c r="BX8" s="65">
        <f t="shared" si="30"/>
        <v>0</v>
      </c>
      <c r="BY8" s="60"/>
      <c r="BZ8" s="67">
        <f t="shared" si="31"/>
        <v>0</v>
      </c>
      <c r="CA8" s="60"/>
      <c r="CB8" s="67">
        <f t="shared" si="32"/>
        <v>0</v>
      </c>
      <c r="CC8" s="60"/>
      <c r="CD8" s="67">
        <f t="shared" si="33"/>
        <v>0</v>
      </c>
      <c r="CE8" s="60"/>
      <c r="CF8" s="67">
        <f t="shared" si="34"/>
        <v>0</v>
      </c>
      <c r="CG8" s="60"/>
      <c r="CH8" s="67">
        <f t="shared" si="35"/>
        <v>0</v>
      </c>
      <c r="CI8" s="60"/>
      <c r="CJ8" s="67">
        <f t="shared" si="36"/>
        <v>0</v>
      </c>
      <c r="CK8" s="60"/>
      <c r="CL8" s="64">
        <f t="shared" si="37"/>
        <v>0</v>
      </c>
      <c r="CM8" s="65">
        <f t="shared" si="41"/>
        <v>0</v>
      </c>
      <c r="CN8" s="62">
        <v>0</v>
      </c>
      <c r="CO8" s="62">
        <v>0</v>
      </c>
      <c r="CP8" s="68"/>
      <c r="CQ8" s="67">
        <f t="shared" si="38"/>
        <v>0</v>
      </c>
      <c r="CR8" s="68"/>
      <c r="CS8" s="67">
        <f t="shared" si="38"/>
        <v>0</v>
      </c>
      <c r="CT8" s="75"/>
      <c r="CU8" s="67">
        <f t="shared" si="38"/>
        <v>0</v>
      </c>
      <c r="CV8" s="68"/>
      <c r="CW8" s="67">
        <f t="shared" si="38"/>
        <v>0</v>
      </c>
    </row>
    <row r="9" spans="1:102" ht="25.5" customHeight="1" thickBot="1" x14ac:dyDescent="0.45">
      <c r="A9" s="63">
        <v>44414</v>
      </c>
      <c r="B9" s="44"/>
      <c r="C9" s="58"/>
      <c r="D9" s="64">
        <f t="shared" si="0"/>
        <v>0</v>
      </c>
      <c r="E9" s="58"/>
      <c r="F9" s="64">
        <f t="shared" si="1"/>
        <v>0</v>
      </c>
      <c r="G9" s="58"/>
      <c r="H9" s="64">
        <f t="shared" si="2"/>
        <v>0</v>
      </c>
      <c r="I9" s="58"/>
      <c r="J9" s="64">
        <f t="shared" si="3"/>
        <v>0</v>
      </c>
      <c r="K9" s="58"/>
      <c r="L9" s="64">
        <f t="shared" si="4"/>
        <v>0</v>
      </c>
      <c r="M9" s="58"/>
      <c r="N9" s="64">
        <f t="shared" si="5"/>
        <v>0</v>
      </c>
      <c r="O9" s="58"/>
      <c r="P9" s="67">
        <f t="shared" si="43"/>
        <v>0</v>
      </c>
      <c r="Q9" s="58"/>
      <c r="R9" s="67">
        <f t="shared" si="6"/>
        <v>0</v>
      </c>
      <c r="S9" s="58"/>
      <c r="T9" s="67">
        <f t="shared" si="7"/>
        <v>0</v>
      </c>
      <c r="U9" s="58"/>
      <c r="V9" s="67">
        <f t="shared" si="8"/>
        <v>0</v>
      </c>
      <c r="W9" s="58"/>
      <c r="X9" s="65">
        <f t="shared" si="9"/>
        <v>0</v>
      </c>
      <c r="Y9" s="58"/>
      <c r="Z9" s="65">
        <f t="shared" si="10"/>
        <v>0</v>
      </c>
      <c r="AA9" s="58"/>
      <c r="AB9" s="65">
        <f t="shared" si="11"/>
        <v>0</v>
      </c>
      <c r="AC9" s="58"/>
      <c r="AD9" s="65">
        <f t="shared" si="12"/>
        <v>0</v>
      </c>
      <c r="AE9" s="58"/>
      <c r="AF9" s="65">
        <f t="shared" si="13"/>
        <v>0</v>
      </c>
      <c r="AG9" s="58"/>
      <c r="AH9" s="67">
        <f t="shared" si="14"/>
        <v>0</v>
      </c>
      <c r="AI9" s="58"/>
      <c r="AJ9" s="65">
        <f t="shared" si="15"/>
        <v>0</v>
      </c>
      <c r="AK9" s="58"/>
      <c r="AL9" s="65">
        <f t="shared" si="15"/>
        <v>0</v>
      </c>
      <c r="AM9" s="58"/>
      <c r="AN9" s="65">
        <f t="shared" si="15"/>
        <v>0</v>
      </c>
      <c r="AO9" s="58"/>
      <c r="AP9" s="65">
        <f t="shared" si="15"/>
        <v>0</v>
      </c>
      <c r="AQ9" s="58"/>
      <c r="AR9" s="65">
        <f t="shared" si="16"/>
        <v>0</v>
      </c>
      <c r="AS9" s="58"/>
      <c r="AT9" s="65">
        <f t="shared" si="17"/>
        <v>0</v>
      </c>
      <c r="AU9" s="58"/>
      <c r="AV9" s="65">
        <f t="shared" si="18"/>
        <v>0</v>
      </c>
      <c r="AW9" s="58"/>
      <c r="AX9" s="65">
        <f t="shared" si="19"/>
        <v>0</v>
      </c>
      <c r="AY9" s="58"/>
      <c r="AZ9" s="65">
        <f t="shared" si="20"/>
        <v>0</v>
      </c>
      <c r="BA9" s="58"/>
      <c r="BB9" s="65">
        <f t="shared" si="21"/>
        <v>0</v>
      </c>
      <c r="BC9" s="58"/>
      <c r="BD9" s="65">
        <f t="shared" si="22"/>
        <v>0</v>
      </c>
      <c r="BE9" s="59"/>
      <c r="BF9" s="67">
        <f t="shared" si="39"/>
        <v>0</v>
      </c>
      <c r="BG9" s="60"/>
      <c r="BH9" s="65">
        <f t="shared" si="23"/>
        <v>0</v>
      </c>
      <c r="BI9" s="60"/>
      <c r="BJ9" s="65">
        <f t="shared" si="40"/>
        <v>0</v>
      </c>
      <c r="BK9" s="60"/>
      <c r="BL9" s="65">
        <f t="shared" si="24"/>
        <v>0</v>
      </c>
      <c r="BM9" s="60"/>
      <c r="BN9" s="65">
        <f t="shared" si="25"/>
        <v>0</v>
      </c>
      <c r="BO9" s="60"/>
      <c r="BP9" s="65">
        <f t="shared" si="26"/>
        <v>0</v>
      </c>
      <c r="BQ9" s="60"/>
      <c r="BR9" s="65">
        <f t="shared" si="27"/>
        <v>0</v>
      </c>
      <c r="BS9" s="60"/>
      <c r="BT9" s="65">
        <f t="shared" si="42"/>
        <v>0</v>
      </c>
      <c r="BU9" s="60"/>
      <c r="BV9" s="65">
        <f t="shared" si="29"/>
        <v>0</v>
      </c>
      <c r="BW9" s="60"/>
      <c r="BX9" s="65">
        <f t="shared" si="30"/>
        <v>0</v>
      </c>
      <c r="BY9" s="60"/>
      <c r="BZ9" s="67">
        <f t="shared" si="31"/>
        <v>0</v>
      </c>
      <c r="CA9" s="60"/>
      <c r="CB9" s="67">
        <f t="shared" si="32"/>
        <v>0</v>
      </c>
      <c r="CC9" s="60"/>
      <c r="CD9" s="67">
        <f t="shared" si="33"/>
        <v>0</v>
      </c>
      <c r="CE9" s="60"/>
      <c r="CF9" s="67">
        <f t="shared" si="34"/>
        <v>0</v>
      </c>
      <c r="CG9" s="60"/>
      <c r="CH9" s="67">
        <f t="shared" si="35"/>
        <v>0</v>
      </c>
      <c r="CI9" s="60"/>
      <c r="CJ9" s="67">
        <f t="shared" si="36"/>
        <v>0</v>
      </c>
      <c r="CK9" s="60"/>
      <c r="CL9" s="64">
        <f t="shared" si="37"/>
        <v>0</v>
      </c>
      <c r="CM9" s="65">
        <f t="shared" si="41"/>
        <v>0</v>
      </c>
      <c r="CN9" s="62">
        <v>0</v>
      </c>
      <c r="CO9" s="62">
        <v>0</v>
      </c>
      <c r="CP9" s="68"/>
      <c r="CQ9" s="67">
        <f t="shared" si="38"/>
        <v>0</v>
      </c>
      <c r="CR9" s="68"/>
      <c r="CS9" s="67">
        <f t="shared" si="38"/>
        <v>0</v>
      </c>
      <c r="CT9" s="75"/>
      <c r="CU9" s="67">
        <f t="shared" si="38"/>
        <v>0</v>
      </c>
      <c r="CV9" s="68"/>
      <c r="CW9" s="67">
        <f t="shared" si="38"/>
        <v>0</v>
      </c>
    </row>
    <row r="10" spans="1:102" ht="25.5" customHeight="1" thickBot="1" x14ac:dyDescent="0.45">
      <c r="A10" s="63">
        <v>44415</v>
      </c>
      <c r="B10" s="44"/>
      <c r="C10" s="58"/>
      <c r="D10" s="64">
        <f t="shared" si="0"/>
        <v>0</v>
      </c>
      <c r="E10" s="58"/>
      <c r="F10" s="64">
        <f t="shared" si="1"/>
        <v>0</v>
      </c>
      <c r="G10" s="58"/>
      <c r="H10" s="64">
        <f t="shared" si="2"/>
        <v>0</v>
      </c>
      <c r="I10" s="58"/>
      <c r="J10" s="64">
        <f t="shared" si="3"/>
        <v>0</v>
      </c>
      <c r="K10" s="58"/>
      <c r="L10" s="64">
        <f t="shared" si="4"/>
        <v>0</v>
      </c>
      <c r="M10" s="58"/>
      <c r="N10" s="64">
        <f t="shared" si="5"/>
        <v>0</v>
      </c>
      <c r="O10" s="58"/>
      <c r="P10" s="67">
        <f t="shared" si="43"/>
        <v>0</v>
      </c>
      <c r="Q10" s="58"/>
      <c r="R10" s="67">
        <f t="shared" si="6"/>
        <v>0</v>
      </c>
      <c r="S10" s="58"/>
      <c r="T10" s="67">
        <f t="shared" si="7"/>
        <v>0</v>
      </c>
      <c r="U10" s="58"/>
      <c r="V10" s="67">
        <f t="shared" si="8"/>
        <v>0</v>
      </c>
      <c r="W10" s="58"/>
      <c r="X10" s="65">
        <f t="shared" si="9"/>
        <v>0</v>
      </c>
      <c r="Y10" s="58"/>
      <c r="Z10" s="65">
        <f t="shared" si="10"/>
        <v>0</v>
      </c>
      <c r="AA10" s="58"/>
      <c r="AB10" s="65">
        <f t="shared" si="11"/>
        <v>0</v>
      </c>
      <c r="AC10" s="58"/>
      <c r="AD10" s="65">
        <f t="shared" si="12"/>
        <v>0</v>
      </c>
      <c r="AE10" s="58"/>
      <c r="AF10" s="65">
        <f t="shared" si="13"/>
        <v>0</v>
      </c>
      <c r="AG10" s="58"/>
      <c r="AH10" s="67">
        <f t="shared" si="14"/>
        <v>0</v>
      </c>
      <c r="AI10" s="58"/>
      <c r="AJ10" s="65">
        <f t="shared" si="15"/>
        <v>0</v>
      </c>
      <c r="AK10" s="58"/>
      <c r="AL10" s="65">
        <f t="shared" si="15"/>
        <v>0</v>
      </c>
      <c r="AM10" s="58"/>
      <c r="AN10" s="65">
        <f t="shared" si="15"/>
        <v>0</v>
      </c>
      <c r="AO10" s="58"/>
      <c r="AP10" s="65">
        <f t="shared" si="15"/>
        <v>0</v>
      </c>
      <c r="AQ10" s="58"/>
      <c r="AR10" s="65">
        <f t="shared" si="16"/>
        <v>0</v>
      </c>
      <c r="AS10" s="58"/>
      <c r="AT10" s="65">
        <f t="shared" si="17"/>
        <v>0</v>
      </c>
      <c r="AU10" s="58"/>
      <c r="AV10" s="65">
        <f t="shared" si="18"/>
        <v>0</v>
      </c>
      <c r="AW10" s="58"/>
      <c r="AX10" s="65">
        <f t="shared" si="19"/>
        <v>0</v>
      </c>
      <c r="AY10" s="58"/>
      <c r="AZ10" s="65">
        <f t="shared" si="20"/>
        <v>0</v>
      </c>
      <c r="BA10" s="58"/>
      <c r="BB10" s="65">
        <f t="shared" si="21"/>
        <v>0</v>
      </c>
      <c r="BC10" s="58"/>
      <c r="BD10" s="65">
        <f t="shared" si="22"/>
        <v>0</v>
      </c>
      <c r="BE10" s="59"/>
      <c r="BF10" s="67">
        <f t="shared" si="39"/>
        <v>0</v>
      </c>
      <c r="BG10" s="60"/>
      <c r="BH10" s="65">
        <f t="shared" si="23"/>
        <v>0</v>
      </c>
      <c r="BI10" s="60"/>
      <c r="BJ10" s="65">
        <f t="shared" si="40"/>
        <v>0</v>
      </c>
      <c r="BK10" s="60"/>
      <c r="BL10" s="65">
        <f t="shared" si="24"/>
        <v>0</v>
      </c>
      <c r="BM10" s="60"/>
      <c r="BN10" s="65">
        <f t="shared" si="25"/>
        <v>0</v>
      </c>
      <c r="BO10" s="60"/>
      <c r="BP10" s="65">
        <f t="shared" si="26"/>
        <v>0</v>
      </c>
      <c r="BQ10" s="60"/>
      <c r="BR10" s="65">
        <f t="shared" si="27"/>
        <v>0</v>
      </c>
      <c r="BS10" s="60"/>
      <c r="BT10" s="65">
        <f t="shared" si="42"/>
        <v>0</v>
      </c>
      <c r="BU10" s="60"/>
      <c r="BV10" s="65">
        <f t="shared" si="29"/>
        <v>0</v>
      </c>
      <c r="BW10" s="60"/>
      <c r="BX10" s="65">
        <f t="shared" si="30"/>
        <v>0</v>
      </c>
      <c r="BY10" s="60"/>
      <c r="BZ10" s="67">
        <f t="shared" si="31"/>
        <v>0</v>
      </c>
      <c r="CA10" s="60"/>
      <c r="CB10" s="67">
        <f t="shared" si="32"/>
        <v>0</v>
      </c>
      <c r="CC10" s="60"/>
      <c r="CD10" s="67">
        <f t="shared" si="33"/>
        <v>0</v>
      </c>
      <c r="CE10" s="60"/>
      <c r="CF10" s="67">
        <f t="shared" si="34"/>
        <v>0</v>
      </c>
      <c r="CG10" s="60"/>
      <c r="CH10" s="67">
        <f t="shared" si="35"/>
        <v>0</v>
      </c>
      <c r="CI10" s="60"/>
      <c r="CJ10" s="67">
        <f t="shared" si="36"/>
        <v>0</v>
      </c>
      <c r="CK10" s="60"/>
      <c r="CL10" s="64">
        <f t="shared" si="37"/>
        <v>0</v>
      </c>
      <c r="CM10" s="65">
        <f t="shared" si="41"/>
        <v>0</v>
      </c>
      <c r="CN10" s="62">
        <v>0</v>
      </c>
      <c r="CO10" s="62">
        <v>0</v>
      </c>
      <c r="CP10" s="68"/>
      <c r="CQ10" s="67">
        <f>IF((CP10-CP9&lt;0), "",CP10-CP9)</f>
        <v>0</v>
      </c>
      <c r="CR10" s="68"/>
      <c r="CS10" s="67">
        <f t="shared" si="38"/>
        <v>0</v>
      </c>
      <c r="CT10" s="75"/>
      <c r="CU10" s="67">
        <f t="shared" si="38"/>
        <v>0</v>
      </c>
      <c r="CV10" s="68"/>
      <c r="CW10" s="67">
        <f t="shared" si="38"/>
        <v>0</v>
      </c>
    </row>
    <row r="11" spans="1:102" ht="25.5" customHeight="1" thickBot="1" x14ac:dyDescent="0.45">
      <c r="A11" s="63">
        <v>44416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4"/>
        <v>0</v>
      </c>
      <c r="M11" s="58"/>
      <c r="N11" s="64">
        <f t="shared" si="5"/>
        <v>0</v>
      </c>
      <c r="O11" s="58"/>
      <c r="P11" s="67">
        <f t="shared" ref="P11:P34" si="44">IF((O11-O10&lt;0), "",O11-O10)</f>
        <v>0</v>
      </c>
      <c r="Q11" s="58"/>
      <c r="R11" s="67">
        <f t="shared" si="6"/>
        <v>0</v>
      </c>
      <c r="S11" s="58"/>
      <c r="T11" s="67">
        <f t="shared" si="7"/>
        <v>0</v>
      </c>
      <c r="U11" s="58"/>
      <c r="V11" s="67">
        <f t="shared" si="8"/>
        <v>0</v>
      </c>
      <c r="W11" s="58"/>
      <c r="X11" s="65">
        <f t="shared" si="9"/>
        <v>0</v>
      </c>
      <c r="Y11" s="58"/>
      <c r="Z11" s="65">
        <f t="shared" si="10"/>
        <v>0</v>
      </c>
      <c r="AA11" s="58"/>
      <c r="AB11" s="65">
        <f t="shared" si="11"/>
        <v>0</v>
      </c>
      <c r="AC11" s="58"/>
      <c r="AD11" s="65">
        <f t="shared" si="12"/>
        <v>0</v>
      </c>
      <c r="AE11" s="58"/>
      <c r="AF11" s="65">
        <f t="shared" si="13"/>
        <v>0</v>
      </c>
      <c r="AG11" s="58"/>
      <c r="AH11" s="67">
        <f t="shared" si="14"/>
        <v>0</v>
      </c>
      <c r="AI11" s="58"/>
      <c r="AJ11" s="65">
        <f t="shared" si="15"/>
        <v>0</v>
      </c>
      <c r="AK11" s="58"/>
      <c r="AL11" s="65">
        <f t="shared" si="15"/>
        <v>0</v>
      </c>
      <c r="AM11" s="58"/>
      <c r="AN11" s="65">
        <f t="shared" si="15"/>
        <v>0</v>
      </c>
      <c r="AO11" s="58"/>
      <c r="AP11" s="65">
        <f t="shared" si="15"/>
        <v>0</v>
      </c>
      <c r="AQ11" s="58"/>
      <c r="AR11" s="65">
        <f t="shared" si="16"/>
        <v>0</v>
      </c>
      <c r="AS11" s="58"/>
      <c r="AT11" s="65">
        <f t="shared" si="17"/>
        <v>0</v>
      </c>
      <c r="AU11" s="58"/>
      <c r="AV11" s="65">
        <f t="shared" si="18"/>
        <v>0</v>
      </c>
      <c r="AW11" s="58"/>
      <c r="AX11" s="65">
        <f t="shared" si="19"/>
        <v>0</v>
      </c>
      <c r="AY11" s="58"/>
      <c r="AZ11" s="65">
        <f t="shared" si="20"/>
        <v>0</v>
      </c>
      <c r="BA11" s="58"/>
      <c r="BB11" s="65">
        <f t="shared" si="21"/>
        <v>0</v>
      </c>
      <c r="BC11" s="58"/>
      <c r="BD11" s="65">
        <f>IF((BC11-BC10&lt;0), "",(BC11-BC10)*1000)</f>
        <v>0</v>
      </c>
      <c r="BE11" s="59"/>
      <c r="BF11" s="67">
        <f t="shared" si="39"/>
        <v>0</v>
      </c>
      <c r="BG11" s="60"/>
      <c r="BH11" s="65">
        <f t="shared" si="23"/>
        <v>0</v>
      </c>
      <c r="BI11" s="60"/>
      <c r="BJ11" s="65">
        <f t="shared" si="40"/>
        <v>0</v>
      </c>
      <c r="BK11" s="60"/>
      <c r="BL11" s="65">
        <f t="shared" si="24"/>
        <v>0</v>
      </c>
      <c r="BM11" s="60"/>
      <c r="BN11" s="65">
        <f t="shared" si="25"/>
        <v>0</v>
      </c>
      <c r="BO11" s="60"/>
      <c r="BP11" s="65">
        <f t="shared" si="26"/>
        <v>0</v>
      </c>
      <c r="BQ11" s="60"/>
      <c r="BR11" s="65">
        <f t="shared" si="27"/>
        <v>0</v>
      </c>
      <c r="BS11" s="60"/>
      <c r="BT11" s="65">
        <f t="shared" si="42"/>
        <v>0</v>
      </c>
      <c r="BU11" s="60"/>
      <c r="BV11" s="65">
        <f t="shared" si="29"/>
        <v>0</v>
      </c>
      <c r="BW11" s="60"/>
      <c r="BX11" s="65">
        <f t="shared" si="30"/>
        <v>0</v>
      </c>
      <c r="BY11" s="60"/>
      <c r="BZ11" s="67">
        <f t="shared" si="31"/>
        <v>0</v>
      </c>
      <c r="CA11" s="60"/>
      <c r="CB11" s="67">
        <f t="shared" si="32"/>
        <v>0</v>
      </c>
      <c r="CC11" s="60"/>
      <c r="CD11" s="67">
        <f t="shared" si="33"/>
        <v>0</v>
      </c>
      <c r="CE11" s="60"/>
      <c r="CF11" s="67">
        <f t="shared" si="34"/>
        <v>0</v>
      </c>
      <c r="CG11" s="60"/>
      <c r="CH11" s="67">
        <f t="shared" si="35"/>
        <v>0</v>
      </c>
      <c r="CI11" s="60"/>
      <c r="CJ11" s="67">
        <f t="shared" si="36"/>
        <v>0</v>
      </c>
      <c r="CK11" s="60"/>
      <c r="CL11" s="64">
        <f t="shared" si="37"/>
        <v>0</v>
      </c>
      <c r="CM11" s="65">
        <f t="shared" si="41"/>
        <v>0</v>
      </c>
      <c r="CN11" s="62">
        <v>0</v>
      </c>
      <c r="CO11" s="62">
        <v>0</v>
      </c>
      <c r="CP11" s="68"/>
      <c r="CQ11" s="67">
        <f>IF((CP11-CP10&lt;0), "",CP11-CP10)</f>
        <v>0</v>
      </c>
      <c r="CR11" s="68"/>
      <c r="CS11" s="67">
        <f t="shared" si="38"/>
        <v>0</v>
      </c>
      <c r="CT11" s="75"/>
      <c r="CU11" s="67">
        <f t="shared" si="38"/>
        <v>0</v>
      </c>
      <c r="CV11" s="68"/>
      <c r="CW11" s="67">
        <f t="shared" si="38"/>
        <v>0</v>
      </c>
    </row>
    <row r="12" spans="1:102" ht="25.5" customHeight="1" thickBot="1" x14ac:dyDescent="0.45">
      <c r="A12" s="63">
        <v>44417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4"/>
        <v>0</v>
      </c>
      <c r="M12" s="58"/>
      <c r="N12" s="64">
        <f t="shared" si="5"/>
        <v>0</v>
      </c>
      <c r="O12" s="58"/>
      <c r="P12" s="67">
        <f t="shared" si="44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5"/>
        <v>0</v>
      </c>
      <c r="AM12" s="58"/>
      <c r="AN12" s="65">
        <f t="shared" si="15"/>
        <v>0</v>
      </c>
      <c r="AO12" s="58"/>
      <c r="AP12" s="65">
        <f t="shared" si="15"/>
        <v>0</v>
      </c>
      <c r="AQ12" s="58"/>
      <c r="AR12" s="65">
        <f t="shared" si="16"/>
        <v>0</v>
      </c>
      <c r="AS12" s="58"/>
      <c r="AT12" s="65">
        <f t="shared" si="17"/>
        <v>0</v>
      </c>
      <c r="AU12" s="58"/>
      <c r="AV12" s="65">
        <f t="shared" si="18"/>
        <v>0</v>
      </c>
      <c r="AW12" s="58"/>
      <c r="AX12" s="65">
        <f t="shared" si="19"/>
        <v>0</v>
      </c>
      <c r="AY12" s="58"/>
      <c r="AZ12" s="65">
        <f t="shared" si="20"/>
        <v>0</v>
      </c>
      <c r="BA12" s="58"/>
      <c r="BB12" s="65">
        <f t="shared" si="21"/>
        <v>0</v>
      </c>
      <c r="BC12" s="58"/>
      <c r="BD12" s="65">
        <f t="shared" si="22"/>
        <v>0</v>
      </c>
      <c r="BE12" s="59"/>
      <c r="BF12" s="67">
        <f t="shared" si="39"/>
        <v>0</v>
      </c>
      <c r="BG12" s="60"/>
      <c r="BH12" s="65">
        <f t="shared" si="23"/>
        <v>0</v>
      </c>
      <c r="BI12" s="60"/>
      <c r="BJ12" s="65">
        <f t="shared" si="40"/>
        <v>0</v>
      </c>
      <c r="BK12" s="60"/>
      <c r="BL12" s="65">
        <f t="shared" si="24"/>
        <v>0</v>
      </c>
      <c r="BM12" s="60"/>
      <c r="BN12" s="65">
        <f t="shared" si="25"/>
        <v>0</v>
      </c>
      <c r="BO12" s="60"/>
      <c r="BP12" s="65">
        <f t="shared" si="26"/>
        <v>0</v>
      </c>
      <c r="BQ12" s="60"/>
      <c r="BR12" s="65">
        <f t="shared" si="27"/>
        <v>0</v>
      </c>
      <c r="BS12" s="60"/>
      <c r="BT12" s="65">
        <f t="shared" si="42"/>
        <v>0</v>
      </c>
      <c r="BU12" s="60"/>
      <c r="BV12" s="65">
        <f t="shared" si="29"/>
        <v>0</v>
      </c>
      <c r="BW12" s="60"/>
      <c r="BX12" s="65">
        <f t="shared" si="30"/>
        <v>0</v>
      </c>
      <c r="BY12" s="60"/>
      <c r="BZ12" s="67">
        <f t="shared" si="31"/>
        <v>0</v>
      </c>
      <c r="CA12" s="60"/>
      <c r="CB12" s="67">
        <f t="shared" si="32"/>
        <v>0</v>
      </c>
      <c r="CC12" s="60"/>
      <c r="CD12" s="67">
        <f t="shared" si="33"/>
        <v>0</v>
      </c>
      <c r="CE12" s="60"/>
      <c r="CF12" s="67">
        <f t="shared" si="34"/>
        <v>0</v>
      </c>
      <c r="CG12" s="60"/>
      <c r="CH12" s="67">
        <f t="shared" si="35"/>
        <v>0</v>
      </c>
      <c r="CI12" s="60"/>
      <c r="CJ12" s="67">
        <f t="shared" si="36"/>
        <v>0</v>
      </c>
      <c r="CK12" s="60"/>
      <c r="CL12" s="64">
        <f t="shared" si="37"/>
        <v>0</v>
      </c>
      <c r="CM12" s="65">
        <f t="shared" si="41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8"/>
        <v>0</v>
      </c>
      <c r="CT12" s="75"/>
      <c r="CU12" s="67">
        <f t="shared" si="38"/>
        <v>0</v>
      </c>
      <c r="CV12" s="68"/>
      <c r="CW12" s="67">
        <f t="shared" si="38"/>
        <v>0</v>
      </c>
    </row>
    <row r="13" spans="1:102" ht="25.5" customHeight="1" thickBot="1" x14ac:dyDescent="0.45">
      <c r="A13" s="63">
        <v>44418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44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39"/>
        <v>0</v>
      </c>
      <c r="BG13" s="60"/>
      <c r="BH13" s="65">
        <f t="shared" si="23"/>
        <v>0</v>
      </c>
      <c r="BI13" s="60"/>
      <c r="BJ13" s="65">
        <f t="shared" si="40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2"/>
        <v>0</v>
      </c>
      <c r="BU13" s="60"/>
      <c r="BV13" s="65">
        <f t="shared" si="29"/>
        <v>0</v>
      </c>
      <c r="BW13" s="60"/>
      <c r="BX13" s="65">
        <f t="shared" si="30"/>
        <v>0</v>
      </c>
      <c r="BY13" s="60"/>
      <c r="BZ13" s="67">
        <f t="shared" si="31"/>
        <v>0</v>
      </c>
      <c r="CA13" s="60"/>
      <c r="CB13" s="67">
        <f t="shared" si="32"/>
        <v>0</v>
      </c>
      <c r="CC13" s="60"/>
      <c r="CD13" s="67">
        <f t="shared" si="33"/>
        <v>0</v>
      </c>
      <c r="CE13" s="60"/>
      <c r="CF13" s="67">
        <f t="shared" si="34"/>
        <v>0</v>
      </c>
      <c r="CG13" s="60"/>
      <c r="CH13" s="67">
        <f t="shared" si="35"/>
        <v>0</v>
      </c>
      <c r="CI13" s="60"/>
      <c r="CJ13" s="67">
        <f t="shared" si="36"/>
        <v>0</v>
      </c>
      <c r="CK13" s="60"/>
      <c r="CL13" s="64">
        <f t="shared" si="37"/>
        <v>0</v>
      </c>
      <c r="CM13" s="65">
        <f t="shared" si="41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44419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44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9"/>
        <v>0</v>
      </c>
      <c r="BG14" s="60"/>
      <c r="BH14" s="65">
        <f t="shared" si="23"/>
        <v>0</v>
      </c>
      <c r="BI14" s="60"/>
      <c r="BJ14" s="65">
        <f t="shared" si="40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9"/>
        <v>0</v>
      </c>
      <c r="BW14" s="60"/>
      <c r="BX14" s="65">
        <f t="shared" si="30"/>
        <v>0</v>
      </c>
      <c r="BY14" s="60"/>
      <c r="BZ14" s="67">
        <f t="shared" si="31"/>
        <v>0</v>
      </c>
      <c r="CA14" s="60"/>
      <c r="CB14" s="67">
        <f t="shared" si="32"/>
        <v>0</v>
      </c>
      <c r="CC14" s="60"/>
      <c r="CD14" s="67">
        <f t="shared" si="33"/>
        <v>0</v>
      </c>
      <c r="CE14" s="60"/>
      <c r="CF14" s="67">
        <f t="shared" si="34"/>
        <v>0</v>
      </c>
      <c r="CG14" s="60"/>
      <c r="CH14" s="67">
        <f t="shared" si="35"/>
        <v>0</v>
      </c>
      <c r="CI14" s="60"/>
      <c r="CJ14" s="67">
        <f t="shared" si="36"/>
        <v>0</v>
      </c>
      <c r="CK14" s="60"/>
      <c r="CL14" s="64">
        <f t="shared" si="37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44420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44421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44422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44423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44424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44425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44426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44427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44428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44429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44430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44431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44432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44433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44434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44435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44436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44437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44438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44439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C11" sqref="C1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44408</v>
      </c>
      <c r="B7" s="40">
        <v>0</v>
      </c>
      <c r="C7" s="40">
        <v>14</v>
      </c>
      <c r="D7" s="40">
        <v>48</v>
      </c>
      <c r="E7" s="41">
        <v>85</v>
      </c>
      <c r="F7" s="41">
        <v>5530</v>
      </c>
      <c r="G7" s="41">
        <v>0</v>
      </c>
      <c r="H7" s="41">
        <v>1628</v>
      </c>
      <c r="I7" s="41">
        <v>80</v>
      </c>
      <c r="J7" s="41">
        <v>385</v>
      </c>
      <c r="K7" s="42">
        <v>85</v>
      </c>
      <c r="L7" s="42">
        <v>35</v>
      </c>
      <c r="M7" s="42">
        <v>1379</v>
      </c>
      <c r="N7" s="39">
        <v>15</v>
      </c>
      <c r="O7" s="39">
        <v>0</v>
      </c>
      <c r="P7" s="39">
        <v>85</v>
      </c>
      <c r="Q7" s="39">
        <v>4003</v>
      </c>
      <c r="R7" s="78">
        <v>70</v>
      </c>
      <c r="S7" s="78">
        <v>200</v>
      </c>
    </row>
    <row r="8" spans="1:20" x14ac:dyDescent="0.25">
      <c r="A8" s="73">
        <v>44409</v>
      </c>
      <c r="B8" s="40">
        <v>0</v>
      </c>
      <c r="C8" s="40">
        <v>13</v>
      </c>
      <c r="D8" s="40">
        <v>44</v>
      </c>
      <c r="E8" s="41">
        <v>85</v>
      </c>
      <c r="F8" s="41">
        <v>5536</v>
      </c>
      <c r="G8" s="41">
        <v>0</v>
      </c>
      <c r="H8" s="41">
        <v>1632</v>
      </c>
      <c r="I8" s="41">
        <v>65</v>
      </c>
      <c r="J8" s="41">
        <v>386</v>
      </c>
      <c r="K8" s="42">
        <v>85</v>
      </c>
      <c r="L8" s="42">
        <v>35</v>
      </c>
      <c r="M8" s="42">
        <v>1380</v>
      </c>
      <c r="N8" s="39">
        <v>10</v>
      </c>
      <c r="O8" s="39">
        <v>0</v>
      </c>
      <c r="P8" s="39">
        <v>85</v>
      </c>
      <c r="Q8" s="39">
        <v>4007</v>
      </c>
      <c r="R8" s="78">
        <v>70</v>
      </c>
      <c r="S8" s="78">
        <v>200</v>
      </c>
      <c r="T8">
        <f>S8-S7</f>
        <v>0</v>
      </c>
    </row>
    <row r="9" spans="1:20" x14ac:dyDescent="0.25">
      <c r="A9" s="73">
        <v>44410</v>
      </c>
      <c r="B9" s="40">
        <v>0</v>
      </c>
      <c r="C9" s="40">
        <v>13</v>
      </c>
      <c r="D9" s="40">
        <v>44</v>
      </c>
      <c r="E9" s="41">
        <v>85</v>
      </c>
      <c r="F9" s="41">
        <v>5540</v>
      </c>
      <c r="G9" s="41">
        <v>0</v>
      </c>
      <c r="H9" s="41">
        <v>1634</v>
      </c>
      <c r="I9" s="41">
        <v>55</v>
      </c>
      <c r="J9" s="41">
        <v>388</v>
      </c>
      <c r="K9" s="42">
        <v>85</v>
      </c>
      <c r="L9" s="42">
        <v>35</v>
      </c>
      <c r="M9" s="42">
        <v>1382</v>
      </c>
      <c r="N9" s="39">
        <v>10</v>
      </c>
      <c r="O9" s="39">
        <v>0</v>
      </c>
      <c r="P9" s="39">
        <v>85</v>
      </c>
      <c r="Q9" s="39">
        <v>4011</v>
      </c>
      <c r="R9" s="78">
        <v>70</v>
      </c>
      <c r="S9" s="78">
        <v>200</v>
      </c>
      <c r="T9">
        <f t="shared" ref="T9:T39" si="0">S9-S8</f>
        <v>0</v>
      </c>
    </row>
    <row r="10" spans="1:20" x14ac:dyDescent="0.25">
      <c r="A10" s="73">
        <v>44411</v>
      </c>
      <c r="B10" s="40">
        <v>0</v>
      </c>
      <c r="C10" s="40">
        <v>13</v>
      </c>
      <c r="D10" s="40">
        <v>44</v>
      </c>
      <c r="E10" s="41">
        <v>85</v>
      </c>
      <c r="F10" s="41">
        <v>5545</v>
      </c>
      <c r="G10" s="41">
        <v>0</v>
      </c>
      <c r="H10" s="41">
        <v>1636</v>
      </c>
      <c r="I10" s="41">
        <v>45</v>
      </c>
      <c r="J10" s="41">
        <v>389</v>
      </c>
      <c r="K10" s="42">
        <v>85</v>
      </c>
      <c r="L10" s="42">
        <v>35</v>
      </c>
      <c r="M10" s="42">
        <v>1382</v>
      </c>
      <c r="N10" s="39">
        <v>10</v>
      </c>
      <c r="O10" s="39">
        <v>0</v>
      </c>
      <c r="P10" s="39">
        <v>85</v>
      </c>
      <c r="Q10" s="39">
        <v>4013</v>
      </c>
      <c r="R10" s="78">
        <v>70</v>
      </c>
      <c r="S10" s="78">
        <v>200</v>
      </c>
      <c r="T10">
        <f t="shared" si="0"/>
        <v>0</v>
      </c>
    </row>
    <row r="11" spans="1:20" x14ac:dyDescent="0.25">
      <c r="A11" s="73">
        <v>44412</v>
      </c>
      <c r="B11" s="40">
        <v>0</v>
      </c>
      <c r="C11" s="40">
        <v>0</v>
      </c>
      <c r="D11" s="40">
        <v>0</v>
      </c>
      <c r="E11" s="41"/>
      <c r="F11" s="41"/>
      <c r="G11" s="41"/>
      <c r="H11" s="41"/>
      <c r="I11" s="41"/>
      <c r="J11" s="41"/>
      <c r="K11" s="42"/>
      <c r="L11" s="42"/>
      <c r="M11" s="42"/>
      <c r="N11" s="39"/>
      <c r="O11" s="39"/>
      <c r="P11" s="39"/>
      <c r="Q11" s="39"/>
      <c r="R11" s="78"/>
      <c r="S11" s="78"/>
      <c r="T11">
        <f t="shared" si="0"/>
        <v>-200</v>
      </c>
    </row>
    <row r="12" spans="1:20" x14ac:dyDescent="0.25">
      <c r="A12" s="73">
        <v>44413</v>
      </c>
      <c r="B12" s="40">
        <v>0</v>
      </c>
      <c r="C12" s="40">
        <v>0</v>
      </c>
      <c r="D12" s="40">
        <v>0</v>
      </c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8"/>
      <c r="S12" s="78"/>
      <c r="T12">
        <f t="shared" si="0"/>
        <v>0</v>
      </c>
    </row>
    <row r="13" spans="1:20" x14ac:dyDescent="0.25">
      <c r="A13" s="73">
        <v>44414</v>
      </c>
      <c r="B13" s="40">
        <v>0</v>
      </c>
      <c r="C13" s="40">
        <v>0</v>
      </c>
      <c r="D13" s="40">
        <v>0</v>
      </c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8"/>
      <c r="S13" s="78"/>
      <c r="T13">
        <f t="shared" si="0"/>
        <v>0</v>
      </c>
    </row>
    <row r="14" spans="1:20" x14ac:dyDescent="0.25">
      <c r="A14" s="73">
        <v>44415</v>
      </c>
      <c r="B14" s="40">
        <v>0</v>
      </c>
      <c r="C14" s="40">
        <v>0</v>
      </c>
      <c r="D14" s="40">
        <v>0</v>
      </c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8"/>
      <c r="S14" s="78"/>
      <c r="T14">
        <f t="shared" si="0"/>
        <v>0</v>
      </c>
    </row>
    <row r="15" spans="1:20" x14ac:dyDescent="0.25">
      <c r="A15" s="73">
        <v>44416</v>
      </c>
      <c r="B15" s="40">
        <v>0</v>
      </c>
      <c r="C15" s="40">
        <v>0</v>
      </c>
      <c r="D15" s="40">
        <v>0</v>
      </c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8"/>
      <c r="S15" s="78"/>
      <c r="T15">
        <f t="shared" si="0"/>
        <v>0</v>
      </c>
    </row>
    <row r="16" spans="1:20" x14ac:dyDescent="0.25">
      <c r="A16" s="73">
        <v>44417</v>
      </c>
      <c r="B16" s="40">
        <v>0</v>
      </c>
      <c r="C16" s="40">
        <v>0</v>
      </c>
      <c r="D16" s="40">
        <v>0</v>
      </c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8"/>
      <c r="S16" s="78"/>
      <c r="T16">
        <f t="shared" si="0"/>
        <v>0</v>
      </c>
    </row>
    <row r="17" spans="1:20" x14ac:dyDescent="0.25">
      <c r="A17" s="73">
        <v>44418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0"/>
        <v>0</v>
      </c>
    </row>
    <row r="18" spans="1:20" x14ac:dyDescent="0.25">
      <c r="A18" s="73">
        <v>44419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0</v>
      </c>
    </row>
    <row r="19" spans="1:20" x14ac:dyDescent="0.25">
      <c r="A19" s="73">
        <v>44420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44421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44422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44423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44424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44425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44426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44427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44428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44429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44430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44431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44432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44433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44434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44435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44436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44437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44438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44439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44440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2021-08-04T18:33:08Z</dcterms:modified>
</cp:coreProperties>
</file>