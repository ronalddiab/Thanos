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6391" documentId="8_{5B502D95-7A37-4D5A-8B6B-374537CC2F26}" xr6:coauthVersionLast="47" xr6:coauthVersionMax="47" xr10:uidLastSave="{8EB51B83-4865-4C5D-9082-B0CB8F2563D9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2" l="1"/>
  <c r="V14" i="2"/>
  <c r="V15" i="2"/>
  <c r="M14" i="2"/>
  <c r="M15" i="2"/>
  <c r="M16" i="2"/>
  <c r="K13" i="6"/>
  <c r="I13" i="6"/>
  <c r="G13" i="6"/>
  <c r="E13" i="6"/>
  <c r="C13" i="6"/>
  <c r="V12" i="2"/>
  <c r="K12" i="6"/>
  <c r="I12" i="6"/>
  <c r="G12" i="6"/>
  <c r="E12" i="6"/>
  <c r="C12" i="6"/>
  <c r="V11" i="2"/>
  <c r="K11" i="6"/>
  <c r="I11" i="6"/>
  <c r="G11" i="6"/>
  <c r="E11" i="6"/>
  <c r="C11" i="6"/>
  <c r="C10" i="6"/>
  <c r="V10" i="2"/>
  <c r="N11" i="2"/>
  <c r="N12" i="2"/>
  <c r="L12" i="2"/>
  <c r="L19" i="2"/>
  <c r="L20" i="2"/>
  <c r="L21" i="2"/>
  <c r="M11" i="2"/>
  <c r="M12" i="2"/>
  <c r="L11" i="2"/>
  <c r="F11" i="2"/>
  <c r="F12" i="2"/>
  <c r="F19" i="2"/>
  <c r="F10" i="2"/>
  <c r="K10" i="6"/>
  <c r="I10" i="6"/>
  <c r="G10" i="6"/>
  <c r="E10" i="6"/>
  <c r="N10" i="2"/>
  <c r="M10" i="2"/>
  <c r="L10" i="2"/>
  <c r="L31" i="22"/>
  <c r="K31" i="22"/>
  <c r="I31" i="22"/>
  <c r="G31" i="22"/>
  <c r="I31" i="21"/>
  <c r="H31" i="21"/>
  <c r="G31" i="21"/>
  <c r="F31" i="21"/>
  <c r="E31" i="21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E33" i="6"/>
  <c r="Q39" i="2"/>
  <c r="K33" i="6"/>
  <c r="I33" i="6"/>
  <c r="G33" i="6"/>
  <c r="C33" i="6"/>
  <c r="K30" i="6"/>
  <c r="K31" i="6"/>
  <c r="K32" i="6"/>
  <c r="I30" i="6"/>
  <c r="I31" i="6"/>
  <c r="I32" i="6"/>
  <c r="G30" i="6"/>
  <c r="G31" i="6"/>
  <c r="G32" i="6"/>
  <c r="E30" i="6"/>
  <c r="E31" i="6"/>
  <c r="E32" i="6"/>
  <c r="C32" i="6"/>
  <c r="C30" i="6"/>
  <c r="C31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N18" i="2" s="1"/>
  <c r="I17" i="6"/>
  <c r="G17" i="6"/>
  <c r="L18" i="2" s="1"/>
  <c r="E17" i="6"/>
  <c r="F18" i="2" s="1"/>
  <c r="C17" i="6"/>
  <c r="N17" i="2"/>
  <c r="L17" i="2"/>
  <c r="F17" i="2"/>
  <c r="K15" i="6"/>
  <c r="N16" i="2" s="1"/>
  <c r="I15" i="6"/>
  <c r="G15" i="6"/>
  <c r="L16" i="2" s="1"/>
  <c r="E15" i="6"/>
  <c r="F16" i="2" s="1"/>
  <c r="C15" i="6"/>
  <c r="C14" i="6"/>
  <c r="N13" i="2"/>
  <c r="N14" i="2"/>
  <c r="K14" i="6"/>
  <c r="N15" i="2" s="1"/>
  <c r="M13" i="2"/>
  <c r="I14" i="6"/>
  <c r="L13" i="2"/>
  <c r="L14" i="2"/>
  <c r="G14" i="6"/>
  <c r="L15" i="2" s="1"/>
  <c r="F13" i="2"/>
  <c r="F14" i="2"/>
  <c r="E14" i="6"/>
  <c r="F15" i="2" s="1"/>
  <c r="O39" i="2"/>
  <c r="H39" i="2"/>
  <c r="P37" i="4"/>
  <c r="P38" i="4"/>
  <c r="P39" i="4"/>
  <c r="P40" i="4"/>
  <c r="I25" i="21"/>
  <c r="I26" i="21"/>
  <c r="I27" i="21"/>
  <c r="I28" i="21"/>
  <c r="I29" i="21"/>
  <c r="I30" i="21"/>
  <c r="H24" i="21"/>
  <c r="H25" i="21"/>
  <c r="H26" i="21"/>
  <c r="H27" i="21"/>
  <c r="H28" i="21"/>
  <c r="H29" i="21"/>
  <c r="H30" i="21"/>
  <c r="L30" i="22"/>
  <c r="K29" i="22"/>
  <c r="K30" i="22"/>
  <c r="G30" i="22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5" i="22"/>
  <c r="G16" i="22"/>
  <c r="G17" i="22"/>
  <c r="G18" i="22"/>
  <c r="G19" i="22"/>
  <c r="G20" i="22"/>
  <c r="G22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4" i="4" l="1"/>
  <c r="E4" i="4"/>
  <c r="C4" i="4"/>
  <c r="C31" i="4"/>
  <c r="G31" i="4"/>
  <c r="E31" i="4"/>
  <c r="E31" i="2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G21" i="22" l="1"/>
  <c r="G14" i="22"/>
  <c r="G24" i="22"/>
  <c r="G23" i="2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<sst xmlns="http://schemas.openxmlformats.org/spreadsheetml/2006/main" count="482" uniqueCount="186">
  <si>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</si>
  <si>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</si>
  <si>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</si>
  <si>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</si>
  <si>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</si>
  <si>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</si>
  <si>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</si>
  <si>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</si>
  <si>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</si>
  <si>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</si>
  <si>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</si>
  <si>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</si>
  <si>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</si>
  <si>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</si>
  <si>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</si>
  <si>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</si>
  <si>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</si>
  <si>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</si>
  <si>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</si>
  <si>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</si>
  <si>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</si>
  <si>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</si>
  <si>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</si>
  <si>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</si>
  <si>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</si>
  <si>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</si>
  <si>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</si>
  <si>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</si>
  <si>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</si>
  <si>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</si>
  <si>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</si>
  <si>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</si>
  <si>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</si>
  <si>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</si>
  <si>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</si>
  <si>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</si>
  <si>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</si>
  <si>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</si>
  <si>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</si>
  <si>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</si>
  <si>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</si>
  <si>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</si>
  <si>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</si>
  <si>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</si>
  <si>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</si>
  <si>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</si>
  <si>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</si>
  <si>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</si>
  <si>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</si>
  <si>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</si>
  <si>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</si>
  <si>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</si>
  <si>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</si>
  <si>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</si>
  <si>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</si>
  <si>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</si>
  <si>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</si>
  <si>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</si>
  <si>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</si>
  <si>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</si>
  <si>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</si>
  <si>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</si>
  <si>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</si>
  <si>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</si>
  <si>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</si>
  <si>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</si>
  <si>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</si>
  <si>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</si>
  <si>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</si>
  <si>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</si>
  <si>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</si>
  <si>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</si>
  <si>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</si>
  <si>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</si>
  <si>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</si>
  <si>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</si>
  <si>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</si>
  <si>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</si>
  <si>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</si>
  <si>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</si>
  <si>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</si>
  <si>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</si>
  <si>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</si>
  <si>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</si>
  <si>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</si>
  <si>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</si>
  <si>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</si>
  <si>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</si>
  <si>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</si>
  <si>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</si>
  <si>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</si>
  <si>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</si>
  <si>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</si>
  <si>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</si>
  <si>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</si>
  <si>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</si>
  <si>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</si>
  <si>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</si>
  <si>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</si>
  <si>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</si>
  <si>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</si>
  <si>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</si>
  <si>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</si>
  <si>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</si>
  <si>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</si>
  <si>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</si>
  <si>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</si>
  <si>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</si>
  <si>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</si>
  <si>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</si>
  <si>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</si>
  <si>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</si>
  <si>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</si>
  <si>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</si>
  <si>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</si>
  <si>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</si>
  <si>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</si>
  <si>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</si>
  <si>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</si>
  <si>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</si>
  <si>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</si>
  <si>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</si>
  <si>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</si>
  <si>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</si>
  <si>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</si>
  <si>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</si>
  <si>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</si>
  <si>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</si>
  <si>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</si>
  <si>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</si>
  <si>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</si>
  <si>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</si>
  <si>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NOV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</si>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</sst>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180</c:v>
                </c:pt>
                <c:pt idx="1">
                  <c:v>144</c:v>
                </c:pt>
                <c:pt idx="2">
                  <c:v>127</c:v>
                </c:pt>
                <c:pt idx="3">
                  <c:v>130.10000000000582</c:v>
                </c:pt>
                <c:pt idx="4">
                  <c:v>132.60000000000582</c:v>
                </c:pt>
                <c:pt idx="5">
                  <c:v>141.29999999998836</c:v>
                </c:pt>
                <c:pt idx="6">
                  <c:v>144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4848</c:v>
                </c:pt>
                <c:pt idx="1">
                  <c:v>4678</c:v>
                </c:pt>
                <c:pt idx="2">
                  <c:v>4725</c:v>
                </c:pt>
                <c:pt idx="3">
                  <c:v>5622</c:v>
                </c:pt>
                <c:pt idx="4">
                  <c:v>6396</c:v>
                </c:pt>
                <c:pt idx="5">
                  <c:v>3969</c:v>
                </c:pt>
                <c:pt idx="6">
                  <c:v>4922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8006</c:v>
                </c:pt>
                <c:pt idx="1">
                  <c:v>7492</c:v>
                </c:pt>
                <c:pt idx="2">
                  <c:v>7168</c:v>
                </c:pt>
                <c:pt idx="3">
                  <c:v>7780</c:v>
                </c:pt>
                <c:pt idx="4">
                  <c:v>7678</c:v>
                </c:pt>
                <c:pt idx="5">
                  <c:v>7526</c:v>
                </c:pt>
                <c:pt idx="6">
                  <c:v>7333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4201</c:v>
                </c:pt>
                <c:pt idx="1">
                  <c:v>3457</c:v>
                </c:pt>
                <c:pt idx="2">
                  <c:v>3555</c:v>
                </c:pt>
                <c:pt idx="3">
                  <c:v>3878</c:v>
                </c:pt>
                <c:pt idx="4">
                  <c:v>3989</c:v>
                </c:pt>
                <c:pt idx="5">
                  <c:v>3643</c:v>
                </c:pt>
                <c:pt idx="6">
                  <c:v>3510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671.98341000000005</c:v>
                </c:pt>
                <c:pt idx="1">
                  <c:v>223.99447000000001</c:v>
                </c:pt>
                <c:pt idx="2">
                  <c:v>223.99447000000001</c:v>
                </c:pt>
                <c:pt idx="3">
                  <c:v>224.4179</c:v>
                </c:pt>
                <c:pt idx="4">
                  <c:v>671.98341000000005</c:v>
                </c:pt>
                <c:pt idx="5">
                  <c:v>383.99052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J2" sqref="J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11</v>
      </c>
      <c r="D2" s="141">
        <v>2022</v>
      </c>
      <c r="E2" s="137">
        <f>submetering!E2+submetering!F2+submetering!G2</f>
        <v>17055</v>
      </c>
      <c r="F2" s="134">
        <v>1.05</v>
      </c>
      <c r="G2" s="134">
        <f>'Consommation mensuel énergie'!V10</f>
        <v>671.98341000000005</v>
      </c>
      <c r="H2" s="134">
        <v>12.24</v>
      </c>
      <c r="I2" s="134">
        <f>'Consommation mensuel énergie'!F10</f>
        <v>180</v>
      </c>
      <c r="J2" s="134">
        <v>11.4</v>
      </c>
      <c r="K2" s="137">
        <f>'Consommation mensuel énergie'!D10</f>
        <v>119</v>
      </c>
      <c r="L2" s="137">
        <f>'Consommation mensuel énergie'!E10</f>
        <v>174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submetering!E3+submetering!F3+submetering!G3</f>
        <v>16159</v>
      </c>
      <c r="F3" s="134">
        <v>1.05</v>
      </c>
      <c r="G3" s="134">
        <f>'Consommation mensuel énergie'!V11</f>
        <v>223.99447000000001</v>
      </c>
      <c r="H3" s="134">
        <v>12.24</v>
      </c>
      <c r="I3" s="134">
        <f>'Consommation mensuel énergie'!F11</f>
        <v>144</v>
      </c>
      <c r="J3" s="134">
        <v>11.4</v>
      </c>
      <c r="K3" s="137">
        <f>'Consommation mensuel énergie'!D11</f>
        <v>135</v>
      </c>
      <c r="L3" s="137">
        <f>'Consommation mensuel énergie'!E11</f>
        <v>199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submetering!E4+submetering!F4+submetering!G4</f>
        <v>15448</v>
      </c>
      <c r="F4" s="134">
        <v>1.05</v>
      </c>
      <c r="G4" s="134">
        <f>'Consommation mensuel énergie'!V12</f>
        <v>223.99447000000001</v>
      </c>
      <c r="H4" s="134">
        <v>12.24</v>
      </c>
      <c r="I4" s="134">
        <f>'Consommation mensuel énergie'!F12</f>
        <v>127</v>
      </c>
      <c r="J4" s="134">
        <v>11.4</v>
      </c>
      <c r="K4" s="137">
        <f>'Consommation mensuel énergie'!D12</f>
        <v>143</v>
      </c>
      <c r="L4" s="137">
        <f>'Consommation mensuel énergie'!E12</f>
        <v>208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submetering!E5+submetering!F5+submetering!G5</f>
        <v>17280</v>
      </c>
      <c r="F5" s="134">
        <v>1.05</v>
      </c>
      <c r="G5" s="134">
        <f>'Consommation mensuel énergie'!V13</f>
        <v>224.4179</v>
      </c>
      <c r="H5" s="134">
        <v>12.24</v>
      </c>
      <c r="I5" s="134">
        <f>'Consommation mensuel énergie'!F13</f>
        <v>130.10000000000582</v>
      </c>
      <c r="J5" s="134">
        <v>11.4</v>
      </c>
      <c r="K5" s="137">
        <f>'Consommation mensuel énergie'!D13</f>
        <v>105</v>
      </c>
      <c r="L5" s="137">
        <f>'Consommation mensuel énergie'!E13</f>
        <v>159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submetering!E6+submetering!F6+submetering!G6</f>
        <v>18063</v>
      </c>
      <c r="F6" s="134">
        <v>1.05</v>
      </c>
      <c r="G6" s="134">
        <f>'Consommation mensuel énergie'!V14</f>
        <v>671.98341000000005</v>
      </c>
      <c r="H6" s="134">
        <v>12.24</v>
      </c>
      <c r="I6" s="134">
        <f>'Consommation mensuel énergie'!F14</f>
        <v>132.60000000000582</v>
      </c>
      <c r="J6" s="134">
        <v>11.4</v>
      </c>
      <c r="K6" s="137">
        <f>'Consommation mensuel énergie'!D14</f>
        <v>112</v>
      </c>
      <c r="L6" s="137">
        <f>'Consommation mensuel énergie'!E14</f>
        <v>171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submetering!E7+submetering!F7+submetering!G7</f>
        <v>15138</v>
      </c>
      <c r="F7" s="134">
        <v>1.05</v>
      </c>
      <c r="G7" s="134">
        <f>'Consommation mensuel énergie'!V15</f>
        <v>383.99052</v>
      </c>
      <c r="H7" s="134">
        <v>12.24</v>
      </c>
      <c r="I7" s="134">
        <f>'Consommation mensuel énergie'!F15</f>
        <v>141.29999999998836</v>
      </c>
      <c r="J7" s="134">
        <v>11.4</v>
      </c>
      <c r="K7" s="137">
        <f>'Consommation mensuel énergie'!D15</f>
        <v>135</v>
      </c>
      <c r="L7" s="137">
        <f>'Consommation mensuel énergie'!E15</f>
        <v>184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submetering!E8+submetering!F8+submetering!G8</f>
        <v>15765</v>
      </c>
      <c r="F8" s="134">
        <v>1.05</v>
      </c>
      <c r="G8" s="134">
        <f>'Consommation mensuel énergie'!V16</f>
        <v>0</v>
      </c>
      <c r="H8" s="134">
        <v>12.24</v>
      </c>
      <c r="I8" s="134">
        <f>'Consommation mensuel énergie'!F16</f>
        <v>144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12.24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énergie'!V18</f>
        <v>0</v>
      </c>
      <c r="H10" s="134">
        <v>12.24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12.24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12.24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12.24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12.24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12.24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12.24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12.24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12.24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12.24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12.24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12.24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12.24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12.24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12.24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12.24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12.24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12.24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12.24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12.24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12.24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12.24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I30" sqref="I30:I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11</v>
      </c>
      <c r="D2" s="141">
        <v>2022</v>
      </c>
      <c r="E2" s="137">
        <f>'Consommation mensuel énergie'!L10</f>
        <v>4848</v>
      </c>
      <c r="F2" s="137">
        <f>'Consommation mensuel énergie'!M10</f>
        <v>8006</v>
      </c>
      <c r="G2" s="137">
        <f>'Consommation mensuel énergie'!N10</f>
        <v>4201</v>
      </c>
      <c r="H2" s="137">
        <f>'Consommation mensuel énergie'!D10</f>
        <v>119</v>
      </c>
      <c r="I2" s="137">
        <f>'Consommation mensuel énergie'!E10</f>
        <v>174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'Consommation mensuel énergie'!L11</f>
        <v>4678</v>
      </c>
      <c r="F3" s="137">
        <f>'Consommation mensuel énergie'!M11</f>
        <v>7492</v>
      </c>
      <c r="G3" s="137">
        <f>'Consommation mensuel énergie'!N14</f>
        <v>3989</v>
      </c>
      <c r="H3" s="137">
        <f>'Consommation mensuel énergie'!D11</f>
        <v>135</v>
      </c>
      <c r="I3" s="137">
        <f>'Consommation mensuel énergie'!E11</f>
        <v>199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'Consommation mensuel énergie'!L12</f>
        <v>4725</v>
      </c>
      <c r="F4" s="137">
        <f>'Consommation mensuel énergie'!M12</f>
        <v>7168</v>
      </c>
      <c r="G4" s="137">
        <f>'Consommation mensuel énergie'!N12</f>
        <v>3555</v>
      </c>
      <c r="H4" s="137">
        <f>'Consommation mensuel énergie'!D12</f>
        <v>143</v>
      </c>
      <c r="I4" s="137">
        <f>'Consommation mensuel énergie'!E12</f>
        <v>208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'Consommation mensuel énergie'!L13</f>
        <v>5622</v>
      </c>
      <c r="F5" s="137">
        <f>'Consommation mensuel énergie'!M13</f>
        <v>7780</v>
      </c>
      <c r="G5" s="137">
        <f>'Consommation mensuel énergie'!N13</f>
        <v>3878</v>
      </c>
      <c r="H5" s="137">
        <f>'Consommation mensuel énergie'!D13</f>
        <v>105</v>
      </c>
      <c r="I5" s="137">
        <f>'Consommation mensuel énergie'!E13</f>
        <v>159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'Consommation mensuel énergie'!L14</f>
        <v>6396</v>
      </c>
      <c r="F6" s="137">
        <f>'Consommation mensuel énergie'!M14</f>
        <v>7678</v>
      </c>
      <c r="G6" s="137">
        <f>'Consommation mensuel énergie'!N14</f>
        <v>3989</v>
      </c>
      <c r="H6" s="137">
        <f>'Consommation mensuel énergie'!D14</f>
        <v>112</v>
      </c>
      <c r="I6" s="137">
        <f>'Consommation mensuel énergie'!E14</f>
        <v>171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'Consommation mensuel énergie'!L15</f>
        <v>3969</v>
      </c>
      <c r="F7" s="137">
        <f>'Consommation mensuel énergie'!M15</f>
        <v>7526</v>
      </c>
      <c r="G7" s="137">
        <f>'Consommation mensuel énergie'!N15</f>
        <v>3643</v>
      </c>
      <c r="H7" s="137">
        <f>'Consommation mensuel énergie'!D15</f>
        <v>135</v>
      </c>
      <c r="I7" s="137">
        <f>'Consommation mensuel énergie'!E15</f>
        <v>184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'Consommation mensuel énergie'!L16</f>
        <v>4922</v>
      </c>
      <c r="F8" s="137">
        <f>'Consommation mensuel énergie'!M16</f>
        <v>7333</v>
      </c>
      <c r="G8" s="137">
        <f>'Consommation mensuel énergie'!N16</f>
        <v>3510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H39" activePane="bottomRight" state="frozen"/>
      <selection pane="bottomRight" activeCell="V12" sqref="V12:V1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44866</v>
      </c>
      <c r="C10" s="7"/>
      <c r="D10" s="143">
        <v>119</v>
      </c>
      <c r="E10" s="143">
        <v>174</v>
      </c>
      <c r="F10" s="13">
        <f>'Suivi EAU-ELEC'!E9</f>
        <v>180</v>
      </c>
      <c r="G10" s="11"/>
      <c r="H10" s="168">
        <f>F10*8.79</f>
        <v>1582.1999999999998</v>
      </c>
      <c r="I10" s="169"/>
      <c r="J10" s="169"/>
      <c r="K10" s="60">
        <v>42278</v>
      </c>
      <c r="L10" s="90">
        <f>'Suivi EAU-ELEC'!G9</f>
        <v>4848</v>
      </c>
      <c r="M10" s="91">
        <f>'Suivi EAU-ELEC'!I9</f>
        <v>8006</v>
      </c>
      <c r="N10" s="91">
        <f>'Suivi EAU-ELEC'!K9</f>
        <v>4201</v>
      </c>
      <c r="O10" s="91">
        <f>L10+M10+N10</f>
        <v>17055</v>
      </c>
      <c r="P10" s="11"/>
      <c r="Q10" s="34">
        <f>L10*0.6985+M10*0.9514+N10*1.3304</f>
        <v>16592.246800000001</v>
      </c>
      <c r="R10" s="11"/>
      <c r="S10" s="28"/>
      <c r="T10" s="11"/>
      <c r="U10" s="28"/>
      <c r="V10" s="146">
        <f>'Suvi Gaz'!O4</f>
        <v>671.98341000000005</v>
      </c>
      <c r="W10" s="11"/>
      <c r="X10" s="34">
        <f>V10*12.24</f>
        <v>8225.0769384000014</v>
      </c>
    </row>
    <row r="11" spans="1:24" ht="32.25" customHeight="1">
      <c r="A11" s="2"/>
      <c r="B11" s="6">
        <v>44867</v>
      </c>
      <c r="C11" s="7"/>
      <c r="D11" s="143">
        <v>135</v>
      </c>
      <c r="E11" s="143">
        <v>199</v>
      </c>
      <c r="F11" s="13">
        <f>'Suivi EAU-ELEC'!E10</f>
        <v>144</v>
      </c>
      <c r="G11" s="11"/>
      <c r="H11" s="168">
        <f t="shared" ref="H11:H21" si="0">F11*8.79</f>
        <v>1265.7599999999998</v>
      </c>
      <c r="I11" s="169"/>
      <c r="J11" s="169"/>
      <c r="K11" s="60">
        <v>42279</v>
      </c>
      <c r="L11" s="90">
        <f>'Suivi EAU-ELEC'!G10</f>
        <v>4678</v>
      </c>
      <c r="M11" s="91">
        <f>'Suivi EAU-ELEC'!I10</f>
        <v>7492</v>
      </c>
      <c r="N11" s="91">
        <f>'Suivi EAU-ELEC'!K10</f>
        <v>3457</v>
      </c>
      <c r="O11" s="91">
        <f>L11+M11+N11</f>
        <v>15627</v>
      </c>
      <c r="P11" s="11"/>
      <c r="Q11" s="34">
        <f>L11*0.6985+M11*0.9514+N14*1.3304</f>
        <v>15702.437400000003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9" si="1">V11*12.24</f>
        <v>2741.6923128000003</v>
      </c>
    </row>
    <row r="12" spans="1:24" ht="32.25" customHeight="1">
      <c r="A12" s="2"/>
      <c r="B12" s="6">
        <v>44868</v>
      </c>
      <c r="C12" s="7"/>
      <c r="D12" s="143">
        <v>143</v>
      </c>
      <c r="E12" s="143">
        <v>208</v>
      </c>
      <c r="F12" s="13">
        <f>'Suivi EAU-ELEC'!E11</f>
        <v>127</v>
      </c>
      <c r="G12" s="11"/>
      <c r="H12" s="168">
        <f t="shared" si="0"/>
        <v>1116.33</v>
      </c>
      <c r="I12" s="169"/>
      <c r="J12" s="169"/>
      <c r="K12" s="60">
        <v>42280</v>
      </c>
      <c r="L12" s="90">
        <f>'Suivi EAU-ELEC'!G11</f>
        <v>4725</v>
      </c>
      <c r="M12" s="91">
        <f>'Suivi EAU-ELEC'!I11</f>
        <v>7168</v>
      </c>
      <c r="N12" s="91">
        <f>'Suivi EAU-ELEC'!K11</f>
        <v>3555</v>
      </c>
      <c r="O12" s="91">
        <f>L12+M12+N12</f>
        <v>15448</v>
      </c>
      <c r="P12" s="11"/>
      <c r="Q12" s="34">
        <f>L12*0.6985+M12*0.9514+N12*1.3304</f>
        <v>14849.619700000001</v>
      </c>
      <c r="R12" s="11"/>
      <c r="S12" s="28"/>
      <c r="T12" s="11"/>
      <c r="U12" s="28"/>
      <c r="V12" s="146">
        <f>'Suvi Gaz'!O6</f>
        <v>223.99447000000001</v>
      </c>
      <c r="W12" s="11"/>
      <c r="X12" s="34">
        <f t="shared" si="1"/>
        <v>2741.6923128000003</v>
      </c>
    </row>
    <row r="13" spans="1:24" ht="32.25" customHeight="1">
      <c r="A13" s="2"/>
      <c r="B13" s="6">
        <v>44869</v>
      </c>
      <c r="C13" s="7"/>
      <c r="D13" s="143">
        <v>105</v>
      </c>
      <c r="E13" s="143">
        <v>159</v>
      </c>
      <c r="F13" s="13">
        <f>'Suivi EAU-ELEC'!E12</f>
        <v>130.10000000000582</v>
      </c>
      <c r="G13" s="11"/>
      <c r="H13" s="168">
        <f t="shared" si="0"/>
        <v>1143.5790000000511</v>
      </c>
      <c r="I13" s="169"/>
      <c r="J13" s="169"/>
      <c r="K13" s="60">
        <v>42281</v>
      </c>
      <c r="L13" s="90">
        <f>'Suivi EAU-ELEC'!G12</f>
        <v>5622</v>
      </c>
      <c r="M13" s="91">
        <f>'Suivi EAU-ELEC'!I12</f>
        <v>7780</v>
      </c>
      <c r="N13" s="91">
        <f>'Suivi EAU-ELEC'!K12</f>
        <v>3878</v>
      </c>
      <c r="O13" s="91">
        <f t="shared" ref="O13:O36" si="2">L13+M13+N13</f>
        <v>17280</v>
      </c>
      <c r="P13" s="11"/>
      <c r="Q13" s="34">
        <f t="shared" ref="Q13:Q36" si="3">L13*0.6985+M13*0.9514+N13*1.3304</f>
        <v>16488.1502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2746.8750960000002</v>
      </c>
    </row>
    <row r="14" spans="1:24" ht="32.25" customHeight="1">
      <c r="A14" s="2"/>
      <c r="B14" s="6">
        <v>44870</v>
      </c>
      <c r="C14" s="7"/>
      <c r="D14" s="143">
        <v>112</v>
      </c>
      <c r="E14" s="143">
        <v>171</v>
      </c>
      <c r="F14" s="13">
        <f>'Suivi EAU-ELEC'!E13</f>
        <v>132.60000000000582</v>
      </c>
      <c r="G14" s="12"/>
      <c r="H14" s="168">
        <f t="shared" si="0"/>
        <v>1165.554000000051</v>
      </c>
      <c r="I14" s="169"/>
      <c r="J14" s="169"/>
      <c r="K14" s="60">
        <v>42282</v>
      </c>
      <c r="L14" s="90">
        <f>'Suivi EAU-ELEC'!G13</f>
        <v>6396</v>
      </c>
      <c r="M14" s="91">
        <f>'Suivi EAU-ELEC'!I13</f>
        <v>7678</v>
      </c>
      <c r="N14" s="91">
        <f>'Suivi EAU-ELEC'!K13</f>
        <v>3989</v>
      </c>
      <c r="O14" s="91">
        <f t="shared" si="2"/>
        <v>18063</v>
      </c>
      <c r="P14" s="12"/>
      <c r="Q14" s="34">
        <f t="shared" si="3"/>
        <v>17079.4208</v>
      </c>
      <c r="R14" s="12"/>
      <c r="S14" s="28"/>
      <c r="T14" s="12"/>
      <c r="U14" s="28"/>
      <c r="V14" s="146">
        <f>'Suvi Gaz'!O8</f>
        <v>671.98341000000005</v>
      </c>
      <c r="W14" s="11"/>
      <c r="X14" s="34">
        <f t="shared" si="1"/>
        <v>8225.0769384000014</v>
      </c>
    </row>
    <row r="15" spans="1:24" ht="32.25" customHeight="1">
      <c r="A15" s="5"/>
      <c r="B15" s="6">
        <v>44871</v>
      </c>
      <c r="C15" s="7"/>
      <c r="D15" s="143">
        <v>135</v>
      </c>
      <c r="E15" s="143">
        <v>184</v>
      </c>
      <c r="F15" s="13">
        <f>'Suivi EAU-ELEC'!E14</f>
        <v>141.29999999998836</v>
      </c>
      <c r="G15" s="11"/>
      <c r="H15" s="168">
        <f t="shared" si="0"/>
        <v>1242.0269999998975</v>
      </c>
      <c r="I15" s="169"/>
      <c r="J15" s="169"/>
      <c r="K15" s="60">
        <v>42283</v>
      </c>
      <c r="L15" s="90">
        <f>'Suivi EAU-ELEC'!G14</f>
        <v>3969</v>
      </c>
      <c r="M15" s="91">
        <f>'Suivi EAU-ELEC'!I14</f>
        <v>7526</v>
      </c>
      <c r="N15" s="91">
        <f>'Suivi EAU-ELEC'!K14</f>
        <v>3643</v>
      </c>
      <c r="O15" s="91">
        <f t="shared" si="2"/>
        <v>15138</v>
      </c>
      <c r="P15" s="12"/>
      <c r="Q15" s="34">
        <f>L15*0.6985+M15*0.9514+N15*1.3304</f>
        <v>14779.230100000001</v>
      </c>
      <c r="R15" s="12"/>
      <c r="S15" s="28"/>
      <c r="T15" s="12"/>
      <c r="U15" s="28"/>
      <c r="V15" s="146">
        <f>'Suvi Gaz'!O9</f>
        <v>383.99052</v>
      </c>
      <c r="W15" s="11"/>
      <c r="X15" s="34">
        <f t="shared" si="1"/>
        <v>4700.0439648000001</v>
      </c>
    </row>
    <row r="16" spans="1:24" ht="32.25" customHeight="1">
      <c r="A16" s="5"/>
      <c r="B16" s="6">
        <v>44872</v>
      </c>
      <c r="C16" s="7"/>
      <c r="D16" s="143"/>
      <c r="E16" s="143"/>
      <c r="F16" s="13">
        <f>'Suivi EAU-ELEC'!E15</f>
        <v>144</v>
      </c>
      <c r="G16" s="11"/>
      <c r="H16" s="168">
        <f t="shared" si="0"/>
        <v>1265.7599999999998</v>
      </c>
      <c r="I16" s="169"/>
      <c r="J16" s="169"/>
      <c r="K16" s="60">
        <v>42284</v>
      </c>
      <c r="L16" s="90">
        <f>'Suivi EAU-ELEC'!G15</f>
        <v>4922</v>
      </c>
      <c r="M16" s="91">
        <f>'Suivi EAU-ELEC'!I15</f>
        <v>7333</v>
      </c>
      <c r="N16" s="91">
        <f>'Suivi EAU-ELEC'!K15</f>
        <v>3510</v>
      </c>
      <c r="O16" s="91">
        <f t="shared" si="2"/>
        <v>15765</v>
      </c>
      <c r="P16" s="11"/>
      <c r="Q16" s="34">
        <f t="shared" si="3"/>
        <v>15084.3372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44873</v>
      </c>
      <c r="C17" s="7"/>
      <c r="D17" s="143"/>
      <c r="E17" s="143"/>
      <c r="F17" s="13">
        <f>'Suivi EAU-ELEC'!E16</f>
        <v>0</v>
      </c>
      <c r="G17" s="11"/>
      <c r="H17" s="168">
        <f t="shared" si="0"/>
        <v>0</v>
      </c>
      <c r="I17" s="169"/>
      <c r="J17" s="169"/>
      <c r="K17" s="60">
        <v>42285</v>
      </c>
      <c r="L17" s="90">
        <f>'Suivi EAU-ELEC'!G16</f>
        <v>0</v>
      </c>
      <c r="M17" s="91"/>
      <c r="N17" s="91">
        <f>'Suivi EAU-ELEC'!K16</f>
        <v>0</v>
      </c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44874</v>
      </c>
      <c r="C18" s="7"/>
      <c r="D18" s="143"/>
      <c r="E18" s="143"/>
      <c r="F18" s="13">
        <f>'Suivi EAU-ELEC'!E17</f>
        <v>0</v>
      </c>
      <c r="G18" s="11"/>
      <c r="H18" s="168">
        <f t="shared" si="0"/>
        <v>0</v>
      </c>
      <c r="I18" s="169"/>
      <c r="J18" s="169"/>
      <c r="K18" s="60">
        <v>42286</v>
      </c>
      <c r="L18" s="90">
        <f>'Suivi EAU-ELEC'!G17</f>
        <v>0</v>
      </c>
      <c r="M18" s="91"/>
      <c r="N18" s="91">
        <f>'Suivi EAU-ELEC'!K17</f>
        <v>0</v>
      </c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44875</v>
      </c>
      <c r="C19" s="7"/>
      <c r="D19" s="143"/>
      <c r="E19" s="143"/>
      <c r="F19" s="13">
        <f>'Suivi EAU-ELEC'!E18</f>
        <v>0</v>
      </c>
      <c r="G19" s="12"/>
      <c r="H19" s="168">
        <f t="shared" si="0"/>
        <v>0</v>
      </c>
      <c r="I19" s="169"/>
      <c r="J19" s="169"/>
      <c r="K19" s="60">
        <v>42287</v>
      </c>
      <c r="L19" s="90">
        <f>'Suivi EAU-ELEC'!G18</f>
        <v>0</v>
      </c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44876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>
        <f>'Suivi EAU-ELEC'!G19</f>
        <v>0</v>
      </c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44877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>
        <f>'Suivi EAU-ELEC'!G20</f>
        <v>0</v>
      </c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44878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44879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44880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44881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44882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44883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44884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44885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44886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44887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44888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44889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44890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44891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44892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44893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44894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44895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>L39+M39+N39</f>
        <v>0</v>
      </c>
      <c r="P39" s="11"/>
      <c r="Q39" s="34">
        <f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749</v>
      </c>
      <c r="E40" s="8">
        <f>SUM(E10:E39)</f>
        <v>1095</v>
      </c>
      <c r="F40" s="152">
        <f>SUM(F10:F39)</f>
        <v>999</v>
      </c>
      <c r="G40" s="1"/>
      <c r="H40" s="249">
        <f>SUM(H10:H39)</f>
        <v>8781.2099999999991</v>
      </c>
      <c r="I40" s="250"/>
      <c r="J40" s="251"/>
      <c r="K40" s="1"/>
      <c r="L40" s="53">
        <f>SUM(L10:L39)</f>
        <v>35160</v>
      </c>
      <c r="M40" s="53">
        <f>SUM(M10:M39)</f>
        <v>52983</v>
      </c>
      <c r="N40" s="54">
        <f>SUM(N10:N39)</f>
        <v>26233</v>
      </c>
      <c r="O40" s="55">
        <f>SUM(O10:O39)</f>
        <v>114376</v>
      </c>
      <c r="P40" s="31"/>
      <c r="Q40" s="34">
        <f t="shared" ref="Q40" si="6">L40*0.6985+M40*0.9514+N40*1.3304</f>
        <v>109867.66940000001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2400.36418</v>
      </c>
      <c r="W40" s="31"/>
      <c r="X40" s="32">
        <f>SUM(X10:X39)</f>
        <v>29380.457563200001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35160</v>
      </c>
      <c r="J43" s="210"/>
      <c r="K43" s="211"/>
      <c r="L43" s="170">
        <f>I43*H43</f>
        <v>24559.260000000002</v>
      </c>
      <c r="M43" s="171"/>
      <c r="N43" s="227">
        <f>L43+L44+L45</f>
        <v>109867.66940000001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52983</v>
      </c>
      <c r="J44" s="210"/>
      <c r="K44" s="211"/>
      <c r="L44" s="170">
        <f>I44*H44</f>
        <v>50408.0262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26233</v>
      </c>
      <c r="J45" s="241"/>
      <c r="K45" s="242"/>
      <c r="L45" s="170">
        <f>I45*H45</f>
        <v>34900.383200000004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142827.97022000002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999</v>
      </c>
      <c r="J47" s="202"/>
      <c r="K47" s="203"/>
      <c r="L47" s="207">
        <f>I47*H47</f>
        <v>8781.2099999999991</v>
      </c>
      <c r="M47" s="208"/>
      <c r="N47" s="224">
        <f>L47</f>
        <v>8781.2099999999991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12.24</v>
      </c>
      <c r="I48" s="199">
        <f>V40</f>
        <v>2400.36418</v>
      </c>
      <c r="J48" s="239"/>
      <c r="K48" s="200"/>
      <c r="L48" s="199">
        <f>I48*H48</f>
        <v>29380.457563200001</v>
      </c>
      <c r="M48" s="200"/>
      <c r="N48" s="221">
        <f>L48</f>
        <v>29380.457563200001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11" activePane="bottomRight" state="frozen"/>
      <selection pane="bottomRight" activeCell="B13" sqref="B13:K1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44866</v>
      </c>
      <c r="B9" s="116">
        <v>2569</v>
      </c>
      <c r="C9" s="115">
        <v>0</v>
      </c>
      <c r="D9" s="57">
        <v>172580</v>
      </c>
      <c r="E9" s="50">
        <v>180</v>
      </c>
      <c r="F9" s="51">
        <v>12634618</v>
      </c>
      <c r="G9" s="50">
        <v>4848</v>
      </c>
      <c r="H9" s="51">
        <v>21612801</v>
      </c>
      <c r="I9" s="50">
        <v>8006</v>
      </c>
      <c r="J9" s="51">
        <v>9466063</v>
      </c>
      <c r="K9" s="50">
        <v>4201</v>
      </c>
    </row>
    <row r="10" spans="1:12" ht="19.5">
      <c r="A10" s="59">
        <v>44867</v>
      </c>
      <c r="B10" s="116">
        <v>2569</v>
      </c>
      <c r="C10" s="115">
        <f>B10-B9</f>
        <v>0</v>
      </c>
      <c r="D10" s="57">
        <v>172724</v>
      </c>
      <c r="E10" s="50">
        <f>D10-D9</f>
        <v>144</v>
      </c>
      <c r="F10" s="51">
        <v>12639296</v>
      </c>
      <c r="G10" s="50">
        <f>F10-F9</f>
        <v>4678</v>
      </c>
      <c r="H10" s="51">
        <v>21620293</v>
      </c>
      <c r="I10" s="50">
        <f>H10-H9</f>
        <v>7492</v>
      </c>
      <c r="J10" s="51">
        <v>9469520</v>
      </c>
      <c r="K10" s="50">
        <f>J10-J9</f>
        <v>3457</v>
      </c>
    </row>
    <row r="11" spans="1:12" ht="19.5">
      <c r="A11" s="59">
        <v>44868</v>
      </c>
      <c r="B11" s="116">
        <v>2569</v>
      </c>
      <c r="C11" s="115">
        <f>B11-B10</f>
        <v>0</v>
      </c>
      <c r="D11" s="57">
        <v>172851</v>
      </c>
      <c r="E11" s="50">
        <f>D11-D10</f>
        <v>127</v>
      </c>
      <c r="F11" s="51">
        <v>12644021</v>
      </c>
      <c r="G11" s="50">
        <f>F11-F10</f>
        <v>4725</v>
      </c>
      <c r="H11" s="51">
        <v>21627461</v>
      </c>
      <c r="I11" s="50">
        <f>H11-H10</f>
        <v>7168</v>
      </c>
      <c r="J11" s="51">
        <v>9473075</v>
      </c>
      <c r="K11" s="50">
        <f>J11-J10</f>
        <v>3555</v>
      </c>
    </row>
    <row r="12" spans="1:12" ht="19.5">
      <c r="A12" s="59">
        <v>44869</v>
      </c>
      <c r="B12" s="116">
        <v>2569</v>
      </c>
      <c r="C12" s="115">
        <f>B12-B11</f>
        <v>0</v>
      </c>
      <c r="D12" s="57">
        <v>172981.1</v>
      </c>
      <c r="E12" s="50">
        <f>D12-D11</f>
        <v>130.10000000000582</v>
      </c>
      <c r="F12" s="51">
        <v>12649643</v>
      </c>
      <c r="G12" s="50">
        <f>F12-F11</f>
        <v>5622</v>
      </c>
      <c r="H12" s="51">
        <v>21635241</v>
      </c>
      <c r="I12" s="50">
        <f>H12-H11</f>
        <v>7780</v>
      </c>
      <c r="J12" s="51">
        <v>9476953</v>
      </c>
      <c r="K12" s="50">
        <f>J12-J11</f>
        <v>3878</v>
      </c>
    </row>
    <row r="13" spans="1:12" ht="19.5">
      <c r="A13" s="59">
        <v>44870</v>
      </c>
      <c r="B13" s="116">
        <v>2569</v>
      </c>
      <c r="C13" s="115">
        <f>B13-B12</f>
        <v>0</v>
      </c>
      <c r="D13" s="57">
        <v>173113.7</v>
      </c>
      <c r="E13" s="50">
        <f>D13-D12</f>
        <v>132.60000000000582</v>
      </c>
      <c r="F13" s="51">
        <v>12656039</v>
      </c>
      <c r="G13" s="50">
        <f>F13-F12</f>
        <v>6396</v>
      </c>
      <c r="H13" s="51">
        <v>21642919</v>
      </c>
      <c r="I13" s="50">
        <f>H13-H12</f>
        <v>7678</v>
      </c>
      <c r="J13" s="51">
        <v>9480942</v>
      </c>
      <c r="K13" s="50">
        <f>J13-J12</f>
        <v>3989</v>
      </c>
    </row>
    <row r="14" spans="1:12" ht="19.5">
      <c r="A14" s="59">
        <v>44871</v>
      </c>
      <c r="B14" s="116">
        <v>2569</v>
      </c>
      <c r="C14" s="115">
        <f t="shared" ref="C11:C38" si="0">B14-B13</f>
        <v>0</v>
      </c>
      <c r="D14" s="57">
        <v>173255</v>
      </c>
      <c r="E14" s="50">
        <f t="shared" ref="E11:E38" si="1">D14-D13</f>
        <v>141.29999999998836</v>
      </c>
      <c r="F14" s="51">
        <v>12660008</v>
      </c>
      <c r="G14" s="50">
        <f t="shared" ref="G11:H30" si="2">F14-F13</f>
        <v>3969</v>
      </c>
      <c r="H14" s="51">
        <v>21650445</v>
      </c>
      <c r="I14" s="50">
        <f t="shared" ref="I11:I38" si="3">H14-H13</f>
        <v>7526</v>
      </c>
      <c r="J14" s="51">
        <v>9484585</v>
      </c>
      <c r="K14" s="50">
        <f t="shared" ref="K11:L30" si="4">J14-J13</f>
        <v>3643</v>
      </c>
    </row>
    <row r="15" spans="1:12" ht="19.5">
      <c r="A15" s="59">
        <v>44872</v>
      </c>
      <c r="B15" s="116">
        <v>2569</v>
      </c>
      <c r="C15" s="115">
        <f t="shared" si="0"/>
        <v>0</v>
      </c>
      <c r="D15" s="57">
        <v>173399</v>
      </c>
      <c r="E15" s="50">
        <f t="shared" si="1"/>
        <v>144</v>
      </c>
      <c r="F15" s="51">
        <v>12664930</v>
      </c>
      <c r="G15" s="50">
        <f t="shared" si="2"/>
        <v>4922</v>
      </c>
      <c r="H15" s="51">
        <v>21657778</v>
      </c>
      <c r="I15" s="50">
        <f t="shared" si="3"/>
        <v>7333</v>
      </c>
      <c r="J15" s="51">
        <v>9488095</v>
      </c>
      <c r="K15" s="50">
        <f t="shared" si="4"/>
        <v>3510</v>
      </c>
    </row>
    <row r="16" spans="1:12" ht="19.5">
      <c r="A16" s="59">
        <v>44873</v>
      </c>
      <c r="B16" s="116"/>
      <c r="C16" s="115"/>
      <c r="D16" s="57"/>
      <c r="E16" s="50"/>
      <c r="F16" s="51"/>
      <c r="G16" s="50"/>
      <c r="H16" s="51"/>
      <c r="I16" s="50"/>
      <c r="J16" s="51"/>
      <c r="K16" s="50"/>
    </row>
    <row r="17" spans="1:29" ht="19.5">
      <c r="A17" s="59">
        <v>44874</v>
      </c>
      <c r="B17" s="116"/>
      <c r="C17" s="115">
        <f t="shared" si="0"/>
        <v>0</v>
      </c>
      <c r="D17" s="57"/>
      <c r="E17" s="50">
        <f t="shared" si="1"/>
        <v>0</v>
      </c>
      <c r="F17" s="51"/>
      <c r="G17" s="50">
        <f t="shared" si="2"/>
        <v>0</v>
      </c>
      <c r="H17" s="51"/>
      <c r="I17" s="50">
        <f t="shared" si="3"/>
        <v>0</v>
      </c>
      <c r="J17" s="51"/>
      <c r="K17" s="50">
        <f t="shared" si="4"/>
        <v>0</v>
      </c>
    </row>
    <row r="18" spans="1:29" ht="19.5">
      <c r="A18" s="59">
        <v>44875</v>
      </c>
      <c r="B18" s="116"/>
      <c r="C18" s="115">
        <f t="shared" si="0"/>
        <v>0</v>
      </c>
      <c r="D18" s="57"/>
      <c r="E18" s="50">
        <f t="shared" si="1"/>
        <v>0</v>
      </c>
      <c r="F18" s="51"/>
      <c r="G18" s="50">
        <f t="shared" si="2"/>
        <v>0</v>
      </c>
      <c r="H18" s="51"/>
      <c r="I18" s="50">
        <f t="shared" si="3"/>
        <v>0</v>
      </c>
      <c r="J18" s="51"/>
      <c r="K18" s="50">
        <f t="shared" si="4"/>
        <v>0</v>
      </c>
    </row>
    <row r="19" spans="1:29" ht="19.5">
      <c r="A19" s="59">
        <v>44876</v>
      </c>
      <c r="B19" s="116"/>
      <c r="C19" s="115">
        <f t="shared" si="0"/>
        <v>0</v>
      </c>
      <c r="D19" s="57"/>
      <c r="E19" s="50">
        <f t="shared" si="1"/>
        <v>0</v>
      </c>
      <c r="F19" s="51"/>
      <c r="G19" s="50">
        <f t="shared" si="2"/>
        <v>0</v>
      </c>
      <c r="H19" s="51"/>
      <c r="I19" s="50">
        <f t="shared" si="3"/>
        <v>0</v>
      </c>
      <c r="J19" s="51"/>
      <c r="K19" s="50">
        <f t="shared" si="4"/>
        <v>0</v>
      </c>
    </row>
    <row r="20" spans="1:29" ht="25.5">
      <c r="A20" s="59">
        <v>44877</v>
      </c>
      <c r="B20" s="116"/>
      <c r="C20" s="115">
        <f t="shared" si="0"/>
        <v>0</v>
      </c>
      <c r="D20" s="57"/>
      <c r="E20" s="50">
        <f t="shared" si="1"/>
        <v>0</v>
      </c>
      <c r="F20" s="51"/>
      <c r="G20" s="50">
        <f t="shared" si="2"/>
        <v>0</v>
      </c>
      <c r="H20" s="51"/>
      <c r="I20" s="50">
        <f t="shared" si="3"/>
        <v>0</v>
      </c>
      <c r="J20" s="51"/>
      <c r="K20" s="50">
        <f t="shared" si="4"/>
        <v>0</v>
      </c>
      <c r="L20" s="117" t="s">
        <v>18</v>
      </c>
      <c r="AC20" t="s">
        <v>56</v>
      </c>
    </row>
    <row r="21" spans="1:29" ht="19.5">
      <c r="A21" s="59">
        <v>44878</v>
      </c>
      <c r="B21" s="116"/>
      <c r="C21" s="115">
        <f t="shared" si="0"/>
        <v>0</v>
      </c>
      <c r="D21" s="57"/>
      <c r="E21" s="50">
        <f t="shared" si="1"/>
        <v>0</v>
      </c>
      <c r="F21" s="51"/>
      <c r="G21" s="50">
        <f t="shared" si="2"/>
        <v>0</v>
      </c>
      <c r="H21" s="51"/>
      <c r="I21" s="50">
        <f t="shared" si="3"/>
        <v>0</v>
      </c>
      <c r="J21" s="51"/>
      <c r="K21" s="50">
        <f t="shared" si="4"/>
        <v>0</v>
      </c>
    </row>
    <row r="22" spans="1:29" ht="19.5">
      <c r="A22" s="59">
        <v>44879</v>
      </c>
      <c r="B22" s="116"/>
      <c r="C22" s="115">
        <f t="shared" si="0"/>
        <v>0</v>
      </c>
      <c r="D22" s="57"/>
      <c r="E22" s="50">
        <f t="shared" si="1"/>
        <v>0</v>
      </c>
      <c r="F22" s="51"/>
      <c r="G22" s="50">
        <f t="shared" si="2"/>
        <v>0</v>
      </c>
      <c r="H22" s="51"/>
      <c r="I22" s="50">
        <f t="shared" si="3"/>
        <v>0</v>
      </c>
      <c r="J22" s="51"/>
      <c r="K22" s="50">
        <f t="shared" si="4"/>
        <v>0</v>
      </c>
    </row>
    <row r="23" spans="1:29" ht="19.5">
      <c r="A23" s="59">
        <v>44880</v>
      </c>
      <c r="B23" s="116"/>
      <c r="C23" s="115">
        <f t="shared" si="0"/>
        <v>0</v>
      </c>
      <c r="D23" s="57"/>
      <c r="E23" s="50">
        <f t="shared" si="1"/>
        <v>0</v>
      </c>
      <c r="F23" s="51"/>
      <c r="G23" s="50">
        <f t="shared" si="2"/>
        <v>0</v>
      </c>
      <c r="H23" s="51"/>
      <c r="I23" s="50">
        <f t="shared" si="3"/>
        <v>0</v>
      </c>
      <c r="J23" s="51"/>
      <c r="K23" s="50">
        <f t="shared" si="4"/>
        <v>0</v>
      </c>
    </row>
    <row r="24" spans="1:29" ht="19.5">
      <c r="A24" s="59">
        <v>44881</v>
      </c>
      <c r="B24" s="116"/>
      <c r="C24" s="115">
        <f t="shared" si="0"/>
        <v>0</v>
      </c>
      <c r="D24" s="57"/>
      <c r="E24" s="50">
        <f t="shared" si="1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44882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44883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44884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44885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44886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44887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44888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 t="shared" ref="G31:G38" si="5">F31-F30</f>
        <v>0</v>
      </c>
      <c r="H31" s="51"/>
      <c r="I31" s="50">
        <f t="shared" si="3"/>
        <v>0</v>
      </c>
      <c r="J31" s="51"/>
      <c r="K31" s="50">
        <f t="shared" ref="K31:K38" si="6">J31-J30</f>
        <v>0</v>
      </c>
    </row>
    <row r="32" spans="1:29" ht="19.5">
      <c r="A32" s="59">
        <v>44889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5"/>
        <v>0</v>
      </c>
      <c r="H32" s="51"/>
      <c r="I32" s="50">
        <f t="shared" si="3"/>
        <v>0</v>
      </c>
      <c r="J32" s="51"/>
      <c r="K32" s="50">
        <f t="shared" si="6"/>
        <v>0</v>
      </c>
    </row>
    <row r="33" spans="1:11" ht="19.5">
      <c r="A33" s="59">
        <v>44890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5"/>
        <v>0</v>
      </c>
      <c r="H33" s="51"/>
      <c r="I33" s="50">
        <f t="shared" si="3"/>
        <v>0</v>
      </c>
      <c r="J33" s="51"/>
      <c r="K33" s="50">
        <f t="shared" si="6"/>
        <v>0</v>
      </c>
    </row>
    <row r="34" spans="1:11" ht="19.5">
      <c r="A34" s="59">
        <v>44891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5"/>
        <v>0</v>
      </c>
      <c r="H34" s="51"/>
      <c r="I34" s="50">
        <f t="shared" si="3"/>
        <v>0</v>
      </c>
      <c r="J34" s="51"/>
      <c r="K34" s="50">
        <f t="shared" si="6"/>
        <v>0</v>
      </c>
    </row>
    <row r="35" spans="1:11" ht="19.5">
      <c r="A35" s="59">
        <v>44892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5"/>
        <v>0</v>
      </c>
      <c r="H35" s="51"/>
      <c r="I35" s="50">
        <f t="shared" si="3"/>
        <v>0</v>
      </c>
      <c r="J35" s="51"/>
      <c r="K35" s="50">
        <f t="shared" si="6"/>
        <v>0</v>
      </c>
    </row>
    <row r="36" spans="1:11" ht="19.5">
      <c r="A36" s="59">
        <v>44893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5"/>
        <v>0</v>
      </c>
      <c r="H36" s="51"/>
      <c r="I36" s="50">
        <f t="shared" si="3"/>
        <v>0</v>
      </c>
      <c r="J36" s="51"/>
      <c r="K36" s="50">
        <f t="shared" si="6"/>
        <v>0</v>
      </c>
    </row>
    <row r="37" spans="1:11" ht="19.5">
      <c r="A37" s="59">
        <v>44894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5"/>
        <v>0</v>
      </c>
      <c r="H37" s="51"/>
      <c r="I37" s="50">
        <f t="shared" si="3"/>
        <v>0</v>
      </c>
      <c r="J37" s="51"/>
      <c r="K37" s="50">
        <f t="shared" si="6"/>
        <v>0</v>
      </c>
    </row>
    <row r="38" spans="1:11" ht="19.5">
      <c r="A38" s="59">
        <v>44895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5"/>
        <v>0</v>
      </c>
      <c r="H38" s="51"/>
      <c r="I38" s="50">
        <f t="shared" si="3"/>
        <v>0</v>
      </c>
      <c r="J38" s="51"/>
      <c r="K38" s="50">
        <f t="shared" si="6"/>
        <v>0</v>
      </c>
    </row>
    <row r="39" spans="1:11" ht="19.5">
      <c r="A39" s="59">
        <v>44896</v>
      </c>
      <c r="B39" s="116"/>
      <c r="C39" s="115">
        <f>B39-B37</f>
        <v>0</v>
      </c>
      <c r="D39" s="57"/>
      <c r="E39" s="50">
        <f>D39-D37</f>
        <v>0</v>
      </c>
      <c r="F39" s="51"/>
      <c r="G39" s="50">
        <f>F39-F37</f>
        <v>0</v>
      </c>
      <c r="H39" s="51"/>
      <c r="I39" s="50">
        <f>H39-H37</f>
        <v>0</v>
      </c>
      <c r="J39" s="51"/>
      <c r="K39" s="50">
        <f>J39-J37</f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5" activePane="bottomRight" state="frozen"/>
      <selection pane="bottomRight" activeCell="B8" sqref="B8:H1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44866</v>
      </c>
      <c r="B4" s="41">
        <v>53</v>
      </c>
      <c r="C4" s="39">
        <f t="shared" ref="C4" si="0">IF(AC4&gt;0,((B4-R4)+(S4-B5)),IF(B5=0, ,(B4-B5)))</f>
        <v>3</v>
      </c>
      <c r="D4" s="41">
        <v>56</v>
      </c>
      <c r="E4" s="39">
        <f t="shared" ref="E4" si="1">IF(AC4&gt;0,((D4-U4)+(V4-D5)),IF(D5=0, ,(D4-D5)))</f>
        <v>7</v>
      </c>
      <c r="F4" s="41">
        <v>50</v>
      </c>
      <c r="G4" s="39">
        <f t="shared" ref="G4" si="2">IF(AC4&gt;0,((F4-X4)+(Y4-F5)),IF(F5=0, ,(F4-F5)))</f>
        <v>5</v>
      </c>
      <c r="H4" s="41">
        <v>51</v>
      </c>
      <c r="I4" s="39">
        <f>IF(AC4&gt;0,((H4-AA4)+(AB4-H5)),IF(H5=0, ,(H4-H5)))</f>
        <v>6</v>
      </c>
      <c r="J4" s="39">
        <f>B4+D4+F4+H4</f>
        <v>210</v>
      </c>
      <c r="K4" s="39">
        <f>J4/4</f>
        <v>52.5</v>
      </c>
      <c r="L4" s="39">
        <f>IF(AC4&gt;0,((K4-AD4)+(AE4-K5)),IF(K5=0, ,(K4-K5)))</f>
        <v>5.25</v>
      </c>
      <c r="M4" s="149">
        <f t="shared" ref="M4:M7" si="3">6049*4</f>
        <v>24196</v>
      </c>
      <c r="N4" s="39">
        <f>L4*M4/100</f>
        <v>1270.29</v>
      </c>
      <c r="O4" s="167">
        <f>N4*0.529</f>
        <v>671.98341000000005</v>
      </c>
      <c r="P4" s="42">
        <f>O4*12.24</f>
        <v>8225.0769384000014</v>
      </c>
      <c r="Q4" s="39">
        <v>2467</v>
      </c>
      <c r="R4" s="39">
        <v>50</v>
      </c>
      <c r="S4" s="39">
        <v>85</v>
      </c>
      <c r="T4" s="39">
        <v>2544</v>
      </c>
      <c r="U4" s="39">
        <v>50</v>
      </c>
      <c r="V4" s="39">
        <v>85</v>
      </c>
      <c r="W4" s="39">
        <v>3115</v>
      </c>
      <c r="X4" s="39">
        <v>45</v>
      </c>
      <c r="Y4" s="39">
        <v>85</v>
      </c>
      <c r="Z4" s="39">
        <v>3292</v>
      </c>
      <c r="AA4" s="39">
        <v>45</v>
      </c>
      <c r="AB4" s="39">
        <v>85</v>
      </c>
      <c r="AC4" s="39">
        <f t="shared" ref="AC4:AC25" si="4">Q4+T4+W4+Z4</f>
        <v>11418</v>
      </c>
      <c r="AD4" s="38">
        <f t="shared" ref="AD4:AD24" si="5">(R4+U4+X4+AA4)/4</f>
        <v>47.5</v>
      </c>
      <c r="AE4" s="38">
        <f t="shared" ref="AE4:AE24" si="6">(S4+V4+Y4+AB4)/4</f>
        <v>85</v>
      </c>
    </row>
    <row r="5" spans="1:31" ht="32.25" customHeight="1">
      <c r="A5" s="40">
        <v>44867</v>
      </c>
      <c r="B5" s="41">
        <v>85</v>
      </c>
      <c r="C5" s="39">
        <f t="shared" ref="C4:C35" si="7">IF(AC5&gt;0,((B5-R5)+(S5-B6)),IF(B6=0, ,(B5-B6)))</f>
        <v>3</v>
      </c>
      <c r="D5" s="41">
        <v>84</v>
      </c>
      <c r="E5" s="39">
        <f t="shared" ref="E4:E35" si="8">IF(AC5&gt;0,((D5-U5)+(V5-D6)),IF(D6=0, ,(D5-D6)))</f>
        <v>2</v>
      </c>
      <c r="F5" s="41">
        <v>85</v>
      </c>
      <c r="G5" s="39">
        <f t="shared" ref="G4:G35" si="9">IF(AC5&gt;0,((F5-X5)+(Y5-F6)),IF(F6=0, ,(F5-F6)))</f>
        <v>1</v>
      </c>
      <c r="H5" s="41">
        <v>85</v>
      </c>
      <c r="I5" s="39">
        <f>IF(AC5&gt;0,((H5-AA5)+(AB5-H6)),IF(H6=0, ,(H5-H6)))</f>
        <v>1</v>
      </c>
      <c r="J5" s="39">
        <f>B5+D5+F5+H5</f>
        <v>339</v>
      </c>
      <c r="K5" s="39">
        <f>J5/4</f>
        <v>84.75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6" si="10">O5*12.24</f>
        <v>2741.6923128000003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44868</v>
      </c>
      <c r="B6" s="41">
        <v>82</v>
      </c>
      <c r="C6" s="39">
        <f t="shared" si="7"/>
        <v>1</v>
      </c>
      <c r="D6" s="41">
        <v>82</v>
      </c>
      <c r="E6" s="39">
        <f t="shared" si="8"/>
        <v>2</v>
      </c>
      <c r="F6" s="41">
        <v>84</v>
      </c>
      <c r="G6" s="39">
        <f t="shared" si="9"/>
        <v>2</v>
      </c>
      <c r="H6" s="41">
        <v>84</v>
      </c>
      <c r="I6" s="39">
        <f t="shared" ref="I6:I36" si="11">IF(AC6&gt;0,((H6-AA6)+(AB6-H7)),IF(H7=0, ,(H6-H7)))</f>
        <v>2</v>
      </c>
      <c r="J6" s="39">
        <f t="shared" ref="J6:J42" si="12">B6+D6+F6+H6</f>
        <v>332</v>
      </c>
      <c r="K6" s="39">
        <f t="shared" ref="K6:K42" si="13">J6/4</f>
        <v>83</v>
      </c>
      <c r="L6" s="39">
        <f t="shared" ref="L6:L19" si="14">IF(AC6&gt;0,((K6-AD6)+(AE6-K7)),IF(K7=0, ,(K6-K7)))</f>
        <v>1.75</v>
      </c>
      <c r="M6" s="149">
        <f t="shared" si="3"/>
        <v>24196</v>
      </c>
      <c r="N6" s="39">
        <f t="shared" ref="N6:N42" si="15">L6*M6/100</f>
        <v>423.43</v>
      </c>
      <c r="O6" s="39">
        <f>N6*0.529</f>
        <v>223.99447000000001</v>
      </c>
      <c r="P6" s="42">
        <f t="shared" si="10"/>
        <v>2741.6923128000003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44869</v>
      </c>
      <c r="B7" s="41">
        <v>81</v>
      </c>
      <c r="C7" s="39">
        <f t="shared" si="7"/>
        <v>2</v>
      </c>
      <c r="D7" s="41">
        <v>80</v>
      </c>
      <c r="E7" s="39">
        <f t="shared" si="8"/>
        <v>1</v>
      </c>
      <c r="F7" s="41">
        <v>82</v>
      </c>
      <c r="G7" s="39">
        <f t="shared" si="9"/>
        <v>2</v>
      </c>
      <c r="H7" s="41">
        <v>82</v>
      </c>
      <c r="I7" s="39">
        <f t="shared" si="11"/>
        <v>2</v>
      </c>
      <c r="J7" s="39">
        <f t="shared" si="12"/>
        <v>325</v>
      </c>
      <c r="K7" s="39">
        <f t="shared" si="13"/>
        <v>81.25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2746.8750960000002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44870</v>
      </c>
      <c r="B8" s="41">
        <v>79</v>
      </c>
      <c r="C8" s="39">
        <f t="shared" si="7"/>
        <v>4</v>
      </c>
      <c r="D8" s="41">
        <v>79</v>
      </c>
      <c r="E8" s="39">
        <f t="shared" si="8"/>
        <v>7</v>
      </c>
      <c r="F8" s="41">
        <v>80</v>
      </c>
      <c r="G8" s="39">
        <f t="shared" si="9"/>
        <v>5</v>
      </c>
      <c r="H8" s="41">
        <v>80</v>
      </c>
      <c r="I8" s="39">
        <f t="shared" si="11"/>
        <v>5</v>
      </c>
      <c r="J8" s="39">
        <f t="shared" si="12"/>
        <v>318</v>
      </c>
      <c r="K8" s="39">
        <f t="shared" si="13"/>
        <v>79.5</v>
      </c>
      <c r="L8" s="39">
        <f t="shared" si="14"/>
        <v>5.25</v>
      </c>
      <c r="M8" s="149">
        <f>6049*4</f>
        <v>24196</v>
      </c>
      <c r="N8" s="39">
        <f t="shared" si="15"/>
        <v>1270.29</v>
      </c>
      <c r="O8" s="148">
        <f t="shared" ref="O8:O37" si="16">N8*0.529</f>
        <v>671.98341000000005</v>
      </c>
      <c r="P8" s="42">
        <f t="shared" si="10"/>
        <v>8225.0769384000014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44871</v>
      </c>
      <c r="B9" s="41">
        <v>75</v>
      </c>
      <c r="C9" s="39">
        <f t="shared" si="7"/>
        <v>3</v>
      </c>
      <c r="D9" s="41">
        <v>72</v>
      </c>
      <c r="E9" s="39">
        <f t="shared" si="8"/>
        <v>2</v>
      </c>
      <c r="F9" s="41">
        <v>75</v>
      </c>
      <c r="G9" s="39">
        <f t="shared" si="9"/>
        <v>2</v>
      </c>
      <c r="H9" s="41">
        <v>75</v>
      </c>
      <c r="I9" s="39">
        <f t="shared" si="11"/>
        <v>5</v>
      </c>
      <c r="J9" s="39">
        <f t="shared" si="12"/>
        <v>297</v>
      </c>
      <c r="K9" s="39">
        <f t="shared" si="13"/>
        <v>74.25</v>
      </c>
      <c r="L9" s="39">
        <f t="shared" si="14"/>
        <v>3</v>
      </c>
      <c r="M9" s="149">
        <f t="shared" ref="M9:M42" si="17">6049*4</f>
        <v>24196</v>
      </c>
      <c r="N9" s="39">
        <f t="shared" si="15"/>
        <v>725.88</v>
      </c>
      <c r="O9" s="39">
        <f t="shared" si="16"/>
        <v>383.99052</v>
      </c>
      <c r="P9" s="42">
        <f t="shared" si="10"/>
        <v>4700.0439648000001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44872</v>
      </c>
      <c r="B10" s="41">
        <v>72</v>
      </c>
      <c r="C10" s="39">
        <f t="shared" si="7"/>
        <v>0</v>
      </c>
      <c r="D10" s="41">
        <v>70</v>
      </c>
      <c r="E10" s="39">
        <f t="shared" si="8"/>
        <v>0</v>
      </c>
      <c r="F10" s="41">
        <v>73</v>
      </c>
      <c r="G10" s="39">
        <f t="shared" si="9"/>
        <v>0</v>
      </c>
      <c r="H10" s="41">
        <v>70</v>
      </c>
      <c r="I10" s="39">
        <f t="shared" si="11"/>
        <v>0</v>
      </c>
      <c r="J10" s="39">
        <f t="shared" si="12"/>
        <v>285</v>
      </c>
      <c r="K10" s="39">
        <f t="shared" si="13"/>
        <v>71.25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44873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44874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44875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44876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44877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44878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44879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44880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44881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44882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44883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44884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44885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44886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44887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44888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44889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44890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44891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44892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44893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44894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44895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44896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44897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40" si="30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4536.75</v>
      </c>
      <c r="O43" s="39">
        <f>N43*0.529</f>
        <v>2399.9407500000002</v>
      </c>
      <c r="P43" s="42">
        <f>O43*12.24</f>
        <v>29375.274780000003</v>
      </c>
      <c r="Q43" s="286">
        <f>SUM(Q4:Q42)</f>
        <v>2467</v>
      </c>
      <c r="R43" s="287"/>
      <c r="S43" s="288"/>
      <c r="T43" s="289">
        <f>SUM(T4:T42)</f>
        <v>2544</v>
      </c>
      <c r="U43" s="287"/>
      <c r="V43" s="288"/>
      <c r="W43" s="289">
        <f>SUM(W4:W42)</f>
        <v>3115</v>
      </c>
      <c r="X43" s="287"/>
      <c r="Y43" s="288"/>
      <c r="Z43" s="289">
        <f>SUM(Z4:Z42)</f>
        <v>3292</v>
      </c>
      <c r="AA43" s="287"/>
      <c r="AB43" s="288"/>
      <c r="AC43" s="39">
        <f t="shared" si="20"/>
        <v>11418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11418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11418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4536.75</v>
      </c>
      <c r="L47" s="46">
        <f>O43</f>
        <v>2399.9407500000002</v>
      </c>
      <c r="M47" s="46">
        <f>P43</f>
        <v>29375.274780000003</v>
      </c>
    </row>
    <row r="48" spans="1:31" ht="54.75" customHeight="1" thickBot="1">
      <c r="H48" s="282" t="s">
        <v>86</v>
      </c>
      <c r="I48" s="283"/>
      <c r="J48" s="284"/>
      <c r="K48" s="43">
        <f>AC44</f>
        <v>11418</v>
      </c>
      <c r="L48" s="44">
        <f>K48*0.529</f>
        <v>6040.1220000000003</v>
      </c>
      <c r="M48" s="44">
        <f>L48*12.24</f>
        <v>73931.093280000001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E20" sqref="E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44572</v>
      </c>
      <c r="D8" s="350"/>
      <c r="E8" s="113">
        <v>44603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1319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21620293</v>
      </c>
      <c r="D17" s="66">
        <v>21612801</v>
      </c>
      <c r="E17" s="67">
        <f>MIN(C17-D17)</f>
        <v>7492</v>
      </c>
      <c r="F17" s="67">
        <f>+E17</f>
        <v>7492</v>
      </c>
      <c r="G17" s="329"/>
      <c r="H17" s="330"/>
      <c r="I17" s="329">
        <f>+E17</f>
        <v>7492</v>
      </c>
      <c r="J17" s="330"/>
    </row>
    <row r="18" spans="1:10">
      <c r="A18" s="327" t="s">
        <v>111</v>
      </c>
      <c r="B18" s="328"/>
      <c r="C18" s="66">
        <v>12639296</v>
      </c>
      <c r="D18" s="66">
        <v>12634618</v>
      </c>
      <c r="E18" s="67">
        <f>MIN(C18-D18)</f>
        <v>4678</v>
      </c>
      <c r="F18" s="67">
        <f>+E18</f>
        <v>4678</v>
      </c>
      <c r="G18" s="329"/>
      <c r="H18" s="330"/>
      <c r="I18" s="329">
        <f>+E18</f>
        <v>4678</v>
      </c>
      <c r="J18" s="330"/>
    </row>
    <row r="19" spans="1:10">
      <c r="A19" s="327" t="s">
        <v>112</v>
      </c>
      <c r="B19" s="328"/>
      <c r="C19" s="66">
        <v>9469520</v>
      </c>
      <c r="D19" s="66">
        <v>9466063</v>
      </c>
      <c r="E19" s="67">
        <f>AVERAGE(C19-D19)</f>
        <v>3457</v>
      </c>
      <c r="F19" s="67">
        <f>+E19</f>
        <v>3457</v>
      </c>
      <c r="G19" s="329"/>
      <c r="H19" s="330"/>
      <c r="I19" s="329">
        <f>+E19</f>
        <v>3457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15627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7492</v>
      </c>
      <c r="E25" s="72">
        <v>0.95140000000000002</v>
      </c>
      <c r="F25" s="73">
        <f>PRODUCT(D25*E25)</f>
        <v>7127.8888000000006</v>
      </c>
      <c r="G25" s="151">
        <v>14</v>
      </c>
      <c r="H25" s="65">
        <f>PRODUCT(0.14,F25)</f>
        <v>997.90443200000016</v>
      </c>
      <c r="I25" s="304">
        <f>SUM(H25,F25)</f>
        <v>8125.7932320000009</v>
      </c>
      <c r="J25" s="305"/>
    </row>
    <row r="26" spans="1:10" ht="15">
      <c r="A26" s="301" t="s">
        <v>124</v>
      </c>
      <c r="B26" s="302"/>
      <c r="C26" s="303"/>
      <c r="D26" s="67">
        <f>+E18</f>
        <v>4678</v>
      </c>
      <c r="E26" s="74">
        <v>0.69850000000000001</v>
      </c>
      <c r="F26" s="73">
        <f>PRODUCT(D26*E26)</f>
        <v>3267.5830000000001</v>
      </c>
      <c r="G26">
        <v>14</v>
      </c>
      <c r="H26" s="67">
        <f>PRODUCT(0.14,F26)</f>
        <v>457.46162000000004</v>
      </c>
      <c r="I26" s="304">
        <f t="shared" ref="I26:I31" si="0">SUM(H26,F26)</f>
        <v>3725.0446200000001</v>
      </c>
      <c r="J26" s="305"/>
    </row>
    <row r="27" spans="1:10" ht="15">
      <c r="A27" s="301" t="s">
        <v>125</v>
      </c>
      <c r="B27" s="302"/>
      <c r="C27" s="303"/>
      <c r="D27" s="67">
        <f>+E19</f>
        <v>3457</v>
      </c>
      <c r="E27" s="74">
        <v>1.3304</v>
      </c>
      <c r="F27" s="73">
        <f>PRODUCT(D27*E27)</f>
        <v>4599.1927999999998</v>
      </c>
      <c r="G27">
        <v>14</v>
      </c>
      <c r="H27" s="67">
        <f>PRODUCT(0.14,F27)</f>
        <v>643.88699200000008</v>
      </c>
      <c r="I27" s="304">
        <f>SUM(H27,F27)</f>
        <v>5243.0797919999995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61209.334600000002</v>
      </c>
      <c r="G32" s="85"/>
      <c r="H32" s="86"/>
      <c r="I32" s="313">
        <f>SUM(I25:J31)</f>
        <v>69724.661443999998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D29" sqref="D29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44467</v>
      </c>
      <c r="D8" s="350"/>
      <c r="E8" s="113">
        <v>44862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1069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29"/>
      <c r="H17" s="330"/>
      <c r="I17" s="329">
        <f>+E17</f>
        <v>244745</v>
      </c>
      <c r="J17" s="330"/>
    </row>
    <row r="18" spans="1:10">
      <c r="A18" s="327" t="s">
        <v>111</v>
      </c>
      <c r="B18" s="328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29"/>
      <c r="H18" s="330"/>
      <c r="I18" s="329">
        <f>+E18</f>
        <v>159595</v>
      </c>
      <c r="J18" s="330"/>
    </row>
    <row r="19" spans="1:10">
      <c r="A19" s="327" t="s">
        <v>112</v>
      </c>
      <c r="B19" s="328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29"/>
      <c r="H19" s="330"/>
      <c r="I19" s="329">
        <f>+E19</f>
        <v>118312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522652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04">
        <f>SUM(H25,F25)</f>
        <v>265449.44802000001</v>
      </c>
      <c r="J25" s="305"/>
    </row>
    <row r="26" spans="1:10" ht="15">
      <c r="A26" s="301" t="s">
        <v>124</v>
      </c>
      <c r="B26" s="302"/>
      <c r="C26" s="303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04">
        <f t="shared" ref="I26:I31" si="0">SUM(H26,F26)</f>
        <v>127083.90255</v>
      </c>
      <c r="J26" s="305"/>
    </row>
    <row r="27" spans="1:10" ht="15">
      <c r="A27" s="301" t="s">
        <v>125</v>
      </c>
      <c r="B27" s="302"/>
      <c r="C27" s="303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04">
        <f>SUM(H27,F27)</f>
        <v>179438.60467199999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69</v>
      </c>
      <c r="E29" s="76">
        <f>E28*1.5</f>
        <v>65.822505000000007</v>
      </c>
      <c r="F29" s="77">
        <f>PRODUCT(D29,E29)</f>
        <v>4541.7528450000009</v>
      </c>
      <c r="G29" s="78">
        <v>14</v>
      </c>
      <c r="H29" s="75">
        <f>PRODUCT(0.14,F29)</f>
        <v>635.84539830000017</v>
      </c>
      <c r="I29" s="317">
        <f t="shared" si="0"/>
        <v>5177.5982433000008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552486.20814500004</v>
      </c>
      <c r="G32" s="85"/>
      <c r="H32" s="86"/>
      <c r="I32" s="313">
        <f>SUM(I25:J31)</f>
        <v>629780.29728529998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D13" sqref="D13:E13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3767.6000000000058</v>
      </c>
      <c r="C13" s="397"/>
      <c r="D13" s="397">
        <v>8.7899999999999991</v>
      </c>
      <c r="E13" s="397"/>
      <c r="F13" s="399">
        <f>PRODUCT(D13,B13)</f>
        <v>33117.204000000049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3767.6000000000058</v>
      </c>
      <c r="C19" s="397"/>
      <c r="D19" s="397">
        <v>2.61</v>
      </c>
      <c r="E19" s="397"/>
      <c r="F19" s="397">
        <f>PRODUCT(D19,B19)</f>
        <v>9833.4360000000142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42973.640000000065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3008.1548000000048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3216.414800000005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46190.054800000071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180</v>
      </c>
      <c r="C13" s="397"/>
      <c r="D13" s="397">
        <v>8.5</v>
      </c>
      <c r="E13" s="397"/>
      <c r="F13" s="399">
        <f>PRODUCT(D13,B13)</f>
        <v>1530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180</v>
      </c>
      <c r="C20" s="397"/>
      <c r="D20" s="397">
        <v>2.54</v>
      </c>
      <c r="E20" s="397"/>
      <c r="F20" s="397">
        <f>PRODUCT(D20,B20)</f>
        <v>457.2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2010.2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140.71400000000003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348.97400000000005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2359.174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9</v>
      </c>
      <c r="C13" s="397"/>
      <c r="D13" s="397">
        <v>16.48</v>
      </c>
      <c r="E13" s="397"/>
      <c r="F13" s="399">
        <f>PRODUCT(D13,B13)</f>
        <v>148.32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9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163.32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229.38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L26" sqref="L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2022-11-07T09:43:29Z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